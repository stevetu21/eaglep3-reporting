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Enforcements!$A$6:$AC$68</definedName>
    <definedName name="_xlnm._FilterDatabase" localSheetId="2" hidden="1">'Missing Trips'!$A$2:$J$91</definedName>
    <definedName name="_xlnm._FilterDatabase" localSheetId="0" hidden="1">'Train Runs'!$A$12:$AG$269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4" i="1" l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S36" i="3" s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R23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P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P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P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P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P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P32" i="1" s="1"/>
  <c r="V32" i="1"/>
  <c r="Y32" i="1"/>
  <c r="Z32" i="1"/>
  <c r="AB32" i="1"/>
  <c r="AC32" i="1"/>
  <c r="AD32" i="1"/>
  <c r="AG32" i="1" s="1"/>
  <c r="AE32" i="1"/>
  <c r="R12" i="3" s="1"/>
  <c r="AF32" i="1"/>
  <c r="AH32" i="1"/>
  <c r="AM32" i="1"/>
  <c r="AN32" i="1"/>
  <c r="K33" i="1"/>
  <c r="L33" i="1"/>
  <c r="M33" i="1"/>
  <c r="P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P34" i="1" s="1"/>
  <c r="V34" i="1"/>
  <c r="Y34" i="1"/>
  <c r="AB34" i="1"/>
  <c r="AC34" i="1"/>
  <c r="AD34" i="1"/>
  <c r="AE34" i="1"/>
  <c r="AF34" i="1"/>
  <c r="AH34" i="1"/>
  <c r="AM34" i="1"/>
  <c r="AN34" i="1"/>
  <c r="K35" i="1"/>
  <c r="L35" i="1"/>
  <c r="M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P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P37" i="1" s="1"/>
  <c r="V37" i="1"/>
  <c r="S28" i="3" s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P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P40" i="1" s="1"/>
  <c r="V40" i="1"/>
  <c r="S20" i="3" s="1"/>
  <c r="Y40" i="1"/>
  <c r="Z40" i="1"/>
  <c r="AB40" i="1"/>
  <c r="AC40" i="1"/>
  <c r="AD40" i="1"/>
  <c r="AG40" i="1" s="1"/>
  <c r="AE40" i="1"/>
  <c r="R20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P44" i="1" s="1"/>
  <c r="V44" i="1"/>
  <c r="Y44" i="1"/>
  <c r="Z44" i="1"/>
  <c r="AB44" i="1"/>
  <c r="AC44" i="1"/>
  <c r="AD44" i="1"/>
  <c r="AE44" i="1"/>
  <c r="R33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P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P48" i="1" s="1"/>
  <c r="V48" i="1"/>
  <c r="S34" i="3" s="1"/>
  <c r="Z48" i="1"/>
  <c r="AA48" i="1" s="1"/>
  <c r="AB48" i="1"/>
  <c r="AC48" i="1"/>
  <c r="AD48" i="1"/>
  <c r="AE48" i="1"/>
  <c r="R34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R18" i="3" s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S19" i="3" s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16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R30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R17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AA67" i="1" s="1"/>
  <c r="Z67" i="1"/>
  <c r="AB67" i="1"/>
  <c r="AC67" i="1"/>
  <c r="AD67" i="1"/>
  <c r="AG67" i="1" s="1"/>
  <c r="AE67" i="1"/>
  <c r="AF67" i="1"/>
  <c r="AH67" i="1"/>
  <c r="AI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R38" i="3" s="1"/>
  <c r="AF68" i="1"/>
  <c r="AH68" i="1"/>
  <c r="AM68" i="1"/>
  <c r="AN68" i="1"/>
  <c r="K69" i="1"/>
  <c r="L69" i="1"/>
  <c r="M69" i="1"/>
  <c r="P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8" i="3" s="1"/>
  <c r="Y72" i="1"/>
  <c r="Z72" i="1"/>
  <c r="AB72" i="1"/>
  <c r="AC72" i="1"/>
  <c r="AD72" i="1"/>
  <c r="AE72" i="1"/>
  <c r="R8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S43" i="3" s="1"/>
  <c r="Y78" i="1"/>
  <c r="Z78" i="1"/>
  <c r="AB78" i="1"/>
  <c r="AC78" i="1"/>
  <c r="AD78" i="1"/>
  <c r="AG78" i="1" s="1"/>
  <c r="AE78" i="1"/>
  <c r="R9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S15" i="3" s="1"/>
  <c r="Y85" i="1"/>
  <c r="Z85" i="1"/>
  <c r="AB85" i="1"/>
  <c r="AC85" i="1"/>
  <c r="AD85" i="1"/>
  <c r="T85" i="1" s="1"/>
  <c r="AE85" i="1"/>
  <c r="R15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R44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S39" i="3" s="1"/>
  <c r="Y91" i="1"/>
  <c r="Z91" i="1"/>
  <c r="AB91" i="1"/>
  <c r="AC91" i="1"/>
  <c r="AD91" i="1"/>
  <c r="AE91" i="1"/>
  <c r="R39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/>
  <c r="V94" i="1"/>
  <c r="Y94" i="1"/>
  <c r="Z94" i="1"/>
  <c r="AB94" i="1"/>
  <c r="AC94" i="1"/>
  <c r="AD94" i="1"/>
  <c r="AG94" i="1" s="1"/>
  <c r="AE94" i="1"/>
  <c r="AF94" i="1"/>
  <c r="AH94" i="1"/>
  <c r="AI94" i="1"/>
  <c r="AM94" i="1"/>
  <c r="AN94" i="1"/>
  <c r="K95" i="1"/>
  <c r="L95" i="1"/>
  <c r="M95" i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P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K97" i="1"/>
  <c r="L97" i="1"/>
  <c r="M97" i="1"/>
  <c r="N97" i="1"/>
  <c r="V97" i="1"/>
  <c r="Y97" i="1"/>
  <c r="AA97" i="1" s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S32" i="3" s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P103" i="1" s="1"/>
  <c r="V103" i="1"/>
  <c r="Z103" i="1"/>
  <c r="AB103" i="1"/>
  <c r="AC103" i="1"/>
  <c r="AD103" i="1"/>
  <c r="AG103" i="1" s="1"/>
  <c r="AE103" i="1"/>
  <c r="R35" i="3" s="1"/>
  <c r="AF103" i="1"/>
  <c r="AH103" i="1"/>
  <c r="AM103" i="1"/>
  <c r="AN103" i="1"/>
  <c r="K104" i="1"/>
  <c r="L104" i="1"/>
  <c r="M104" i="1"/>
  <c r="N104" i="1" s="1"/>
  <c r="V104" i="1"/>
  <c r="S11" i="3" s="1"/>
  <c r="Y104" i="1"/>
  <c r="Z104" i="1"/>
  <c r="AB104" i="1"/>
  <c r="AC104" i="1"/>
  <c r="AD104" i="1"/>
  <c r="T104" i="1" s="1"/>
  <c r="AE104" i="1"/>
  <c r="R11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I110" i="1" s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13" i="3" s="1"/>
  <c r="Y117" i="1"/>
  <c r="Z117" i="1"/>
  <c r="AB117" i="1"/>
  <c r="AC117" i="1"/>
  <c r="AD117" i="1"/>
  <c r="AG117" i="1" s="1"/>
  <c r="AE117" i="1"/>
  <c r="R13" i="3" s="1"/>
  <c r="AF117" i="1"/>
  <c r="AH117" i="1"/>
  <c r="AM117" i="1"/>
  <c r="AN117" i="1"/>
  <c r="K118" i="1"/>
  <c r="L118" i="1"/>
  <c r="M118" i="1"/>
  <c r="N118" i="1" s="1"/>
  <c r="V118" i="1"/>
  <c r="S29" i="3" s="1"/>
  <c r="Y118" i="1"/>
  <c r="Z118" i="1"/>
  <c r="AB118" i="1"/>
  <c r="AC118" i="1"/>
  <c r="AD118" i="1"/>
  <c r="AG118" i="1" s="1"/>
  <c r="AE118" i="1"/>
  <c r="R29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40" i="3" s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S42" i="3" s="1"/>
  <c r="Y122" i="1"/>
  <c r="Z122" i="1"/>
  <c r="AB122" i="1"/>
  <c r="AC122" i="1"/>
  <c r="AD122" i="1"/>
  <c r="AG122" i="1" s="1"/>
  <c r="AE122" i="1"/>
  <c r="R42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S27" i="3" s="1"/>
  <c r="Y136" i="1"/>
  <c r="Z136" i="1"/>
  <c r="AB136" i="1"/>
  <c r="AC136" i="1"/>
  <c r="AD136" i="1"/>
  <c r="T136" i="1" s="1"/>
  <c r="AE136" i="1"/>
  <c r="R27" i="3" s="1"/>
  <c r="AF136" i="1"/>
  <c r="AH136" i="1"/>
  <c r="AM136" i="1"/>
  <c r="AN136" i="1"/>
  <c r="K137" i="1"/>
  <c r="L137" i="1"/>
  <c r="M137" i="1"/>
  <c r="N137" i="1" s="1"/>
  <c r="V137" i="1"/>
  <c r="S14" i="3" s="1"/>
  <c r="Y137" i="1"/>
  <c r="Z137" i="1"/>
  <c r="AB137" i="1"/>
  <c r="AC137" i="1"/>
  <c r="AD137" i="1"/>
  <c r="AE137" i="1"/>
  <c r="R14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W139" i="1" s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S10" i="3" s="1"/>
  <c r="Y141" i="1"/>
  <c r="Z141" i="1"/>
  <c r="AB141" i="1"/>
  <c r="AC141" i="1"/>
  <c r="AD141" i="1"/>
  <c r="T141" i="1" s="1"/>
  <c r="AE141" i="1"/>
  <c r="R10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S26" i="3" s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46" i="3" s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I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P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R24" i="3" s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AM159" i="1"/>
  <c r="AN159" i="1"/>
  <c r="K160" i="1"/>
  <c r="L160" i="1"/>
  <c r="M160" i="1"/>
  <c r="P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V161" i="1"/>
  <c r="Y161" i="1"/>
  <c r="Z161" i="1"/>
  <c r="AB161" i="1"/>
  <c r="AC161" i="1"/>
  <c r="AD161" i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AM162" i="1"/>
  <c r="AN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1" i="1"/>
  <c r="AM171" i="1"/>
  <c r="AN17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2" i="1"/>
  <c r="AM172" i="1"/>
  <c r="AN17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3" i="1"/>
  <c r="AM173" i="1"/>
  <c r="AN173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4" i="1"/>
  <c r="AM174" i="1"/>
  <c r="AN174" i="1"/>
  <c r="K231" i="1"/>
  <c r="L231" i="1"/>
  <c r="M231" i="1"/>
  <c r="N231" i="1" s="1"/>
  <c r="V231" i="1"/>
  <c r="S54" i="3" s="1"/>
  <c r="Y231" i="1"/>
  <c r="Z231" i="1"/>
  <c r="AB231" i="1"/>
  <c r="AC231" i="1"/>
  <c r="AD231" i="1"/>
  <c r="AG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K235" i="1"/>
  <c r="L235" i="1"/>
  <c r="M235" i="1"/>
  <c r="N235" i="1" s="1"/>
  <c r="V235" i="1"/>
  <c r="S53" i="3" s="1"/>
  <c r="Y235" i="1"/>
  <c r="Z235" i="1"/>
  <c r="AA235" i="1" s="1"/>
  <c r="W235" i="1" s="1"/>
  <c r="AB235" i="1"/>
  <c r="AC235" i="1"/>
  <c r="AD235" i="1"/>
  <c r="AG235" i="1" s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AE238" i="1"/>
  <c r="R55" i="3" s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3" i="1"/>
  <c r="AM183" i="1"/>
  <c r="AN18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4" i="1"/>
  <c r="AM184" i="1"/>
  <c r="AN18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5" i="1"/>
  <c r="AM185" i="1"/>
  <c r="AN18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6" i="1"/>
  <c r="AM186" i="1"/>
  <c r="AN18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7" i="1"/>
  <c r="AM187" i="1"/>
  <c r="AN18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8" i="1"/>
  <c r="AM188" i="1"/>
  <c r="AN18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9" i="1"/>
  <c r="AM189" i="1"/>
  <c r="AN18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0" i="1"/>
  <c r="AM190" i="1"/>
  <c r="AN19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1" i="1"/>
  <c r="AM191" i="1"/>
  <c r="AN191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2" i="1"/>
  <c r="AM192" i="1"/>
  <c r="AN192" i="1"/>
  <c r="K173" i="1"/>
  <c r="L173" i="1"/>
  <c r="M173" i="1"/>
  <c r="N173" i="1"/>
  <c r="V173" i="1"/>
  <c r="Y173" i="1"/>
  <c r="Z173" i="1"/>
  <c r="AB173" i="1"/>
  <c r="AC173" i="1"/>
  <c r="AD173" i="1"/>
  <c r="AG173" i="1" s="1"/>
  <c r="AE173" i="1"/>
  <c r="AF173" i="1"/>
  <c r="AH193" i="1"/>
  <c r="AM193" i="1"/>
  <c r="AN19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4" i="1"/>
  <c r="AM194" i="1"/>
  <c r="AN194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95" i="1"/>
  <c r="AM195" i="1"/>
  <c r="AN19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6" i="1"/>
  <c r="AM196" i="1"/>
  <c r="AN196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8" i="1"/>
  <c r="AM198" i="1"/>
  <c r="AN19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K176" i="1"/>
  <c r="L176" i="1"/>
  <c r="M176" i="1"/>
  <c r="N176" i="1" s="1"/>
  <c r="V176" i="1"/>
  <c r="Y176" i="1"/>
  <c r="AA176" i="1" s="1"/>
  <c r="Z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2" i="1"/>
  <c r="AM202" i="1"/>
  <c r="AN20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3" i="1"/>
  <c r="AM203" i="1"/>
  <c r="AN20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N181" i="1" s="1"/>
  <c r="V181" i="1"/>
  <c r="S51" i="3" s="1"/>
  <c r="Y181" i="1"/>
  <c r="Z181" i="1"/>
  <c r="AB181" i="1"/>
  <c r="AC181" i="1"/>
  <c r="AD181" i="1"/>
  <c r="AG181" i="1" s="1"/>
  <c r="AE181" i="1"/>
  <c r="R51" i="3" s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9" i="1"/>
  <c r="AM209" i="1"/>
  <c r="AN209" i="1"/>
  <c r="K186" i="1"/>
  <c r="L186" i="1"/>
  <c r="M186" i="1"/>
  <c r="N186" i="1" s="1"/>
  <c r="V186" i="1"/>
  <c r="S48" i="3" s="1"/>
  <c r="Y186" i="1"/>
  <c r="Z186" i="1"/>
  <c r="AB186" i="1"/>
  <c r="AC186" i="1"/>
  <c r="AD186" i="1"/>
  <c r="T186" i="1" s="1"/>
  <c r="AE186" i="1"/>
  <c r="R48" i="3" s="1"/>
  <c r="AF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5" i="1"/>
  <c r="AM215" i="1"/>
  <c r="AN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K192" i="1"/>
  <c r="L192" i="1"/>
  <c r="M192" i="1"/>
  <c r="N192" i="1" s="1"/>
  <c r="V192" i="1"/>
  <c r="S49" i="3" s="1"/>
  <c r="Y192" i="1"/>
  <c r="Z192" i="1"/>
  <c r="AB192" i="1"/>
  <c r="AC192" i="1"/>
  <c r="AD192" i="1"/>
  <c r="T192" i="1" s="1"/>
  <c r="AE192" i="1"/>
  <c r="R49" i="3" s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9" i="1"/>
  <c r="AM219" i="1"/>
  <c r="AN21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1" i="1"/>
  <c r="AM221" i="1"/>
  <c r="AN221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2" i="1"/>
  <c r="AM222" i="1"/>
  <c r="AN22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3" i="1"/>
  <c r="AM223" i="1"/>
  <c r="AN22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4" i="1"/>
  <c r="AM224" i="1"/>
  <c r="AN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6" i="1"/>
  <c r="AM226" i="1"/>
  <c r="AN22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8" i="1"/>
  <c r="AM228" i="1"/>
  <c r="AN228" i="1"/>
  <c r="K204" i="1"/>
  <c r="L204" i="1"/>
  <c r="M204" i="1"/>
  <c r="N204" i="1" s="1"/>
  <c r="V204" i="1"/>
  <c r="S47" i="3" s="1"/>
  <c r="Y204" i="1"/>
  <c r="Z204" i="1"/>
  <c r="AB204" i="1"/>
  <c r="AC204" i="1"/>
  <c r="AD204" i="1"/>
  <c r="T204" i="1" s="1"/>
  <c r="AE204" i="1"/>
  <c r="AF204" i="1"/>
  <c r="AH229" i="1"/>
  <c r="AM229" i="1"/>
  <c r="AN229" i="1"/>
  <c r="K205" i="1"/>
  <c r="L205" i="1"/>
  <c r="M205" i="1"/>
  <c r="V205" i="1"/>
  <c r="Y205" i="1"/>
  <c r="Z205" i="1"/>
  <c r="AB205" i="1"/>
  <c r="AC205" i="1"/>
  <c r="AD205" i="1"/>
  <c r="AG205" i="1" s="1"/>
  <c r="AE205" i="1"/>
  <c r="R47" i="3" s="1"/>
  <c r="AF205" i="1"/>
  <c r="AH230" i="1"/>
  <c r="AM230" i="1"/>
  <c r="AN230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1" i="1"/>
  <c r="AM231" i="1"/>
  <c r="AN231" i="1"/>
  <c r="K207" i="1"/>
  <c r="L207" i="1"/>
  <c r="M207" i="1"/>
  <c r="N207" i="1" s="1"/>
  <c r="V207" i="1"/>
  <c r="S50" i="3" s="1"/>
  <c r="Y207" i="1"/>
  <c r="Z207" i="1"/>
  <c r="AB207" i="1"/>
  <c r="AC207" i="1"/>
  <c r="AD207" i="1"/>
  <c r="T207" i="1" s="1"/>
  <c r="AE207" i="1"/>
  <c r="AF207" i="1"/>
  <c r="AH232" i="1"/>
  <c r="AM232" i="1"/>
  <c r="AN23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3" i="1"/>
  <c r="AM233" i="1"/>
  <c r="AN23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34" i="1"/>
  <c r="AM234" i="1"/>
  <c r="AN234" i="1"/>
  <c r="K210" i="1"/>
  <c r="L210" i="1"/>
  <c r="M210" i="1"/>
  <c r="N210" i="1" s="1"/>
  <c r="T210" i="1"/>
  <c r="V210" i="1"/>
  <c r="Y210" i="1"/>
  <c r="Z210" i="1"/>
  <c r="AB210" i="1"/>
  <c r="AC210" i="1"/>
  <c r="AD210" i="1"/>
  <c r="AE210" i="1"/>
  <c r="AF210" i="1"/>
  <c r="AH235" i="1"/>
  <c r="AM235" i="1"/>
  <c r="AN235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36" i="1"/>
  <c r="AM236" i="1"/>
  <c r="AN23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7" i="1"/>
  <c r="AM237" i="1"/>
  <c r="AN237" i="1"/>
  <c r="K225" i="1"/>
  <c r="L225" i="1"/>
  <c r="M225" i="1"/>
  <c r="N225" i="1"/>
  <c r="V225" i="1"/>
  <c r="S52" i="3" s="1"/>
  <c r="Y225" i="1"/>
  <c r="Z225" i="1"/>
  <c r="AB225" i="1"/>
  <c r="AC225" i="1"/>
  <c r="AD225" i="1"/>
  <c r="AG225" i="1" s="1"/>
  <c r="AE225" i="1"/>
  <c r="AF225" i="1"/>
  <c r="AH238" i="1"/>
  <c r="AM238" i="1"/>
  <c r="AN238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9" i="1"/>
  <c r="AM239" i="1"/>
  <c r="AN239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40" i="1"/>
  <c r="AM240" i="1"/>
  <c r="AN240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1" i="1"/>
  <c r="AM241" i="1"/>
  <c r="AN241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42" i="1"/>
  <c r="AM242" i="1"/>
  <c r="AN242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43" i="1"/>
  <c r="AM243" i="1"/>
  <c r="AN243" i="1"/>
  <c r="M23" i="3"/>
  <c r="S23" i="3"/>
  <c r="U23" i="3"/>
  <c r="T23" i="3" s="1"/>
  <c r="V23" i="3"/>
  <c r="W23" i="3"/>
  <c r="Y23" i="3" s="1"/>
  <c r="X23" i="3"/>
  <c r="AC23" i="3"/>
  <c r="M37" i="3"/>
  <c r="S37" i="3"/>
  <c r="U37" i="3"/>
  <c r="T37" i="3" s="1"/>
  <c r="V37" i="3"/>
  <c r="W37" i="3"/>
  <c r="Y37" i="3" s="1"/>
  <c r="X37" i="3"/>
  <c r="AC37" i="3"/>
  <c r="M52" i="3"/>
  <c r="R52" i="3"/>
  <c r="U52" i="3"/>
  <c r="V52" i="3"/>
  <c r="W52" i="3"/>
  <c r="X52" i="3"/>
  <c r="M12" i="3"/>
  <c r="S12" i="3"/>
  <c r="U12" i="3"/>
  <c r="AC12" i="3" s="1"/>
  <c r="V12" i="3"/>
  <c r="W12" i="3"/>
  <c r="X12" i="3"/>
  <c r="M31" i="3"/>
  <c r="R31" i="3"/>
  <c r="S31" i="3"/>
  <c r="U31" i="3"/>
  <c r="V31" i="3"/>
  <c r="W31" i="3"/>
  <c r="X31" i="3"/>
  <c r="AC31" i="3"/>
  <c r="M20" i="3"/>
  <c r="U20" i="3"/>
  <c r="T20" i="3" s="1"/>
  <c r="V20" i="3"/>
  <c r="W20" i="3"/>
  <c r="X20" i="3"/>
  <c r="AC20" i="3"/>
  <c r="M28" i="3"/>
  <c r="R28" i="3"/>
  <c r="U28" i="3"/>
  <c r="V28" i="3"/>
  <c r="AE28" i="3" s="1"/>
  <c r="W28" i="3"/>
  <c r="Y28" i="3" s="1"/>
  <c r="X28" i="3"/>
  <c r="AC28" i="3"/>
  <c r="M25" i="3"/>
  <c r="R25" i="3"/>
  <c r="U25" i="3"/>
  <c r="AC25" i="3" s="1"/>
  <c r="V25" i="3"/>
  <c r="W25" i="3"/>
  <c r="Y25" i="3" s="1"/>
  <c r="X25" i="3"/>
  <c r="M33" i="3"/>
  <c r="S33" i="3"/>
  <c r="U33" i="3"/>
  <c r="T33" i="3" s="1"/>
  <c r="V33" i="3"/>
  <c r="W33" i="3"/>
  <c r="X33" i="3"/>
  <c r="AC33" i="3"/>
  <c r="M34" i="3"/>
  <c r="U34" i="3"/>
  <c r="T34" i="3" s="1"/>
  <c r="V34" i="3"/>
  <c r="W34" i="3"/>
  <c r="X34" i="3"/>
  <c r="AC34" i="3"/>
  <c r="M16" i="3"/>
  <c r="S16" i="3"/>
  <c r="U16" i="3"/>
  <c r="V16" i="3"/>
  <c r="AE16" i="3" s="1"/>
  <c r="W16" i="3"/>
  <c r="Y16" i="3" s="1"/>
  <c r="X16" i="3"/>
  <c r="AC16" i="3"/>
  <c r="M18" i="3"/>
  <c r="S18" i="3"/>
  <c r="U18" i="3"/>
  <c r="AC18" i="3" s="1"/>
  <c r="V18" i="3"/>
  <c r="W18" i="3"/>
  <c r="Y18" i="3" s="1"/>
  <c r="X18" i="3"/>
  <c r="M19" i="3"/>
  <c r="R19" i="3"/>
  <c r="U19" i="3"/>
  <c r="T19" i="3" s="1"/>
  <c r="V19" i="3"/>
  <c r="W19" i="3"/>
  <c r="Y19" i="3" s="1"/>
  <c r="X19" i="3"/>
  <c r="AC19" i="3"/>
  <c r="AD20" i="3"/>
  <c r="AE20" i="3"/>
  <c r="M7" i="3"/>
  <c r="R7" i="3"/>
  <c r="S7" i="3"/>
  <c r="U7" i="3"/>
  <c r="T7" i="3" s="1"/>
  <c r="V7" i="3"/>
  <c r="W7" i="3"/>
  <c r="X7" i="3"/>
  <c r="AC7" i="3"/>
  <c r="AD21" i="3"/>
  <c r="M30" i="3"/>
  <c r="S30" i="3"/>
  <c r="U30" i="3"/>
  <c r="V30" i="3"/>
  <c r="W30" i="3"/>
  <c r="X30" i="3"/>
  <c r="Y30" i="3"/>
  <c r="M17" i="3"/>
  <c r="S17" i="3"/>
  <c r="U17" i="3"/>
  <c r="AC17" i="3" s="1"/>
  <c r="V17" i="3"/>
  <c r="W17" i="3"/>
  <c r="X17" i="3"/>
  <c r="M54" i="3"/>
  <c r="R54" i="3"/>
  <c r="U54" i="3"/>
  <c r="V54" i="3"/>
  <c r="W54" i="3"/>
  <c r="X54" i="3"/>
  <c r="AC54" i="3"/>
  <c r="M8" i="3"/>
  <c r="U8" i="3"/>
  <c r="T8" i="3" s="1"/>
  <c r="V8" i="3"/>
  <c r="W8" i="3"/>
  <c r="X8" i="3"/>
  <c r="AC8" i="3"/>
  <c r="M21" i="3"/>
  <c r="R21" i="3"/>
  <c r="S21" i="3"/>
  <c r="U21" i="3"/>
  <c r="V21" i="3"/>
  <c r="W21" i="3"/>
  <c r="Y21" i="3" s="1"/>
  <c r="X21" i="3"/>
  <c r="M9" i="3"/>
  <c r="S9" i="3"/>
  <c r="U9" i="3"/>
  <c r="AC9" i="3" s="1"/>
  <c r="V9" i="3"/>
  <c r="W9" i="3"/>
  <c r="Y9" i="3" s="1"/>
  <c r="X9" i="3"/>
  <c r="M51" i="3"/>
  <c r="U51" i="3"/>
  <c r="T51" i="3" s="1"/>
  <c r="V51" i="3"/>
  <c r="W51" i="3"/>
  <c r="X51" i="3"/>
  <c r="AC51" i="3"/>
  <c r="M38" i="3"/>
  <c r="S38" i="3"/>
  <c r="U38" i="3"/>
  <c r="T38" i="3" s="1"/>
  <c r="V38" i="3"/>
  <c r="W38" i="3"/>
  <c r="X38" i="3"/>
  <c r="AC38" i="3"/>
  <c r="M43" i="3"/>
  <c r="U43" i="3"/>
  <c r="AD30" i="3" s="1"/>
  <c r="V43" i="3"/>
  <c r="W43" i="3"/>
  <c r="X43" i="3"/>
  <c r="AC43" i="3"/>
  <c r="M44" i="3"/>
  <c r="S44" i="3"/>
  <c r="U44" i="3"/>
  <c r="AC44" i="3" s="1"/>
  <c r="V44" i="3"/>
  <c r="W44" i="3"/>
  <c r="X44" i="3"/>
  <c r="M15" i="3"/>
  <c r="U15" i="3"/>
  <c r="T15" i="3" s="1"/>
  <c r="V15" i="3"/>
  <c r="W15" i="3"/>
  <c r="X15" i="3"/>
  <c r="AC15" i="3"/>
  <c r="M32" i="3"/>
  <c r="R32" i="3"/>
  <c r="U32" i="3"/>
  <c r="T32" i="3" s="1"/>
  <c r="V32" i="3"/>
  <c r="AE32" i="3" s="1"/>
  <c r="W32" i="3"/>
  <c r="X32" i="3"/>
  <c r="AC32" i="3"/>
  <c r="AD33" i="3"/>
  <c r="M48" i="3"/>
  <c r="U48" i="3"/>
  <c r="AD34" i="3" s="1"/>
  <c r="V48" i="3"/>
  <c r="W48" i="3"/>
  <c r="X48" i="3"/>
  <c r="AC48" i="3"/>
  <c r="M45" i="3"/>
  <c r="R45" i="3"/>
  <c r="U45" i="3"/>
  <c r="AC45" i="3" s="1"/>
  <c r="V45" i="3"/>
  <c r="W45" i="3"/>
  <c r="Y45" i="3" s="1"/>
  <c r="X45" i="3"/>
  <c r="M35" i="3"/>
  <c r="S35" i="3"/>
  <c r="U35" i="3"/>
  <c r="T35" i="3" s="1"/>
  <c r="V35" i="3"/>
  <c r="W35" i="3"/>
  <c r="X35" i="3"/>
  <c r="AC35" i="3"/>
  <c r="M39" i="3"/>
  <c r="U39" i="3"/>
  <c r="T39" i="3" s="1"/>
  <c r="V39" i="3"/>
  <c r="W39" i="3"/>
  <c r="Y39" i="3" s="1"/>
  <c r="X39" i="3"/>
  <c r="AC39" i="3"/>
  <c r="M11" i="3"/>
  <c r="U11" i="3"/>
  <c r="V11" i="3"/>
  <c r="W11" i="3"/>
  <c r="Y11" i="3" s="1"/>
  <c r="X11" i="3"/>
  <c r="M13" i="3"/>
  <c r="U13" i="3"/>
  <c r="AC13" i="3" s="1"/>
  <c r="V13" i="3"/>
  <c r="W13" i="3"/>
  <c r="X13" i="3"/>
  <c r="M49" i="3"/>
  <c r="U49" i="3"/>
  <c r="V49" i="3"/>
  <c r="W49" i="3"/>
  <c r="X49" i="3"/>
  <c r="AC49" i="3"/>
  <c r="M29" i="3"/>
  <c r="U29" i="3"/>
  <c r="T29" i="3" s="1"/>
  <c r="V29" i="3"/>
  <c r="W29" i="3"/>
  <c r="X29" i="3"/>
  <c r="AC29" i="3"/>
  <c r="M22" i="3"/>
  <c r="U22" i="3"/>
  <c r="V22" i="3"/>
  <c r="W22" i="3"/>
  <c r="Y22" i="3" s="1"/>
  <c r="X22" i="3"/>
  <c r="AC22" i="3"/>
  <c r="M53" i="3"/>
  <c r="R53" i="3"/>
  <c r="U53" i="3"/>
  <c r="AC53" i="3" s="1"/>
  <c r="V53" i="3"/>
  <c r="W53" i="3"/>
  <c r="X53" i="3"/>
  <c r="M40" i="3"/>
  <c r="R40" i="3"/>
  <c r="T40" i="3"/>
  <c r="U40" i="3"/>
  <c r="V40" i="3"/>
  <c r="W40" i="3"/>
  <c r="X40" i="3"/>
  <c r="AC40" i="3"/>
  <c r="M55" i="3"/>
  <c r="S55" i="3"/>
  <c r="U55" i="3"/>
  <c r="T55" i="3" s="1"/>
  <c r="V55" i="3"/>
  <c r="W55" i="3"/>
  <c r="X55" i="3"/>
  <c r="AC55" i="3"/>
  <c r="M56" i="3"/>
  <c r="S56" i="3"/>
  <c r="U56" i="3"/>
  <c r="AD46" i="3" s="1"/>
  <c r="V56" i="3"/>
  <c r="W56" i="3"/>
  <c r="X56" i="3"/>
  <c r="Y56" i="3"/>
  <c r="M41" i="3"/>
  <c r="R41" i="3"/>
  <c r="U41" i="3"/>
  <c r="AC41" i="3" s="1"/>
  <c r="V41" i="3"/>
  <c r="W41" i="3"/>
  <c r="X41" i="3"/>
  <c r="M42" i="3"/>
  <c r="U42" i="3"/>
  <c r="T42" i="3" s="1"/>
  <c r="V42" i="3"/>
  <c r="W42" i="3"/>
  <c r="X42" i="3"/>
  <c r="AC42" i="3"/>
  <c r="M14" i="3"/>
  <c r="U14" i="3"/>
  <c r="T14" i="3" s="1"/>
  <c r="V14" i="3"/>
  <c r="W14" i="3"/>
  <c r="X14" i="3"/>
  <c r="AC14" i="3"/>
  <c r="AD49" i="3"/>
  <c r="M27" i="3"/>
  <c r="U27" i="3"/>
  <c r="AD50" i="3" s="1"/>
  <c r="V27" i="3"/>
  <c r="W27" i="3"/>
  <c r="X27" i="3"/>
  <c r="AC27" i="3"/>
  <c r="M10" i="3"/>
  <c r="U10" i="3"/>
  <c r="AC10" i="3" s="1"/>
  <c r="V10" i="3"/>
  <c r="W10" i="3"/>
  <c r="X10" i="3"/>
  <c r="M47" i="3"/>
  <c r="U47" i="3"/>
  <c r="T47" i="3" s="1"/>
  <c r="V47" i="3"/>
  <c r="AE52" i="3" s="1"/>
  <c r="W47" i="3"/>
  <c r="X47" i="3"/>
  <c r="AC47" i="3"/>
  <c r="AD52" i="3"/>
  <c r="M26" i="3"/>
  <c r="R26" i="3"/>
  <c r="U26" i="3"/>
  <c r="T26" i="3" s="1"/>
  <c r="V26" i="3"/>
  <c r="W26" i="3"/>
  <c r="X26" i="3"/>
  <c r="AC26" i="3"/>
  <c r="M50" i="3"/>
  <c r="R50" i="3"/>
  <c r="U50" i="3"/>
  <c r="AD54" i="3" s="1"/>
  <c r="V50" i="3"/>
  <c r="W50" i="3"/>
  <c r="Y50" i="3" s="1"/>
  <c r="X50" i="3"/>
  <c r="M46" i="3"/>
  <c r="R46" i="3"/>
  <c r="U46" i="3"/>
  <c r="AC46" i="3" s="1"/>
  <c r="V46" i="3"/>
  <c r="W46" i="3"/>
  <c r="Y46" i="3" s="1"/>
  <c r="X46" i="3"/>
  <c r="M24" i="3"/>
  <c r="S24" i="3"/>
  <c r="U24" i="3"/>
  <c r="AD56" i="3" s="1"/>
  <c r="V24" i="3"/>
  <c r="W24" i="3"/>
  <c r="X24" i="3"/>
  <c r="AC24" i="3"/>
  <c r="M28" i="5"/>
  <c r="M36" i="3"/>
  <c r="R36" i="3"/>
  <c r="U36" i="3"/>
  <c r="AD36" i="3" s="1"/>
  <c r="V36" i="3"/>
  <c r="W36" i="3"/>
  <c r="X36" i="3"/>
  <c r="AC36" i="3"/>
  <c r="S41" i="3" l="1"/>
  <c r="S22" i="3"/>
  <c r="R43" i="3"/>
  <c r="AA209" i="1"/>
  <c r="W209" i="1" s="1"/>
  <c r="AI32" i="1"/>
  <c r="AA24" i="1"/>
  <c r="AG170" i="1"/>
  <c r="U170" i="1" s="1"/>
  <c r="S170" i="1" s="1"/>
  <c r="X170" i="1"/>
  <c r="AI139" i="1"/>
  <c r="AA89" i="1"/>
  <c r="AA229" i="1"/>
  <c r="AG186" i="1"/>
  <c r="X186" i="1"/>
  <c r="AA175" i="1"/>
  <c r="AA138" i="1"/>
  <c r="AA134" i="1"/>
  <c r="AI102" i="1"/>
  <c r="AG71" i="1"/>
  <c r="X71" i="1"/>
  <c r="AA102" i="1"/>
  <c r="AA70" i="1"/>
  <c r="W70" i="1" s="1"/>
  <c r="AI63" i="1"/>
  <c r="AI40" i="1"/>
  <c r="AI36" i="1"/>
  <c r="R37" i="3"/>
  <c r="AA196" i="1"/>
  <c r="X194" i="1"/>
  <c r="AA205" i="1"/>
  <c r="AA201" i="1"/>
  <c r="W201" i="1" s="1"/>
  <c r="AA199" i="1"/>
  <c r="AA173" i="1"/>
  <c r="W173" i="1" s="1"/>
  <c r="AI159" i="1"/>
  <c r="AA148" i="1"/>
  <c r="X124" i="1"/>
  <c r="AG119" i="1"/>
  <c r="AI119" i="1" s="1"/>
  <c r="AA242" i="1"/>
  <c r="AA127" i="1"/>
  <c r="W127" i="1" s="1"/>
  <c r="AA123" i="1"/>
  <c r="X70" i="1"/>
  <c r="AI51" i="1"/>
  <c r="AA214" i="1"/>
  <c r="AA188" i="1"/>
  <c r="AA177" i="1"/>
  <c r="W177" i="1" s="1"/>
  <c r="X233" i="1"/>
  <c r="AG232" i="1"/>
  <c r="AA152" i="1"/>
  <c r="AG148" i="1"/>
  <c r="AI148" i="1" s="1"/>
  <c r="X112" i="1"/>
  <c r="AA193" i="1"/>
  <c r="AA168" i="1"/>
  <c r="AG33" i="1"/>
  <c r="AI33" i="1" s="1"/>
  <c r="X33" i="1"/>
  <c r="AG25" i="1"/>
  <c r="X25" i="1"/>
  <c r="R22" i="3"/>
  <c r="X202" i="1"/>
  <c r="AG194" i="1"/>
  <c r="AA191" i="1"/>
  <c r="AA185" i="1"/>
  <c r="W185" i="1" s="1"/>
  <c r="X182" i="1"/>
  <c r="T174" i="1"/>
  <c r="X164" i="1"/>
  <c r="AG221" i="1"/>
  <c r="U221" i="1" s="1"/>
  <c r="S221" i="1" s="1"/>
  <c r="X160" i="1"/>
  <c r="AI151" i="1"/>
  <c r="X87" i="1"/>
  <c r="AA79" i="1"/>
  <c r="X75" i="1"/>
  <c r="AA69" i="1"/>
  <c r="AI66" i="1"/>
  <c r="AG65" i="1"/>
  <c r="U65" i="1" s="1"/>
  <c r="S65" i="1" s="1"/>
  <c r="X60" i="1"/>
  <c r="AG45" i="1"/>
  <c r="AA184" i="1"/>
  <c r="AA203" i="1"/>
  <c r="AA183" i="1"/>
  <c r="W183" i="1" s="1"/>
  <c r="AA167" i="1"/>
  <c r="AA239" i="1"/>
  <c r="W239" i="1" s="1"/>
  <c r="AA237" i="1"/>
  <c r="AA220" i="1"/>
  <c r="W220" i="1" s="1"/>
  <c r="AA216" i="1"/>
  <c r="W216" i="1" s="1"/>
  <c r="AA149" i="1"/>
  <c r="W149" i="1" s="1"/>
  <c r="AA143" i="1"/>
  <c r="W143" i="1" s="1"/>
  <c r="AA137" i="1"/>
  <c r="AA111" i="1"/>
  <c r="W111" i="1" s="1"/>
  <c r="AI90" i="1"/>
  <c r="AA86" i="1"/>
  <c r="W86" i="1" s="1"/>
  <c r="AA59" i="1"/>
  <c r="W59" i="1" s="1"/>
  <c r="AA39" i="1"/>
  <c r="AA21" i="1"/>
  <c r="X17" i="1"/>
  <c r="AA197" i="1"/>
  <c r="W197" i="1" s="1"/>
  <c r="AG178" i="1"/>
  <c r="U178" i="1" s="1"/>
  <c r="S178" i="1" s="1"/>
  <c r="X178" i="1"/>
  <c r="X153" i="1"/>
  <c r="AG152" i="1"/>
  <c r="AI152" i="1" s="1"/>
  <c r="AA125" i="1"/>
  <c r="T123" i="1"/>
  <c r="U123" i="1" s="1"/>
  <c r="S123" i="1" s="1"/>
  <c r="AA122" i="1"/>
  <c r="W122" i="1" s="1"/>
  <c r="AA121" i="1"/>
  <c r="AI118" i="1"/>
  <c r="AA101" i="1"/>
  <c r="AA91" i="1"/>
  <c r="AA90" i="1"/>
  <c r="W90" i="1" s="1"/>
  <c r="AG83" i="1"/>
  <c r="AI83" i="1" s="1"/>
  <c r="AA78" i="1"/>
  <c r="W78" i="1" s="1"/>
  <c r="AA74" i="1"/>
  <c r="AG56" i="1"/>
  <c r="AG49" i="1"/>
  <c r="AI49" i="1" s="1"/>
  <c r="AA20" i="1"/>
  <c r="W20" i="1" s="1"/>
  <c r="AA18" i="1"/>
  <c r="AA16" i="1"/>
  <c r="X217" i="1"/>
  <c r="AA224" i="1"/>
  <c r="T202" i="1"/>
  <c r="AA189" i="1"/>
  <c r="AA228" i="1"/>
  <c r="AA225" i="1"/>
  <c r="W225" i="1" s="1"/>
  <c r="X210" i="1"/>
  <c r="AA204" i="1"/>
  <c r="AA195" i="1"/>
  <c r="AG182" i="1"/>
  <c r="U182" i="1" s="1"/>
  <c r="S182" i="1" s="1"/>
  <c r="AA180" i="1"/>
  <c r="AA241" i="1"/>
  <c r="X165" i="1"/>
  <c r="AA223" i="1"/>
  <c r="W223" i="1" s="1"/>
  <c r="X218" i="1"/>
  <c r="X161" i="1"/>
  <c r="AG160" i="1"/>
  <c r="U160" i="1" s="1"/>
  <c r="S160" i="1" s="1"/>
  <c r="AI150" i="1"/>
  <c r="AA150" i="1"/>
  <c r="W150" i="1" s="1"/>
  <c r="AG149" i="1"/>
  <c r="X149" i="1"/>
  <c r="AI143" i="1"/>
  <c r="X140" i="1"/>
  <c r="AA140" i="1"/>
  <c r="AA130" i="1"/>
  <c r="W102" i="1"/>
  <c r="T60" i="1"/>
  <c r="X216" i="1"/>
  <c r="AA211" i="1"/>
  <c r="AA207" i="1"/>
  <c r="AG156" i="1"/>
  <c r="U156" i="1" s="1"/>
  <c r="S156" i="1" s="1"/>
  <c r="AA151" i="1"/>
  <c r="AG136" i="1"/>
  <c r="U136" i="1" s="1"/>
  <c r="S136" i="1" s="1"/>
  <c r="AA135" i="1"/>
  <c r="AA131" i="1"/>
  <c r="AA126" i="1"/>
  <c r="W126" i="1" s="1"/>
  <c r="X122" i="1"/>
  <c r="AA110" i="1"/>
  <c r="W110" i="1" s="1"/>
  <c r="AA105" i="1"/>
  <c r="AA95" i="1"/>
  <c r="AA81" i="1"/>
  <c r="AA77" i="1"/>
  <c r="X41" i="1"/>
  <c r="X40" i="1"/>
  <c r="AA27" i="1"/>
  <c r="AA19" i="1"/>
  <c r="AA15" i="1"/>
  <c r="AG214" i="1"/>
  <c r="X214" i="1"/>
  <c r="AD44" i="3"/>
  <c r="Y17" i="3"/>
  <c r="AE12" i="3"/>
  <c r="Y10" i="3"/>
  <c r="Y41" i="3"/>
  <c r="AD18" i="3"/>
  <c r="Y52" i="3"/>
  <c r="AE56" i="3"/>
  <c r="AE44" i="3"/>
  <c r="AD40" i="3"/>
  <c r="AD38" i="3"/>
  <c r="Y7" i="3"/>
  <c r="Y33" i="3"/>
  <c r="S25" i="3"/>
  <c r="Y12" i="3"/>
  <c r="S45" i="3"/>
  <c r="W189" i="1"/>
  <c r="AA213" i="1"/>
  <c r="AA163" i="1"/>
  <c r="W163" i="1" s="1"/>
  <c r="AA162" i="1"/>
  <c r="T143" i="1"/>
  <c r="U143" i="1" s="1"/>
  <c r="S143" i="1" s="1"/>
  <c r="AG141" i="1"/>
  <c r="X141" i="1"/>
  <c r="AA133" i="1"/>
  <c r="AA117" i="1"/>
  <c r="W117" i="1" s="1"/>
  <c r="AA113" i="1"/>
  <c r="AA109" i="1"/>
  <c r="AG107" i="1"/>
  <c r="AA106" i="1"/>
  <c r="W106" i="1" s="1"/>
  <c r="AA99" i="1"/>
  <c r="X96" i="1"/>
  <c r="AG95" i="1"/>
  <c r="AI95" i="1" s="1"/>
  <c r="X95" i="1"/>
  <c r="AA92" i="1"/>
  <c r="X91" i="1"/>
  <c r="X90" i="1"/>
  <c r="AA87" i="1"/>
  <c r="AA85" i="1"/>
  <c r="AA82" i="1"/>
  <c r="AA75" i="1"/>
  <c r="AA73" i="1"/>
  <c r="X68" i="1"/>
  <c r="X67" i="1"/>
  <c r="X63" i="1"/>
  <c r="W205" i="1"/>
  <c r="AG230" i="1"/>
  <c r="U230" i="1" s="1"/>
  <c r="X230" i="1"/>
  <c r="AG206" i="1"/>
  <c r="AI231" i="1" s="1"/>
  <c r="X206" i="1"/>
  <c r="AG198" i="1"/>
  <c r="X198" i="1"/>
  <c r="AG190" i="1"/>
  <c r="AI190" i="1" s="1"/>
  <c r="X190" i="1"/>
  <c r="AA181" i="1"/>
  <c r="W181" i="1" s="1"/>
  <c r="AG240" i="1"/>
  <c r="X240" i="1"/>
  <c r="AA231" i="1"/>
  <c r="W231" i="1" s="1"/>
  <c r="W151" i="1"/>
  <c r="AA58" i="1"/>
  <c r="X52" i="1"/>
  <c r="AA40" i="1"/>
  <c r="W40" i="1" s="1"/>
  <c r="AI39" i="1"/>
  <c r="AG38" i="1"/>
  <c r="AA37" i="1"/>
  <c r="W37" i="1" s="1"/>
  <c r="AA32" i="1"/>
  <c r="W32" i="1" s="1"/>
  <c r="AA29" i="1"/>
  <c r="AA26" i="1"/>
  <c r="AA23" i="1"/>
  <c r="AG21" i="1"/>
  <c r="U21" i="1" s="1"/>
  <c r="S21" i="1" s="1"/>
  <c r="X21" i="1"/>
  <c r="T17" i="1"/>
  <c r="X226" i="1"/>
  <c r="AA226" i="1"/>
  <c r="AA208" i="1"/>
  <c r="AA200" i="1"/>
  <c r="AA192" i="1"/>
  <c r="AA187" i="1"/>
  <c r="AI183" i="1"/>
  <c r="AA243" i="1"/>
  <c r="W243" i="1" s="1"/>
  <c r="AA171" i="1"/>
  <c r="AA169" i="1"/>
  <c r="W169" i="1" s="1"/>
  <c r="AA166" i="1"/>
  <c r="AA164" i="1"/>
  <c r="X239" i="1"/>
  <c r="AA219" i="1"/>
  <c r="AA217" i="1"/>
  <c r="W217" i="1" s="1"/>
  <c r="AA215" i="1"/>
  <c r="AA212" i="1"/>
  <c r="W212" i="1" s="1"/>
  <c r="X163" i="1"/>
  <c r="AA159" i="1"/>
  <c r="W159" i="1" s="1"/>
  <c r="AA158" i="1"/>
  <c r="W158" i="1" s="1"/>
  <c r="AA155" i="1"/>
  <c r="W155" i="1" s="1"/>
  <c r="X152" i="1"/>
  <c r="X144" i="1"/>
  <c r="AA144" i="1"/>
  <c r="AA141" i="1"/>
  <c r="AA129" i="1"/>
  <c r="X128" i="1"/>
  <c r="AI126" i="1"/>
  <c r="AA118" i="1"/>
  <c r="W118" i="1" s="1"/>
  <c r="T115" i="1"/>
  <c r="U115" i="1" s="1"/>
  <c r="S115" i="1" s="1"/>
  <c r="X111" i="1"/>
  <c r="AA108" i="1"/>
  <c r="AA107" i="1"/>
  <c r="W107" i="1" s="1"/>
  <c r="T103" i="1"/>
  <c r="U103" i="1" s="1"/>
  <c r="S103" i="1" s="1"/>
  <c r="AG100" i="1"/>
  <c r="X100" i="1"/>
  <c r="AA94" i="1"/>
  <c r="W94" i="1" s="1"/>
  <c r="AA93" i="1"/>
  <c r="AG92" i="1"/>
  <c r="AA84" i="1"/>
  <c r="U83" i="1"/>
  <c r="S83" i="1" s="1"/>
  <c r="X82" i="1"/>
  <c r="AG79" i="1"/>
  <c r="X79" i="1"/>
  <c r="AA72" i="1"/>
  <c r="AA66" i="1"/>
  <c r="W66" i="1" s="1"/>
  <c r="AG60" i="1"/>
  <c r="AI59" i="1"/>
  <c r="X53" i="1"/>
  <c r="U45" i="1"/>
  <c r="S45" i="1" s="1"/>
  <c r="AA41" i="1"/>
  <c r="AG210" i="1"/>
  <c r="AI210" i="1" s="1"/>
  <c r="AG202" i="1"/>
  <c r="AI202" i="1" s="1"/>
  <c r="AA179" i="1"/>
  <c r="X174" i="1"/>
  <c r="AA238" i="1"/>
  <c r="AA236" i="1"/>
  <c r="X127" i="1"/>
  <c r="AI111" i="1"/>
  <c r="X110" i="1"/>
  <c r="X83" i="1"/>
  <c r="W67" i="1"/>
  <c r="AA64" i="1"/>
  <c r="W64" i="1" s="1"/>
  <c r="AA54" i="1"/>
  <c r="AA52" i="1"/>
  <c r="AA51" i="1"/>
  <c r="W51" i="1" s="1"/>
  <c r="U49" i="1"/>
  <c r="S49" i="1" s="1"/>
  <c r="AA44" i="1"/>
  <c r="AA35" i="1"/>
  <c r="AA31" i="1"/>
  <c r="AA28" i="1"/>
  <c r="W28" i="1" s="1"/>
  <c r="AG17" i="1"/>
  <c r="T229" i="1"/>
  <c r="T164" i="1"/>
  <c r="T216" i="1"/>
  <c r="U216" i="1" s="1"/>
  <c r="S216" i="1" s="1"/>
  <c r="AG135" i="1"/>
  <c r="X135" i="1"/>
  <c r="AG131" i="1"/>
  <c r="AI131" i="1" s="1"/>
  <c r="X131" i="1"/>
  <c r="AI64" i="1"/>
  <c r="W39" i="1"/>
  <c r="AI223" i="1"/>
  <c r="AA227" i="1"/>
  <c r="X225" i="1"/>
  <c r="AA210" i="1"/>
  <c r="T209" i="1"/>
  <c r="U209" i="1" s="1"/>
  <c r="S209" i="1" s="1"/>
  <c r="X205" i="1"/>
  <c r="AA202" i="1"/>
  <c r="T201" i="1"/>
  <c r="U201" i="1" s="1"/>
  <c r="S201" i="1" s="1"/>
  <c r="X197" i="1"/>
  <c r="AA194" i="1"/>
  <c r="W194" i="1" s="1"/>
  <c r="T193" i="1"/>
  <c r="U193" i="1" s="1"/>
  <c r="S193" i="1" s="1"/>
  <c r="X189" i="1"/>
  <c r="AA186" i="1"/>
  <c r="W186" i="1" s="1"/>
  <c r="T185" i="1"/>
  <c r="X181" i="1"/>
  <c r="AA178" i="1"/>
  <c r="W178" i="1" s="1"/>
  <c r="T177" i="1"/>
  <c r="U177" i="1" s="1"/>
  <c r="S177" i="1" s="1"/>
  <c r="X243" i="1"/>
  <c r="AA240" i="1"/>
  <c r="W240" i="1" s="1"/>
  <c r="T173" i="1"/>
  <c r="U173" i="1" s="1"/>
  <c r="S173" i="1" s="1"/>
  <c r="X169" i="1"/>
  <c r="AG164" i="1"/>
  <c r="AG236" i="1"/>
  <c r="U236" i="1" s="1"/>
  <c r="S236" i="1" s="1"/>
  <c r="AA234" i="1"/>
  <c r="AA232" i="1"/>
  <c r="W232" i="1" s="1"/>
  <c r="AA222" i="1"/>
  <c r="AA218" i="1"/>
  <c r="X213" i="1"/>
  <c r="T212" i="1"/>
  <c r="U212" i="1" s="1"/>
  <c r="S212" i="1" s="1"/>
  <c r="AA160" i="1"/>
  <c r="T159" i="1"/>
  <c r="AG157" i="1"/>
  <c r="AI157" i="1" s="1"/>
  <c r="X157" i="1"/>
  <c r="AA156" i="1"/>
  <c r="AI155" i="1"/>
  <c r="T151" i="1"/>
  <c r="U151" i="1" s="1"/>
  <c r="S151" i="1" s="1"/>
  <c r="U149" i="1"/>
  <c r="S149" i="1" s="1"/>
  <c r="X147" i="1"/>
  <c r="T144" i="1"/>
  <c r="AA142" i="1"/>
  <c r="W142" i="1" s="1"/>
  <c r="T140" i="1"/>
  <c r="X139" i="1"/>
  <c r="X136" i="1"/>
  <c r="X132" i="1"/>
  <c r="AG132" i="1"/>
  <c r="AI132" i="1" s="1"/>
  <c r="AA132" i="1"/>
  <c r="T226" i="1"/>
  <c r="T239" i="1"/>
  <c r="T217" i="1"/>
  <c r="U217" i="1" s="1"/>
  <c r="S217" i="1" s="1"/>
  <c r="AI123" i="1"/>
  <c r="AI37" i="1"/>
  <c r="X229" i="1"/>
  <c r="AA230" i="1"/>
  <c r="W230" i="1" s="1"/>
  <c r="AG226" i="1"/>
  <c r="T225" i="1"/>
  <c r="X209" i="1"/>
  <c r="AA206" i="1"/>
  <c r="W206" i="1" s="1"/>
  <c r="T205" i="1"/>
  <c r="U205" i="1" s="1"/>
  <c r="X201" i="1"/>
  <c r="AA198" i="1"/>
  <c r="W198" i="1" s="1"/>
  <c r="T197" i="1"/>
  <c r="U197" i="1" s="1"/>
  <c r="S197" i="1" s="1"/>
  <c r="X193" i="1"/>
  <c r="AA190" i="1"/>
  <c r="T189" i="1"/>
  <c r="U189" i="1" s="1"/>
  <c r="S189" i="1" s="1"/>
  <c r="X185" i="1"/>
  <c r="AA182" i="1"/>
  <c r="T181" i="1"/>
  <c r="X177" i="1"/>
  <c r="AA174" i="1"/>
  <c r="W174" i="1" s="1"/>
  <c r="T243" i="1"/>
  <c r="X173" i="1"/>
  <c r="AA170" i="1"/>
  <c r="W170" i="1" s="1"/>
  <c r="T169" i="1"/>
  <c r="U169" i="1" s="1"/>
  <c r="S169" i="1" s="1"/>
  <c r="AA165" i="1"/>
  <c r="X237" i="1"/>
  <c r="X235" i="1"/>
  <c r="AG222" i="1"/>
  <c r="U222" i="1" s="1"/>
  <c r="S222" i="1" s="1"/>
  <c r="X222" i="1"/>
  <c r="AA221" i="1"/>
  <c r="AI163" i="1"/>
  <c r="AA157" i="1"/>
  <c r="AA154" i="1"/>
  <c r="X151" i="1"/>
  <c r="AA147" i="1"/>
  <c r="W147" i="1" s="1"/>
  <c r="AA146" i="1"/>
  <c r="X145" i="1"/>
  <c r="AG144" i="1"/>
  <c r="W144" i="1" s="1"/>
  <c r="AG140" i="1"/>
  <c r="W140" i="1" s="1"/>
  <c r="T139" i="1"/>
  <c r="U139" i="1" s="1"/>
  <c r="S139" i="1" s="1"/>
  <c r="T131" i="1"/>
  <c r="T126" i="1"/>
  <c r="AA124" i="1"/>
  <c r="AA116" i="1"/>
  <c r="AA114" i="1"/>
  <c r="T111" i="1"/>
  <c r="W101" i="1"/>
  <c r="X92" i="1"/>
  <c r="AA88" i="1"/>
  <c r="T87" i="1"/>
  <c r="W79" i="1"/>
  <c r="T78" i="1"/>
  <c r="AA76" i="1"/>
  <c r="T75" i="1"/>
  <c r="X69" i="1"/>
  <c r="X65" i="1"/>
  <c r="AA57" i="1"/>
  <c r="AA55" i="1"/>
  <c r="AG52" i="1"/>
  <c r="AI52" i="1" s="1"/>
  <c r="T51" i="1"/>
  <c r="AA46" i="1"/>
  <c r="AA43" i="1"/>
  <c r="X38" i="1"/>
  <c r="AA33" i="1"/>
  <c r="AG29" i="1"/>
  <c r="U29" i="1" s="1"/>
  <c r="X29" i="1"/>
  <c r="T28" i="1"/>
  <c r="U28" i="1" s="1"/>
  <c r="S28" i="1" s="1"/>
  <c r="X24" i="1"/>
  <c r="X16" i="1"/>
  <c r="W123" i="1"/>
  <c r="U107" i="1"/>
  <c r="S107" i="1" s="1"/>
  <c r="T94" i="1"/>
  <c r="T91" i="1"/>
  <c r="T86" i="1"/>
  <c r="T74" i="1"/>
  <c r="U74" i="1" s="1"/>
  <c r="S74" i="1" s="1"/>
  <c r="T68" i="1"/>
  <c r="T64" i="1"/>
  <c r="U64" i="1" s="1"/>
  <c r="S64" i="1" s="1"/>
  <c r="W58" i="1"/>
  <c r="T41" i="1"/>
  <c r="T37" i="1"/>
  <c r="U37" i="1" s="1"/>
  <c r="S37" i="1" s="1"/>
  <c r="T32" i="1"/>
  <c r="T20" i="1"/>
  <c r="AA14" i="1"/>
  <c r="AA128" i="1"/>
  <c r="T127" i="1"/>
  <c r="X126" i="1"/>
  <c r="AG116" i="1"/>
  <c r="AI116" i="1" s="1"/>
  <c r="X116" i="1"/>
  <c r="AA115" i="1"/>
  <c r="W115" i="1" s="1"/>
  <c r="T110" i="1"/>
  <c r="AI106" i="1"/>
  <c r="AA103" i="1"/>
  <c r="W103" i="1" s="1"/>
  <c r="AG99" i="1"/>
  <c r="W99" i="1" s="1"/>
  <c r="W92" i="1"/>
  <c r="AG91" i="1"/>
  <c r="W91" i="1" s="1"/>
  <c r="AG87" i="1"/>
  <c r="AA83" i="1"/>
  <c r="X78" i="1"/>
  <c r="AG75" i="1"/>
  <c r="AI75" i="1" s="1"/>
  <c r="AA71" i="1"/>
  <c r="W71" i="1" s="1"/>
  <c r="T70" i="1"/>
  <c r="AG68" i="1"/>
  <c r="W68" i="1" s="1"/>
  <c r="AA65" i="1"/>
  <c r="W65" i="1" s="1"/>
  <c r="AA63" i="1"/>
  <c r="W63" i="1" s="1"/>
  <c r="AA62" i="1"/>
  <c r="AA60" i="1"/>
  <c r="W60" i="1" s="1"/>
  <c r="T59" i="1"/>
  <c r="U59" i="1" s="1"/>
  <c r="S59" i="1" s="1"/>
  <c r="AG57" i="1"/>
  <c r="X57" i="1"/>
  <c r="AA56" i="1"/>
  <c r="AA49" i="1"/>
  <c r="W49" i="1" s="1"/>
  <c r="AA47" i="1"/>
  <c r="W47" i="1" s="1"/>
  <c r="AG46" i="1"/>
  <c r="X46" i="1"/>
  <c r="AA45" i="1"/>
  <c r="W45" i="1" s="1"/>
  <c r="AG41" i="1"/>
  <c r="W41" i="1" s="1"/>
  <c r="AA38" i="1"/>
  <c r="W38" i="1" s="1"/>
  <c r="AA36" i="1"/>
  <c r="W36" i="1" s="1"/>
  <c r="AA30" i="1"/>
  <c r="X28" i="1"/>
  <c r="AA25" i="1"/>
  <c r="T24" i="1"/>
  <c r="AA17" i="1"/>
  <c r="W17" i="1" s="1"/>
  <c r="T16" i="1"/>
  <c r="AA136" i="1"/>
  <c r="AG128" i="1"/>
  <c r="AI122" i="1"/>
  <c r="AA119" i="1"/>
  <c r="AA112" i="1"/>
  <c r="X108" i="1"/>
  <c r="AI107" i="1"/>
  <c r="X106" i="1"/>
  <c r="AA100" i="1"/>
  <c r="AA98" i="1"/>
  <c r="X94" i="1"/>
  <c r="T90" i="1"/>
  <c r="U90" i="1" s="1"/>
  <c r="S90" i="1" s="1"/>
  <c r="X86" i="1"/>
  <c r="T82" i="1"/>
  <c r="AA80" i="1"/>
  <c r="X74" i="1"/>
  <c r="T67" i="1"/>
  <c r="AI45" i="1"/>
  <c r="T40" i="1"/>
  <c r="U40" i="1" s="1"/>
  <c r="S40" i="1" s="1"/>
  <c r="X32" i="1"/>
  <c r="AA22" i="1"/>
  <c r="X20" i="1"/>
  <c r="U17" i="1"/>
  <c r="S17" i="1" s="1"/>
  <c r="U229" i="1"/>
  <c r="S229" i="1" s="1"/>
  <c r="AG227" i="1"/>
  <c r="AI227" i="1" s="1"/>
  <c r="T227" i="1"/>
  <c r="X227" i="1"/>
  <c r="U185" i="1"/>
  <c r="S185" i="1" s="1"/>
  <c r="AI209" i="1"/>
  <c r="AI201" i="1"/>
  <c r="AI193" i="1"/>
  <c r="AI239" i="1"/>
  <c r="U225" i="1"/>
  <c r="S225" i="1" s="1"/>
  <c r="W229" i="1"/>
  <c r="AI230" i="1"/>
  <c r="U181" i="1"/>
  <c r="S181" i="1" s="1"/>
  <c r="AI205" i="1"/>
  <c r="U243" i="1"/>
  <c r="S243" i="1" s="1"/>
  <c r="AI197" i="1"/>
  <c r="AI189" i="1"/>
  <c r="AI243" i="1"/>
  <c r="S230" i="1"/>
  <c r="W193" i="1"/>
  <c r="W241" i="1"/>
  <c r="U190" i="1"/>
  <c r="S190" i="1" s="1"/>
  <c r="U174" i="1"/>
  <c r="S174" i="1" s="1"/>
  <c r="U240" i="1"/>
  <c r="S240" i="1" s="1"/>
  <c r="T234" i="1"/>
  <c r="X234" i="1"/>
  <c r="T233" i="1"/>
  <c r="AI173" i="1"/>
  <c r="T162" i="1"/>
  <c r="X162" i="1"/>
  <c r="T161" i="1"/>
  <c r="T146" i="1"/>
  <c r="X146" i="1"/>
  <c r="T145" i="1"/>
  <c r="AI141" i="1"/>
  <c r="T129" i="1"/>
  <c r="X129" i="1"/>
  <c r="AG129" i="1"/>
  <c r="AI100" i="1"/>
  <c r="U100" i="1"/>
  <c r="S100" i="1" s="1"/>
  <c r="AG48" i="1"/>
  <c r="X48" i="1"/>
  <c r="X49" i="1"/>
  <c r="T48" i="1"/>
  <c r="U210" i="1"/>
  <c r="S210" i="1" s="1"/>
  <c r="U198" i="1"/>
  <c r="AG207" i="1"/>
  <c r="AG195" i="1"/>
  <c r="W195" i="1" s="1"/>
  <c r="AG179" i="1"/>
  <c r="AI179" i="1" s="1"/>
  <c r="AG171" i="1"/>
  <c r="AI171" i="1" s="1"/>
  <c r="T238" i="1"/>
  <c r="X238" i="1"/>
  <c r="T237" i="1"/>
  <c r="AG234" i="1"/>
  <c r="AG233" i="1"/>
  <c r="U232" i="1"/>
  <c r="S232" i="1" s="1"/>
  <c r="X221" i="1"/>
  <c r="T220" i="1"/>
  <c r="U220" i="1" s="1"/>
  <c r="S220" i="1" s="1"/>
  <c r="T215" i="1"/>
  <c r="T213" i="1"/>
  <c r="AG162" i="1"/>
  <c r="AG161" i="1"/>
  <c r="U159" i="1"/>
  <c r="S159" i="1" s="1"/>
  <c r="X156" i="1"/>
  <c r="T155" i="1"/>
  <c r="U155" i="1" s="1"/>
  <c r="S155" i="1" s="1"/>
  <c r="AA153" i="1"/>
  <c r="T150" i="1"/>
  <c r="U150" i="1" s="1"/>
  <c r="S150" i="1" s="1"/>
  <c r="X150" i="1"/>
  <c r="AG146" i="1"/>
  <c r="AG145" i="1"/>
  <c r="U144" i="1"/>
  <c r="S144" i="1" s="1"/>
  <c r="AI128" i="1"/>
  <c r="U127" i="1"/>
  <c r="S127" i="1" s="1"/>
  <c r="AI127" i="1"/>
  <c r="AI115" i="1"/>
  <c r="AG114" i="1"/>
  <c r="W114" i="1" s="1"/>
  <c r="X114" i="1"/>
  <c r="T114" i="1"/>
  <c r="X115" i="1"/>
  <c r="AI99" i="1"/>
  <c r="AG98" i="1"/>
  <c r="X98" i="1"/>
  <c r="T98" i="1"/>
  <c r="X99" i="1"/>
  <c r="U92" i="1"/>
  <c r="U38" i="1"/>
  <c r="U206" i="1"/>
  <c r="S206" i="1" s="1"/>
  <c r="U194" i="1"/>
  <c r="S194" i="1" s="1"/>
  <c r="AG211" i="1"/>
  <c r="AG199" i="1"/>
  <c r="AG187" i="1"/>
  <c r="AG175" i="1"/>
  <c r="AG224" i="1"/>
  <c r="X211" i="1"/>
  <c r="AI235" i="1"/>
  <c r="AG208" i="1"/>
  <c r="S198" i="1"/>
  <c r="X195" i="1"/>
  <c r="AG192" i="1"/>
  <c r="X183" i="1"/>
  <c r="T183" i="1"/>
  <c r="U183" i="1" s="1"/>
  <c r="S183" i="1" s="1"/>
  <c r="AG180" i="1"/>
  <c r="AI180" i="1" s="1"/>
  <c r="X175" i="1"/>
  <c r="AI198" i="1"/>
  <c r="X241" i="1"/>
  <c r="T241" i="1"/>
  <c r="U241" i="1" s="1"/>
  <c r="S241" i="1" s="1"/>
  <c r="AI194" i="1"/>
  <c r="AG172" i="1"/>
  <c r="X171" i="1"/>
  <c r="AG168" i="1"/>
  <c r="AI168" i="1" s="1"/>
  <c r="X167" i="1"/>
  <c r="T166" i="1"/>
  <c r="X166" i="1"/>
  <c r="T165" i="1"/>
  <c r="AG238" i="1"/>
  <c r="W238" i="1" s="1"/>
  <c r="AG237" i="1"/>
  <c r="W237" i="1" s="1"/>
  <c r="X232" i="1"/>
  <c r="T231" i="1"/>
  <c r="U231" i="1" s="1"/>
  <c r="S231" i="1" s="1"/>
  <c r="AI174" i="1"/>
  <c r="AI172" i="1"/>
  <c r="X220" i="1"/>
  <c r="T219" i="1"/>
  <c r="X219" i="1"/>
  <c r="T218" i="1"/>
  <c r="AG215" i="1"/>
  <c r="AI215" i="1" s="1"/>
  <c r="AG213" i="1"/>
  <c r="AI213" i="1" s="1"/>
  <c r="AI158" i="1"/>
  <c r="AI156" i="1"/>
  <c r="X155" i="1"/>
  <c r="T154" i="1"/>
  <c r="X154" i="1"/>
  <c r="T153" i="1"/>
  <c r="AI149" i="1"/>
  <c r="AI142" i="1"/>
  <c r="U141" i="1"/>
  <c r="S141" i="1" s="1"/>
  <c r="AI140" i="1"/>
  <c r="T137" i="1"/>
  <c r="X137" i="1"/>
  <c r="AG137" i="1"/>
  <c r="U132" i="1"/>
  <c r="S132" i="1" s="1"/>
  <c r="U111" i="1"/>
  <c r="S111" i="1" s="1"/>
  <c r="U99" i="1"/>
  <c r="S99" i="1" s="1"/>
  <c r="U95" i="1"/>
  <c r="AI74" i="1"/>
  <c r="U186" i="1"/>
  <c r="S186" i="1" s="1"/>
  <c r="AG203" i="1"/>
  <c r="W203" i="1" s="1"/>
  <c r="AG191" i="1"/>
  <c r="AG167" i="1"/>
  <c r="AI167" i="1" s="1"/>
  <c r="AG228" i="1"/>
  <c r="X207" i="1"/>
  <c r="AG204" i="1"/>
  <c r="X203" i="1"/>
  <c r="AG200" i="1"/>
  <c r="X199" i="1"/>
  <c r="AG196" i="1"/>
  <c r="W196" i="1" s="1"/>
  <c r="X191" i="1"/>
  <c r="AG188" i="1"/>
  <c r="X187" i="1"/>
  <c r="AG184" i="1"/>
  <c r="X179" i="1"/>
  <c r="AG176" i="1"/>
  <c r="AI176" i="1" s="1"/>
  <c r="AG242" i="1"/>
  <c r="W242" i="1" s="1"/>
  <c r="R56" i="3"/>
  <c r="X228" i="1"/>
  <c r="X224" i="1"/>
  <c r="X208" i="1"/>
  <c r="X204" i="1"/>
  <c r="X200" i="1"/>
  <c r="X196" i="1"/>
  <c r="X192" i="1"/>
  <c r="X188" i="1"/>
  <c r="X184" i="1"/>
  <c r="X180" i="1"/>
  <c r="X176" i="1"/>
  <c r="X242" i="1"/>
  <c r="X172" i="1"/>
  <c r="X168" i="1"/>
  <c r="AG166" i="1"/>
  <c r="AG165" i="1"/>
  <c r="U239" i="1"/>
  <c r="S239" i="1" s="1"/>
  <c r="X236" i="1"/>
  <c r="T235" i="1"/>
  <c r="U235" i="1" s="1"/>
  <c r="S235" i="1" s="1"/>
  <c r="AA233" i="1"/>
  <c r="W233" i="1" s="1"/>
  <c r="X231" i="1"/>
  <c r="T223" i="1"/>
  <c r="U223" i="1" s="1"/>
  <c r="S223" i="1" s="1"/>
  <c r="X223" i="1"/>
  <c r="AG219" i="1"/>
  <c r="AI219" i="1" s="1"/>
  <c r="AG218" i="1"/>
  <c r="W218" i="1" s="1"/>
  <c r="X212" i="1"/>
  <c r="T163" i="1"/>
  <c r="U163" i="1" s="1"/>
  <c r="S163" i="1" s="1"/>
  <c r="AA161" i="1"/>
  <c r="W161" i="1" s="1"/>
  <c r="X159" i="1"/>
  <c r="T158" i="1"/>
  <c r="U158" i="1" s="1"/>
  <c r="S158" i="1" s="1"/>
  <c r="X158" i="1"/>
  <c r="AG154" i="1"/>
  <c r="AG153" i="1"/>
  <c r="X148" i="1"/>
  <c r="T147" i="1"/>
  <c r="U147" i="1" s="1"/>
  <c r="S147" i="1" s="1"/>
  <c r="AA145" i="1"/>
  <c r="W145" i="1" s="1"/>
  <c r="AI144" i="1"/>
  <c r="X143" i="1"/>
  <c r="T142" i="1"/>
  <c r="U142" i="1" s="1"/>
  <c r="S142" i="1" s="1"/>
  <c r="X142" i="1"/>
  <c r="U135" i="1"/>
  <c r="S135" i="1" s="1"/>
  <c r="AI135" i="1"/>
  <c r="T133" i="1"/>
  <c r="X133" i="1"/>
  <c r="AG133" i="1"/>
  <c r="W131" i="1"/>
  <c r="U128" i="1"/>
  <c r="S128" i="1" s="1"/>
  <c r="T121" i="1"/>
  <c r="X121" i="1"/>
  <c r="AG121" i="1"/>
  <c r="X120" i="1"/>
  <c r="AG120" i="1"/>
  <c r="AI117" i="1"/>
  <c r="T105" i="1"/>
  <c r="X105" i="1"/>
  <c r="AG105" i="1"/>
  <c r="X104" i="1"/>
  <c r="AG104" i="1"/>
  <c r="AI101" i="1"/>
  <c r="T88" i="1"/>
  <c r="X88" i="1"/>
  <c r="AG88" i="1"/>
  <c r="W88" i="1" s="1"/>
  <c r="T72" i="1"/>
  <c r="X72" i="1"/>
  <c r="AG72" i="1"/>
  <c r="AI57" i="1"/>
  <c r="U57" i="1"/>
  <c r="S57" i="1" s="1"/>
  <c r="T125" i="1"/>
  <c r="X125" i="1"/>
  <c r="T124" i="1"/>
  <c r="T109" i="1"/>
  <c r="X109" i="1"/>
  <c r="T108" i="1"/>
  <c r="T93" i="1"/>
  <c r="X93" i="1"/>
  <c r="AI87" i="1"/>
  <c r="U86" i="1"/>
  <c r="S86" i="1" s="1"/>
  <c r="AI86" i="1"/>
  <c r="T84" i="1"/>
  <c r="X84" i="1"/>
  <c r="AG84" i="1"/>
  <c r="W83" i="1"/>
  <c r="W82" i="1"/>
  <c r="U79" i="1"/>
  <c r="S79" i="1" s="1"/>
  <c r="AI71" i="1"/>
  <c r="U70" i="1"/>
  <c r="AI70" i="1"/>
  <c r="AI56" i="1"/>
  <c r="AG55" i="1"/>
  <c r="W55" i="1" s="1"/>
  <c r="X55" i="1"/>
  <c r="T55" i="1"/>
  <c r="X56" i="1"/>
  <c r="X34" i="1"/>
  <c r="AG34" i="1"/>
  <c r="T34" i="1"/>
  <c r="AG138" i="1"/>
  <c r="AG134" i="1"/>
  <c r="AG130" i="1"/>
  <c r="AG125" i="1"/>
  <c r="AG124" i="1"/>
  <c r="X119" i="1"/>
  <c r="T118" i="1"/>
  <c r="U118" i="1" s="1"/>
  <c r="S118" i="1" s="1"/>
  <c r="T113" i="1"/>
  <c r="X113" i="1"/>
  <c r="T112" i="1"/>
  <c r="AG109" i="1"/>
  <c r="W109" i="1" s="1"/>
  <c r="AG108" i="1"/>
  <c r="X103" i="1"/>
  <c r="T102" i="1"/>
  <c r="U102" i="1" s="1"/>
  <c r="S102" i="1" s="1"/>
  <c r="W100" i="1"/>
  <c r="T97" i="1"/>
  <c r="X97" i="1"/>
  <c r="T96" i="1"/>
  <c r="AG93" i="1"/>
  <c r="S92" i="1"/>
  <c r="AI92" i="1"/>
  <c r="U82" i="1"/>
  <c r="S82" i="1" s="1"/>
  <c r="AI82" i="1"/>
  <c r="T80" i="1"/>
  <c r="X80" i="1"/>
  <c r="AG80" i="1"/>
  <c r="T62" i="1"/>
  <c r="X62" i="1"/>
  <c r="AG62" i="1"/>
  <c r="X61" i="1"/>
  <c r="AG61" i="1"/>
  <c r="U56" i="1"/>
  <c r="S56" i="1" s="1"/>
  <c r="T35" i="1"/>
  <c r="X35" i="1"/>
  <c r="AG35" i="1"/>
  <c r="W35" i="1" s="1"/>
  <c r="X138" i="1"/>
  <c r="X134" i="1"/>
  <c r="X130" i="1"/>
  <c r="U126" i="1"/>
  <c r="S126" i="1" s="1"/>
  <c r="X123" i="1"/>
  <c r="T122" i="1"/>
  <c r="U122" i="1" s="1"/>
  <c r="S122" i="1" s="1"/>
  <c r="AA120" i="1"/>
  <c r="W120" i="1" s="1"/>
  <c r="X118" i="1"/>
  <c r="T117" i="1"/>
  <c r="U117" i="1" s="1"/>
  <c r="S117" i="1" s="1"/>
  <c r="X117" i="1"/>
  <c r="AG113" i="1"/>
  <c r="AG112" i="1"/>
  <c r="W112" i="1" s="1"/>
  <c r="U110" i="1"/>
  <c r="S110" i="1" s="1"/>
  <c r="X107" i="1"/>
  <c r="T106" i="1"/>
  <c r="U106" i="1" s="1"/>
  <c r="S106" i="1" s="1"/>
  <c r="AA104" i="1"/>
  <c r="AI103" i="1"/>
  <c r="X102" i="1"/>
  <c r="T101" i="1"/>
  <c r="U101" i="1" s="1"/>
  <c r="S101" i="1" s="1"/>
  <c r="X101" i="1"/>
  <c r="AG97" i="1"/>
  <c r="AG96" i="1"/>
  <c r="W96" i="1" s="1"/>
  <c r="U94" i="1"/>
  <c r="S94" i="1" s="1"/>
  <c r="U87" i="1"/>
  <c r="S87" i="1" s="1"/>
  <c r="AI79" i="1"/>
  <c r="U78" i="1"/>
  <c r="S78" i="1" s="1"/>
  <c r="AI78" i="1"/>
  <c r="T76" i="1"/>
  <c r="X76" i="1"/>
  <c r="AG76" i="1"/>
  <c r="W74" i="1"/>
  <c r="U71" i="1"/>
  <c r="S71" i="1" s="1"/>
  <c r="AI58" i="1"/>
  <c r="T50" i="1"/>
  <c r="X50" i="1"/>
  <c r="AG50" i="1"/>
  <c r="X51" i="1"/>
  <c r="W48" i="1"/>
  <c r="U46" i="1"/>
  <c r="S46" i="1" s="1"/>
  <c r="AG44" i="1"/>
  <c r="W44" i="1" s="1"/>
  <c r="T44" i="1"/>
  <c r="X45" i="1"/>
  <c r="X44" i="1"/>
  <c r="X36" i="1"/>
  <c r="T66" i="1"/>
  <c r="U66" i="1" s="1"/>
  <c r="S66" i="1" s="1"/>
  <c r="X66" i="1"/>
  <c r="U60" i="1"/>
  <c r="S60" i="1" s="1"/>
  <c r="AA53" i="1"/>
  <c r="T43" i="1"/>
  <c r="X43" i="1"/>
  <c r="AG43" i="1"/>
  <c r="W43" i="1" s="1"/>
  <c r="AG89" i="1"/>
  <c r="AG85" i="1"/>
  <c r="AG81" i="1"/>
  <c r="AG77" i="1"/>
  <c r="AG73" i="1"/>
  <c r="AG69" i="1"/>
  <c r="T69" i="1"/>
  <c r="W57" i="1"/>
  <c r="T54" i="1"/>
  <c r="X54" i="1"/>
  <c r="T53" i="1"/>
  <c r="AI46" i="1"/>
  <c r="X42" i="1"/>
  <c r="AG42" i="1"/>
  <c r="X89" i="1"/>
  <c r="X85" i="1"/>
  <c r="X81" i="1"/>
  <c r="X77" i="1"/>
  <c r="X73" i="1"/>
  <c r="U67" i="1"/>
  <c r="S67" i="1" s="1"/>
  <c r="X64" i="1"/>
  <c r="T63" i="1"/>
  <c r="U63" i="1" s="1"/>
  <c r="S63" i="1" s="1"/>
  <c r="AA61" i="1"/>
  <c r="AI60" i="1"/>
  <c r="X59" i="1"/>
  <c r="T58" i="1"/>
  <c r="U58" i="1" s="1"/>
  <c r="S58" i="1" s="1"/>
  <c r="X58" i="1"/>
  <c r="AG54" i="1"/>
  <c r="AG53" i="1"/>
  <c r="U51" i="1"/>
  <c r="AI47" i="1"/>
  <c r="AI38" i="1"/>
  <c r="U32" i="1"/>
  <c r="S32" i="1" s="1"/>
  <c r="AI25" i="1"/>
  <c r="U24" i="1"/>
  <c r="S24" i="1" s="1"/>
  <c r="AI24" i="1"/>
  <c r="AA50" i="1"/>
  <c r="T47" i="1"/>
  <c r="U47" i="1" s="1"/>
  <c r="S47" i="1" s="1"/>
  <c r="X47" i="1"/>
  <c r="X37" i="1"/>
  <c r="T36" i="1"/>
  <c r="U36" i="1" s="1"/>
  <c r="S36" i="1" s="1"/>
  <c r="AA34" i="1"/>
  <c r="W34" i="1" s="1"/>
  <c r="T30" i="1"/>
  <c r="X30" i="1"/>
  <c r="AG30" i="1"/>
  <c r="W30" i="1" s="1"/>
  <c r="W29" i="1"/>
  <c r="T22" i="1"/>
  <c r="X22" i="1"/>
  <c r="AG22" i="1"/>
  <c r="W22" i="1" s="1"/>
  <c r="AI29" i="1"/>
  <c r="AI28" i="1"/>
  <c r="U25" i="1"/>
  <c r="S25" i="1" s="1"/>
  <c r="U20" i="1"/>
  <c r="S20" i="1" s="1"/>
  <c r="AI20" i="1"/>
  <c r="T18" i="1"/>
  <c r="X18" i="1"/>
  <c r="AG18" i="1"/>
  <c r="W16" i="1"/>
  <c r="T14" i="1"/>
  <c r="AG14" i="1"/>
  <c r="AA42" i="1"/>
  <c r="T39" i="1"/>
  <c r="U39" i="1" s="1"/>
  <c r="S39" i="1" s="1"/>
  <c r="X39" i="1"/>
  <c r="T26" i="1"/>
  <c r="X26" i="1"/>
  <c r="AG26" i="1"/>
  <c r="W26" i="1" s="1"/>
  <c r="W25" i="1"/>
  <c r="W24" i="1"/>
  <c r="AI17" i="1"/>
  <c r="U16" i="1"/>
  <c r="S16" i="1" s="1"/>
  <c r="AI16" i="1"/>
  <c r="AG31" i="1"/>
  <c r="AG27" i="1"/>
  <c r="W27" i="1" s="1"/>
  <c r="AG23" i="1"/>
  <c r="AG19" i="1"/>
  <c r="AG15" i="1"/>
  <c r="X31" i="1"/>
  <c r="X27" i="1"/>
  <c r="X23" i="1"/>
  <c r="X19" i="1"/>
  <c r="X15" i="1"/>
  <c r="AE36" i="3"/>
  <c r="AD24" i="3"/>
  <c r="AD22" i="3"/>
  <c r="AE24" i="3"/>
  <c r="AE8" i="3"/>
  <c r="Y27" i="3"/>
  <c r="Y53" i="3"/>
  <c r="AD42" i="3"/>
  <c r="Y29" i="3"/>
  <c r="Y48" i="3"/>
  <c r="Y15" i="3"/>
  <c r="AD29" i="3"/>
  <c r="AD26" i="3"/>
  <c r="T54" i="3"/>
  <c r="AD16" i="3"/>
  <c r="AD14" i="3"/>
  <c r="AD10" i="3"/>
  <c r="AD8" i="3"/>
  <c r="Y24" i="3"/>
  <c r="Y47" i="3"/>
  <c r="Y55" i="3"/>
  <c r="AD41" i="3"/>
  <c r="Y13" i="3"/>
  <c r="Y35" i="3"/>
  <c r="Y43" i="3"/>
  <c r="Y51" i="3"/>
  <c r="AC30" i="3"/>
  <c r="AD13" i="3"/>
  <c r="AD9" i="3"/>
  <c r="AE48" i="3"/>
  <c r="T24" i="3"/>
  <c r="AD53" i="3"/>
  <c r="Y14" i="3"/>
  <c r="AD48" i="3"/>
  <c r="AC56" i="3"/>
  <c r="Y40" i="3"/>
  <c r="T49" i="3"/>
  <c r="AD37" i="3"/>
  <c r="Y32" i="3"/>
  <c r="AD32" i="3"/>
  <c r="Y38" i="3"/>
  <c r="AD28" i="3"/>
  <c r="AC21" i="3"/>
  <c r="Y54" i="3"/>
  <c r="AD17" i="3"/>
  <c r="Y20" i="3"/>
  <c r="AD12" i="3"/>
  <c r="AC52" i="3"/>
  <c r="AE40" i="3"/>
  <c r="Y49" i="3"/>
  <c r="Y8" i="3"/>
  <c r="AC50" i="3"/>
  <c r="AD45" i="3"/>
  <c r="AC11" i="3"/>
  <c r="AD25" i="3"/>
  <c r="T31" i="3"/>
  <c r="Y26" i="3"/>
  <c r="Y42" i="3"/>
  <c r="Y34" i="3"/>
  <c r="Y31" i="3"/>
  <c r="AE39" i="3"/>
  <c r="T13" i="3"/>
  <c r="AE27" i="3"/>
  <c r="T9" i="3"/>
  <c r="AE23" i="3"/>
  <c r="AE19" i="3"/>
  <c r="T18" i="3"/>
  <c r="AE15" i="3"/>
  <c r="T25" i="3"/>
  <c r="AE11" i="3"/>
  <c r="T12" i="3"/>
  <c r="Y44" i="3"/>
  <c r="AE43" i="3"/>
  <c r="T53" i="3"/>
  <c r="AE31" i="3"/>
  <c r="T44" i="3"/>
  <c r="AD55" i="3"/>
  <c r="AE54" i="3"/>
  <c r="T50" i="3"/>
  <c r="AD51" i="3"/>
  <c r="AE50" i="3"/>
  <c r="T27" i="3"/>
  <c r="AD47" i="3"/>
  <c r="AE46" i="3"/>
  <c r="T56" i="3"/>
  <c r="AD43" i="3"/>
  <c r="AE42" i="3"/>
  <c r="T22" i="3"/>
  <c r="AD39" i="3"/>
  <c r="AE38" i="3"/>
  <c r="T11" i="3"/>
  <c r="AD35" i="3"/>
  <c r="AE34" i="3"/>
  <c r="T48" i="3"/>
  <c r="AD31" i="3"/>
  <c r="AE30" i="3"/>
  <c r="T43" i="3"/>
  <c r="AD27" i="3"/>
  <c r="AE26" i="3"/>
  <c r="T21" i="3"/>
  <c r="AD23" i="3"/>
  <c r="AE22" i="3"/>
  <c r="T30" i="3"/>
  <c r="AD19" i="3"/>
  <c r="AE18" i="3"/>
  <c r="T16" i="3"/>
  <c r="AD15" i="3"/>
  <c r="AE14" i="3"/>
  <c r="T28" i="3"/>
  <c r="AD11" i="3"/>
  <c r="AE10" i="3"/>
  <c r="T52" i="3"/>
  <c r="AE55" i="3"/>
  <c r="T46" i="3"/>
  <c r="AE51" i="3"/>
  <c r="T10" i="3"/>
  <c r="AE47" i="3"/>
  <c r="T41" i="3"/>
  <c r="AE35" i="3"/>
  <c r="T45" i="3"/>
  <c r="T17" i="3"/>
  <c r="AE53" i="3"/>
  <c r="AE49" i="3"/>
  <c r="AE45" i="3"/>
  <c r="AE41" i="3"/>
  <c r="AE37" i="3"/>
  <c r="AE33" i="3"/>
  <c r="AE29" i="3"/>
  <c r="AE25" i="3"/>
  <c r="AE21" i="3"/>
  <c r="AE17" i="3"/>
  <c r="AE13" i="3"/>
  <c r="AE9" i="3"/>
  <c r="T36" i="3"/>
  <c r="Y36" i="3"/>
  <c r="U119" i="1" l="1"/>
  <c r="S119" i="1" s="1"/>
  <c r="U140" i="1"/>
  <c r="S140" i="1" s="1"/>
  <c r="W31" i="1"/>
  <c r="W132" i="1"/>
  <c r="W187" i="1"/>
  <c r="W141" i="1"/>
  <c r="AI65" i="1"/>
  <c r="U33" i="1"/>
  <c r="S33" i="1" s="1"/>
  <c r="U131" i="1"/>
  <c r="S131" i="1" s="1"/>
  <c r="W157" i="1"/>
  <c r="W135" i="1"/>
  <c r="W21" i="1"/>
  <c r="AI21" i="1"/>
  <c r="W207" i="1"/>
  <c r="W72" i="1"/>
  <c r="W75" i="1"/>
  <c r="W129" i="1"/>
  <c r="W221" i="1"/>
  <c r="W119" i="1"/>
  <c r="W33" i="1"/>
  <c r="W182" i="1"/>
  <c r="W42" i="1"/>
  <c r="W50" i="1"/>
  <c r="W80" i="1"/>
  <c r="W116" i="1"/>
  <c r="W125" i="1"/>
  <c r="U75" i="1"/>
  <c r="S75" i="1" s="1"/>
  <c r="W133" i="1"/>
  <c r="W191" i="1"/>
  <c r="W222" i="1"/>
  <c r="AI206" i="1"/>
  <c r="W146" i="1"/>
  <c r="W234" i="1"/>
  <c r="W136" i="1"/>
  <c r="W190" i="1"/>
  <c r="W160" i="1"/>
  <c r="U148" i="1"/>
  <c r="S148" i="1" s="1"/>
  <c r="W148" i="1"/>
  <c r="W104" i="1"/>
  <c r="AI136" i="1"/>
  <c r="AI160" i="1"/>
  <c r="U157" i="1"/>
  <c r="S157" i="1" s="1"/>
  <c r="W162" i="1"/>
  <c r="AI222" i="1"/>
  <c r="U226" i="1"/>
  <c r="S226" i="1" s="1"/>
  <c r="W95" i="1"/>
  <c r="W124" i="1"/>
  <c r="U52" i="1"/>
  <c r="S52" i="1" s="1"/>
  <c r="U202" i="1"/>
  <c r="S202" i="1" s="1"/>
  <c r="W211" i="1"/>
  <c r="W56" i="1"/>
  <c r="U152" i="1"/>
  <c r="S152" i="1" s="1"/>
  <c r="U116" i="1"/>
  <c r="S116" i="1" s="1"/>
  <c r="W202" i="1"/>
  <c r="W152" i="1"/>
  <c r="W87" i="1"/>
  <c r="W156" i="1"/>
  <c r="AI214" i="1"/>
  <c r="U214" i="1"/>
  <c r="S214" i="1" s="1"/>
  <c r="W214" i="1"/>
  <c r="AI226" i="1"/>
  <c r="W226" i="1"/>
  <c r="W128" i="1"/>
  <c r="W210" i="1"/>
  <c r="AI207" i="1"/>
  <c r="AI234" i="1"/>
  <c r="U68" i="1"/>
  <c r="S68" i="1" s="1"/>
  <c r="AI68" i="1"/>
  <c r="W46" i="1"/>
  <c r="W52" i="1"/>
  <c r="W61" i="1"/>
  <c r="AI195" i="1"/>
  <c r="AI238" i="1"/>
  <c r="AI218" i="1"/>
  <c r="U41" i="1"/>
  <c r="S41" i="1" s="1"/>
  <c r="AI41" i="1"/>
  <c r="U164" i="1"/>
  <c r="S164" i="1" s="1"/>
  <c r="AI164" i="1"/>
  <c r="W236" i="1"/>
  <c r="W184" i="1"/>
  <c r="AI184" i="1"/>
  <c r="W175" i="1"/>
  <c r="AI175" i="1"/>
  <c r="AI242" i="1"/>
  <c r="U91" i="1"/>
  <c r="S91" i="1" s="1"/>
  <c r="AI91" i="1"/>
  <c r="W164" i="1"/>
  <c r="U19" i="1"/>
  <c r="S19" i="1" s="1"/>
  <c r="AI19" i="1"/>
  <c r="U54" i="1"/>
  <c r="S54" i="1" s="1"/>
  <c r="AI54" i="1"/>
  <c r="W54" i="1"/>
  <c r="W19" i="1"/>
  <c r="U73" i="1"/>
  <c r="S73" i="1" s="1"/>
  <c r="AI73" i="1"/>
  <c r="U89" i="1"/>
  <c r="S89" i="1" s="1"/>
  <c r="AI89" i="1"/>
  <c r="AI76" i="1"/>
  <c r="U76" i="1"/>
  <c r="S76" i="1" s="1"/>
  <c r="U97" i="1"/>
  <c r="S97" i="1" s="1"/>
  <c r="AI97" i="1"/>
  <c r="W97" i="1"/>
  <c r="AI35" i="1"/>
  <c r="U35" i="1"/>
  <c r="AI61" i="1"/>
  <c r="U61" i="1"/>
  <c r="S61" i="1" s="1"/>
  <c r="U130" i="1"/>
  <c r="S130" i="1" s="1"/>
  <c r="AI130" i="1"/>
  <c r="W130" i="1"/>
  <c r="AI34" i="1"/>
  <c r="U34" i="1"/>
  <c r="AI84" i="1"/>
  <c r="U84" i="1"/>
  <c r="S84" i="1" s="1"/>
  <c r="W73" i="1"/>
  <c r="AI88" i="1"/>
  <c r="U88" i="1"/>
  <c r="S88" i="1" s="1"/>
  <c r="AI105" i="1"/>
  <c r="U105" i="1"/>
  <c r="S105" i="1" s="1"/>
  <c r="AI153" i="1"/>
  <c r="U153" i="1"/>
  <c r="S153" i="1" s="1"/>
  <c r="S219" i="1"/>
  <c r="U219" i="1"/>
  <c r="AI170" i="1"/>
  <c r="W219" i="1"/>
  <c r="S176" i="1"/>
  <c r="U176" i="1"/>
  <c r="AI200" i="1"/>
  <c r="U188" i="1"/>
  <c r="S188" i="1" s="1"/>
  <c r="AI212" i="1"/>
  <c r="U200" i="1"/>
  <c r="S200" i="1" s="1"/>
  <c r="AI225" i="1"/>
  <c r="U228" i="1"/>
  <c r="S228" i="1" s="1"/>
  <c r="AI241" i="1"/>
  <c r="W105" i="1"/>
  <c r="AI165" i="1"/>
  <c r="U213" i="1"/>
  <c r="S213" i="1" s="1"/>
  <c r="U168" i="1"/>
  <c r="S168" i="1" s="1"/>
  <c r="AI188" i="1"/>
  <c r="U192" i="1"/>
  <c r="S192" i="1" s="1"/>
  <c r="AI217" i="1"/>
  <c r="AI224" i="1"/>
  <c r="U199" i="1"/>
  <c r="S199" i="1" s="1"/>
  <c r="AI161" i="1"/>
  <c r="U161" i="1"/>
  <c r="AI191" i="1"/>
  <c r="U171" i="1"/>
  <c r="S171" i="1" s="1"/>
  <c r="W213" i="1"/>
  <c r="W199" i="1"/>
  <c r="AI18" i="1"/>
  <c r="U18" i="1"/>
  <c r="S18" i="1" s="1"/>
  <c r="W18" i="1"/>
  <c r="U23" i="1"/>
  <c r="S23" i="1" s="1"/>
  <c r="AI23" i="1"/>
  <c r="U77" i="1"/>
  <c r="S77" i="1" s="1"/>
  <c r="AI77" i="1"/>
  <c r="W77" i="1"/>
  <c r="U44" i="1"/>
  <c r="S44" i="1" s="1"/>
  <c r="AI44" i="1"/>
  <c r="AI50" i="1"/>
  <c r="U50" i="1"/>
  <c r="S50" i="1" s="1"/>
  <c r="U93" i="1"/>
  <c r="S93" i="1" s="1"/>
  <c r="AI93" i="1"/>
  <c r="AI108" i="1"/>
  <c r="U108" i="1"/>
  <c r="S108" i="1" s="1"/>
  <c r="U134" i="1"/>
  <c r="S134" i="1" s="1"/>
  <c r="AI134" i="1"/>
  <c r="W134" i="1"/>
  <c r="AI72" i="1"/>
  <c r="U72" i="1"/>
  <c r="S72" i="1" s="1"/>
  <c r="AI120" i="1"/>
  <c r="U120" i="1"/>
  <c r="S120" i="1" s="1"/>
  <c r="U154" i="1"/>
  <c r="S154" i="1" s="1"/>
  <c r="AI154" i="1"/>
  <c r="U167" i="1"/>
  <c r="S167" i="1" s="1"/>
  <c r="AI187" i="1"/>
  <c r="U215" i="1"/>
  <c r="S215" i="1" s="1"/>
  <c r="AI166" i="1"/>
  <c r="U224" i="1"/>
  <c r="S224" i="1" s="1"/>
  <c r="AI237" i="1"/>
  <c r="AI236" i="1"/>
  <c r="U211" i="1"/>
  <c r="S211" i="1" s="1"/>
  <c r="W93" i="1"/>
  <c r="U98" i="1"/>
  <c r="S98" i="1" s="1"/>
  <c r="AI98" i="1"/>
  <c r="U114" i="1"/>
  <c r="S114" i="1" s="1"/>
  <c r="AI114" i="1"/>
  <c r="AI162" i="1"/>
  <c r="U162" i="1"/>
  <c r="S162" i="1" s="1"/>
  <c r="AI203" i="1"/>
  <c r="U179" i="1"/>
  <c r="S179" i="1" s="1"/>
  <c r="U48" i="1"/>
  <c r="S48" i="1" s="1"/>
  <c r="AI48" i="1"/>
  <c r="AI129" i="1"/>
  <c r="U129" i="1"/>
  <c r="S129" i="1" s="1"/>
  <c r="W167" i="1"/>
  <c r="W179" i="1"/>
  <c r="W224" i="1"/>
  <c r="W200" i="1"/>
  <c r="U27" i="1"/>
  <c r="S27" i="1" s="1"/>
  <c r="AI27" i="1"/>
  <c r="U81" i="1"/>
  <c r="S81" i="1" s="1"/>
  <c r="AI81" i="1"/>
  <c r="AI112" i="1"/>
  <c r="U112" i="1"/>
  <c r="S112" i="1" s="1"/>
  <c r="AI62" i="1"/>
  <c r="U62" i="1"/>
  <c r="S62" i="1" s="1"/>
  <c r="W76" i="1"/>
  <c r="U109" i="1"/>
  <c r="S109" i="1" s="1"/>
  <c r="AI109" i="1"/>
  <c r="AI124" i="1"/>
  <c r="U124" i="1"/>
  <c r="S124" i="1" s="1"/>
  <c r="U138" i="1"/>
  <c r="S138" i="1" s="1"/>
  <c r="AI138" i="1"/>
  <c r="W62" i="1"/>
  <c r="AI104" i="1"/>
  <c r="U104" i="1"/>
  <c r="S104" i="1" s="1"/>
  <c r="AI133" i="1"/>
  <c r="U133" i="1"/>
  <c r="S133" i="1" s="1"/>
  <c r="AI185" i="1"/>
  <c r="U165" i="1"/>
  <c r="S165" i="1" s="1"/>
  <c r="U184" i="1"/>
  <c r="S184" i="1" s="1"/>
  <c r="AI208" i="1"/>
  <c r="U196" i="1"/>
  <c r="S196" i="1" s="1"/>
  <c r="AI221" i="1"/>
  <c r="U204" i="1"/>
  <c r="S204" i="1" s="1"/>
  <c r="AI229" i="1"/>
  <c r="AI216" i="1"/>
  <c r="U191" i="1"/>
  <c r="S191" i="1" s="1"/>
  <c r="AI137" i="1"/>
  <c r="U137" i="1"/>
  <c r="S137" i="1" s="1"/>
  <c r="AI181" i="1"/>
  <c r="U237" i="1"/>
  <c r="S237" i="1" s="1"/>
  <c r="U180" i="1"/>
  <c r="S180" i="1" s="1"/>
  <c r="AI204" i="1"/>
  <c r="AI233" i="1"/>
  <c r="U208" i="1"/>
  <c r="S208" i="1" s="1"/>
  <c r="AI199" i="1"/>
  <c r="U175" i="1"/>
  <c r="S175" i="1" s="1"/>
  <c r="AI145" i="1"/>
  <c r="U145" i="1"/>
  <c r="S145" i="1" s="1"/>
  <c r="AI177" i="1"/>
  <c r="U233" i="1"/>
  <c r="S233" i="1" s="1"/>
  <c r="AI220" i="1"/>
  <c r="U195" i="1"/>
  <c r="S195" i="1" s="1"/>
  <c r="W81" i="1"/>
  <c r="W168" i="1"/>
  <c r="W180" i="1"/>
  <c r="W188" i="1"/>
  <c r="W154" i="1"/>
  <c r="W171" i="1"/>
  <c r="W176" i="1"/>
  <c r="W192" i="1"/>
  <c r="AI240" i="1"/>
  <c r="U227" i="1"/>
  <c r="S227" i="1" s="1"/>
  <c r="AI22" i="1"/>
  <c r="U22" i="1"/>
  <c r="S22" i="1" s="1"/>
  <c r="U15" i="1"/>
  <c r="S15" i="1" s="1"/>
  <c r="AI15" i="1"/>
  <c r="U31" i="1"/>
  <c r="S31" i="1" s="1"/>
  <c r="AI31" i="1"/>
  <c r="AI26" i="1"/>
  <c r="U26" i="1"/>
  <c r="S26" i="1" s="1"/>
  <c r="AI14" i="1"/>
  <c r="U14" i="1"/>
  <c r="S14" i="1" s="1"/>
  <c r="W14" i="1"/>
  <c r="AI30" i="1"/>
  <c r="U30" i="1"/>
  <c r="S29" i="1" s="1"/>
  <c r="W23" i="1"/>
  <c r="AI53" i="1"/>
  <c r="U53" i="1"/>
  <c r="S53" i="1" s="1"/>
  <c r="W15" i="1"/>
  <c r="AI42" i="1"/>
  <c r="U42" i="1"/>
  <c r="S42" i="1" s="1"/>
  <c r="U69" i="1"/>
  <c r="S69" i="1" s="1"/>
  <c r="AI69" i="1"/>
  <c r="U85" i="1"/>
  <c r="S85" i="1" s="1"/>
  <c r="W85" i="1"/>
  <c r="AI85" i="1"/>
  <c r="AI43" i="1"/>
  <c r="U43" i="1"/>
  <c r="S43" i="1" s="1"/>
  <c r="W53" i="1"/>
  <c r="W69" i="1"/>
  <c r="AI96" i="1"/>
  <c r="U96" i="1"/>
  <c r="S96" i="1" s="1"/>
  <c r="U113" i="1"/>
  <c r="S113" i="1" s="1"/>
  <c r="AI113" i="1"/>
  <c r="W113" i="1"/>
  <c r="AI80" i="1"/>
  <c r="U80" i="1"/>
  <c r="S80" i="1" s="1"/>
  <c r="U125" i="1"/>
  <c r="S125" i="1" s="1"/>
  <c r="AI125" i="1"/>
  <c r="U55" i="1"/>
  <c r="S55" i="1" s="1"/>
  <c r="AI55" i="1"/>
  <c r="W89" i="1"/>
  <c r="AI121" i="1"/>
  <c r="U121" i="1"/>
  <c r="S121" i="1" s="1"/>
  <c r="AI169" i="1"/>
  <c r="U218" i="1"/>
  <c r="S218" i="1" s="1"/>
  <c r="AI186" i="1"/>
  <c r="U166" i="1"/>
  <c r="S166" i="1" s="1"/>
  <c r="W166" i="1"/>
  <c r="U242" i="1"/>
  <c r="S242" i="1" s="1"/>
  <c r="AI196" i="1"/>
  <c r="AI228" i="1"/>
  <c r="U203" i="1"/>
  <c r="S203" i="1" s="1"/>
  <c r="W121" i="1"/>
  <c r="U238" i="1"/>
  <c r="S238" i="1" s="1"/>
  <c r="AI182" i="1"/>
  <c r="U172" i="1"/>
  <c r="S172" i="1" s="1"/>
  <c r="AI192" i="1"/>
  <c r="AI211" i="1"/>
  <c r="U187" i="1"/>
  <c r="S187" i="1" s="1"/>
  <c r="W84" i="1"/>
  <c r="W137" i="1"/>
  <c r="AI146" i="1"/>
  <c r="U146" i="1"/>
  <c r="S146" i="1" s="1"/>
  <c r="W153" i="1"/>
  <c r="AI178" i="1"/>
  <c r="U234" i="1"/>
  <c r="S234" i="1" s="1"/>
  <c r="W165" i="1"/>
  <c r="AI232" i="1"/>
  <c r="U207" i="1"/>
  <c r="S207" i="1" s="1"/>
  <c r="W98" i="1"/>
  <c r="W108" i="1"/>
  <c r="W138" i="1"/>
  <c r="W204" i="1"/>
  <c r="W172" i="1"/>
  <c r="W208" i="1"/>
  <c r="W215" i="1"/>
  <c r="W227" i="1"/>
  <c r="W228" i="1"/>
  <c r="M23" i="5"/>
  <c r="S34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13" i="3"/>
  <c r="N51" i="3"/>
  <c r="N8" i="3"/>
  <c r="N19" i="3"/>
  <c r="N31" i="3"/>
  <c r="N24" i="3"/>
  <c r="N50" i="3"/>
  <c r="N26" i="3"/>
  <c r="N47" i="3"/>
  <c r="N40" i="3"/>
  <c r="N22" i="3"/>
  <c r="N29" i="3"/>
  <c r="N35" i="3"/>
  <c r="N45" i="3"/>
  <c r="N32" i="3"/>
  <c r="N44" i="3"/>
  <c r="N9" i="3"/>
  <c r="N43" i="3"/>
  <c r="N54" i="3"/>
  <c r="N30" i="3"/>
  <c r="N16" i="3"/>
  <c r="N20" i="3"/>
  <c r="N25" i="3"/>
  <c r="N10" i="3"/>
  <c r="N41" i="3"/>
  <c r="N42" i="3"/>
  <c r="N49" i="3"/>
  <c r="N39" i="3"/>
  <c r="N15" i="3"/>
  <c r="N21" i="3"/>
  <c r="N17" i="3"/>
  <c r="N7" i="3"/>
  <c r="N18" i="3"/>
  <c r="N34" i="3"/>
  <c r="N12" i="3"/>
  <c r="N23" i="3"/>
  <c r="N37" i="3"/>
  <c r="N46" i="3"/>
  <c r="N27" i="3"/>
  <c r="N55" i="3"/>
  <c r="N56" i="3"/>
  <c r="N53" i="3"/>
  <c r="N11" i="3"/>
  <c r="N48" i="3"/>
  <c r="N38" i="3"/>
  <c r="N33" i="3"/>
  <c r="N28" i="3"/>
  <c r="N52" i="3"/>
  <c r="N3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 l="1"/>
  <c r="I4" i="6" l="1"/>
  <c r="F4" i="6"/>
  <c r="B5" i="6"/>
  <c r="G4" i="6"/>
  <c r="H4" i="6"/>
  <c r="J4" i="6"/>
  <c r="I5" i="6" l="1"/>
  <c r="F5" i="6"/>
  <c r="J5" i="6"/>
  <c r="H5" i="6"/>
  <c r="G5" i="6"/>
  <c r="B6" i="6"/>
  <c r="I6" i="6" l="1"/>
  <c r="F6" i="6"/>
  <c r="H6" i="6"/>
  <c r="J6" i="6"/>
  <c r="G6" i="6"/>
  <c r="B7" i="6"/>
  <c r="I7" i="6" l="1"/>
  <c r="F7" i="6"/>
  <c r="H7" i="6"/>
  <c r="J7" i="6"/>
  <c r="G7" i="6"/>
  <c r="B8" i="6"/>
  <c r="I8" i="6" l="1"/>
  <c r="F8" i="6"/>
  <c r="H8" i="6"/>
  <c r="J8" i="6"/>
  <c r="G8" i="6"/>
  <c r="B9" i="6" l="1"/>
  <c r="I9" i="6" l="1"/>
  <c r="F9" i="6"/>
  <c r="B10" i="6"/>
  <c r="J9" i="6"/>
  <c r="G9" i="6"/>
  <c r="H9" i="6"/>
  <c r="I10" i="6" l="1"/>
  <c r="F10" i="6"/>
  <c r="B11" i="6"/>
  <c r="J10" i="6"/>
  <c r="G10" i="6"/>
  <c r="H10" i="6"/>
  <c r="I11" i="6" l="1"/>
  <c r="F11" i="6"/>
  <c r="H11" i="6"/>
  <c r="J11" i="6"/>
  <c r="G11" i="6"/>
  <c r="B12" i="6"/>
  <c r="I12" i="6" l="1"/>
  <c r="F12" i="6"/>
  <c r="B13" i="6"/>
  <c r="G12" i="6"/>
  <c r="J12" i="6"/>
  <c r="H12" i="6"/>
  <c r="I13" i="6" l="1"/>
  <c r="F13" i="6"/>
  <c r="G13" i="6"/>
  <c r="H13" i="6"/>
  <c r="J13" i="6"/>
  <c r="B14" i="6"/>
  <c r="I14" i="6" l="1"/>
  <c r="F14" i="6"/>
  <c r="J14" i="6"/>
  <c r="G14" i="6"/>
  <c r="H14" i="6"/>
  <c r="B15" i="6"/>
  <c r="I15" i="6" l="1"/>
  <c r="F15" i="6"/>
  <c r="G15" i="6"/>
  <c r="H15" i="6"/>
  <c r="J15" i="6"/>
  <c r="B16" i="6"/>
  <c r="I16" i="6" l="1"/>
  <c r="F16" i="6"/>
  <c r="B17" i="6"/>
  <c r="J16" i="6"/>
  <c r="H16" i="6"/>
  <c r="G16" i="6"/>
  <c r="I17" i="6" l="1"/>
  <c r="F17" i="6"/>
  <c r="J17" i="6"/>
  <c r="G17" i="6"/>
  <c r="H17" i="6"/>
  <c r="B18" i="6"/>
  <c r="I18" i="6" l="1"/>
  <c r="F18" i="6"/>
  <c r="B19" i="6"/>
  <c r="G18" i="6"/>
  <c r="J18" i="6"/>
  <c r="H18" i="6"/>
  <c r="I19" i="6" l="1"/>
  <c r="F19" i="6"/>
  <c r="G19" i="6"/>
  <c r="J19" i="6"/>
  <c r="H19" i="6"/>
  <c r="B20" i="6"/>
  <c r="I20" i="6" l="1"/>
  <c r="F20" i="6"/>
  <c r="B21" i="6"/>
  <c r="G20" i="6"/>
  <c r="J20" i="6"/>
  <c r="H20" i="6"/>
  <c r="I21" i="6" l="1"/>
  <c r="F21" i="6"/>
  <c r="G21" i="6"/>
  <c r="H21" i="6"/>
  <c r="J21" i="6"/>
  <c r="B22" i="6"/>
  <c r="I22" i="6" l="1"/>
  <c r="F22" i="6"/>
  <c r="B23" i="6"/>
  <c r="G22" i="6"/>
  <c r="H22" i="6"/>
  <c r="J22" i="6"/>
  <c r="I23" i="6" l="1"/>
  <c r="F23" i="6"/>
  <c r="G23" i="6"/>
  <c r="H23" i="6"/>
  <c r="J23" i="6"/>
  <c r="B24" i="6"/>
  <c r="I24" i="6" l="1"/>
  <c r="F24" i="6"/>
  <c r="G24" i="6"/>
  <c r="H24" i="6"/>
  <c r="J24" i="6"/>
  <c r="B25" i="6"/>
  <c r="I25" i="6" l="1"/>
  <c r="F25" i="6"/>
  <c r="B26" i="6"/>
  <c r="J25" i="6"/>
  <c r="G25" i="6"/>
  <c r="H25" i="6"/>
  <c r="I26" i="6" l="1"/>
  <c r="F26" i="6"/>
  <c r="B27" i="6"/>
  <c r="J26" i="6"/>
  <c r="G26" i="6"/>
  <c r="H26" i="6"/>
  <c r="I27" i="6" l="1"/>
  <c r="F27" i="6"/>
  <c r="H27" i="6"/>
  <c r="G27" i="6"/>
  <c r="J27" i="6"/>
  <c r="B28" i="6"/>
  <c r="I28" i="6" l="1"/>
  <c r="F28" i="6"/>
  <c r="B29" i="6"/>
  <c r="G28" i="6"/>
  <c r="J28" i="6"/>
  <c r="H28" i="6"/>
  <c r="I29" i="6" l="1"/>
  <c r="F29" i="6"/>
  <c r="B30" i="6"/>
  <c r="J29" i="6"/>
  <c r="G29" i="6"/>
  <c r="H29" i="6"/>
  <c r="I30" i="6" l="1"/>
  <c r="F30" i="6"/>
  <c r="J30" i="6"/>
  <c r="G30" i="6"/>
  <c r="H30" i="6"/>
  <c r="B31" i="6"/>
  <c r="I31" i="6" l="1"/>
  <c r="F31" i="6"/>
  <c r="H31" i="6"/>
  <c r="J31" i="6"/>
  <c r="G31" i="6"/>
  <c r="B32" i="6"/>
  <c r="I32" i="6" l="1"/>
  <c r="F32" i="6"/>
  <c r="B33" i="6"/>
  <c r="J32" i="6"/>
  <c r="H32" i="6"/>
  <c r="G32" i="6"/>
  <c r="I33" i="6" l="1"/>
  <c r="F33" i="6"/>
  <c r="J33" i="6"/>
  <c r="G33" i="6"/>
  <c r="H33" i="6"/>
  <c r="B34" i="6"/>
  <c r="I34" i="6" l="1"/>
  <c r="F34" i="6"/>
  <c r="G34" i="6"/>
  <c r="H34" i="6"/>
  <c r="J34" i="6"/>
  <c r="B35" i="6"/>
  <c r="I35" i="6" l="1"/>
  <c r="F35" i="6"/>
  <c r="G35" i="6"/>
  <c r="H35" i="6"/>
  <c r="J35" i="6"/>
  <c r="B36" i="6"/>
  <c r="I36" i="6" l="1"/>
  <c r="F36" i="6"/>
  <c r="B37" i="6"/>
  <c r="J36" i="6"/>
  <c r="H36" i="6"/>
  <c r="G36" i="6"/>
  <c r="I37" i="6" l="1"/>
  <c r="F37" i="6"/>
  <c r="B38" i="6"/>
  <c r="J37" i="6"/>
  <c r="G37" i="6"/>
  <c r="H37" i="6"/>
  <c r="I38" i="6" l="1"/>
  <c r="F38" i="6"/>
  <c r="H38" i="6"/>
  <c r="G38" i="6"/>
  <c r="J38" i="6"/>
  <c r="B39" i="6"/>
  <c r="I39" i="6" l="1"/>
  <c r="F39" i="6"/>
  <c r="G39" i="6"/>
  <c r="H39" i="6"/>
  <c r="J39" i="6"/>
  <c r="B40" i="6"/>
  <c r="I40" i="6" l="1"/>
  <c r="F40" i="6"/>
  <c r="B41" i="6"/>
  <c r="J40" i="6"/>
  <c r="H40" i="6"/>
  <c r="G40" i="6"/>
  <c r="I41" i="6" l="1"/>
  <c r="F41" i="6"/>
  <c r="B42" i="6"/>
  <c r="J41" i="6"/>
  <c r="G41" i="6"/>
  <c r="H41" i="6"/>
  <c r="I42" i="6" l="1"/>
  <c r="F42" i="6"/>
  <c r="B43" i="6"/>
  <c r="J42" i="6"/>
  <c r="G42" i="6"/>
  <c r="H42" i="6"/>
  <c r="I43" i="6" l="1"/>
  <c r="F43" i="6"/>
  <c r="J43" i="6"/>
  <c r="H43" i="6"/>
  <c r="G43" i="6"/>
  <c r="B44" i="6"/>
  <c r="I44" i="6" l="1"/>
  <c r="F44" i="6"/>
  <c r="J44" i="6"/>
  <c r="H44" i="6"/>
  <c r="G44" i="6"/>
  <c r="B45" i="6"/>
  <c r="I45" i="6" l="1"/>
  <c r="F45" i="6"/>
  <c r="J45" i="6"/>
  <c r="G45" i="6"/>
  <c r="H45" i="6"/>
  <c r="B46" i="6"/>
  <c r="I46" i="6" l="1"/>
  <c r="F46" i="6"/>
  <c r="B47" i="6"/>
  <c r="G46" i="6"/>
  <c r="H46" i="6"/>
  <c r="J46" i="6"/>
  <c r="I47" i="6" l="1"/>
  <c r="F47" i="6"/>
  <c r="G47" i="6"/>
  <c r="H47" i="6"/>
  <c r="J47" i="6"/>
  <c r="B48" i="6"/>
  <c r="I48" i="6" l="1"/>
  <c r="F48" i="6"/>
  <c r="B49" i="6"/>
  <c r="J48" i="6"/>
  <c r="G48" i="6"/>
  <c r="H48" i="6"/>
  <c r="I49" i="6" l="1"/>
  <c r="F49" i="6"/>
  <c r="H49" i="6"/>
  <c r="G49" i="6"/>
  <c r="J49" i="6"/>
  <c r="B50" i="6"/>
  <c r="I50" i="6" l="1"/>
  <c r="F50" i="6"/>
  <c r="B51" i="6"/>
  <c r="H50" i="6"/>
  <c r="G50" i="6"/>
  <c r="J50" i="6"/>
  <c r="I51" i="6" l="1"/>
  <c r="F51" i="6"/>
  <c r="B52" i="6"/>
  <c r="J51" i="6"/>
  <c r="H51" i="6"/>
  <c r="G51" i="6"/>
  <c r="I52" i="6" l="1"/>
  <c r="F52" i="6"/>
  <c r="J52" i="6"/>
  <c r="H52" i="6"/>
  <c r="G52" i="6"/>
  <c r="B53" i="6"/>
  <c r="I53" i="6" l="1"/>
  <c r="F53" i="6"/>
  <c r="J53" i="6"/>
  <c r="H53" i="6"/>
  <c r="G53" i="6"/>
  <c r="B54" i="6"/>
  <c r="I54" i="6" l="1"/>
  <c r="F54" i="6"/>
  <c r="B55" i="6"/>
  <c r="J54" i="6"/>
  <c r="G54" i="6"/>
  <c r="H54" i="6"/>
  <c r="I55" i="6" l="1"/>
  <c r="F55" i="6"/>
  <c r="B56" i="6"/>
  <c r="G55" i="6"/>
  <c r="H55" i="6"/>
  <c r="J55" i="6"/>
  <c r="I56" i="6" l="1"/>
  <c r="F56" i="6"/>
  <c r="B57" i="6"/>
  <c r="J56" i="6"/>
  <c r="H56" i="6"/>
  <c r="G56" i="6"/>
  <c r="I57" i="6" l="1"/>
  <c r="F57" i="6"/>
  <c r="B58" i="6"/>
  <c r="H57" i="6"/>
  <c r="J57" i="6"/>
  <c r="G57" i="6"/>
  <c r="I58" i="6" l="1"/>
  <c r="F58" i="6"/>
  <c r="G58" i="6"/>
  <c r="H58" i="6"/>
  <c r="J58" i="6"/>
  <c r="B59" i="6"/>
  <c r="I59" i="6" l="1"/>
  <c r="F59" i="6"/>
  <c r="B60" i="6"/>
  <c r="G59" i="6"/>
  <c r="J59" i="6"/>
  <c r="H59" i="6"/>
  <c r="I60" i="6" l="1"/>
  <c r="F60" i="6"/>
  <c r="H60" i="6"/>
  <c r="J60" i="6"/>
  <c r="G60" i="6"/>
  <c r="B61" i="6"/>
  <c r="I61" i="6" l="1"/>
  <c r="F61" i="6"/>
  <c r="H61" i="6"/>
  <c r="G61" i="6"/>
  <c r="J61" i="6"/>
  <c r="B62" i="6"/>
  <c r="I62" i="6" l="1"/>
  <c r="F62" i="6"/>
  <c r="H62" i="6"/>
  <c r="G62" i="6"/>
  <c r="J62" i="6"/>
  <c r="B63" i="6"/>
  <c r="I63" i="6" l="1"/>
  <c r="F63" i="6"/>
  <c r="H63" i="6"/>
  <c r="J63" i="6"/>
  <c r="G63" i="6"/>
  <c r="B64" i="6"/>
  <c r="I64" i="6" l="1"/>
  <c r="F64" i="6"/>
  <c r="J64" i="6"/>
  <c r="G64" i="6"/>
  <c r="H64" i="6"/>
  <c r="B65" i="6"/>
  <c r="I65" i="6" l="1"/>
  <c r="F65" i="6"/>
  <c r="J65" i="6"/>
  <c r="H65" i="6"/>
  <c r="G65" i="6"/>
  <c r="B66" i="6"/>
  <c r="I66" i="6" l="1"/>
  <c r="F66" i="6"/>
  <c r="G66" i="6"/>
  <c r="H66" i="6"/>
  <c r="J66" i="6"/>
  <c r="B67" i="6"/>
  <c r="I67" i="6" l="1"/>
  <c r="F67" i="6"/>
  <c r="B68" i="6"/>
  <c r="J67" i="6"/>
  <c r="G67" i="6"/>
  <c r="H67" i="6"/>
  <c r="I68" i="6" l="1"/>
  <c r="F68" i="6"/>
  <c r="J68" i="6"/>
  <c r="H68" i="6"/>
  <c r="G68" i="6"/>
  <c r="B69" i="6"/>
  <c r="I69" i="6" l="1"/>
  <c r="F69" i="6"/>
  <c r="B70" i="6"/>
  <c r="J69" i="6"/>
  <c r="G69" i="6"/>
  <c r="H69" i="6"/>
  <c r="I70" i="6" l="1"/>
  <c r="F70" i="6"/>
  <c r="B71" i="6"/>
  <c r="H70" i="6"/>
  <c r="G70" i="6"/>
  <c r="J70" i="6"/>
  <c r="I71" i="6" l="1"/>
  <c r="F71" i="6"/>
  <c r="B72" i="6"/>
  <c r="J71" i="6"/>
  <c r="G71" i="6"/>
  <c r="H71" i="6"/>
  <c r="I72" i="6" l="1"/>
  <c r="F72" i="6"/>
  <c r="B73" i="6"/>
  <c r="J72" i="6"/>
  <c r="H72" i="6"/>
  <c r="G72" i="6"/>
  <c r="I73" i="6" l="1"/>
  <c r="F73" i="6"/>
  <c r="G73" i="6"/>
  <c r="H73" i="6"/>
  <c r="J73" i="6"/>
  <c r="B74" i="6"/>
  <c r="I74" i="6" l="1"/>
  <c r="F74" i="6"/>
  <c r="B75" i="6"/>
  <c r="J74" i="6"/>
  <c r="G74" i="6"/>
  <c r="H74" i="6"/>
  <c r="I75" i="6" l="1"/>
  <c r="F75" i="6"/>
  <c r="G75" i="6"/>
  <c r="H75" i="6"/>
  <c r="J75" i="6"/>
  <c r="B76" i="6"/>
  <c r="I76" i="6" l="1"/>
  <c r="F76" i="6"/>
  <c r="H76" i="6"/>
  <c r="G76" i="6"/>
  <c r="J76" i="6"/>
  <c r="B77" i="6"/>
  <c r="I77" i="6" l="1"/>
  <c r="F77" i="6"/>
  <c r="J77" i="6"/>
  <c r="H77" i="6"/>
  <c r="G77" i="6"/>
  <c r="B78" i="6"/>
  <c r="I78" i="6" l="1"/>
  <c r="F78" i="6"/>
  <c r="H78" i="6"/>
  <c r="G78" i="6"/>
  <c r="J78" i="6"/>
  <c r="B79" i="6"/>
  <c r="I79" i="6" l="1"/>
  <c r="F79" i="6"/>
  <c r="H79" i="6"/>
  <c r="G79" i="6"/>
  <c r="J79" i="6"/>
  <c r="B80" i="6"/>
  <c r="I80" i="6" l="1"/>
  <c r="F80" i="6"/>
  <c r="J80" i="6"/>
  <c r="G80" i="6"/>
  <c r="H80" i="6"/>
  <c r="B81" i="6"/>
  <c r="I81" i="6" l="1"/>
  <c r="F81" i="6"/>
  <c r="G81" i="6"/>
  <c r="H81" i="6"/>
  <c r="J81" i="6"/>
  <c r="B82" i="6"/>
  <c r="I82" i="6" l="1"/>
  <c r="F82" i="6"/>
  <c r="B83" i="6"/>
  <c r="H82" i="6"/>
  <c r="G82" i="6"/>
  <c r="J82" i="6"/>
  <c r="I83" i="6" l="1"/>
  <c r="F83" i="6"/>
  <c r="B84" i="6"/>
  <c r="J83" i="6"/>
  <c r="G83" i="6"/>
  <c r="H83" i="6"/>
  <c r="I84" i="6" l="1"/>
  <c r="F84" i="6"/>
  <c r="H84" i="6"/>
  <c r="G84" i="6"/>
  <c r="J84" i="6"/>
  <c r="B85" i="6"/>
  <c r="I85" i="6" l="1"/>
  <c r="F85" i="6"/>
  <c r="H85" i="6"/>
  <c r="J85" i="6"/>
  <c r="G85" i="6"/>
  <c r="B86" i="6"/>
  <c r="I86" i="6" l="1"/>
  <c r="F86" i="6"/>
  <c r="G86" i="6"/>
  <c r="J86" i="6"/>
  <c r="H86" i="6"/>
  <c r="B87" i="6"/>
  <c r="I87" i="6" l="1"/>
  <c r="F87" i="6"/>
  <c r="B88" i="6"/>
  <c r="H87" i="6"/>
  <c r="J87" i="6"/>
  <c r="G87" i="6"/>
  <c r="I88" i="6" l="1"/>
  <c r="F88" i="6"/>
  <c r="B89" i="6"/>
  <c r="J88" i="6"/>
  <c r="H88" i="6"/>
  <c r="G88" i="6"/>
  <c r="I89" i="6" l="1"/>
  <c r="F89" i="6"/>
  <c r="B91" i="6"/>
  <c r="B90" i="6"/>
  <c r="G89" i="6"/>
  <c r="H89" i="6"/>
  <c r="J89" i="6"/>
  <c r="I90" i="6" l="1"/>
  <c r="F90" i="6"/>
  <c r="I91" i="6"/>
  <c r="F91" i="6"/>
  <c r="G90" i="6"/>
  <c r="H90" i="6"/>
  <c r="J90" i="6"/>
  <c r="J91" i="6"/>
  <c r="G91" i="6"/>
  <c r="H9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<sst xmlns="http://schemas.openxmlformats.org/spreadsheetml/2006/main" count="3082" uniqueCount="1066">
  <si>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</si>
  <si>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</si>
  <si>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</si>
  <si>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</si>
  <si>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</si>
  <si>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</si>
  <si>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</si>
  <si>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</si>
  <si>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</si>
  <si>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</si>
  <si>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</si>
  <si>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</si>
  <si>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</si>
  <si>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</si>
  <si>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</si>
  <si>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</si>
  <si>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</si>
  <si>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</si>
  <si>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</si>
  <si>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</si>
  <si>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</si>
  <si>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</si>
  <si>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</si>
  <si>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</si>
  <si>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</si>
  <si>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</si>
  <si>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</si>
  <si>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</si>
  <si>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</si>
  <si>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</si>
  <si>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</si>
  <si>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</si>
  <si>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</si>
  <si>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</si>
  <si>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</si>
  <si>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</si>
  <si>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</si>
  <si>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</si>
  <si>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</si>
  <si>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</si>
  <si>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</si>
  <si>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</si>
  <si>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</si>
  <si>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</si>
  <si>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</si>
  <si>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</si>
  <si>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</si>
  <si>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</si>
  <si>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</si>
  <si>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</si>
  <si>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</si>
  <si>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</si>
  <si>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</si>
  <si>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</si>
  <si>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</si>
  <si>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</si>
  <si>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</si>
  <si>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</si>
  <si>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</si>
  <si>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</si>
  <si>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</si>
  <si>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</si>
  <si>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</si>
  <si>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</si>
  <si>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</si>
  <si>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</si>
  <si>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</si>
  <si>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</si>
  <si>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</si>
  <si>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</si>
  <si>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</si>
  <si>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</si>
  <si>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</si>
  <si>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</si>
  <si>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</si>
  <si>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</si>
  <si>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</si>
  <si>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</si>
  <si>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</si>
  <si>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</si>
  <si>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</si>
  <si>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</si>
  <si>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</si>
  <si>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</si>
  <si>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</si>
  <si>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</si>
  <si>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</si>
  <si>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</si>
  <si>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</si>
  <si>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</si>
  <si>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</si>
  <si>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</si>
  <si>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</si>
  <si>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</si>
  <si>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</si>
  <si>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</si>
  <si>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</si>
  <si>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</si>
  <si>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</si>
  <si>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</si>
  <si>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</si>
  <si>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</si>
  <si>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</si>
  <si>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</si>
  <si>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</si>
  <si>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</si>
  <si>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</si>
  <si>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</si>
  <si>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</si>
  <si>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</si>
  <si>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</si>
  <si>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</si>
  <si>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</si>
  <si>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</si>
  <si>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</si>
  <si>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</si>
  <si>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</si>
  <si>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</si>
  <si>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</si>
  <si>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</si>
  <si>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</si>
  <si>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</si>
  <si>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</si>
  <si>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</si>
  <si>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</si>
  <si>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</si>
  <si>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</si>
  <si>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</si>
  <si>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</si>
  <si>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</si>
  <si>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</si>
  <si>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</si>
  <si>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</si>
  <si>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</si>
  <si>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</si>
  <si>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</si>
  <si>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</si>
  <si>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</si>
  <si>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</si>
  <si>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</si>
  <si>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</si>
  <si>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</si>
  <si>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</si>
  <si>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</si>
  <si>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</si>
  <si>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</si>
  <si>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</si>
  <si>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</si>
  <si>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</si>
  <si>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</si>
  <si>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</si>
  <si>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</si>
  <si>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</si>
  <si>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</si>
  <si>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</si>
  <si>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</si>
  <si>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</si>
  <si>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</si>
  <si>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</si>
  <si>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</si>
  <si>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</si>
  <si>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</si>
  <si>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</si>
  <si>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</si>
  <si>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</si>
  <si>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</si>
  <si>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</si>
  <si>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</si>
  <si>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</si>
  <si>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</si>
  <si>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</si>
  <si>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</si>
  <si>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</si>
  <si>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</si>
  <si>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</si>
  <si>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</si>
  <si>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</si>
  <si>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</si>
  <si>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</si>
  <si>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</si>
  <si>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</si>
  <si>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</si>
  <si>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</si>
  <si>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</si>
  <si>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</si>
  <si>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</si>
  <si>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</si>
  <si>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</si>
  <si>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</si>
  <si>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</si>
  <si>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</si>
  <si>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</si>
  <si>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</si>
  <si>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</si>
  <si>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</si>
  <si>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</si>
  <si>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</si>
  <si>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</si>
  <si>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</si>
  <si>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</si>
  <si>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</si>
  <si>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</si>
  <si>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</si>
  <si>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</si>
  <si>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</si>
  <si>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</si>
  <si>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</si>
  <si>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</si>
  <si>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</si>
  <si>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</si>
  <si>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</si>
  <si>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</si>
  <si>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</si>
  <si>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</si>
  <si>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204:141</t>
  </si>
  <si>
    <t>204:156</t>
  </si>
  <si>
    <t>204:147</t>
  </si>
  <si>
    <t>204:447</t>
  </si>
  <si>
    <t>204:466</t>
  </si>
  <si>
    <t>PERMANENT SPEED RESTRICTION</t>
  </si>
  <si>
    <t>Speed (6)</t>
  </si>
  <si>
    <t>DE.1.0.9.0</t>
  </si>
  <si>
    <t>204:233297</t>
  </si>
  <si>
    <t>204:233312</t>
  </si>
  <si>
    <t>204:467</t>
  </si>
  <si>
    <t>204:233000</t>
  </si>
  <si>
    <t>204:469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</si>
  <si>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</si>
  <si>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</si>
  <si>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</si>
  <si>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</si>
  <si>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</si>
  <si>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</si>
  <si>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</si>
  <si>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</si>
  <si>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</si>
  <si>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</si>
  <si>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</si>
  <si>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</si>
  <si>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</si>
  <si>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</si>
  <si>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</si>
  <si>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</si>
  <si>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</si>
  <si>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</si>
  <si>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</si>
  <si>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</si>
  <si>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</si>
  <si>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</si>
  <si>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</si>
  <si>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</si>
  <si>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</si>
  <si>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</si>
  <si>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</si>
  <si>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</si>
  <si>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</si>
  <si>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</si>
  <si>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</si>
  <si>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</si>
  <si>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</si>
  <si>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</si>
  <si>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</si>
  <si>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</si>
  <si>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</si>
  <si>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</si>
  <si>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</si>
  <si>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</si>
  <si>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</si>
  <si>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</si>
  <si>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</si>
  <si>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</si>
  <si>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</si>
  <si>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</si>
  <si>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</si>
  <si>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</si>
  <si>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</si>
  <si>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</si>
  <si>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</si>
  <si>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</si>
  <si>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</si>
  <si>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</si>
  <si>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</si>
  <si>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</si>
  <si>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</si>
  <si>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</si>
  <si>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</si>
  <si>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</si>
  <si>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</si>
  <si>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</si>
  <si>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</si>
  <si>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</si>
  <si>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</si>
  <si>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</si>
  <si>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</si>
  <si>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</si>
  <si>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</si>
  <si>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</si>
  <si>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</si>
  <si>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</si>
  <si>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</si>
  <si>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</si>
  <si>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</si>
  <si>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</si>
  <si>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</si>
  <si>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</si>
  <si>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</si>
  <si>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</si>
  <si>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</si>
  <si>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</si>
  <si>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</si>
  <si>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</si>
  <si>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</si>
  <si>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</si>
  <si>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</si>
  <si>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</si>
  <si>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</si>
  <si>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</si>
  <si>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</si>
  <si>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</si>
  <si>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</si>
  <si>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</si>
  <si>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</si>
  <si>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</si>
  <si>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</si>
  <si>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</si>
  <si>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</si>
  <si>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</si>
  <si>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</si>
  <si>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</si>
  <si>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</si>
  <si>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</si>
  <si>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</si>
  <si>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</si>
  <si>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</si>
  <si>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</si>
  <si>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</si>
  <si>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</si>
  <si>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</si>
  <si>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</si>
  <si>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</si>
  <si>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</si>
  <si>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</si>
  <si>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</si>
  <si>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</si>
  <si>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</si>
  <si>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</si>
  <si>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</si>
  <si>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</si>
  <si>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</si>
  <si>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</si>
  <si>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</si>
  <si>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</si>
  <si>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</si>
  <si>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</si>
  <si>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</si>
  <si>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</si>
  <si>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</si>
  <si>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</si>
  <si>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</si>
  <si>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</si>
  <si>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</si>
  <si>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</si>
  <si>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</si>
  <si>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</si>
  <si>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</si>
  <si>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</si>
  <si>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</si>
  <si>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</si>
  <si>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</si>
  <si>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</si>
  <si>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</si>
  <si>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</si>
  <si>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</si>
  <si>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</si>
  <si>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</si>
  <si>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</si>
  <si>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</si>
  <si>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</si>
  <si>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</si>
  <si>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</si>
  <si>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</si>
  <si>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</si>
  <si>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</si>
  <si>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</si>
  <si>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</si>
  <si>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</si>
  <si>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</si>
  <si>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</si>
  <si>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</si>
  <si>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</si>
  <si>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204:233306</t>
  </si>
  <si>
    <t>204:233293</t>
  </si>
  <si>
    <t>204:462</t>
  </si>
  <si>
    <t>rtdc.l.rtdc.4053:itc</t>
  </si>
  <si>
    <t>rtdc.l.rtdc.4028:itc</t>
  </si>
  <si>
    <t>rtdc.l.rtdc.4027:itc</t>
  </si>
  <si>
    <t>STAMBAUGH</t>
  </si>
  <si>
    <t>204:232975</t>
  </si>
  <si>
    <t>204:471</t>
  </si>
  <si>
    <t>rtdc.l.rtdc.4032:itc</t>
  </si>
  <si>
    <t>rtdc.l.rtdc.4031:itc</t>
  </si>
  <si>
    <t>204:145</t>
  </si>
  <si>
    <t>204:163</t>
  </si>
  <si>
    <t>rtdc.l.rtdc.4046:itc</t>
  </si>
  <si>
    <t>rtdc.l.rtdc.4001:itc</t>
  </si>
  <si>
    <t>rtdc.l.rtdc.4002:itc</t>
  </si>
  <si>
    <t>HELVIE</t>
  </si>
  <si>
    <t>ADAM</t>
  </si>
  <si>
    <t>204:143</t>
  </si>
  <si>
    <t>204:233304</t>
  </si>
  <si>
    <t>204:233286</t>
  </si>
  <si>
    <t>204:233308</t>
  </si>
  <si>
    <t>rtdc.l.rtdc.4021:itc</t>
  </si>
  <si>
    <t>rtdc.l.rtdc.4022:itc</t>
  </si>
  <si>
    <t>SMITH</t>
  </si>
  <si>
    <t>204:232990</t>
  </si>
  <si>
    <t>204:473</t>
  </si>
  <si>
    <t>204:136</t>
  </si>
  <si>
    <t>300:58935</t>
  </si>
  <si>
    <t>300:58926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</si>
  <si>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</si>
  <si>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</si>
  <si>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</si>
  <si>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</si>
  <si>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</si>
  <si>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</si>
  <si>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STEWART</t>
  </si>
  <si>
    <t>ROMERO</t>
  </si>
  <si>
    <t>CHAD</t>
  </si>
  <si>
    <t>SAFIEF</t>
  </si>
  <si>
    <t>AEIMEN</t>
  </si>
  <si>
    <t>204:233278</t>
  </si>
  <si>
    <t>204:170</t>
  </si>
  <si>
    <t>204:160</t>
  </si>
  <si>
    <t>204:741</t>
  </si>
  <si>
    <t>300:58615</t>
  </si>
  <si>
    <t>300:58613</t>
  </si>
  <si>
    <t>rtdc.l.rtdc.4029:itc</t>
  </si>
  <si>
    <t>238-18</t>
  </si>
  <si>
    <t>243-18</t>
  </si>
  <si>
    <t>DAVIS</t>
  </si>
  <si>
    <t>WENDY</t>
  </si>
  <si>
    <t>SANTIZO</t>
  </si>
  <si>
    <t>D. EDY</t>
  </si>
  <si>
    <t>MAELZER</t>
  </si>
  <si>
    <t>KURT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</si>
  <si>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</si>
  <si>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</si>
  <si>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</si>
  <si>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</si>
  <si>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</si>
  <si>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</si>
  <si>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</si>
  <si>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</si>
  <si>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</si>
  <si>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</si>
  <si>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</si>
  <si>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</si>
  <si>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</si>
  <si>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</si>
  <si>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</si>
  <si>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</si>
  <si>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</si>
  <si>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</si>
  <si>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</si>
  <si>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</si>
  <si>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</si>
  <si>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</si>
  <si>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</si>
  <si>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</si>
  <si>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</si>
  <si>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</si>
  <si>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</si>
  <si>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204:486</t>
  </si>
  <si>
    <t>204:449</t>
  </si>
  <si>
    <t>204:232981</t>
  </si>
  <si>
    <t>204:233303</t>
  </si>
  <si>
    <t>204:233314</t>
  </si>
  <si>
    <t>204:233309</t>
  </si>
  <si>
    <t>204:232973</t>
  </si>
  <si>
    <t>204:233021</t>
  </si>
  <si>
    <t>204:232993</t>
  </si>
  <si>
    <t>300:58929</t>
  </si>
  <si>
    <t>204:232996</t>
  </si>
  <si>
    <t>204:232980</t>
  </si>
  <si>
    <t>204:232983</t>
  </si>
  <si>
    <t>rtdc.l.rtdc.4004:itc</t>
  </si>
  <si>
    <t>rtdc.l.rtdc.4026:itc</t>
  </si>
  <si>
    <t>rtdc.l.rtdc.4003:itc</t>
  </si>
  <si>
    <t>rtdc.l.rtdc.4064:itc</t>
  </si>
  <si>
    <t>rtdc.l.rtdc.4017:itc</t>
  </si>
  <si>
    <t>rtdc.l.rtdc.4025:itc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</si>
  <si>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</si>
  <si>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</si>
  <si>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</si>
  <si>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</si>
  <si>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</si>
  <si>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</si>
  <si>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</si>
  <si>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</si>
  <si>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</si>
  <si>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</si>
  <si>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YANG</t>
  </si>
  <si>
    <t>JAN</t>
  </si>
  <si>
    <t>rtdc.l.rtdc.4063:itc</t>
  </si>
  <si>
    <t>Mostly Cloudy</t>
  </si>
  <si>
    <t>204:757</t>
  </si>
  <si>
    <t>204:161</t>
  </si>
  <si>
    <t>204:684</t>
  </si>
  <si>
    <t>204:232976</t>
  </si>
  <si>
    <t>204:233280</t>
  </si>
  <si>
    <t>204:233285</t>
  </si>
  <si>
    <t>204:233334</t>
  </si>
  <si>
    <t>204:232988</t>
  </si>
  <si>
    <t>300:58937</t>
  </si>
  <si>
    <t>300:58611</t>
  </si>
  <si>
    <t>204:233005</t>
  </si>
  <si>
    <t>300:58624</t>
  </si>
  <si>
    <t>204:475</t>
  </si>
  <si>
    <t>204:132</t>
  </si>
  <si>
    <t>204:167</t>
  </si>
  <si>
    <t>204:134</t>
  </si>
  <si>
    <t>204:165</t>
  </si>
  <si>
    <t>204:484</t>
  </si>
  <si>
    <t>204:232969</t>
  </si>
  <si>
    <t>204:464</t>
  </si>
  <si>
    <t>204:233071</t>
  </si>
  <si>
    <t>300:23299</t>
  </si>
  <si>
    <t>204:442</t>
  </si>
  <si>
    <t>204:437</t>
  </si>
  <si>
    <t>Wi-MAX data drop</t>
  </si>
  <si>
    <t>Selected wrong track</t>
  </si>
  <si>
    <t>Onboard in-route failure</t>
  </si>
  <si>
    <t>Early arrival</t>
  </si>
  <si>
    <t>242-20</t>
  </si>
  <si>
    <t>STARKS</t>
  </si>
  <si>
    <t>ANGELINA</t>
  </si>
  <si>
    <t>GUZMAN</t>
  </si>
  <si>
    <t>DANNY</t>
  </si>
  <si>
    <t>WILLIAMS</t>
  </si>
  <si>
    <t>DONTE</t>
  </si>
  <si>
    <t>MENGES</t>
  </si>
  <si>
    <t>BRAD</t>
  </si>
  <si>
    <t>rtdc.l.rtdc.4008:itc</t>
  </si>
  <si>
    <t>SULLIVAN</t>
  </si>
  <si>
    <t>BRANDON</t>
  </si>
  <si>
    <t>YANAI</t>
  </si>
  <si>
    <t>IAN</t>
  </si>
  <si>
    <t>CLARK</t>
  </si>
  <si>
    <t>KATHLEEN</t>
  </si>
  <si>
    <t>DAVIDSON</t>
  </si>
  <si>
    <t>DAVID</t>
  </si>
  <si>
    <t>FORTUNATO</t>
  </si>
  <si>
    <t>FRANK</t>
  </si>
  <si>
    <t>MAGEE</t>
  </si>
  <si>
    <t>KENYA</t>
  </si>
  <si>
    <t>STORY</t>
  </si>
  <si>
    <t>SAMANTHA</t>
  </si>
  <si>
    <t>81-20</t>
  </si>
  <si>
    <t>309-20</t>
  </si>
  <si>
    <t>244-20</t>
  </si>
  <si>
    <t>311-20</t>
  </si>
  <si>
    <t>313-20</t>
  </si>
  <si>
    <t>204:232979</t>
  </si>
  <si>
    <t>204:232977</t>
  </si>
  <si>
    <t>204:232953</t>
  </si>
  <si>
    <t>204:233274</t>
  </si>
  <si>
    <t>204:233300</t>
  </si>
  <si>
    <t>204:232965</t>
  </si>
  <si>
    <t>204:233019</t>
  </si>
  <si>
    <t>204:232994</t>
  </si>
  <si>
    <t>204:127</t>
  </si>
  <si>
    <t>204:233094</t>
  </si>
  <si>
    <t>204:232978</t>
  </si>
  <si>
    <t>204:232966</t>
  </si>
  <si>
    <t>204:178</t>
  </si>
  <si>
    <t>204:233351</t>
  </si>
  <si>
    <t>204:125</t>
  </si>
  <si>
    <t>204:233077</t>
  </si>
  <si>
    <t>300:23289</t>
  </si>
  <si>
    <t>204:673</t>
  </si>
  <si>
    <t>300:58608</t>
  </si>
  <si>
    <t>204:107299</t>
  </si>
  <si>
    <t>300:58922</t>
  </si>
  <si>
    <t>204:668</t>
  </si>
  <si>
    <t>300:58621</t>
  </si>
  <si>
    <t>204:1025</t>
  </si>
  <si>
    <t>204:953</t>
  </si>
  <si>
    <t>300:58920</t>
  </si>
  <si>
    <t>300:58638</t>
  </si>
  <si>
    <t>204:675</t>
  </si>
  <si>
    <t>204:964</t>
  </si>
  <si>
    <t>103-21</t>
  </si>
  <si>
    <t>104-21</t>
  </si>
  <si>
    <t>902-21</t>
  </si>
  <si>
    <t>119-21</t>
  </si>
  <si>
    <t>rtdc.l.rtdc.4051:itc</t>
  </si>
  <si>
    <t>121-21</t>
  </si>
  <si>
    <t>125-21</t>
  </si>
  <si>
    <t>123-21</t>
  </si>
  <si>
    <t>129-21</t>
  </si>
  <si>
    <t>133-21</t>
  </si>
  <si>
    <t>rtdc.l.rtdc.4024:itc</t>
  </si>
  <si>
    <t>141-21</t>
  </si>
  <si>
    <t>134-21</t>
  </si>
  <si>
    <t>rtdc.l.rtdc.4052:itc</t>
  </si>
  <si>
    <t>136-21</t>
  </si>
  <si>
    <t>147-21</t>
  </si>
  <si>
    <t>rtdc.l.rtdc.4023:itc</t>
  </si>
  <si>
    <t>142-21</t>
  </si>
  <si>
    <t>50-21</t>
  </si>
  <si>
    <t>155-21</t>
  </si>
  <si>
    <t>150-21</t>
  </si>
  <si>
    <t>161-21</t>
  </si>
  <si>
    <t>817-21</t>
  </si>
  <si>
    <t>152-21</t>
  </si>
  <si>
    <t>169-21</t>
  </si>
  <si>
    <t>168-21</t>
  </si>
  <si>
    <t>181-21</t>
  </si>
  <si>
    <t>822-21</t>
  </si>
  <si>
    <t>185-21</t>
  </si>
  <si>
    <t>174-21</t>
  </si>
  <si>
    <t>186-21</t>
  </si>
  <si>
    <t>199-21</t>
  </si>
  <si>
    <t>rtdc.l.rtdc.4010:itc</t>
  </si>
  <si>
    <t>828-21</t>
  </si>
  <si>
    <t>200-21</t>
  </si>
  <si>
    <t>54-21</t>
  </si>
  <si>
    <t>202-21</t>
  </si>
  <si>
    <t>56-21</t>
  </si>
  <si>
    <t>204-21</t>
  </si>
  <si>
    <t>rtdc.l.rtdc.4014:itc</t>
  </si>
  <si>
    <t>219-21</t>
  </si>
  <si>
    <t>218-21</t>
  </si>
  <si>
    <t>223-21</t>
  </si>
  <si>
    <t>840-21</t>
  </si>
  <si>
    <t>225-21</t>
  </si>
  <si>
    <t>842-21</t>
  </si>
  <si>
    <t>227-21</t>
  </si>
  <si>
    <t>240-21</t>
  </si>
  <si>
    <t>302-21</t>
  </si>
  <si>
    <t>101-21</t>
  </si>
  <si>
    <t>rtdc.l.rtdc.4013:itc</t>
  </si>
  <si>
    <t>306-21</t>
  </si>
  <si>
    <t>102-21</t>
  </si>
  <si>
    <t>308-21</t>
  </si>
  <si>
    <t>105-21</t>
  </si>
  <si>
    <t>107-21</t>
  </si>
  <si>
    <t>310-21</t>
  </si>
  <si>
    <t>109-21</t>
  </si>
  <si>
    <t>rtdc.l.rtdc.4009:itc</t>
  </si>
  <si>
    <t>901-21</t>
  </si>
  <si>
    <t>YORK</t>
  </si>
  <si>
    <t>EDGAR</t>
  </si>
  <si>
    <t>113-21</t>
  </si>
  <si>
    <t>111-21</t>
  </si>
  <si>
    <t>LOZA</t>
  </si>
  <si>
    <t>FIDEL</t>
  </si>
  <si>
    <t>800-21</t>
  </si>
  <si>
    <t>106-21</t>
  </si>
  <si>
    <t>108-21</t>
  </si>
  <si>
    <t>117-21</t>
  </si>
  <si>
    <t>801-21</t>
  </si>
  <si>
    <t>115-21</t>
  </si>
  <si>
    <t>110-21</t>
  </si>
  <si>
    <t>112-21</t>
  </si>
  <si>
    <t>114-21</t>
  </si>
  <si>
    <t>802-21</t>
  </si>
  <si>
    <t>803-21</t>
  </si>
  <si>
    <t>116-21</t>
  </si>
  <si>
    <t>805-21</t>
  </si>
  <si>
    <t>118-21</t>
  </si>
  <si>
    <t>804-21</t>
  </si>
  <si>
    <t>120-21</t>
  </si>
  <si>
    <t>127-21</t>
  </si>
  <si>
    <t>122-21</t>
  </si>
  <si>
    <t>806-21</t>
  </si>
  <si>
    <t>807-21</t>
  </si>
  <si>
    <t>124-21</t>
  </si>
  <si>
    <t>809-21</t>
  </si>
  <si>
    <t>131-21</t>
  </si>
  <si>
    <t>126-21</t>
  </si>
  <si>
    <t>808-21</t>
  </si>
  <si>
    <t>128-21</t>
  </si>
  <si>
    <t>135-21</t>
  </si>
  <si>
    <t>130-21</t>
  </si>
  <si>
    <t>810-21</t>
  </si>
  <si>
    <t>811-21</t>
  </si>
  <si>
    <t>137-21</t>
  </si>
  <si>
    <t>132-21</t>
  </si>
  <si>
    <t>139-21</t>
  </si>
  <si>
    <t>903-21</t>
  </si>
  <si>
    <t>812-21</t>
  </si>
  <si>
    <t>143-21</t>
  </si>
  <si>
    <t>138-21</t>
  </si>
  <si>
    <t>145-21</t>
  </si>
  <si>
    <t>813-21</t>
  </si>
  <si>
    <t>140-21</t>
  </si>
  <si>
    <t>814-21</t>
  </si>
  <si>
    <t>149-21</t>
  </si>
  <si>
    <t>144-21</t>
  </si>
  <si>
    <t>151-21</t>
  </si>
  <si>
    <t>146-21</t>
  </si>
  <si>
    <t>153-21</t>
  </si>
  <si>
    <t>815-21</t>
  </si>
  <si>
    <t>BEAM</t>
  </si>
  <si>
    <t>ROSS</t>
  </si>
  <si>
    <t>148-21</t>
  </si>
  <si>
    <t>816-21</t>
  </si>
  <si>
    <t>157-21</t>
  </si>
  <si>
    <t>159-21</t>
  </si>
  <si>
    <t>rtdc.l.rtdc.4007:itc</t>
  </si>
  <si>
    <t>51-21</t>
  </si>
  <si>
    <t>154-21</t>
  </si>
  <si>
    <t>156-21</t>
  </si>
  <si>
    <t>163-21</t>
  </si>
  <si>
    <t>818-21</t>
  </si>
  <si>
    <t>158-21</t>
  </si>
  <si>
    <t>165-21</t>
  </si>
  <si>
    <t>160-21</t>
  </si>
  <si>
    <t>167-21</t>
  </si>
  <si>
    <t>162-21</t>
  </si>
  <si>
    <t>819-21</t>
  </si>
  <si>
    <t>164-21</t>
  </si>
  <si>
    <t>171-21</t>
  </si>
  <si>
    <t>STRICKLAND</t>
  </si>
  <si>
    <t>EVAN</t>
  </si>
  <si>
    <t>820-21</t>
  </si>
  <si>
    <t>166-21</t>
  </si>
  <si>
    <t>173-21</t>
  </si>
  <si>
    <t>170-21</t>
  </si>
  <si>
    <t>175-21</t>
  </si>
  <si>
    <t>821-21</t>
  </si>
  <si>
    <t>177-21</t>
  </si>
  <si>
    <t>172-21</t>
  </si>
  <si>
    <t>179-21</t>
  </si>
  <si>
    <t>176-21</t>
  </si>
  <si>
    <t>183-21</t>
  </si>
  <si>
    <t>178-21</t>
  </si>
  <si>
    <t>823-21</t>
  </si>
  <si>
    <t>180-21</t>
  </si>
  <si>
    <t>187-21</t>
  </si>
  <si>
    <t>824-21</t>
  </si>
  <si>
    <t>182-21</t>
  </si>
  <si>
    <t>189-21</t>
  </si>
  <si>
    <t>184-21</t>
  </si>
  <si>
    <t>191-21</t>
  </si>
  <si>
    <t>193-21</t>
  </si>
  <si>
    <t>825-21</t>
  </si>
  <si>
    <t>188-21</t>
  </si>
  <si>
    <t>195-21</t>
  </si>
  <si>
    <t>904-21</t>
  </si>
  <si>
    <t>826-21</t>
  </si>
  <si>
    <t>197-21</t>
  </si>
  <si>
    <t>190-21</t>
  </si>
  <si>
    <t>827-21</t>
  </si>
  <si>
    <t>192-21</t>
  </si>
  <si>
    <t>194-21</t>
  </si>
  <si>
    <t>201-21</t>
  </si>
  <si>
    <t>829-21</t>
  </si>
  <si>
    <t>196-21</t>
  </si>
  <si>
    <t>203-21</t>
  </si>
  <si>
    <t>198-21</t>
  </si>
  <si>
    <t>831-21</t>
  </si>
  <si>
    <t>830-21</t>
  </si>
  <si>
    <t>205-21</t>
  </si>
  <si>
    <t>207-21</t>
  </si>
  <si>
    <t>833-21</t>
  </si>
  <si>
    <t>832-21</t>
  </si>
  <si>
    <t>209-21</t>
  </si>
  <si>
    <t>211-21</t>
  </si>
  <si>
    <t>835-21</t>
  </si>
  <si>
    <t>206-21</t>
  </si>
  <si>
    <t>834-21</t>
  </si>
  <si>
    <t>213-21</t>
  </si>
  <si>
    <t>208-21</t>
  </si>
  <si>
    <t>215-21</t>
  </si>
  <si>
    <t>75-21</t>
  </si>
  <si>
    <t>MAYBERRY</t>
  </si>
  <si>
    <t>BILL</t>
  </si>
  <si>
    <t>210-21</t>
  </si>
  <si>
    <t>836-21</t>
  </si>
  <si>
    <t>217-21</t>
  </si>
  <si>
    <t>837-21</t>
  </si>
  <si>
    <t>53-21</t>
  </si>
  <si>
    <t>212-21</t>
  </si>
  <si>
    <t>214-21</t>
  </si>
  <si>
    <t>839-21</t>
  </si>
  <si>
    <t>838-21</t>
  </si>
  <si>
    <t>303-21</t>
  </si>
  <si>
    <t>216-21</t>
  </si>
  <si>
    <t>221-21</t>
  </si>
  <si>
    <t>906-21</t>
  </si>
  <si>
    <t>305-21</t>
  </si>
  <si>
    <t>841-21</t>
  </si>
  <si>
    <t>220-21</t>
  </si>
  <si>
    <t>307-21</t>
  </si>
  <si>
    <t>222-21</t>
  </si>
  <si>
    <t>224-21</t>
  </si>
  <si>
    <t>843-21</t>
  </si>
  <si>
    <t>226-21</t>
  </si>
  <si>
    <t>77-21</t>
  </si>
  <si>
    <t>229-21</t>
  </si>
  <si>
    <t>845-21</t>
  </si>
  <si>
    <t>228-21</t>
  </si>
  <si>
    <t>231-21</t>
  </si>
  <si>
    <t>844-21</t>
  </si>
  <si>
    <t>230-21</t>
  </si>
  <si>
    <t>233-21</t>
  </si>
  <si>
    <t>235-21</t>
  </si>
  <si>
    <t>847-21</t>
  </si>
  <si>
    <t>232-21</t>
  </si>
  <si>
    <t>908-21</t>
  </si>
  <si>
    <t>234-21</t>
  </si>
  <si>
    <t>237-21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</si>
  <si>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</si>
  <si>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</si>
  <si>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</si>
  <si>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</si>
  <si>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</si>
  <si>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</si>
  <si>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</si>
  <si>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</si>
  <si>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</si>
  <si>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</si>
  <si>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</si>
  <si>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precipType</t>
  </si>
  <si>
    <t>rain</t>
  </si>
  <si>
    <t>clear-night</t>
  </si>
  <si>
    <t>Clear</t>
  </si>
  <si>
    <t>204:726</t>
  </si>
  <si>
    <t>204:232654</t>
  </si>
  <si>
    <t>204:723</t>
  </si>
  <si>
    <t>204:233323</t>
  </si>
  <si>
    <t>204:232694</t>
  </si>
  <si>
    <t>204:233289</t>
  </si>
  <si>
    <t>204:232648</t>
  </si>
  <si>
    <t>204:8951</t>
  </si>
  <si>
    <t>204:233370</t>
  </si>
  <si>
    <t>204:3842</t>
  </si>
  <si>
    <t>204:10542</t>
  </si>
  <si>
    <t>204:770</t>
  </si>
  <si>
    <t>204:233393</t>
  </si>
  <si>
    <t>204:3173</t>
  </si>
  <si>
    <t>204:233435</t>
  </si>
  <si>
    <t>204:233099</t>
  </si>
  <si>
    <t>204:5144</t>
  </si>
  <si>
    <t>204:233327</t>
  </si>
  <si>
    <t>204:233017</t>
  </si>
  <si>
    <t>204:3384</t>
  </si>
  <si>
    <t>204:19134</t>
  </si>
  <si>
    <t>204:233291</t>
  </si>
  <si>
    <t>204:438</t>
  </si>
  <si>
    <t>204:969</t>
  </si>
  <si>
    <t>204:8551</t>
  </si>
  <si>
    <t>204:19137</t>
  </si>
  <si>
    <t>204:3336</t>
  </si>
  <si>
    <t>204:6253</t>
  </si>
  <si>
    <t>204:1154</t>
  </si>
  <si>
    <t>204:5104</t>
  </si>
  <si>
    <t>204:19585</t>
  </si>
  <si>
    <t>204:233004</t>
  </si>
  <si>
    <t>204:3411</t>
  </si>
  <si>
    <t>204:19111</t>
  </si>
  <si>
    <t>204:233305</t>
  </si>
  <si>
    <t>204:19018</t>
  </si>
  <si>
    <t>204:19129</t>
  </si>
  <si>
    <t>204:233380</t>
  </si>
  <si>
    <t>204:233055</t>
  </si>
  <si>
    <t>204:19128</t>
  </si>
  <si>
    <t>204:19138</t>
  </si>
  <si>
    <t>204:3396</t>
  </si>
  <si>
    <t>204:526</t>
  </si>
  <si>
    <t>204:233315</t>
  </si>
  <si>
    <t>204:233006</t>
  </si>
  <si>
    <t>204:233284</t>
  </si>
  <si>
    <t>204:233281</t>
  </si>
  <si>
    <t>204:478</t>
  </si>
  <si>
    <t>204:233325</t>
  </si>
  <si>
    <t>204:233008</t>
  </si>
  <si>
    <t>204:19136</t>
  </si>
  <si>
    <t>204:233036</t>
  </si>
  <si>
    <t>204:183</t>
  </si>
  <si>
    <t>204:233220</t>
  </si>
  <si>
    <t>204:232890</t>
  </si>
  <si>
    <t>204:233298</t>
  </si>
  <si>
    <t>204:232955</t>
  </si>
  <si>
    <t>204:207</t>
  </si>
  <si>
    <t>204:233387</t>
  </si>
  <si>
    <t>204:233096</t>
  </si>
  <si>
    <t>204:233364</t>
  </si>
  <si>
    <t>204:233301</t>
  </si>
  <si>
    <t>204:201</t>
  </si>
  <si>
    <t>204:232961</t>
  </si>
  <si>
    <t>204:1165</t>
  </si>
  <si>
    <t>204:86353</t>
  </si>
  <si>
    <t>204:539</t>
  </si>
  <si>
    <t>204:220</t>
  </si>
  <si>
    <t>204:233407</t>
  </si>
  <si>
    <t>204:233124</t>
  </si>
  <si>
    <t>204:233448</t>
  </si>
  <si>
    <t>204:233134</t>
  </si>
  <si>
    <t>204:233368</t>
  </si>
  <si>
    <t>204:233051</t>
  </si>
  <si>
    <t>204:513</t>
  </si>
  <si>
    <t>204:398</t>
  </si>
  <si>
    <t>204:522</t>
  </si>
  <si>
    <t>204:232984</t>
  </si>
  <si>
    <t>204:198</t>
  </si>
  <si>
    <t>204:233028</t>
  </si>
  <si>
    <t>204:233347</t>
  </si>
  <si>
    <t>204:233038</t>
  </si>
  <si>
    <t>204:427</t>
  </si>
  <si>
    <t>204:233330</t>
  </si>
  <si>
    <t>204:265</t>
  </si>
  <si>
    <t>204:504</t>
  </si>
  <si>
    <t>204:232959</t>
  </si>
  <si>
    <t>204:233353</t>
  </si>
  <si>
    <t>204:233324</t>
  </si>
  <si>
    <t>204:232992</t>
  </si>
  <si>
    <t>204:233015</t>
  </si>
  <si>
    <t>204:591</t>
  </si>
  <si>
    <t>204:233322</t>
  </si>
  <si>
    <t>204:233412</t>
  </si>
  <si>
    <t>204:233115</t>
  </si>
  <si>
    <t>204:233266</t>
  </si>
  <si>
    <t>204:232945</t>
  </si>
  <si>
    <t>204:130</t>
  </si>
  <si>
    <t>204:233385</t>
  </si>
  <si>
    <t>204:233079</t>
  </si>
  <si>
    <t>204:233398</t>
  </si>
  <si>
    <t>204:233104</t>
  </si>
  <si>
    <t>204:176</t>
  </si>
  <si>
    <t>204:233366</t>
  </si>
  <si>
    <t>204:233089</t>
  </si>
  <si>
    <t>204:233419</t>
  </si>
  <si>
    <t>204:233127</t>
  </si>
  <si>
    <t>204:232974</t>
  </si>
  <si>
    <t>204:236</t>
  </si>
  <si>
    <t>204:488</t>
  </si>
  <si>
    <t>204:154012</t>
  </si>
  <si>
    <t>300:19648</t>
  </si>
  <si>
    <t>204:533</t>
  </si>
  <si>
    <t>300:23346</t>
  </si>
  <si>
    <t>300:23136</t>
  </si>
  <si>
    <t>300:25124</t>
  </si>
  <si>
    <t>300:23536</t>
  </si>
  <si>
    <t>300:23304</t>
  </si>
  <si>
    <t>300:23726</t>
  </si>
  <si>
    <t>300:23302</t>
  </si>
  <si>
    <t>300:22121</t>
  </si>
  <si>
    <t>204:952</t>
  </si>
  <si>
    <t>204:1262</t>
  </si>
  <si>
    <t>300:24227</t>
  </si>
  <si>
    <t>204:359</t>
  </si>
  <si>
    <t>300:23312</t>
  </si>
  <si>
    <t>300:23282</t>
  </si>
  <si>
    <t>300:23281</t>
  </si>
  <si>
    <t>300:21973</t>
  </si>
  <si>
    <t>204:876</t>
  </si>
  <si>
    <t>300:5273</t>
  </si>
  <si>
    <t>204:1945</t>
  </si>
  <si>
    <t>204:1197</t>
  </si>
  <si>
    <t>300:5579</t>
  </si>
  <si>
    <t>300:23314</t>
  </si>
  <si>
    <t>204:729</t>
  </si>
  <si>
    <t>204:752</t>
  </si>
  <si>
    <t>204:1007</t>
  </si>
  <si>
    <t>204:724</t>
  </si>
  <si>
    <t>204:1037</t>
  </si>
  <si>
    <t>300:58609</t>
  </si>
  <si>
    <t>300:58948</t>
  </si>
  <si>
    <t>300:58645</t>
  </si>
  <si>
    <t>204:1042</t>
  </si>
  <si>
    <t>204:10515</t>
  </si>
  <si>
    <t>204:107322</t>
  </si>
  <si>
    <t>204:106965</t>
  </si>
  <si>
    <t>204:10275</t>
  </si>
  <si>
    <t>204:106999</t>
  </si>
  <si>
    <t>204:930</t>
  </si>
  <si>
    <t>204:908</t>
  </si>
  <si>
    <t>204:1011</t>
  </si>
  <si>
    <t>300:58640</t>
  </si>
  <si>
    <t>204:722</t>
  </si>
  <si>
    <t>204:1013</t>
  </si>
  <si>
    <t>300:58973</t>
  </si>
  <si>
    <t>300:58653</t>
  </si>
  <si>
    <t>204:717</t>
  </si>
  <si>
    <t>204:1006</t>
  </si>
  <si>
    <t>300:58950</t>
  </si>
  <si>
    <t>204:1009</t>
  </si>
  <si>
    <t>300:58958</t>
  </si>
  <si>
    <t>204:738</t>
  </si>
  <si>
    <t>300:58952</t>
  </si>
  <si>
    <t>300:58651</t>
  </si>
  <si>
    <t>204:759</t>
  </si>
  <si>
    <t>204:1046</t>
  </si>
  <si>
    <t>300:58943</t>
  </si>
  <si>
    <t>204:736</t>
  </si>
  <si>
    <t>204:1030</t>
  </si>
  <si>
    <t>300:58924</t>
  </si>
  <si>
    <t>204:974</t>
  </si>
  <si>
    <t>300:58931</t>
  </si>
  <si>
    <t>204:682</t>
  </si>
  <si>
    <t>204:692</t>
  </si>
  <si>
    <t>204:967</t>
  </si>
  <si>
    <t>300:58939</t>
  </si>
  <si>
    <t>204:978</t>
  </si>
  <si>
    <t>300:58928</t>
  </si>
  <si>
    <t>204:687</t>
  </si>
  <si>
    <t>300:58619</t>
  </si>
  <si>
    <t>204:636</t>
  </si>
  <si>
    <t>204:985</t>
  </si>
  <si>
    <t>300:57327</t>
  </si>
  <si>
    <t>300:58604</t>
  </si>
  <si>
    <t>300:57895</t>
  </si>
  <si>
    <t>204:943</t>
  </si>
  <si>
    <t>300:58636</t>
  </si>
  <si>
    <t>300:58954</t>
  </si>
  <si>
    <t>300:58626</t>
  </si>
  <si>
    <t>204:710</t>
  </si>
  <si>
    <t>204:981</t>
  </si>
  <si>
    <t>204:986</t>
  </si>
  <si>
    <t>300:58927</t>
  </si>
  <si>
    <t>300:30192</t>
  </si>
  <si>
    <t>300:23298</t>
  </si>
  <si>
    <t>204:745</t>
  </si>
  <si>
    <t>300:24570</t>
  </si>
  <si>
    <t>300:24076</t>
  </si>
  <si>
    <t>204:1189</t>
  </si>
  <si>
    <t>300:24246</t>
  </si>
  <si>
    <t>204:696</t>
  </si>
  <si>
    <t>300:28786</t>
  </si>
  <si>
    <t>300:21337</t>
  </si>
  <si>
    <t>start /low /b %USERPROFILE%\Documents\GitHub\eaglep3\Utilities\DownloadLogsFromS3.py --loco 4013 --day 2017-03-21</t>
  </si>
  <si>
    <t>start /low /b %USERPROFILE%\Documents\GitHub\eaglep3\Utilities\DownloadLogsFromS3.py --loco 4052 --day 2017-03-21</t>
  </si>
  <si>
    <t>start /low /b %USERPROFILE%\Documents\GitHub\eaglep3\Utilities\DownloadLogsFromS3.py --loco 4026 --day 2017-03-21</t>
  </si>
  <si>
    <t>start /low /b %USERPROFILE%\Documents\GitHub\eaglep3\Utilities\DownloadLogsFromS3.py --loco 4043 --day 2017-03-21</t>
  </si>
  <si>
    <t>start /low /b %USERPROFILE%\Documents\GitHub\eaglep3\Utilities\DownloadLogsFromS3.py --loco 4023 --day 2017-03-21</t>
  </si>
  <si>
    <t>start /low /b %USERPROFILE%\Documents\GitHub\eaglep3\Utilities\DownloadLogsFromS3.py --loco 4015 --day 2017-03-21</t>
  </si>
  <si>
    <t>start /low /b %USERPROFILE%\Documents\GitHub\eaglep3\Utilities\DownloadLogsFromS3.py --loco 4042 --day 2017-03-21</t>
  </si>
  <si>
    <t>start /low /b %USERPROFILE%\Documents\GitHub\eaglep3\Utilities\DownloadLogsFromS3.py --loco 4041 --day 2017-03-21</t>
  </si>
  <si>
    <t>start /low /b %USERPROFILE%\Documents\GitHub\eaglep3\Utilities\DownloadLogsFromS3.py --loco 4031 --day 2017-03-21</t>
  </si>
  <si>
    <t>start /low /b %USERPROFILE%\Documents\GitHub\eaglep3\Utilities\DownloadLogsFromS3.py --loco 4032 --day 2017-03-21</t>
  </si>
  <si>
    <t>start /low /b %USERPROFILE%\Documents\GitHub\eaglep3\Utilities\DownloadLogsFromS3.py --loco 4051 --day 2017-03-21</t>
  </si>
  <si>
    <t>start /low /b %USERPROFILE%\Documents\GitHub\eaglep3\Utilities\DownloadLogsFromS3.py --loco 4025 --day 2017-03-21</t>
  </si>
  <si>
    <t>start /low /b %USERPROFILE%\Documents\GitHub\eaglep3\Utilities\DownloadLogsFromS3.py --loco 4044 --day 2017-03-21</t>
  </si>
  <si>
    <t>start /low /b %USERPROFILE%\Documents\GitHub\eaglep3\Utilities\DownloadLogsFromS3.py --loco 4024 --day 2017-03-21</t>
  </si>
  <si>
    <t>start /low /b %USERPROFILE%\Documents\GitHub\eaglep3\Utilities\DownloadLogsFromS3.py --loco 4016 --day 2017-03-21</t>
  </si>
  <si>
    <t>start /low /b %USERPROFILE%\Documents\GitHub\eaglep3\Utilities\DownloadLogsFromS3.py --loco 4032 --day 2017-03-22</t>
  </si>
  <si>
    <t>start /low /b %USERPROFILE%\Documents\GitHub\eaglep3\Utilities\DownloadLogsFromS3.py --loco 4001 --day 2017-03-21</t>
  </si>
  <si>
    <t>start /low /b %USERPROFILE%\Documents\GitHub\eaglep3\Utilities\DownloadLogsFromS3.py --loco 4016 --day 2017-03-22</t>
  </si>
  <si>
    <t>start /low /b %USERPROFILE%\Documents\GitHub\eaglep3\Utilities\DownloadLogsFromS3.py --loco 4014 --day 2017-03-22</t>
  </si>
  <si>
    <t>start /low /b %USERPROFILE%\Documents\GitHub\eaglep3\Utilities\DownloadLogsFromS3.py --loco 4015 --day 2017-03-22</t>
  </si>
  <si>
    <t>start /low /b %USERPROFILE%\Documents\GitHub\eaglep3\Utilities\DownloadLogsFromS3.py --loco 4031 --day 2017-03-22</t>
  </si>
  <si>
    <t>start /low /b %USERPROFILE%\Documents\GitHub\eaglep3\Utilities\DownloadLogsFromS3.py --loco 4001 --day 2017-03-22</t>
  </si>
  <si>
    <t>start /low /b %USERPROFILE%\Documents\GitHub\eaglep3\Utilities\DownloadLogsFromS3.py --loco 4010 --day 2017-03-21</t>
  </si>
  <si>
    <t>start /low /b %USERPROFILE%\Documents\GitHub\eaglep3\Utilities\DownloadLogsFromS3.py --loco 4002 --day 2017-03-21</t>
  </si>
  <si>
    <t>DUS SW 1 failure</t>
  </si>
  <si>
    <t>Selected wrong track, but corrected</t>
  </si>
  <si>
    <t>Went active too close to Westminster 2S</t>
  </si>
  <si>
    <t>Form C</t>
  </si>
  <si>
    <t>http://stevetu21.github.io/eaglep3/load_kml.html?kml=http://rtdc.gmaps-snips.s3.amazonaws.com/13f0d763-3943-446b-a38e-6a61373f8ca0.kml</t>
  </si>
  <si>
    <t>304-21</t>
  </si>
  <si>
    <t>Extended Onboard Wi-MAX outage</t>
  </si>
  <si>
    <t>Nuisance faults noted; 40 mph "restriction" noted (early arrival banner)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</si>
</sst>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opLeftCell="A88" workbookViewId="0">
      <selection activeCell="V114" sqref="V11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42815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COUNTIFS($N$13:$N$9334,"&gt;0",$AG$13:$AG$9334,I1)</f>
        <v>119</v>
      </c>
      <c r="K5" s="40"/>
      <c r="L5" s="40"/>
      <c r="M5" s="41">
        <f>AVERAGEIFS($N$13:$N$9334,$AG$13:$AG$9334,I1)</f>
        <v>39.485154061797346</v>
      </c>
      <c r="N5" s="39">
        <f t="array" ref="N5">MIN(IF($AG$13:$AG$9334=I1,IF(ISNUMBER($N$13:$N$9334),IF($N$13:$N$9334&gt;0,$N$13:$N$9334))))</f>
        <v>34.583333329064772</v>
      </c>
      <c r="O5" s="3">
        <f t="array" ref="O5">MAX(IF($AG$13:$AG$9334=I1,IF(ISNUMBER($N$13:$N$9334),IF($N$13:$N$9334&gt;0,$N$13:$N$9334))))</f>
        <v>52.233333326876163</v>
      </c>
      <c r="P5" s="2"/>
      <c r="R5" s="74" t="s">
        <v>17</v>
      </c>
      <c r="S5" s="50">
        <f>COUNTIFS($N$13:$N$9334,"&gt;0",$AG$13:$AG$9334,R1)</f>
        <v>47</v>
      </c>
      <c r="T5" s="40"/>
      <c r="U5" s="177"/>
      <c r="V5" s="174">
        <f>AVERAGEIFS($N$13:$N$9334,$AG$13:$AG$9334,R1)</f>
        <v>14.926950353212614</v>
      </c>
      <c r="W5" s="175">
        <f t="array" ref="W5">MIN(IF($AG$13:$AG$9334=R1,IF(ISNUMBER($N$13:$N$9334),IF($N$13:$N$9334&gt;0,$N$13:$N$9334))))</f>
        <v>12.250000003259629</v>
      </c>
      <c r="X5" s="176">
        <f t="array" ref="X5">MAX(IF($AG$13:$AG$9334=R1,IF(ISNUMBER($N$13:$N$9334),IF($N$13:$N$9334&gt;0,$N$13:$N$9334))))</f>
        <v>18.849999995436519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COUNTIFS($P$13:$P$9334,"&gt;0",$AG$13:$AG$9334,I1)</f>
        <v>25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COUNTIFS($P$13:$P$9334,"&gt;0",$AG$13:$AG$9334,R1)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119</v>
      </c>
      <c r="K8" s="40"/>
      <c r="L8" s="40"/>
      <c r="M8" s="41">
        <f>M5</f>
        <v>39.485154061797346</v>
      </c>
      <c r="N8" s="39">
        <f>N5</f>
        <v>34.583333329064772</v>
      </c>
      <c r="O8" s="3">
        <f>O5</f>
        <v>52.233333326876163</v>
      </c>
      <c r="P8" s="2"/>
      <c r="R8" s="74" t="s">
        <v>16</v>
      </c>
      <c r="S8" s="50">
        <f>S5</f>
        <v>47</v>
      </c>
      <c r="T8" s="40"/>
      <c r="U8" s="177"/>
      <c r="V8" s="174">
        <f>V5</f>
        <v>14.926950353212614</v>
      </c>
      <c r="W8" s="175">
        <f>W5</f>
        <v>12.250000003259629</v>
      </c>
      <c r="X8" s="176">
        <f>X5</f>
        <v>18.849999995436519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0.82638888888888884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- 2017-03-21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641</v>
      </c>
      <c r="B13" s="7">
        <v>4044</v>
      </c>
      <c r="C13" s="21" t="s">
        <v>221</v>
      </c>
      <c r="D13" s="21" t="s">
        <v>830</v>
      </c>
      <c r="E13" s="13">
        <v>42815.128530092596</v>
      </c>
      <c r="F13" s="13">
        <v>42815.135960648149</v>
      </c>
      <c r="G13" s="7">
        <v>2</v>
      </c>
      <c r="H13" s="21" t="s">
        <v>477</v>
      </c>
      <c r="I13" s="13">
        <v>42815.160393518519</v>
      </c>
      <c r="J13" s="7">
        <v>0</v>
      </c>
      <c r="K13" s="98" t="str">
        <f t="shared" ref="K13:K76" si="0">IF(ISEVEN(B13),(B13-1)&amp;"/"&amp;B13,B13&amp;"/"&amp;(B13+1))</f>
        <v>4043/4044</v>
      </c>
      <c r="L13" s="21" t="str">
        <f>VLOOKUP(A13,'Trips&amp;Operators'!$C$1:$G$99999,5,FALSE)</f>
        <v>SANTIZO D. EDY</v>
      </c>
      <c r="M13" s="6">
        <f t="shared" ref="M13:M76" si="1">I13-F13</f>
        <v>2.4432870370219462E-2</v>
      </c>
      <c r="N13" s="7">
        <f>24*60*SUM($M13:$M13)</f>
        <v>35.183333333116025</v>
      </c>
      <c r="O13" s="7"/>
      <c r="P13" s="7"/>
      <c r="Q13" s="22"/>
      <c r="R13" s="22"/>
      <c r="S13" s="31">
        <f t="shared" ref="S13:S28" si="2">SUM(U13:U13)/IF(AG13="EC",12,1)</f>
        <v>1</v>
      </c>
      <c r="T13" s="46" t="str">
        <f t="shared" ref="T13:T76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-21T02:05:05-0600',mode:absolute,to:'2017-03-21T04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7" t="str">
        <f t="shared" ref="W13:W76" si="5">IF(AA13&lt;IF(AG13="EC",23,5.65),"Y","N")</f>
        <v>N</v>
      </c>
      <c r="X13" s="187" t="e">
        <f t="shared" ref="X13:X76" si="6">VALUE(LEFT(AD13,4))-VALUE(LEFT(AD12,4))</f>
        <v>#VALUE!</v>
      </c>
      <c r="Y13" s="62">
        <f t="shared" ref="Y13:Y47" si="7">RIGHT(D13,LEN(D13)-4)/10000</f>
        <v>7.2599999999999998E-2</v>
      </c>
      <c r="Z13" s="62">
        <f t="shared" ref="Z13:Z33" si="8">RIGHT(H13,LEN(H13)-4)/10000</f>
        <v>23.331399999999999</v>
      </c>
      <c r="AA13" s="62">
        <f t="shared" ref="AA13:AA76" si="9">ABS(Z13-Y13)</f>
        <v>23.258799999999997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0101-21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/stypes="app*4044*20170321*" /stext=" 09:.+((SYSTEM_STATE.+slice.+state.+changed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4044 --swversion DE.1.0.9.0 --startMP 204:726 --initTime 2017-03-21T03:05:05 --startdatetime 2017-03-21T03:15:47 --delay 2 --endMP 204:233314 --enddatetime 2017-03-21T03:50:58 --enforcementcount 0 &gt;&gt;C:\Users\stu\Documents\GitHub\eaglep3-reporting\EC\2017-03-21-refined-times.txt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{"issue":{"subject":"","project_id":79,"tracker_id":40,"status_id":1,"priority_id":2,"assigned_to_id":23,"start_date":"2017-03-21","description":"","custom_fields":[{"id":1,"name":"Subdivision","value":"EC"},{"id":4,"name":"Milepost","value":"23.3314"},{"id":17,"name":"Train ID","value":"101-21"},{"id":16,"name":"Locomotive ID","value":"4044"},{"id":130,"name":"Impact","value":""},{"id":150,"name":"Time of Event (Mountain Time)","value":"03:50:58"},{"id":151,"name":"Denver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4044 --day 2017-03-21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644</v>
      </c>
      <c r="B14" s="7">
        <v>4023</v>
      </c>
      <c r="C14" s="21" t="s">
        <v>221</v>
      </c>
      <c r="D14" s="21" t="s">
        <v>831</v>
      </c>
      <c r="E14" s="13">
        <v>42815.164282407408</v>
      </c>
      <c r="F14" s="13">
        <v>42815.174479166664</v>
      </c>
      <c r="G14" s="7">
        <v>1</v>
      </c>
      <c r="H14" s="21" t="s">
        <v>191</v>
      </c>
      <c r="I14" s="13">
        <v>42815.203009259261</v>
      </c>
      <c r="J14" s="7">
        <v>0</v>
      </c>
      <c r="K14" s="98" t="str">
        <f t="shared" si="0"/>
        <v>4023/4024</v>
      </c>
      <c r="L14" s="21" t="str">
        <f>VLOOKUP(A14,'Trips&amp;Operators'!$C$1:$G$99999,5,FALSE)</f>
        <v>SANTIZO D. EDY</v>
      </c>
      <c r="M14" s="6">
        <f t="shared" si="1"/>
        <v>2.8530092597065959E-2</v>
      </c>
      <c r="N14" s="7">
        <f>24*60*SUM($M14:$M14)</f>
        <v>41.083333339774981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-21T02:56:34-0600',mode:absolute,to:'2017-03-21T05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87" t="str">
        <f t="shared" si="5"/>
        <v>N</v>
      </c>
      <c r="X14" s="187">
        <f t="shared" si="6"/>
        <v>1</v>
      </c>
      <c r="Y14" s="62">
        <f t="shared" si="7"/>
        <v>23.2654</v>
      </c>
      <c r="Z14" s="62">
        <f t="shared" si="8"/>
        <v>1.4999999999999999E-2</v>
      </c>
      <c r="AA14" s="62">
        <f t="shared" si="9"/>
        <v>23.250399999999999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0102-21</v>
      </c>
      <c r="AE14" s="85" t="str">
        <f t="shared" si="11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14" s="82" t="str">
        <f t="shared" si="12"/>
        <v>"C:\Program Files (x86)\AstroGrep\AstroGrep.exe" /e /r /s /spath="%USERPROFILE%\AppData\Local\Temp\OnboardLogs" /stypes="app*4023*20170321*"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4023 --swversion DE.1.0.9.0 --startMP 204:232654 --initTime 2017-03-21T03:56:34 --startdatetime 2017-03-21T04:11:15 --delay 1 --endMP 204:150 --enddatetime 2017-03-21T04:52:20 --enforcementcount 0 &gt;&gt;C:\Users\stu\Documents\GitHub\eaglep3-reporting\EC\2017-03-21-refined-times.txt</v>
      </c>
      <c r="AI14" s="108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{"issue":{"subject":"","project_id":79,"tracker_id":40,"status_id":1,"priority_id":2,"assigned_to_id":23,"start_date":"2017-03-21","description":"","custom_fields":[{"id":1,"name":"Subdivision","value":"EC"},{"id":4,"name":"Milepost","value":"0.015"},{"id":17,"name":"Train ID","value":"102-21"},{"id":16,"name":"Locomotive ID","value":"4023"},{"id":130,"name":"Impact","value":""},{"id":150,"name":"Time of Event (Mountain Time)","value":"04:52:20"},{"id":151,"name":"Denver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9">"start /low /b "&amp;dls3logs&amp;" --loco "&amp;B14&amp;" --day "&amp;TEXT(F14,"YYYY-MM-DD")</f>
        <v>start /low /b %USERPROFILE%\Documents\GitHub\eaglep3\Utilities\DownloadLogsFromS3.py --loco 4023 --day 2017-03-21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592</v>
      </c>
      <c r="B15" s="7">
        <v>4016</v>
      </c>
      <c r="C15" s="21" t="s">
        <v>221</v>
      </c>
      <c r="D15" s="21" t="s">
        <v>832</v>
      </c>
      <c r="E15" s="13">
        <v>42815.1559375</v>
      </c>
      <c r="F15" s="13">
        <v>42815.157442129632</v>
      </c>
      <c r="G15" s="7">
        <v>1</v>
      </c>
      <c r="H15" s="21" t="s">
        <v>833</v>
      </c>
      <c r="I15" s="13">
        <v>42815.183379629627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MAELZER KURT</v>
      </c>
      <c r="M15" s="6">
        <f t="shared" si="1"/>
        <v>2.5937499995052349E-2</v>
      </c>
      <c r="N15" s="7">
        <f>24*60*SUM($M15:$M15)</f>
        <v>37.349999992875382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-21T02:44:33-0600',mode:absolute,to:'2017-03-21T05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87" t="str">
        <f t="shared" si="5"/>
        <v>N</v>
      </c>
      <c r="X15" s="187">
        <f t="shared" si="6"/>
        <v>1</v>
      </c>
      <c r="Y15" s="62">
        <f t="shared" si="7"/>
        <v>7.2300000000000003E-2</v>
      </c>
      <c r="Z15" s="62">
        <f t="shared" si="8"/>
        <v>23.3323</v>
      </c>
      <c r="AA15" s="62">
        <f t="shared" si="9"/>
        <v>23.26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0103-21</v>
      </c>
      <c r="AE15" s="85" t="str">
        <f t="shared" si="11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15" s="82" t="str">
        <f t="shared" si="12"/>
        <v>"C:\Program Files (x86)\AstroGrep\AstroGrep.exe" /e /r /s /spath="%USERPROFILE%\AppData\Local\Temp\OnboardLogs" /stypes="app*4016*20170321*" /stext=" 10:.+((SYSTEM_STATE.+slice.+state.+changed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7"/>
        <v>"%USERPROFILE%\Documents\GitHub\eaglep3\Utilities\RefineRTDCRunTimes.py" --tripid 103-21 --locoid 4016 --swversion DE.1.0.9.0 --startMP 204:723 --initTime 2017-03-21T03:44:33 --startdatetime 2017-03-21T03:46:43 --delay 1 --endMP 204:233323 --enddatetime 2017-03-21T04:24:04 --enforcementcount 0 &gt;&gt;C:\Users\stu\Documents\GitHub\eaglep3-reporting\EC\2017-03-21-refined-times.txt</v>
      </c>
      <c r="AI15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{"issue":{"subject":"","project_id":79,"tracker_id":40,"status_id":1,"priority_id":2,"assigned_to_id":23,"start_date":"2017-03-21","description":"","custom_fields":[{"id":1,"name":"Subdivision","value":"EC"},{"id":4,"name":"Milepost","value":"23.3323"},{"id":17,"name":"Train ID","value":"103-21"},{"id":16,"name":"Locomotive ID","value":"4016"},{"id":130,"name":"Impact","value":""},{"id":150,"name":"Time of Event (Mountain Time)","value":"04:24:04"},{"id":151,"name":"Denver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9"/>
        <v>start /low /b %USERPROFILE%\Documents\GitHub\eaglep3\Utilities\DownloadLogsFromS3.py --loco 4016 --day 2017-03-21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593</v>
      </c>
      <c r="B16" s="7">
        <v>4041</v>
      </c>
      <c r="C16" s="21" t="s">
        <v>221</v>
      </c>
      <c r="D16" s="21" t="s">
        <v>834</v>
      </c>
      <c r="E16" s="13">
        <v>42815.189375000002</v>
      </c>
      <c r="F16" s="13">
        <v>42815.195451388892</v>
      </c>
      <c r="G16" s="7">
        <v>2</v>
      </c>
      <c r="H16" s="21" t="s">
        <v>199</v>
      </c>
      <c r="I16" s="13">
        <v>42815.224027777775</v>
      </c>
      <c r="J16" s="7">
        <v>0</v>
      </c>
      <c r="K16" s="98" t="str">
        <f t="shared" si="0"/>
        <v>4041/4042</v>
      </c>
      <c r="L16" s="21" t="str">
        <f>VLOOKUP(A16,'Trips&amp;Operators'!$C$1:$G$99999,5,FALSE)</f>
        <v>MAELZER KURT</v>
      </c>
      <c r="M16" s="6">
        <f t="shared" si="1"/>
        <v>2.8576388882356696E-2</v>
      </c>
      <c r="N16" s="7">
        <f>24*60*SUM($M16:$M16)</f>
        <v>41.149999990593642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-21T03:32:42-0600',mode:absolute,to:'2017-03-21T06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87" t="str">
        <f t="shared" si="5"/>
        <v>N</v>
      </c>
      <c r="X16" s="187">
        <f t="shared" si="6"/>
        <v>1</v>
      </c>
      <c r="Y16" s="62">
        <f t="shared" si="7"/>
        <v>23.269400000000001</v>
      </c>
      <c r="Z16" s="62">
        <f t="shared" si="8"/>
        <v>1.52E-2</v>
      </c>
      <c r="AA16" s="62">
        <f t="shared" si="9"/>
        <v>23.254200000000001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0104-21</v>
      </c>
      <c r="AE16" s="85" t="str">
        <f t="shared" si="11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16" s="82" t="str">
        <f t="shared" si="12"/>
        <v>"C:\Program Files (x86)\AstroGrep\AstroGrep.exe" /e /r /s /spath="%USERPROFILE%\AppData\Local\Temp\OnboardLogs" /stypes="app*4041*20170321*"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7"/>
        <v>"%USERPROFILE%\Documents\GitHub\eaglep3\Utilities\RefineRTDCRunTimes.py" --tripid 104-21 --locoid 4041 --swversion DE.1.0.9.0 --startMP 204:232694 --initTime 2017-03-21T04:32:42 --startdatetime 2017-03-21T04:41:27 --delay 2 --endMP 204:152 --enddatetime 2017-03-21T05:22:36 --enforcementcount 0 &gt;&gt;C:\Users\stu\Documents\GitHub\eaglep3-reporting\EC\2017-03-21-refined-times.txt</v>
      </c>
      <c r="AI16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{"issue":{"subject":"","project_id":79,"tracker_id":40,"status_id":1,"priority_id":2,"assigned_to_id":23,"start_date":"2017-03-21","description":"","custom_fields":[{"id":1,"name":"Subdivision","value":"EC"},{"id":4,"name":"Milepost","value":"0.0152"},{"id":17,"name":"Train ID","value":"104-21"},{"id":16,"name":"Locomotive ID","value":"4041"},{"id":130,"name":"Impact","value":""},{"id":150,"name":"Time of Event (Mountain Time)","value":"05:22:36"},{"id":151,"name":"Denver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9"/>
        <v>start /low /b %USERPROFILE%\Documents\GitHub\eaglep3\Utilities\DownloadLogsFromS3.py --loco 4041 --day 2017-03-21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646</v>
      </c>
      <c r="B17" s="7">
        <v>4031</v>
      </c>
      <c r="C17" s="21" t="s">
        <v>221</v>
      </c>
      <c r="D17" s="21" t="s">
        <v>830</v>
      </c>
      <c r="E17" s="13">
        <v>42815.175486111111</v>
      </c>
      <c r="F17" s="13">
        <v>42815.177268518521</v>
      </c>
      <c r="G17" s="7">
        <v>1</v>
      </c>
      <c r="H17" s="21" t="s">
        <v>835</v>
      </c>
      <c r="I17" s="13">
        <v>42815.202974537038</v>
      </c>
      <c r="J17" s="7">
        <v>0</v>
      </c>
      <c r="K17" s="98" t="str">
        <f t="shared" si="0"/>
        <v>4031/4032</v>
      </c>
      <c r="L17" s="21" t="str">
        <f>VLOOKUP(A17,'Trips&amp;Operators'!$C$1:$G$99999,5,FALSE)</f>
        <v>STARKS ANGELINA</v>
      </c>
      <c r="M17" s="6">
        <f t="shared" si="1"/>
        <v>2.5706018517666962E-2</v>
      </c>
      <c r="N17" s="7">
        <f>24*60*SUM($M17:$M17)</f>
        <v>37.016666665440425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-21T03:12:42-0600',mode:absolute,to:'2017-03-21T05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7" t="str">
        <f t="shared" si="5"/>
        <v>N</v>
      </c>
      <c r="X17" s="187">
        <f t="shared" si="6"/>
        <v>1</v>
      </c>
      <c r="Y17" s="62">
        <f t="shared" si="7"/>
        <v>7.2599999999999998E-2</v>
      </c>
      <c r="Z17" s="62">
        <f t="shared" si="8"/>
        <v>23.328900000000001</v>
      </c>
      <c r="AA17" s="62">
        <f t="shared" si="9"/>
        <v>23.2563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0105-21</v>
      </c>
      <c r="AE17" s="85" t="str">
        <f t="shared" si="11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17" s="82" t="str">
        <f t="shared" si="12"/>
        <v>"C:\Program Files (x86)\AstroGrep\AstroGrep.exe" /e /r /s /spath="%USERPROFILE%\AppData\Local\Temp\OnboardLogs" /stypes="app*4031*20170321*" /stext=" 10:.+((SYSTEM_STATE.+slice.+state.+changed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7"/>
        <v>"%USERPROFILE%\Documents\GitHub\eaglep3\Utilities\RefineRTDCRunTimes.py" --tripid 105-21 --locoid 4031 --swversion DE.1.0.9.0 --startMP 204:726 --initTime 2017-03-21T04:12:42 --startdatetime 2017-03-21T04:15:16 --delay 1 --endMP 204:233289 --enddatetime 2017-03-21T04:52:17 --enforcementcount 0 &gt;&gt;C:\Users\stu\Documents\GitHub\eaglep3-reporting\EC\2017-03-21-refined-times.txt</v>
      </c>
      <c r="AI17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{"issue":{"subject":"","project_id":79,"tracker_id":40,"status_id":1,"priority_id":2,"assigned_to_id":23,"start_date":"2017-03-21","description":"","custom_fields":[{"id":1,"name":"Subdivision","value":"EC"},{"id":4,"name":"Milepost","value":"23.3289"},{"id":17,"name":"Train ID","value":"105-21"},{"id":16,"name":"Locomotive ID","value":"4031"},{"id":130,"name":"Impact","value":""},{"id":150,"name":"Time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9"/>
        <v>start /low /b %USERPROFILE%\Documents\GitHub\eaglep3\Utilities\DownloadLogsFromS3.py --loco 4031 --day 2017-03-21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659</v>
      </c>
      <c r="B18" s="7">
        <v>4013</v>
      </c>
      <c r="C18" s="21" t="s">
        <v>221</v>
      </c>
      <c r="D18" s="21" t="s">
        <v>836</v>
      </c>
      <c r="E18" s="13">
        <v>42815.214097222219</v>
      </c>
      <c r="F18" s="13">
        <v>42815.216134259259</v>
      </c>
      <c r="G18" s="7">
        <v>1</v>
      </c>
      <c r="H18" s="21" t="s">
        <v>837</v>
      </c>
      <c r="I18" s="13">
        <v>42815.241851851853</v>
      </c>
      <c r="J18" s="7">
        <v>0</v>
      </c>
      <c r="K18" s="98" t="str">
        <f t="shared" si="0"/>
        <v>4013/4014</v>
      </c>
      <c r="L18" s="21" t="str">
        <f>VLOOKUP(A18,'Trips&amp;Operators'!$C$1:$G$99999,5,FALSE)</f>
        <v>STARKS ANGELINA</v>
      </c>
      <c r="M18" s="6">
        <f t="shared" si="1"/>
        <v>2.5717592594446614E-2</v>
      </c>
      <c r="N18" s="7"/>
      <c r="O18" s="7"/>
      <c r="P18" s="7">
        <f>24*60*SUM($M18:$M18)</f>
        <v>37.033333336003125</v>
      </c>
      <c r="Q18" s="22"/>
      <c r="R18" s="22" t="s">
        <v>1058</v>
      </c>
      <c r="S18" s="31">
        <f t="shared" si="2"/>
        <v>1</v>
      </c>
      <c r="T18" s="46" t="str">
        <f t="shared" si="3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-21T04:08:18-0600',mode:absolute,to:'2017-03-21T06:48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87" t="str">
        <f t="shared" si="5"/>
        <v>Y</v>
      </c>
      <c r="X18" s="187">
        <f t="shared" si="6"/>
        <v>1</v>
      </c>
      <c r="Y18" s="62">
        <f t="shared" si="7"/>
        <v>23.264800000000001</v>
      </c>
      <c r="Z18" s="62">
        <f t="shared" si="8"/>
        <v>0.89510000000000001</v>
      </c>
      <c r="AA18" s="62">
        <f t="shared" si="9"/>
        <v>22.369700000000002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0106-21</v>
      </c>
      <c r="AE18" s="85" t="str">
        <f t="shared" si="11"/>
        <v>aws s3 cp s3://rtdc.mdm.uploadarchive.raw/RTDC4013/ "%USERPROFILE%\AppData\Local\Temp\OnboardLogs"\RTDC4013\2017-03-21 --exclude "*" --recursive --include "*20170321*" &amp; "%USERPROFILE%\Documents\GitHub\mrs-test-scripts\Headless Mode &amp; Sideloading\WalkAndUnGZ.bat" "%USERPROFILE%\AppData\Local\Temp\OnboardLogs"\RTDC4013\2017-03-21 &amp; 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</v>
      </c>
      <c r="AF18" s="82" t="str">
        <f t="shared" si="12"/>
        <v>"C:\Program Files (x86)\AstroGrep\AstroGrep.exe" /e /r /s /spath="%USERPROFILE%\AppData\Local\Temp\OnboardLogs" /stypes="app*4013*20170321*" /stext=" 11:.+((SYSTEM_STATE.+slice.+state.+changed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7"/>
        <v>"%USERPROFILE%\Documents\GitHub\eaglep3\Utilities\RefineRTDCRunTimes.py" --tripid 106-21 --locoid 4013 --swversion DE.1.0.9.0 --startMP 204:232648 --initTime 2017-03-21T05:08:18 --startdatetime 2017-03-21T05:11:14 --delay 1 --endMP 204:8951 --enddatetime 2017-03-21T05:48:16 --enforcementcount 0 &gt;&gt;C:\Users\stu\Documents\GitHub\eaglep3-reporting\EC\2017-03-21-refined-times.txt</v>
      </c>
      <c r="AI18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failure","project_id":79,"tracker_id":40,"status_id":1,"priority_id":2,"assigned_to_id":23,"start_date":"2017-03-21","description":"","custom_fields":[{"id":1,"name":"Subdivision","value":"EC"},{"id":4,"name":"Milepost","value":"0.8951"},{"id":17,"name":"Train ID","value":"106-21"},{"id":16,"name":"Locomotive ID","value":"4013"},{"id":130,"name":"Impact","value":""},{"id":150,"name":"Time of Event (Mountain Time)","value":"05:48:16"},{"id":151,"name":"Denver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9"/>
        <v>start /low /b %USERPROFILE%\Documents\GitHub\eaglep3\Utilities\DownloadLogsFromS3.py --loco 4013 --day 2017-03-21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"%USERPROFILE%\AppData\Local\Temp\OnboardLogs"\RTDC4013\*4013*20170321* | grep -SE "(Enforcement Action)|(\[TIMEOUT)|(CHR.+\|PRM\|1\|D.+(SWITCH|SIGNAL).+UNKNOWN)" - &gt;&gt; 2017-03-21-UncaughtWiMAX.txt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647</v>
      </c>
      <c r="B19" s="7">
        <v>4051</v>
      </c>
      <c r="C19" s="21" t="s">
        <v>221</v>
      </c>
      <c r="D19" s="21" t="s">
        <v>217</v>
      </c>
      <c r="E19" s="13">
        <v>42815.177766203706</v>
      </c>
      <c r="F19" s="13">
        <v>42815.187673611108</v>
      </c>
      <c r="G19" s="7">
        <v>1</v>
      </c>
      <c r="H19" s="21" t="s">
        <v>838</v>
      </c>
      <c r="I19" s="13">
        <v>42815.214826388888</v>
      </c>
      <c r="J19" s="7">
        <v>0</v>
      </c>
      <c r="K19" s="98" t="str">
        <f t="shared" si="0"/>
        <v>4051/4052</v>
      </c>
      <c r="L19" s="21" t="str">
        <f>VLOOKUP(A19,'Trips&amp;Operators'!$C$1:$G$99999,5,FALSE)</f>
        <v>GUZMAN DANNY</v>
      </c>
      <c r="M19" s="6">
        <f t="shared" si="1"/>
        <v>2.715277778042946E-2</v>
      </c>
      <c r="N19" s="7">
        <f>24*60*SUM($M19:$M19)</f>
        <v>39.100000003818423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-21T03:15:59-0600',mode:absolute,to:'2017-03-21T06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187" t="str">
        <f t="shared" si="5"/>
        <v>N</v>
      </c>
      <c r="X19" s="187">
        <f t="shared" si="6"/>
        <v>1</v>
      </c>
      <c r="Y19" s="62">
        <f t="shared" si="7"/>
        <v>4.4699999999999997E-2</v>
      </c>
      <c r="Z19" s="62">
        <f t="shared" si="8"/>
        <v>23.337</v>
      </c>
      <c r="AA19" s="62">
        <f t="shared" si="9"/>
        <v>23.292300000000001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0107-21</v>
      </c>
      <c r="AE19" s="85" t="str">
        <f t="shared" si="11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19" s="82" t="str">
        <f t="shared" si="12"/>
        <v>"C:\Program Files (x86)\AstroGrep\AstroGrep.exe" /e /r /s /spath="%USERPROFILE%\AppData\Local\Temp\OnboardLogs" /stypes="app*4051*20170321*"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7"/>
        <v>"%USERPROFILE%\Documents\GitHub\eaglep3\Utilities\RefineRTDCRunTimes.py" --tripid 107-21 --locoid 4051 --swversion DE.1.0.9.0 --startMP 204:447 --initTime 2017-03-21T04:15:59 --startdatetime 2017-03-21T04:30:15 --delay 1 --endMP 204:233370 --enddatetime 2017-03-21T05:09:21 --enforcementcount 0 &gt;&gt;C:\Users\stu\Documents\GitHub\eaglep3-reporting\EC\2017-03-21-refined-times.txt</v>
      </c>
      <c r="AI19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{"issue":{"subject":"","project_id":79,"tracker_id":40,"status_id":1,"priority_id":2,"assigned_to_id":23,"start_date":"2017-03-21","description":"","custom_fields":[{"id":1,"name":"Subdivision","value":"EC"},{"id":4,"name":"Milepost","value":"23.337"},{"id":17,"name":"Train ID","value":"107-21"},{"id":16,"name":"Locomotive ID","value":"4051"},{"id":130,"name":"Impact","value":""},{"id":150,"name":"Time of Event (Mountain Time)","value":"05:09:21"},{"id":151,"name":"Denver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9"/>
        <v>start /low /b %USERPROFILE%\Documents\GitHub\eaglep3\Utilities\DownloadLogsFromS3.py --loco 4051 --day 2017-03-21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660</v>
      </c>
      <c r="B20" s="7">
        <v>4052</v>
      </c>
      <c r="C20" s="21" t="s">
        <v>221</v>
      </c>
      <c r="D20" s="21" t="s">
        <v>225</v>
      </c>
      <c r="E20" s="13">
        <v>42815.221388888887</v>
      </c>
      <c r="F20" s="13">
        <v>42815.226550925923</v>
      </c>
      <c r="G20" s="7">
        <v>1</v>
      </c>
      <c r="H20" s="21" t="s">
        <v>839</v>
      </c>
      <c r="I20" s="13">
        <v>42815.254074074073</v>
      </c>
      <c r="J20" s="7">
        <v>0</v>
      </c>
      <c r="K20" s="98" t="str">
        <f t="shared" si="0"/>
        <v>4051/4052</v>
      </c>
      <c r="L20" s="21" t="str">
        <f>VLOOKUP(A20,'Trips&amp;Operators'!$C$1:$G$99999,5,FALSE)</f>
        <v>GUZMAN DANNY</v>
      </c>
      <c r="M20" s="6">
        <f t="shared" si="1"/>
        <v>2.7523148150066845E-2</v>
      </c>
      <c r="N20" s="7"/>
      <c r="O20" s="7"/>
      <c r="P20" s="7">
        <f>24*60*SUM($M20:$M20)</f>
        <v>39.633333336096257</v>
      </c>
      <c r="Q20" s="22"/>
      <c r="R20" s="22" t="s">
        <v>1058</v>
      </c>
      <c r="S20" s="31">
        <f t="shared" si="2"/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-21T04:18:48-0600',mode:absolute,to:'2017-03-21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" s="187" t="str">
        <f t="shared" si="5"/>
        <v>Y</v>
      </c>
      <c r="X20" s="187">
        <f t="shared" si="6"/>
        <v>1</v>
      </c>
      <c r="Y20" s="62">
        <f t="shared" si="7"/>
        <v>23.3</v>
      </c>
      <c r="Z20" s="62">
        <f t="shared" si="8"/>
        <v>0.38419999999999999</v>
      </c>
      <c r="AA20" s="62">
        <f t="shared" si="9"/>
        <v>22.915800000000001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0108-21</v>
      </c>
      <c r="AE20" s="85" t="str">
        <f t="shared" si="11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20" s="82" t="str">
        <f t="shared" si="12"/>
        <v>"C:\Program Files (x86)\AstroGrep\AstroGrep.exe" /e /r /s /spath="%USERPROFILE%\AppData\Local\Temp\OnboardLogs" /stypes="app*4052*20170321*"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7"/>
        <v>"%USERPROFILE%\Documents\GitHub\eaglep3\Utilities\RefineRTDCRunTimes.py" --tripid 108-21 --locoid 4052 --swversion DE.1.0.9.0 --startMP 204:233000 --initTime 2017-03-21T05:18:48 --startdatetime 2017-03-21T05:26:14 --delay 1 --endMP 204:3842 --enddatetime 2017-03-21T06:05:52 --enforcementcount 0 &gt;&gt;C:\Users\stu\Documents\GitHub\eaglep3-reporting\EC\2017-03-21-refined-times.txt</v>
      </c>
      <c r="AI20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failure","project_id":79,"tracker_id":40,"status_id":1,"priority_id":2,"assigned_to_id":23,"start_date":"2017-03-21","description":"","custom_fields":[{"id":1,"name":"Subdivision","value":"EC"},{"id":4,"name":"Milepost","value":"0.3842"},{"id":17,"name":"Train ID","value":"108-21"},{"id":16,"name":"Locomotive ID","value":"4052"},{"id":130,"name":"Impact","value":""},{"id":150,"name":"Time of Event (Mountain Time)","value":"06:05:52"},{"id":151,"name":"Denver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9"/>
        <v>start /low /b %USERPROFILE%\Documents\GitHub\eaglep3\Utilities\DownloadLogsFromS3.py --loco 4052 --day 2017-03-21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649</v>
      </c>
      <c r="B21" s="7">
        <v>4025</v>
      </c>
      <c r="C21" s="21" t="s">
        <v>221</v>
      </c>
      <c r="D21" s="21" t="s">
        <v>416</v>
      </c>
      <c r="E21" s="13">
        <v>42815.193240740744</v>
      </c>
      <c r="F21" s="13">
        <v>42815.198067129626</v>
      </c>
      <c r="G21" s="7">
        <v>1</v>
      </c>
      <c r="H21" s="21" t="s">
        <v>478</v>
      </c>
      <c r="I21" s="13">
        <v>42815.224849537037</v>
      </c>
      <c r="J21" s="7">
        <v>0</v>
      </c>
      <c r="K21" s="98" t="str">
        <f t="shared" si="0"/>
        <v>4025/4026</v>
      </c>
      <c r="L21" s="21" t="str">
        <f>VLOOKUP(A21,'Trips&amp;Operators'!$C$1:$G$99999,5,FALSE)</f>
        <v>DAVIS WENDY</v>
      </c>
      <c r="M21" s="6">
        <f t="shared" si="1"/>
        <v>2.6782407410792075E-2</v>
      </c>
      <c r="N21" s="7">
        <f>24*60*SUM($M21:$M21)</f>
        <v>38.566666671540588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-21T03:38:16-0600',mode:absolute,to:'2017-03-21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" s="187" t="str">
        <f t="shared" si="5"/>
        <v>N</v>
      </c>
      <c r="X21" s="187">
        <f t="shared" si="6"/>
        <v>1</v>
      </c>
      <c r="Y21" s="62">
        <f t="shared" si="7"/>
        <v>4.7300000000000002E-2</v>
      </c>
      <c r="Z21" s="62">
        <f t="shared" si="8"/>
        <v>23.3309</v>
      </c>
      <c r="AA21" s="62">
        <f t="shared" si="9"/>
        <v>23.2836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0109-21</v>
      </c>
      <c r="AE21" s="85" t="str">
        <f t="shared" si="11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21" s="82" t="str">
        <f t="shared" si="12"/>
        <v>"C:\Program Files (x86)\AstroGrep\AstroGrep.exe" /e /r /s /spath="%USERPROFILE%\AppData\Local\Temp\OnboardLogs" /stypes="app*4025*20170321*"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7"/>
        <v>"%USERPROFILE%\Documents\GitHub\eaglep3\Utilities\RefineRTDCRunTimes.py" --tripid 109-21 --locoid 4025 --swversion DE.1.0.9.0 --startMP 204:473 --initTime 2017-03-21T04:38:16 --startdatetime 2017-03-21T04:45:13 --delay 1 --endMP 204:233309 --enddatetime 2017-03-21T05:23:47 --enforcementcount 0 &gt;&gt;C:\Users\stu\Documents\GitHub\eaglep3-reporting\EC\2017-03-21-refined-times.txt</v>
      </c>
      <c r="AI21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{"issue":{"subject":"","project_id":79,"tracker_id":40,"status_id":1,"priority_id":2,"assigned_to_id":23,"start_date":"2017-03-21","description":"","custom_fields":[{"id":1,"name":"Subdivision","value":"EC"},{"id":4,"name":"Milepost","value":"23.3309"},{"id":17,"name":"Train ID","value":"109-21"},{"id":16,"name":"Locomotive ID","value":"4025"},{"id":130,"name":"Impact","value":""},{"id":150,"name":"Time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9"/>
        <v>start /low /b %USERPROFILE%\Documents\GitHub\eaglep3\Utilities\DownloadLogsFromS3.py --loco 4025 --day 2017-03-21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664</v>
      </c>
      <c r="B22" s="7">
        <v>4026</v>
      </c>
      <c r="C22" s="21" t="s">
        <v>221</v>
      </c>
      <c r="D22" s="21" t="s">
        <v>513</v>
      </c>
      <c r="E22" s="13">
        <v>42815.232986111114</v>
      </c>
      <c r="F22" s="13">
        <v>42815.236967592595</v>
      </c>
      <c r="G22" s="7">
        <v>1</v>
      </c>
      <c r="H22" s="21" t="s">
        <v>840</v>
      </c>
      <c r="I22" s="13">
        <v>42815.265717592592</v>
      </c>
      <c r="J22" s="7">
        <v>0</v>
      </c>
      <c r="K22" s="98" t="str">
        <f t="shared" si="0"/>
        <v>4025/4026</v>
      </c>
      <c r="L22" s="21" t="str">
        <f>VLOOKUP(A22,'Trips&amp;Operators'!$C$1:$G$99999,5,FALSE)</f>
        <v>DAVIS WENDY</v>
      </c>
      <c r="M22" s="6">
        <f t="shared" si="1"/>
        <v>2.8749999997671694E-2</v>
      </c>
      <c r="N22" s="7"/>
      <c r="O22" s="7"/>
      <c r="P22" s="7">
        <f>24*60*SUM($M22:$M22)</f>
        <v>41.399999996647239</v>
      </c>
      <c r="Q22" s="22"/>
      <c r="R22" s="22" t="s">
        <v>1058</v>
      </c>
      <c r="S22" s="31">
        <f t="shared" si="2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-21T04:35:30-0600',mode:absolute,to:'2017-03-21T07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" s="187" t="str">
        <f t="shared" si="5"/>
        <v>Y</v>
      </c>
      <c r="X22" s="187">
        <f t="shared" si="6"/>
        <v>1</v>
      </c>
      <c r="Y22" s="62">
        <f t="shared" si="7"/>
        <v>23.2988</v>
      </c>
      <c r="Z22" s="62">
        <f t="shared" si="8"/>
        <v>1.0542</v>
      </c>
      <c r="AA22" s="62">
        <f t="shared" si="9"/>
        <v>22.244599999999998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0110-21</v>
      </c>
      <c r="AE22" s="85" t="str">
        <f t="shared" si="11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22" s="82" t="str">
        <f t="shared" si="12"/>
        <v>"C:\Program Files (x86)\AstroGrep\AstroGrep.exe" /e /r /s /spath="%USERPROFILE%\AppData\Local\Temp\OnboardLogs" /stypes="app*4026*20170321*" /stext=" 12:.+((SYSTEM_STATE.+slice.+state.+changed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7"/>
        <v>"%USERPROFILE%\Documents\GitHub\eaglep3\Utilities\RefineRTDCRunTimes.py" --tripid 110-21 --locoid 4026 --swversion DE.1.0.9.0 --startMP 204:232988 --initTime 2017-03-21T05:35:30 --startdatetime 2017-03-21T05:41:14 --delay 1 --endMP 204:10542 --enddatetime 2017-03-21T06:22:38 --enforcementcount 0 &gt;&gt;C:\Users\stu\Documents\GitHub\eaglep3-reporting\EC\2017-03-21-refined-times.txt</v>
      </c>
      <c r="AI22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failure","project_id":79,"tracker_id":40,"status_id":1,"priority_id":2,"assigned_to_id":23,"start_date":"2017-03-21","description":"","custom_fields":[{"id":1,"name":"Subdivision","value":"EC"},{"id":4,"name":"Milepost","value":"1.0542"},{"id":17,"name":"Train ID","value":"110-21"},{"id":16,"name":"Locomotive ID","value":"4026"},{"id":130,"name":"Impact","value":""},{"id":150,"name":"Time of Event (Mountain Time)","value":"06:22:38"},{"id":151,"name":"Denver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9"/>
        <v>start /low /b %USERPROFILE%\Documents\GitHub\eaglep3\Utilities\DownloadLogsFromS3.py --loco 4026 --day 2017-03-21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655</v>
      </c>
      <c r="B23" s="7">
        <v>4044</v>
      </c>
      <c r="C23" s="21" t="s">
        <v>221</v>
      </c>
      <c r="D23" s="21" t="s">
        <v>841</v>
      </c>
      <c r="E23" s="13">
        <v>42815.205543981479</v>
      </c>
      <c r="F23" s="13">
        <v>42815.208749999998</v>
      </c>
      <c r="G23" s="7">
        <v>3</v>
      </c>
      <c r="H23" s="21" t="s">
        <v>842</v>
      </c>
      <c r="I23" s="13">
        <v>42815.233553240738</v>
      </c>
      <c r="J23" s="7">
        <v>0</v>
      </c>
      <c r="K23" s="98" t="str">
        <f t="shared" si="0"/>
        <v>4043/4044</v>
      </c>
      <c r="L23" s="21" t="str">
        <f>VLOOKUP(A23,'Trips&amp;Operators'!$C$1:$G$99999,5,FALSE)</f>
        <v>LOZA FIDEL</v>
      </c>
      <c r="M23" s="6">
        <f t="shared" si="1"/>
        <v>2.4803240739856847E-2</v>
      </c>
      <c r="N23" s="7">
        <f>24*60*SUM($M23:$M23)</f>
        <v>35.716666665393859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-21T03:55:59-0600',mode:absolute,to:'2017-03-21T06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7" t="str">
        <f t="shared" si="5"/>
        <v>N</v>
      </c>
      <c r="X23" s="187">
        <f t="shared" si="6"/>
        <v>1</v>
      </c>
      <c r="Y23" s="62">
        <f t="shared" si="7"/>
        <v>7.6999999999999999E-2</v>
      </c>
      <c r="Z23" s="62">
        <f t="shared" si="8"/>
        <v>23.339300000000001</v>
      </c>
      <c r="AA23" s="62">
        <f t="shared" si="9"/>
        <v>23.2623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0111-21</v>
      </c>
      <c r="AE23" s="85" t="str">
        <f t="shared" si="11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23" s="82" t="str">
        <f t="shared" si="12"/>
        <v>"C:\Program Files (x86)\AstroGrep\AstroGrep.exe" /e /r /s /spath="%USERPROFILE%\AppData\Local\Temp\OnboardLogs" /stypes="app*4044*20170321*" /stext=" 11:.+((SYSTEM_STATE.+slice.+state.+changed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7"/>
        <v>"%USERPROFILE%\Documents\GitHub\eaglep3\Utilities\RefineRTDCRunTimes.py" --tripid 111-21 --locoid 4044 --swversion DE.1.0.9.0 --startMP 204:770 --initTime 2017-03-21T04:55:59 --startdatetime 2017-03-21T05:00:36 --delay 3 --endMP 204:233393 --enddatetime 2017-03-21T05:36:19 --enforcementcount 0 &gt;&gt;C:\Users\stu\Documents\GitHub\eaglep3-reporting\EC\2017-03-21-refined-times.txt</v>
      </c>
      <c r="AI23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{"issue":{"subject":"","project_id":79,"tracker_id":40,"status_id":1,"priority_id":2,"assigned_to_id":23,"start_date":"2017-03-21","description":"","custom_fields":[{"id":1,"name":"Subdivision","value":"EC"},{"id":4,"name":"Milepost","value":"23.3393"},{"id":17,"name":"Train ID","value":"111-21"},{"id":16,"name":"Locomotive ID","value":"4044"},{"id":130,"name":"Impact","value":""},{"id":150,"name":"Time of Event (Mountain Time)","value":"05:36:19"},{"id":151,"name":"Denver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9"/>
        <v>start /low /b %USERPROFILE%\Documents\GitHub\eaglep3\Utilities\DownloadLogsFromS3.py --loco 4044 --day 2017-03-21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665</v>
      </c>
      <c r="B24" s="7">
        <v>4043</v>
      </c>
      <c r="C24" s="21" t="s">
        <v>221</v>
      </c>
      <c r="D24" s="21" t="s">
        <v>572</v>
      </c>
      <c r="E24" s="13">
        <v>42815.241967592592</v>
      </c>
      <c r="F24" s="13">
        <v>42815.290046296293</v>
      </c>
      <c r="G24" s="7">
        <v>3</v>
      </c>
      <c r="H24" s="21" t="s">
        <v>843</v>
      </c>
      <c r="I24" s="13">
        <v>42815.314872685187</v>
      </c>
      <c r="J24" s="7">
        <v>0</v>
      </c>
      <c r="K24" s="98" t="str">
        <f t="shared" si="0"/>
        <v>4043/4044</v>
      </c>
      <c r="L24" s="21" t="str">
        <f>VLOOKUP(A24,'Trips&amp;Operators'!$C$1:$G$99999,5,FALSE)</f>
        <v>LOZA FIDEL</v>
      </c>
      <c r="M24" s="6">
        <f t="shared" si="1"/>
        <v>2.4826388893416151E-2</v>
      </c>
      <c r="N24" s="7"/>
      <c r="O24" s="7"/>
      <c r="P24" s="7">
        <f>24*60*SUM($M24:$M24)</f>
        <v>35.750000006519258</v>
      </c>
      <c r="Q24" s="22"/>
      <c r="R24" s="22" t="s">
        <v>1058</v>
      </c>
      <c r="S24" s="31">
        <f t="shared" si="2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-21T04:48:26-0600',mode:absolute,to:'2017-03-21T08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87" t="str">
        <f t="shared" si="5"/>
        <v>Y</v>
      </c>
      <c r="X24" s="187">
        <f t="shared" si="6"/>
        <v>1</v>
      </c>
      <c r="Y24" s="62">
        <f t="shared" si="7"/>
        <v>23.3094</v>
      </c>
      <c r="Z24" s="62">
        <f t="shared" si="8"/>
        <v>0.31730000000000003</v>
      </c>
      <c r="AA24" s="62">
        <f t="shared" si="9"/>
        <v>22.992100000000001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0112-21</v>
      </c>
      <c r="AE24" s="85" t="str">
        <f t="shared" si="11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24" s="82" t="str">
        <f t="shared" si="12"/>
        <v>"C:\Program Files (x86)\AstroGrep\AstroGrep.exe" /e /r /s /spath="%USERPROFILE%\AppData\Local\Temp\OnboardLogs" /stypes="app*4043*20170321*" /stext=" 13:.+((SYSTEM_STATE.+slice.+state.+changed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7"/>
        <v>"%USERPROFILE%\Documents\GitHub\eaglep3\Utilities\RefineRTDCRunTimes.py" --tripid 112-21 --locoid 4043 --swversion DE.1.0.9.0 --startMP 204:233094 --initTime 2017-03-21T05:48:26 --startdatetime 2017-03-21T06:57:40 --delay 3 --endMP 204:3173 --enddatetime 2017-03-21T07:33:25 --enforcementcount 0 &gt;&gt;C:\Users\stu\Documents\GitHub\eaglep3-reporting\EC\2017-03-21-refined-times.txt</v>
      </c>
      <c r="AI24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failure","project_id":79,"tracker_id":40,"status_id":1,"priority_id":2,"assigned_to_id":23,"start_date":"2017-03-21","description":"","custom_fields":[{"id":1,"name":"Subdivision","value":"EC"},{"id":4,"name":"Milepost","value":"0.3173"},{"id":17,"name":"Train ID","value":"112-21"},{"id":16,"name":"Locomotive ID","value":"4043"},{"id":130,"name":"Impact","value":""},{"id":150,"name":"Time of Event (Mountain Time)","value":"07:33:25"},{"id":151,"name":"Denver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9"/>
        <v>start /low /b %USERPROFILE%\Documents\GitHub\eaglep3\Utilities\DownloadLogsFromS3.py --loco 4043 --day 2017-03-21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"%USERPROFILE%\AppData\Local\Temp\OnboardLogs"\RTDC4043\*4043*20170321* | grep -SE "(Enforcement Action)|(\[TIMEOUT)|(CHR.+\|PRM\|1\|D.+(SWITCH|SIGNAL).+UNKNOWN)" - &gt;&gt; 2017-03-21-UncaughtWiMAX.txt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654</v>
      </c>
      <c r="B25" s="7">
        <v>4024</v>
      </c>
      <c r="C25" s="21" t="s">
        <v>221</v>
      </c>
      <c r="D25" s="21" t="s">
        <v>392</v>
      </c>
      <c r="E25" s="13">
        <v>42815.209583333337</v>
      </c>
      <c r="F25" s="13">
        <v>42815.218900462962</v>
      </c>
      <c r="G25" s="7">
        <v>1</v>
      </c>
      <c r="H25" s="21" t="s">
        <v>844</v>
      </c>
      <c r="I25" s="13">
        <v>42815.243784722225</v>
      </c>
      <c r="J25" s="7">
        <v>0</v>
      </c>
      <c r="K25" s="98" t="str">
        <f t="shared" si="0"/>
        <v>4023/4024</v>
      </c>
      <c r="L25" s="21" t="str">
        <f>VLOOKUP(A25,'Trips&amp;Operators'!$C$1:$G$99999,5,FALSE)</f>
        <v>SANTIZO D. EDY</v>
      </c>
      <c r="M25" s="6">
        <f t="shared" si="1"/>
        <v>2.4884259262762498E-2</v>
      </c>
      <c r="N25" s="7">
        <f>24*60*SUM($M25:$M25)</f>
        <v>35.833333338377997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-21T04:01:48-0600',mode:absolute,to:'2017-03-21T06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87" t="str">
        <f t="shared" si="5"/>
        <v>N</v>
      </c>
      <c r="X25" s="187">
        <f t="shared" si="6"/>
        <v>1</v>
      </c>
      <c r="Y25" s="62">
        <f t="shared" si="7"/>
        <v>4.6199999999999998E-2</v>
      </c>
      <c r="Z25" s="62">
        <f t="shared" si="8"/>
        <v>23.343499999999999</v>
      </c>
      <c r="AA25" s="62">
        <f t="shared" si="9"/>
        <v>23.2973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0113-21</v>
      </c>
      <c r="AE25" s="85" t="str">
        <f t="shared" si="11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25" s="82" t="str">
        <f t="shared" si="12"/>
        <v>"C:\Program Files (x86)\AstroGrep\AstroGrep.exe" /e /r /s /spath="%USERPROFILE%\AppData\Local\Temp\OnboardLogs" /stypes="app*4024*20170321*"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7"/>
        <v>"%USERPROFILE%\Documents\GitHub\eaglep3\Utilities\RefineRTDCRunTimes.py" --tripid 113-21 --locoid 4024 --swversion DE.1.0.9.0 --startMP 204:462 --initTime 2017-03-21T05:01:48 --startdatetime 2017-03-21T05:15:13 --delay 1 --endMP 204:233435 --enddatetime 2017-03-21T05:51:03 --enforcementcount 0 &gt;&gt;C:\Users\stu\Documents\GitHub\eaglep3-reporting\EC\2017-03-21-refined-times.txt</v>
      </c>
      <c r="AI25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{"issue":{"subject":"","project_id":79,"tracker_id":40,"status_id":1,"priority_id":2,"assigned_to_id":23,"start_date":"2017-03-21","description":"","custom_fields":[{"id":1,"name":"Subdivision","value":"EC"},{"id":4,"name":"Milepost","value":"23.3435"},{"id":17,"name":"Train ID","value":"113-21"},{"id":16,"name":"Locomotive ID","value":"4024"},{"id":130,"name":"Impact","value":""},{"id":150,"name":"Time of Event (Mountain Time)","value":"05:51:03"},{"id":151,"name":"Denver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9"/>
        <v>start /low /b %USERPROFILE%\Documents\GitHub\eaglep3\Utilities\DownloadLogsFromS3.py --loco 4024 --day 2017-03-21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666</v>
      </c>
      <c r="B26" s="7">
        <v>4023</v>
      </c>
      <c r="C26" s="21" t="s">
        <v>221</v>
      </c>
      <c r="D26" s="21" t="s">
        <v>845</v>
      </c>
      <c r="E26" s="13">
        <v>42815.246064814812</v>
      </c>
      <c r="F26" s="13">
        <v>42815.258113425924</v>
      </c>
      <c r="G26" s="7">
        <v>1</v>
      </c>
      <c r="H26" s="21" t="s">
        <v>846</v>
      </c>
      <c r="I26" s="13">
        <v>42815.28802083333</v>
      </c>
      <c r="J26" s="7">
        <v>0</v>
      </c>
      <c r="K26" s="98" t="str">
        <f t="shared" si="0"/>
        <v>4023/4024</v>
      </c>
      <c r="L26" s="21" t="str">
        <f>VLOOKUP(A26,'Trips&amp;Operators'!$C$1:$G$99999,5,FALSE)</f>
        <v>SANTIZO D. EDY</v>
      </c>
      <c r="M26" s="6">
        <f t="shared" si="1"/>
        <v>2.9907407406426501E-2</v>
      </c>
      <c r="N26" s="7"/>
      <c r="O26" s="7"/>
      <c r="P26" s="7">
        <f>24*60*SUM($M26:$M26)</f>
        <v>43.066666665254161</v>
      </c>
      <c r="Q26" s="22"/>
      <c r="R26" s="22" t="s">
        <v>1058</v>
      </c>
      <c r="S26" s="31">
        <f t="shared" si="2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-21T04:54:20-0600',mode:absolute,to:'2017-03-21T07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87" t="str">
        <f t="shared" si="5"/>
        <v>Y</v>
      </c>
      <c r="X26" s="187">
        <f t="shared" si="6"/>
        <v>1</v>
      </c>
      <c r="Y26" s="62">
        <f t="shared" si="7"/>
        <v>23.309899999999999</v>
      </c>
      <c r="Z26" s="62">
        <f t="shared" si="8"/>
        <v>0.51439999999999997</v>
      </c>
      <c r="AA26" s="62">
        <f t="shared" si="9"/>
        <v>22.795500000000001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0114-21</v>
      </c>
      <c r="AE26" s="85" t="str">
        <f t="shared" si="11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26" s="82" t="str">
        <f t="shared" si="12"/>
        <v>"C:\Program Files (x86)\AstroGrep\AstroGrep.exe" /e /r /s /spath="%USERPROFILE%\AppData\Local\Temp\OnboardLogs" /stypes="app*4023*20170321*"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7"/>
        <v>"%USERPROFILE%\Documents\GitHub\eaglep3\Utilities\RefineRTDCRunTimes.py" --tripid 114-21 --locoid 4023 --swversion DE.1.0.9.0 --startMP 204:233099 --initTime 2017-03-21T05:54:20 --startdatetime 2017-03-21T06:11:41 --delay 1 --endMP 204:5144 --enddatetime 2017-03-21T06:54:45 --enforcementcount 0 &gt;&gt;C:\Users\stu\Documents\GitHub\eaglep3-reporting\EC\2017-03-21-refined-times.txt</v>
      </c>
      <c r="AI26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failure","project_id":79,"tracker_id":40,"status_id":1,"priority_id":2,"assigned_to_id":23,"start_date":"2017-03-21","description":"","custom_fields":[{"id":1,"name":"Subdivision","value":"EC"},{"id":4,"name":"Milepost","value":"0.5144"},{"id":17,"name":"Train ID","value":"114-21"},{"id":16,"name":"Locomotive ID","value":"4023"},{"id":130,"name":"Impact","value":""},{"id":150,"name":"Time of Event (Mountain Time)","value":"06:54:45"},{"id":151,"name":"Denver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9"/>
        <v>start /low /b %USERPROFILE%\Documents\GitHub\eaglep3\Utilities\DownloadLogsFromS3.py --loco 4023 --day 2017-03-21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663</v>
      </c>
      <c r="B27" s="7">
        <v>4016</v>
      </c>
      <c r="C27" s="21" t="s">
        <v>221</v>
      </c>
      <c r="D27" s="21" t="s">
        <v>832</v>
      </c>
      <c r="E27" s="13">
        <v>42815.227025462962</v>
      </c>
      <c r="F27" s="13">
        <v>42815.229618055557</v>
      </c>
      <c r="G27" s="7">
        <v>2</v>
      </c>
      <c r="H27" s="21" t="s">
        <v>847</v>
      </c>
      <c r="I27" s="13">
        <v>42815.257719907408</v>
      </c>
      <c r="J27" s="7">
        <v>0</v>
      </c>
      <c r="K27" s="98" t="str">
        <f t="shared" si="0"/>
        <v>4015/4016</v>
      </c>
      <c r="L27" s="21" t="str">
        <f>VLOOKUP(A27,'Trips&amp;Operators'!$C$1:$G$99999,5,FALSE)</f>
        <v>SULLIVAN BRANDON</v>
      </c>
      <c r="M27" s="6">
        <f t="shared" si="1"/>
        <v>2.810185185080627E-2</v>
      </c>
      <c r="N27" s="7">
        <f>24*60*SUM($M27:$M27)</f>
        <v>40.466666665161029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-21T04:26:55-0600',mode:absolute,to:'2017-03-21T07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7" t="str">
        <f t="shared" si="5"/>
        <v>N</v>
      </c>
      <c r="X27" s="187">
        <f t="shared" si="6"/>
        <v>1</v>
      </c>
      <c r="Y27" s="62">
        <f t="shared" si="7"/>
        <v>7.2300000000000003E-2</v>
      </c>
      <c r="Z27" s="62">
        <f t="shared" si="8"/>
        <v>23.332699999999999</v>
      </c>
      <c r="AA27" s="62">
        <f t="shared" si="9"/>
        <v>23.260400000000001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0115-21</v>
      </c>
      <c r="AE27" s="85" t="str">
        <f t="shared" si="11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27" s="82" t="str">
        <f t="shared" si="12"/>
        <v>"C:\Program Files (x86)\AstroGrep\AstroGrep.exe" /e /r /s /spath="%USERPROFILE%\AppData\Local\Temp\OnboardLogs" /stypes="app*4016*20170321*" /stext=" 12:.+((SYSTEM_STATE.+slice.+state.+changed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7"/>
        <v>"%USERPROFILE%\Documents\GitHub\eaglep3\Utilities\RefineRTDCRunTimes.py" --tripid 115-21 --locoid 4016 --swversion DE.1.0.9.0 --startMP 204:723 --initTime 2017-03-21T05:26:55 --startdatetime 2017-03-21T05:30:39 --delay 2 --endMP 204:233327 --enddatetime 2017-03-21T06:11:07 --enforcementcount 0 &gt;&gt;C:\Users\stu\Documents\GitHub\eaglep3-reporting\EC\2017-03-21-refined-times.txt</v>
      </c>
      <c r="AI27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{"issue":{"subject":"","project_id":79,"tracker_id":40,"status_id":1,"priority_id":2,"assigned_to_id":23,"start_date":"2017-03-21","description":"","custom_fields":[{"id":1,"name":"Subdivision","value":"EC"},{"id":4,"name":"Milepost","value":"23.3327"},{"id":17,"name":"Train ID","value":"115-21"},{"id":16,"name":"Locomotive ID","value":"4016"},{"id":130,"name":"Impact","value":""},{"id":150,"name":"Time of Event (Mountain Time)","value":"06:11:07"},{"id":151,"name":"Denver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9"/>
        <v>start /low /b %USERPROFILE%\Documents\GitHub\eaglep3\Utilities\DownloadLogsFromS3.py --loco 4016 --day 2017-03-21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669</v>
      </c>
      <c r="B28" s="7">
        <v>4015</v>
      </c>
      <c r="C28" s="21" t="s">
        <v>221</v>
      </c>
      <c r="D28" s="21" t="s">
        <v>848</v>
      </c>
      <c r="E28" s="13">
        <v>42815.262499999997</v>
      </c>
      <c r="F28" s="13">
        <v>42815.268599537034</v>
      </c>
      <c r="G28" s="7">
        <v>1</v>
      </c>
      <c r="H28" s="21" t="s">
        <v>849</v>
      </c>
      <c r="I28" s="13">
        <v>42815.301493055558</v>
      </c>
      <c r="J28" s="7">
        <v>0</v>
      </c>
      <c r="K28" s="98" t="str">
        <f t="shared" si="0"/>
        <v>4015/4016</v>
      </c>
      <c r="L28" s="21" t="str">
        <f>VLOOKUP(A28,'Trips&amp;Operators'!$C$1:$G$99999,5,FALSE)</f>
        <v>SULLIVAN BRANDON</v>
      </c>
      <c r="M28" s="6">
        <f t="shared" si="1"/>
        <v>3.2893518524360843E-2</v>
      </c>
      <c r="N28" s="7"/>
      <c r="O28" s="7"/>
      <c r="P28" s="7">
        <f>24*60*SUM($M28:$M28)</f>
        <v>47.366666675079614</v>
      </c>
      <c r="Q28" s="22"/>
      <c r="R28" s="22" t="s">
        <v>1058</v>
      </c>
      <c r="S28" s="31">
        <f t="shared" si="2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-21T05:18:00-0600',mode:absolute,to:'2017-03-21T08:14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87" t="str">
        <f t="shared" si="5"/>
        <v>Y</v>
      </c>
      <c r="X28" s="187">
        <f t="shared" si="6"/>
        <v>1</v>
      </c>
      <c r="Y28" s="62">
        <f t="shared" si="7"/>
        <v>23.3017</v>
      </c>
      <c r="Z28" s="62">
        <f t="shared" si="8"/>
        <v>0.33839999999999998</v>
      </c>
      <c r="AA28" s="62">
        <f t="shared" si="9"/>
        <v>22.9633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0116-21</v>
      </c>
      <c r="AE28" s="85" t="str">
        <f t="shared" si="11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28" s="82" t="str">
        <f t="shared" si="12"/>
        <v>"C:\Program Files (x86)\AstroGrep\AstroGrep.exe" /e /r /s /spath="%USERPROFILE%\AppData\Local\Temp\OnboardLogs" /stypes="app*4015*20170321*" /stext=" 13:.+((SYSTEM_STATE.+slice.+state.+changed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7"/>
        <v>"%USERPROFILE%\Documents\GitHub\eaglep3\Utilities\RefineRTDCRunTimes.py" --tripid 116-21 --locoid 4015 --swversion DE.1.0.9.0 --startMP 204:233017 --initTime 2017-03-21T06:18:00 --startdatetime 2017-03-21T06:26:47 --delay 1 --endMP 204:3384 --enddatetime 2017-03-21T07:14:09 --enforcementcount 0 &gt;&gt;C:\Users\stu\Documents\GitHub\eaglep3-reporting\EC\2017-03-21-refined-times.txt</v>
      </c>
      <c r="AI28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failure","project_id":79,"tracker_id":40,"status_id":1,"priority_id":2,"assigned_to_id":23,"start_date":"2017-03-21","description":"","custom_fields":[{"id":1,"name":"Subdivision","value":"EC"},{"id":4,"name":"Milepost","value":"0.3384"},{"id":17,"name":"Train ID","value":"116-21"},{"id":16,"name":"Locomotive ID","value":"4015"},{"id":130,"name":"Impact","value":""},{"id":150,"name":"Time of Event (Mountain Time)","value":"07:14:09"},{"id":151,"name":"Denver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9"/>
        <v>start /low /b %USERPROFILE%\Documents\GitHub\eaglep3\Utilities\DownloadLogsFromS3.py --loco 4015 --day 2017-03-21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"%USERPROFILE%\AppData\Local\Temp\OnboardLogs"\RTDC4015\*4015*20170321* | grep -SE "(Enforcement Action)|(\[TIMEOUT)|(CHR.+\|PRM\|1\|D.+(SWITCH|SIGNAL).+UNKNOWN)" - &gt;&gt; 2017-03-21-UncaughtWiMAX.txt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661</v>
      </c>
      <c r="B29" s="7">
        <v>4042</v>
      </c>
      <c r="C29" s="21" t="s">
        <v>221</v>
      </c>
      <c r="D29" s="21" t="s">
        <v>850</v>
      </c>
      <c r="E29" s="13">
        <v>42815.245578703703</v>
      </c>
      <c r="F29" s="13">
        <v>42815.246493055558</v>
      </c>
      <c r="G29" s="7">
        <v>1</v>
      </c>
      <c r="H29" s="21" t="s">
        <v>851</v>
      </c>
      <c r="I29" s="13">
        <v>42815.268229166664</v>
      </c>
      <c r="J29" s="7">
        <v>0</v>
      </c>
      <c r="K29" s="98" t="str">
        <f t="shared" si="0"/>
        <v>4041/4042</v>
      </c>
      <c r="L29" s="21" t="str">
        <f>VLOOKUP(A29,'Trips&amp;Operators'!$C$1:$G$99999,5,FALSE)</f>
        <v>MAELZER KURT</v>
      </c>
      <c r="M29" s="6">
        <f t="shared" si="1"/>
        <v>2.173611110629281E-2</v>
      </c>
      <c r="N29" s="7"/>
      <c r="O29" s="7"/>
      <c r="P29" s="7">
        <f>24*60*SUM($M29:$M29)</f>
        <v>31.299999993061647</v>
      </c>
      <c r="Q29" s="22"/>
      <c r="R29" s="22" t="s">
        <v>1058</v>
      </c>
      <c r="S29" s="31">
        <f>SUM(U29:U30)/IF(AG29="EC",12,1)</f>
        <v>1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-21T04:53:38-0600',mode:absolute,to:'2017-03-21T07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87" t="str">
        <f t="shared" si="5"/>
        <v>Y</v>
      </c>
      <c r="X29" s="187">
        <f t="shared" si="6"/>
        <v>1</v>
      </c>
      <c r="Y29" s="62">
        <f t="shared" si="7"/>
        <v>1.9134</v>
      </c>
      <c r="Z29" s="62">
        <f t="shared" si="8"/>
        <v>23.3291</v>
      </c>
      <c r="AA29" s="62">
        <f t="shared" si="9"/>
        <v>21.415700000000001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0117-21</v>
      </c>
      <c r="AE29" s="85" t="str">
        <f t="shared" si="11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29" s="82" t="str">
        <f t="shared" si="12"/>
        <v>"C:\Program Files (x86)\AstroGrep\AstroGrep.exe" /e /r /s /spath="%USERPROFILE%\AppData\Local\Temp\OnboardLogs" /stypes="app*4042*20170321*" /stext=" 12:.+((SYSTEM_STATE.+slice.+state.+changed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7"/>
        <v>"%USERPROFILE%\Documents\GitHub\eaglep3\Utilities\RefineRTDCRunTimes.py" --tripid 117-21 --locoid 4042 --swversion DE.1.0.9.0 --startMP 204:19134 --initTime 2017-03-21T05:53:38 --startdatetime 2017-03-21T05:54:57 --delay 1 --endMP 204:233291 --enddatetime 2017-03-21T06:26:15 --enforcementcount 0 &gt;&gt;C:\Users\stu\Documents\GitHub\eaglep3-reporting\EC\2017-03-21-refined-times.txt</v>
      </c>
      <c r="AI29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failure","project_id":79,"tracker_id":40,"status_id":1,"priority_id":2,"assigned_to_id":23,"start_date":"2017-03-21","description":"","custom_fields":[{"id":1,"name":"Subdivision","value":"EC"},{"id":4,"name":"Milepost","value":"23.3291"},{"id":17,"name":"Train ID","value":"117-21"},{"id":16,"name":"Locomotive ID","value":"4042"},{"id":130,"name":"Impact","value":""},{"id":150,"name":"Time of Event (Mountain Time)","value":"06:26:15"},{"id":151,"name":"Denver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9"/>
        <v>start /low /b %USERPROFILE%\Documents\GitHub\eaglep3\Utilities\DownloadLogsFromS3.py --loco 4042 --day 2017-03-21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661</v>
      </c>
      <c r="B30" s="7">
        <v>4042</v>
      </c>
      <c r="C30" s="21" t="s">
        <v>221</v>
      </c>
      <c r="D30" s="21" t="s">
        <v>852</v>
      </c>
      <c r="E30" s="13">
        <v>42815.226747685185</v>
      </c>
      <c r="F30" s="13">
        <v>42815.246493055558</v>
      </c>
      <c r="G30" s="7">
        <v>1</v>
      </c>
      <c r="H30" s="21" t="s">
        <v>853</v>
      </c>
      <c r="I30" s="13">
        <v>42815.268229166664</v>
      </c>
      <c r="J30" s="7">
        <v>0</v>
      </c>
      <c r="K30" s="98" t="str">
        <f t="shared" si="0"/>
        <v>4041/4042</v>
      </c>
      <c r="L30" s="21" t="str">
        <f>VLOOKUP(A30,'Trips&amp;Operators'!$C$1:$G$99999,5,FALSE)</f>
        <v>MAELZER KURT</v>
      </c>
      <c r="M30" s="6">
        <f t="shared" si="1"/>
        <v>2.173611110629281E-2</v>
      </c>
      <c r="N30" s="7"/>
      <c r="O30" s="7"/>
      <c r="P30" s="7"/>
      <c r="Q30" s="22"/>
      <c r="R30" s="22"/>
      <c r="S30" s="31"/>
      <c r="T30" s="46" t="str">
        <f t="shared" si="3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-21T04:26:31-0600',mode:absolute,to:'2017-03-21T07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0" s="187" t="str">
        <f t="shared" si="5"/>
        <v>Y</v>
      </c>
      <c r="X30" s="187">
        <f t="shared" si="6"/>
        <v>0</v>
      </c>
      <c r="Y30" s="62">
        <f t="shared" si="7"/>
        <v>4.3799999999999999E-2</v>
      </c>
      <c r="Z30" s="62">
        <f t="shared" si="8"/>
        <v>9.69E-2</v>
      </c>
      <c r="AA30" s="62">
        <f t="shared" si="9"/>
        <v>5.3100000000000001E-2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0117-21</v>
      </c>
      <c r="AE30" s="85" t="str">
        <f t="shared" si="11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30" s="82" t="str">
        <f t="shared" si="12"/>
        <v>"C:\Program Files (x86)\AstroGrep\AstroGrep.exe" /e /r /s /spath="%USERPROFILE%\AppData\Local\Temp\OnboardLogs" /stypes="app*4042*20170321*" /stext=" 12:.+((SYSTEM_STATE.+slice.+state.+changed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7"/>
        <v>"%USERPROFILE%\Documents\GitHub\eaglep3\Utilities\RefineRTDCRunTimes.py" --tripid 117-21 --locoid 4042 --swversion DE.1.0.9.0 --startMP 204:438 --initTime 2017-03-21T05:26:31 --startdatetime 2017-03-21T05:54:57 --delay 1 --endMP 204:969 --enddatetime 2017-03-21T06:26:15 --enforcementcount 0 &gt;&gt;C:\Users\stu\Documents\GitHub\eaglep3-reporting\EC\2017-03-21-refined-times.txt</v>
      </c>
      <c r="AI30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{"issue":{"subject":"","project_id":79,"tracker_id":40,"status_id":1,"priority_id":2,"assigned_to_id":23,"start_date":"2017-03-21","description":"","custom_fields":[{"id":1,"name":"Subdivision","value":"EC"},{"id":4,"name":"Milepost","value":"0.0969"},{"id":17,"name":"Train ID","value":"117-21"},{"id":16,"name":"Locomotive ID","value":"4042"},{"id":130,"name":"Impact","value":""},{"id":150,"name":"Time of Event (Mountain Time)","value":"06:26:15"},{"id":151,"name":"Denver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9"/>
        <v>start /low /b %USERPROFILE%\Documents\GitHub\eaglep3\Utilities\DownloadLogsFromS3.py --loco 4042 --day 2017-03-21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671</v>
      </c>
      <c r="B31" s="7">
        <v>4041</v>
      </c>
      <c r="C31" s="21" t="s">
        <v>221</v>
      </c>
      <c r="D31" s="21" t="s">
        <v>484</v>
      </c>
      <c r="E31" s="13">
        <v>42815.275277777779</v>
      </c>
      <c r="F31" s="13">
        <v>42815.278796296298</v>
      </c>
      <c r="G31" s="7">
        <v>1</v>
      </c>
      <c r="H31" s="21" t="s">
        <v>854</v>
      </c>
      <c r="I31" s="13">
        <v>42815.308506944442</v>
      </c>
      <c r="J31" s="7">
        <v>0</v>
      </c>
      <c r="K31" s="98" t="str">
        <f t="shared" si="0"/>
        <v>4041/4042</v>
      </c>
      <c r="L31" s="21" t="str">
        <f>VLOOKUP(A31,'Trips&amp;Operators'!$C$1:$G$99999,5,FALSE)</f>
        <v>MAELZER KURT</v>
      </c>
      <c r="M31" s="6">
        <f t="shared" si="1"/>
        <v>2.9710648144828156E-2</v>
      </c>
      <c r="N31" s="7"/>
      <c r="O31" s="7"/>
      <c r="P31" s="7">
        <f>24*60*SUM($M31:$M31)</f>
        <v>42.783333328552544</v>
      </c>
      <c r="Q31" s="22"/>
      <c r="R31" s="22" t="s">
        <v>1058</v>
      </c>
      <c r="S31" s="31">
        <f>SUM(U31:U31)/IF(AG31="EC",12,1)</f>
        <v>1</v>
      </c>
      <c r="T31" s="46" t="str">
        <f t="shared" si="3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-21T05:36:24-0600',mode:absolute,to:'2017-03-21T08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1" s="187" t="str">
        <f t="shared" si="5"/>
        <v>Y</v>
      </c>
      <c r="X31" s="187">
        <f t="shared" si="6"/>
        <v>1</v>
      </c>
      <c r="Y31" s="62">
        <f t="shared" si="7"/>
        <v>23.297999999999998</v>
      </c>
      <c r="Z31" s="62">
        <f t="shared" si="8"/>
        <v>0.85509999999999997</v>
      </c>
      <c r="AA31" s="62">
        <f t="shared" si="9"/>
        <v>22.442899999999998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0118-21</v>
      </c>
      <c r="AE31" s="85" t="str">
        <f t="shared" si="11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31" s="82" t="str">
        <f t="shared" si="12"/>
        <v>"C:\Program Files (x86)\AstroGrep\AstroGrep.exe" /e /r /s /spath="%USERPROFILE%\AppData\Local\Temp\OnboardLogs" /stypes="app*4041*20170321*" /stext=" 13:.+((SYSTEM_STATE.+slice.+state.+changed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7"/>
        <v>"%USERPROFILE%\Documents\GitHub\eaglep3\Utilities\RefineRTDCRunTimes.py" --tripid 118-21 --locoid 4041 --swversion DE.1.0.9.0 --startMP 204:232980 --initTime 2017-03-21T06:36:24 --startdatetime 2017-03-21T06:41:28 --delay 1 --endMP 204:8551 --enddatetime 2017-03-21T07:24:15 --enforcementcount 0 &gt;&gt;C:\Users\stu\Documents\GitHub\eaglep3-reporting\EC\2017-03-21-refined-times.txt</v>
      </c>
      <c r="AI31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failure","project_id":79,"tracker_id":40,"status_id":1,"priority_id":2,"assigned_to_id":23,"start_date":"2017-03-21","description":"","custom_fields":[{"id":1,"name":"Subdivision","value":"EC"},{"id":4,"name":"Milepost","value":"0.8551"},{"id":17,"name":"Train ID","value":"118-21"},{"id":16,"name":"Locomotive ID","value":"4041"},{"id":130,"name":"Impact","value":""},{"id":150,"name":"Time of Event (Mountain Time)","value":"07:24:15"},{"id":151,"name":"Denver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9"/>
        <v>start /low /b %USERPROFILE%\Documents\GitHub\eaglep3\Utilities\DownloadLogsFromS3.py --loco 4041 --day 2017-03-21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595</v>
      </c>
      <c r="B32" s="7">
        <v>4031</v>
      </c>
      <c r="C32" s="21" t="s">
        <v>221</v>
      </c>
      <c r="D32" s="21" t="s">
        <v>855</v>
      </c>
      <c r="E32" s="13">
        <v>42815.253796296296</v>
      </c>
      <c r="F32" s="13">
        <v>42815.254861111112</v>
      </c>
      <c r="G32" s="7">
        <v>1</v>
      </c>
      <c r="H32" s="21" t="s">
        <v>390</v>
      </c>
      <c r="I32" s="13">
        <v>42815.276608796295</v>
      </c>
      <c r="J32" s="7">
        <v>0</v>
      </c>
      <c r="K32" s="98" t="str">
        <f t="shared" si="0"/>
        <v>4031/4032</v>
      </c>
      <c r="L32" s="21" t="str">
        <f>VLOOKUP(A32,'Trips&amp;Operators'!$C$1:$G$99999,5,FALSE)</f>
        <v>YANAI IAN</v>
      </c>
      <c r="M32" s="6">
        <f t="shared" si="1"/>
        <v>2.1747685183072463E-2</v>
      </c>
      <c r="N32" s="7"/>
      <c r="O32" s="7"/>
      <c r="P32" s="7">
        <f>24*60*SUM($M32:$M32)</f>
        <v>31.316666663624346</v>
      </c>
      <c r="Q32" s="22"/>
      <c r="R32" s="22" t="s">
        <v>1058</v>
      </c>
      <c r="S32" s="31">
        <f>SUM(U32:U32)/IF(AG32="EC",12,1)</f>
        <v>1</v>
      </c>
      <c r="T32" s="46" t="str">
        <f t="shared" si="3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-21T05:05:28-0600',mode:absolute,to:'2017-03-21T07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87" t="str">
        <f t="shared" si="5"/>
        <v>Y</v>
      </c>
      <c r="X32" s="187">
        <f t="shared" si="6"/>
        <v>1</v>
      </c>
      <c r="Y32" s="62">
        <f t="shared" si="7"/>
        <v>1.9137</v>
      </c>
      <c r="Z32" s="62">
        <f t="shared" si="8"/>
        <v>23.3306</v>
      </c>
      <c r="AA32" s="62">
        <f t="shared" si="9"/>
        <v>21.416900000000002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10"/>
        <v>0119-21</v>
      </c>
      <c r="AE32" s="85" t="str">
        <f t="shared" si="11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32" s="82" t="str">
        <f t="shared" si="12"/>
        <v>"C:\Program Files (x86)\AstroGrep\AstroGrep.exe" /e /r /s /spath="%USERPROFILE%\AppData\Local\Temp\OnboardLogs" /stypes="app*4031*20170321*" /stext=" 12:.+((SYSTEM_STATE.+slice.+state.+changed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7"/>
        <v>"%USERPROFILE%\Documents\GitHub\eaglep3\Utilities\RefineRTDCRunTimes.py" --tripid 119-21 --locoid 4031 --swversion DE.1.0.9.0 --startMP 204:19137 --initTime 2017-03-21T06:05:28 --startdatetime 2017-03-21T06:07:00 --delay 1 --endMP 204:233306 --enddatetime 2017-03-21T06:38:19 --enforcementcount 0 &gt;&gt;C:\Users\stu\Documents\GitHub\eaglep3-reporting\EC\2017-03-21-refined-times.txt</v>
      </c>
      <c r="AI32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failure","project_id":79,"tracker_id":40,"status_id":1,"priority_id":2,"assigned_to_id":23,"start_date":"2017-03-21","description":"","custom_fields":[{"id":1,"name":"Subdivision","value":"EC"},{"id":4,"name":"Milepost","value":"23.3306"},{"id":17,"name":"Train ID","value":"119-21"},{"id":16,"name":"Locomotive ID","value":"4031"},{"id":130,"name":"Impact","value":""},{"id":150,"name":"Time of Event (Mountain Time)","value":"06:38:19"},{"id":151,"name":"Denver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9"/>
        <v>start /low /b %USERPROFILE%\Documents\GitHub\eaglep3\Utilities\DownloadLogsFromS3.py --loco 4031 --day 2017-03-21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673</v>
      </c>
      <c r="B33" s="7">
        <v>4032</v>
      </c>
      <c r="C33" s="21" t="s">
        <v>221</v>
      </c>
      <c r="D33" s="21" t="s">
        <v>485</v>
      </c>
      <c r="E33" s="13">
        <v>42815.278101851851</v>
      </c>
      <c r="F33" s="13">
        <v>42815.289050925923</v>
      </c>
      <c r="G33" s="7">
        <v>1</v>
      </c>
      <c r="H33" s="21" t="s">
        <v>856</v>
      </c>
      <c r="I33" s="13">
        <v>42815.320219907408</v>
      </c>
      <c r="J33" s="7">
        <v>0</v>
      </c>
      <c r="K33" s="98" t="str">
        <f t="shared" si="0"/>
        <v>4031/4032</v>
      </c>
      <c r="L33" s="21" t="str">
        <f>VLOOKUP(A33,'Trips&amp;Operators'!$C$1:$G$99999,5,FALSE)</f>
        <v>YANAI IAN</v>
      </c>
      <c r="M33" s="6">
        <f t="shared" si="1"/>
        <v>3.1168981484370306E-2</v>
      </c>
      <c r="N33" s="7"/>
      <c r="O33" s="7"/>
      <c r="P33" s="7">
        <f>24*60*SUM($M33:$M33)</f>
        <v>44.883333337493241</v>
      </c>
      <c r="Q33" s="22"/>
      <c r="R33" s="22" t="s">
        <v>1058</v>
      </c>
      <c r="S33" s="31">
        <f>SUM(U33:U33)/IF(AG33="EC",12,1)</f>
        <v>1</v>
      </c>
      <c r="T33" s="46" t="str">
        <f t="shared" si="3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-21T05:40:28-0600',mode:absolute,to:'2017-03-21T08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87" t="str">
        <f t="shared" si="5"/>
        <v>Y</v>
      </c>
      <c r="X33" s="187">
        <f t="shared" si="6"/>
        <v>1</v>
      </c>
      <c r="Y33" s="62">
        <f t="shared" si="7"/>
        <v>23.298300000000001</v>
      </c>
      <c r="Z33" s="62">
        <f t="shared" si="8"/>
        <v>0.33360000000000001</v>
      </c>
      <c r="AA33" s="62">
        <f t="shared" si="9"/>
        <v>22.964700000000001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0120-21</v>
      </c>
      <c r="AE33" s="85" t="str">
        <f t="shared" si="11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33" s="82" t="str">
        <f t="shared" si="12"/>
        <v>"C:\Program Files (x86)\AstroGrep\AstroGrep.exe" /e /r /s /spath="%USERPROFILE%\AppData\Local\Temp\OnboardLogs" /stypes="app*4032*20170321*" /stext=" 13:.+((SYSTEM_STATE.+slice.+state.+changed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7"/>
        <v>"%USERPROFILE%\Documents\GitHub\eaglep3\Utilities\RefineRTDCRunTimes.py" --tripid 120-21 --locoid 4032 --swversion DE.1.0.9.0 --startMP 204:232983 --initTime 2017-03-21T06:40:28 --startdatetime 2017-03-21T06:56:14 --delay 1 --endMP 204:3336 --enddatetime 2017-03-21T07:41:07 --enforcementcount 0 &gt;&gt;C:\Users\stu\Documents\GitHub\eaglep3-reporting\EC\2017-03-21-refined-times.txt</v>
      </c>
      <c r="AI33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failure","project_id":79,"tracker_id":40,"status_id":1,"priority_id":2,"assigned_to_id":23,"start_date":"2017-03-21","description":"","custom_fields":[{"id":1,"name":"Subdivision","value":"EC"},{"id":4,"name":"Milepost","value":"0.3336"},{"id":17,"name":"Train ID","value":"120-21"},{"id":16,"name":"Locomotive ID","value":"4032"},{"id":130,"name":"Impact","value":""},{"id":150,"name":"Time of Event (Mountain Time)","value":"07:41:07"},{"id":151,"name":"Denver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9"/>
        <v>start /low /b %USERPROFILE%\Documents\GitHub\eaglep3\Utilities\DownloadLogsFromS3.py --loco 4032 --day 2017-03-21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597</v>
      </c>
      <c r="B34" s="7">
        <v>4051</v>
      </c>
      <c r="C34" s="21" t="s">
        <v>221</v>
      </c>
      <c r="D34" s="21" t="s">
        <v>850</v>
      </c>
      <c r="E34" s="13">
        <v>42815.269317129627</v>
      </c>
      <c r="F34" s="13">
        <v>42815.270219907405</v>
      </c>
      <c r="G34" s="7">
        <v>1</v>
      </c>
      <c r="H34" s="21" t="s">
        <v>857</v>
      </c>
      <c r="I34" s="13">
        <v>42815.293738425928</v>
      </c>
      <c r="J34" s="7">
        <v>0</v>
      </c>
      <c r="K34" s="98" t="str">
        <f t="shared" si="0"/>
        <v>4051/4052</v>
      </c>
      <c r="L34" s="21" t="str">
        <f>VLOOKUP(A34,'Trips&amp;Operators'!$C$1:$G$99999,5,FALSE)</f>
        <v>GUZMAN DANNY</v>
      </c>
      <c r="M34" s="6">
        <f t="shared" si="1"/>
        <v>2.3518518522905651E-2</v>
      </c>
      <c r="N34" s="7"/>
      <c r="O34" s="7"/>
      <c r="P34" s="7">
        <f>24*60*SUM($M34:$M34)</f>
        <v>33.866666672984138</v>
      </c>
      <c r="Q34" s="22"/>
      <c r="R34" s="22" t="s">
        <v>1058</v>
      </c>
      <c r="S34" s="31">
        <f>SUM(U34:U35)/IF(AG34="EC",12,1)</f>
        <v>1</v>
      </c>
      <c r="T34" s="46" t="str">
        <f t="shared" si="3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-21T05:27:49-0600',mode:absolute,to:'2017-03-21T08:02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187" t="str">
        <f t="shared" si="5"/>
        <v>Y</v>
      </c>
      <c r="X34" s="187">
        <f t="shared" si="6"/>
        <v>1</v>
      </c>
      <c r="Y34" s="62">
        <f t="shared" si="7"/>
        <v>1.9134</v>
      </c>
      <c r="Z34" s="62">
        <v>23.3</v>
      </c>
      <c r="AA34" s="62">
        <f t="shared" si="9"/>
        <v>21.386600000000001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0121-21</v>
      </c>
      <c r="AE34" s="85" t="str">
        <f t="shared" si="11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34" s="82" t="str">
        <f t="shared" si="12"/>
        <v>"C:\Program Files (x86)\AstroGrep\AstroGrep.exe" /e /r /s /spath="%USERPROFILE%\AppData\Local\Temp\OnboardLogs" /stypes="app*4051*20170321*" /stext=" 13:.+((SYSTEM_STATE.+slice.+state.+changed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7"/>
        <v>"%USERPROFILE%\Documents\GitHub\eaglep3\Utilities\RefineRTDCRunTimes.py" --tripid 121-21 --locoid 4051 --swversion DE.1.0.9.0 --startMP 204:19134 --initTime 2017-03-21T06:27:49 --startdatetime 2017-03-21T06:29:07 --delay 1 --endMP 204:6253 --enddatetime 2017-03-21T07:02:59 --enforcementcount 0 &gt;&gt;C:\Users\stu\Documents\GitHub\eaglep3-reporting\EC\2017-03-21-refined-times.txt</v>
      </c>
      <c r="AI34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failure","project_id":79,"tracker_id":40,"status_id":1,"priority_id":2,"assigned_to_id":23,"start_date":"2017-03-21","description":"","custom_fields":[{"id":1,"name":"Subdivision","value":"EC"},{"id":4,"name":"Milepost","value":"23.3"},{"id":17,"name":"Train ID","value":"121-21"},{"id":16,"name":"Locomotive ID","value":"4051"},{"id":130,"name":"Impact","value":""},{"id":150,"name":"Time of Event (Mountain Time)","value":"07:02:59"},{"id":151,"name":"Denver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9"/>
        <v>start /low /b %USERPROFILE%\Documents\GitHub\eaglep3\Utilities\DownloadLogsFromS3.py --loco 4051 --day 2017-03-21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597</v>
      </c>
      <c r="B35" s="7">
        <v>4051</v>
      </c>
      <c r="C35" s="21" t="s">
        <v>221</v>
      </c>
      <c r="D35" s="21" t="s">
        <v>528</v>
      </c>
      <c r="E35" s="13">
        <v>42815.257141203707</v>
      </c>
      <c r="F35" s="13">
        <v>42815.270219907405</v>
      </c>
      <c r="G35" s="7">
        <v>2</v>
      </c>
      <c r="H35" s="21" t="s">
        <v>858</v>
      </c>
      <c r="I35" s="13">
        <v>42815.293738425928</v>
      </c>
      <c r="J35" s="7">
        <v>0</v>
      </c>
      <c r="K35" s="98" t="str">
        <f t="shared" si="0"/>
        <v>4051/4052</v>
      </c>
      <c r="L35" s="21" t="str">
        <f>VLOOKUP(A35,'Trips&amp;Operators'!$C$1:$G$99999,5,FALSE)</f>
        <v>GUZMAN DANNY</v>
      </c>
      <c r="M35" s="6">
        <f t="shared" si="1"/>
        <v>2.3518518522905651E-2</v>
      </c>
      <c r="N35" s="7"/>
      <c r="O35" s="7"/>
      <c r="P35" s="7"/>
      <c r="Q35" s="22"/>
      <c r="R35" s="22"/>
      <c r="S35" s="31"/>
      <c r="T35" s="46" t="str">
        <f t="shared" si="3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-21T05:10:17-0600',mode:absolute,to:'2017-03-21T08:02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5" s="187" t="str">
        <f t="shared" si="5"/>
        <v>Y</v>
      </c>
      <c r="X35" s="187">
        <f t="shared" si="6"/>
        <v>0</v>
      </c>
      <c r="Y35" s="62">
        <f t="shared" si="7"/>
        <v>4.4200000000000003E-2</v>
      </c>
      <c r="Z35" s="62">
        <f t="shared" ref="Z35:Z98" si="20">RIGHT(H35,LEN(H35)-4)/10000</f>
        <v>0.1154</v>
      </c>
      <c r="AA35" s="62">
        <f t="shared" si="9"/>
        <v>7.1199999999999999E-2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0121-21</v>
      </c>
      <c r="AE35" s="85" t="str">
        <f t="shared" si="11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35" s="82" t="str">
        <f t="shared" si="12"/>
        <v>"C:\Program Files (x86)\AstroGrep\AstroGrep.exe" /e /r /s /spath="%USERPROFILE%\AppData\Local\Temp\OnboardLogs" /stypes="app*4051*20170321*" /stext=" 13:.+((SYSTEM_STATE.+slice.+state.+changed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7"/>
        <v>"%USERPROFILE%\Documents\GitHub\eaglep3\Utilities\RefineRTDCRunTimes.py" --tripid 121-21 --locoid 4051 --swversion DE.1.0.9.0 --startMP 204:442 --initTime 2017-03-21T06:10:17 --startdatetime 2017-03-21T06:29:07 --delay 2 --endMP 204:1154 --enddatetime 2017-03-21T07:02:59 --enforcementcount 0 &gt;&gt;C:\Users\stu\Documents\GitHub\eaglep3-reporting\EC\2017-03-21-refined-times.txt</v>
      </c>
      <c r="AI35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{"issue":{"subject":"","project_id":79,"tracker_id":40,"status_id":1,"priority_id":2,"assigned_to_id":23,"start_date":"2017-03-21","description":"","custom_fields":[{"id":1,"name":"Subdivision","value":"EC"},{"id":4,"name":"Milepost","value":"0.1154"},{"id":17,"name":"Train ID","value":"121-21"},{"id":16,"name":"Locomotive ID","value":"4051"},{"id":130,"name":"Impact","value":""},{"id":150,"name":"Time of Event (Mountain Time)","value":"07:02:59"},{"id":151,"name":"Denver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9"/>
        <v>start /low /b %USERPROFILE%\Documents\GitHub\eaglep3\Utilities\DownloadLogsFromS3.py --loco 4051 --day 2017-03-21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675</v>
      </c>
      <c r="B36" s="7">
        <v>4052</v>
      </c>
      <c r="C36" s="21" t="s">
        <v>221</v>
      </c>
      <c r="D36" s="21" t="s">
        <v>524</v>
      </c>
      <c r="E36" s="13">
        <v>42815.296053240738</v>
      </c>
      <c r="F36" s="13">
        <v>42815.299479166664</v>
      </c>
      <c r="G36" s="7">
        <v>0</v>
      </c>
      <c r="H36" s="21" t="s">
        <v>859</v>
      </c>
      <c r="I36" s="13">
        <v>42815.326388888891</v>
      </c>
      <c r="J36" s="7">
        <v>0</v>
      </c>
      <c r="K36" s="98" t="str">
        <f t="shared" si="0"/>
        <v>4051/4052</v>
      </c>
      <c r="L36" s="21" t="str">
        <f>VLOOKUP(A36,'Trips&amp;Operators'!$C$1:$G$99999,5,FALSE)</f>
        <v>GUZMAN DANNY</v>
      </c>
      <c r="M36" s="6">
        <f t="shared" si="1"/>
        <v>2.6909722226264421E-2</v>
      </c>
      <c r="N36" s="7"/>
      <c r="O36" s="7"/>
      <c r="P36" s="7">
        <f>24*60*SUM($M36:$M36)</f>
        <v>38.750000005820766</v>
      </c>
      <c r="Q36" s="22"/>
      <c r="R36" s="22" t="s">
        <v>1058</v>
      </c>
      <c r="S36" s="31">
        <f>SUM(U36:U36)/IF(AG36="EC",12,1)</f>
        <v>1</v>
      </c>
      <c r="T36" s="46" t="str">
        <f t="shared" si="3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-21T06:06:19-0600',mode:absolute,to:'2017-03-21T08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6" s="187" t="str">
        <f t="shared" si="5"/>
        <v>Y</v>
      </c>
      <c r="X36" s="187">
        <f t="shared" si="6"/>
        <v>1</v>
      </c>
      <c r="Y36" s="62">
        <f t="shared" si="7"/>
        <v>23.296900000000001</v>
      </c>
      <c r="Z36" s="62">
        <f t="shared" si="20"/>
        <v>0.51039999999999996</v>
      </c>
      <c r="AA36" s="62">
        <f t="shared" si="9"/>
        <v>22.7865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0122-21</v>
      </c>
      <c r="AE36" s="85" t="str">
        <f t="shared" si="11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36" s="82" t="str">
        <f t="shared" si="12"/>
        <v>"C:\Program Files (x86)\AstroGrep\AstroGrep.exe" /e /r /s /spath="%USERPROFILE%\AppData\Local\Temp\OnboardLogs" /stypes="app*4052*20170321*" /stext=" 13:.+((SYSTEM_STATE.+slice.+state.+changed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7"/>
        <v>"%USERPROFILE%\Documents\GitHub\eaglep3\Utilities\RefineRTDCRunTimes.py" --tripid 122-21 --locoid 4052 --swversion DE.1.0.9.0 --startMP 204:232969 --initTime 2017-03-21T07:06:19 --startdatetime 2017-03-21T07:11:15 --delay 0 --endMP 204:5104 --enddatetime 2017-03-21T07:50:00 --enforcementcount 0 &gt;&gt;C:\Users\stu\Documents\GitHub\eaglep3-reporting\EC\2017-03-21-refined-times.txt</v>
      </c>
      <c r="AI36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failure","project_id":79,"tracker_id":40,"status_id":1,"priority_id":2,"assigned_to_id":23,"start_date":"2017-03-21","description":"","custom_fields":[{"id":1,"name":"Subdivision","value":"EC"},{"id":4,"name":"Milepost","value":"0.5104"},{"id":17,"name":"Train ID","value":"122-21"},{"id":16,"name":"Locomotive ID","value":"4052"},{"id":130,"name":"Impact","value":""},{"id":150,"name":"Time of Event (Mountain Time)","value":"07:50:00"},{"id":151,"name":"Denver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9"/>
        <v>start /low /b %USERPROFILE%\Documents\GitHub\eaglep3\Utilities\DownloadLogsFromS3.py --loco 4052 --day 2017-03-21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599</v>
      </c>
      <c r="B37" s="7">
        <v>4025</v>
      </c>
      <c r="C37" s="21" t="s">
        <v>221</v>
      </c>
      <c r="D37" s="21" t="s">
        <v>860</v>
      </c>
      <c r="E37" s="13">
        <v>42815.280011574076</v>
      </c>
      <c r="F37" s="13">
        <v>42815.280763888892</v>
      </c>
      <c r="G37" s="7">
        <v>0</v>
      </c>
      <c r="H37" s="21" t="s">
        <v>223</v>
      </c>
      <c r="I37" s="13">
        <v>42815.304479166669</v>
      </c>
      <c r="J37" s="7">
        <v>0</v>
      </c>
      <c r="K37" s="98" t="str">
        <f t="shared" si="0"/>
        <v>4025/4026</v>
      </c>
      <c r="L37" s="21" t="str">
        <f>VLOOKUP(A37,'Trips&amp;Operators'!$C$1:$G$99999,5,FALSE)</f>
        <v>DAVIS WENDY</v>
      </c>
      <c r="M37" s="6">
        <f t="shared" si="1"/>
        <v>2.3715277777228039E-2</v>
      </c>
      <c r="N37" s="7"/>
      <c r="O37" s="7"/>
      <c r="P37" s="7">
        <f>24*60*SUM($M37:$M37)</f>
        <v>34.149999999208376</v>
      </c>
      <c r="Q37" s="22"/>
      <c r="R37" s="22" t="s">
        <v>1058</v>
      </c>
      <c r="S37" s="31">
        <f>SUM(U37:U37)/IF(AG37="EC",12,1)</f>
        <v>1</v>
      </c>
      <c r="T37" s="46" t="str">
        <f t="shared" si="3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-21T05:43:13-0600',mode:absolute,to:'2017-03-21T08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187" t="str">
        <f t="shared" si="5"/>
        <v>Y</v>
      </c>
      <c r="X37" s="187">
        <f t="shared" si="6"/>
        <v>1</v>
      </c>
      <c r="Y37" s="62">
        <f t="shared" si="7"/>
        <v>1.9584999999999999</v>
      </c>
      <c r="Z37" s="62">
        <f t="shared" si="20"/>
        <v>23.331199999999999</v>
      </c>
      <c r="AA37" s="62">
        <f t="shared" si="9"/>
        <v>21.372699999999998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0123-21</v>
      </c>
      <c r="AE37" s="85" t="str">
        <f t="shared" si="11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37" s="82" t="str">
        <f t="shared" si="12"/>
        <v>"C:\Program Files (x86)\AstroGrep\AstroGrep.exe" /e /r /s /spath="%USERPROFILE%\AppData\Local\Temp\OnboardLogs" /stypes="app*4025*20170321*" /stext=" 13:.+((SYSTEM_STATE.+slice.+state.+changed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7"/>
        <v>"%USERPROFILE%\Documents\GitHub\eaglep3\Utilities\RefineRTDCRunTimes.py" --tripid 123-21 --locoid 4025 --swversion DE.1.0.9.0 --startMP 204:19585 --initTime 2017-03-21T06:43:13 --startdatetime 2017-03-21T06:44:18 --delay 0 --endMP 204:233312 --enddatetime 2017-03-21T07:18:27 --enforcementcount 0 &gt;&gt;C:\Users\stu\Documents\GitHub\eaglep3-reporting\EC\2017-03-21-refined-times.txt</v>
      </c>
      <c r="AI37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failure","project_id":79,"tracker_id":40,"status_id":1,"priority_id":2,"assigned_to_id":23,"start_date":"2017-03-21","description":"","custom_fields":[{"id":1,"name":"Subdivision","value":"EC"},{"id":4,"name":"Milepost","value":"23.3312"},{"id":17,"name":"Train ID","value":"123-21"},{"id":16,"name":"Locomotive ID","value":"4025"},{"id":130,"name":"Impact","value":""},{"id":150,"name":"Time of Event (Mountain Time)","value":"07:18:27"},{"id":151,"name":"Denver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9"/>
        <v>start /low /b %USERPROFILE%\Documents\GitHub\eaglep3\Utilities\DownloadLogsFromS3.py --loco 4025 --day 2017-03-21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599</v>
      </c>
      <c r="B38" s="7">
        <v>4025</v>
      </c>
      <c r="C38" s="21" t="s">
        <v>221</v>
      </c>
      <c r="D38" s="21" t="s">
        <v>208</v>
      </c>
      <c r="E38" s="13">
        <v>42815.273715277777</v>
      </c>
      <c r="F38" s="13">
        <v>42815.280763888892</v>
      </c>
      <c r="G38" s="7">
        <v>1</v>
      </c>
      <c r="H38" s="21" t="s">
        <v>209</v>
      </c>
      <c r="I38" s="13">
        <v>42815.304479166669</v>
      </c>
      <c r="J38" s="7">
        <v>0</v>
      </c>
      <c r="K38" s="98" t="str">
        <f t="shared" si="0"/>
        <v>4025/4026</v>
      </c>
      <c r="L38" s="21" t="str">
        <f>VLOOKUP(A38,'Trips&amp;Operators'!$C$1:$G$99999,5,FALSE)</f>
        <v>DAVIS WENDY</v>
      </c>
      <c r="M38" s="6">
        <f t="shared" si="1"/>
        <v>2.3715277777228039E-2</v>
      </c>
      <c r="N38" s="7"/>
      <c r="O38" s="7"/>
      <c r="P38" s="7"/>
      <c r="Q38" s="22"/>
      <c r="R38" s="22"/>
      <c r="S38" s="31"/>
      <c r="T38" s="46" t="str">
        <f t="shared" si="3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-21T05:34:09-0600',mode:absolute,to:'2017-03-21T08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187" t="str">
        <f t="shared" si="5"/>
        <v>Y</v>
      </c>
      <c r="X38" s="187">
        <f t="shared" si="6"/>
        <v>0</v>
      </c>
      <c r="Y38" s="62">
        <f t="shared" si="7"/>
        <v>4.5699999999999998E-2</v>
      </c>
      <c r="Z38" s="62">
        <f t="shared" si="20"/>
        <v>4.5999999999999999E-2</v>
      </c>
      <c r="AA38" s="62">
        <f t="shared" si="9"/>
        <v>3.0000000000000165E-4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0123-21</v>
      </c>
      <c r="AE38" s="85" t="str">
        <f t="shared" si="11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38" s="82" t="str">
        <f t="shared" si="12"/>
        <v>"C:\Program Files (x86)\AstroGrep\AstroGrep.exe" /e /r /s /spath="%USERPROFILE%\AppData\Local\Temp\OnboardLogs" /stypes="app*4025*20170321*" /stext=" 13:.+((SYSTEM_STATE.+slice.+state.+changed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7"/>
        <v>"%USERPROFILE%\Documents\GitHub\eaglep3\Utilities\RefineRTDCRunTimes.py" --tripid 123-21 --locoid 4025 --swversion DE.1.0.9.0 --startMP 204:457 --initTime 2017-03-21T06:34:09 --startdatetime 2017-03-21T06:44:18 --delay 1 --endMP 204:460 --enddatetime 2017-03-21T07:18:27 --enforcementcount 0 &gt;&gt;C:\Users\stu\Documents\GitHub\eaglep3-reporting\EC\2017-03-21-refined-times.txt</v>
      </c>
      <c r="AI38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{"issue":{"subject":"","project_id":79,"tracker_id":40,"status_id":1,"priority_id":2,"assigned_to_id":23,"start_date":"2017-03-21","description":"","custom_fields":[{"id":1,"name":"Subdivision","value":"EC"},{"id":4,"name":"Milepost","value":"0.046"},{"id":17,"name":"Train ID","value":"123-21"},{"id":16,"name":"Locomotive ID","value":"4025"},{"id":130,"name":"Impact","value":""},{"id":150,"name":"Time of Event (Mountain Time)","value":"07:18:27"},{"id":151,"name":"Denver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9"/>
        <v>start /low /b %USERPROFILE%\Documents\GitHub\eaglep3\Utilities\DownloadLogsFromS3.py --loco 4025 --day 2017-03-21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678</v>
      </c>
      <c r="B39" s="7">
        <v>4026</v>
      </c>
      <c r="C39" s="21" t="s">
        <v>221</v>
      </c>
      <c r="D39" s="21" t="s">
        <v>861</v>
      </c>
      <c r="E39" s="13">
        <v>42815.308078703703</v>
      </c>
      <c r="F39" s="13">
        <v>42815.309884259259</v>
      </c>
      <c r="G39" s="7">
        <v>1</v>
      </c>
      <c r="H39" s="21" t="s">
        <v>862</v>
      </c>
      <c r="I39" s="13">
        <v>42815.337962962964</v>
      </c>
      <c r="J39" s="7">
        <v>0</v>
      </c>
      <c r="K39" s="98" t="str">
        <f t="shared" si="0"/>
        <v>4025/4026</v>
      </c>
      <c r="L39" s="21" t="str">
        <f>VLOOKUP(A39,'Trips&amp;Operators'!$C$1:$G$99999,5,FALSE)</f>
        <v>DAVIS WENDY</v>
      </c>
      <c r="M39" s="6">
        <f t="shared" si="1"/>
        <v>2.8078703704522923E-2</v>
      </c>
      <c r="N39" s="7"/>
      <c r="O39" s="7"/>
      <c r="P39" s="7">
        <f>24*60*SUM($M39:$M39)</f>
        <v>40.433333334513009</v>
      </c>
      <c r="Q39" s="22"/>
      <c r="R39" s="22" t="s">
        <v>1058</v>
      </c>
      <c r="S39" s="31">
        <f t="shared" ref="S39:S50" si="21">SUM(U39:U39)/IF(AG39="EC",12,1)</f>
        <v>1</v>
      </c>
      <c r="T39" s="46" t="str">
        <f t="shared" si="3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-21T06:23:38-0600',mode:absolute,to:'2017-03-21T09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187" t="str">
        <f t="shared" si="5"/>
        <v>Y</v>
      </c>
      <c r="X39" s="187">
        <f t="shared" si="6"/>
        <v>1</v>
      </c>
      <c r="Y39" s="62">
        <f t="shared" si="7"/>
        <v>23.3004</v>
      </c>
      <c r="Z39" s="62">
        <f t="shared" si="20"/>
        <v>0.34110000000000001</v>
      </c>
      <c r="AA39" s="62">
        <f t="shared" si="9"/>
        <v>22.959299999999999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0124-21</v>
      </c>
      <c r="AE39" s="85" t="str">
        <f t="shared" si="11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39" s="82" t="str">
        <f t="shared" si="12"/>
        <v>"C:\Program Files (x86)\AstroGrep\AstroGrep.exe" /e /r /s /spath="%USERPROFILE%\AppData\Local\Temp\OnboardLogs" /stypes="app*4026*20170321*"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7"/>
        <v>"%USERPROFILE%\Documents\GitHub\eaglep3\Utilities\RefineRTDCRunTimes.py" --tripid 124-21 --locoid 4026 --swversion DE.1.0.9.0 --startMP 204:233004 --initTime 2017-03-21T07:23:38 --startdatetime 2017-03-21T07:26:14 --delay 1 --endMP 204:3411 --enddatetime 2017-03-21T08:06:40 --enforcementcount 0 &gt;&gt;C:\Users\stu\Documents\GitHub\eaglep3-reporting\EC\2017-03-21-refined-times.txt</v>
      </c>
      <c r="AI39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failure","project_id":79,"tracker_id":40,"status_id":1,"priority_id":2,"assigned_to_id":23,"start_date":"2017-03-21","description":"","custom_fields":[{"id":1,"name":"Subdivision","value":"EC"},{"id":4,"name":"Milepost","value":"0.3411"},{"id":17,"name":"Train ID","value":"124-21"},{"id":16,"name":"Locomotive ID","value":"4026"},{"id":130,"name":"Impact","value":""},{"id":150,"name":"Time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9"/>
        <v>start /low /b %USERPROFILE%\Documents\GitHub\eaglep3\Utilities\DownloadLogsFromS3.py --loco 4026 --day 2017-03-21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598</v>
      </c>
      <c r="B40" s="7">
        <v>4044</v>
      </c>
      <c r="C40" s="21" t="s">
        <v>221</v>
      </c>
      <c r="D40" s="21" t="s">
        <v>863</v>
      </c>
      <c r="E40" s="13">
        <v>42815.288888888892</v>
      </c>
      <c r="F40" s="13">
        <v>42815.290046296293</v>
      </c>
      <c r="G40" s="7">
        <v>1</v>
      </c>
      <c r="H40" s="21" t="s">
        <v>864</v>
      </c>
      <c r="I40" s="13">
        <v>42815.314872685187</v>
      </c>
      <c r="J40" s="7">
        <v>0</v>
      </c>
      <c r="K40" s="98" t="str">
        <f t="shared" si="0"/>
        <v>4043/4044</v>
      </c>
      <c r="L40" s="21" t="str">
        <f>VLOOKUP(A40,'Trips&amp;Operators'!$C$1:$G$99999,5,FALSE)</f>
        <v>WILLIAMS DONTE</v>
      </c>
      <c r="M40" s="6">
        <f t="shared" si="1"/>
        <v>2.4826388893416151E-2</v>
      </c>
      <c r="N40" s="7"/>
      <c r="O40" s="7"/>
      <c r="P40" s="7">
        <f>24*60*SUM($M40:$M40)</f>
        <v>35.750000006519258</v>
      </c>
      <c r="Q40" s="22"/>
      <c r="R40" s="22" t="s">
        <v>1058</v>
      </c>
      <c r="S40" s="31">
        <f t="shared" si="21"/>
        <v>1</v>
      </c>
      <c r="T40" s="46" t="str">
        <f t="shared" si="3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-21T05:56:00-0600',mode:absolute,to:'2017-03-21T08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0" s="187" t="str">
        <f t="shared" si="5"/>
        <v>Y</v>
      </c>
      <c r="X40" s="187">
        <f t="shared" si="6"/>
        <v>1</v>
      </c>
      <c r="Y40" s="62">
        <f t="shared" si="7"/>
        <v>1.9111</v>
      </c>
      <c r="Z40" s="62">
        <f t="shared" si="20"/>
        <v>23.330500000000001</v>
      </c>
      <c r="AA40" s="62">
        <f t="shared" si="9"/>
        <v>21.4194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0125-21</v>
      </c>
      <c r="AE40" s="85" t="str">
        <f t="shared" si="11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40" s="82" t="str">
        <f t="shared" si="12"/>
        <v>"C:\Program Files (x86)\AstroGrep\AstroGrep.exe" /e /r /s /spath="%USERPROFILE%\AppData\Local\Temp\OnboardLogs" /stypes="app*4044*20170321*" /stext=" 13:.+((SYSTEM_STATE.+slice.+state.+changed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7"/>
        <v>"%USERPROFILE%\Documents\GitHub\eaglep3\Utilities\RefineRTDCRunTimes.py" --tripid 125-21 --locoid 4044 --swversion DE.1.0.9.0 --startMP 204:19111 --initTime 2017-03-21T06:56:00 --startdatetime 2017-03-21T06:57:40 --delay 1 --endMP 204:233305 --enddatetime 2017-03-21T07:33:25 --enforcementcount 0 &gt;&gt;C:\Users\stu\Documents\GitHub\eaglep3-reporting\EC\2017-03-21-refined-times.txt</v>
      </c>
      <c r="AI40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failure","project_id":79,"tracker_id":40,"status_id":1,"priority_id":2,"assigned_to_id":23,"start_date":"2017-03-21","description":"","custom_fields":[{"id":1,"name":"Subdivision","value":"EC"},{"id":4,"name":"Milepost","value":"23.3305"},{"id":17,"name":"Train ID","value":"125-21"},{"id":16,"name":"Locomotive ID","value":"4044"},{"id":130,"name":"Impact","value":""},{"id":150,"name":"Time of Event (Mountain Time)","value":"07:33:25"},{"id":151,"name":"Denver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9"/>
        <v>start /low /b %USERPROFILE%\Documents\GitHub\eaglep3\Utilities\DownloadLogsFromS3.py --loco 4044 --day 2017-03-21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681</v>
      </c>
      <c r="B41" s="7">
        <v>4043</v>
      </c>
      <c r="C41" s="21" t="s">
        <v>221</v>
      </c>
      <c r="D41" s="21" t="s">
        <v>573</v>
      </c>
      <c r="E41" s="13">
        <v>42815.316400462965</v>
      </c>
      <c r="F41" s="13">
        <v>42815.320763888885</v>
      </c>
      <c r="G41" s="7">
        <v>1</v>
      </c>
      <c r="H41" s="21" t="s">
        <v>575</v>
      </c>
      <c r="I41" s="13">
        <v>42815.349687499998</v>
      </c>
      <c r="J41" s="7">
        <v>0</v>
      </c>
      <c r="K41" s="98" t="str">
        <f t="shared" si="0"/>
        <v>4043/4044</v>
      </c>
      <c r="L41" s="21" t="str">
        <f>VLOOKUP(A41,'Trips&amp;Operators'!$C$1:$G$99999,5,FALSE)</f>
        <v>WILLIAMS DONTE</v>
      </c>
      <c r="M41" s="6">
        <f t="shared" si="1"/>
        <v>2.8923611112986691E-2</v>
      </c>
      <c r="N41" s="7">
        <f>24*60*SUM($M41:$M41)</f>
        <v>41.650000002700835</v>
      </c>
      <c r="O41" s="7"/>
      <c r="P41" s="7"/>
      <c r="Q41" s="22"/>
      <c r="R41" s="22"/>
      <c r="S41" s="31">
        <f t="shared" si="21"/>
        <v>1</v>
      </c>
      <c r="T41" s="46" t="str">
        <f t="shared" si="3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-21T06:35:37-0600',mode:absolute,to:'2017-03-21T09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1" s="187" t="str">
        <f t="shared" si="5"/>
        <v>N</v>
      </c>
      <c r="X41" s="187">
        <f t="shared" si="6"/>
        <v>1</v>
      </c>
      <c r="Y41" s="62">
        <f t="shared" si="7"/>
        <v>23.297799999999999</v>
      </c>
      <c r="Z41" s="62">
        <f t="shared" si="20"/>
        <v>1.78E-2</v>
      </c>
      <c r="AA41" s="62">
        <f t="shared" si="9"/>
        <v>23.279999999999998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0126-21</v>
      </c>
      <c r="AE41" s="85" t="str">
        <f t="shared" si="11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41" s="82" t="str">
        <f t="shared" si="12"/>
        <v>"C:\Program Files (x86)\AstroGrep\AstroGrep.exe" /e /r /s /spath="%USERPROFILE%\AppData\Local\Temp\OnboardLogs" /stypes="app*4043*20170321*" /stext=" 14:.+((SYSTEM_STATE.+slice.+state.+changed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7"/>
        <v>"%USERPROFILE%\Documents\GitHub\eaglep3\Utilities\RefineRTDCRunTimes.py" --tripid 126-21 --locoid 4043 --swversion DE.1.0.9.0 --startMP 204:232978 --initTime 2017-03-21T07:35:37 --startdatetime 2017-03-21T07:41:54 --delay 1 --endMP 204:178 --enddatetime 2017-03-21T08:23:33 --enforcementcount 0 &gt;&gt;C:\Users\stu\Documents\GitHub\eaglep3-reporting\EC\2017-03-21-refined-times.txt</v>
      </c>
      <c r="AI41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{"issue":{"subject":"","project_id":79,"tracker_id":40,"status_id":1,"priority_id":2,"assigned_to_id":23,"start_date":"2017-03-21","description":"","custom_fields":[{"id":1,"name":"Subdivision","value":"EC"},{"id":4,"name":"Milepost","value":"0.0178"},{"id":17,"name":"Train ID","value":"126-21"},{"id":16,"name":"Locomotive ID","value":"4043"},{"id":130,"name":"Impact","value":""},{"id":150,"name":"Time of Event (Mountain Time)","value":"08:23:33"},{"id":151,"name":"Denver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9"/>
        <v>start /low /b %USERPROFILE%\Documents\GitHub\eaglep3\Utilities\DownloadLogsFromS3.py --loco 4043 --day 2017-03-21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"%USERPROFILE%\AppData\Local\Temp\OnboardLogs"\RTDC4043\*4043*20170321* | grep -SE "(Enforcement Action)|(\[TIMEOUT)|(CHR.+\|PRM\|1\|D.+(SWITCH|SIGNAL).+UNKNOWN)" - &gt;&gt; 2017-03-21-UncaughtWiMAX.txt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674</v>
      </c>
      <c r="B42" s="7">
        <v>4024</v>
      </c>
      <c r="C42" s="21" t="s">
        <v>221</v>
      </c>
      <c r="D42" s="21" t="s">
        <v>865</v>
      </c>
      <c r="E42" s="13">
        <v>42815.294456018521</v>
      </c>
      <c r="F42" s="13">
        <v>42815.302060185182</v>
      </c>
      <c r="G42" s="7">
        <v>11</v>
      </c>
      <c r="H42" s="21" t="s">
        <v>409</v>
      </c>
      <c r="I42" s="13">
        <v>42815.326261574075</v>
      </c>
      <c r="J42" s="7">
        <v>0</v>
      </c>
      <c r="K42" s="98" t="str">
        <f t="shared" si="0"/>
        <v>4023/4024</v>
      </c>
      <c r="L42" s="21" t="str">
        <f>VLOOKUP(A42,'Trips&amp;Operators'!$C$1:$G$99999,5,FALSE)</f>
        <v>SANTIZO D. EDY</v>
      </c>
      <c r="M42" s="6">
        <f t="shared" si="1"/>
        <v>2.4201388892834075E-2</v>
      </c>
      <c r="N42" s="7"/>
      <c r="O42" s="7"/>
      <c r="P42" s="7">
        <f>24*60*SUM($M42:$M42)</f>
        <v>34.850000005681068</v>
      </c>
      <c r="Q42" s="22"/>
      <c r="R42" s="22" t="s">
        <v>1058</v>
      </c>
      <c r="S42" s="31">
        <f t="shared" si="21"/>
        <v>1</v>
      </c>
      <c r="T42" s="46" t="str">
        <f t="shared" si="3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-21T06:04:01-0600',mode:absolute,to:'2017-03-21T08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2" s="187" t="str">
        <f t="shared" si="5"/>
        <v>Y</v>
      </c>
      <c r="X42" s="187">
        <f t="shared" si="6"/>
        <v>1</v>
      </c>
      <c r="Y42" s="62">
        <f t="shared" si="7"/>
        <v>1.9017999999999999</v>
      </c>
      <c r="Z42" s="62">
        <f t="shared" si="20"/>
        <v>23.330400000000001</v>
      </c>
      <c r="AA42" s="62">
        <f t="shared" si="9"/>
        <v>21.428599999999999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0127-21</v>
      </c>
      <c r="AE42" s="85" t="str">
        <f t="shared" si="11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42" s="82" t="str">
        <f t="shared" si="12"/>
        <v>"C:\Program Files (x86)\AstroGrep\AstroGrep.exe" /e /r /s /spath="%USERPROFILE%\AppData\Local\Temp\OnboardLogs" /stypes="app*4024*20170321*" /stext=" 13:.+((SYSTEM_STATE.+slice.+state.+changed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7"/>
        <v>"%USERPROFILE%\Documents\GitHub\eaglep3\Utilities\RefineRTDCRunTimes.py" --tripid 127-21 --locoid 4024 --swversion DE.1.0.9.0 --startMP 204:19018 --initTime 2017-03-21T07:04:01 --startdatetime 2017-03-21T07:14:58 --delay 11 --endMP 204:233304 --enddatetime 2017-03-21T07:49:49 --enforcementcount 0 &gt;&gt;C:\Users\stu\Documents\GitHub\eaglep3-reporting\EC\2017-03-21-refined-times.txt</v>
      </c>
      <c r="AI42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failure","project_id":79,"tracker_id":40,"status_id":1,"priority_id":2,"assigned_to_id":23,"start_date":"2017-03-21","description":"","custom_fields":[{"id":1,"name":"Subdivision","value":"EC"},{"id":4,"name":"Milepost","value":"23.3304"},{"id":17,"name":"Train ID","value":"127-21"},{"id":16,"name":"Locomotive ID","value":"4024"},{"id":130,"name":"Impact","value":""},{"id":150,"name":"Time of Event (Mountain Time)","value":"07:49:49"},{"id":151,"name":"Denver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9"/>
        <v>start /low /b %USERPROFILE%\Documents\GitHub\eaglep3\Utilities\DownloadLogsFromS3.py --loco 4024 --day 2017-03-21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683</v>
      </c>
      <c r="B43" s="7">
        <v>4023</v>
      </c>
      <c r="C43" s="21" t="s">
        <v>221</v>
      </c>
      <c r="D43" s="21" t="s">
        <v>570</v>
      </c>
      <c r="E43" s="13">
        <v>42815.329409722224</v>
      </c>
      <c r="F43" s="13">
        <v>42815.331053240741</v>
      </c>
      <c r="G43" s="7">
        <v>1</v>
      </c>
      <c r="H43" s="21" t="s">
        <v>521</v>
      </c>
      <c r="I43" s="13">
        <v>42815.359120370369</v>
      </c>
      <c r="J43" s="7">
        <v>0</v>
      </c>
      <c r="K43" s="98" t="str">
        <f t="shared" si="0"/>
        <v>4023/4024</v>
      </c>
      <c r="L43" s="21" t="str">
        <f>VLOOKUP(A43,'Trips&amp;Operators'!$C$1:$G$99999,5,FALSE)</f>
        <v>SANTIZO D. EDY</v>
      </c>
      <c r="M43" s="6">
        <f t="shared" si="1"/>
        <v>2.806712962774327E-2</v>
      </c>
      <c r="N43" s="7">
        <f>24*60*SUM($M43:$M43)</f>
        <v>40.416666663950309</v>
      </c>
      <c r="O43" s="7"/>
      <c r="P43" s="7"/>
      <c r="Q43" s="22"/>
      <c r="R43" s="22"/>
      <c r="S43" s="31">
        <f t="shared" si="21"/>
        <v>1</v>
      </c>
      <c r="T43" s="46" t="str">
        <f t="shared" si="3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-21T06:54:21-0600',mode:absolute,to:'2017-03-21T09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3" s="187" t="str">
        <f t="shared" si="5"/>
        <v>N</v>
      </c>
      <c r="X43" s="187">
        <f t="shared" si="6"/>
        <v>1</v>
      </c>
      <c r="Y43" s="62">
        <f t="shared" si="7"/>
        <v>23.299399999999999</v>
      </c>
      <c r="Z43" s="62">
        <f t="shared" si="20"/>
        <v>1.34E-2</v>
      </c>
      <c r="AA43" s="62">
        <f t="shared" si="9"/>
        <v>23.285999999999998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0128-21</v>
      </c>
      <c r="AE43" s="85" t="str">
        <f t="shared" si="11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43" s="82" t="str">
        <f t="shared" si="12"/>
        <v>"C:\Program Files (x86)\AstroGrep\AstroGrep.exe" /e /r /s /spath="%USERPROFILE%\AppData\Local\Temp\OnboardLogs" /stypes="app*4023*20170321*" /stext=" 14:.+((SYSTEM_STATE.+slice.+state.+changed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7"/>
        <v>"%USERPROFILE%\Documents\GitHub\eaglep3\Utilities\RefineRTDCRunTimes.py" --tripid 128-21 --locoid 4023 --swversion DE.1.0.9.0 --startMP 204:232994 --initTime 2017-03-21T07:54:21 --startdatetime 2017-03-21T07:56:43 --delay 1 --endMP 204:134 --enddatetime 2017-03-21T08:37:08 --enforcementcount 0 &gt;&gt;C:\Users\stu\Documents\GitHub\eaglep3-reporting\EC\2017-03-21-refined-times.txt</v>
      </c>
      <c r="AI43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{"issue":{"subject":"","project_id":79,"tracker_id":40,"status_id":1,"priority_id":2,"assigned_to_id":23,"start_date":"2017-03-21","description":"","custom_fields":[{"id":1,"name":"Subdivision","value":"EC"},{"id":4,"name":"Milepost","value":"0.0134"},{"id":17,"name":"Train ID","value":"128-21"},{"id":16,"name":"Locomotive ID","value":"4023"},{"id":130,"name":"Impact","value":""},{"id":150,"name":"Time of Event (Mountain Time)","value":"08:37:08"},{"id":151,"name":"Denver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9"/>
        <v>start /low /b %USERPROFILE%\Documents\GitHub\eaglep3\Utilities\DownloadLogsFromS3.py --loco 4023 --day 2017-03-21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600</v>
      </c>
      <c r="B44" s="7">
        <v>4016</v>
      </c>
      <c r="C44" s="21" t="s">
        <v>221</v>
      </c>
      <c r="D44" s="21" t="s">
        <v>866</v>
      </c>
      <c r="E44" s="13">
        <v>42815.308206018519</v>
      </c>
      <c r="F44" s="13">
        <v>42815.30909722222</v>
      </c>
      <c r="G44" s="7">
        <v>1</v>
      </c>
      <c r="H44" s="21" t="s">
        <v>867</v>
      </c>
      <c r="I44" s="13">
        <v>42815.334583333337</v>
      </c>
      <c r="J44" s="7">
        <v>0</v>
      </c>
      <c r="K44" s="98" t="str">
        <f t="shared" si="0"/>
        <v>4015/4016</v>
      </c>
      <c r="L44" s="21" t="str">
        <f>VLOOKUP(A44,'Trips&amp;Operators'!$C$1:$G$99999,5,FALSE)</f>
        <v>SULLIVAN BRANDON</v>
      </c>
      <c r="M44" s="6">
        <f t="shared" si="1"/>
        <v>2.5486111117061228E-2</v>
      </c>
      <c r="N44" s="7"/>
      <c r="O44" s="7"/>
      <c r="P44" s="7">
        <f>24*60*SUM($M44:$M44)</f>
        <v>36.700000008568168</v>
      </c>
      <c r="Q44" s="22"/>
      <c r="R44" s="22" t="s">
        <v>1058</v>
      </c>
      <c r="S44" s="31">
        <f t="shared" si="21"/>
        <v>1</v>
      </c>
      <c r="T44" s="46" t="str">
        <f t="shared" si="3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-21T06:23:49-0600',mode:absolute,to:'2017-03-21T09:01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4" s="187" t="str">
        <f t="shared" si="5"/>
        <v>Y</v>
      </c>
      <c r="X44" s="187">
        <f t="shared" si="6"/>
        <v>1</v>
      </c>
      <c r="Y44" s="62">
        <f t="shared" si="7"/>
        <v>1.9129</v>
      </c>
      <c r="Z44" s="62">
        <f t="shared" si="20"/>
        <v>23.338000000000001</v>
      </c>
      <c r="AA44" s="62">
        <f t="shared" si="9"/>
        <v>21.4251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0129-21</v>
      </c>
      <c r="AE44" s="85" t="str">
        <f t="shared" si="11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44" s="82" t="str">
        <f t="shared" si="12"/>
        <v>"C:\Program Files (x86)\AstroGrep\AstroGrep.exe" /e /r /s /spath="%USERPROFILE%\AppData\Local\Temp\OnboardLogs" /stypes="app*4016*20170321*" /stext=" 14:.+((SYSTEM_STATE.+slice.+state.+changed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7"/>
        <v>"%USERPROFILE%\Documents\GitHub\eaglep3\Utilities\RefineRTDCRunTimes.py" --tripid 129-21 --locoid 4016 --swversion DE.1.0.9.0 --startMP 204:19129 --initTime 2017-03-21T07:23:49 --startdatetime 2017-03-21T07:25:06 --delay 1 --endMP 204:233380 --enddatetime 2017-03-21T08:01:48 --enforcementcount 0 &gt;&gt;C:\Users\stu\Documents\GitHub\eaglep3-reporting\EC\2017-03-21-refined-times.txt</v>
      </c>
      <c r="AI44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failure","project_id":79,"tracker_id":40,"status_id":1,"priority_id":2,"assigned_to_id":23,"start_date":"2017-03-21","description":"","custom_fields":[{"id":1,"name":"Subdivision","value":"EC"},{"id":4,"name":"Milepost","value":"23.338"},{"id":17,"name":"Train ID","value":"129-21"},{"id":16,"name":"Locomotive ID","value":"4016"},{"id":130,"name":"Impact","value":""},{"id":150,"name":"Time of Event (Mountain Time)","value":"08:01:48"},{"id":151,"name":"Denver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9"/>
        <v>start /low /b %USERPROFILE%\Documents\GitHub\eaglep3\Utilities\DownloadLogsFromS3.py --loco 4016 --day 2017-03-21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685</v>
      </c>
      <c r="B45" s="7">
        <v>4015</v>
      </c>
      <c r="C45" s="21" t="s">
        <v>221</v>
      </c>
      <c r="D45" s="21" t="s">
        <v>868</v>
      </c>
      <c r="E45" s="13">
        <v>42815.336238425924</v>
      </c>
      <c r="F45" s="13">
        <v>42815.341493055559</v>
      </c>
      <c r="G45" s="7">
        <v>1</v>
      </c>
      <c r="H45" s="21" t="s">
        <v>205</v>
      </c>
      <c r="I45" s="13">
        <v>42815.377766203703</v>
      </c>
      <c r="J45" s="7">
        <v>0</v>
      </c>
      <c r="K45" s="98" t="str">
        <f t="shared" si="0"/>
        <v>4015/4016</v>
      </c>
      <c r="L45" s="21" t="str">
        <f>VLOOKUP(A45,'Trips&amp;Operators'!$C$1:$G$99999,5,FALSE)</f>
        <v>SULLIVAN BRANDON</v>
      </c>
      <c r="M45" s="6">
        <f t="shared" si="1"/>
        <v>3.6273148143664002E-2</v>
      </c>
      <c r="N45" s="7">
        <f>24*60*SUM($M45:$M45)</f>
        <v>52.233333326876163</v>
      </c>
      <c r="O45" s="7"/>
      <c r="P45" s="7"/>
      <c r="Q45" s="22"/>
      <c r="R45" s="22"/>
      <c r="S45" s="31">
        <f t="shared" si="21"/>
        <v>1</v>
      </c>
      <c r="T45" s="46" t="str">
        <f t="shared" si="3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-21T07:04:11-0600',mode:absolute,to:'2017-03-21T10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5" s="187" t="str">
        <f t="shared" si="5"/>
        <v>N</v>
      </c>
      <c r="X45" s="187">
        <f t="shared" si="6"/>
        <v>1</v>
      </c>
      <c r="Y45" s="62">
        <f t="shared" si="7"/>
        <v>23.305499999999999</v>
      </c>
      <c r="Z45" s="62">
        <f t="shared" si="20"/>
        <v>1.54E-2</v>
      </c>
      <c r="AA45" s="62">
        <f t="shared" si="9"/>
        <v>23.290099999999999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0130-21</v>
      </c>
      <c r="AE45" s="85" t="str">
        <f t="shared" si="11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45" s="82" t="str">
        <f t="shared" si="12"/>
        <v>"C:\Program Files (x86)\AstroGrep\AstroGrep.exe" /e /r /s /spath="%USERPROFILE%\AppData\Local\Temp\OnboardLogs" /stypes="app*4015*20170321*" /stext=" 15:.+((SYSTEM_STATE.+slice.+state.+changed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7"/>
        <v>"%USERPROFILE%\Documents\GitHub\eaglep3\Utilities\RefineRTDCRunTimes.py" --tripid 130-21 --locoid 4015 --swversion DE.1.0.9.0 --startMP 204:233055 --initTime 2017-03-21T08:04:11 --startdatetime 2017-03-21T08:11:45 --delay 1 --endMP 204:154 --enddatetime 2017-03-21T09:03:59 --enforcementcount 0 &gt;&gt;C:\Users\stu\Documents\GitHub\eaglep3-reporting\EC\2017-03-21-refined-times.txt</v>
      </c>
      <c r="AI45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{"issue":{"subject":"","project_id":79,"tracker_id":40,"status_id":1,"priority_id":2,"assigned_to_id":23,"start_date":"2017-03-21","description":"","custom_fields":[{"id":1,"name":"Subdivision","value":"EC"},{"id":4,"name":"Milepost","value":"0.0154"},{"id":17,"name":"Train ID","value":"130-21"},{"id":16,"name":"Locomotive ID","value":"4015"},{"id":130,"name":"Impact","value":""},{"id":150,"name":"Time of Event (Mountain Time)","value":"09:03:59"},{"id":151,"name":"Denver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9"/>
        <v>start /low /b %USERPROFILE%\Documents\GitHub\eaglep3\Utilities\DownloadLogsFromS3.py --loco 4015 --day 2017-03-21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"%USERPROFILE%\AppData\Local\Temp\OnboardLogs"\RTDC4015\*4015*20170321* | grep -SE "(Enforcement Action)|(\[TIMEOUT)|(CHR.+\|PRM\|1\|D.+(SWITCH|SIGNAL).+UNKNOWN)" - &gt;&gt; 2017-03-21-UncaughtWiMAX.txt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680</v>
      </c>
      <c r="B46" s="7">
        <v>4042</v>
      </c>
      <c r="C46" s="21" t="s">
        <v>221</v>
      </c>
      <c r="D46" s="21" t="s">
        <v>869</v>
      </c>
      <c r="E46" s="13">
        <v>42815.315868055557</v>
      </c>
      <c r="F46" s="13">
        <v>42815.32372685185</v>
      </c>
      <c r="G46" s="7">
        <v>10</v>
      </c>
      <c r="H46" s="21" t="s">
        <v>409</v>
      </c>
      <c r="I46" s="13">
        <v>42815.345879629633</v>
      </c>
      <c r="J46" s="7">
        <v>0</v>
      </c>
      <c r="K46" s="98" t="str">
        <f t="shared" si="0"/>
        <v>4041/4042</v>
      </c>
      <c r="L46" s="21" t="str">
        <f>VLOOKUP(A46,'Trips&amp;Operators'!$C$1:$G$99999,5,FALSE)</f>
        <v>MAELZER KURT</v>
      </c>
      <c r="M46" s="6">
        <f t="shared" si="1"/>
        <v>2.2152777783048805E-2</v>
      </c>
      <c r="N46" s="7"/>
      <c r="O46" s="7"/>
      <c r="P46" s="7">
        <f>24*60*SUM($M46:$M46)</f>
        <v>31.900000007590279</v>
      </c>
      <c r="Q46" s="22"/>
      <c r="R46" s="22" t="s">
        <v>1058</v>
      </c>
      <c r="S46" s="31">
        <f t="shared" si="21"/>
        <v>1</v>
      </c>
      <c r="T46" s="46" t="str">
        <f t="shared" si="3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-21T06:34:51-0600',mode:absolute,to:'2017-03-21T09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187" t="str">
        <f t="shared" si="5"/>
        <v>Y</v>
      </c>
      <c r="X46" s="187">
        <f t="shared" si="6"/>
        <v>1</v>
      </c>
      <c r="Y46" s="62">
        <f t="shared" si="7"/>
        <v>1.9128000000000001</v>
      </c>
      <c r="Z46" s="62">
        <f t="shared" si="20"/>
        <v>23.330400000000001</v>
      </c>
      <c r="AA46" s="62">
        <f t="shared" si="9"/>
        <v>21.4176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0131-21</v>
      </c>
      <c r="AE46" s="85" t="str">
        <f t="shared" si="11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46" s="82" t="str">
        <f t="shared" si="12"/>
        <v>"C:\Program Files (x86)\AstroGrep\AstroGrep.exe" /e /r /s /spath="%USERPROFILE%\AppData\Local\Temp\OnboardLogs" /stypes="app*4042*20170321*" /stext=" 14:.+((SYSTEM_STATE.+slice.+state.+changed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7"/>
        <v>"%USERPROFILE%\Documents\GitHub\eaglep3\Utilities\RefineRTDCRunTimes.py" --tripid 131-21 --locoid 4042 --swversion DE.1.0.9.0 --startMP 204:19128 --initTime 2017-03-21T07:34:51 --startdatetime 2017-03-21T07:46:10 --delay 10 --endMP 204:233304 --enddatetime 2017-03-21T08:18:04 --enforcementcount 0 &gt;&gt;C:\Users\stu\Documents\GitHub\eaglep3-reporting\EC\2017-03-21-refined-times.txt</v>
      </c>
      <c r="AI46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failure","project_id":79,"tracker_id":40,"status_id":1,"priority_id":2,"assigned_to_id":23,"start_date":"2017-03-21","description":"","custom_fields":[{"id":1,"name":"Subdivision","value":"EC"},{"id":4,"name":"Milepost","value":"23.3304"},{"id":17,"name":"Train ID","value":"131-21"},{"id":16,"name":"Locomotive ID","value":"4042"},{"id":130,"name":"Impact","value":""},{"id":150,"name":"Time of Event (Mountain Time)","value":"08:18:04"},{"id":151,"name":"Denver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9"/>
        <v>start /low /b %USERPROFILE%\Documents\GitHub\eaglep3\Utilities\DownloadLogsFromS3.py --loco 4042 --day 2017-03-21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689</v>
      </c>
      <c r="B47" s="7">
        <v>4041</v>
      </c>
      <c r="C47" s="21" t="s">
        <v>221</v>
      </c>
      <c r="D47" s="21" t="s">
        <v>563</v>
      </c>
      <c r="E47" s="13">
        <v>42815.349305555559</v>
      </c>
      <c r="F47" s="13">
        <v>42815.351631944446</v>
      </c>
      <c r="G47" s="7">
        <v>0</v>
      </c>
      <c r="H47" s="21" t="s">
        <v>216</v>
      </c>
      <c r="I47" s="13">
        <v>42815.380902777775</v>
      </c>
      <c r="J47" s="7">
        <v>0</v>
      </c>
      <c r="K47" s="98" t="str">
        <f t="shared" si="0"/>
        <v>4041/4042</v>
      </c>
      <c r="L47" s="21" t="str">
        <f>VLOOKUP(A47,'Trips&amp;Operators'!$C$1:$G$99999,5,FALSE)</f>
        <v>MAELZER KURT</v>
      </c>
      <c r="M47" s="6">
        <f t="shared" si="1"/>
        <v>2.9270833329064772E-2</v>
      </c>
      <c r="N47" s="7">
        <f>24*60*SUM($M47:$M47)</f>
        <v>42.149999993853271</v>
      </c>
      <c r="O47" s="7"/>
      <c r="P47" s="7"/>
      <c r="Q47" s="22"/>
      <c r="R47" s="22"/>
      <c r="S47" s="31">
        <f t="shared" si="21"/>
        <v>1</v>
      </c>
      <c r="T47" s="46" t="str">
        <f t="shared" si="3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-21T07:23:00-0600',mode:absolute,to:'2017-03-21T10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187" t="str">
        <f t="shared" si="5"/>
        <v>N</v>
      </c>
      <c r="X47" s="187">
        <f t="shared" si="6"/>
        <v>1</v>
      </c>
      <c r="Y47" s="62">
        <f t="shared" si="7"/>
        <v>23.297899999999998</v>
      </c>
      <c r="Z47" s="62">
        <f t="shared" si="20"/>
        <v>1.47E-2</v>
      </c>
      <c r="AA47" s="62">
        <f t="shared" si="9"/>
        <v>23.283199999999997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0132-21</v>
      </c>
      <c r="AE47" s="85" t="str">
        <f t="shared" si="11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47" s="82" t="str">
        <f t="shared" si="12"/>
        <v>"C:\Program Files (x86)\AstroGrep\AstroGrep.exe" /e /r /s /spath="%USERPROFILE%\AppData\Local\Temp\OnboardLogs" /stypes="app*4041*20170321*" /stext=" 15:.+((SYSTEM_STATE.+slice.+state.+changed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7"/>
        <v>"%USERPROFILE%\Documents\GitHub\eaglep3\Utilities\RefineRTDCRunTimes.py" --tripid 132-21 --locoid 4041 --swversion DE.1.0.9.0 --startMP 204:232979 --initTime 2017-03-21T08:23:00 --startdatetime 2017-03-21T08:26:21 --delay 0 --endMP 204:147 --enddatetime 2017-03-21T09:08:30 --enforcementcount 0 &gt;&gt;C:\Users\stu\Documents\GitHub\eaglep3-reporting\EC\2017-03-21-refined-times.txt</v>
      </c>
      <c r="AI47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{"issue":{"subject":"","project_id":79,"tracker_id":40,"status_id":1,"priority_id":2,"assigned_to_id":23,"start_date":"2017-03-21","description":"","custom_fields":[{"id":1,"name":"Subdivision","value":"EC"},{"id":4,"name":"Milepost","value":"0.0147"},{"id":17,"name":"Train ID","value":"132-21"},{"id":16,"name":"Locomotive ID","value":"4041"},{"id":130,"name":"Impact","value":""},{"id":150,"name":"Time of Event (Mountain Time)","value":"09:08:30"},{"id":151,"name":"Denver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9"/>
        <v>start /low /b %USERPROFILE%\Documents\GitHub\eaglep3\Utilities\DownloadLogsFromS3.py --loco 4041 --day 2017-03-21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601</v>
      </c>
      <c r="B48" s="7">
        <v>4031</v>
      </c>
      <c r="C48" s="21" t="s">
        <v>221</v>
      </c>
      <c r="D48" s="21" t="s">
        <v>525</v>
      </c>
      <c r="E48" s="13">
        <v>42815.321782407409</v>
      </c>
      <c r="F48" s="13">
        <v>42815.327800925923</v>
      </c>
      <c r="G48" s="7">
        <v>1</v>
      </c>
      <c r="H48" s="21" t="s">
        <v>222</v>
      </c>
      <c r="I48" s="13">
        <v>42815.350717592592</v>
      </c>
      <c r="J48" s="7">
        <v>0</v>
      </c>
      <c r="K48" s="98" t="str">
        <f t="shared" si="0"/>
        <v>4031/4032</v>
      </c>
      <c r="L48" s="21" t="str">
        <f>VLOOKUP(A48,'Trips&amp;Operators'!$C$1:$G$99999,5,FALSE)</f>
        <v>STARKS ANGELINA</v>
      </c>
      <c r="M48" s="6">
        <f t="shared" si="1"/>
        <v>2.2916666668606922E-2</v>
      </c>
      <c r="N48" s="7"/>
      <c r="O48" s="7"/>
      <c r="P48" s="7">
        <f>24*60*SUM($M48:$M48)</f>
        <v>33.000000002793968</v>
      </c>
      <c r="Q48" s="22"/>
      <c r="R48" s="22" t="s">
        <v>1058</v>
      </c>
      <c r="S48" s="31">
        <f t="shared" si="21"/>
        <v>1</v>
      </c>
      <c r="T48" s="46" t="str">
        <f t="shared" si="3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-21T06:43:22-0600',mode:absolute,to:'2017-03-21T09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187" t="str">
        <f t="shared" si="5"/>
        <v>Y</v>
      </c>
      <c r="X48" s="187">
        <f t="shared" si="6"/>
        <v>1</v>
      </c>
      <c r="Y48" s="62">
        <v>1.91</v>
      </c>
      <c r="Z48" s="62">
        <f t="shared" si="20"/>
        <v>23.329699999999999</v>
      </c>
      <c r="AA48" s="62">
        <f t="shared" si="9"/>
        <v>21.419699999999999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0133-21</v>
      </c>
      <c r="AE48" s="85" t="str">
        <f t="shared" si="11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48" s="82" t="str">
        <f t="shared" si="12"/>
        <v>"C:\Program Files (x86)\AstroGrep\AstroGrep.exe" /e /r /s /spath="%USERPROFILE%\AppData\Local\Temp\OnboardLogs" /stypes="app*4031*20170321*" /stext=" 14:.+((SYSTEM_STATE.+slice.+state.+changed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7"/>
        <v>"%USERPROFILE%\Documents\GitHub\eaglep3\Utilities\RefineRTDCRunTimes.py" --tripid 133-21 --locoid 4031 --swversion DE.1.0.9.0 --startMP 204:464 --initTime 2017-03-21T07:43:22 --startdatetime 2017-03-21T07:52:02 --delay 1 --endMP 204:233297 --enddatetime 2017-03-21T08:25:02 --enforcementcount 0 &gt;&gt;C:\Users\stu\Documents\GitHub\eaglep3-reporting\EC\2017-03-21-refined-times.txt</v>
      </c>
      <c r="AI48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failure","project_id":79,"tracker_id":40,"status_id":1,"priority_id":2,"assigned_to_id":23,"start_date":"2017-03-21","description":"","custom_fields":[{"id":1,"name":"Subdivision","value":"EC"},{"id":4,"name":"Milepost","value":"23.3297"},{"id":17,"name":"Train ID","value":"133-21"},{"id":16,"name":"Locomotive ID","value":"4031"},{"id":130,"name":"Impact","value":""},{"id":150,"name":"Time of Event (Mountain Time)","value":"08:25:02"},{"id":151,"name":"Denver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9"/>
        <v>start /low /b %USERPROFILE%\Documents\GitHub\eaglep3\Utilities\DownloadLogsFromS3.py --loco 4031 --day 2017-03-21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604</v>
      </c>
      <c r="B49" s="7">
        <v>4032</v>
      </c>
      <c r="C49" s="21" t="s">
        <v>221</v>
      </c>
      <c r="D49" s="21" t="s">
        <v>573</v>
      </c>
      <c r="E49" s="13">
        <v>42815.360046296293</v>
      </c>
      <c r="F49" s="13">
        <v>42815.362268518518</v>
      </c>
      <c r="G49" s="7">
        <v>1</v>
      </c>
      <c r="H49" s="21" t="s">
        <v>191</v>
      </c>
      <c r="I49" s="13">
        <v>42815.391770833332</v>
      </c>
      <c r="J49" s="7">
        <v>0</v>
      </c>
      <c r="K49" s="98" t="str">
        <f t="shared" si="0"/>
        <v>4031/4032</v>
      </c>
      <c r="L49" s="21" t="str">
        <f>VLOOKUP(A49,'Trips&amp;Operators'!$C$1:$G$99999,5,FALSE)</f>
        <v>STARKS ANGELINA</v>
      </c>
      <c r="M49" s="6">
        <f t="shared" si="1"/>
        <v>2.9502314813726116E-2</v>
      </c>
      <c r="N49" s="7">
        <f>24*60*SUM($M49:$M49)</f>
        <v>42.483333331765607</v>
      </c>
      <c r="O49" s="7"/>
      <c r="P49" s="7"/>
      <c r="Q49" s="22"/>
      <c r="R49" s="22"/>
      <c r="S49" s="31">
        <f t="shared" si="21"/>
        <v>1</v>
      </c>
      <c r="T49" s="46" t="str">
        <f t="shared" si="3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-21T07:38:28-0600',mode:absolute,to:'2017-03-21T10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87" t="str">
        <f t="shared" si="5"/>
        <v>N</v>
      </c>
      <c r="X49" s="187">
        <f t="shared" si="6"/>
        <v>1</v>
      </c>
      <c r="Y49" s="62">
        <f t="shared" ref="Y49:Y80" si="22">RIGHT(D49,LEN(D49)-4)/10000</f>
        <v>23.297799999999999</v>
      </c>
      <c r="Z49" s="62">
        <f t="shared" si="20"/>
        <v>1.4999999999999999E-2</v>
      </c>
      <c r="AA49" s="62">
        <f t="shared" si="9"/>
        <v>23.282799999999998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0134-21</v>
      </c>
      <c r="AE49" s="85" t="str">
        <f t="shared" si="11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49" s="82" t="str">
        <f t="shared" si="12"/>
        <v>"C:\Program Files (x86)\AstroGrep\AstroGrep.exe" /e /r /s /spath="%USERPROFILE%\AppData\Local\Temp\OnboardLogs" /stypes="app*4032*20170321*" /stext=" 15:.+((SYSTEM_STATE.+slice.+state.+changed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7"/>
        <v>"%USERPROFILE%\Documents\GitHub\eaglep3\Utilities\RefineRTDCRunTimes.py" --tripid 134-21 --locoid 4032 --swversion DE.1.0.9.0 --startMP 204:232978 --initTime 2017-03-21T08:38:28 --startdatetime 2017-03-21T08:41:40 --delay 1 --endMP 204:150 --enddatetime 2017-03-21T09:24:09 --enforcementcount 0 &gt;&gt;C:\Users\stu\Documents\GitHub\eaglep3-reporting\EC\2017-03-21-refined-times.txt</v>
      </c>
      <c r="AI49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{"issue":{"subject":"","project_id":79,"tracker_id":40,"status_id":1,"priority_id":2,"assigned_to_id":23,"start_date":"2017-03-21","description":"","custom_fields":[{"id":1,"name":"Subdivision","value":"EC"},{"id":4,"name":"Milepost","value":"0.015"},{"id":17,"name":"Train ID","value":"134-21"},{"id":16,"name":"Locomotive ID","value":"4032"},{"id":130,"name":"Impact","value":""},{"id":150,"name":"Time of Event (Mountain Time)","value":"09:24:09"},{"id":151,"name":"Denver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9"/>
        <v>start /low /b %USERPROFILE%\Documents\GitHub\eaglep3\Utilities\DownloadLogsFromS3.py --loco 4032 --day 2017-03-21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684</v>
      </c>
      <c r="B50" s="7">
        <v>4051</v>
      </c>
      <c r="C50" s="21" t="s">
        <v>221</v>
      </c>
      <c r="D50" s="21" t="s">
        <v>870</v>
      </c>
      <c r="E50" s="13">
        <v>42815.339953703704</v>
      </c>
      <c r="F50" s="13">
        <v>42815.340856481482</v>
      </c>
      <c r="G50" s="7">
        <v>1</v>
      </c>
      <c r="H50" s="21" t="s">
        <v>477</v>
      </c>
      <c r="I50" s="13">
        <v>42815.366377314815</v>
      </c>
      <c r="J50" s="7">
        <v>0</v>
      </c>
      <c r="K50" s="98" t="str">
        <f t="shared" si="0"/>
        <v>4051/4052</v>
      </c>
      <c r="L50" s="21" t="str">
        <f>VLOOKUP(A50,'Trips&amp;Operators'!$C$1:$G$99999,5,FALSE)</f>
        <v>GUZMAN DANNY</v>
      </c>
      <c r="M50" s="6">
        <f t="shared" si="1"/>
        <v>2.5520833332848269E-2</v>
      </c>
      <c r="N50" s="7"/>
      <c r="O50" s="7"/>
      <c r="P50" s="7">
        <f>24*60*SUM($M50:$M50)</f>
        <v>36.749999999301508</v>
      </c>
      <c r="Q50" s="22"/>
      <c r="R50" s="22" t="s">
        <v>1058</v>
      </c>
      <c r="S50" s="31">
        <f t="shared" si="21"/>
        <v>1</v>
      </c>
      <c r="T50" s="46" t="str">
        <f t="shared" si="3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-21T07:09:32-0600',mode:absolute,to:'2017-03-21T09:47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0" s="187" t="str">
        <f t="shared" si="5"/>
        <v>Y</v>
      </c>
      <c r="X50" s="187">
        <f t="shared" si="6"/>
        <v>1</v>
      </c>
      <c r="Y50" s="62">
        <f t="shared" si="22"/>
        <v>1.9137999999999999</v>
      </c>
      <c r="Z50" s="62">
        <f t="shared" si="20"/>
        <v>23.331399999999999</v>
      </c>
      <c r="AA50" s="62">
        <f t="shared" si="9"/>
        <v>21.4176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0135-21</v>
      </c>
      <c r="AE50" s="85" t="str">
        <f t="shared" si="11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50" s="82" t="str">
        <f t="shared" si="12"/>
        <v>"C:\Program Files (x86)\AstroGrep\AstroGrep.exe" /e /r /s /spath="%USERPROFILE%\AppData\Local\Temp\OnboardLogs" /stypes="app*4051*20170321*" /stext=" 14:.+((SYSTEM_STATE.+slice.+state.+changed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7"/>
        <v>"%USERPROFILE%\Documents\GitHub\eaglep3\Utilities\RefineRTDCRunTimes.py" --tripid 135-21 --locoid 4051 --swversion DE.1.0.9.0 --startMP 204:19138 --initTime 2017-03-21T08:09:32 --startdatetime 2017-03-21T08:10:50 --delay 1 --endMP 204:233314 --enddatetime 2017-03-21T08:47:35 --enforcementcount 0 &gt;&gt;C:\Users\stu\Documents\GitHub\eaglep3-reporting\EC\2017-03-21-refined-times.txt</v>
      </c>
      <c r="AI50" s="108" t="str">
        <f t="shared" si="18"/>
        <v>echo {"issue":{"subject":"DUS SW 1 failure","project_id":79,"tracker_id":40,"status_id":1,"priority_id":2,"assigned_to_id":23,"start_date":"2017-03-21","description":"","custom_fields":[{"id":1,"name":"Subdivision","value":"EC"},{"id":4,"name":"Milepost","value":"23.3314"},{"id":17,"name":"Train ID","value":"135-21"},{"id":16,"name":"Locomotive ID","value":"4051"},{"id":130,"name":"Impact","value":""},{"id":150,"name":"Time of Event (Mountain Time)","value":"08:47:35"},{"id":151,"name":"Denver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9"/>
        <v>start /low /b %USERPROFILE%\Documents\GitHub\eaglep3\Utilities\DownloadLogsFromS3.py --loco 4051 --day 2017-03-21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684</v>
      </c>
      <c r="B51" s="7">
        <v>4051</v>
      </c>
      <c r="C51" s="21" t="s">
        <v>221</v>
      </c>
      <c r="D51" s="21" t="s">
        <v>871</v>
      </c>
      <c r="E51" s="13">
        <v>42815.330740740741</v>
      </c>
      <c r="F51" s="13">
        <v>42815.340856481482</v>
      </c>
      <c r="G51" s="7">
        <v>9</v>
      </c>
      <c r="H51" s="21" t="s">
        <v>857</v>
      </c>
      <c r="I51" s="13">
        <v>42815.366377314815</v>
      </c>
      <c r="J51" s="7">
        <v>0</v>
      </c>
      <c r="K51" s="98" t="str">
        <f t="shared" si="0"/>
        <v>4051/4052</v>
      </c>
      <c r="L51" s="21" t="str">
        <f>VLOOKUP(A51,'Trips&amp;Operators'!$C$1:$G$99999,5,FALSE)</f>
        <v>GUZMAN DANNY</v>
      </c>
      <c r="M51" s="6">
        <f t="shared" si="1"/>
        <v>2.5520833332848269E-2</v>
      </c>
      <c r="N51" s="7"/>
      <c r="O51" s="7"/>
      <c r="P51" s="7"/>
      <c r="Q51" s="22"/>
      <c r="R51" s="22"/>
      <c r="S51" s="31"/>
      <c r="T51" s="46" t="str">
        <f t="shared" si="3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0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-21T06:56:16-0600',mode:absolute,to:'2017-03-21T09:47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7" t="str">
        <f t="shared" si="5"/>
        <v>Y</v>
      </c>
      <c r="X51" s="187">
        <f t="shared" si="6"/>
        <v>0</v>
      </c>
      <c r="Y51" s="62">
        <f t="shared" si="22"/>
        <v>0.33960000000000001</v>
      </c>
      <c r="Z51" s="62">
        <f t="shared" si="20"/>
        <v>0.62529999999999997</v>
      </c>
      <c r="AA51" s="62">
        <f t="shared" si="9"/>
        <v>0.28569999999999995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0135-21</v>
      </c>
      <c r="AE51" s="85" t="str">
        <f t="shared" si="11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51" s="82" t="str">
        <f t="shared" si="12"/>
        <v>"C:\Program Files (x86)\AstroGrep\AstroGrep.exe" /e /r /s /spath="%USERPROFILE%\AppData\Local\Temp\OnboardLogs" /stypes="app*4051*20170321*" /stext=" 14:.+((SYSTEM_STATE.+slice.+state.+changed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7"/>
        <v>"%USERPROFILE%\Documents\GitHub\eaglep3\Utilities\RefineRTDCRunTimes.py" --tripid 135-21 --locoid 4051 --swversion DE.1.0.9.0 --startMP 204:3396 --initTime 2017-03-21T07:56:16 --startdatetime 2017-03-21T08:10:50 --delay 9 --endMP 204:6253 --enddatetime 2017-03-21T08:47:35 --enforcementcount 0 &gt;&gt;C:\Users\stu\Documents\GitHub\eaglep3-reporting\EC\2017-03-21-refined-times.txt</v>
      </c>
      <c r="AI51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{"issue":{"subject":"","project_id":79,"tracker_id":40,"status_id":1,"priority_id":2,"assigned_to_id":23,"start_date":"2017-03-21","description":"","custom_fields":[{"id":1,"name":"Subdivision","value":"EC"},{"id":4,"name":"Milepost","value":"0.6253"},{"id":17,"name":"Train ID","value":"135-21"},{"id":16,"name":"Locomotive ID","value":"4051"},{"id":130,"name":"Impact","value":""},{"id":150,"name":"Time of Event (Mountain Time)","value":"08:47:35"},{"id":151,"name":"Denver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9"/>
        <v>start /low /b %USERPROFILE%\Documents\GitHub\eaglep3\Utilities\DownloadLogsFromS3.py --loco 4051 --day 2017-03-21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606</v>
      </c>
      <c r="B52" s="7">
        <v>4052</v>
      </c>
      <c r="C52" s="21" t="s">
        <v>221</v>
      </c>
      <c r="D52" s="21" t="s">
        <v>481</v>
      </c>
      <c r="E52" s="13">
        <v>42815.368043981478</v>
      </c>
      <c r="F52" s="13">
        <v>42815.372627314813</v>
      </c>
      <c r="G52" s="7">
        <v>1</v>
      </c>
      <c r="H52" s="21" t="s">
        <v>433</v>
      </c>
      <c r="I52" s="13">
        <v>42815.402187500003</v>
      </c>
      <c r="J52" s="7">
        <v>0</v>
      </c>
      <c r="K52" s="98" t="str">
        <f t="shared" si="0"/>
        <v>4051/4052</v>
      </c>
      <c r="L52" s="21" t="str">
        <f>VLOOKUP(A52,'Trips&amp;Operators'!$C$1:$G$99999,5,FALSE)</f>
        <v>GUZMAN DANNY</v>
      </c>
      <c r="M52" s="6">
        <f t="shared" si="1"/>
        <v>2.956018519034842E-2</v>
      </c>
      <c r="N52" s="7">
        <f t="shared" ref="N52:N68" si="23">24*60*SUM($M52:$M52)</f>
        <v>42.566666674101725</v>
      </c>
      <c r="O52" s="7"/>
      <c r="P52" s="7"/>
      <c r="Q52" s="22"/>
      <c r="R52" s="22"/>
      <c r="S52" s="31">
        <f t="shared" ref="S52:S69" si="24">SUM(U52:U52)/IF(AG52="EC",12,1)</f>
        <v>1</v>
      </c>
      <c r="T52" s="46" t="str">
        <f t="shared" si="3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-21T07:49:59-0600',mode:absolute,to:'2017-03-21T10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7" t="str">
        <f t="shared" si="5"/>
        <v>N</v>
      </c>
      <c r="X52" s="187">
        <f t="shared" si="6"/>
        <v>1</v>
      </c>
      <c r="Y52" s="62">
        <f t="shared" si="22"/>
        <v>23.299299999999999</v>
      </c>
      <c r="Z52" s="62">
        <f t="shared" si="20"/>
        <v>1.6E-2</v>
      </c>
      <c r="AA52" s="62">
        <f t="shared" si="9"/>
        <v>23.283300000000001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0136-21</v>
      </c>
      <c r="AE52" s="85" t="str">
        <f t="shared" si="11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52" s="82" t="str">
        <f t="shared" si="12"/>
        <v>"C:\Program Files (x86)\AstroGrep\AstroGrep.exe" /e /r /s /spath="%USERPROFILE%\AppData\Local\Temp\OnboardLogs" /stypes="app*4052*20170321*" /stext=" 15:.+((SYSTEM_STATE.+slice.+state.+changed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7"/>
        <v>"%USERPROFILE%\Documents\GitHub\eaglep3\Utilities\RefineRTDCRunTimes.py" --tripid 136-21 --locoid 4052 --swversion DE.1.0.9.0 --startMP 204:232993 --initTime 2017-03-21T08:49:59 --startdatetime 2017-03-21T08:56:35 --delay 1 --endMP 204:160 --enddatetime 2017-03-21T09:39:09 --enforcementcount 0 &gt;&gt;C:\Users\stu\Documents\GitHub\eaglep3-reporting\EC\2017-03-21-refined-times.txt</v>
      </c>
      <c r="AI52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{"issue":{"subject":"","project_id":79,"tracker_id":40,"status_id":1,"priority_id":2,"assigned_to_id":23,"start_date":"2017-03-21","description":"","custom_fields":[{"id":1,"name":"Subdivision","value":"EC"},{"id":4,"name":"Milepost","value":"0.016"},{"id":17,"name":"Train ID","value":"136-21"},{"id":16,"name":"Locomotive ID","value":"4052"},{"id":130,"name":"Impact","value":""},{"id":150,"name":"Time of Event (Mountain Time)","value":"09:39:09"},{"id":151,"name":"Denver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9"/>
        <v>start /low /b %USERPROFILE%\Documents\GitHub\eaglep3\Utilities\DownloadLogsFromS3.py --loco 4052 --day 2017-03-21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688</v>
      </c>
      <c r="B53" s="7">
        <v>4025</v>
      </c>
      <c r="C53" s="21" t="s">
        <v>221</v>
      </c>
      <c r="D53" s="21" t="s">
        <v>872</v>
      </c>
      <c r="E53" s="13">
        <v>42815.348229166666</v>
      </c>
      <c r="F53" s="13">
        <v>42815.349421296298</v>
      </c>
      <c r="G53" s="7">
        <v>1</v>
      </c>
      <c r="H53" s="21" t="s">
        <v>363</v>
      </c>
      <c r="I53" s="13">
        <v>42815.377962962964</v>
      </c>
      <c r="J53" s="7">
        <v>0</v>
      </c>
      <c r="K53" s="98" t="str">
        <f t="shared" si="0"/>
        <v>4025/4026</v>
      </c>
      <c r="L53" s="21" t="str">
        <f>VLOOKUP(A53,'Trips&amp;Operators'!$C$1:$G$99999,5,FALSE)</f>
        <v>DAVIS WENDY</v>
      </c>
      <c r="M53" s="6">
        <f t="shared" si="1"/>
        <v>2.8541666666569654E-2</v>
      </c>
      <c r="N53" s="7">
        <f t="shared" si="23"/>
        <v>41.099999999860302</v>
      </c>
      <c r="O53" s="7"/>
      <c r="P53" s="7"/>
      <c r="Q53" s="22"/>
      <c r="R53" s="22"/>
      <c r="S53" s="31">
        <f t="shared" si="24"/>
        <v>1</v>
      </c>
      <c r="T53" s="46" t="str">
        <f t="shared" si="3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-21T07:21:27-0600',mode:absolute,to:'2017-03-21T10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3" s="187" t="str">
        <f t="shared" si="5"/>
        <v>N</v>
      </c>
      <c r="X53" s="187">
        <f t="shared" si="6"/>
        <v>1</v>
      </c>
      <c r="Y53" s="62">
        <f t="shared" si="22"/>
        <v>5.2600000000000001E-2</v>
      </c>
      <c r="Z53" s="62">
        <f t="shared" si="20"/>
        <v>23.3307</v>
      </c>
      <c r="AA53" s="62">
        <f t="shared" si="9"/>
        <v>23.278099999999998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0137-21</v>
      </c>
      <c r="AE53" s="85" t="str">
        <f t="shared" si="11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53" s="82" t="str">
        <f t="shared" si="12"/>
        <v>"C:\Program Files (x86)\AstroGrep\AstroGrep.exe" /e /r /s /spath="%USERPROFILE%\AppData\Local\Temp\OnboardLogs" /stypes="app*4025*20170321*" /stext=" 15:.+((SYSTEM_STATE.+slice.+state.+changed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7"/>
        <v>"%USERPROFILE%\Documents\GitHub\eaglep3\Utilities\RefineRTDCRunTimes.py" --tripid 137-21 --locoid 4025 --swversion DE.1.0.9.0 --startMP 204:526 --initTime 2017-03-21T08:21:27 --startdatetime 2017-03-21T08:23:10 --delay 1 --endMP 204:233307 --enddatetime 2017-03-21T09:04:16 --enforcementcount 0 &gt;&gt;C:\Users\stu\Documents\GitHub\eaglep3-reporting\EC\2017-03-21-refined-times.txt</v>
      </c>
      <c r="AI53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{"issue":{"subject":"","project_id":79,"tracker_id":40,"status_id":1,"priority_id":2,"assigned_to_id":23,"start_date":"2017-03-21","description":"","custom_fields":[{"id":1,"name":"Subdivision","value":"EC"},{"id":4,"name":"Milepost","value":"23.3307"},{"id":17,"name":"Train ID","value":"137-21"},{"id":16,"name":"Locomotive ID","value":"4025"},{"id":130,"name":"Impact","value":""},{"id":150,"name":"Time of Event (Mountain Time)","value":"09:04:16"},{"id":151,"name":"Denver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9"/>
        <v>start /low /b %USERPROFILE%\Documents\GitHub\eaglep3\Utilities\DownloadLogsFromS3.py --loco 4025 --day 2017-03-21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694</v>
      </c>
      <c r="B54" s="7">
        <v>4026</v>
      </c>
      <c r="C54" s="21" t="s">
        <v>221</v>
      </c>
      <c r="D54" s="21" t="s">
        <v>397</v>
      </c>
      <c r="E54" s="13">
        <v>42815.379780092589</v>
      </c>
      <c r="F54" s="13">
        <v>42815.3828125</v>
      </c>
      <c r="G54" s="7">
        <v>1</v>
      </c>
      <c r="H54" s="21" t="s">
        <v>191</v>
      </c>
      <c r="I54" s="13">
        <v>42815.411354166667</v>
      </c>
      <c r="J54" s="7">
        <v>0</v>
      </c>
      <c r="K54" s="98" t="str">
        <f t="shared" si="0"/>
        <v>4025/4026</v>
      </c>
      <c r="L54" s="21" t="str">
        <f>VLOOKUP(A54,'Trips&amp;Operators'!$C$1:$G$99999,5,FALSE)</f>
        <v>DAVIS WENDY</v>
      </c>
      <c r="M54" s="6">
        <f t="shared" si="1"/>
        <v>2.8541666666569654E-2</v>
      </c>
      <c r="N54" s="7">
        <f t="shared" si="23"/>
        <v>41.099999999860302</v>
      </c>
      <c r="O54" s="7"/>
      <c r="P54" s="7"/>
      <c r="Q54" s="22"/>
      <c r="R54" s="22"/>
      <c r="S54" s="31">
        <f t="shared" si="24"/>
        <v>1</v>
      </c>
      <c r="T54" s="46" t="str">
        <f t="shared" si="3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-21T08:06:53-0600',mode:absolute,to:'2017-03-21T10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4" s="187" t="str">
        <f t="shared" si="5"/>
        <v>N</v>
      </c>
      <c r="X54" s="187">
        <f t="shared" si="6"/>
        <v>1</v>
      </c>
      <c r="Y54" s="62">
        <f t="shared" si="22"/>
        <v>23.297499999999999</v>
      </c>
      <c r="Z54" s="62">
        <f t="shared" si="20"/>
        <v>1.4999999999999999E-2</v>
      </c>
      <c r="AA54" s="62">
        <f t="shared" si="9"/>
        <v>23.282499999999999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0138-21</v>
      </c>
      <c r="AE54" s="85" t="str">
        <f t="shared" si="11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54" s="82" t="str">
        <f t="shared" si="12"/>
        <v>"C:\Program Files (x86)\AstroGrep\AstroGrep.exe" /e /r /s /spath="%USERPROFILE%\AppData\Local\Temp\OnboardLogs" /stypes="app*4026*20170321*" /stext=" 15:.+((SYSTEM_STATE.+slice.+state.+changed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7"/>
        <v>"%USERPROFILE%\Documents\GitHub\eaglep3\Utilities\RefineRTDCRunTimes.py" --tripid 138-21 --locoid 4026 --swversion DE.1.0.9.0 --startMP 204:232975 --initTime 2017-03-21T09:06:53 --startdatetime 2017-03-21T09:11:15 --delay 1 --endMP 204:150 --enddatetime 2017-03-21T09:52:21 --enforcementcount 0 &gt;&gt;C:\Users\stu\Documents\GitHub\eaglep3-reporting\EC\2017-03-21-refined-times.txt</v>
      </c>
      <c r="AI54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{"issue":{"subject":"","project_id":79,"tracker_id":40,"status_id":1,"priority_id":2,"assigned_to_id":23,"start_date":"2017-03-21","description":"","custom_fields":[{"id":1,"name":"Subdivision","value":"EC"},{"id":4,"name":"Milepost","value":"0.015"},{"id":17,"name":"Train ID","value":"138-21"},{"id":16,"name":"Locomotive ID","value":"4026"},{"id":130,"name":"Impact","value":""},{"id":150,"name":"Time of Event (Mountain Time)","value":"09:52:21"},{"id":151,"name":"Denver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9"/>
        <v>start /low /b %USERPROFILE%\Documents\GitHub\eaglep3\Utilities\DownloadLogsFromS3.py --loco 4026 --day 2017-03-21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690</v>
      </c>
      <c r="B55" s="7">
        <v>4044</v>
      </c>
      <c r="C55" s="21" t="s">
        <v>221</v>
      </c>
      <c r="D55" s="21" t="s">
        <v>518</v>
      </c>
      <c r="E55" s="13">
        <v>42815.352372685185</v>
      </c>
      <c r="F55" s="13">
        <v>42815.354409722226</v>
      </c>
      <c r="G55" s="7">
        <v>1</v>
      </c>
      <c r="H55" s="21" t="s">
        <v>409</v>
      </c>
      <c r="I55" s="13">
        <v>42815.386932870373</v>
      </c>
      <c r="J55" s="7">
        <v>0</v>
      </c>
      <c r="K55" s="98" t="str">
        <f t="shared" si="0"/>
        <v>4043/4044</v>
      </c>
      <c r="L55" s="21" t="str">
        <f>VLOOKUP(A55,'Trips&amp;Operators'!$C$1:$G$99999,5,FALSE)</f>
        <v>LOZA FIDEL</v>
      </c>
      <c r="M55" s="6">
        <f t="shared" si="1"/>
        <v>3.25231481474475E-2</v>
      </c>
      <c r="N55" s="7">
        <f t="shared" si="23"/>
        <v>46.833333332324401</v>
      </c>
      <c r="O55" s="7"/>
      <c r="P55" s="7"/>
      <c r="Q55" s="22"/>
      <c r="R55" s="22"/>
      <c r="S55" s="31">
        <f t="shared" si="24"/>
        <v>1</v>
      </c>
      <c r="T55" s="46" t="str">
        <f t="shared" si="3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-21T07:27:25-0600',mode:absolute,to:'2017-03-21T10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87" t="str">
        <f t="shared" si="5"/>
        <v>N</v>
      </c>
      <c r="X55" s="187">
        <f t="shared" si="6"/>
        <v>1</v>
      </c>
      <c r="Y55" s="62">
        <f t="shared" si="22"/>
        <v>4.7500000000000001E-2</v>
      </c>
      <c r="Z55" s="62">
        <f t="shared" si="20"/>
        <v>23.330400000000001</v>
      </c>
      <c r="AA55" s="62">
        <f t="shared" si="9"/>
        <v>23.282900000000001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0139-21</v>
      </c>
      <c r="AE55" s="85" t="str">
        <f t="shared" si="11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55" s="82" t="str">
        <f t="shared" si="12"/>
        <v>"C:\Program Files (x86)\AstroGrep\AstroGrep.exe" /e /r /s /spath="%USERPROFILE%\AppData\Local\Temp\OnboardLogs" /stypes="app*4044*20170321*" /stext=" 15:.+((SYSTEM_STATE.+slice.+state.+changed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7"/>
        <v>"%USERPROFILE%\Documents\GitHub\eaglep3\Utilities\RefineRTDCRunTimes.py" --tripid 139-21 --locoid 4044 --swversion DE.1.0.9.0 --startMP 204:475 --initTime 2017-03-21T08:27:25 --startdatetime 2017-03-21T08:30:21 --delay 1 --endMP 204:233304 --enddatetime 2017-03-21T09:17:11 --enforcementcount 0 &gt;&gt;C:\Users\stu\Documents\GitHub\eaglep3-reporting\EC\2017-03-21-refined-times.txt</v>
      </c>
      <c r="AI55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{"issue":{"subject":"","project_id":79,"tracker_id":40,"status_id":1,"priority_id":2,"assigned_to_id":23,"start_date":"2017-03-21","description":"","custom_fields":[{"id":1,"name":"Subdivision","value":"EC"},{"id":4,"name":"Milepost","value":"23.3304"},{"id":17,"name":"Train ID","value":"139-21"},{"id":16,"name":"Locomotive ID","value":"4044"},{"id":130,"name":"Impact","value":""},{"id":150,"name":"Time of Event (Mountain Time)","value":"09:17:11"},{"id":151,"name":"Denver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9"/>
        <v>start /low /b %USERPROFILE%\Documents\GitHub\eaglep3\Utilities\DownloadLogsFromS3.py --loco 4044 --day 2017-03-21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697</v>
      </c>
      <c r="B56" s="7">
        <v>4043</v>
      </c>
      <c r="C56" s="21" t="s">
        <v>221</v>
      </c>
      <c r="D56" s="21" t="s">
        <v>483</v>
      </c>
      <c r="E56" s="13">
        <v>42815.389606481483</v>
      </c>
      <c r="F56" s="13">
        <v>42815.393460648149</v>
      </c>
      <c r="G56" s="7">
        <v>1</v>
      </c>
      <c r="H56" s="21" t="s">
        <v>205</v>
      </c>
      <c r="I56" s="13">
        <v>42815.421342592592</v>
      </c>
      <c r="J56" s="7">
        <v>0</v>
      </c>
      <c r="K56" s="98" t="str">
        <f t="shared" si="0"/>
        <v>4043/4044</v>
      </c>
      <c r="L56" s="21" t="str">
        <f>VLOOKUP(A56,'Trips&amp;Operators'!$C$1:$G$99999,5,FALSE)</f>
        <v>LOZA FIDEL</v>
      </c>
      <c r="M56" s="6">
        <f t="shared" si="1"/>
        <v>2.7881944442924578E-2</v>
      </c>
      <c r="N56" s="7">
        <f t="shared" si="23"/>
        <v>40.149999997811392</v>
      </c>
      <c r="O56" s="7"/>
      <c r="P56" s="7"/>
      <c r="Q56" s="22"/>
      <c r="R56" s="22"/>
      <c r="S56" s="31">
        <f t="shared" si="24"/>
        <v>1</v>
      </c>
      <c r="T56" s="46" t="str">
        <f t="shared" si="3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-21T08:21:02-0600',mode:absolute,to:'2017-03-21T11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87" t="str">
        <f t="shared" si="5"/>
        <v>N</v>
      </c>
      <c r="X56" s="187">
        <f t="shared" si="6"/>
        <v>1</v>
      </c>
      <c r="Y56" s="62">
        <f t="shared" si="22"/>
        <v>23.299600000000002</v>
      </c>
      <c r="Z56" s="62">
        <f t="shared" si="20"/>
        <v>1.54E-2</v>
      </c>
      <c r="AA56" s="62">
        <f t="shared" si="9"/>
        <v>23.284200000000002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0140-21</v>
      </c>
      <c r="AE56" s="85" t="str">
        <f t="shared" si="11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56" s="82" t="str">
        <f t="shared" si="12"/>
        <v>"C:\Program Files (x86)\AstroGrep\AstroGrep.exe" /e /r /s /spath="%USERPROFILE%\AppData\Local\Temp\OnboardLogs" /stypes="app*4043*20170321*" /stext=" 16:.+((SYSTEM_STATE.+slice.+state.+changed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7"/>
        <v>"%USERPROFILE%\Documents\GitHub\eaglep3\Utilities\RefineRTDCRunTimes.py" --tripid 140-21 --locoid 4043 --swversion DE.1.0.9.0 --startMP 204:232996 --initTime 2017-03-21T09:21:02 --startdatetime 2017-03-21T09:26:35 --delay 1 --endMP 204:154 --enddatetime 2017-03-21T10:06:44 --enforcementcount 0 &gt;&gt;C:\Users\stu\Documents\GitHub\eaglep3-reporting\EC\2017-03-21-refined-times.txt</v>
      </c>
      <c r="AI56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{"issue":{"subject":"","project_id":79,"tracker_id":40,"status_id":1,"priority_id":2,"assigned_to_id":23,"start_date":"2017-03-21","description":"","custom_fields":[{"id":1,"name":"Subdivision","value":"EC"},{"id":4,"name":"Milepost","value":"0.0154"},{"id":17,"name":"Train ID","value":"140-21"},{"id":16,"name":"Locomotive ID","value":"4043"},{"id":130,"name":"Impact","value":""},{"id":150,"name":"Time of Event (Mountain Time)","value":"10:06:44"},{"id":151,"name":"Denver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9"/>
        <v>start /low /b %USERPROFILE%\Documents\GitHub\eaglep3\Utilities\DownloadLogsFromS3.py --loco 4043 --day 2017-03-21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"%USERPROFILE%\AppData\Local\Temp\OnboardLogs"\RTDC4043\*4043*20170321* | grep -SE "(Enforcement Action)|(\[TIMEOUT)|(CHR.+\|PRM\|1\|D.+(SWITCH|SIGNAL).+UNKNOWN)" - &gt;&gt; 2017-03-21-UncaughtWiMAX.txt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603</v>
      </c>
      <c r="B57" s="7">
        <v>4024</v>
      </c>
      <c r="C57" s="21" t="s">
        <v>221</v>
      </c>
      <c r="D57" s="21" t="s">
        <v>208</v>
      </c>
      <c r="E57" s="13">
        <v>42815.360810185186</v>
      </c>
      <c r="F57" s="13">
        <v>42815.364849537036</v>
      </c>
      <c r="G57" s="7">
        <v>1</v>
      </c>
      <c r="H57" s="21" t="s">
        <v>478</v>
      </c>
      <c r="I57" s="13">
        <v>42815.396828703706</v>
      </c>
      <c r="J57" s="7">
        <v>0</v>
      </c>
      <c r="K57" s="98" t="str">
        <f t="shared" si="0"/>
        <v>4023/4024</v>
      </c>
      <c r="L57" s="21" t="str">
        <f>VLOOKUP(A57,'Trips&amp;Operators'!$C$1:$G$99999,5,FALSE)</f>
        <v>SANTIZO D. EDY</v>
      </c>
      <c r="M57" s="6">
        <f t="shared" si="1"/>
        <v>3.1979166669771075E-2</v>
      </c>
      <c r="N57" s="7">
        <f t="shared" si="23"/>
        <v>46.050000004470348</v>
      </c>
      <c r="O57" s="7"/>
      <c r="P57" s="7"/>
      <c r="Q57" s="22"/>
      <c r="R57" s="22"/>
      <c r="S57" s="31">
        <f t="shared" si="24"/>
        <v>1</v>
      </c>
      <c r="T57" s="46" t="str">
        <f t="shared" si="3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-21T07:39:34-0600',mode:absolute,to:'2017-03-21T10:31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7" s="187" t="str">
        <f t="shared" si="5"/>
        <v>N</v>
      </c>
      <c r="X57" s="187">
        <f t="shared" si="6"/>
        <v>1</v>
      </c>
      <c r="Y57" s="62">
        <f t="shared" si="22"/>
        <v>4.5699999999999998E-2</v>
      </c>
      <c r="Z57" s="62">
        <f t="shared" si="20"/>
        <v>23.3309</v>
      </c>
      <c r="AA57" s="62">
        <f t="shared" si="9"/>
        <v>23.2852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0141-21</v>
      </c>
      <c r="AE57" s="85" t="str">
        <f t="shared" si="11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57" s="82" t="str">
        <f t="shared" si="12"/>
        <v>"C:\Program Files (x86)\AstroGrep\AstroGrep.exe" /e /r /s /spath="%USERPROFILE%\AppData\Local\Temp\OnboardLogs" /stypes="app*4024*20170321*" /stext=" 15:.+((SYSTEM_STATE.+slice.+state.+changed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7"/>
        <v>"%USERPROFILE%\Documents\GitHub\eaglep3\Utilities\RefineRTDCRunTimes.py" --tripid 141-21 --locoid 4024 --swversion DE.1.0.9.0 --startMP 204:457 --initTime 2017-03-21T08:39:34 --startdatetime 2017-03-21T08:45:23 --delay 1 --endMP 204:233309 --enddatetime 2017-03-21T09:31:26 --enforcementcount 0 &gt;&gt;C:\Users\stu\Documents\GitHub\eaglep3-reporting\EC\2017-03-21-refined-times.txt</v>
      </c>
      <c r="AI57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{"issue":{"subject":"","project_id":79,"tracker_id":40,"status_id":1,"priority_id":2,"assigned_to_id":23,"start_date":"2017-03-21","description":"","custom_fields":[{"id":1,"name":"Subdivision","value":"EC"},{"id":4,"name":"Milepost","value":"23.3309"},{"id":17,"name":"Train ID","value":"141-21"},{"id":16,"name":"Locomotive ID","value":"4024"},{"id":130,"name":"Impact","value":""},{"id":150,"name":"Time of Event (Mountain Time)","value":"09:31:26"},{"id":151,"name":"Denver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9"/>
        <v>start /low /b %USERPROFILE%\Documents\GitHub\eaglep3\Utilities\DownloadLogsFromS3.py --loco 4024 --day 2017-03-21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609</v>
      </c>
      <c r="B58" s="7">
        <v>4023</v>
      </c>
      <c r="C58" s="21" t="s">
        <v>221</v>
      </c>
      <c r="D58" s="21" t="s">
        <v>564</v>
      </c>
      <c r="E58" s="13">
        <v>42815.397893518515</v>
      </c>
      <c r="F58" s="13">
        <v>42815.403680555559</v>
      </c>
      <c r="G58" s="7">
        <v>1</v>
      </c>
      <c r="H58" s="21" t="s">
        <v>205</v>
      </c>
      <c r="I58" s="13">
        <v>42815.434108796297</v>
      </c>
      <c r="J58" s="7">
        <v>0</v>
      </c>
      <c r="K58" s="98" t="str">
        <f t="shared" si="0"/>
        <v>4023/4024</v>
      </c>
      <c r="L58" s="21" t="str">
        <f>VLOOKUP(A58,'Trips&amp;Operators'!$C$1:$G$99999,5,FALSE)</f>
        <v>SANTIZO D. EDY</v>
      </c>
      <c r="M58" s="6">
        <f t="shared" si="1"/>
        <v>3.0428240737819578E-2</v>
      </c>
      <c r="N58" s="7">
        <f t="shared" si="23"/>
        <v>43.816666662460193</v>
      </c>
      <c r="O58" s="7"/>
      <c r="P58" s="7"/>
      <c r="Q58" s="22"/>
      <c r="R58" s="22"/>
      <c r="S58" s="31">
        <f t="shared" si="24"/>
        <v>1</v>
      </c>
      <c r="T58" s="46" t="str">
        <f t="shared" si="3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-21T08:32:58-0600',mode:absolute,to:'2017-03-21T11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8" s="187" t="str">
        <f t="shared" si="5"/>
        <v>N</v>
      </c>
      <c r="X58" s="187">
        <f t="shared" si="6"/>
        <v>1</v>
      </c>
      <c r="Y58" s="62">
        <f t="shared" si="22"/>
        <v>23.297699999999999</v>
      </c>
      <c r="Z58" s="62">
        <f t="shared" si="20"/>
        <v>1.54E-2</v>
      </c>
      <c r="AA58" s="62">
        <f t="shared" si="9"/>
        <v>23.282299999999999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0142-21</v>
      </c>
      <c r="AE58" s="85" t="str">
        <f t="shared" si="11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58" s="82" t="str">
        <f t="shared" si="12"/>
        <v>"C:\Program Files (x86)\AstroGrep\AstroGrep.exe" /e /r /s /spath="%USERPROFILE%\AppData\Local\Temp\OnboardLogs" /stypes="app*4023*20170321*" /stext=" 16:.+((SYSTEM_STATE.+slice.+state.+changed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7"/>
        <v>"%USERPROFILE%\Documents\GitHub\eaglep3\Utilities\RefineRTDCRunTimes.py" --tripid 142-21 --locoid 4023 --swversion DE.1.0.9.0 --startMP 204:232977 --initTime 2017-03-21T09:32:58 --startdatetime 2017-03-21T09:41:18 --delay 1 --endMP 204:154 --enddatetime 2017-03-21T10:25:07 --enforcementcount 0 &gt;&gt;C:\Users\stu\Documents\GitHub\eaglep3-reporting\EC\2017-03-21-refined-times.txt</v>
      </c>
      <c r="AI58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{"issue":{"subject":"","project_id":79,"tracker_id":40,"status_id":1,"priority_id":2,"assigned_to_id":23,"start_date":"2017-03-21","description":"","custom_fields":[{"id":1,"name":"Subdivision","value":"EC"},{"id":4,"name":"Milepost","value":"0.0154"},{"id":17,"name":"Train ID","value":"142-21"},{"id":16,"name":"Locomotive ID","value":"4023"},{"id":130,"name":"Impact","value":""},{"id":150,"name":"Time of Event (Mountain Time)","value":"10:25:07"},{"id":151,"name":"Denver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9"/>
        <v>start /low /b %USERPROFILE%\Documents\GitHub\eaglep3\Utilities\DownloadLogsFromS3.py --loco 4023 --day 2017-03-21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693</v>
      </c>
      <c r="B59" s="7">
        <v>4016</v>
      </c>
      <c r="C59" s="21" t="s">
        <v>221</v>
      </c>
      <c r="D59" s="21" t="s">
        <v>518</v>
      </c>
      <c r="E59" s="13">
        <v>42815.379212962966</v>
      </c>
      <c r="F59" s="13">
        <v>42815.38108796296</v>
      </c>
      <c r="G59" s="7">
        <v>1</v>
      </c>
      <c r="H59" s="21" t="s">
        <v>873</v>
      </c>
      <c r="I59" s="13">
        <v>42815.408703703702</v>
      </c>
      <c r="J59" s="7">
        <v>0</v>
      </c>
      <c r="K59" s="98" t="str">
        <f t="shared" si="0"/>
        <v>4015/4016</v>
      </c>
      <c r="L59" s="21" t="str">
        <f>VLOOKUP(A59,'Trips&amp;Operators'!$C$1:$G$99999,5,FALSE)</f>
        <v>SULLIVAN BRANDON</v>
      </c>
      <c r="M59" s="6">
        <f t="shared" si="1"/>
        <v>2.7615740742476191E-2</v>
      </c>
      <c r="N59" s="7">
        <f t="shared" si="23"/>
        <v>39.766666669165716</v>
      </c>
      <c r="O59" s="7"/>
      <c r="P59" s="7"/>
      <c r="Q59" s="22"/>
      <c r="R59" s="22"/>
      <c r="S59" s="31">
        <f t="shared" si="24"/>
        <v>1</v>
      </c>
      <c r="T59" s="46" t="str">
        <f t="shared" si="3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-21T08:06:04-0600',mode:absolute,to:'2017-03-21T10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87" t="str">
        <f t="shared" si="5"/>
        <v>N</v>
      </c>
      <c r="X59" s="187">
        <f t="shared" si="6"/>
        <v>1</v>
      </c>
      <c r="Y59" s="62">
        <f t="shared" si="22"/>
        <v>4.7500000000000001E-2</v>
      </c>
      <c r="Z59" s="62">
        <f t="shared" si="20"/>
        <v>23.331499999999998</v>
      </c>
      <c r="AA59" s="62">
        <f t="shared" si="9"/>
        <v>23.283999999999999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0143-21</v>
      </c>
      <c r="AE59" s="85" t="str">
        <f t="shared" si="11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59" s="82" t="str">
        <f t="shared" si="12"/>
        <v>"C:\Program Files (x86)\AstroGrep\AstroGrep.exe" /e /r /s /spath="%USERPROFILE%\AppData\Local\Temp\OnboardLogs" /stypes="app*4016*20170321*" /stext=" 15:.+((SYSTEM_STATE.+slice.+state.+changed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7"/>
        <v>"%USERPROFILE%\Documents\GitHub\eaglep3\Utilities\RefineRTDCRunTimes.py" --tripid 143-21 --locoid 4016 --swversion DE.1.0.9.0 --startMP 204:475 --initTime 2017-03-21T09:06:04 --startdatetime 2017-03-21T09:08:46 --delay 1 --endMP 204:233315 --enddatetime 2017-03-21T09:48:32 --enforcementcount 0 &gt;&gt;C:\Users\stu\Documents\GitHub\eaglep3-reporting\EC\2017-03-21-refined-times.txt</v>
      </c>
      <c r="AI59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{"issue":{"subject":"","project_id":79,"tracker_id":40,"status_id":1,"priority_id":2,"assigned_to_id":23,"start_date":"2017-03-21","description":"","custom_fields":[{"id":1,"name":"Subdivision","value":"EC"},{"id":4,"name":"Milepost","value":"23.3315"},{"id":17,"name":"Train ID","value":"143-21"},{"id":16,"name":"Locomotive ID","value":"4016"},{"id":130,"name":"Impact","value":""},{"id":150,"name":"Time of Event (Mountain Time)","value":"09:48:32"},{"id":151,"name":"Denver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9"/>
        <v>start /low /b %USERPROFILE%\Documents\GitHub\eaglep3\Utilities\DownloadLogsFromS3.py --loco 4016 --day 2017-03-21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700</v>
      </c>
      <c r="B60" s="7">
        <v>4015</v>
      </c>
      <c r="C60" s="21" t="s">
        <v>221</v>
      </c>
      <c r="D60" s="21" t="s">
        <v>874</v>
      </c>
      <c r="E60" s="13">
        <v>42815.41028935185</v>
      </c>
      <c r="F60" s="13">
        <v>42815.414375</v>
      </c>
      <c r="G60" s="7">
        <v>2</v>
      </c>
      <c r="H60" s="21" t="s">
        <v>215</v>
      </c>
      <c r="I60" s="13">
        <v>42815.446342592593</v>
      </c>
      <c r="J60" s="7">
        <v>0</v>
      </c>
      <c r="K60" s="98" t="str">
        <f t="shared" si="0"/>
        <v>4015/4016</v>
      </c>
      <c r="L60" s="21" t="str">
        <f>VLOOKUP(A60,'Trips&amp;Operators'!$C$1:$G$99999,5,FALSE)</f>
        <v>SULLIVAN BRANDON</v>
      </c>
      <c r="M60" s="6">
        <f t="shared" si="1"/>
        <v>3.1967592592991423E-2</v>
      </c>
      <c r="N60" s="7">
        <f t="shared" si="23"/>
        <v>46.033333333907649</v>
      </c>
      <c r="O60" s="7"/>
      <c r="P60" s="7"/>
      <c r="Q60" s="22"/>
      <c r="R60" s="22"/>
      <c r="S60" s="31">
        <f t="shared" si="24"/>
        <v>1</v>
      </c>
      <c r="T60" s="46" t="str">
        <f t="shared" si="3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-21T08:50:49-0600',mode:absolute,to:'2017-03-21T11:42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87" t="str">
        <f t="shared" si="5"/>
        <v>N</v>
      </c>
      <c r="X60" s="187">
        <f t="shared" si="6"/>
        <v>1</v>
      </c>
      <c r="Y60" s="62">
        <f t="shared" si="22"/>
        <v>23.300599999999999</v>
      </c>
      <c r="Z60" s="62">
        <f t="shared" si="20"/>
        <v>1.5599999999999999E-2</v>
      </c>
      <c r="AA60" s="62">
        <f t="shared" si="9"/>
        <v>23.285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0144-21</v>
      </c>
      <c r="AE60" s="85" t="str">
        <f t="shared" si="11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60" s="82" t="str">
        <f t="shared" si="12"/>
        <v>"C:\Program Files (x86)\AstroGrep\AstroGrep.exe" /e /r /s /spath="%USERPROFILE%\AppData\Local\Temp\OnboardLogs" /stypes="app*4015*20170321*" /stext=" 16:.+((SYSTEM_STATE.+slice.+state.+changed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7"/>
        <v>"%USERPROFILE%\Documents\GitHub\eaglep3\Utilities\RefineRTDCRunTimes.py" --tripid 144-21 --locoid 4015 --swversion DE.1.0.9.0 --startMP 204:233006 --initTime 2017-03-21T09:50:49 --startdatetime 2017-03-21T09:56:42 --delay 2 --endMP 204:156 --enddatetime 2017-03-21T10:42:44 --enforcementcount 0 &gt;&gt;C:\Users\stu\Documents\GitHub\eaglep3-reporting\EC\2017-03-21-refined-times.txt</v>
      </c>
      <c r="AI60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{"issue":{"subject":"","project_id":79,"tracker_id":40,"status_id":1,"priority_id":2,"assigned_to_id":23,"start_date":"2017-03-21","description":"","custom_fields":[{"id":1,"name":"Subdivision","value":"EC"},{"id":4,"name":"Milepost","value":"0.0156"},{"id":17,"name":"Train ID","value":"144-21"},{"id":16,"name":"Locomotive ID","value":"4015"},{"id":130,"name":"Impact","value":""},{"id":150,"name":"Time of Event (Mountain Time)","value":"10:42:44"},{"id":151,"name":"Denver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9"/>
        <v>start /low /b %USERPROFILE%\Documents\GitHub\eaglep3\Utilities\DownloadLogsFromS3.py --loco 4015 --day 2017-03-21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"%USERPROFILE%\AppData\Local\Temp\OnboardLogs"\RTDC4015\*4015*20170321* | grep -SE "(Enforcement Action)|(\[TIMEOUT)|(CHR.+\|PRM\|1\|D.+(SWITCH|SIGNAL).+UNKNOWN)" - &gt;&gt; 2017-03-21-UncaughtWiMAX.txt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695</v>
      </c>
      <c r="B61" s="7">
        <v>4042</v>
      </c>
      <c r="C61" s="21" t="s">
        <v>221</v>
      </c>
      <c r="D61" s="21" t="s">
        <v>392</v>
      </c>
      <c r="E61" s="13">
        <v>42815.382222222222</v>
      </c>
      <c r="F61" s="13">
        <v>42815.385636574072</v>
      </c>
      <c r="G61" s="7">
        <v>1</v>
      </c>
      <c r="H61" s="21" t="s">
        <v>875</v>
      </c>
      <c r="I61" s="13">
        <v>42815.414293981485</v>
      </c>
      <c r="J61" s="7">
        <v>0</v>
      </c>
      <c r="K61" s="98" t="str">
        <f t="shared" si="0"/>
        <v>4041/4042</v>
      </c>
      <c r="L61" s="21" t="str">
        <f>VLOOKUP(A61,'Trips&amp;Operators'!$C$1:$G$99999,5,FALSE)</f>
        <v>MAELZER KURT</v>
      </c>
      <c r="M61" s="6">
        <f t="shared" si="1"/>
        <v>2.8657407412538305E-2</v>
      </c>
      <c r="N61" s="7">
        <f t="shared" si="23"/>
        <v>41.266666674055159</v>
      </c>
      <c r="O61" s="7"/>
      <c r="P61" s="7"/>
      <c r="Q61" s="22"/>
      <c r="R61" s="22"/>
      <c r="S61" s="31">
        <f t="shared" si="24"/>
        <v>1</v>
      </c>
      <c r="T61" s="46" t="str">
        <f t="shared" si="3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-21T08:10:24-0600',mode:absolute,to:'2017-03-21T10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187" t="str">
        <f t="shared" si="5"/>
        <v>N</v>
      </c>
      <c r="X61" s="187">
        <f t="shared" si="6"/>
        <v>1</v>
      </c>
      <c r="Y61" s="62">
        <f t="shared" si="22"/>
        <v>4.6199999999999998E-2</v>
      </c>
      <c r="Z61" s="62">
        <f t="shared" si="20"/>
        <v>23.328399999999998</v>
      </c>
      <c r="AA61" s="62">
        <f t="shared" si="9"/>
        <v>23.2822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0145-21</v>
      </c>
      <c r="AE61" s="85" t="str">
        <f t="shared" si="11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61" s="82" t="str">
        <f t="shared" si="12"/>
        <v>"C:\Program Files (x86)\AstroGrep\AstroGrep.exe" /e /r /s /spath="%USERPROFILE%\AppData\Local\Temp\OnboardLogs" /stypes="app*4042*20170321*" /stext=" 15:.+((SYSTEM_STATE.+slice.+state.+changed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7"/>
        <v>"%USERPROFILE%\Documents\GitHub\eaglep3\Utilities\RefineRTDCRunTimes.py" --tripid 145-21 --locoid 4042 --swversion DE.1.0.9.0 --startMP 204:462 --initTime 2017-03-21T09:10:24 --startdatetime 2017-03-21T09:15:19 --delay 1 --endMP 204:233284 --enddatetime 2017-03-21T09:56:35 --enforcementcount 0 &gt;&gt;C:\Users\stu\Documents\GitHub\eaglep3-reporting\EC\2017-03-21-refined-times.txt</v>
      </c>
      <c r="AI61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{"issue":{"subject":"","project_id":79,"tracker_id":40,"status_id":1,"priority_id":2,"assigned_to_id":23,"start_date":"2017-03-21","description":"","custom_fields":[{"id":1,"name":"Subdivision","value":"EC"},{"id":4,"name":"Milepost","value":"23.3284"},{"id":17,"name":"Train ID","value":"145-21"},{"id":16,"name":"Locomotive ID","value":"4042"},{"id":130,"name":"Impact","value":""},{"id":150,"name":"Time of Event (Mountain Time)","value":"09:56:35"},{"id":151,"name":"Denver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9"/>
        <v>start /low /b %USERPROFILE%\Documents\GitHub\eaglep3\Utilities\DownloadLogsFromS3.py --loco 4042 --day 2017-03-21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702</v>
      </c>
      <c r="B62" s="7">
        <v>4041</v>
      </c>
      <c r="C62" s="21" t="s">
        <v>221</v>
      </c>
      <c r="D62" s="21" t="s">
        <v>479</v>
      </c>
      <c r="E62" s="13">
        <v>42815.421365740738</v>
      </c>
      <c r="F62" s="13">
        <v>42815.424942129626</v>
      </c>
      <c r="G62" s="7">
        <v>0</v>
      </c>
      <c r="H62" s="21" t="s">
        <v>401</v>
      </c>
      <c r="I62" s="13">
        <v>42815.4528587963</v>
      </c>
      <c r="J62" s="7">
        <v>0</v>
      </c>
      <c r="K62" s="98" t="str">
        <f t="shared" si="0"/>
        <v>4041/4042</v>
      </c>
      <c r="L62" s="21" t="str">
        <f>VLOOKUP(A62,'Trips&amp;Operators'!$C$1:$G$99999,5,FALSE)</f>
        <v>MAELZER KURT</v>
      </c>
      <c r="M62" s="6">
        <f t="shared" si="1"/>
        <v>2.7916666673263535E-2</v>
      </c>
      <c r="N62" s="7">
        <f t="shared" si="23"/>
        <v>40.20000000949949</v>
      </c>
      <c r="O62" s="7"/>
      <c r="P62" s="7"/>
      <c r="Q62" s="22"/>
      <c r="R62" s="22"/>
      <c r="S62" s="31">
        <f t="shared" si="24"/>
        <v>1</v>
      </c>
      <c r="T62" s="46" t="str">
        <f t="shared" si="3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-21T09:06:46-0600',mode:absolute,to:'2017-03-21T11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187" t="str">
        <f t="shared" si="5"/>
        <v>N</v>
      </c>
      <c r="X62" s="187">
        <f t="shared" si="6"/>
        <v>1</v>
      </c>
      <c r="Y62" s="62">
        <f t="shared" si="22"/>
        <v>23.2973</v>
      </c>
      <c r="Z62" s="62">
        <f t="shared" si="20"/>
        <v>1.4500000000000001E-2</v>
      </c>
      <c r="AA62" s="62">
        <f t="shared" si="9"/>
        <v>23.282799999999998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0146-21</v>
      </c>
      <c r="AE62" s="85" t="str">
        <f t="shared" si="11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62" s="82" t="str">
        <f t="shared" si="12"/>
        <v>"C:\Program Files (x86)\AstroGrep\AstroGrep.exe" /e /r /s /spath="%USERPROFILE%\AppData\Local\Temp\OnboardLogs" /stypes="app*4041*20170321*" /stext=" 16:.+((SYSTEM_STATE.+slice.+state.+changed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7"/>
        <v>"%USERPROFILE%\Documents\GitHub\eaglep3\Utilities\RefineRTDCRunTimes.py" --tripid 146-21 --locoid 4041 --swversion DE.1.0.9.0 --startMP 204:232973 --initTime 2017-03-21T10:06:46 --startdatetime 2017-03-21T10:11:55 --delay 0 --endMP 204:145 --enddatetime 2017-03-21T10:52:07 --enforcementcount 0 &gt;&gt;C:\Users\stu\Documents\GitHub\eaglep3-reporting\EC\2017-03-21-refined-times.txt</v>
      </c>
      <c r="AI62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{"issue":{"subject":"","project_id":79,"tracker_id":40,"status_id":1,"priority_id":2,"assigned_to_id":23,"start_date":"2017-03-21","description":"","custom_fields":[{"id":1,"name":"Subdivision","value":"EC"},{"id":4,"name":"Milepost","value":"0.0145"},{"id":17,"name":"Train ID","value":"146-21"},{"id":16,"name":"Locomotive ID","value":"4041"},{"id":130,"name":"Impact","value":""},{"id":150,"name":"Time of Event (Mountain Time)","value":"10:52:07"},{"id":151,"name":"Denver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9"/>
        <v>start /low /b %USERPROFILE%\Documents\GitHub\eaglep3\Utilities\DownloadLogsFromS3.py --loco 4041 --day 2017-03-21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607</v>
      </c>
      <c r="B63" s="7">
        <v>4031</v>
      </c>
      <c r="C63" s="21" t="s">
        <v>221</v>
      </c>
      <c r="D63" s="21" t="s">
        <v>416</v>
      </c>
      <c r="E63" s="13">
        <v>42815.393078703702</v>
      </c>
      <c r="F63" s="13">
        <v>42815.434988425928</v>
      </c>
      <c r="G63" s="7">
        <v>1</v>
      </c>
      <c r="H63" s="21" t="s">
        <v>876</v>
      </c>
      <c r="I63" s="13">
        <v>42815.463402777779</v>
      </c>
      <c r="J63" s="7">
        <v>0</v>
      </c>
      <c r="K63" s="98" t="str">
        <f t="shared" si="0"/>
        <v>4031/4032</v>
      </c>
      <c r="L63" s="21" t="str">
        <f>VLOOKUP(A63,'Trips&amp;Operators'!$C$1:$G$99999,5,FALSE)</f>
        <v>STARKS ANGELINA</v>
      </c>
      <c r="M63" s="6">
        <f t="shared" si="1"/>
        <v>2.8414351851097308E-2</v>
      </c>
      <c r="N63" s="7">
        <f t="shared" si="23"/>
        <v>40.916666665580124</v>
      </c>
      <c r="O63" s="7"/>
      <c r="P63" s="7"/>
      <c r="Q63" s="22"/>
      <c r="R63" s="22"/>
      <c r="S63" s="31">
        <f t="shared" si="24"/>
        <v>1</v>
      </c>
      <c r="T63" s="46" t="str">
        <f t="shared" si="3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-21T08:26:02-0600',mode:absolute,to:'2017-03-21T12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187" t="str">
        <f t="shared" si="5"/>
        <v>N</v>
      </c>
      <c r="X63" s="187">
        <f t="shared" si="6"/>
        <v>1</v>
      </c>
      <c r="Y63" s="62">
        <f t="shared" si="22"/>
        <v>4.7300000000000002E-2</v>
      </c>
      <c r="Z63" s="62">
        <f t="shared" si="20"/>
        <v>23.328099999999999</v>
      </c>
      <c r="AA63" s="62">
        <f t="shared" si="9"/>
        <v>23.280799999999999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0"/>
        <v>0147-21</v>
      </c>
      <c r="AE63" s="85" t="str">
        <f t="shared" si="11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63" s="82" t="str">
        <f t="shared" si="12"/>
        <v>"C:\Program Files (x86)\AstroGrep\AstroGrep.exe" /e /r /s /spath="%USERPROFILE%\AppData\Local\Temp\OnboardLogs" /stypes="app*4031*20170321*" /stext=" 17:.+((SYSTEM_STATE.+slice.+state.+changed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7"/>
        <v>"%USERPROFILE%\Documents\GitHub\eaglep3\Utilities\RefineRTDCRunTimes.py" --tripid 147-21 --locoid 4031 --swversion DE.1.0.9.0 --startMP 204:473 --initTime 2017-03-21T09:26:02 --startdatetime 2017-03-21T10:26:23 --delay 1 --endMP 204:233281 --enddatetime 2017-03-21T11:07:18 --enforcementcount 0 &gt;&gt;C:\Users\stu\Documents\GitHub\eaglep3-reporting\EC\2017-03-21-refined-times.txt</v>
      </c>
      <c r="AI63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{"issue":{"subject":"","project_id":79,"tracker_id":40,"status_id":1,"priority_id":2,"assigned_to_id":23,"start_date":"2017-03-21","description":"","custom_fields":[{"id":1,"name":"Subdivision","value":"EC"},{"id":4,"name":"Milepost","value":"23.3281"},{"id":17,"name":"Train ID","value":"147-21"},{"id":16,"name":"Locomotive ID","value":"4031"},{"id":130,"name":"Impact","value":""},{"id":150,"name":"Time of Event (Mountain Time)","value":"11:07:18"},{"id":151,"name":"Denver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9"/>
        <v>start /low /b %USERPROFILE%\Documents\GitHub\eaglep3\Utilities\DownloadLogsFromS3.py --loco 4031 --day 2017-03-21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707</v>
      </c>
      <c r="B64" s="7">
        <v>4032</v>
      </c>
      <c r="C64" s="21" t="s">
        <v>221</v>
      </c>
      <c r="D64" s="21" t="s">
        <v>574</v>
      </c>
      <c r="E64" s="13">
        <v>42815.433356481481</v>
      </c>
      <c r="F64" s="13">
        <v>42815.434988425928</v>
      </c>
      <c r="G64" s="7">
        <v>1</v>
      </c>
      <c r="H64" s="21" t="s">
        <v>184</v>
      </c>
      <c r="I64" s="13">
        <v>42815.463402777779</v>
      </c>
      <c r="J64" s="7">
        <v>0</v>
      </c>
      <c r="K64" s="98" t="str">
        <f t="shared" si="0"/>
        <v>4031/4032</v>
      </c>
      <c r="L64" s="21" t="str">
        <f>VLOOKUP(A64,'Trips&amp;Operators'!$C$1:$G$99999,5,FALSE)</f>
        <v>STARKS ANGELINA</v>
      </c>
      <c r="M64" s="6">
        <f t="shared" si="1"/>
        <v>2.8414351851097308E-2</v>
      </c>
      <c r="N64" s="7">
        <f t="shared" si="23"/>
        <v>40.916666665580124</v>
      </c>
      <c r="O64" s="7"/>
      <c r="P64" s="7"/>
      <c r="Q64" s="22"/>
      <c r="R64" s="22"/>
      <c r="S64" s="31">
        <f t="shared" si="24"/>
        <v>1</v>
      </c>
      <c r="T64" s="46" t="str">
        <f t="shared" si="3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-21T09:24:02-0600',mode:absolute,to:'2017-03-21T12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187" t="str">
        <f t="shared" si="5"/>
        <v>N</v>
      </c>
      <c r="X64" s="187">
        <f t="shared" si="6"/>
        <v>1</v>
      </c>
      <c r="Y64" s="62">
        <f t="shared" si="22"/>
        <v>23.296600000000002</v>
      </c>
      <c r="Z64" s="62">
        <f t="shared" si="20"/>
        <v>1.49E-2</v>
      </c>
      <c r="AA64" s="62">
        <f t="shared" si="9"/>
        <v>23.281700000000001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0148-21</v>
      </c>
      <c r="AE64" s="85" t="str">
        <f t="shared" si="11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64" s="82" t="str">
        <f t="shared" si="12"/>
        <v>"C:\Program Files (x86)\AstroGrep\AstroGrep.exe" /e /r /s /spath="%USERPROFILE%\AppData\Local\Temp\OnboardLogs" /stypes="app*4032*20170321*" /stext=" 17:.+((SYSTEM_STATE.+slice.+state.+changed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7"/>
        <v>"%USERPROFILE%\Documents\GitHub\eaglep3\Utilities\RefineRTDCRunTimes.py" --tripid 148-21 --locoid 4032 --swversion DE.1.0.9.0 --startMP 204:232966 --initTime 2017-03-21T10:24:02 --startdatetime 2017-03-21T10:26:23 --delay 1 --endMP 204:149 --enddatetime 2017-03-21T11:07:18 --enforcementcount 0 &gt;&gt;C:\Users\stu\Documents\GitHub\eaglep3-reporting\EC\2017-03-21-refined-times.txt</v>
      </c>
      <c r="AI64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{"issue":{"subject":"","project_id":79,"tracker_id":40,"status_id":1,"priority_id":2,"assigned_to_id":23,"start_date":"2017-03-21","description":"","custom_fields":[{"id":1,"name":"Subdivision","value":"EC"},{"id":4,"name":"Milepost","value":"0.0149"},{"id":17,"name":"Train ID","value":"148-21"},{"id":16,"name":"Locomotive ID","value":"4032"},{"id":130,"name":"Impact","value":""},{"id":150,"name":"Time of Event (Mountain Time)","value":"11:07:18"},{"id":151,"name":"Denver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9"/>
        <v>start /low /b %USERPROFILE%\Documents\GitHub\eaglep3\Utilities\DownloadLogsFromS3.py --loco 4032 --day 2017-03-21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699</v>
      </c>
      <c r="B65" s="7">
        <v>4051</v>
      </c>
      <c r="C65" s="21" t="s">
        <v>221</v>
      </c>
      <c r="D65" s="21" t="s">
        <v>877</v>
      </c>
      <c r="E65" s="13">
        <v>42815.403124999997</v>
      </c>
      <c r="F65" s="13">
        <v>42815.406458333331</v>
      </c>
      <c r="G65" s="7">
        <v>1</v>
      </c>
      <c r="H65" s="21" t="s">
        <v>476</v>
      </c>
      <c r="I65" s="13">
        <v>42815.433703703704</v>
      </c>
      <c r="J65" s="7">
        <v>0</v>
      </c>
      <c r="K65" s="98" t="str">
        <f t="shared" si="0"/>
        <v>4051/4052</v>
      </c>
      <c r="L65" s="21" t="str">
        <f>VLOOKUP(A65,'Trips&amp;Operators'!$C$1:$G$99999,5,FALSE)</f>
        <v>GUZMAN DANNY</v>
      </c>
      <c r="M65" s="6">
        <f t="shared" si="1"/>
        <v>2.7245370372838806E-2</v>
      </c>
      <c r="N65" s="7">
        <f t="shared" si="23"/>
        <v>39.233333336887881</v>
      </c>
      <c r="O65" s="7"/>
      <c r="P65" s="7"/>
      <c r="Q65" s="22"/>
      <c r="R65" s="22"/>
      <c r="S65" s="31">
        <f t="shared" si="24"/>
        <v>1</v>
      </c>
      <c r="T65" s="46" t="str">
        <f t="shared" si="3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-21T08:40:30-0600',mode:absolute,to:'2017-03-21T11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187" t="str">
        <f t="shared" si="5"/>
        <v>N</v>
      </c>
      <c r="X65" s="187">
        <f t="shared" si="6"/>
        <v>1</v>
      </c>
      <c r="Y65" s="62">
        <f t="shared" si="22"/>
        <v>4.7800000000000002E-2</v>
      </c>
      <c r="Z65" s="62">
        <f t="shared" si="20"/>
        <v>23.330300000000001</v>
      </c>
      <c r="AA65" s="62">
        <f t="shared" si="9"/>
        <v>23.282500000000002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0149-21</v>
      </c>
      <c r="AE65" s="85" t="str">
        <f t="shared" si="11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65" s="82" t="str">
        <f t="shared" si="12"/>
        <v>"C:\Program Files (x86)\AstroGrep\AstroGrep.exe" /e /r /s /spath="%USERPROFILE%\AppData\Local\Temp\OnboardLogs" /stypes="app*4051*20170321*" /stext=" 16:.+((SYSTEM_STATE.+slice.+state.+changed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7"/>
        <v>"%USERPROFILE%\Documents\GitHub\eaglep3\Utilities\RefineRTDCRunTimes.py" --tripid 149-21 --locoid 4051 --swversion DE.1.0.9.0 --startMP 204:478 --initTime 2017-03-21T09:40:30 --startdatetime 2017-03-21T09:45:18 --delay 1 --endMP 204:233303 --enddatetime 2017-03-21T10:24:32 --enforcementcount 0 &gt;&gt;C:\Users\stu\Documents\GitHub\eaglep3-reporting\EC\2017-03-21-refined-times.txt</v>
      </c>
      <c r="AI65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{"issue":{"subject":"","project_id":79,"tracker_id":40,"status_id":1,"priority_id":2,"assigned_to_id":23,"start_date":"2017-03-21","description":"","custom_fields":[{"id":1,"name":"Subdivision","value":"EC"},{"id":4,"name":"Milepost","value":"23.3303"},{"id":17,"name":"Train ID","value":"149-21"},{"id":16,"name":"Locomotive ID","value":"4051"},{"id":130,"name":"Impact","value":""},{"id":150,"name":"Time of Event (Mountain Time)","value":"10:24:32"},{"id":151,"name":"Denver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9"/>
        <v>start /low /b %USERPROFILE%\Documents\GitHub\eaglep3\Utilities\DownloadLogsFromS3.py --loco 4051 --day 2017-03-21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612</v>
      </c>
      <c r="B66" s="7">
        <v>4052</v>
      </c>
      <c r="C66" s="21" t="s">
        <v>221</v>
      </c>
      <c r="D66" s="21" t="s">
        <v>568</v>
      </c>
      <c r="E66" s="13">
        <v>42815.43986111111</v>
      </c>
      <c r="F66" s="13">
        <v>42815.445439814815</v>
      </c>
      <c r="G66" s="7">
        <v>0</v>
      </c>
      <c r="H66" s="21" t="s">
        <v>417</v>
      </c>
      <c r="I66" s="13">
        <v>42815.47483796296</v>
      </c>
      <c r="J66" s="7">
        <v>0</v>
      </c>
      <c r="K66" s="98" t="str">
        <f t="shared" si="0"/>
        <v>4051/4052</v>
      </c>
      <c r="L66" s="21" t="str">
        <f>VLOOKUP(A66,'Trips&amp;Operators'!$C$1:$G$99999,5,FALSE)</f>
        <v>GUZMAN DANNY</v>
      </c>
      <c r="M66" s="6">
        <f t="shared" si="1"/>
        <v>2.9398148144537117E-2</v>
      </c>
      <c r="N66" s="7">
        <f t="shared" si="23"/>
        <v>42.333333328133449</v>
      </c>
      <c r="O66" s="7"/>
      <c r="P66" s="7"/>
      <c r="Q66" s="22"/>
      <c r="R66" s="22"/>
      <c r="S66" s="31">
        <f t="shared" si="24"/>
        <v>1</v>
      </c>
      <c r="T66" s="46" t="str">
        <f t="shared" si="3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-21T09:33:24-0600',mode:absolute,to:'2017-03-21T12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187" t="str">
        <f t="shared" si="5"/>
        <v>N</v>
      </c>
      <c r="X66" s="187">
        <f t="shared" si="6"/>
        <v>1</v>
      </c>
      <c r="Y66" s="62">
        <f t="shared" si="22"/>
        <v>23.296500000000002</v>
      </c>
      <c r="Z66" s="62">
        <f t="shared" si="20"/>
        <v>1.3599999999999999E-2</v>
      </c>
      <c r="AA66" s="62">
        <f t="shared" si="9"/>
        <v>23.282900000000001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0150-21</v>
      </c>
      <c r="AE66" s="85" t="str">
        <f t="shared" si="11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66" s="82" t="str">
        <f t="shared" si="12"/>
        <v>"C:\Program Files (x86)\AstroGrep\AstroGrep.exe" /e /r /s /spath="%USERPROFILE%\AppData\Local\Temp\OnboardLogs" /stypes="app*4052*20170321*" /stext=" 17:.+((SYSTEM_STATE.+slice.+state.+changed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7"/>
        <v>"%USERPROFILE%\Documents\GitHub\eaglep3\Utilities\RefineRTDCRunTimes.py" --tripid 150-21 --locoid 4052 --swversion DE.1.0.9.0 --startMP 204:232965 --initTime 2017-03-21T10:33:24 --startdatetime 2017-03-21T10:41:26 --delay 0 --endMP 204:136 --enddatetime 2017-03-21T11:23:46 --enforcementcount 0 &gt;&gt;C:\Users\stu\Documents\GitHub\eaglep3-reporting\EC\2017-03-21-refined-times.txt</v>
      </c>
      <c r="AI66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{"issue":{"subject":"","project_id":79,"tracker_id":40,"status_id":1,"priority_id":2,"assigned_to_id":23,"start_date":"2017-03-21","description":"","custom_fields":[{"id":1,"name":"Subdivision","value":"EC"},{"id":4,"name":"Milepost","value":"0.0136"},{"id":17,"name":"Train ID","value":"150-21"},{"id":16,"name":"Locomotive ID","value":"4052"},{"id":130,"name":"Impact","value":""},{"id":150,"name":"Time of Event (Mountain Time)","value":"11:23:46"},{"id":151,"name":"Denver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9"/>
        <v>start /low /b %USERPROFILE%\Documents\GitHub\eaglep3\Utilities\DownloadLogsFromS3.py --loco 4052 --day 2017-03-21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701</v>
      </c>
      <c r="B67" s="7">
        <v>4025</v>
      </c>
      <c r="C67" s="21" t="s">
        <v>221</v>
      </c>
      <c r="D67" s="21" t="s">
        <v>208</v>
      </c>
      <c r="E67" s="13">
        <v>42815.413171296299</v>
      </c>
      <c r="F67" s="13">
        <v>42815.416851851849</v>
      </c>
      <c r="G67" s="7">
        <v>1</v>
      </c>
      <c r="H67" s="21" t="s">
        <v>878</v>
      </c>
      <c r="I67" s="13">
        <v>42815.443726851852</v>
      </c>
      <c r="J67" s="7">
        <v>0</v>
      </c>
      <c r="K67" s="98" t="str">
        <f t="shared" si="0"/>
        <v>4025/4026</v>
      </c>
      <c r="L67" s="21" t="str">
        <f>VLOOKUP(A67,'Trips&amp;Operators'!$C$1:$G$99999,5,FALSE)</f>
        <v>DAVIS WENDY</v>
      </c>
      <c r="M67" s="6">
        <f t="shared" si="1"/>
        <v>2.6875000003201421E-2</v>
      </c>
      <c r="N67" s="7">
        <f t="shared" si="23"/>
        <v>38.700000004610047</v>
      </c>
      <c r="O67" s="7"/>
      <c r="P67" s="7"/>
      <c r="Q67" s="22"/>
      <c r="R67" s="22"/>
      <c r="S67" s="31">
        <f t="shared" si="24"/>
        <v>1</v>
      </c>
      <c r="T67" s="46" t="str">
        <f t="shared" si="3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-21T08:54:58-0600',mode:absolute,to:'2017-03-21T11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7" s="187" t="str">
        <f t="shared" si="5"/>
        <v>N</v>
      </c>
      <c r="X67" s="187">
        <f t="shared" si="6"/>
        <v>1</v>
      </c>
      <c r="Y67" s="62">
        <f t="shared" si="22"/>
        <v>4.5699999999999998E-2</v>
      </c>
      <c r="Z67" s="62">
        <f t="shared" si="20"/>
        <v>23.3325</v>
      </c>
      <c r="AA67" s="62">
        <f t="shared" si="9"/>
        <v>23.286799999999999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0151-21</v>
      </c>
      <c r="AE67" s="85" t="str">
        <f t="shared" si="11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67" s="82" t="str">
        <f t="shared" si="12"/>
        <v>"C:\Program Files (x86)\AstroGrep\AstroGrep.exe" /e /r /s /spath="%USERPROFILE%\AppData\Local\Temp\OnboardLogs" /stypes="app*4025*20170321*" /stext=" 16:.+((SYSTEM_STATE.+slice.+state.+changed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7"/>
        <v>"%USERPROFILE%\Documents\GitHub\eaglep3\Utilities\RefineRTDCRunTimes.py" --tripid 151-21 --locoid 4025 --swversion DE.1.0.9.0 --startMP 204:457 --initTime 2017-03-21T09:54:58 --startdatetime 2017-03-21T10:00:16 --delay 1 --endMP 204:233325 --enddatetime 2017-03-21T10:38:58 --enforcementcount 0 &gt;&gt;C:\Users\stu\Documents\GitHub\eaglep3-reporting\EC\2017-03-21-refined-times.txt</v>
      </c>
      <c r="AI67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{"issue":{"subject":"","project_id":79,"tracker_id":40,"status_id":1,"priority_id":2,"assigned_to_id":23,"start_date":"2017-03-21","description":"","custom_fields":[{"id":1,"name":"Subdivision","value":"EC"},{"id":4,"name":"Milepost","value":"23.3325"},{"id":17,"name":"Train ID","value":"151-21"},{"id":16,"name":"Locomotive ID","value":"4025"},{"id":130,"name":"Impact","value":""},{"id":150,"name":"Time of Event (Mountain Time)","value":"10:38:58"},{"id":151,"name":"Denver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9"/>
        <v>start /low /b %USERPROFILE%\Documents\GitHub\eaglep3\Utilities\DownloadLogsFromS3.py --loco 4025 --day 2017-03-21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615</v>
      </c>
      <c r="B68" s="7">
        <v>4026</v>
      </c>
      <c r="C68" s="21" t="s">
        <v>221</v>
      </c>
      <c r="D68" s="21" t="s">
        <v>879</v>
      </c>
      <c r="E68" s="13">
        <v>42815.453692129631</v>
      </c>
      <c r="F68" s="13">
        <v>42815.455706018518</v>
      </c>
      <c r="G68" s="7">
        <v>1</v>
      </c>
      <c r="H68" s="21" t="s">
        <v>402</v>
      </c>
      <c r="I68" s="13">
        <v>42815.484699074077</v>
      </c>
      <c r="J68" s="7">
        <v>0</v>
      </c>
      <c r="K68" s="98" t="str">
        <f t="shared" si="0"/>
        <v>4025/4026</v>
      </c>
      <c r="L68" s="21" t="str">
        <f>VLOOKUP(A68,'Trips&amp;Operators'!$C$1:$G$99999,5,FALSE)</f>
        <v>DAVIS WENDY</v>
      </c>
      <c r="M68" s="6">
        <f t="shared" si="1"/>
        <v>2.899305555911269E-2</v>
      </c>
      <c r="N68" s="7">
        <f t="shared" si="23"/>
        <v>41.750000005122274</v>
      </c>
      <c r="O68" s="7"/>
      <c r="P68" s="7"/>
      <c r="Q68" s="22"/>
      <c r="R68" s="22"/>
      <c r="S68" s="31">
        <f t="shared" si="24"/>
        <v>1</v>
      </c>
      <c r="T68" s="46" t="str">
        <f t="shared" si="3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-21T09:53:19-0600',mode:absolute,to:'2017-03-21T12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187" t="str">
        <f t="shared" si="5"/>
        <v>N</v>
      </c>
      <c r="X68" s="187">
        <f t="shared" si="6"/>
        <v>1</v>
      </c>
      <c r="Y68" s="62">
        <f t="shared" si="22"/>
        <v>23.300799999999999</v>
      </c>
      <c r="Z68" s="62">
        <f t="shared" si="20"/>
        <v>1.6299999999999999E-2</v>
      </c>
      <c r="AA68" s="62">
        <f t="shared" si="9"/>
        <v>23.284499999999998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0152-21</v>
      </c>
      <c r="AE68" s="85" t="str">
        <f t="shared" si="11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68" s="82" t="str">
        <f t="shared" si="12"/>
        <v>"C:\Program Files (x86)\AstroGrep\AstroGrep.exe" /e /r /s /spath="%USERPROFILE%\AppData\Local\Temp\OnboardLogs" /stypes="app*4026*20170321*"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7"/>
        <v>"%USERPROFILE%\Documents\GitHub\eaglep3\Utilities\RefineRTDCRunTimes.py" --tripid 152-21 --locoid 4026 --swversion DE.1.0.9.0 --startMP 204:233008 --initTime 2017-03-21T10:53:19 --startdatetime 2017-03-21T10:56:13 --delay 1 --endMP 204:163 --enddatetime 2017-03-21T11:37:58 --enforcementcount 0 &gt;&gt;C:\Users\stu\Documents\GitHub\eaglep3-reporting\EC\2017-03-21-refined-times.txt</v>
      </c>
      <c r="AI68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{"issue":{"subject":"","project_id":79,"tracker_id":40,"status_id":1,"priority_id":2,"assigned_to_id":23,"start_date":"2017-03-21","description":"","custom_fields":[{"id":1,"name":"Subdivision","value":"EC"},{"id":4,"name":"Milepost","value":"0.0163"},{"id":17,"name":"Train ID","value":"152-21"},{"id":16,"name":"Locomotive ID","value":"4026"},{"id":130,"name":"Impact","value":""},{"id":150,"name":"Time of Event (Mountain Time)","value":"11:37:58"},{"id":151,"name":"Denver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9"/>
        <v>start /low /b %USERPROFILE%\Documents\GitHub\eaglep3\Utilities\DownloadLogsFromS3.py --loco 4026 --day 2017-03-21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703</v>
      </c>
      <c r="B69" s="7">
        <v>4044</v>
      </c>
      <c r="C69" s="21" t="s">
        <v>221</v>
      </c>
      <c r="D69" s="21" t="s">
        <v>880</v>
      </c>
      <c r="E69" s="13">
        <v>42815.43545138889</v>
      </c>
      <c r="F69" s="13">
        <v>42815.437754629631</v>
      </c>
      <c r="G69" s="7">
        <v>2</v>
      </c>
      <c r="H69" s="21" t="s">
        <v>512</v>
      </c>
      <c r="I69" s="13">
        <v>42815.462129629632</v>
      </c>
      <c r="J69" s="7">
        <v>0</v>
      </c>
      <c r="K69" s="98" t="str">
        <f t="shared" si="0"/>
        <v>4043/4044</v>
      </c>
      <c r="L69" s="21" t="str">
        <f>VLOOKUP(A69,'Trips&amp;Operators'!$C$1:$G$99999,5,FALSE)</f>
        <v>WILLIAMS DONTE</v>
      </c>
      <c r="M69" s="6">
        <f t="shared" si="1"/>
        <v>2.4375000000873115E-2</v>
      </c>
      <c r="N69" s="7"/>
      <c r="O69" s="7"/>
      <c r="P69" s="7">
        <f>24*60*SUM($M69:$M69)</f>
        <v>35.100000001257285</v>
      </c>
      <c r="Q69" s="22"/>
      <c r="R69" s="22" t="s">
        <v>532</v>
      </c>
      <c r="S69" s="31">
        <f t="shared" si="24"/>
        <v>1</v>
      </c>
      <c r="T69" s="46" t="str">
        <f t="shared" si="3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-21T09:27:03-0600',mode:absolute,to:'2017-03-21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87" t="str">
        <f t="shared" si="5"/>
        <v>Y</v>
      </c>
      <c r="X69" s="187">
        <f t="shared" si="6"/>
        <v>1</v>
      </c>
      <c r="Y69" s="62">
        <f t="shared" si="22"/>
        <v>1.9136</v>
      </c>
      <c r="Z69" s="62">
        <f t="shared" si="20"/>
        <v>23.333400000000001</v>
      </c>
      <c r="AA69" s="62">
        <f t="shared" si="9"/>
        <v>21.419800000000002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0153-21</v>
      </c>
      <c r="AE69" s="85" t="str">
        <f t="shared" si="11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69" s="82" t="str">
        <f t="shared" si="12"/>
        <v>"C:\Program Files (x86)\AstroGrep\AstroGrep.exe" /e /r /s /spath="%USERPROFILE%\AppData\Local\Temp\OnboardLogs" /stypes="app*4044*20170321*" /stext=" 17:.+((SYSTEM_STATE.+slice.+state.+changed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7"/>
        <v>"%USERPROFILE%\Documents\GitHub\eaglep3\Utilities\RefineRTDCRunTimes.py" --tripid 153-21 --locoid 4044 --swversion DE.1.0.9.0 --startMP 204:19136 --initTime 2017-03-21T10:27:03 --startdatetime 2017-03-21T10:30:22 --delay 2 --endMP 204:233334 --enddatetime 2017-03-21T11:05:28 --enforcementcount 0 &gt;&gt;C:\Users\stu\Documents\GitHub\eaglep3-reporting\EC\2017-03-21-refined-times.txt</v>
      </c>
      <c r="AI69" s="108" t="str">
        <f t="shared" si="18"/>
        <v>echo {"issue":{"subject":"Onboard in-route failure","project_id":79,"tracker_id":40,"status_id":1,"priority_id":2,"assigned_to_id":23,"start_date":"2017-03-21","description":"","custom_fields":[{"id":1,"name":"Subdivision","value":"EC"},{"id":4,"name":"Milepost","value":"23.3334"},{"id":17,"name":"Train ID","value":"153-21"},{"id":16,"name":"Locomotive ID","value":"4044"},{"id":130,"name":"Impact","value":""},{"id":150,"name":"Time of Event (Mountain Time)","value":"11:05:28"},{"id":151,"name":"Denver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9"/>
        <v>start /low /b %USERPROFILE%\Documents\GitHub\eaglep3\Utilities\DownloadLogsFromS3.py --loco 4044 --day 2017-03-21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703</v>
      </c>
      <c r="B70" s="7">
        <v>4044</v>
      </c>
      <c r="C70" s="21" t="s">
        <v>221</v>
      </c>
      <c r="D70" s="21" t="s">
        <v>212</v>
      </c>
      <c r="E70" s="13">
        <v>42815.424467592595</v>
      </c>
      <c r="F70" s="13">
        <v>42815.437754629631</v>
      </c>
      <c r="G70" s="7">
        <v>2</v>
      </c>
      <c r="H70" s="21" t="s">
        <v>512</v>
      </c>
      <c r="I70" s="13">
        <v>42815.462129629632</v>
      </c>
      <c r="J70" s="7">
        <v>0</v>
      </c>
      <c r="K70" s="98" t="str">
        <f t="shared" si="0"/>
        <v>4043/4044</v>
      </c>
      <c r="L70" s="21" t="str">
        <f>VLOOKUP(A70,'Trips&amp;Operators'!$C$1:$G$99999,5,FALSE)</f>
        <v>WILLIAMS DONTE</v>
      </c>
      <c r="M70" s="6">
        <f t="shared" si="1"/>
        <v>2.4375000000873115E-2</v>
      </c>
      <c r="N70" s="7"/>
      <c r="O70" s="7"/>
      <c r="P70" s="7"/>
      <c r="Q70" s="22"/>
      <c r="R70" s="22"/>
      <c r="S70" s="31"/>
      <c r="T70" s="46" t="str">
        <f t="shared" si="3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-21T09:11:14-0600',mode:absolute,to:'2017-03-21T12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87" t="str">
        <f t="shared" si="5"/>
        <v>N</v>
      </c>
      <c r="X70" s="187">
        <f t="shared" si="6"/>
        <v>0</v>
      </c>
      <c r="Y70" s="62">
        <f t="shared" si="22"/>
        <v>4.53E-2</v>
      </c>
      <c r="Z70" s="62">
        <f t="shared" si="20"/>
        <v>23.333400000000001</v>
      </c>
      <c r="AA70" s="62">
        <f t="shared" si="9"/>
        <v>23.2881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0153-21</v>
      </c>
      <c r="AE70" s="85" t="str">
        <f t="shared" si="11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70" s="82" t="str">
        <f t="shared" si="12"/>
        <v>"C:\Program Files (x86)\AstroGrep\AstroGrep.exe" /e /r /s /spath="%USERPROFILE%\AppData\Local\Temp\OnboardLogs" /stypes="app*4044*20170321*"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7"/>
        <v>"%USERPROFILE%\Documents\GitHub\eaglep3\Utilities\RefineRTDCRunTimes.py" --tripid 153-21 --locoid 4044 --swversion DE.1.0.9.0 --startMP 204:453 --initTime 2017-03-21T10:11:14 --startdatetime 2017-03-21T10:30:22 --delay 2 --endMP 204:233334 --enddatetime 2017-03-21T11:05:28 --enforcementcount 0 &gt;&gt;C:\Users\stu\Documents\GitHub\eaglep3-reporting\EC\2017-03-21-refined-times.txt</v>
      </c>
      <c r="AI70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{"issue":{"subject":"","project_id":79,"tracker_id":40,"status_id":1,"priority_id":2,"assigned_to_id":23,"start_date":"2017-03-21","description":"","custom_fields":[{"id":1,"name":"Subdivision","value":"EC"},{"id":4,"name":"Milepost","value":"23.3334"},{"id":17,"name":"Train ID","value":"153-21"},{"id":16,"name":"Locomotive ID","value":"4044"},{"id":130,"name":"Impact","value":""},{"id":150,"name":"Time of Event (Mountain Time)","value":"11:05:28"},{"id":151,"name":"Denver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9"/>
        <v>start /low /b %USERPROFILE%\Documents\GitHub\eaglep3\Utilities\DownloadLogsFromS3.py --loco 4044 --day 2017-03-21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713</v>
      </c>
      <c r="B71" s="7">
        <v>4043</v>
      </c>
      <c r="C71" s="21" t="s">
        <v>221</v>
      </c>
      <c r="D71" s="21" t="s">
        <v>881</v>
      </c>
      <c r="E71" s="13">
        <v>42815.463946759257</v>
      </c>
      <c r="F71" s="13">
        <v>42815.466203703705</v>
      </c>
      <c r="G71" s="7">
        <v>1</v>
      </c>
      <c r="H71" s="21" t="s">
        <v>882</v>
      </c>
      <c r="I71" s="13">
        <v>42815.495439814818</v>
      </c>
      <c r="J71" s="7">
        <v>0</v>
      </c>
      <c r="K71" s="98" t="str">
        <f t="shared" si="0"/>
        <v>4043/4044</v>
      </c>
      <c r="L71" s="21" t="str">
        <f>VLOOKUP(A71,'Trips&amp;Operators'!$C$1:$G$99999,5,FALSE)</f>
        <v>WILLIAMS DONTE</v>
      </c>
      <c r="M71" s="6">
        <f t="shared" si="1"/>
        <v>2.923611111327773E-2</v>
      </c>
      <c r="N71" s="7">
        <f t="shared" ref="N71:N94" si="25">24*60*SUM($M71:$M71)</f>
        <v>42.100000003119931</v>
      </c>
      <c r="O71" s="7"/>
      <c r="P71" s="7"/>
      <c r="Q71" s="22"/>
      <c r="R71" s="22"/>
      <c r="S71" s="31">
        <f t="shared" ref="S71:S94" si="26">SUM(U71:U71)/IF(AG71="EC",12,1)</f>
        <v>1</v>
      </c>
      <c r="T71" s="46" t="str">
        <f t="shared" si="3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-21T10:08:05-0600',mode:absolute,to:'2017-03-21T12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87" t="str">
        <f t="shared" si="5"/>
        <v>N</v>
      </c>
      <c r="X71" s="187">
        <f t="shared" si="6"/>
        <v>1</v>
      </c>
      <c r="Y71" s="62">
        <f t="shared" si="22"/>
        <v>23.303599999999999</v>
      </c>
      <c r="Z71" s="62">
        <f t="shared" si="20"/>
        <v>1.83E-2</v>
      </c>
      <c r="AA71" s="62">
        <f t="shared" si="9"/>
        <v>23.285299999999999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0154-21</v>
      </c>
      <c r="AE71" s="85" t="str">
        <f t="shared" si="11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71" s="82" t="str">
        <f t="shared" si="12"/>
        <v>"C:\Program Files (x86)\AstroGrep\AstroGrep.exe" /e /r /s /spath="%USERPROFILE%\AppData\Local\Temp\OnboardLogs" /stypes="app*4043*20170321*" /stext=" 17:.+((SYSTEM_STATE.+slice.+state.+changed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7"/>
        <v>"%USERPROFILE%\Documents\GitHub\eaglep3\Utilities\RefineRTDCRunTimes.py" --tripid 154-21 --locoid 4043 --swversion DE.1.0.9.0 --startMP 204:233036 --initTime 2017-03-21T11:08:05 --startdatetime 2017-03-21T11:11:20 --delay 1 --endMP 204:183 --enddatetime 2017-03-21T11:53:26 --enforcementcount 0 &gt;&gt;C:\Users\stu\Documents\GitHub\eaglep3-reporting\EC\2017-03-21-refined-times.txt</v>
      </c>
      <c r="AI71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{"issue":{"subject":"","project_id":79,"tracker_id":40,"status_id":1,"priority_id":2,"assigned_to_id":23,"start_date":"2017-03-21","description":"","custom_fields":[{"id":1,"name":"Subdivision","value":"EC"},{"id":4,"name":"Milepost","value":"0.0183"},{"id":17,"name":"Train ID","value":"154-21"},{"id":16,"name":"Locomotive ID","value":"4043"},{"id":130,"name":"Impact","value":""},{"id":150,"name":"Time of Event (Mountain Time)","value":"11:53:26"},{"id":151,"name":"Denver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9"/>
        <v>start /low /b %USERPROFILE%\Documents\GitHub\eaglep3\Utilities\DownloadLogsFromS3.py --loco 4043 --day 2017-03-21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"%USERPROFILE%\AppData\Local\Temp\OnboardLogs"\RTDC4043\*4043*20170321* | grep -SE "(Enforcement Action)|(\[TIMEOUT)|(CHR.+\|PRM\|1\|D.+(SWITCH|SIGNAL).+UNKNOWN)" - &gt;&gt; 2017-03-21-UncaughtWiMAX.txt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611</v>
      </c>
      <c r="B72" s="7">
        <v>4024</v>
      </c>
      <c r="C72" s="21" t="s">
        <v>221</v>
      </c>
      <c r="D72" s="21" t="s">
        <v>226</v>
      </c>
      <c r="E72" s="13">
        <v>42815.435219907406</v>
      </c>
      <c r="F72" s="13">
        <v>42815.43822916667</v>
      </c>
      <c r="G72" s="7">
        <v>1</v>
      </c>
      <c r="H72" s="21" t="s">
        <v>391</v>
      </c>
      <c r="I72" s="13">
        <v>42815.464537037034</v>
      </c>
      <c r="J72" s="7">
        <v>0</v>
      </c>
      <c r="K72" s="98" t="str">
        <f t="shared" si="0"/>
        <v>4023/4024</v>
      </c>
      <c r="L72" s="21" t="str">
        <f>VLOOKUP(A72,'Trips&amp;Operators'!$C$1:$G$99999,5,FALSE)</f>
        <v>YORK EDGAR</v>
      </c>
      <c r="M72" s="6">
        <f t="shared" si="1"/>
        <v>2.6307870364689734E-2</v>
      </c>
      <c r="N72" s="7">
        <f t="shared" si="25"/>
        <v>37.883333325153217</v>
      </c>
      <c r="O72" s="7"/>
      <c r="P72" s="7"/>
      <c r="Q72" s="22"/>
      <c r="R72" s="22"/>
      <c r="S72" s="31">
        <f t="shared" si="26"/>
        <v>1</v>
      </c>
      <c r="T72" s="46" t="str">
        <f t="shared" si="3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-21T09:26:43-0600',mode:absolute,to:'2017-03-21T12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2" s="187" t="str">
        <f t="shared" si="5"/>
        <v>N</v>
      </c>
      <c r="X72" s="187">
        <f t="shared" si="6"/>
        <v>1</v>
      </c>
      <c r="Y72" s="62">
        <f t="shared" si="22"/>
        <v>4.6899999999999997E-2</v>
      </c>
      <c r="Z72" s="62">
        <f t="shared" si="20"/>
        <v>23.3293</v>
      </c>
      <c r="AA72" s="62">
        <f t="shared" si="9"/>
        <v>23.282399999999999</v>
      </c>
      <c r="AB72" s="59" t="str">
        <f>VLOOKUP(A72,Enforcements!$C$7:$K$13,8,0)</f>
        <v>Bulletin (2)</v>
      </c>
      <c r="AC72" s="55" t="str">
        <f>VLOOKUP(A72,Enforcements!$C$7:$E$13,3,0)</f>
        <v>GRADE CROSSING</v>
      </c>
      <c r="AD72" s="56" t="str">
        <f t="shared" si="10"/>
        <v>0155-21</v>
      </c>
      <c r="AE72" s="85" t="str">
        <f t="shared" si="11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72" s="82" t="str">
        <f t="shared" si="12"/>
        <v>"C:\Program Files (x86)\AstroGrep\AstroGrep.exe" /e /r /s /spath="%USERPROFILE%\AppData\Local\Temp\OnboardLogs" /stypes="app*4024*20170321*" /stext=" 17:.+((SYSTEM_STATE.+slice.+state.+changed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7"/>
        <v>"%USERPROFILE%\Documents\GitHub\eaglep3\Utilities\RefineRTDCRunTimes.py" --tripid 155-21 --locoid 4024 --swversion DE.1.0.9.0 --startMP 204:469 --initTime 2017-03-21T10:26:43 --startdatetime 2017-03-21T10:31:03 --delay 1 --endMP 204:233293 --enddatetime 2017-03-21T11:08:56 --enforcementcount 0 &gt;&gt;C:\Users\stu\Documents\GitHub\eaglep3-reporting\EC\2017-03-21-refined-times.txt</v>
      </c>
      <c r="AI72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{"issue":{"subject":"","project_id":79,"tracker_id":40,"status_id":1,"priority_id":2,"assigned_to_id":23,"start_date":"2017-03-21","description":"","custom_fields":[{"id":1,"name":"Subdivision","value":"EC"},{"id":4,"name":"Milepost","value":"23.3293"},{"id":17,"name":"Train ID","value":"155-21"},{"id":16,"name":"Locomotive ID","value":"4024"},{"id":130,"name":"Impact","value":""},{"id":150,"name":"Time of Event (Mountain Time)","value":"11:08:56"},{"id":151,"name":"Denver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9"/>
        <v>start /low /b %USERPROFILE%\Documents\GitHub\eaglep3\Utilities\DownloadLogsFromS3.py --loco 4024 --day 2017-03-21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714</v>
      </c>
      <c r="B73" s="7">
        <v>4023</v>
      </c>
      <c r="C73" s="21" t="s">
        <v>221</v>
      </c>
      <c r="D73" s="21" t="s">
        <v>475</v>
      </c>
      <c r="E73" s="13">
        <v>42815.465509259258</v>
      </c>
      <c r="F73" s="13">
        <v>42815.4765625</v>
      </c>
      <c r="G73" s="7">
        <v>1</v>
      </c>
      <c r="H73" s="21" t="s">
        <v>408</v>
      </c>
      <c r="I73" s="13">
        <v>42815.504537037035</v>
      </c>
      <c r="J73" s="7">
        <v>0</v>
      </c>
      <c r="K73" s="98" t="str">
        <f t="shared" si="0"/>
        <v>4023/4024</v>
      </c>
      <c r="L73" s="21" t="str">
        <f>VLOOKUP(A73,'Trips&amp;Operators'!$C$1:$G$99999,5,FALSE)</f>
        <v>YORK EDGAR</v>
      </c>
      <c r="M73" s="6">
        <f t="shared" si="1"/>
        <v>2.7974537035333924E-2</v>
      </c>
      <c r="N73" s="7">
        <f t="shared" si="25"/>
        <v>40.283333330880851</v>
      </c>
      <c r="O73" s="7"/>
      <c r="P73" s="7"/>
      <c r="Q73" s="22"/>
      <c r="R73" s="22"/>
      <c r="S73" s="31">
        <f t="shared" si="26"/>
        <v>1</v>
      </c>
      <c r="T73" s="46" t="str">
        <f t="shared" si="3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-21T10:10:20-0600',mode:absolute,to:'2017-03-21T13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3" s="187" t="str">
        <f t="shared" si="5"/>
        <v>N</v>
      </c>
      <c r="X73" s="187">
        <f t="shared" si="6"/>
        <v>1</v>
      </c>
      <c r="Y73" s="62">
        <f t="shared" si="22"/>
        <v>23.298100000000002</v>
      </c>
      <c r="Z73" s="62">
        <f t="shared" si="20"/>
        <v>1.43E-2</v>
      </c>
      <c r="AA73" s="62">
        <f t="shared" si="9"/>
        <v>23.283800000000003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0156-21</v>
      </c>
      <c r="AE73" s="85" t="str">
        <f t="shared" si="11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73" s="82" t="str">
        <f t="shared" si="12"/>
        <v>"C:\Program Files (x86)\AstroGrep\AstroGrep.exe" /e /r /s /spath="%USERPROFILE%\AppData\Local\Temp\OnboardLogs" /stypes="app*4023*20170321*"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7"/>
        <v>"%USERPROFILE%\Documents\GitHub\eaglep3\Utilities\RefineRTDCRunTimes.py" --tripid 156-21 --locoid 4023 --swversion DE.1.0.9.0 --startMP 204:232981 --initTime 2017-03-21T11:10:20 --startdatetime 2017-03-21T11:26:15 --delay 1 --endMP 204:143 --enddatetime 2017-03-21T12:06:32 --enforcementcount 0 &gt;&gt;C:\Users\stu\Documents\GitHub\eaglep3-reporting\EC\2017-03-21-refined-times.txt</v>
      </c>
      <c r="AI73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{"issue":{"subject":"","project_id":79,"tracker_id":40,"status_id":1,"priority_id":2,"assigned_to_id":23,"start_date":"2017-03-21","description":"","custom_fields":[{"id":1,"name":"Subdivision","value":"EC"},{"id":4,"name":"Milepost","value":"0.0143"},{"id":17,"name":"Train ID","value":"156-21"},{"id":16,"name":"Locomotive ID","value":"4023"},{"id":130,"name":"Impact","value":""},{"id":150,"name":"Time of Event (Mountain Time)","value":"12:06:32"},{"id":151,"name":"Denver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9"/>
        <v>start /low /b %USERPROFILE%\Documents\GitHub\eaglep3\Utilities\DownloadLogsFromS3.py --loco 4023 --day 2017-03-21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709</v>
      </c>
      <c r="B74" s="7">
        <v>4016</v>
      </c>
      <c r="C74" s="21" t="s">
        <v>221</v>
      </c>
      <c r="D74" s="21" t="s">
        <v>213</v>
      </c>
      <c r="E74" s="13">
        <v>42815.447118055556</v>
      </c>
      <c r="F74" s="13">
        <v>42815.448194444441</v>
      </c>
      <c r="G74" s="7">
        <v>1</v>
      </c>
      <c r="H74" s="21" t="s">
        <v>410</v>
      </c>
      <c r="I74" s="13">
        <v>42815.472372685188</v>
      </c>
      <c r="J74" s="7">
        <v>0</v>
      </c>
      <c r="K74" s="98" t="str">
        <f t="shared" si="0"/>
        <v>4015/4016</v>
      </c>
      <c r="L74" s="21" t="str">
        <f>VLOOKUP(A74,'Trips&amp;Operators'!$C$1:$G$99999,5,FALSE)</f>
        <v>SULLIVAN BRANDON</v>
      </c>
      <c r="M74" s="6">
        <f t="shared" si="1"/>
        <v>2.4178240746550728E-2</v>
      </c>
      <c r="N74" s="7">
        <f t="shared" si="25"/>
        <v>34.816666675033048</v>
      </c>
      <c r="O74" s="7"/>
      <c r="P74" s="7"/>
      <c r="Q74" s="22"/>
      <c r="R74" s="22"/>
      <c r="S74" s="31">
        <f t="shared" si="26"/>
        <v>1</v>
      </c>
      <c r="T74" s="46" t="str">
        <f t="shared" si="3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-21T09:43:51-0600',mode:absolute,to:'2017-03-21T12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187" t="str">
        <f t="shared" si="5"/>
        <v>N</v>
      </c>
      <c r="X74" s="187">
        <f t="shared" si="6"/>
        <v>1</v>
      </c>
      <c r="Y74" s="62">
        <f t="shared" si="22"/>
        <v>4.5499999999999999E-2</v>
      </c>
      <c r="Z74" s="62">
        <f t="shared" si="20"/>
        <v>23.328600000000002</v>
      </c>
      <c r="AA74" s="62">
        <f t="shared" si="9"/>
        <v>23.283100000000001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0157-21</v>
      </c>
      <c r="AE74" s="85" t="str">
        <f t="shared" si="11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74" s="82" t="str">
        <f t="shared" si="12"/>
        <v>"C:\Program Files (x86)\AstroGrep\AstroGrep.exe" /e /r /s /spath="%USERPROFILE%\AppData\Local\Temp\OnboardLogs" /stypes="app*4016*20170321*" /stext=" 17:.+((SYSTEM_STATE.+slice.+state.+changed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7"/>
        <v>"%USERPROFILE%\Documents\GitHub\eaglep3\Utilities\RefineRTDCRunTimes.py" --tripid 157-21 --locoid 4016 --swversion DE.1.0.9.0 --startMP 204:455 --initTime 2017-03-21T10:43:51 --startdatetime 2017-03-21T10:45:24 --delay 1 --endMP 204:233286 --enddatetime 2017-03-21T11:20:13 --enforcementcount 0 &gt;&gt;C:\Users\stu\Documents\GitHub\eaglep3-reporting\EC\2017-03-21-refined-times.txt</v>
      </c>
      <c r="AI74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{"issue":{"subject":"","project_id":79,"tracker_id":40,"status_id":1,"priority_id":2,"assigned_to_id":23,"start_date":"2017-03-21","description":"","custom_fields":[{"id":1,"name":"Subdivision","value":"EC"},{"id":4,"name":"Milepost","value":"23.3286"},{"id":17,"name":"Train ID","value":"157-21"},{"id":16,"name":"Locomotive ID","value":"4016"},{"id":130,"name":"Impact","value":""},{"id":150,"name":"Time of Event (Mountain Time)","value":"11:20:13"},{"id":151,"name":"Denver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9"/>
        <v>start /low /b %USERPROFILE%\Documents\GitHub\eaglep3\Utilities\DownloadLogsFromS3.py --loco 4016 --day 2017-03-21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717</v>
      </c>
      <c r="B75" s="7">
        <v>4015</v>
      </c>
      <c r="C75" s="21" t="s">
        <v>221</v>
      </c>
      <c r="D75" s="21" t="s">
        <v>568</v>
      </c>
      <c r="E75" s="13">
        <v>42815.485613425924</v>
      </c>
      <c r="F75" s="13">
        <v>42815.487326388888</v>
      </c>
      <c r="G75" s="7">
        <v>1</v>
      </c>
      <c r="H75" s="21" t="s">
        <v>191</v>
      </c>
      <c r="I75" s="13">
        <v>42815.51358796296</v>
      </c>
      <c r="J75" s="7">
        <v>0</v>
      </c>
      <c r="K75" s="98" t="str">
        <f t="shared" si="0"/>
        <v>4015/4016</v>
      </c>
      <c r="L75" s="21" t="str">
        <f>VLOOKUP(A75,'Trips&amp;Operators'!$C$1:$G$99999,5,FALSE)</f>
        <v>SULLIVAN BRANDON</v>
      </c>
      <c r="M75" s="6">
        <f t="shared" si="1"/>
        <v>2.626157407212304E-2</v>
      </c>
      <c r="N75" s="7">
        <f t="shared" si="25"/>
        <v>37.816666663857177</v>
      </c>
      <c r="O75" s="7"/>
      <c r="P75" s="7"/>
      <c r="Q75" s="22"/>
      <c r="R75" s="22"/>
      <c r="S75" s="31">
        <f t="shared" si="26"/>
        <v>1</v>
      </c>
      <c r="T75" s="46" t="str">
        <f t="shared" si="3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-21T10:39:17-0600',mode:absolute,to:'2017-03-21T13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187" t="str">
        <f t="shared" si="5"/>
        <v>N</v>
      </c>
      <c r="X75" s="187">
        <f t="shared" si="6"/>
        <v>1</v>
      </c>
      <c r="Y75" s="62">
        <f t="shared" si="22"/>
        <v>23.296500000000002</v>
      </c>
      <c r="Z75" s="62">
        <f t="shared" si="20"/>
        <v>1.4999999999999999E-2</v>
      </c>
      <c r="AA75" s="62">
        <f t="shared" si="9"/>
        <v>23.281500000000001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0158-21</v>
      </c>
      <c r="AE75" s="85" t="str">
        <f t="shared" si="11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75" s="82" t="str">
        <f t="shared" si="12"/>
        <v>"C:\Program Files (x86)\AstroGrep\AstroGrep.exe" /e /r /s /spath="%USERPROFILE%\AppData\Local\Temp\OnboardLogs" /stypes="app*4015*20170321*" /stext=" 18:.+((SYSTEM_STATE.+slice.+state.+changed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17"/>
        <v>"%USERPROFILE%\Documents\GitHub\eaglep3\Utilities\RefineRTDCRunTimes.py" --tripid 158-21 --locoid 4015 --swversion DE.1.0.9.0 --startMP 204:232965 --initTime 2017-03-21T11:39:17 --startdatetime 2017-03-21T11:41:45 --delay 1 --endMP 204:150 --enddatetime 2017-03-21T12:19:34 --enforcementcount 0 &gt;&gt;C:\Users\stu\Documents\GitHub\eaglep3-reporting\EC\2017-03-21-refined-times.txt</v>
      </c>
      <c r="AI75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{"issue":{"subject":"","project_id":79,"tracker_id":40,"status_id":1,"priority_id":2,"assigned_to_id":23,"start_date":"2017-03-21","description":"","custom_fields":[{"id":1,"name":"Subdivision","value":"EC"},{"id":4,"name":"Milepost","value":"0.015"},{"id":17,"name":"Train ID","value":"158-21"},{"id":16,"name":"Locomotive ID","value":"4015"},{"id":130,"name":"Impact","value":""},{"id":150,"name":"Time of Event (Mountain Time)","value":"12:19:34"},{"id":151,"name":"Denver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9"/>
        <v>start /low /b %USERPROFILE%\Documents\GitHub\eaglep3\Utilities\DownloadLogsFromS3.py --loco 4015 --day 2017-03-21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"%USERPROFILE%\AppData\Local\Temp\OnboardLogs"\RTDC4015\*4015*20170321* | grep -SE "(Enforcement Action)|(\[TIMEOUT)|(CHR.+\|PRM\|1\|D.+(SWITCH|SIGNAL).+UNKNOWN)" - &gt;&gt; 2017-03-21-UncaughtWiMAX.txt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710</v>
      </c>
      <c r="B76" s="7">
        <v>4042</v>
      </c>
      <c r="C76" s="21" t="s">
        <v>221</v>
      </c>
      <c r="D76" s="21" t="s">
        <v>207</v>
      </c>
      <c r="E76" s="13">
        <v>42815.455324074072</v>
      </c>
      <c r="F76" s="13">
        <v>42815.458715277775</v>
      </c>
      <c r="G76" s="7">
        <v>1</v>
      </c>
      <c r="H76" s="21" t="s">
        <v>567</v>
      </c>
      <c r="I76" s="13">
        <v>42815.485995370371</v>
      </c>
      <c r="J76" s="7">
        <v>0</v>
      </c>
      <c r="K76" s="98" t="str">
        <f t="shared" si="0"/>
        <v>4041/4042</v>
      </c>
      <c r="L76" s="21" t="str">
        <f>VLOOKUP(A76,'Trips&amp;Operators'!$C$1:$G$99999,5,FALSE)</f>
        <v>DAVIS MICHAEL</v>
      </c>
      <c r="M76" s="6">
        <f t="shared" si="1"/>
        <v>2.7280092595901806E-2</v>
      </c>
      <c r="N76" s="7">
        <f t="shared" si="25"/>
        <v>39.283333338098601</v>
      </c>
      <c r="O76" s="7"/>
      <c r="P76" s="7"/>
      <c r="Q76" s="22"/>
      <c r="R76" s="22"/>
      <c r="S76" s="31">
        <f t="shared" si="26"/>
        <v>1</v>
      </c>
      <c r="T76" s="46" t="str">
        <f t="shared" si="3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-21T09:55:40-0600',mode:absolute,to:'2017-03-21T12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6" s="187" t="str">
        <f t="shared" si="5"/>
        <v>N</v>
      </c>
      <c r="X76" s="187">
        <f t="shared" si="6"/>
        <v>1</v>
      </c>
      <c r="Y76" s="62">
        <f t="shared" si="22"/>
        <v>4.5100000000000001E-2</v>
      </c>
      <c r="Z76" s="62">
        <f t="shared" si="20"/>
        <v>23.33</v>
      </c>
      <c r="AA76" s="62">
        <f t="shared" si="9"/>
        <v>23.284899999999997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0159-21</v>
      </c>
      <c r="AE76" s="85" t="str">
        <f t="shared" si="11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76" s="82" t="str">
        <f t="shared" si="12"/>
        <v>"C:\Program Files (x86)\AstroGrep\AstroGrep.exe" /e /r /s /spath="%USERPROFILE%\AppData\Local\Temp\OnboardLogs" /stypes="app*4042*20170321*" /stext=" 17:.+((SYSTEM_STATE.+slice.+state.+changed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17"/>
        <v>"%USERPROFILE%\Documents\GitHub\eaglep3\Utilities\RefineRTDCRunTimes.py" --tripid 159-21 --locoid 4042 --swversion DE.1.0.9.0 --startMP 204:451 --initTime 2017-03-21T10:55:40 --startdatetime 2017-03-21T11:00:33 --delay 1 --endMP 204:233300 --enddatetime 2017-03-21T11:39:50 --enforcementcount 0 &gt;&gt;C:\Users\stu\Documents\GitHub\eaglep3-reporting\EC\2017-03-21-refined-times.txt</v>
      </c>
      <c r="AI76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{"issue":{"subject":"","project_id":79,"tracker_id":40,"status_id":1,"priority_id":2,"assigned_to_id":23,"start_date":"2017-03-21","description":"","custom_fields":[{"id":1,"name":"Subdivision","value":"EC"},{"id":4,"name":"Milepost","value":"23.33"},{"id":17,"name":"Train ID","value":"159-21"},{"id":16,"name":"Locomotive ID","value":"4042"},{"id":130,"name":"Impact","value":""},{"id":150,"name":"Time of Event (Mountain Time)","value":"11:39:50"},{"id":151,"name":"Denver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9"/>
        <v>start /low /b %USERPROFILE%\Documents\GitHub\eaglep3\Utilities\DownloadLogsFromS3.py --loco 4042 --day 2017-03-21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719</v>
      </c>
      <c r="B77" s="7">
        <v>4041</v>
      </c>
      <c r="C77" s="21" t="s">
        <v>221</v>
      </c>
      <c r="D77" s="21" t="s">
        <v>481</v>
      </c>
      <c r="E77" s="13">
        <v>42815.495555555557</v>
      </c>
      <c r="F77" s="13">
        <v>42815.49759259259</v>
      </c>
      <c r="G77" s="7">
        <v>1</v>
      </c>
      <c r="H77" s="21" t="s">
        <v>519</v>
      </c>
      <c r="I77" s="13">
        <v>42815.525914351849</v>
      </c>
      <c r="J77" s="7">
        <v>0</v>
      </c>
      <c r="K77" s="98" t="str">
        <f t="shared" ref="K77:K140" si="27">IF(ISEVEN(B77),(B77-1)&amp;"/"&amp;B77,B77&amp;"/"&amp;(B77+1))</f>
        <v>4041/4042</v>
      </c>
      <c r="L77" s="21" t="str">
        <f>VLOOKUP(A77,'Trips&amp;Operators'!$C$1:$G$99999,5,FALSE)</f>
        <v>DAVIS MICHAEL</v>
      </c>
      <c r="M77" s="6">
        <f t="shared" ref="M77:M140" si="28">I77-F77</f>
        <v>2.8321759258687962E-2</v>
      </c>
      <c r="N77" s="7">
        <f t="shared" si="25"/>
        <v>40.783333332510665</v>
      </c>
      <c r="O77" s="7"/>
      <c r="P77" s="7"/>
      <c r="Q77" s="22"/>
      <c r="R77" s="22"/>
      <c r="S77" s="31">
        <f t="shared" si="26"/>
        <v>1</v>
      </c>
      <c r="T77" s="46" t="str">
        <f t="shared" ref="T77:T140" si="29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-21T10:53:36-0600',mode:absolute,to:'2017-03-21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7" s="187" t="str">
        <f t="shared" ref="W77:W140" si="31">IF(AA77&lt;IF(AG77="EC",23,5.65),"Y","N")</f>
        <v>N</v>
      </c>
      <c r="X77" s="187">
        <f t="shared" ref="X77:X140" si="32">VALUE(LEFT(AD77,4))-VALUE(LEFT(AD76,4))</f>
        <v>1</v>
      </c>
      <c r="Y77" s="62">
        <f t="shared" si="22"/>
        <v>23.299299999999999</v>
      </c>
      <c r="Z77" s="62">
        <f t="shared" si="20"/>
        <v>1.32E-2</v>
      </c>
      <c r="AA77" s="62">
        <f t="shared" ref="AA77:AA140" si="33">ABS(Z77-Y77)</f>
        <v>23.286099999999998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4">IF(LEN(A77)=6,"0"&amp;A77,A77)</f>
        <v>0160-21</v>
      </c>
      <c r="AE77" s="85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77" s="82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/stypes="app*4041*20170321*" /stext=" 18:.+((SYSTEM_STATE.+slice.+state.+changed )|(ment ac)|(multiple cpu faults)|(system.+state.+changed )|(\[timeout)|(PRM\|1\|D)|(kpr)|(kdp)|(\|lc)|(penalty))"</v>
      </c>
      <c r="AG77" s="1" t="str">
        <f t="shared" ref="AG77:AG140" si="37">IFERROR(IF(VALUE(LEFT(AD77,2))&lt;=2,"EC",IF(OR(VALUE(LEFT(AD77,2))=8,VALUE(LEFT(AD77,2))=18),"NW","Other")),"Other")</f>
        <v>EC</v>
      </c>
      <c r="AH77" s="86" t="str">
        <f t="shared" si="17"/>
        <v>"%USERPROFILE%\Documents\GitHub\eaglep3\Utilities\RefineRTDCRunTimes.py" --tripid 160-21 --locoid 4041 --swversion DE.1.0.9.0 --startMP 204:232993 --initTime 2017-03-21T11:53:36 --startdatetime 2017-03-21T11:56:32 --delay 1 --endMP 204:132 --enddatetime 2017-03-21T12:37:19 --enforcementcount 0 &gt;&gt;C:\Users\stu\Documents\GitHub\eaglep3-reporting\EC\2017-03-21-refined-times.txt</v>
      </c>
      <c r="AI77" s="108" t="str">
        <f t="shared" si="18"/>
        <v>echo {"issue":{"subject":"","project_id":79,"tracker_id":40,"status_id":1,"priority_id":2,"assigned_to_id":23,"start_date":"2017-03-21","description":"","custom_fields":[{"id":1,"name":"Subdivision","value":"EC"},{"id":4,"name":"Milepost","value":"0.0132"},{"id":17,"name":"Train ID","value":"160-21"},{"id":16,"name":"Locomotive ID","value":"4041"},{"id":130,"name":"Impact","value":""},{"id":150,"name":"Time of Event (Mountain Time)","value":"12:37:19"},{"id":151,"name":"Denver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9"/>
        <v>start /low /b %USERPROFILE%\Documents\GitHub\eaglep3\Utilities\DownloadLogsFromS3.py --loco 4041 --day 2017-03-21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613</v>
      </c>
      <c r="B78" s="7">
        <v>4031</v>
      </c>
      <c r="C78" s="21" t="s">
        <v>221</v>
      </c>
      <c r="D78" s="21" t="s">
        <v>226</v>
      </c>
      <c r="E78" s="13">
        <v>42815.466238425928</v>
      </c>
      <c r="F78" s="13">
        <v>42815.469050925924</v>
      </c>
      <c r="G78" s="7">
        <v>2</v>
      </c>
      <c r="H78" s="21" t="s">
        <v>883</v>
      </c>
      <c r="I78" s="13">
        <v>42815.493819444448</v>
      </c>
      <c r="J78" s="7">
        <v>0</v>
      </c>
      <c r="K78" s="98" t="str">
        <f t="shared" si="27"/>
        <v>4031/4032</v>
      </c>
      <c r="L78" s="21" t="str">
        <f>VLOOKUP(A78,'Trips&amp;Operators'!$C$1:$G$99999,5,FALSE)</f>
        <v>STEWART MICHAEL</v>
      </c>
      <c r="M78" s="6">
        <f t="shared" si="28"/>
        <v>2.4768518524069805E-2</v>
      </c>
      <c r="N78" s="7">
        <f t="shared" si="25"/>
        <v>35.666666674660519</v>
      </c>
      <c r="O78" s="7"/>
      <c r="P78" s="7"/>
      <c r="Q78" s="22"/>
      <c r="R78" s="22"/>
      <c r="S78" s="31">
        <f t="shared" si="26"/>
        <v>1</v>
      </c>
      <c r="T78" s="46" t="str">
        <f t="shared" si="29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0"/>
        <v>https://d0f6bd738d7f1b3e5a7ca70fe4ff75f0.us-east-1.aws.found.io/app/kibana#/discover/Steve-Slow-Train-Analysis-(2080s-and-2083s)?_g=(refreshInterval:(display:Off,pause:!f,section:0,value:0),time:(from:'2017-03-21T10:11:23-0600',mode:absolute,to:'2017-03-21T12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87" t="str">
        <f t="shared" si="31"/>
        <v>N</v>
      </c>
      <c r="X78" s="187">
        <f t="shared" si="32"/>
        <v>1</v>
      </c>
      <c r="Y78" s="62">
        <f t="shared" si="22"/>
        <v>4.6899999999999997E-2</v>
      </c>
      <c r="Z78" s="62">
        <f t="shared" si="20"/>
        <v>23.321999999999999</v>
      </c>
      <c r="AA78" s="62">
        <f t="shared" si="33"/>
        <v>23.275099999999998</v>
      </c>
      <c r="AB78" s="59" t="str">
        <f>VLOOKUP(A78,Enforcements!$C$7:$K$13,8,0)</f>
        <v>Bulletin (2)</v>
      </c>
      <c r="AC78" s="55" t="str">
        <f>VLOOKUP(A78,Enforcements!$C$7:$E$13,3,0)</f>
        <v>GRADE CROSSING</v>
      </c>
      <c r="AD78" s="56" t="str">
        <f t="shared" si="34"/>
        <v>0161-21</v>
      </c>
      <c r="AE78" s="85" t="str">
        <f t="shared" si="35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78" s="82" t="str">
        <f t="shared" si="36"/>
        <v>"C:\Program Files (x86)\AstroGrep\AstroGrep.exe" /e /r /s /spath="%USERPROFILE%\AppData\Local\Temp\OnboardLogs" /stypes="app*4031*20170321*" /stext=" 17:.+((SYSTEM_STATE.+slice.+state.+changed )|(ment ac)|(multiple cpu faults)|(system.+state.+changed )|(\[timeout)|(PRM\|1\|D)|(kpr)|(kdp)|(\|lc)|(penalty))"</v>
      </c>
      <c r="AG78" s="1" t="str">
        <f t="shared" si="37"/>
        <v>EC</v>
      </c>
      <c r="AH78" s="86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161-21 --locoid 4031 --swversion DE.1.0.9.0 --startMP 204:469 --initTime 2017-03-21T11:11:23 --startdatetime 2017-03-21T11:15:26 --delay 2 --endMP 204:233220 --enddatetime 2017-03-21T11:51:06 --enforcementcount 0 &gt;&gt;C:\Users\stu\Documents\GitHub\eaglep3-reporting\EC\2017-03-21-refined-times.txt</v>
      </c>
      <c r="AI78" s="108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{"issue":{"subject":"","project_id":79,"tracker_id":40,"status_id":1,"priority_id":2,"assigned_to_id":23,"start_date":"2017-03-21","description":"","custom_fields":[{"id":1,"name":"Subdivision","value":"EC"},{"id":4,"name":"Milepost","value":"23.322"},{"id":17,"name":"Train ID","value":"161-21"},{"id":16,"name":"Locomotive ID","value":"4031"},{"id":130,"name":"Impact","value":""},{"id":150,"name":"Time of Event (Mountain Time)","value":"11:51:06"},{"id":151,"name":"Denver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0">"start /low /b "&amp;dls3logs&amp;" --loco "&amp;B78&amp;" --day "&amp;TEXT(F78,"YYYY-MM-DD")</f>
        <v>start /low /b %USERPROFILE%\Documents\GitHub\eaglep3\Utilities\DownloadLogsFromS3.py --loco 4031 --day 2017-03-21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721</v>
      </c>
      <c r="B79" s="7">
        <v>4032</v>
      </c>
      <c r="C79" s="21" t="s">
        <v>221</v>
      </c>
      <c r="D79" s="21" t="s">
        <v>884</v>
      </c>
      <c r="E79" s="13">
        <v>42815.504513888889</v>
      </c>
      <c r="F79" s="13">
        <v>42815.507835648146</v>
      </c>
      <c r="G79" s="7">
        <v>1</v>
      </c>
      <c r="H79" s="21" t="s">
        <v>200</v>
      </c>
      <c r="I79" s="13">
        <v>42815.53534722222</v>
      </c>
      <c r="J79" s="7">
        <v>0</v>
      </c>
      <c r="K79" s="98" t="str">
        <f t="shared" si="27"/>
        <v>4031/4032</v>
      </c>
      <c r="L79" s="21" t="str">
        <f>VLOOKUP(A79,'Trips&amp;Operators'!$C$1:$G$99999,5,FALSE)</f>
        <v>STEWART MICHAEL</v>
      </c>
      <c r="M79" s="6">
        <f t="shared" si="28"/>
        <v>2.7511574073287193E-2</v>
      </c>
      <c r="N79" s="7">
        <f t="shared" si="25"/>
        <v>39.616666665533558</v>
      </c>
      <c r="O79" s="7"/>
      <c r="P79" s="7"/>
      <c r="Q79" s="22"/>
      <c r="R79" s="22"/>
      <c r="S79" s="31">
        <f t="shared" si="26"/>
        <v>1</v>
      </c>
      <c r="T79" s="46" t="str">
        <f t="shared" si="29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0"/>
        <v>https://d0f6bd738d7f1b3e5a7ca70fe4ff75f0.us-east-1.aws.found.io/app/kibana#/discover/Steve-Slow-Train-Analysis-(2080s-and-2083s)?_g=(refreshInterval:(display:Off,pause:!f,section:0,value:0),time:(from:'2017-03-21T11:06:30-0600',mode:absolute,to:'2017-03-21T13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87" t="str">
        <f t="shared" si="31"/>
        <v>N</v>
      </c>
      <c r="X79" s="187">
        <f t="shared" si="32"/>
        <v>1</v>
      </c>
      <c r="Y79" s="62">
        <f t="shared" si="22"/>
        <v>23.289000000000001</v>
      </c>
      <c r="Z79" s="62">
        <f t="shared" si="20"/>
        <v>1.5800000000000002E-2</v>
      </c>
      <c r="AA79" s="62">
        <f t="shared" si="33"/>
        <v>23.273200000000003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4"/>
        <v>0162-21</v>
      </c>
      <c r="AE79" s="85" t="str">
        <f t="shared" si="35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79" s="82" t="str">
        <f t="shared" si="36"/>
        <v>"C:\Program Files (x86)\AstroGrep\AstroGrep.exe" /e /r /s /spath="%USERPROFILE%\AppData\Local\Temp\OnboardLogs" /stypes="app*4032*20170321*" /stext=" 18:.+((SYSTEM_STATE.+slice.+state.+changed )|(ment ac)|(multiple cpu faults)|(system.+state.+changed )|(\[timeout)|(PRM\|1\|D)|(kpr)|(kdp)|(\|lc)|(penalty))"</v>
      </c>
      <c r="AG79" s="1" t="str">
        <f t="shared" si="37"/>
        <v>EC</v>
      </c>
      <c r="AH79" s="86" t="str">
        <f t="shared" si="38"/>
        <v>"%USERPROFILE%\Documents\GitHub\eaglep3\Utilities\RefineRTDCRunTimes.py" --tripid 162-21 --locoid 4032 --swversion DE.1.0.9.0 --startMP 204:232890 --initTime 2017-03-21T12:06:30 --startdatetime 2017-03-21T12:11:17 --delay 1 --endMP 204:158 --enddatetime 2017-03-21T12:50:54 --enforcementcount 0 &gt;&gt;C:\Users\stu\Documents\GitHub\eaglep3-reporting\EC\2017-03-21-refined-times.txt</v>
      </c>
      <c r="AI79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{"issue":{"subject":"","project_id":79,"tracker_id":40,"status_id":1,"priority_id":2,"assigned_to_id":23,"start_date":"2017-03-21","description":"","custom_fields":[{"id":1,"name":"Subdivision","value":"EC"},{"id":4,"name":"Milepost","value":"0.0158"},{"id":17,"name":"Train ID","value":"162-21"},{"id":16,"name":"Locomotive ID","value":"4032"},{"id":130,"name":"Impact","value":""},{"id":150,"name":"Time of Event (Mountain Time)","value":"12:50:54"},{"id":151,"name":"Denver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0"/>
        <v>start /low /b %USERPROFILE%\Documents\GitHub\eaglep3\Utilities\DownloadLogsFromS3.py --loco 4032 --day 2017-03-21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715</v>
      </c>
      <c r="B80" s="7">
        <v>4051</v>
      </c>
      <c r="C80" s="21" t="s">
        <v>221</v>
      </c>
      <c r="D80" s="21" t="s">
        <v>207</v>
      </c>
      <c r="E80" s="13">
        <v>42815.476875</v>
      </c>
      <c r="F80" s="13">
        <v>42815.479467592595</v>
      </c>
      <c r="G80" s="7">
        <v>1</v>
      </c>
      <c r="H80" s="21" t="s">
        <v>885</v>
      </c>
      <c r="I80" s="13">
        <v>42815.505266203705</v>
      </c>
      <c r="J80" s="7">
        <v>0</v>
      </c>
      <c r="K80" s="98" t="str">
        <f t="shared" si="27"/>
        <v>4051/4052</v>
      </c>
      <c r="L80" s="21" t="str">
        <f>VLOOKUP(A80,'Trips&amp;Operators'!$C$1:$G$99999,5,FALSE)</f>
        <v>MENGES BRAD</v>
      </c>
      <c r="M80" s="6">
        <f t="shared" si="28"/>
        <v>2.5798611110076308E-2</v>
      </c>
      <c r="N80" s="7">
        <f t="shared" si="25"/>
        <v>37.149999998509884</v>
      </c>
      <c r="O80" s="7"/>
      <c r="P80" s="7"/>
      <c r="Q80" s="22"/>
      <c r="R80" s="22"/>
      <c r="S80" s="31">
        <f t="shared" si="26"/>
        <v>1</v>
      </c>
      <c r="T80" s="46" t="str">
        <f t="shared" si="29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0"/>
        <v>https://d0f6bd738d7f1b3e5a7ca70fe4ff75f0.us-east-1.aws.found.io/app/kibana#/discover/Steve-Slow-Train-Analysis-(2080s-and-2083s)?_g=(refreshInterval:(display:Off,pause:!f,section:0,value:0),time:(from:'2017-03-21T10:26:42-0600',mode:absolute,to:'2017-03-21T13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7" t="str">
        <f t="shared" si="31"/>
        <v>N</v>
      </c>
      <c r="X80" s="187">
        <f t="shared" si="32"/>
        <v>1</v>
      </c>
      <c r="Y80" s="62">
        <f t="shared" si="22"/>
        <v>4.5100000000000001E-2</v>
      </c>
      <c r="Z80" s="62">
        <f t="shared" si="20"/>
        <v>23.329799999999999</v>
      </c>
      <c r="AA80" s="62">
        <f t="shared" si="33"/>
        <v>23.284699999999997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4"/>
        <v>0163-21</v>
      </c>
      <c r="AE80" s="85" t="str">
        <f t="shared" si="35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80" s="82" t="str">
        <f t="shared" si="36"/>
        <v>"C:\Program Files (x86)\AstroGrep\AstroGrep.exe" /e /r /s /spath="%USERPROFILE%\AppData\Local\Temp\OnboardLogs" /stypes="app*4051*20170321*" /stext=" 18:.+((SYSTEM_STATE.+slice.+state.+changed )|(ment ac)|(multiple cpu faults)|(system.+state.+changed )|(\[timeout)|(PRM\|1\|D)|(kpr)|(kdp)|(\|lc)|(penalty))"</v>
      </c>
      <c r="AG80" s="1" t="str">
        <f t="shared" si="37"/>
        <v>EC</v>
      </c>
      <c r="AH80" s="86" t="str">
        <f t="shared" si="38"/>
        <v>"%USERPROFILE%\Documents\GitHub\eaglep3\Utilities\RefineRTDCRunTimes.py" --tripid 163-21 --locoid 4051 --swversion DE.1.0.9.0 --startMP 204:451 --initTime 2017-03-21T11:26:42 --startdatetime 2017-03-21T11:30:26 --delay 1 --endMP 204:233298 --enddatetime 2017-03-21T12:07:35 --enforcementcount 0 &gt;&gt;C:\Users\stu\Documents\GitHub\eaglep3-reporting\EC\2017-03-21-refined-times.txt</v>
      </c>
      <c r="AI80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{"issue":{"subject":"","project_id":79,"tracker_id":40,"status_id":1,"priority_id":2,"assigned_to_id":23,"start_date":"2017-03-21","description":"","custom_fields":[{"id":1,"name":"Subdivision","value":"EC"},{"id":4,"name":"Milepost","value":"23.3298"},{"id":17,"name":"Train ID","value":"163-21"},{"id":16,"name":"Locomotive ID","value":"4051"},{"id":130,"name":"Impact","value":""},{"id":150,"name":"Time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0"/>
        <v>start /low /b %USERPROFILE%\Documents\GitHub\eaglep3\Utilities\DownloadLogsFromS3.py --loco 4051 --day 2017-03-21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723</v>
      </c>
      <c r="B81" s="7">
        <v>4052</v>
      </c>
      <c r="C81" s="21" t="s">
        <v>221</v>
      </c>
      <c r="D81" s="21" t="s">
        <v>485</v>
      </c>
      <c r="E81" s="13">
        <v>42815.511620370373</v>
      </c>
      <c r="F81" s="13">
        <v>42815.518229166664</v>
      </c>
      <c r="G81" s="7">
        <v>1</v>
      </c>
      <c r="H81" s="21" t="s">
        <v>184</v>
      </c>
      <c r="I81" s="13">
        <v>42815.548043981478</v>
      </c>
      <c r="J81" s="7">
        <v>0</v>
      </c>
      <c r="K81" s="98" t="str">
        <f t="shared" si="27"/>
        <v>4051/4052</v>
      </c>
      <c r="L81" s="21" t="str">
        <f>VLOOKUP(A81,'Trips&amp;Operators'!$C$1:$G$99999,5,FALSE)</f>
        <v>MENGES BRAD</v>
      </c>
      <c r="M81" s="6">
        <f t="shared" si="28"/>
        <v>2.9814814814017154E-2</v>
      </c>
      <c r="N81" s="7">
        <f t="shared" si="25"/>
        <v>42.933333332184702</v>
      </c>
      <c r="O81" s="7"/>
      <c r="P81" s="7"/>
      <c r="Q81" s="22"/>
      <c r="R81" s="22"/>
      <c r="S81" s="31">
        <f t="shared" si="26"/>
        <v>1</v>
      </c>
      <c r="T81" s="46" t="str">
        <f t="shared" si="29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0"/>
        <v>https://d0f6bd738d7f1b3e5a7ca70fe4ff75f0.us-east-1.aws.found.io/app/kibana#/discover/Steve-Slow-Train-Analysis-(2080s-and-2083s)?_g=(refreshInterval:(display:Off,pause:!f,section:0,value:0),time:(from:'2017-03-21T11:16:44-0600',mode:absolute,to:'2017-03-21T14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1" s="187" t="str">
        <f t="shared" si="31"/>
        <v>N</v>
      </c>
      <c r="X81" s="187">
        <f t="shared" si="32"/>
        <v>1</v>
      </c>
      <c r="Y81" s="62">
        <f t="shared" ref="Y81:Y102" si="41">RIGHT(D81,LEN(D81)-4)/10000</f>
        <v>23.298300000000001</v>
      </c>
      <c r="Z81" s="62">
        <f t="shared" si="20"/>
        <v>1.49E-2</v>
      </c>
      <c r="AA81" s="62">
        <f t="shared" si="33"/>
        <v>23.2834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4"/>
        <v>0164-21</v>
      </c>
      <c r="AE81" s="85" t="str">
        <f t="shared" si="35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81" s="82" t="str">
        <f t="shared" si="36"/>
        <v>"C:\Program Files (x86)\AstroGrep\AstroGrep.exe" /e /r /s /spath="%USERPROFILE%\AppData\Local\Temp\OnboardLogs" /stypes="app*4052*20170321*" /stext=" 19:.+((SYSTEM_STATE.+slice.+state.+changed )|(ment ac)|(multiple cpu faults)|(system.+state.+changed )|(\[timeout)|(PRM\|1\|D)|(kpr)|(kdp)|(\|lc)|(penalty))"</v>
      </c>
      <c r="AG81" s="1" t="str">
        <f t="shared" si="37"/>
        <v>EC</v>
      </c>
      <c r="AH81" s="86" t="str">
        <f t="shared" si="38"/>
        <v>"%USERPROFILE%\Documents\GitHub\eaglep3\Utilities\RefineRTDCRunTimes.py" --tripid 164-21 --locoid 4052 --swversion DE.1.0.9.0 --startMP 204:232983 --initTime 2017-03-21T12:16:44 --startdatetime 2017-03-21T12:26:15 --delay 1 --endMP 204:149 --enddatetime 2017-03-21T13:09:11 --enforcementcount 0 &gt;&gt;C:\Users\stu\Documents\GitHub\eaglep3-reporting\EC\2017-03-21-refined-times.txt</v>
      </c>
      <c r="AI81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{"issue":{"subject":"","project_id":79,"tracker_id":40,"status_id":1,"priority_id":2,"assigned_to_id":23,"start_date":"2017-03-21","description":"","custom_fields":[{"id":1,"name":"Subdivision","value":"EC"},{"id":4,"name":"Milepost","value":"0.0149"},{"id":17,"name":"Train ID","value":"164-21"},{"id":16,"name":"Locomotive ID","value":"4052"},{"id":130,"name":"Impact","value":""},{"id":150,"name":"Time of Event (Mountain Time)","value":"13:09:11"},{"id":151,"name":"Denver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0"/>
        <v>start /low /b %USERPROFILE%\Documents\GitHub\eaglep3\Utilities\DownloadLogsFromS3.py --loco 4052 --day 2017-03-21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718</v>
      </c>
      <c r="B82" s="7">
        <v>4025</v>
      </c>
      <c r="C82" s="21" t="s">
        <v>221</v>
      </c>
      <c r="D82" s="21" t="s">
        <v>209</v>
      </c>
      <c r="E82" s="13">
        <v>42815.486747685187</v>
      </c>
      <c r="F82" s="13">
        <v>42815.489733796298</v>
      </c>
      <c r="G82" s="7">
        <v>1</v>
      </c>
      <c r="H82" s="21" t="s">
        <v>510</v>
      </c>
      <c r="I82" s="13">
        <v>42815.516041666669</v>
      </c>
      <c r="J82" s="7">
        <v>0</v>
      </c>
      <c r="K82" s="98" t="str">
        <f t="shared" si="27"/>
        <v>4025/4026</v>
      </c>
      <c r="L82" s="21" t="str">
        <f>VLOOKUP(A82,'Trips&amp;Operators'!$C$1:$G$99999,5,FALSE)</f>
        <v>CLARK KATHLEEN</v>
      </c>
      <c r="M82" s="6">
        <f t="shared" si="28"/>
        <v>2.6307870371965691E-2</v>
      </c>
      <c r="N82" s="7">
        <f t="shared" si="25"/>
        <v>37.883333335630596</v>
      </c>
      <c r="O82" s="7"/>
      <c r="P82" s="7"/>
      <c r="Q82" s="22"/>
      <c r="R82" s="22"/>
      <c r="S82" s="31">
        <f t="shared" si="26"/>
        <v>1</v>
      </c>
      <c r="T82" s="46" t="str">
        <f t="shared" si="29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0"/>
        <v>https://d0f6bd738d7f1b3e5a7ca70fe4ff75f0.us-east-1.aws.found.io/app/kibana#/discover/Steve-Slow-Train-Analysis-(2080s-and-2083s)?_g=(refreshInterval:(display:Off,pause:!f,section:0,value:0),time:(from:'2017-03-21T10:40:55-0600',mode:absolute,to:'2017-03-21T13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2" s="187" t="str">
        <f t="shared" si="31"/>
        <v>N</v>
      </c>
      <c r="X82" s="187">
        <f t="shared" si="32"/>
        <v>1</v>
      </c>
      <c r="Y82" s="62">
        <f t="shared" si="41"/>
        <v>4.5999999999999999E-2</v>
      </c>
      <c r="Z82" s="62">
        <f t="shared" si="20"/>
        <v>23.327999999999999</v>
      </c>
      <c r="AA82" s="62">
        <f t="shared" si="33"/>
        <v>23.282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4"/>
        <v>0165-21</v>
      </c>
      <c r="AE82" s="85" t="str">
        <f t="shared" si="35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82" s="82" t="str">
        <f t="shared" si="36"/>
        <v>"C:\Program Files (x86)\AstroGrep\AstroGrep.exe" /e /r /s /spath="%USERPROFILE%\AppData\Local\Temp\OnboardLogs" /stypes="app*4025*20170321*" /stext=" 18:.+((SYSTEM_STATE.+slice.+state.+changed )|(ment ac)|(multiple cpu faults)|(system.+state.+changed )|(\[timeout)|(PRM\|1\|D)|(kpr)|(kdp)|(\|lc)|(penalty))"</v>
      </c>
      <c r="AG82" s="1" t="str">
        <f t="shared" si="37"/>
        <v>EC</v>
      </c>
      <c r="AH82" s="86" t="str">
        <f t="shared" si="38"/>
        <v>"%USERPROFILE%\Documents\GitHub\eaglep3\Utilities\RefineRTDCRunTimes.py" --tripid 165-21 --locoid 4025 --swversion DE.1.0.9.0 --startMP 204:460 --initTime 2017-03-21T11:40:55 --startdatetime 2017-03-21T11:45:13 --delay 1 --endMP 204:233280 --enddatetime 2017-03-21T12:23:06 --enforcementcount 0 &gt;&gt;C:\Users\stu\Documents\GitHub\eaglep3-reporting\EC\2017-03-21-refined-times.txt</v>
      </c>
      <c r="AI82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{"issue":{"subject":"","project_id":79,"tracker_id":40,"status_id":1,"priority_id":2,"assigned_to_id":23,"start_date":"2017-03-21","description":"","custom_fields":[{"id":1,"name":"Subdivision","value":"EC"},{"id":4,"name":"Milepost","value":"23.328"},{"id":17,"name":"Train ID","value":"165-21"},{"id":16,"name":"Locomotive ID","value":"4025"},{"id":130,"name":"Impact","value":""},{"id":150,"name":"Time of Event (Mountain Time)","value":"12:23:06"},{"id":151,"name":"Denver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0"/>
        <v>start /low /b %USERPROFILE%\Documents\GitHub\eaglep3\Utilities\DownloadLogsFromS3.py --loco 4025 --day 2017-03-21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728</v>
      </c>
      <c r="B83" s="7">
        <v>4026</v>
      </c>
      <c r="C83" s="21" t="s">
        <v>221</v>
      </c>
      <c r="D83" s="21" t="s">
        <v>886</v>
      </c>
      <c r="E83" s="13">
        <v>42815.525208333333</v>
      </c>
      <c r="F83" s="13">
        <v>42815.528645833336</v>
      </c>
      <c r="G83" s="7">
        <v>1</v>
      </c>
      <c r="H83" s="21" t="s">
        <v>887</v>
      </c>
      <c r="I83" s="13">
        <v>42815.559513888889</v>
      </c>
      <c r="J83" s="7">
        <v>0</v>
      </c>
      <c r="K83" s="98" t="str">
        <f t="shared" si="27"/>
        <v>4025/4026</v>
      </c>
      <c r="L83" s="21" t="str">
        <f>VLOOKUP(A83,'Trips&amp;Operators'!$C$1:$G$99999,5,FALSE)</f>
        <v>CLARK KATHLEEN</v>
      </c>
      <c r="M83" s="6">
        <f t="shared" si="28"/>
        <v>3.0868055553582963E-2</v>
      </c>
      <c r="N83" s="7">
        <f t="shared" si="25"/>
        <v>44.449999997159466</v>
      </c>
      <c r="O83" s="7"/>
      <c r="P83" s="7"/>
      <c r="Q83" s="22"/>
      <c r="R83" s="22"/>
      <c r="S83" s="31">
        <f t="shared" si="26"/>
        <v>1</v>
      </c>
      <c r="T83" s="46" t="str">
        <f t="shared" si="29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0"/>
        <v>https://d0f6bd738d7f1b3e5a7ca70fe4ff75f0.us-east-1.aws.found.io/app/kibana#/discover/Steve-Slow-Train-Analysis-(2080s-and-2083s)?_g=(refreshInterval:(display:Off,pause:!f,section:0,value:0),time:(from:'2017-03-21T11:36:18-0600',mode:absolute,to:'2017-03-21T14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87" t="str">
        <f t="shared" si="31"/>
        <v>N</v>
      </c>
      <c r="X83" s="187">
        <f t="shared" si="32"/>
        <v>1</v>
      </c>
      <c r="Y83" s="62">
        <f t="shared" si="41"/>
        <v>23.295500000000001</v>
      </c>
      <c r="Z83" s="62">
        <f t="shared" si="20"/>
        <v>2.07E-2</v>
      </c>
      <c r="AA83" s="62">
        <f t="shared" si="33"/>
        <v>23.274799999999999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4"/>
        <v>0166-21</v>
      </c>
      <c r="AE83" s="85" t="str">
        <f t="shared" si="35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83" s="82" t="str">
        <f t="shared" si="36"/>
        <v>"C:\Program Files (x86)\AstroGrep\AstroGrep.exe" /e /r /s /spath="%USERPROFILE%\AppData\Local\Temp\OnboardLogs" /stypes="app*4026*20170321*" /stext=" 19:.+((SYSTEM_STATE.+slice.+state.+changed )|(ment ac)|(multiple cpu faults)|(system.+state.+changed )|(\[timeout)|(PRM\|1\|D)|(kpr)|(kdp)|(\|lc)|(penalty))"</v>
      </c>
      <c r="AG83" s="1" t="str">
        <f t="shared" si="37"/>
        <v>EC</v>
      </c>
      <c r="AH83" s="86" t="str">
        <f t="shared" si="38"/>
        <v>"%USERPROFILE%\Documents\GitHub\eaglep3\Utilities\RefineRTDCRunTimes.py" --tripid 166-21 --locoid 4026 --swversion DE.1.0.9.0 --startMP 204:232955 --initTime 2017-03-21T12:36:18 --startdatetime 2017-03-21T12:41:15 --delay 1 --endMP 204:207 --enddatetime 2017-03-21T13:25:42 --enforcementcount 0 &gt;&gt;C:\Users\stu\Documents\GitHub\eaglep3-reporting\EC\2017-03-21-refined-times.txt</v>
      </c>
      <c r="AI83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{"issue":{"subject":"","project_id":79,"tracker_id":40,"status_id":1,"priority_id":2,"assigned_to_id":23,"start_date":"2017-03-21","description":"","custom_fields":[{"id":1,"name":"Subdivision","value":"EC"},{"id":4,"name":"Milepost","value":"0.0207"},{"id":17,"name":"Train ID","value":"166-21"},{"id":16,"name":"Locomotive ID","value":"4026"},{"id":130,"name":"Impact","value":""},{"id":150,"name":"Time of Event (Mountain Time)","value":"13:25:42"},{"id":151,"name":"Denver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0"/>
        <v>start /low /b %USERPROFILE%\Documents\GitHub\eaglep3\Utilities\DownloadLogsFromS3.py --loco 4026 --day 2017-03-21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720</v>
      </c>
      <c r="B84" s="7">
        <v>4044</v>
      </c>
      <c r="C84" s="21" t="s">
        <v>221</v>
      </c>
      <c r="D84" s="21" t="s">
        <v>523</v>
      </c>
      <c r="E84" s="13">
        <v>42815.497442129628</v>
      </c>
      <c r="F84" s="13">
        <v>42815.500358796293</v>
      </c>
      <c r="G84" s="7">
        <v>1</v>
      </c>
      <c r="H84" s="21" t="s">
        <v>512</v>
      </c>
      <c r="I84" s="13">
        <v>42815.52611111111</v>
      </c>
      <c r="J84" s="7">
        <v>0</v>
      </c>
      <c r="K84" s="98" t="str">
        <f t="shared" si="27"/>
        <v>4043/4044</v>
      </c>
      <c r="L84" s="21" t="str">
        <f>VLOOKUP(A84,'Trips&amp;Operators'!$C$1:$G$99999,5,FALSE)</f>
        <v>LOCKLEAR TRAVIS</v>
      </c>
      <c r="M84" s="6">
        <f t="shared" si="28"/>
        <v>2.5752314817509614E-2</v>
      </c>
      <c r="N84" s="7">
        <f t="shared" si="25"/>
        <v>37.083333337213844</v>
      </c>
      <c r="O84" s="7"/>
      <c r="P84" s="7"/>
      <c r="Q84" s="22"/>
      <c r="R84" s="22"/>
      <c r="S84" s="31">
        <f t="shared" si="26"/>
        <v>1</v>
      </c>
      <c r="T84" s="46" t="str">
        <f t="shared" si="29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0"/>
        <v>https://d0f6bd738d7f1b3e5a7ca70fe4ff75f0.us-east-1.aws.found.io/app/kibana#/discover/Steve-Slow-Train-Analysis-(2080s-and-2083s)?_g=(refreshInterval:(display:Off,pause:!f,section:0,value:0),time:(from:'2017-03-21T10:56:19-0600',mode:absolute,to:'2017-03-21T13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87" t="str">
        <f t="shared" si="31"/>
        <v>N</v>
      </c>
      <c r="X84" s="187">
        <f t="shared" si="32"/>
        <v>1</v>
      </c>
      <c r="Y84" s="62">
        <f t="shared" si="41"/>
        <v>4.8399999999999999E-2</v>
      </c>
      <c r="Z84" s="62">
        <f t="shared" si="20"/>
        <v>23.333400000000001</v>
      </c>
      <c r="AA84" s="62">
        <f t="shared" si="33"/>
        <v>23.285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4"/>
        <v>0167-21</v>
      </c>
      <c r="AE84" s="85" t="str">
        <f t="shared" si="35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84" s="82" t="str">
        <f t="shared" si="36"/>
        <v>"C:\Program Files (x86)\AstroGrep\AstroGrep.exe" /e /r /s /spath="%USERPROFILE%\AppData\Local\Temp\OnboardLogs" /stypes="app*4044*20170321*" /stext=" 18:.+((SYSTEM_STATE.+slice.+state.+changed )|(ment ac)|(multiple cpu faults)|(system.+state.+changed )|(\[timeout)|(PRM\|1\|D)|(kpr)|(kdp)|(\|lc)|(penalty))"</v>
      </c>
      <c r="AG84" s="1" t="str">
        <f t="shared" si="37"/>
        <v>EC</v>
      </c>
      <c r="AH84" s="86" t="str">
        <f t="shared" si="38"/>
        <v>"%USERPROFILE%\Documents\GitHub\eaglep3\Utilities\RefineRTDCRunTimes.py" --tripid 167-21 --locoid 4044 --swversion DE.1.0.9.0 --startMP 204:484 --initTime 2017-03-21T11:56:19 --startdatetime 2017-03-21T12:00:31 --delay 1 --endMP 204:233334 --enddatetime 2017-03-21T12:37:36 --enforcementcount 0 &gt;&gt;C:\Users\stu\Documents\GitHub\eaglep3-reporting\EC\2017-03-21-refined-times.txt</v>
      </c>
      <c r="AI84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{"issue":{"subject":"","project_id":79,"tracker_id":40,"status_id":1,"priority_id":2,"assigned_to_id":23,"start_date":"2017-03-21","description":"","custom_fields":[{"id":1,"name":"Subdivision","value":"EC"},{"id":4,"name":"Milepost","value":"23.3334"},{"id":17,"name":"Train ID","value":"167-21"},{"id":16,"name":"Locomotive ID","value":"4044"},{"id":130,"name":"Impact","value":""},{"id":150,"name":"Time of Event (Mountain Time)","value":"12:37:36"},{"id":151,"name":"Denver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0"/>
        <v>start /low /b %USERPROFILE%\Documents\GitHub\eaglep3\Utilities\DownloadLogsFromS3.py --loco 4044 --day 2017-03-21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617</v>
      </c>
      <c r="B85" s="7">
        <v>4043</v>
      </c>
      <c r="C85" s="21" t="s">
        <v>221</v>
      </c>
      <c r="D85" s="21" t="s">
        <v>480</v>
      </c>
      <c r="E85" s="13">
        <v>42815.536539351851</v>
      </c>
      <c r="F85" s="13">
        <v>42815.5390625</v>
      </c>
      <c r="G85" s="7">
        <v>1</v>
      </c>
      <c r="H85" s="21" t="s">
        <v>433</v>
      </c>
      <c r="I85" s="13">
        <v>42815.569641203707</v>
      </c>
      <c r="J85" s="7">
        <v>0</v>
      </c>
      <c r="K85" s="98" t="str">
        <f t="shared" si="27"/>
        <v>4043/4044</v>
      </c>
      <c r="L85" s="21" t="str">
        <f>VLOOKUP(A85,'Trips&amp;Operators'!$C$1:$G$99999,5,FALSE)</f>
        <v>LOCKLEAR TRAVIS</v>
      </c>
      <c r="M85" s="6">
        <f t="shared" si="28"/>
        <v>3.0578703706851229E-2</v>
      </c>
      <c r="N85" s="7">
        <f t="shared" si="25"/>
        <v>44.03333333786577</v>
      </c>
      <c r="O85" s="7"/>
      <c r="P85" s="7"/>
      <c r="Q85" s="22"/>
      <c r="R85" s="22"/>
      <c r="S85" s="31">
        <f t="shared" si="26"/>
        <v>1</v>
      </c>
      <c r="T85" s="46" t="str">
        <f t="shared" si="29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0"/>
        <v>https://d0f6bd738d7f1b3e5a7ca70fe4ff75f0.us-east-1.aws.found.io/app/kibana#/discover/Steve-Slow-Train-Analysis-(2080s-and-2083s)?_g=(refreshInterval:(display:Off,pause:!f,section:0,value:0),time:(from:'2017-03-21T11:52:37-0600',mode:absolute,to:'2017-03-21T14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87" t="str">
        <f t="shared" si="31"/>
        <v>N</v>
      </c>
      <c r="X85" s="187">
        <f t="shared" si="32"/>
        <v>1</v>
      </c>
      <c r="Y85" s="62">
        <f t="shared" si="41"/>
        <v>23.302099999999999</v>
      </c>
      <c r="Z85" s="62">
        <f t="shared" si="20"/>
        <v>1.6E-2</v>
      </c>
      <c r="AA85" s="62">
        <f t="shared" si="33"/>
        <v>23.286100000000001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4"/>
        <v>0168-21</v>
      </c>
      <c r="AE85" s="85" t="str">
        <f t="shared" si="35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85" s="82" t="str">
        <f t="shared" si="36"/>
        <v>"C:\Program Files (x86)\AstroGrep\AstroGrep.exe" /e /r /s /spath="%USERPROFILE%\AppData\Local\Temp\OnboardLogs" /stypes="app*4043*20170321*" /stext=" 19:.+((SYSTEM_STATE.+slice.+state.+changed )|(ment ac)|(multiple cpu faults)|(system.+state.+changed )|(\[timeout)|(PRM\|1\|D)|(kpr)|(kdp)|(\|lc)|(penalty))"</v>
      </c>
      <c r="AG85" s="1" t="str">
        <f t="shared" si="37"/>
        <v>EC</v>
      </c>
      <c r="AH85" s="86" t="str">
        <f t="shared" si="38"/>
        <v>"%USERPROFILE%\Documents\GitHub\eaglep3\Utilities\RefineRTDCRunTimes.py" --tripid 168-21 --locoid 4043 --swversion DE.1.0.9.0 --startMP 204:233021 --initTime 2017-03-21T12:52:37 --startdatetime 2017-03-21T12:56:15 --delay 1 --endMP 204:160 --enddatetime 2017-03-21T13:40:17 --enforcementcount 0 &gt;&gt;C:\Users\stu\Documents\GitHub\eaglep3-reporting\EC\2017-03-21-refined-times.txt</v>
      </c>
      <c r="AI85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{"issue":{"subject":"","project_id":79,"tracker_id":40,"status_id":1,"priority_id":2,"assigned_to_id":23,"start_date":"2017-03-21","description":"","custom_fields":[{"id":1,"name":"Subdivision","value":"EC"},{"id":4,"name":"Milepost","value":"0.016"},{"id":17,"name":"Train ID","value":"168-21"},{"id":16,"name":"Locomotive ID","value":"4043"},{"id":130,"name":"Impact","value":""},{"id":150,"name":"Time of Event (Mountain Time)","value":"13:40:17"},{"id":151,"name":"Denver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0"/>
        <v>start /low /b %USERPROFILE%\Documents\GitHub\eaglep3\Utilities\DownloadLogsFromS3.py --loco 4043 --day 2017-03-21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"%USERPROFILE%\AppData\Local\Temp\OnboardLogs"\RTDC4043\*4043*20170321* | grep -SE "(Enforcement Action)|(\[TIMEOUT)|(CHR.+\|PRM\|1\|D.+(SWITCH|SIGNAL).+UNKNOWN)" - &gt;&gt; 2017-03-21-UncaughtWiMAX.txt</v>
      </c>
    </row>
    <row r="86" spans="1:91" s="20" customFormat="1" x14ac:dyDescent="0.25">
      <c r="A86" s="33" t="s">
        <v>616</v>
      </c>
      <c r="B86" s="7">
        <v>4024</v>
      </c>
      <c r="C86" s="21" t="s">
        <v>221</v>
      </c>
      <c r="D86" s="21" t="s">
        <v>226</v>
      </c>
      <c r="E86" s="13">
        <v>42815.506493055553</v>
      </c>
      <c r="F86" s="13">
        <v>42815.510567129626</v>
      </c>
      <c r="G86" s="7">
        <v>2</v>
      </c>
      <c r="H86" s="21" t="s">
        <v>888</v>
      </c>
      <c r="I86" s="13">
        <v>42815.534907407404</v>
      </c>
      <c r="J86" s="7">
        <v>0</v>
      </c>
      <c r="K86" s="98" t="str">
        <f t="shared" si="27"/>
        <v>4023/4024</v>
      </c>
      <c r="L86" s="21" t="str">
        <f>VLOOKUP(A86,'Trips&amp;Operators'!$C$1:$G$99999,5,FALSE)</f>
        <v>ROMERO CHAD</v>
      </c>
      <c r="M86" s="6">
        <f t="shared" si="28"/>
        <v>2.4340277777810115E-2</v>
      </c>
      <c r="N86" s="7">
        <f t="shared" si="25"/>
        <v>35.050000000046566</v>
      </c>
      <c r="O86" s="7"/>
      <c r="P86" s="7"/>
      <c r="Q86" s="22"/>
      <c r="R86" s="22"/>
      <c r="S86" s="31">
        <f t="shared" si="26"/>
        <v>1</v>
      </c>
      <c r="T86" s="46" t="str">
        <f t="shared" si="29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0"/>
        <v>https://d0f6bd738d7f1b3e5a7ca70fe4ff75f0.us-east-1.aws.found.io/app/kibana#/discover/Steve-Slow-Train-Analysis-(2080s-and-2083s)?_g=(refreshInterval:(display:Off,pause:!f,section:0,value:0),time:(from:'2017-03-21T11:09:21-0600',mode:absolute,to:'2017-03-21T13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6" s="187" t="str">
        <f t="shared" si="31"/>
        <v>N</v>
      </c>
      <c r="X86" s="187">
        <f t="shared" si="32"/>
        <v>1</v>
      </c>
      <c r="Y86" s="62">
        <f t="shared" si="41"/>
        <v>4.6899999999999997E-2</v>
      </c>
      <c r="Z86" s="62">
        <f t="shared" si="20"/>
        <v>23.338699999999999</v>
      </c>
      <c r="AA86" s="62">
        <f t="shared" si="33"/>
        <v>23.291799999999999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4"/>
        <v>0169-21</v>
      </c>
      <c r="AE86" s="85" t="str">
        <f t="shared" si="35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86" s="82" t="str">
        <f t="shared" si="36"/>
        <v>"C:\Program Files (x86)\AstroGrep\AstroGrep.exe" /e /r /s /spath="%USERPROFILE%\AppData\Local\Temp\OnboardLogs" /stypes="app*4024*20170321*" /stext=" 18:.+((SYSTEM_STATE.+slice.+state.+changed )|(ment ac)|(multiple cpu faults)|(system.+state.+changed )|(\[timeout)|(PRM\|1\|D)|(kpr)|(kdp)|(\|lc)|(penalty))"</v>
      </c>
      <c r="AG86" s="1" t="str">
        <f t="shared" si="37"/>
        <v>EC</v>
      </c>
      <c r="AH86" s="86" t="str">
        <f t="shared" si="38"/>
        <v>"%USERPROFILE%\Documents\GitHub\eaglep3\Utilities\RefineRTDCRunTimes.py" --tripid 169-21 --locoid 4024 --swversion DE.1.0.9.0 --startMP 204:469 --initTime 2017-03-21T12:09:21 --startdatetime 2017-03-21T12:15:13 --delay 2 --endMP 204:233387 --enddatetime 2017-03-21T12:50:16 --enforcementcount 0 &gt;&gt;C:\Users\stu\Documents\GitHub\eaglep3-reporting\EC\2017-03-21-refined-times.txt</v>
      </c>
      <c r="AI86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{"issue":{"subject":"","project_id":79,"tracker_id":40,"status_id":1,"priority_id":2,"assigned_to_id":23,"start_date":"2017-03-21","description":"","custom_fields":[{"id":1,"name":"Subdivision","value":"EC"},{"id":4,"name":"Milepost","value":"23.3387"},{"id":17,"name":"Train ID","value":"169-21"},{"id":16,"name":"Locomotive ID","value":"4024"},{"id":130,"name":"Impact","value":""},{"id":150,"name":"Time of Event (Mountain Time)","value":"12:50:16"},{"id":151,"name":"Denver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0"/>
        <v>start /low /b %USERPROFILE%\Documents\GitHub\eaglep3\Utilities\DownloadLogsFromS3.py --loco 4024 --day 2017-03-21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730</v>
      </c>
      <c r="B87" s="7">
        <v>4023</v>
      </c>
      <c r="C87" s="21" t="s">
        <v>221</v>
      </c>
      <c r="D87" s="21" t="s">
        <v>889</v>
      </c>
      <c r="E87" s="13">
        <v>42815.537303240744</v>
      </c>
      <c r="F87" s="13">
        <v>42815.549560185187</v>
      </c>
      <c r="G87" s="7">
        <v>2</v>
      </c>
      <c r="H87" s="21" t="s">
        <v>417</v>
      </c>
      <c r="I87" s="13">
        <v>42815.579421296294</v>
      </c>
      <c r="J87" s="7">
        <v>0</v>
      </c>
      <c r="K87" s="98" t="str">
        <f t="shared" si="27"/>
        <v>4023/4024</v>
      </c>
      <c r="L87" s="21" t="str">
        <f>VLOOKUP(A87,'Trips&amp;Operators'!$C$1:$G$99999,5,FALSE)</f>
        <v>ROMERO CHAD</v>
      </c>
      <c r="M87" s="6">
        <f t="shared" si="28"/>
        <v>2.9861111106583849E-2</v>
      </c>
      <c r="N87" s="7">
        <f t="shared" si="25"/>
        <v>42.999999993480742</v>
      </c>
      <c r="O87" s="7"/>
      <c r="P87" s="7"/>
      <c r="Q87" s="22"/>
      <c r="R87" s="22"/>
      <c r="S87" s="31">
        <f t="shared" si="26"/>
        <v>1</v>
      </c>
      <c r="T87" s="46" t="str">
        <f t="shared" si="29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0"/>
        <v>https://d0f6bd738d7f1b3e5a7ca70fe4ff75f0.us-east-1.aws.found.io/app/kibana#/discover/Steve-Slow-Train-Analysis-(2080s-and-2083s)?_g=(refreshInterval:(display:Off,pause:!f,section:0,value:0),time:(from:'2017-03-21T11:53:43-0600',mode:absolute,to:'2017-03-21T14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7" s="187" t="str">
        <f t="shared" si="31"/>
        <v>N</v>
      </c>
      <c r="X87" s="187">
        <f t="shared" si="32"/>
        <v>1</v>
      </c>
      <c r="Y87" s="62">
        <f t="shared" si="41"/>
        <v>23.3096</v>
      </c>
      <c r="Z87" s="62">
        <f t="shared" si="20"/>
        <v>1.3599999999999999E-2</v>
      </c>
      <c r="AA87" s="62">
        <f t="shared" si="33"/>
        <v>23.295999999999999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4"/>
        <v>0170-21</v>
      </c>
      <c r="AE87" s="85" t="str">
        <f t="shared" si="35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87" s="82" t="str">
        <f t="shared" si="36"/>
        <v>"C:\Program Files (x86)\AstroGrep\AstroGrep.exe" /e /r /s /spath="%USERPROFILE%\AppData\Local\Temp\OnboardLogs" /stypes="app*4023*20170321*" /stext=" 19:.+((SYSTEM_STATE.+slice.+state.+changed )|(ment ac)|(multiple cpu faults)|(system.+state.+changed )|(\[timeout)|(PRM\|1\|D)|(kpr)|(kdp)|(\|lc)|(penalty))"</v>
      </c>
      <c r="AG87" s="1" t="str">
        <f t="shared" si="37"/>
        <v>EC</v>
      </c>
      <c r="AH87" s="86" t="str">
        <f t="shared" si="38"/>
        <v>"%USERPROFILE%\Documents\GitHub\eaglep3\Utilities\RefineRTDCRunTimes.py" --tripid 170-21 --locoid 4023 --swversion DE.1.0.9.0 --startMP 204:233096 --initTime 2017-03-21T12:53:43 --startdatetime 2017-03-21T13:11:22 --delay 2 --endMP 204:136 --enddatetime 2017-03-21T13:54:22 --enforcementcount 0 &gt;&gt;C:\Users\stu\Documents\GitHub\eaglep3-reporting\EC\2017-03-21-refined-times.txt</v>
      </c>
      <c r="AI87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{"issue":{"subject":"","project_id":79,"tracker_id":40,"status_id":1,"priority_id":2,"assigned_to_id":23,"start_date":"2017-03-21","description":"","custom_fields":[{"id":1,"name":"Subdivision","value":"EC"},{"id":4,"name":"Milepost","value":"0.0136"},{"id":17,"name":"Train ID","value":"170-21"},{"id":16,"name":"Locomotive ID","value":"4023"},{"id":130,"name":"Impact","value":""},{"id":150,"name":"Time of Event (Mountain Time)","value":"13:54:22"},{"id":151,"name":"Denver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0"/>
        <v>start /low /b %USERPROFILE%\Documents\GitHub\eaglep3\Utilities\DownloadLogsFromS3.py --loco 4023 --day 2017-03-21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724</v>
      </c>
      <c r="B88" s="7">
        <v>4016</v>
      </c>
      <c r="C88" s="21" t="s">
        <v>221</v>
      </c>
      <c r="D88" s="21" t="s">
        <v>392</v>
      </c>
      <c r="E88" s="13">
        <v>42815.515567129631</v>
      </c>
      <c r="F88" s="13">
        <v>42815.521099537036</v>
      </c>
      <c r="G88" s="7">
        <v>2</v>
      </c>
      <c r="H88" s="21" t="s">
        <v>890</v>
      </c>
      <c r="I88" s="13">
        <v>42815.548935185187</v>
      </c>
      <c r="J88" s="7">
        <v>0</v>
      </c>
      <c r="K88" s="98" t="str">
        <f t="shared" si="27"/>
        <v>4015/4016</v>
      </c>
      <c r="L88" s="21" t="str">
        <f>VLOOKUP(A88,'Trips&amp;Operators'!$C$1:$G$99999,5,FALSE)</f>
        <v>STRICKLAND EVAN</v>
      </c>
      <c r="M88" s="6">
        <f t="shared" si="28"/>
        <v>2.7835648150357883E-2</v>
      </c>
      <c r="N88" s="7">
        <f t="shared" si="25"/>
        <v>40.083333336515352</v>
      </c>
      <c r="O88" s="7"/>
      <c r="P88" s="7"/>
      <c r="Q88" s="22"/>
      <c r="R88" s="22"/>
      <c r="S88" s="31">
        <f t="shared" si="26"/>
        <v>1</v>
      </c>
      <c r="T88" s="46" t="str">
        <f t="shared" si="29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0"/>
        <v>https://d0f6bd738d7f1b3e5a7ca70fe4ff75f0.us-east-1.aws.found.io/app/kibana#/discover/Steve-Slow-Train-Analysis-(2080s-and-2083s)?_g=(refreshInterval:(display:Off,pause:!f,section:0,value:0),time:(from:'2017-03-21T11:22:25-0600',mode:absolute,to:'2017-03-21T14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187" t="str">
        <f t="shared" si="31"/>
        <v>N</v>
      </c>
      <c r="X88" s="187">
        <f t="shared" si="32"/>
        <v>1</v>
      </c>
      <c r="Y88" s="62">
        <f t="shared" si="41"/>
        <v>4.6199999999999998E-2</v>
      </c>
      <c r="Z88" s="62">
        <f t="shared" si="20"/>
        <v>23.336400000000001</v>
      </c>
      <c r="AA88" s="62">
        <f t="shared" si="33"/>
        <v>23.290200000000002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4"/>
        <v>0171-21</v>
      </c>
      <c r="AE88" s="85" t="str">
        <f t="shared" si="35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88" s="82" t="str">
        <f t="shared" si="36"/>
        <v>"C:\Program Files (x86)\AstroGrep\AstroGrep.exe" /e /r /s /spath="%USERPROFILE%\AppData\Local\Temp\OnboardLogs" /stypes="app*4016*20170321*" /stext=" 19:.+((SYSTEM_STATE.+slice.+state.+changed )|(ment ac)|(multiple cpu faults)|(system.+state.+changed )|(\[timeout)|(PRM\|1\|D)|(kpr)|(kdp)|(\|lc)|(penalty))"</v>
      </c>
      <c r="AG88" s="1" t="str">
        <f t="shared" si="37"/>
        <v>EC</v>
      </c>
      <c r="AH88" s="86" t="str">
        <f t="shared" si="38"/>
        <v>"%USERPROFILE%\Documents\GitHub\eaglep3\Utilities\RefineRTDCRunTimes.py" --tripid 171-21 --locoid 4016 --swversion DE.1.0.9.0 --startMP 204:462 --initTime 2017-03-21T12:22:25 --startdatetime 2017-03-21T12:30:23 --delay 2 --endMP 204:233364 --enddatetime 2017-03-21T13:10:28 --enforcementcount 0 &gt;&gt;C:\Users\stu\Documents\GitHub\eaglep3-reporting\EC\2017-03-21-refined-times.txt</v>
      </c>
      <c r="AI88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{"issue":{"subject":"","project_id":79,"tracker_id":40,"status_id":1,"priority_id":2,"assigned_to_id":23,"start_date":"2017-03-21","description":"","custom_fields":[{"id":1,"name":"Subdivision","value":"EC"},{"id":4,"name":"Milepost","value":"23.3364"},{"id":17,"name":"Train ID","value":"171-21"},{"id":16,"name":"Locomotive ID","value":"4016"},{"id":130,"name":"Impact","value":""},{"id":150,"name":"Time of Event (Mountain Time)","value":"13:10:28"},{"id":151,"name":"Denver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0"/>
        <v>start /low /b %USERPROFILE%\Documents\GitHub\eaglep3\Utilities\DownloadLogsFromS3.py --loco 4016 --day 2017-03-21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734</v>
      </c>
      <c r="B89" s="7">
        <v>4015</v>
      </c>
      <c r="C89" s="21" t="s">
        <v>221</v>
      </c>
      <c r="D89" s="21" t="s">
        <v>578</v>
      </c>
      <c r="E89" s="13">
        <v>42815.551006944443</v>
      </c>
      <c r="F89" s="13">
        <v>42815.560127314813</v>
      </c>
      <c r="G89" s="7">
        <v>1</v>
      </c>
      <c r="H89" s="21" t="s">
        <v>191</v>
      </c>
      <c r="I89" s="13">
        <v>42815.588240740741</v>
      </c>
      <c r="J89" s="7">
        <v>0</v>
      </c>
      <c r="K89" s="98" t="str">
        <f t="shared" si="27"/>
        <v>4015/4016</v>
      </c>
      <c r="L89" s="21" t="str">
        <f>VLOOKUP(A89,'Trips&amp;Operators'!$C$1:$G$99999,5,FALSE)</f>
        <v>STRICKLAND EVAN</v>
      </c>
      <c r="M89" s="6">
        <f t="shared" si="28"/>
        <v>2.8113425927585922E-2</v>
      </c>
      <c r="N89" s="7">
        <f t="shared" si="25"/>
        <v>40.483333335723728</v>
      </c>
      <c r="O89" s="7"/>
      <c r="P89" s="7"/>
      <c r="Q89" s="22"/>
      <c r="R89" s="22"/>
      <c r="S89" s="31">
        <f t="shared" si="26"/>
        <v>1</v>
      </c>
      <c r="T89" s="46" t="str">
        <f t="shared" si="29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0"/>
        <v>https://d0f6bd738d7f1b3e5a7ca70fe4ff75f0.us-east-1.aws.found.io/app/kibana#/discover/Steve-Slow-Train-Analysis-(2080s-and-2083s)?_g=(refreshInterval:(display:Off,pause:!f,section:0,value:0),time:(from:'2017-03-21T12:13:27-0600',mode:absolute,to:'2017-03-21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187" t="str">
        <f t="shared" si="31"/>
        <v>N</v>
      </c>
      <c r="X89" s="187">
        <f t="shared" si="32"/>
        <v>1</v>
      </c>
      <c r="Y89" s="62">
        <f t="shared" si="41"/>
        <v>23.307700000000001</v>
      </c>
      <c r="Z89" s="62">
        <f t="shared" si="20"/>
        <v>1.4999999999999999E-2</v>
      </c>
      <c r="AA89" s="62">
        <f t="shared" si="33"/>
        <v>23.2927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4"/>
        <v>0172-21</v>
      </c>
      <c r="AE89" s="85" t="str">
        <f t="shared" si="35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89" s="82" t="str">
        <f t="shared" si="36"/>
        <v>"C:\Program Files (x86)\AstroGrep\AstroGrep.exe" /e /r /s /spath="%USERPROFILE%\AppData\Local\Temp\OnboardLogs" /stypes="app*4015*20170321*" /stext=" 20:.+((SYSTEM_STATE.+slice.+state.+changed )|(ment ac)|(multiple cpu faults)|(system.+state.+changed )|(\[timeout)|(PRM\|1\|D)|(kpr)|(kdp)|(\|lc)|(penalty))"</v>
      </c>
      <c r="AG89" s="1" t="str">
        <f t="shared" si="37"/>
        <v>EC</v>
      </c>
      <c r="AH89" s="86" t="str">
        <f t="shared" si="38"/>
        <v>"%USERPROFILE%\Documents\GitHub\eaglep3\Utilities\RefineRTDCRunTimes.py" --tripid 172-21 --locoid 4015 --swversion DE.1.0.9.0 --startMP 204:233077 --initTime 2017-03-21T13:13:27 --startdatetime 2017-03-21T13:26:35 --delay 1 --endMP 204:150 --enddatetime 2017-03-21T14:07:04 --enforcementcount 0 &gt;&gt;C:\Users\stu\Documents\GitHub\eaglep3-reporting\EC\2017-03-21-refined-times.txt</v>
      </c>
      <c r="AI89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{"issue":{"subject":"","project_id":79,"tracker_id":40,"status_id":1,"priority_id":2,"assigned_to_id":23,"start_date":"2017-03-21","description":"","custom_fields":[{"id":1,"name":"Subdivision","value":"EC"},{"id":4,"name":"Milepost","value":"0.015"},{"id":17,"name":"Train ID","value":"172-21"},{"id":16,"name":"Locomotive ID","value":"4015"},{"id":130,"name":"Impact","value":""},{"id":150,"name":"Time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0"/>
        <v>start /low /b %USERPROFILE%\Documents\GitHub\eaglep3\Utilities\DownloadLogsFromS3.py --loco 4015 --day 2017-03-21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"%USERPROFILE%\AppData\Local\Temp\OnboardLogs"\RTDC4015\*4015*20170321* | grep -SE "(Enforcement Action)|(\[TIMEOUT)|(CHR.+\|PRM\|1\|D.+(SWITCH|SIGNAL).+UNKNOWN)" - &gt;&gt; 2017-03-21-UncaughtWiMAX.txt</v>
      </c>
    </row>
    <row r="90" spans="1:91" s="20" customFormat="1" x14ac:dyDescent="0.25">
      <c r="A90" s="33" t="s">
        <v>729</v>
      </c>
      <c r="B90" s="7">
        <v>4042</v>
      </c>
      <c r="C90" s="21" t="s">
        <v>221</v>
      </c>
      <c r="D90" s="21" t="s">
        <v>528</v>
      </c>
      <c r="E90" s="13">
        <v>42815.529699074075</v>
      </c>
      <c r="F90" s="13">
        <v>42815.531481481485</v>
      </c>
      <c r="G90" s="7">
        <v>1</v>
      </c>
      <c r="H90" s="21" t="s">
        <v>891</v>
      </c>
      <c r="I90" s="13">
        <v>42815.560671296298</v>
      </c>
      <c r="J90" s="7">
        <v>0</v>
      </c>
      <c r="K90" s="98" t="str">
        <f t="shared" si="27"/>
        <v>4041/4042</v>
      </c>
      <c r="L90" s="21" t="str">
        <f>VLOOKUP(A90,'Trips&amp;Operators'!$C$1:$G$99999,5,FALSE)</f>
        <v>DAVIS MICHAEL</v>
      </c>
      <c r="M90" s="6">
        <f t="shared" si="28"/>
        <v>2.9189814813435078E-2</v>
      </c>
      <c r="N90" s="7">
        <f t="shared" si="25"/>
        <v>42.033333331346512</v>
      </c>
      <c r="O90" s="7"/>
      <c r="P90" s="7"/>
      <c r="Q90" s="22"/>
      <c r="R90" s="22"/>
      <c r="S90" s="31">
        <f t="shared" si="26"/>
        <v>1</v>
      </c>
      <c r="T90" s="46" t="str">
        <f t="shared" si="29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0"/>
        <v>https://d0f6bd738d7f1b3e5a7ca70fe4ff75f0.us-east-1.aws.found.io/app/kibana#/discover/Steve-Slow-Train-Analysis-(2080s-and-2083s)?_g=(refreshInterval:(display:Off,pause:!f,section:0,value:0),time:(from:'2017-03-21T11:42:46-0600',mode:absolute,to:'2017-03-21T14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187" t="str">
        <f t="shared" si="31"/>
        <v>N</v>
      </c>
      <c r="X90" s="187">
        <f t="shared" si="32"/>
        <v>1</v>
      </c>
      <c r="Y90" s="62">
        <f t="shared" si="41"/>
        <v>4.4200000000000003E-2</v>
      </c>
      <c r="Z90" s="62">
        <f t="shared" si="20"/>
        <v>23.330100000000002</v>
      </c>
      <c r="AA90" s="62">
        <f t="shared" si="33"/>
        <v>23.285900000000002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4"/>
        <v>0173-21</v>
      </c>
      <c r="AE90" s="85" t="str">
        <f t="shared" si="35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90" s="82" t="str">
        <f t="shared" si="36"/>
        <v>"C:\Program Files (x86)\AstroGrep\AstroGrep.exe" /e /r /s /spath="%USERPROFILE%\AppData\Local\Temp\OnboardLogs" /stypes="app*4042*20170321*" /stext=" 19:.+((SYSTEM_STATE.+slice.+state.+changed )|(ment ac)|(multiple cpu faults)|(system.+state.+changed )|(\[timeout)|(PRM\|1\|D)|(kpr)|(kdp)|(\|lc)|(penalty))"</v>
      </c>
      <c r="AG90" s="1" t="str">
        <f t="shared" si="37"/>
        <v>EC</v>
      </c>
      <c r="AH90" s="86" t="str">
        <f t="shared" si="38"/>
        <v>"%USERPROFILE%\Documents\GitHub\eaglep3\Utilities\RefineRTDCRunTimes.py" --tripid 173-21 --locoid 4042 --swversion DE.1.0.9.0 --startMP 204:442 --initTime 2017-03-21T12:42:46 --startdatetime 2017-03-21T12:45:20 --delay 1 --endMP 204:233301 --enddatetime 2017-03-21T13:27:22 --enforcementcount 0 &gt;&gt;C:\Users\stu\Documents\GitHub\eaglep3-reporting\EC\2017-03-21-refined-times.txt</v>
      </c>
      <c r="AI90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{"issue":{"subject":"","project_id":79,"tracker_id":40,"status_id":1,"priority_id":2,"assigned_to_id":23,"start_date":"2017-03-21","description":"","custom_fields":[{"id":1,"name":"Subdivision","value":"EC"},{"id":4,"name":"Milepost","value":"23.3301"},{"id":17,"name":"Train ID","value":"173-21"},{"id":16,"name":"Locomotive ID","value":"4042"},{"id":130,"name":"Impact","value":""},{"id":150,"name":"Time of Event (Mountain Time)","value":"13:27:22"},{"id":151,"name":"Denver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0"/>
        <v>start /low /b %USERPROFILE%\Documents\GitHub\eaglep3\Utilities\DownloadLogsFromS3.py --loco 4042 --day 2017-03-21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621</v>
      </c>
      <c r="B91" s="7">
        <v>4041</v>
      </c>
      <c r="C91" s="21" t="s">
        <v>221</v>
      </c>
      <c r="D91" s="21" t="s">
        <v>415</v>
      </c>
      <c r="E91" s="13">
        <v>42815.568472222221</v>
      </c>
      <c r="F91" s="13">
        <v>42815.570891203701</v>
      </c>
      <c r="G91" s="7">
        <v>1</v>
      </c>
      <c r="H91" s="21" t="s">
        <v>892</v>
      </c>
      <c r="I91" s="13">
        <v>42815.600659722222</v>
      </c>
      <c r="J91" s="7">
        <v>0</v>
      </c>
      <c r="K91" s="98" t="str">
        <f t="shared" si="27"/>
        <v>4041/4042</v>
      </c>
      <c r="L91" s="21" t="str">
        <f>VLOOKUP(A91,'Trips&amp;Operators'!$C$1:$G$99999,5,FALSE)</f>
        <v>DAVIS MICHAEL</v>
      </c>
      <c r="M91" s="6">
        <f t="shared" si="28"/>
        <v>2.976851852145046E-2</v>
      </c>
      <c r="N91" s="7">
        <f t="shared" si="25"/>
        <v>42.866666670888662</v>
      </c>
      <c r="O91" s="7"/>
      <c r="P91" s="7"/>
      <c r="Q91" s="22"/>
      <c r="R91" s="22"/>
      <c r="S91" s="31">
        <f t="shared" si="26"/>
        <v>1</v>
      </c>
      <c r="T91" s="46" t="str">
        <f t="shared" si="29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0"/>
        <v>https://d0f6bd738d7f1b3e5a7ca70fe4ff75f0.us-east-1.aws.found.io/app/kibana#/discover/Steve-Slow-Train-Analysis-(2080s-and-2083s)?_g=(refreshInterval:(display:Off,pause:!f,section:0,value:0),time:(from:'2017-03-21T12:38:36-0600',mode:absolute,to:'2017-03-21T15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1" s="187" t="str">
        <f t="shared" si="31"/>
        <v>N</v>
      </c>
      <c r="X91" s="187">
        <f t="shared" si="32"/>
        <v>1</v>
      </c>
      <c r="Y91" s="62">
        <f t="shared" si="41"/>
        <v>23.298999999999999</v>
      </c>
      <c r="Z91" s="62">
        <f t="shared" si="20"/>
        <v>2.01E-2</v>
      </c>
      <c r="AA91" s="62">
        <f t="shared" si="33"/>
        <v>23.2789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4"/>
        <v>0174-21</v>
      </c>
      <c r="AE91" s="85" t="str">
        <f t="shared" si="35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91" s="82" t="str">
        <f t="shared" si="36"/>
        <v>"C:\Program Files (x86)\AstroGrep\AstroGrep.exe" /e /r /s /spath="%USERPROFILE%\AppData\Local\Temp\OnboardLogs" /stypes="app*4041*20170321*" /stext=" 20:.+((SYSTEM_STATE.+slice.+state.+changed )|(ment ac)|(multiple cpu faults)|(system.+state.+changed )|(\[timeout)|(PRM\|1\|D)|(kpr)|(kdp)|(\|lc)|(penalty))"</v>
      </c>
      <c r="AG91" s="1" t="str">
        <f t="shared" si="37"/>
        <v>EC</v>
      </c>
      <c r="AH91" s="86" t="str">
        <f t="shared" si="38"/>
        <v>"%USERPROFILE%\Documents\GitHub\eaglep3\Utilities\RefineRTDCRunTimes.py" --tripid 174-21 --locoid 4041 --swversion DE.1.0.9.0 --startMP 204:232990 --initTime 2017-03-21T13:38:36 --startdatetime 2017-03-21T13:42:05 --delay 1 --endMP 204:201 --enddatetime 2017-03-21T14:24:57 --enforcementcount 0 &gt;&gt;C:\Users\stu\Documents\GitHub\eaglep3-reporting\EC\2017-03-21-refined-times.txt</v>
      </c>
      <c r="AI91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{"issue":{"subject":"","project_id":79,"tracker_id":40,"status_id":1,"priority_id":2,"assigned_to_id":23,"start_date":"2017-03-21","description":"","custom_fields":[{"id":1,"name":"Subdivision","value":"EC"},{"id":4,"name":"Milepost","value":"0.0201"},{"id":17,"name":"Train ID","value":"174-21"},{"id":16,"name":"Locomotive ID","value":"4041"},{"id":130,"name":"Impact","value":""},{"id":150,"name":"Time of Event (Mountain Time)","value":"14:24:57"},{"id":151,"name":"Denver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0"/>
        <v>start /low /b %USERPROFILE%\Documents\GitHub\eaglep3\Utilities\DownloadLogsFromS3.py --loco 4041 --day 2017-03-21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731</v>
      </c>
      <c r="B92" s="7">
        <v>4031</v>
      </c>
      <c r="C92" s="21" t="s">
        <v>221</v>
      </c>
      <c r="D92" s="21" t="s">
        <v>218</v>
      </c>
      <c r="E92" s="13">
        <v>42815.537256944444</v>
      </c>
      <c r="F92" s="13">
        <v>42815.541921296295</v>
      </c>
      <c r="G92" s="7">
        <v>2</v>
      </c>
      <c r="H92" s="21" t="s">
        <v>390</v>
      </c>
      <c r="I92" s="13">
        <v>42815.568530092591</v>
      </c>
      <c r="J92" s="7">
        <v>0</v>
      </c>
      <c r="K92" s="98" t="str">
        <f t="shared" si="27"/>
        <v>4031/4032</v>
      </c>
      <c r="L92" s="21" t="str">
        <f>VLOOKUP(A92,'Trips&amp;Operators'!$C$1:$G$99999,5,FALSE)</f>
        <v>STEWART MICHAEL</v>
      </c>
      <c r="M92" s="6">
        <f t="shared" si="28"/>
        <v>2.6608796295477077E-2</v>
      </c>
      <c r="N92" s="7">
        <f t="shared" si="25"/>
        <v>38.316666665486991</v>
      </c>
      <c r="O92" s="7"/>
      <c r="P92" s="7"/>
      <c r="Q92" s="22"/>
      <c r="R92" s="22"/>
      <c r="S92" s="31">
        <f t="shared" si="26"/>
        <v>1</v>
      </c>
      <c r="T92" s="46" t="str">
        <f t="shared" si="29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0"/>
        <v>https://d0f6bd738d7f1b3e5a7ca70fe4ff75f0.us-east-1.aws.found.io/app/kibana#/discover/Steve-Slow-Train-Analysis-(2080s-and-2083s)?_g=(refreshInterval:(display:Off,pause:!f,section:0,value:0),time:(from:'2017-03-21T11:53:39-0600',mode:absolute,to:'2017-03-21T14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87" t="str">
        <f t="shared" si="31"/>
        <v>N</v>
      </c>
      <c r="X92" s="187">
        <f t="shared" si="32"/>
        <v>1</v>
      </c>
      <c r="Y92" s="62">
        <f t="shared" si="41"/>
        <v>4.6600000000000003E-2</v>
      </c>
      <c r="Z92" s="62">
        <f t="shared" si="20"/>
        <v>23.3306</v>
      </c>
      <c r="AA92" s="62">
        <f t="shared" si="33"/>
        <v>23.283999999999999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4"/>
        <v>0175-21</v>
      </c>
      <c r="AE92" s="85" t="str">
        <f t="shared" si="35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92" s="82" t="str">
        <f t="shared" si="36"/>
        <v>"C:\Program Files (x86)\AstroGrep\AstroGrep.exe" /e /r /s /spath="%USERPROFILE%\AppData\Local\Temp\OnboardLogs" /stypes="app*4031*20170321*" /stext=" 19:.+((SYSTEM_STATE.+slice.+state.+changed )|(ment ac)|(multiple cpu faults)|(system.+state.+changed )|(\[timeout)|(PRM\|1\|D)|(kpr)|(kdp)|(\|lc)|(penalty))"</v>
      </c>
      <c r="AG92" s="1" t="str">
        <f t="shared" si="37"/>
        <v>EC</v>
      </c>
      <c r="AH92" s="86" t="str">
        <f t="shared" si="38"/>
        <v>"%USERPROFILE%\Documents\GitHub\eaglep3\Utilities\RefineRTDCRunTimes.py" --tripid 175-21 --locoid 4031 --swversion DE.1.0.9.0 --startMP 204:466 --initTime 2017-03-21T12:53:39 --startdatetime 2017-03-21T13:00:22 --delay 2 --endMP 204:233306 --enddatetime 2017-03-21T13:38:41 --enforcementcount 0 &gt;&gt;C:\Users\stu\Documents\GitHub\eaglep3-reporting\EC\2017-03-21-refined-times.txt</v>
      </c>
      <c r="AI92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{"issue":{"subject":"","project_id":79,"tracker_id":40,"status_id":1,"priority_id":2,"assigned_to_id":23,"start_date":"2017-03-21","description":"","custom_fields":[{"id":1,"name":"Subdivision","value":"EC"},{"id":4,"name":"Milepost","value":"23.3306"},{"id":17,"name":"Train ID","value":"175-21"},{"id":16,"name":"Locomotive ID","value":"4031"},{"id":130,"name":"Impact","value":""},{"id":150,"name":"Time of Event (Mountain Time)","value":"13:38:41"},{"id":151,"name":"Denver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0"/>
        <v>start /low /b %USERPROFILE%\Documents\GitHub\eaglep3\Utilities\DownloadLogsFromS3.py --loco 4031 --day 2017-03-21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736</v>
      </c>
      <c r="B93" s="7">
        <v>4032</v>
      </c>
      <c r="C93" s="21" t="s">
        <v>221</v>
      </c>
      <c r="D93" s="21" t="s">
        <v>570</v>
      </c>
      <c r="E93" s="13">
        <v>42815.579421296294</v>
      </c>
      <c r="F93" s="13">
        <v>42815.580810185187</v>
      </c>
      <c r="G93" s="7">
        <v>1</v>
      </c>
      <c r="H93" s="21" t="s">
        <v>205</v>
      </c>
      <c r="I93" s="13">
        <v>42815.609340277777</v>
      </c>
      <c r="J93" s="7">
        <v>0</v>
      </c>
      <c r="K93" s="98" t="str">
        <f t="shared" si="27"/>
        <v>4031/4032</v>
      </c>
      <c r="L93" s="21" t="str">
        <f>VLOOKUP(A93,'Trips&amp;Operators'!$C$1:$G$99999,5,FALSE)</f>
        <v>STEWART MICHAEL</v>
      </c>
      <c r="M93" s="6">
        <f t="shared" si="28"/>
        <v>2.8530092589790002E-2</v>
      </c>
      <c r="N93" s="7">
        <f t="shared" si="25"/>
        <v>41.083333329297602</v>
      </c>
      <c r="O93" s="7"/>
      <c r="P93" s="7"/>
      <c r="Q93" s="22"/>
      <c r="R93" s="22"/>
      <c r="S93" s="31">
        <f t="shared" si="26"/>
        <v>1</v>
      </c>
      <c r="T93" s="46" t="str">
        <f t="shared" si="29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0"/>
        <v>https://d0f6bd738d7f1b3e5a7ca70fe4ff75f0.us-east-1.aws.found.io/app/kibana#/discover/Steve-Slow-Train-Analysis-(2080s-and-2083s)?_g=(refreshInterval:(display:Off,pause:!f,section:0,value:0),time:(from:'2017-03-21T12:54:22-0600',mode:absolute,to:'2017-03-21T15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87" t="str">
        <f t="shared" si="31"/>
        <v>N</v>
      </c>
      <c r="X93" s="187">
        <f t="shared" si="32"/>
        <v>1</v>
      </c>
      <c r="Y93" s="62">
        <f t="shared" si="41"/>
        <v>23.299399999999999</v>
      </c>
      <c r="Z93" s="62">
        <f t="shared" si="20"/>
        <v>1.54E-2</v>
      </c>
      <c r="AA93" s="62">
        <f t="shared" si="33"/>
        <v>23.283999999999999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4"/>
        <v>0176-21</v>
      </c>
      <c r="AE93" s="85" t="str">
        <f t="shared" si="35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93" s="82" t="str">
        <f t="shared" si="36"/>
        <v>"C:\Program Files (x86)\AstroGrep\AstroGrep.exe" /e /r /s /spath="%USERPROFILE%\AppData\Local\Temp\OnboardLogs" /stypes="app*4032*20170321*" /stext=" 20:.+((SYSTEM_STATE.+slice.+state.+changed )|(ment ac)|(multiple cpu faults)|(system.+state.+changed )|(\[timeout)|(PRM\|1\|D)|(kpr)|(kdp)|(\|lc)|(penalty))"</v>
      </c>
      <c r="AG93" s="1" t="str">
        <f t="shared" si="37"/>
        <v>EC</v>
      </c>
      <c r="AH93" s="86" t="str">
        <f t="shared" si="38"/>
        <v>"%USERPROFILE%\Documents\GitHub\eaglep3\Utilities\RefineRTDCRunTimes.py" --tripid 176-21 --locoid 4032 --swversion DE.1.0.9.0 --startMP 204:232994 --initTime 2017-03-21T13:54:22 --startdatetime 2017-03-21T13:56:22 --delay 1 --endMP 204:154 --enddatetime 2017-03-21T14:37:27 --enforcementcount 0 &gt;&gt;C:\Users\stu\Documents\GitHub\eaglep3-reporting\EC\2017-03-21-refined-times.txt</v>
      </c>
      <c r="AI93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{"issue":{"subject":"","project_id":79,"tracker_id":40,"status_id":1,"priority_id":2,"assigned_to_id":23,"start_date":"2017-03-21","description":"","custom_fields":[{"id":1,"name":"Subdivision","value":"EC"},{"id":4,"name":"Milepost","value":"0.0154"},{"id":17,"name":"Train ID","value":"176-21"},{"id":16,"name":"Locomotive ID","value":"4032"},{"id":130,"name":"Impact","value":""},{"id":150,"name":"Time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0"/>
        <v>start /low /b %USERPROFILE%\Documents\GitHub\eaglep3\Utilities\DownloadLogsFromS3.py --loco 4032 --day 2017-03-21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733</v>
      </c>
      <c r="B94" s="7">
        <v>4051</v>
      </c>
      <c r="C94" s="21" t="s">
        <v>221</v>
      </c>
      <c r="D94" s="21" t="s">
        <v>877</v>
      </c>
      <c r="E94" s="13">
        <v>42815.549490740741</v>
      </c>
      <c r="F94" s="13">
        <v>42815.552476851852</v>
      </c>
      <c r="G94" s="7">
        <v>1</v>
      </c>
      <c r="H94" s="21" t="s">
        <v>875</v>
      </c>
      <c r="I94" s="13">
        <v>42815.580277777779</v>
      </c>
      <c r="J94" s="7">
        <v>0</v>
      </c>
      <c r="K94" s="98" t="str">
        <f t="shared" si="27"/>
        <v>4051/4052</v>
      </c>
      <c r="L94" s="21" t="str">
        <f>VLOOKUP(A94,'Trips&amp;Operators'!$C$1:$G$99999,5,FALSE)</f>
        <v>MENGES BRAD</v>
      </c>
      <c r="M94" s="6">
        <f t="shared" si="28"/>
        <v>2.7800925927294884E-2</v>
      </c>
      <c r="N94" s="7">
        <f t="shared" si="25"/>
        <v>40.033333335304633</v>
      </c>
      <c r="O94" s="7"/>
      <c r="P94" s="7"/>
      <c r="Q94" s="22"/>
      <c r="R94" s="22"/>
      <c r="S94" s="31">
        <f t="shared" si="26"/>
        <v>1</v>
      </c>
      <c r="T94" s="46" t="str">
        <f t="shared" si="29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0"/>
        <v>https://d0f6bd738d7f1b3e5a7ca70fe4ff75f0.us-east-1.aws.found.io/app/kibana#/discover/Steve-Slow-Train-Analysis-(2080s-and-2083s)?_g=(refreshInterval:(display:Off,pause:!f,section:0,value:0),time:(from:'2017-03-21T12:11:16-0600',mode:absolute,to:'2017-03-21T14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187" t="str">
        <f t="shared" si="31"/>
        <v>N</v>
      </c>
      <c r="X94" s="187">
        <f t="shared" si="32"/>
        <v>1</v>
      </c>
      <c r="Y94" s="62">
        <f t="shared" si="41"/>
        <v>4.7800000000000002E-2</v>
      </c>
      <c r="Z94" s="62">
        <f t="shared" si="20"/>
        <v>23.328399999999998</v>
      </c>
      <c r="AA94" s="62">
        <f t="shared" si="33"/>
        <v>23.2806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4"/>
        <v>0177-21</v>
      </c>
      <c r="AE94" s="85" t="str">
        <f t="shared" si="35"/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AF94" s="82" t="str">
        <f t="shared" si="36"/>
        <v>"C:\Program Files (x86)\AstroGrep\AstroGrep.exe" /e /r /s /spath="%USERPROFILE%\AppData\Local\Temp\OnboardLogs" /stypes="app*4051*20170321*" /stext=" 19:.+((SYSTEM_STATE.+slice.+state.+changed )|(ment ac)|(multiple cpu faults)|(system.+state.+changed )|(\[timeout)|(PRM\|1\|D)|(kpr)|(kdp)|(\|lc)|(penalty))"</v>
      </c>
      <c r="AG94" s="1" t="str">
        <f t="shared" si="37"/>
        <v>EC</v>
      </c>
      <c r="AH94" s="86" t="str">
        <f t="shared" si="38"/>
        <v>"%USERPROFILE%\Documents\GitHub\eaglep3\Utilities\RefineRTDCRunTimes.py" --tripid 177-21 --locoid 4051 --swversion DE.1.0.9.0 --startMP 204:478 --initTime 2017-03-21T13:11:16 --startdatetime 2017-03-21T13:15:34 --delay 1 --endMP 204:233284 --enddatetime 2017-03-21T13:55:36 --enforcementcount 0 &gt;&gt;C:\Users\stu\Documents\GitHub\eaglep3-reporting\EC\2017-03-21-refined-times.txt</v>
      </c>
      <c r="AI94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{"issue":{"subject":"","project_id":79,"tracker_id":40,"status_id":1,"priority_id":2,"assigned_to_id":23,"start_date":"2017-03-21","description":"","custom_fields":[{"id":1,"name":"Subdivision","value":"EC"},{"id":4,"name":"Milepost","value":"23.3284"},{"id":17,"name":"Train ID","value":"177-21"},{"id":16,"name":"Locomotive ID","value":"4051"},{"id":130,"name":"Impact","value":""},{"id":150,"name":"Time of Event (Mountain Time)","value":"13:55:36"},{"id":151,"name":"Denver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0"/>
        <v>start /low /b %USERPROFILE%\Documents\GitHub\eaglep3\Utilities\DownloadLogsFromS3.py --loco 4051 --day 2017-03-21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"%USERPROFILE%\AppData\Local\Temp\OnboardLogs"\RTDC4051\*4051*20170321* | grep -SE "(Enforcement Action)|(\[TIMEOUT)|(CHR.+\|PRM\|1\|D.+(SWITCH|SIGNAL).+UNKNOWN)" - &gt;&gt; 2017-03-21-UncaughtWiMAX.txt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738</v>
      </c>
      <c r="B95" s="7">
        <v>4052</v>
      </c>
      <c r="C95" s="21" t="s">
        <v>221</v>
      </c>
      <c r="D95" s="21" t="s">
        <v>893</v>
      </c>
      <c r="E95" s="13">
        <v>42815.586076388892</v>
      </c>
      <c r="F95" s="13">
        <v>42815.61010416667</v>
      </c>
      <c r="G95" s="7">
        <v>1</v>
      </c>
      <c r="H95" s="21" t="s">
        <v>894</v>
      </c>
      <c r="I95" s="13">
        <v>42815.615428240744</v>
      </c>
      <c r="J95" s="7">
        <v>0</v>
      </c>
      <c r="K95" s="98" t="str">
        <f t="shared" si="27"/>
        <v>4051/4052</v>
      </c>
      <c r="L95" s="21" t="str">
        <f>VLOOKUP(A95,'Trips&amp;Operators'!$C$1:$G$99999,5,FALSE)</f>
        <v>MENGES BRAD</v>
      </c>
      <c r="M95" s="6">
        <f t="shared" si="28"/>
        <v>5.324074074451346E-3</v>
      </c>
      <c r="N95" s="7"/>
      <c r="O95" s="7"/>
      <c r="P95" s="7"/>
      <c r="Q95" s="22"/>
      <c r="R95" s="22"/>
      <c r="S95" s="31"/>
      <c r="T95" s="46" t="str">
        <f t="shared" si="29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0"/>
        <v>https://d0f6bd738d7f1b3e5a7ca70fe4ff75f0.us-east-1.aws.found.io/app/kibana#/discover/Steve-Slow-Train-Analysis-(2080s-and-2083s)?_g=(refreshInterval:(display:Off,pause:!f,section:0,value:0),time:(from:'2017-03-21T13:03:57-0600',mode:absolute,to:'2017-03-21T15:46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5" s="187" t="str">
        <f t="shared" si="31"/>
        <v>N</v>
      </c>
      <c r="X95" s="187">
        <f t="shared" si="32"/>
        <v>1</v>
      </c>
      <c r="Y95" s="62">
        <f t="shared" si="41"/>
        <v>23.296099999999999</v>
      </c>
      <c r="Z95" s="62">
        <f t="shared" si="20"/>
        <v>0.11650000000000001</v>
      </c>
      <c r="AA95" s="62">
        <f t="shared" si="33"/>
        <v>23.179600000000001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4"/>
        <v>0178-21</v>
      </c>
      <c r="AE95" s="85" t="str">
        <f t="shared" si="35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95" s="82" t="str">
        <f t="shared" si="36"/>
        <v>"C:\Program Files (x86)\AstroGrep\AstroGrep.exe" /e /r /s /spath="%USERPROFILE%\AppData\Local\Temp\OnboardLogs" /stypes="app*4052*20170321*" /stext=" 20:.+((SYSTEM_STATE.+slice.+state.+changed )|(ment ac)|(multiple cpu faults)|(system.+state.+changed )|(\[timeout)|(PRM\|1\|D)|(kpr)|(kdp)|(\|lc)|(penalty))"</v>
      </c>
      <c r="AG95" s="1" t="str">
        <f t="shared" si="37"/>
        <v>EC</v>
      </c>
      <c r="AH95" s="86" t="str">
        <f t="shared" si="38"/>
        <v>"%USERPROFILE%\Documents\GitHub\eaglep3\Utilities\RefineRTDCRunTimes.py" --tripid 178-21 --locoid 4052 --swversion DE.1.0.9.0 --startMP 204:232961 --initTime 2017-03-21T14:03:57 --startdatetime 2017-03-21T14:38:33 --delay 1 --endMP 204:1165 --enddatetime 2017-03-21T14:46:13 --enforcementcount 0 &gt;&gt;C:\Users\stu\Documents\GitHub\eaglep3-reporting\EC\2017-03-21-refined-times.txt</v>
      </c>
      <c r="AI95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{"issue":{"subject":"","project_id":79,"tracker_id":40,"status_id":1,"priority_id":2,"assigned_to_id":23,"start_date":"2017-03-21","description":"","custom_fields":[{"id":1,"name":"Subdivision","value":"EC"},{"id":4,"name":"Milepost","value":"0.1165"},{"id":17,"name":"Train ID","value":"178-21"},{"id":16,"name":"Locomotive ID","value":"4052"},{"id":130,"name":"Impact","value":""},{"id":150,"name":"Time of Event (Mountain Time)","value":"14:46:13"},{"id":151,"name":"Denver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0"/>
        <v>start /low /b %USERPROFILE%\Documents\GitHub\eaglep3\Utilities\DownloadLogsFromS3.py --loco 4052 --day 2017-03-21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738</v>
      </c>
      <c r="B96" s="7">
        <v>4052</v>
      </c>
      <c r="C96" s="21" t="s">
        <v>221</v>
      </c>
      <c r="D96" s="21" t="s">
        <v>895</v>
      </c>
      <c r="E96" s="13">
        <v>42815.60800925926</v>
      </c>
      <c r="F96" s="13">
        <v>42815.61010416667</v>
      </c>
      <c r="G96" s="7">
        <v>2</v>
      </c>
      <c r="H96" s="21" t="s">
        <v>894</v>
      </c>
      <c r="I96" s="13">
        <v>42815.615428240744</v>
      </c>
      <c r="J96" s="7">
        <v>0</v>
      </c>
      <c r="K96" s="98" t="str">
        <f t="shared" si="27"/>
        <v>4051/4052</v>
      </c>
      <c r="L96" s="21" t="str">
        <f>VLOOKUP(A96,'Trips&amp;Operators'!$C$1:$G$99999,5,FALSE)</f>
        <v>MENGES BRAD</v>
      </c>
      <c r="M96" s="6">
        <f t="shared" si="28"/>
        <v>5.324074074451346E-3</v>
      </c>
      <c r="N96" s="7"/>
      <c r="O96" s="7"/>
      <c r="P96" s="7">
        <f>24*60*SUM($M96:$M96)</f>
        <v>7.6666666672099382</v>
      </c>
      <c r="Q96" s="22"/>
      <c r="R96" s="22" t="s">
        <v>532</v>
      </c>
      <c r="S96" s="31">
        <f t="shared" ref="S96:S127" si="42">SUM(U96:U96)/IF(AG96="EC",12,1)</f>
        <v>0.83333333333333337</v>
      </c>
      <c r="T96" s="46" t="str">
        <f t="shared" si="29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10</v>
      </c>
      <c r="V96" s="186" t="str">
        <f t="shared" si="30"/>
        <v>https://d0f6bd738d7f1b3e5a7ca70fe4ff75f0.us-east-1.aws.found.io/app/kibana#/discover/Steve-Slow-Train-Analysis-(2080s-and-2083s)?_g=(refreshInterval:(display:Off,pause:!f,section:0,value:0),time:(from:'2017-03-21T13:35:32-0600',mode:absolute,to:'2017-03-21T15:46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187" t="str">
        <f t="shared" si="31"/>
        <v>Y</v>
      </c>
      <c r="X96" s="187">
        <f t="shared" si="32"/>
        <v>0</v>
      </c>
      <c r="Y96" s="62">
        <f t="shared" si="41"/>
        <v>8.6353000000000009</v>
      </c>
      <c r="Z96" s="62">
        <f t="shared" si="20"/>
        <v>0.11650000000000001</v>
      </c>
      <c r="AA96" s="62">
        <f t="shared" si="33"/>
        <v>8.5188000000000006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4"/>
        <v>0178-21</v>
      </c>
      <c r="AE96" s="85" t="str">
        <f t="shared" si="35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96" s="82" t="str">
        <f t="shared" si="36"/>
        <v>"C:\Program Files (x86)\AstroGrep\AstroGrep.exe" /e /r /s /spath="%USERPROFILE%\AppData\Local\Temp\OnboardLogs" /stypes="app*4052*20170321*" /stext=" 20:.+((SYSTEM_STATE.+slice.+state.+changed )|(ment ac)|(multiple cpu faults)|(system.+state.+changed )|(\[timeout)|(PRM\|1\|D)|(kpr)|(kdp)|(\|lc)|(penalty))"</v>
      </c>
      <c r="AG96" s="1" t="str">
        <f t="shared" si="37"/>
        <v>EC</v>
      </c>
      <c r="AH96" s="86" t="str">
        <f t="shared" si="38"/>
        <v>"%USERPROFILE%\Documents\GitHub\eaglep3\Utilities\RefineRTDCRunTimes.py" --tripid 178-21 --locoid 4052 --swversion DE.1.0.9.0 --startMP 204:86353 --initTime 2017-03-21T14:35:32 --startdatetime 2017-03-21T14:38:33 --delay 2 --endMP 204:1165 --enddatetime 2017-03-21T14:46:13 --enforcementcount 0 &gt;&gt;C:\Users\stu\Documents\GitHub\eaglep3-reporting\EC\2017-03-21-refined-times.txt</v>
      </c>
      <c r="AI96" s="108" t="str">
        <f t="shared" si="39"/>
        <v>echo {"issue":{"subject":"Onboard in-route failure","project_id":79,"tracker_id":40,"status_id":1,"priority_id":2,"assigned_to_id":23,"start_date":"2017-03-21","description":"","custom_fields":[{"id":1,"name":"Subdivision","value":"EC"},{"id":4,"name":"Milepost","value":"0.1165"},{"id":17,"name":"Train ID","value":"178-21"},{"id":16,"name":"Locomotive ID","value":"4052"},{"id":130,"name":"Impact","value":""},{"id":150,"name":"Time of Event (Mountain Time)","value":"14:46:13"},{"id":151,"name":"Denver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0"/>
        <v>start /low /b %USERPROFILE%\Documents\GitHub\eaglep3\Utilities\DownloadLogsFromS3.py --loco 4052 --day 2017-03-21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735</v>
      </c>
      <c r="B97" s="7">
        <v>4025</v>
      </c>
      <c r="C97" s="21" t="s">
        <v>221</v>
      </c>
      <c r="D97" s="21" t="s">
        <v>896</v>
      </c>
      <c r="E97" s="13">
        <v>42815.560578703706</v>
      </c>
      <c r="F97" s="13">
        <v>42815.562916666669</v>
      </c>
      <c r="G97" s="7">
        <v>1</v>
      </c>
      <c r="H97" s="21" t="s">
        <v>835</v>
      </c>
      <c r="I97" s="13">
        <v>42815.589039351849</v>
      </c>
      <c r="J97" s="7">
        <v>0</v>
      </c>
      <c r="K97" s="98" t="str">
        <f t="shared" si="27"/>
        <v>4025/4026</v>
      </c>
      <c r="L97" s="21" t="str">
        <f>VLOOKUP(A97,'Trips&amp;Operators'!$C$1:$G$99999,5,FALSE)</f>
        <v>CLARK KATHLEEN</v>
      </c>
      <c r="M97" s="6">
        <f t="shared" si="28"/>
        <v>2.6122685179871041E-2</v>
      </c>
      <c r="N97" s="7">
        <f t="shared" ref="N97:N102" si="43">24*60*SUM($M97:$M97)</f>
        <v>37.6166666590143</v>
      </c>
      <c r="O97" s="7"/>
      <c r="P97" s="7"/>
      <c r="Q97" s="22"/>
      <c r="R97" s="22"/>
      <c r="S97" s="31">
        <f t="shared" si="42"/>
        <v>1</v>
      </c>
      <c r="T97" s="46" t="str">
        <f t="shared" si="29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0"/>
        <v>https://d0f6bd738d7f1b3e5a7ca70fe4ff75f0.us-east-1.aws.found.io/app/kibana#/discover/Steve-Slow-Train-Analysis-(2080s-and-2083s)?_g=(refreshInterval:(display:Off,pause:!f,section:0,value:0),time:(from:'2017-03-21T12:27:14-0600',mode:absolute,to:'2017-03-21T15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7" s="187" t="str">
        <f t="shared" si="31"/>
        <v>N</v>
      </c>
      <c r="X97" s="187">
        <f t="shared" si="32"/>
        <v>1</v>
      </c>
      <c r="Y97" s="62">
        <f t="shared" si="41"/>
        <v>5.3900000000000003E-2</v>
      </c>
      <c r="Z97" s="62">
        <f t="shared" si="20"/>
        <v>23.328900000000001</v>
      </c>
      <c r="AA97" s="62">
        <f t="shared" si="33"/>
        <v>23.275000000000002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4"/>
        <v>0179-21</v>
      </c>
      <c r="AE97" s="85" t="str">
        <f t="shared" si="35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97" s="82" t="str">
        <f t="shared" si="36"/>
        <v>"C:\Program Files (x86)\AstroGrep\AstroGrep.exe" /e /r /s /spath="%USERPROFILE%\AppData\Local\Temp\OnboardLogs" /stypes="app*4025*20170321*" /stext=" 20:.+((SYSTEM_STATE.+slice.+state.+changed )|(ment ac)|(multiple cpu faults)|(system.+state.+changed )|(\[timeout)|(PRM\|1\|D)|(kpr)|(kdp)|(\|lc)|(penalty))"</v>
      </c>
      <c r="AG97" s="1" t="str">
        <f t="shared" si="37"/>
        <v>EC</v>
      </c>
      <c r="AH97" s="86" t="str">
        <f t="shared" si="38"/>
        <v>"%USERPROFILE%\Documents\GitHub\eaglep3\Utilities\RefineRTDCRunTimes.py" --tripid 179-21 --locoid 4025 --swversion DE.1.0.9.0 --startMP 204:539 --initTime 2017-03-21T13:27:14 --startdatetime 2017-03-21T13:30:36 --delay 1 --endMP 204:233289 --enddatetime 2017-03-21T14:08:13 --enforcementcount 0 &gt;&gt;C:\Users\stu\Documents\GitHub\eaglep3-reporting\EC\2017-03-21-refined-times.txt</v>
      </c>
      <c r="AI97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{"issue":{"subject":"","project_id":79,"tracker_id":40,"status_id":1,"priority_id":2,"assigned_to_id":23,"start_date":"2017-03-21","description":"","custom_fields":[{"id":1,"name":"Subdivision","value":"EC"},{"id":4,"name":"Milepost","value":"23.3289"},{"id":17,"name":"Train ID","value":"179-21"},{"id":16,"name":"Locomotive ID","value":"4025"},{"id":130,"name":"Impact","value":""},{"id":150,"name":"Time of Event (Mountain Time)","value":"14:08:13"},{"id":151,"name":"Denver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0"/>
        <v>start /low /b %USERPROFILE%\Documents\GitHub\eaglep3\Utilities\DownloadLogsFromS3.py --loco 4025 --day 2017-03-21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</row>
    <row r="98" spans="1:91" s="20" customFormat="1" x14ac:dyDescent="0.25">
      <c r="A98" s="33" t="s">
        <v>740</v>
      </c>
      <c r="B98" s="7">
        <v>4026</v>
      </c>
      <c r="C98" s="21" t="s">
        <v>221</v>
      </c>
      <c r="D98" s="21" t="s">
        <v>509</v>
      </c>
      <c r="E98" s="13">
        <v>42815.595347222225</v>
      </c>
      <c r="F98" s="13">
        <v>42815.6015625</v>
      </c>
      <c r="G98" s="7">
        <v>1</v>
      </c>
      <c r="H98" s="21" t="s">
        <v>897</v>
      </c>
      <c r="I98" s="13">
        <v>42815.632962962962</v>
      </c>
      <c r="J98" s="7">
        <v>0</v>
      </c>
      <c r="K98" s="98" t="str">
        <f t="shared" si="27"/>
        <v>4025/4026</v>
      </c>
      <c r="L98" s="21" t="str">
        <f>VLOOKUP(A98,'Trips&amp;Operators'!$C$1:$G$99999,5,FALSE)</f>
        <v>CLARK KATHLEEN</v>
      </c>
      <c r="M98" s="6">
        <f t="shared" si="28"/>
        <v>3.1400462961755693E-2</v>
      </c>
      <c r="N98" s="7">
        <f t="shared" si="43"/>
        <v>45.216666664928198</v>
      </c>
      <c r="O98" s="7"/>
      <c r="P98" s="7"/>
      <c r="Q98" s="22"/>
      <c r="R98" s="22"/>
      <c r="S98" s="31">
        <f t="shared" si="42"/>
        <v>1</v>
      </c>
      <c r="T98" s="46" t="str">
        <f t="shared" si="29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0"/>
        <v>https://d0f6bd738d7f1b3e5a7ca70fe4ff75f0.us-east-1.aws.found.io/app/kibana#/discover/Steve-Slow-Train-Analysis-(2080s-and-2083s)?_g=(refreshInterval:(display:Off,pause:!f,section:0,value:0),time:(from:'2017-03-21T13:17:18-0600',mode:absolute,to:'2017-03-21T16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8" s="187" t="str">
        <f t="shared" si="31"/>
        <v>N</v>
      </c>
      <c r="X98" s="187">
        <f t="shared" si="32"/>
        <v>1</v>
      </c>
      <c r="Y98" s="62">
        <f t="shared" si="41"/>
        <v>23.297599999999999</v>
      </c>
      <c r="Z98" s="62">
        <f t="shared" si="20"/>
        <v>2.1999999999999999E-2</v>
      </c>
      <c r="AA98" s="62">
        <f t="shared" si="33"/>
        <v>23.275600000000001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4"/>
        <v>0180-21</v>
      </c>
      <c r="AE98" s="85" t="str">
        <f t="shared" si="35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98" s="82" t="str">
        <f t="shared" si="36"/>
        <v>"C:\Program Files (x86)\AstroGrep\AstroGrep.exe" /e /r /s /spath="%USERPROFILE%\AppData\Local\Temp\OnboardLogs" /stypes="app*4026*20170321*" /stext=" 21:.+((SYSTEM_STATE.+slice.+state.+changed )|(ment ac)|(multiple cpu faults)|(system.+state.+changed )|(\[timeout)|(PRM\|1\|D)|(kpr)|(kdp)|(\|lc)|(penalty))"</v>
      </c>
      <c r="AG98" s="1" t="str">
        <f t="shared" si="37"/>
        <v>EC</v>
      </c>
      <c r="AH98" s="86" t="str">
        <f t="shared" si="38"/>
        <v>"%USERPROFILE%\Documents\GitHub\eaglep3\Utilities\RefineRTDCRunTimes.py" --tripid 180-21 --locoid 4026 --swversion DE.1.0.9.0 --startMP 204:232976 --initTime 2017-03-21T14:17:18 --startdatetime 2017-03-21T14:26:15 --delay 1 --endMP 204:220 --enddatetime 2017-03-21T15:11:28 --enforcementcount 0 &gt;&gt;C:\Users\stu\Documents\GitHub\eaglep3-reporting\EC\2017-03-21-refined-times.txt</v>
      </c>
      <c r="AI98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{"issue":{"subject":"","project_id":79,"tracker_id":40,"status_id":1,"priority_id":2,"assigned_to_id":23,"start_date":"2017-03-21","description":"","custom_fields":[{"id":1,"name":"Subdivision","value":"EC"},{"id":4,"name":"Milepost","value":"0.022"},{"id":17,"name":"Train ID","value":"180-21"},{"id":16,"name":"Locomotive ID","value":"4026"},{"id":130,"name":"Impact","value":""},{"id":150,"name":"Time of Event (Mountain Time)","value":"15:11:28"},{"id":151,"name":"Denver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0"/>
        <v>start /low /b %USERPROFILE%\Documents\GitHub\eaglep3\Utilities\DownloadLogsFromS3.py --loco 4026 --day 2017-03-21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618</v>
      </c>
      <c r="B99" s="7">
        <v>4044</v>
      </c>
      <c r="C99" s="21" t="s">
        <v>221</v>
      </c>
      <c r="D99" s="21" t="s">
        <v>416</v>
      </c>
      <c r="E99" s="13">
        <v>42815.570659722223</v>
      </c>
      <c r="F99" s="13">
        <v>42815.57309027778</v>
      </c>
      <c r="G99" s="7">
        <v>1</v>
      </c>
      <c r="H99" s="21" t="s">
        <v>898</v>
      </c>
      <c r="I99" s="13">
        <v>42815.59888888889</v>
      </c>
      <c r="J99" s="7">
        <v>0</v>
      </c>
      <c r="K99" s="98" t="str">
        <f t="shared" si="27"/>
        <v>4043/4044</v>
      </c>
      <c r="L99" s="21" t="str">
        <f>VLOOKUP(A99,'Trips&amp;Operators'!$C$1:$G$99999,5,FALSE)</f>
        <v>LOCKLEAR TRAVIS</v>
      </c>
      <c r="M99" s="6">
        <f t="shared" si="28"/>
        <v>2.5798611110076308E-2</v>
      </c>
      <c r="N99" s="7">
        <f t="shared" si="43"/>
        <v>37.149999998509884</v>
      </c>
      <c r="O99" s="7"/>
      <c r="P99" s="7"/>
      <c r="Q99" s="22"/>
      <c r="R99" s="22" t="s">
        <v>1059</v>
      </c>
      <c r="S99" s="31">
        <f t="shared" si="42"/>
        <v>1</v>
      </c>
      <c r="T99" s="46" t="str">
        <f t="shared" si="29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0"/>
        <v>https://d0f6bd738d7f1b3e5a7ca70fe4ff75f0.us-east-1.aws.found.io/app/kibana#/discover/Steve-Slow-Train-Analysis-(2080s-and-2083s)?_g=(refreshInterval:(display:Off,pause:!f,section:0,value:0),time:(from:'2017-03-21T12:41:45-0600',mode:absolute,to:'2017-03-21T15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7" t="str">
        <f t="shared" si="31"/>
        <v>N</v>
      </c>
      <c r="X99" s="187">
        <f t="shared" si="32"/>
        <v>1</v>
      </c>
      <c r="Y99" s="62">
        <f t="shared" si="41"/>
        <v>4.7300000000000002E-2</v>
      </c>
      <c r="Z99" s="62">
        <f t="shared" ref="Z99:Z162" si="44">RIGHT(H99,LEN(H99)-4)/10000</f>
        <v>23.340699999999998</v>
      </c>
      <c r="AA99" s="62">
        <f t="shared" si="33"/>
        <v>23.293399999999998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4"/>
        <v>0181-21</v>
      </c>
      <c r="AE99" s="85" t="str">
        <f t="shared" si="35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99" s="82" t="str">
        <f t="shared" si="36"/>
        <v>"C:\Program Files (x86)\AstroGrep\AstroGrep.exe" /e /r /s /spath="%USERPROFILE%\AppData\Local\Temp\OnboardLogs" /stypes="app*4044*20170321*" /stext=" 20:.+((SYSTEM_STATE.+slice.+state.+changed )|(ment ac)|(multiple cpu faults)|(system.+state.+changed )|(\[timeout)|(PRM\|1\|D)|(kpr)|(kdp)|(\|lc)|(penalty))"</v>
      </c>
      <c r="AG99" s="1" t="str">
        <f t="shared" si="37"/>
        <v>EC</v>
      </c>
      <c r="AH99" s="86" t="str">
        <f t="shared" si="38"/>
        <v>"%USERPROFILE%\Documents\GitHub\eaglep3\Utilities\RefineRTDCRunTimes.py" --tripid 181-21 --locoid 4044 --swversion DE.1.0.9.0 --startMP 204:473 --initTime 2017-03-21T13:41:45 --startdatetime 2017-03-21T13:45:15 --delay 1 --endMP 204:233407 --enddatetime 2017-03-21T14:22:24 --enforcementcount 0 &gt;&gt;C:\Users\stu\Documents\GitHub\eaglep3-reporting\EC\2017-03-21-refined-times.txt</v>
      </c>
      <c r="AI99" s="108" t="str">
        <f t="shared" si="39"/>
        <v>echo {"issue":{"subject":"Selected wrong track, but corrected","project_id":79,"tracker_id":40,"status_id":1,"priority_id":2,"assigned_to_id":23,"start_date":"2017-03-21","description":"","custom_fields":[{"id":1,"name":"Subdivision","value":"EC"},{"id":4,"name":"Milepost","value":"23.3407"},{"id":17,"name":"Train ID","value":"181-21"},{"id":16,"name":"Locomotive ID","value":"4044"},{"id":130,"name":"Impact","value":""},{"id":150,"name":"Time of Event (Mountain Time)","value":"14:22:24"},{"id":151,"name":"Denver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0"/>
        <v>start /low /b %USERPROFILE%\Documents\GitHub\eaglep3\Utilities\DownloadLogsFromS3.py --loco 4044 --day 2017-03-21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743</v>
      </c>
      <c r="B100" s="7">
        <v>4043</v>
      </c>
      <c r="C100" s="21" t="s">
        <v>221</v>
      </c>
      <c r="D100" s="21" t="s">
        <v>899</v>
      </c>
      <c r="E100" s="13">
        <v>42815.609872685185</v>
      </c>
      <c r="F100" s="13">
        <v>42815.611979166664</v>
      </c>
      <c r="G100" s="7">
        <v>1</v>
      </c>
      <c r="H100" s="21" t="s">
        <v>215</v>
      </c>
      <c r="I100" s="13">
        <v>42815.641388888886</v>
      </c>
      <c r="J100" s="7">
        <v>0</v>
      </c>
      <c r="K100" s="98" t="str">
        <f t="shared" si="27"/>
        <v>4043/4044</v>
      </c>
      <c r="L100" s="21" t="str">
        <f>VLOOKUP(A100,'Trips&amp;Operators'!$C$1:$G$99999,5,FALSE)</f>
        <v>LOCKLEAR TRAVIS</v>
      </c>
      <c r="M100" s="6">
        <f t="shared" si="28"/>
        <v>2.940972222131677E-2</v>
      </c>
      <c r="N100" s="7">
        <f t="shared" si="43"/>
        <v>42.349999998696148</v>
      </c>
      <c r="O100" s="7"/>
      <c r="P100" s="7"/>
      <c r="Q100" s="22"/>
      <c r="R100" s="22"/>
      <c r="S100" s="31">
        <f t="shared" si="42"/>
        <v>1</v>
      </c>
      <c r="T100" s="46" t="str">
        <f t="shared" si="29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0"/>
        <v>https://d0f6bd738d7f1b3e5a7ca70fe4ff75f0.us-east-1.aws.found.io/app/kibana#/discover/Steve-Slow-Train-Analysis-(2080s-and-2083s)?_g=(refreshInterval:(display:Off,pause:!f,section:0,value:0),time:(from:'2017-03-21T13:38:13-0600',mode:absolute,to:'2017-03-21T16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7" t="str">
        <f t="shared" si="31"/>
        <v>N</v>
      </c>
      <c r="X100" s="187">
        <f t="shared" si="32"/>
        <v>1</v>
      </c>
      <c r="Y100" s="62">
        <f t="shared" si="41"/>
        <v>23.3124</v>
      </c>
      <c r="Z100" s="62">
        <f t="shared" si="44"/>
        <v>1.5599999999999999E-2</v>
      </c>
      <c r="AA100" s="62">
        <f t="shared" si="33"/>
        <v>23.296800000000001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4"/>
        <v>0182-21</v>
      </c>
      <c r="AE100" s="85" t="str">
        <f t="shared" si="35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100" s="82" t="str">
        <f t="shared" si="36"/>
        <v>"C:\Program Files (x86)\AstroGrep\AstroGrep.exe" /e /r /s /spath="%USERPROFILE%\AppData\Local\Temp\OnboardLogs" /stypes="app*4043*20170321*" /stext=" 21:.+((SYSTEM_STATE.+slice.+state.+changed )|(ment ac)|(multiple cpu faults)|(system.+state.+changed )|(\[timeout)|(PRM\|1\|D)|(kpr)|(kdp)|(\|lc)|(penalty))"</v>
      </c>
      <c r="AG100" s="1" t="str">
        <f t="shared" si="37"/>
        <v>EC</v>
      </c>
      <c r="AH100" s="86" t="str">
        <f t="shared" si="38"/>
        <v>"%USERPROFILE%\Documents\GitHub\eaglep3\Utilities\RefineRTDCRunTimes.py" --tripid 182-21 --locoid 4043 --swversion DE.1.0.9.0 --startMP 204:233124 --initTime 2017-03-21T14:38:13 --startdatetime 2017-03-21T14:41:15 --delay 1 --endMP 204:156 --enddatetime 2017-03-21T15:23:36 --enforcementcount 0 &gt;&gt;C:\Users\stu\Documents\GitHub\eaglep3-reporting\EC\2017-03-21-refined-times.txt</v>
      </c>
      <c r="AI100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{"issue":{"subject":"","project_id":79,"tracker_id":40,"status_id":1,"priority_id":2,"assigned_to_id":23,"start_date":"2017-03-21","description":"","custom_fields":[{"id":1,"name":"Subdivision","value":"EC"},{"id":4,"name":"Milepost","value":"0.0156"},{"id":17,"name":"Train ID","value":"182-21"},{"id":16,"name":"Locomotive ID","value":"4043"},{"id":130,"name":"Impact","value":""},{"id":150,"name":"Time of Event (Mountain Time)","value":"15:23:36"},{"id":151,"name":"Denver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0"/>
        <v>start /low /b %USERPROFILE%\Documents\GitHub\eaglep3\Utilities\DownloadLogsFromS3.py --loco 4043 --day 2017-03-21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"%USERPROFILE%\AppData\Local\Temp\OnboardLogs"\RTDC4043\*4043*20170321* | grep -SE "(Enforcement Action)|(\[TIMEOUT)|(CHR.+\|PRM\|1\|D.+(SWITCH|SIGNAL).+UNKNOWN)" - &gt;&gt; 2017-03-21-UncaughtWiMAX.txt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737</v>
      </c>
      <c r="B101" s="7">
        <v>4024</v>
      </c>
      <c r="C101" s="21" t="s">
        <v>221</v>
      </c>
      <c r="D101" s="21" t="s">
        <v>398</v>
      </c>
      <c r="E101" s="13">
        <v>42815.581041666665</v>
      </c>
      <c r="F101" s="13">
        <v>42815.583784722221</v>
      </c>
      <c r="G101" s="7">
        <v>1</v>
      </c>
      <c r="H101" s="21" t="s">
        <v>900</v>
      </c>
      <c r="I101" s="13">
        <v>42815.607824074075</v>
      </c>
      <c r="J101" s="7">
        <v>0</v>
      </c>
      <c r="K101" s="98" t="str">
        <f t="shared" si="27"/>
        <v>4023/4024</v>
      </c>
      <c r="L101" s="21" t="str">
        <f>VLOOKUP(A101,'Trips&amp;Operators'!$C$1:$G$99999,5,FALSE)</f>
        <v>ROMERO CHAD</v>
      </c>
      <c r="M101" s="6">
        <f t="shared" si="28"/>
        <v>2.4039351854298729E-2</v>
      </c>
      <c r="N101" s="7">
        <f t="shared" si="43"/>
        <v>34.61666667019017</v>
      </c>
      <c r="O101" s="7"/>
      <c r="P101" s="7"/>
      <c r="Q101" s="22"/>
      <c r="R101" s="22"/>
      <c r="S101" s="31">
        <f t="shared" si="42"/>
        <v>1</v>
      </c>
      <c r="T101" s="46" t="str">
        <f t="shared" si="29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0"/>
        <v>https://d0f6bd738d7f1b3e5a7ca70fe4ff75f0.us-east-1.aws.found.io/app/kibana#/discover/Steve-Slow-Train-Analysis-(2080s-and-2083s)?_g=(refreshInterval:(display:Off,pause:!f,section:0,value:0),time:(from:'2017-03-21T12:56:42-0600',mode:absolute,to:'2017-03-21T15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1" s="187" t="str">
        <f t="shared" si="31"/>
        <v>N</v>
      </c>
      <c r="X101" s="187">
        <f t="shared" si="32"/>
        <v>1</v>
      </c>
      <c r="Y101" s="62">
        <f t="shared" si="41"/>
        <v>4.7100000000000003E-2</v>
      </c>
      <c r="Z101" s="62">
        <f t="shared" si="44"/>
        <v>23.344799999999999</v>
      </c>
      <c r="AA101" s="62">
        <f t="shared" si="33"/>
        <v>23.297699999999999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4"/>
        <v>0183-21</v>
      </c>
      <c r="AE101" s="85" t="str">
        <f t="shared" si="35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101" s="82" t="str">
        <f t="shared" si="36"/>
        <v>"C:\Program Files (x86)\AstroGrep\AstroGrep.exe" /e /r /s /spath="%USERPROFILE%\AppData\Local\Temp\OnboardLogs" /stypes="app*4024*20170321*" /stext=" 20:.+((SYSTEM_STATE.+slice.+state.+changed )|(ment ac)|(multiple cpu faults)|(system.+state.+changed )|(\[timeout)|(PRM\|1\|D)|(kpr)|(kdp)|(\|lc)|(penalty))"</v>
      </c>
      <c r="AG101" s="1" t="str">
        <f t="shared" si="37"/>
        <v>EC</v>
      </c>
      <c r="AH101" s="86" t="str">
        <f t="shared" si="38"/>
        <v>"%USERPROFILE%\Documents\GitHub\eaglep3\Utilities\RefineRTDCRunTimes.py" --tripid 183-21 --locoid 4024 --swversion DE.1.0.9.0 --startMP 204:471 --initTime 2017-03-21T13:56:42 --startdatetime 2017-03-21T14:00:39 --delay 1 --endMP 204:233448 --enddatetime 2017-03-21T14:35:16 --enforcementcount 0 &gt;&gt;C:\Users\stu\Documents\GitHub\eaglep3-reporting\EC\2017-03-21-refined-times.txt</v>
      </c>
      <c r="AI101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{"issue":{"subject":"","project_id":79,"tracker_id":40,"status_id":1,"priority_id":2,"assigned_to_id":23,"start_date":"2017-03-21","description":"","custom_fields":[{"id":1,"name":"Subdivision","value":"EC"},{"id":4,"name":"Milepost","value":"23.3448"},{"id":17,"name":"Train ID","value":"183-21"},{"id":16,"name":"Locomotive ID","value":"4024"},{"id":130,"name":"Impact","value":""},{"id":150,"name":"Time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0"/>
        <v>start /low /b %USERPROFILE%\Documents\GitHub\eaglep3\Utilities\DownloadLogsFromS3.py --loco 4024 --day 2017-03-21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745</v>
      </c>
      <c r="B102" s="7">
        <v>4023</v>
      </c>
      <c r="C102" s="21" t="s">
        <v>221</v>
      </c>
      <c r="D102" s="21" t="s">
        <v>901</v>
      </c>
      <c r="E102" s="13">
        <v>42815.612847222219</v>
      </c>
      <c r="F102" s="13">
        <v>42815.622812499998</v>
      </c>
      <c r="G102" s="7">
        <v>1</v>
      </c>
      <c r="H102" s="21" t="s">
        <v>184</v>
      </c>
      <c r="I102" s="13">
        <v>42815.649895833332</v>
      </c>
      <c r="J102" s="7">
        <v>0</v>
      </c>
      <c r="K102" s="98" t="str">
        <f t="shared" si="27"/>
        <v>4023/4024</v>
      </c>
      <c r="L102" s="21" t="str">
        <f>VLOOKUP(A102,'Trips&amp;Operators'!$C$1:$G$99999,5,FALSE)</f>
        <v>ROMERO CHAD</v>
      </c>
      <c r="M102" s="6">
        <f t="shared" si="28"/>
        <v>2.7083333334303461E-2</v>
      </c>
      <c r="N102" s="7">
        <f t="shared" si="43"/>
        <v>39.000000001396984</v>
      </c>
      <c r="O102" s="7"/>
      <c r="P102" s="7"/>
      <c r="Q102" s="22"/>
      <c r="R102" s="22"/>
      <c r="S102" s="31">
        <f t="shared" si="42"/>
        <v>1</v>
      </c>
      <c r="T102" s="46" t="str">
        <f t="shared" si="29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0"/>
        <v>https://d0f6bd738d7f1b3e5a7ca70fe4ff75f0.us-east-1.aws.found.io/app/kibana#/discover/Steve-Slow-Train-Analysis-(2080s-and-2083s)?_g=(refreshInterval:(display:Off,pause:!f,section:0,value:0),time:(from:'2017-03-21T13:42:30-0600',mode:absolute,to:'2017-03-21T16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2" s="187" t="str">
        <f t="shared" si="31"/>
        <v>N</v>
      </c>
      <c r="X102" s="187">
        <f t="shared" si="32"/>
        <v>1</v>
      </c>
      <c r="Y102" s="62">
        <f t="shared" si="41"/>
        <v>23.313400000000001</v>
      </c>
      <c r="Z102" s="62">
        <f t="shared" si="44"/>
        <v>1.49E-2</v>
      </c>
      <c r="AA102" s="62">
        <f t="shared" si="33"/>
        <v>23.298500000000001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4"/>
        <v>0184-21</v>
      </c>
      <c r="AE102" s="85" t="str">
        <f t="shared" si="35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102" s="82" t="str">
        <f t="shared" si="36"/>
        <v>"C:\Program Files (x86)\AstroGrep\AstroGrep.exe" /e /r /s /spath="%USERPROFILE%\AppData\Local\Temp\OnboardLogs" /stypes="app*4023*20170321*" /stext=" 21:.+((SYSTEM_STATE.+slice.+state.+changed )|(ment ac)|(multiple cpu faults)|(system.+state.+changed )|(\[timeout)|(PRM\|1\|D)|(kpr)|(kdp)|(\|lc)|(penalty))"</v>
      </c>
      <c r="AG102" s="1" t="str">
        <f t="shared" si="37"/>
        <v>EC</v>
      </c>
      <c r="AH102" s="86" t="str">
        <f t="shared" si="38"/>
        <v>"%USERPROFILE%\Documents\GitHub\eaglep3\Utilities\RefineRTDCRunTimes.py" --tripid 184-21 --locoid 4023 --swversion DE.1.0.9.0 --startMP 204:233134 --initTime 2017-03-21T14:42:30 --startdatetime 2017-03-21T14:56:51 --delay 1 --endMP 204:149 --enddatetime 2017-03-21T15:35:51 --enforcementcount 0 &gt;&gt;C:\Users\stu\Documents\GitHub\eaglep3-reporting\EC\2017-03-21-refined-times.txt</v>
      </c>
      <c r="AI102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{"issue":{"subject":"","project_id":79,"tracker_id":40,"status_id":1,"priority_id":2,"assigned_to_id":23,"start_date":"2017-03-21","description":"","custom_fields":[{"id":1,"name":"Subdivision","value":"EC"},{"id":4,"name":"Milepost","value":"0.0149"},{"id":17,"name":"Train ID","value":"184-21"},{"id":16,"name":"Locomotive ID","value":"4023"},{"id":130,"name":"Impact","value":""},{"id":150,"name":"Time of Event (Mountain Time)","value":"15:35:51"},{"id":151,"name":"Denver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0"/>
        <v>start /low /b %USERPROFILE%\Documents\GitHub\eaglep3\Utilities\DownloadLogsFromS3.py --loco 4023 --day 2017-03-21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620</v>
      </c>
      <c r="B103" s="7">
        <v>4016</v>
      </c>
      <c r="C103" s="21" t="s">
        <v>221</v>
      </c>
      <c r="D103" s="21" t="s">
        <v>217</v>
      </c>
      <c r="E103" s="13">
        <v>42815.590208333335</v>
      </c>
      <c r="F103" s="13">
        <v>42815.599224537036</v>
      </c>
      <c r="G103" s="7">
        <v>1</v>
      </c>
      <c r="H103" s="21" t="s">
        <v>902</v>
      </c>
      <c r="I103" s="13">
        <v>42815.622071759259</v>
      </c>
      <c r="J103" s="7">
        <v>0</v>
      </c>
      <c r="K103" s="98" t="str">
        <f t="shared" si="27"/>
        <v>4015/4016</v>
      </c>
      <c r="L103" s="21" t="str">
        <f>VLOOKUP(A103,'Trips&amp;Operators'!$C$1:$G$99999,5,FALSE)</f>
        <v>STRICKLAND EVAN</v>
      </c>
      <c r="M103" s="6">
        <f t="shared" si="28"/>
        <v>2.2847222222480923E-2</v>
      </c>
      <c r="N103" s="7"/>
      <c r="O103" s="7"/>
      <c r="P103" s="7">
        <f>24*60*SUM($M103:$M103)</f>
        <v>32.900000000372529</v>
      </c>
      <c r="Q103" s="22"/>
      <c r="R103" s="22" t="s">
        <v>531</v>
      </c>
      <c r="S103" s="31">
        <f t="shared" si="42"/>
        <v>1</v>
      </c>
      <c r="T103" s="46" t="str">
        <f t="shared" si="29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0"/>
        <v>https://d0f6bd738d7f1b3e5a7ca70fe4ff75f0.us-east-1.aws.found.io/app/kibana#/discover/Steve-Slow-Train-Analysis-(2080s-and-2083s)?_g=(refreshInterval:(display:Off,pause:!f,section:0,value:0),time:(from:'2017-03-21T13:09:54-0600',mode:absolute,to:'2017-03-21T15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187" t="str">
        <f t="shared" si="31"/>
        <v>Y</v>
      </c>
      <c r="X103" s="187">
        <f t="shared" si="32"/>
        <v>1</v>
      </c>
      <c r="Y103" s="62">
        <v>1.91</v>
      </c>
      <c r="Z103" s="62">
        <f t="shared" si="44"/>
        <v>23.3368</v>
      </c>
      <c r="AA103" s="62">
        <f t="shared" si="33"/>
        <v>21.4268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4"/>
        <v>0185-21</v>
      </c>
      <c r="AE103" s="85" t="str">
        <f t="shared" si="35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103" s="82" t="str">
        <f t="shared" si="36"/>
        <v>"C:\Program Files (x86)\AstroGrep\AstroGrep.exe" /e /r /s /spath="%USERPROFILE%\AppData\Local\Temp\OnboardLogs" /stypes="app*4016*20170321*" /stext=" 20:.+((SYSTEM_STATE.+slice.+state.+changed )|(ment ac)|(multiple cpu faults)|(system.+state.+changed )|(\[timeout)|(PRM\|1\|D)|(kpr)|(kdp)|(\|lc)|(penalty))"</v>
      </c>
      <c r="AG103" s="1" t="str">
        <f t="shared" si="37"/>
        <v>EC</v>
      </c>
      <c r="AH103" s="86" t="str">
        <f t="shared" si="38"/>
        <v>"%USERPROFILE%\Documents\GitHub\eaglep3\Utilities\RefineRTDCRunTimes.py" --tripid 185-21 --locoid 4016 --swversion DE.1.0.9.0 --startMP 204:447 --initTime 2017-03-21T14:09:54 --startdatetime 2017-03-21T14:22:53 --delay 1 --endMP 204:233368 --enddatetime 2017-03-21T14:55:47 --enforcementcount 0 &gt;&gt;C:\Users\stu\Documents\GitHub\eaglep3-reporting\EC\2017-03-21-refined-times.txt</v>
      </c>
      <c r="AI103" s="108" t="str">
        <f t="shared" si="39"/>
        <v>echo {"issue":{"subject":"Selected wrong track","project_id":79,"tracker_id":40,"status_id":1,"priority_id":2,"assigned_to_id":23,"start_date":"2017-03-21","description":"","custom_fields":[{"id":1,"name":"Subdivision","value":"EC"},{"id":4,"name":"Milepost","value":"23.3368"},{"id":17,"name":"Train ID","value":"185-21"},{"id":16,"name":"Locomotive ID","value":"4016"},{"id":130,"name":"Impact","value":""},{"id":150,"name":"Time of Event (Mountain Time)","value":"14:55:47"},{"id":151,"name":"Denver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0"/>
        <v>start /low /b %USERPROFILE%\Documents\GitHub\eaglep3\Utilities\DownloadLogsFromS3.py --loco 4016 --day 2017-03-21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622</v>
      </c>
      <c r="B104" s="7">
        <v>4015</v>
      </c>
      <c r="C104" s="21" t="s">
        <v>221</v>
      </c>
      <c r="D104" s="21" t="s">
        <v>903</v>
      </c>
      <c r="E104" s="13">
        <v>42815.623414351852</v>
      </c>
      <c r="F104" s="13">
        <v>42815.633043981485</v>
      </c>
      <c r="G104" s="7">
        <v>1</v>
      </c>
      <c r="H104" s="21" t="s">
        <v>432</v>
      </c>
      <c r="I104" s="13">
        <v>42815.661273148151</v>
      </c>
      <c r="J104" s="7">
        <v>0</v>
      </c>
      <c r="K104" s="98" t="str">
        <f t="shared" si="27"/>
        <v>4015/4016</v>
      </c>
      <c r="L104" s="21" t="str">
        <f>VLOOKUP(A104,'Trips&amp;Operators'!$C$1:$G$99999,5,FALSE)</f>
        <v>STRICKLAND EVAN</v>
      </c>
      <c r="M104" s="6">
        <f t="shared" si="28"/>
        <v>2.8229166666278616E-2</v>
      </c>
      <c r="N104" s="7">
        <f t="shared" ref="N104:N135" si="45">24*60*SUM($M104:$M104)</f>
        <v>40.649999999441206</v>
      </c>
      <c r="O104" s="7"/>
      <c r="P104" s="7"/>
      <c r="Q104" s="22"/>
      <c r="R104" s="22"/>
      <c r="S104" s="31">
        <f t="shared" si="42"/>
        <v>1</v>
      </c>
      <c r="T104" s="46" t="str">
        <f t="shared" si="29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0"/>
        <v>https://d0f6bd738d7f1b3e5a7ca70fe4ff75f0.us-east-1.aws.found.io/app/kibana#/discover/Steve-Slow-Train-Analysis-(2080s-and-2083s)?_g=(refreshInterval:(display:Off,pause:!f,section:0,value:0),time:(from:'2017-03-21T13:57:43-0600',mode:absolute,to:'2017-03-21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4" s="187" t="str">
        <f t="shared" si="31"/>
        <v>N</v>
      </c>
      <c r="X104" s="187">
        <f t="shared" si="32"/>
        <v>1</v>
      </c>
      <c r="Y104" s="62">
        <f t="shared" ref="Y104:Y135" si="46">RIGHT(D104,LEN(D104)-4)/10000</f>
        <v>23.305099999999999</v>
      </c>
      <c r="Z104" s="62">
        <f t="shared" si="44"/>
        <v>1.7000000000000001E-2</v>
      </c>
      <c r="AA104" s="62">
        <f t="shared" si="33"/>
        <v>23.2881</v>
      </c>
      <c r="AB104" s="59" t="str">
        <f>VLOOKUP(A104,Enforcements!$C$7:$K$13,8,0)</f>
        <v>Bulletin (2)</v>
      </c>
      <c r="AC104" s="55" t="str">
        <f>VLOOKUP(A104,Enforcements!$C$7:$E$13,3,0)</f>
        <v>GRADE CROSSING</v>
      </c>
      <c r="AD104" s="56" t="str">
        <f t="shared" si="34"/>
        <v>0186-21</v>
      </c>
      <c r="AE104" s="85" t="str">
        <f t="shared" si="35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104" s="82" t="str">
        <f t="shared" si="36"/>
        <v>"C:\Program Files (x86)\AstroGrep\AstroGrep.exe" /e /r /s /spath="%USERPROFILE%\AppData\Local\Temp\OnboardLogs" /stypes="app*4015*20170321*" /stext=" 21:.+((SYSTEM_STATE.+slice.+state.+changed )|(ment ac)|(multiple cpu faults)|(system.+state.+changed )|(\[timeout)|(PRM\|1\|D)|(kpr)|(kdp)|(\|lc)|(penalty))"</v>
      </c>
      <c r="AG104" s="1" t="str">
        <f t="shared" si="37"/>
        <v>EC</v>
      </c>
      <c r="AH104" s="86" t="str">
        <f t="shared" si="38"/>
        <v>"%USERPROFILE%\Documents\GitHub\eaglep3\Utilities\RefineRTDCRunTimes.py" --tripid 186-21 --locoid 4015 --swversion DE.1.0.9.0 --startMP 204:233051 --initTime 2017-03-21T14:57:43 --startdatetime 2017-03-21T15:11:35 --delay 1 --endMP 204:170 --enddatetime 2017-03-21T15:52:14 --enforcementcount 0 &gt;&gt;C:\Users\stu\Documents\GitHub\eaglep3-reporting\EC\2017-03-21-refined-times.txt</v>
      </c>
      <c r="AI104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{"issue":{"subject":"","project_id":79,"tracker_id":40,"status_id":1,"priority_id":2,"assigned_to_id":23,"start_date":"2017-03-21","description":"","custom_fields":[{"id":1,"name":"Subdivision","value":"EC"},{"id":4,"name":"Milepost","value":"0.017"},{"id":17,"name":"Train ID","value":"186-21"},{"id":16,"name":"Locomotive ID","value":"4015"},{"id":130,"name":"Impact","value":""},{"id":150,"name":"Time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0"/>
        <v>start /low /b %USERPROFILE%\Documents\GitHub\eaglep3\Utilities\DownloadLogsFromS3.py --loco 4015 --day 2017-03-21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"%USERPROFILE%\AppData\Local\Temp\OnboardLogs"\RTDC4015\*4015*20170321* | grep -SE "(Enforcement Action)|(\[TIMEOUT)|(CHR.+\|PRM\|1\|D.+(SWITCH|SIGNAL).+UNKNOWN)" - &gt;&gt; 2017-03-21-UncaughtWiMAX.txt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741</v>
      </c>
      <c r="B105" s="7">
        <v>4042</v>
      </c>
      <c r="C105" s="21" t="s">
        <v>221</v>
      </c>
      <c r="D105" s="21" t="s">
        <v>904</v>
      </c>
      <c r="E105" s="13">
        <v>42815.603576388887</v>
      </c>
      <c r="F105" s="13">
        <v>42815.60528935185</v>
      </c>
      <c r="G105" s="7">
        <v>1</v>
      </c>
      <c r="H105" s="21" t="s">
        <v>512</v>
      </c>
      <c r="I105" s="13">
        <v>42815.631319444445</v>
      </c>
      <c r="J105" s="7">
        <v>0</v>
      </c>
      <c r="K105" s="98" t="str">
        <f t="shared" si="27"/>
        <v>4041/4042</v>
      </c>
      <c r="L105" s="21" t="str">
        <f>VLOOKUP(A105,'Trips&amp;Operators'!$C$1:$G$99999,5,FALSE)</f>
        <v>DAVIS MICHAEL</v>
      </c>
      <c r="M105" s="6">
        <f t="shared" si="28"/>
        <v>2.6030092594737653E-2</v>
      </c>
      <c r="N105" s="7">
        <f t="shared" si="45"/>
        <v>37.48333333642222</v>
      </c>
      <c r="O105" s="7"/>
      <c r="P105" s="7"/>
      <c r="Q105" s="22"/>
      <c r="R105" s="22"/>
      <c r="S105" s="31">
        <f t="shared" si="42"/>
        <v>1</v>
      </c>
      <c r="T105" s="46" t="str">
        <f t="shared" si="29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0"/>
        <v>https://d0f6bd738d7f1b3e5a7ca70fe4ff75f0.us-east-1.aws.found.io/app/kibana#/discover/Steve-Slow-Train-Analysis-(2080s-and-2083s)?_g=(refreshInterval:(display:Off,pause:!f,section:0,value:0),time:(from:'2017-03-21T13:29:09-0600',mode:absolute,to:'2017-03-21T16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87" t="str">
        <f t="shared" si="31"/>
        <v>N</v>
      </c>
      <c r="X105" s="187">
        <f t="shared" si="32"/>
        <v>1</v>
      </c>
      <c r="Y105" s="62">
        <f t="shared" si="46"/>
        <v>5.1299999999999998E-2</v>
      </c>
      <c r="Z105" s="62">
        <f t="shared" si="44"/>
        <v>23.333400000000001</v>
      </c>
      <c r="AA105" s="62">
        <f t="shared" si="33"/>
        <v>23.2821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4"/>
        <v>0187-21</v>
      </c>
      <c r="AE105" s="85" t="str">
        <f t="shared" si="35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105" s="82" t="str">
        <f t="shared" si="36"/>
        <v>"C:\Program Files (x86)\AstroGrep\AstroGrep.exe" /e /r /s /spath="%USERPROFILE%\AppData\Local\Temp\OnboardLogs" /stypes="app*4042*20170321*" /stext=" 21:.+((SYSTEM_STATE.+slice.+state.+changed )|(ment ac)|(multiple cpu faults)|(system.+state.+changed )|(\[timeout)|(PRM\|1\|D)|(kpr)|(kdp)|(\|lc)|(penalty))"</v>
      </c>
      <c r="AG105" s="1" t="str">
        <f t="shared" si="37"/>
        <v>EC</v>
      </c>
      <c r="AH105" s="86" t="str">
        <f t="shared" si="38"/>
        <v>"%USERPROFILE%\Documents\GitHub\eaglep3\Utilities\RefineRTDCRunTimes.py" --tripid 187-21 --locoid 4042 --swversion DE.1.0.9.0 --startMP 204:513 --initTime 2017-03-21T14:29:09 --startdatetime 2017-03-21T14:31:37 --delay 1 --endMP 204:233334 --enddatetime 2017-03-21T15:09:06 --enforcementcount 0 &gt;&gt;C:\Users\stu\Documents\GitHub\eaglep3-reporting\EC\2017-03-21-refined-times.txt</v>
      </c>
      <c r="AI105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{"issue":{"subject":"","project_id":79,"tracker_id":40,"status_id":1,"priority_id":2,"assigned_to_id":23,"start_date":"2017-03-21","description":"","custom_fields":[{"id":1,"name":"Subdivision","value":"EC"},{"id":4,"name":"Milepost","value":"23.3334"},{"id":17,"name":"Train ID","value":"187-21"},{"id":16,"name":"Locomotive ID","value":"4042"},{"id":130,"name":"Impact","value":""},{"id":150,"name":"Time of Event (Mountain Time)","value":"15:09:06"},{"id":151,"name":"Denver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0"/>
        <v>start /low /b %USERPROFILE%\Documents\GitHub\eaglep3\Utilities\DownloadLogsFromS3.py --loco 4042 --day 2017-03-21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749</v>
      </c>
      <c r="B106" s="7">
        <v>4041</v>
      </c>
      <c r="C106" s="21" t="s">
        <v>221</v>
      </c>
      <c r="D106" s="21" t="s">
        <v>480</v>
      </c>
      <c r="E106" s="13">
        <v>42815.64025462963</v>
      </c>
      <c r="F106" s="13">
        <v>42815.643333333333</v>
      </c>
      <c r="G106" s="7">
        <v>1</v>
      </c>
      <c r="H106" s="21" t="s">
        <v>571</v>
      </c>
      <c r="I106" s="13">
        <v>42815.672453703701</v>
      </c>
      <c r="J106" s="7">
        <v>0</v>
      </c>
      <c r="K106" s="98" t="str">
        <f t="shared" si="27"/>
        <v>4041/4042</v>
      </c>
      <c r="L106" s="21" t="str">
        <f>VLOOKUP(A106,'Trips&amp;Operators'!$C$1:$G$99999,5,FALSE)</f>
        <v>DAVIS MICHAEL</v>
      </c>
      <c r="M106" s="6">
        <f t="shared" si="28"/>
        <v>2.9120370367309079E-2</v>
      </c>
      <c r="N106" s="7">
        <f t="shared" si="45"/>
        <v>41.933333328925073</v>
      </c>
      <c r="O106" s="7"/>
      <c r="P106" s="7"/>
      <c r="Q106" s="22"/>
      <c r="R106" s="22"/>
      <c r="S106" s="31">
        <f t="shared" si="42"/>
        <v>1</v>
      </c>
      <c r="T106" s="46" t="str">
        <f t="shared" si="29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0"/>
        <v>https://d0f6bd738d7f1b3e5a7ca70fe4ff75f0.us-east-1.aws.found.io/app/kibana#/discover/Steve-Slow-Train-Analysis-(2080s-and-2083s)?_g=(refreshInterval:(display:Off,pause:!f,section:0,value:0),time:(from:'2017-03-21T14:21:58-0600',mode:absolute,to:'2017-03-21T17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87" t="str">
        <f t="shared" si="31"/>
        <v>N</v>
      </c>
      <c r="X106" s="187">
        <f t="shared" si="32"/>
        <v>1</v>
      </c>
      <c r="Y106" s="62">
        <f t="shared" si="46"/>
        <v>23.302099999999999</v>
      </c>
      <c r="Z106" s="62">
        <f t="shared" si="44"/>
        <v>1.2699999999999999E-2</v>
      </c>
      <c r="AA106" s="62">
        <f t="shared" si="33"/>
        <v>23.289400000000001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4"/>
        <v>0188-21</v>
      </c>
      <c r="AE106" s="85" t="str">
        <f t="shared" si="35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106" s="82" t="str">
        <f t="shared" si="36"/>
        <v>"C:\Program Files (x86)\AstroGrep\AstroGrep.exe" /e /r /s /spath="%USERPROFILE%\AppData\Local\Temp\OnboardLogs" /stypes="app*4041*20170321*" /stext=" 22:.+((SYSTEM_STATE.+slice.+state.+changed )|(ment ac)|(multiple cpu faults)|(system.+state.+changed )|(\[timeout)|(PRM\|1\|D)|(kpr)|(kdp)|(\|lc)|(penalty))"</v>
      </c>
      <c r="AG106" s="1" t="str">
        <f t="shared" si="37"/>
        <v>EC</v>
      </c>
      <c r="AH106" s="86" t="str">
        <f t="shared" si="38"/>
        <v>"%USERPROFILE%\Documents\GitHub\eaglep3\Utilities\RefineRTDCRunTimes.py" --tripid 188-21 --locoid 4041 --swversion DE.1.0.9.0 --startMP 204:233021 --initTime 2017-03-21T15:21:58 --startdatetime 2017-03-21T15:26:24 --delay 1 --endMP 204:127 --enddatetime 2017-03-21T16:08:20 --enforcementcount 0 &gt;&gt;C:\Users\stu\Documents\GitHub\eaglep3-reporting\EC\2017-03-21-refined-times.txt</v>
      </c>
      <c r="AI106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{"issue":{"subject":"","project_id":79,"tracker_id":40,"status_id":1,"priority_id":2,"assigned_to_id":23,"start_date":"2017-03-21","description":"","custom_fields":[{"id":1,"name":"Subdivision","value":"EC"},{"id":4,"name":"Milepost","value":"0.0127"},{"id":17,"name":"Train ID","value":"188-21"},{"id":16,"name":"Locomotive ID","value":"4041"},{"id":130,"name":"Impact","value":""},{"id":150,"name":"Time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0"/>
        <v>start /low /b %USERPROFILE%\Documents\GitHub\eaglep3\Utilities\DownloadLogsFromS3.py --loco 4041 --day 2017-03-21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744</v>
      </c>
      <c r="B107" s="7">
        <v>4031</v>
      </c>
      <c r="C107" s="21" t="s">
        <v>221</v>
      </c>
      <c r="D107" s="21" t="s">
        <v>208</v>
      </c>
      <c r="E107" s="13">
        <v>42815.611180555556</v>
      </c>
      <c r="F107" s="13">
        <v>42815.614814814813</v>
      </c>
      <c r="G107" s="7">
        <v>2</v>
      </c>
      <c r="H107" s="21" t="s">
        <v>411</v>
      </c>
      <c r="I107" s="13">
        <v>42815.640173611115</v>
      </c>
      <c r="J107" s="7">
        <v>0</v>
      </c>
      <c r="K107" s="98" t="str">
        <f t="shared" si="27"/>
        <v>4031/4032</v>
      </c>
      <c r="L107" s="21" t="str">
        <f>VLOOKUP(A107,'Trips&amp;Operators'!$C$1:$G$99999,5,FALSE)</f>
        <v>STEWART MICHAEL</v>
      </c>
      <c r="M107" s="6">
        <f t="shared" si="28"/>
        <v>2.5358796301588882E-2</v>
      </c>
      <c r="N107" s="7">
        <f t="shared" si="45"/>
        <v>36.51666667428799</v>
      </c>
      <c r="O107" s="7"/>
      <c r="P107" s="7"/>
      <c r="Q107" s="22"/>
      <c r="R107" s="22" t="s">
        <v>1065</v>
      </c>
      <c r="S107" s="31">
        <f t="shared" si="42"/>
        <v>1</v>
      </c>
      <c r="T107" s="46" t="str">
        <f t="shared" si="29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0"/>
        <v>https://d0f6bd738d7f1b3e5a7ca70fe4ff75f0.us-east-1.aws.found.io/app/kibana#/discover/Steve-Slow-Train-Analysis-(2080s-and-2083s)?_g=(refreshInterval:(display:Off,pause:!f,section:0,value:0),time:(from:'2017-03-21T13:40:06-0600',mode:absolute,to:'2017-03-21T16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187" t="str">
        <f t="shared" si="31"/>
        <v>N</v>
      </c>
      <c r="X107" s="187">
        <f t="shared" si="32"/>
        <v>1</v>
      </c>
      <c r="Y107" s="62">
        <f t="shared" si="46"/>
        <v>4.5699999999999998E-2</v>
      </c>
      <c r="Z107" s="62">
        <f t="shared" si="44"/>
        <v>23.3308</v>
      </c>
      <c r="AA107" s="62">
        <f t="shared" si="33"/>
        <v>23.2851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4"/>
        <v>0189-21</v>
      </c>
      <c r="AE107" s="85" t="str">
        <f t="shared" si="35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107" s="82" t="str">
        <f t="shared" si="36"/>
        <v>"C:\Program Files (x86)\AstroGrep\AstroGrep.exe" /e /r /s /spath="%USERPROFILE%\AppData\Local\Temp\OnboardLogs" /stypes="app*4031*20170321*" /stext=" 21:.+((SYSTEM_STATE.+slice.+state.+changed )|(ment ac)|(multiple cpu faults)|(system.+state.+changed )|(\[timeout)|(PRM\|1\|D)|(kpr)|(kdp)|(\|lc)|(penalty))"</v>
      </c>
      <c r="AG107" s="1" t="str">
        <f t="shared" si="37"/>
        <v>EC</v>
      </c>
      <c r="AH107" s="86" t="str">
        <f t="shared" si="38"/>
        <v>"%USERPROFILE%\Documents\GitHub\eaglep3\Utilities\RefineRTDCRunTimes.py" --tripid 189-21 --locoid 4031 --swversion DE.1.0.9.0 --startMP 204:457 --initTime 2017-03-21T14:40:06 --startdatetime 2017-03-21T14:45:20 --delay 2 --endMP 204:233308 --enddatetime 2017-03-21T15:21:51 --enforcementcount 0 &gt;&gt;C:\Users\stu\Documents\GitHub\eaglep3-reporting\EC\2017-03-21-refined-times.txt</v>
      </c>
      <c r="AI107" s="108" t="str">
        <f t="shared" si="39"/>
        <v>echo {"issue":{"subject":"Nuisance faults noted; 40 mph "restriction" noted (early arrival banner)","project_id":79,"tracker_id":40,"status_id":1,"priority_id":2,"assigned_to_id":23,"start_date":"2017-03-21","description":"","custom_fields":[{"id":1,"name":"Subdivision","value":"EC"},{"id":4,"name":"Milepost","value":"23.3308"},{"id":17,"name":"Train ID","value":"189-21"},{"id":16,"name":"Locomotive ID","value":"4031"},{"id":130,"name":"Impact","value":""},{"id":150,"name":"Time of Event (Mountain Time)","value":"15:21:51"},{"id":151,"name":"Denver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0"/>
        <v>start /low /b %USERPROFILE%\Documents\GitHub\eaglep3\Utilities\DownloadLogsFromS3.py --loco 4031 --day 2017-03-21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754</v>
      </c>
      <c r="B108" s="7">
        <v>4032</v>
      </c>
      <c r="C108" s="21" t="s">
        <v>221</v>
      </c>
      <c r="D108" s="21" t="s">
        <v>397</v>
      </c>
      <c r="E108" s="13">
        <v>42815.652187500003</v>
      </c>
      <c r="F108" s="13">
        <v>42815.653912037036</v>
      </c>
      <c r="G108" s="7">
        <v>1</v>
      </c>
      <c r="H108" s="21" t="s">
        <v>507</v>
      </c>
      <c r="I108" s="13">
        <v>42815.681400462963</v>
      </c>
      <c r="J108" s="7">
        <v>0</v>
      </c>
      <c r="K108" s="98" t="str">
        <f t="shared" si="27"/>
        <v>4031/4032</v>
      </c>
      <c r="L108" s="21" t="str">
        <f>VLOOKUP(A108,'Trips&amp;Operators'!$C$1:$G$99999,5,FALSE)</f>
        <v>STEWART MICHAEL</v>
      </c>
      <c r="M108" s="6">
        <f t="shared" si="28"/>
        <v>2.7488425927003846E-2</v>
      </c>
      <c r="N108" s="7">
        <f t="shared" si="45"/>
        <v>39.583333334885538</v>
      </c>
      <c r="O108" s="7"/>
      <c r="P108" s="7"/>
      <c r="Q108" s="22"/>
      <c r="R108" s="22"/>
      <c r="S108" s="31">
        <f t="shared" si="42"/>
        <v>1</v>
      </c>
      <c r="T108" s="46" t="str">
        <f t="shared" si="29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0"/>
        <v>https://d0f6bd738d7f1b3e5a7ca70fe4ff75f0.us-east-1.aws.found.io/app/kibana#/discover/Steve-Slow-Train-Analysis-(2080s-and-2083s)?_g=(refreshInterval:(display:Off,pause:!f,section:0,value:0),time:(from:'2017-03-21T14:39:09-0600',mode:absolute,to:'2017-03-21T17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187" t="str">
        <f t="shared" si="31"/>
        <v>N</v>
      </c>
      <c r="X108" s="187">
        <f t="shared" si="32"/>
        <v>1</v>
      </c>
      <c r="Y108" s="62">
        <f t="shared" si="46"/>
        <v>23.297499999999999</v>
      </c>
      <c r="Z108" s="62">
        <f t="shared" si="44"/>
        <v>1.61E-2</v>
      </c>
      <c r="AA108" s="62">
        <f t="shared" si="33"/>
        <v>23.281399999999998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4"/>
        <v>0190-21</v>
      </c>
      <c r="AE108" s="85" t="str">
        <f t="shared" si="35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108" s="82" t="str">
        <f t="shared" si="36"/>
        <v>"C:\Program Files (x86)\AstroGrep\AstroGrep.exe" /e /r /s /spath="%USERPROFILE%\AppData\Local\Temp\OnboardLogs" /stypes="app*4032*20170321*" /stext=" 22:.+((SYSTEM_STATE.+slice.+state.+changed )|(ment ac)|(multiple cpu faults)|(system.+state.+changed )|(\[timeout)|(PRM\|1\|D)|(kpr)|(kdp)|(\|lc)|(penalty))"</v>
      </c>
      <c r="AG108" s="1" t="str">
        <f t="shared" si="37"/>
        <v>EC</v>
      </c>
      <c r="AH108" s="86" t="str">
        <f t="shared" si="38"/>
        <v>"%USERPROFILE%\Documents\GitHub\eaglep3\Utilities\RefineRTDCRunTimes.py" --tripid 190-21 --locoid 4032 --swversion DE.1.0.9.0 --startMP 204:232975 --initTime 2017-03-21T15:39:09 --startdatetime 2017-03-21T15:41:38 --delay 1 --endMP 204:161 --enddatetime 2017-03-21T16:21:13 --enforcementcount 0 &gt;&gt;C:\Users\stu\Documents\GitHub\eaglep3-reporting\EC\2017-03-21-refined-times.txt</v>
      </c>
      <c r="AI108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{"issue":{"subject":"","project_id":79,"tracker_id":40,"status_id":1,"priority_id":2,"assigned_to_id":23,"start_date":"2017-03-21","description":"","custom_fields":[{"id":1,"name":"Subdivision","value":"EC"},{"id":4,"name":"Milepost","value":"0.0161"},{"id":17,"name":"Train ID","value":"190-21"},{"id":16,"name":"Locomotive ID","value":"4032"},{"id":130,"name":"Impact","value":""},{"id":150,"name":"Time of Event (Mountain Time)","value":"16:21:13"},{"id":151,"name":"Denver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0"/>
        <v>start /low /b %USERPROFILE%\Documents\GitHub\eaglep3\Utilities\DownloadLogsFromS3.py --loco 4032 --day 2017-03-21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746</v>
      </c>
      <c r="B109" s="7">
        <v>4014</v>
      </c>
      <c r="C109" s="21" t="s">
        <v>221</v>
      </c>
      <c r="D109" s="21" t="s">
        <v>905</v>
      </c>
      <c r="E109" s="13">
        <v>42815.621724537035</v>
      </c>
      <c r="F109" s="13">
        <v>42815.625405092593</v>
      </c>
      <c r="G109" s="7">
        <v>1</v>
      </c>
      <c r="H109" s="21" t="s">
        <v>411</v>
      </c>
      <c r="I109" s="13">
        <v>42815.650266203702</v>
      </c>
      <c r="J109" s="7">
        <v>0</v>
      </c>
      <c r="K109" s="98" t="str">
        <f t="shared" si="27"/>
        <v>4013/4014</v>
      </c>
      <c r="L109" s="21" t="str">
        <f>VLOOKUP(A109,'Trips&amp;Operators'!$C$1:$G$99999,5,FALSE)</f>
        <v>BEAM ROSS</v>
      </c>
      <c r="M109" s="6">
        <f t="shared" si="28"/>
        <v>2.4861111109203193E-2</v>
      </c>
      <c r="N109" s="7">
        <f t="shared" si="45"/>
        <v>35.799999997252598</v>
      </c>
      <c r="O109" s="7"/>
      <c r="P109" s="7"/>
      <c r="Q109" s="22"/>
      <c r="R109" s="22"/>
      <c r="S109" s="31">
        <f t="shared" si="42"/>
        <v>1</v>
      </c>
      <c r="T109" s="46" t="str">
        <f t="shared" si="29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0"/>
        <v>https://d0f6bd738d7f1b3e5a7ca70fe4ff75f0.us-east-1.aws.found.io/app/kibana#/discover/Steve-Slow-Train-Analysis-(2080s-and-2083s)?_g=(refreshInterval:(display:Off,pause:!f,section:0,value:0),time:(from:'2017-03-21T13:55:17-0600',mode:absolute,to:'2017-03-21T16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87" t="str">
        <f t="shared" si="31"/>
        <v>N</v>
      </c>
      <c r="X109" s="187">
        <f t="shared" si="32"/>
        <v>1</v>
      </c>
      <c r="Y109" s="62">
        <f t="shared" si="46"/>
        <v>3.9800000000000002E-2</v>
      </c>
      <c r="Z109" s="62">
        <f t="shared" si="44"/>
        <v>23.3308</v>
      </c>
      <c r="AA109" s="62">
        <f t="shared" si="33"/>
        <v>23.291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4"/>
        <v>0191-21</v>
      </c>
      <c r="AE109" s="85" t="str">
        <f t="shared" si="35"/>
        <v>aws s3 cp s3://rtdc.mdm.uploadarchive.raw/RTDC4014/ "%USERPROFILE%\AppData\Local\Temp\OnboardLogs"\RTDC4014\2017-03-21 --exclude "*" --recursive --include "*20170321*" &amp; "%USERPROFILE%\Documents\GitHub\mrs-test-scripts\Headless Mode &amp; Sideloading\WalkAndUnGZ.bat" "%USERPROFILE%\AppData\Local\Temp\OnboardLogs"\RTDC4014\2017-03-21 &amp; 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</v>
      </c>
      <c r="AF109" s="82" t="str">
        <f t="shared" si="36"/>
        <v>"C:\Program Files (x86)\AstroGrep\AstroGrep.exe" /e /r /s /spath="%USERPROFILE%\AppData\Local\Temp\OnboardLogs" /stypes="app*4014*20170321*" /stext=" 21:.+((SYSTEM_STATE.+slice.+state.+changed )|(ment ac)|(multiple cpu faults)|(system.+state.+changed )|(\[timeout)|(PRM\|1\|D)|(kpr)|(kdp)|(\|lc)|(penalty))"</v>
      </c>
      <c r="AG109" s="1" t="str">
        <f t="shared" si="37"/>
        <v>EC</v>
      </c>
      <c r="AH109" s="86" t="str">
        <f t="shared" si="38"/>
        <v>"%USERPROFILE%\Documents\GitHub\eaglep3\Utilities\RefineRTDCRunTimes.py" --tripid 191-21 --locoid 4014 --swversion DE.1.0.9.0 --startMP 204:398 --initTime 2017-03-21T14:55:17 --startdatetime 2017-03-21T15:00:35 --delay 1 --endMP 204:233308 --enddatetime 2017-03-21T15:36:23 --enforcementcount 0 &gt;&gt;C:\Users\stu\Documents\GitHub\eaglep3-reporting\EC\2017-03-21-refined-times.txt</v>
      </c>
      <c r="AI109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{"issue":{"subject":"","project_id":79,"tracker_id":40,"status_id":1,"priority_id":2,"assigned_to_id":23,"start_date":"2017-03-21","description":"","custom_fields":[{"id":1,"name":"Subdivision","value":"EC"},{"id":4,"name":"Milepost","value":"23.3308"},{"id":17,"name":"Train ID","value":"191-21"},{"id":16,"name":"Locomotive ID","value":"4014"},{"id":130,"name":"Impact","value":""},{"id":150,"name":"Time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0"/>
        <v>start /low /b %USERPROFILE%\Documents\GitHub\eaglep3\Utilities\DownloadLogsFromS3.py --loco 4014 --day 2017-03-21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"%USERPROFILE%\AppData\Local\Temp\OnboardLogs"\RTDC4014\*4014*20170321* | grep -SE "(Enforcement Action)|(\[TIMEOUT)|(CHR.+\|PRM\|1\|D.+(SWITCH|SIGNAL).+UNKNOWN)" - &gt;&gt; 2017-03-21-UncaughtWiMAX.txt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756</v>
      </c>
      <c r="B110" s="7">
        <v>4013</v>
      </c>
      <c r="C110" s="21" t="s">
        <v>221</v>
      </c>
      <c r="D110" s="21" t="s">
        <v>563</v>
      </c>
      <c r="E110" s="13">
        <v>42815.657604166663</v>
      </c>
      <c r="F110" s="13">
        <v>42815.664085648146</v>
      </c>
      <c r="G110" s="7">
        <v>1</v>
      </c>
      <c r="H110" s="21" t="s">
        <v>191</v>
      </c>
      <c r="I110" s="13">
        <v>42815.690879629627</v>
      </c>
      <c r="J110" s="7">
        <v>0</v>
      </c>
      <c r="K110" s="98" t="str">
        <f t="shared" si="27"/>
        <v>4013/4014</v>
      </c>
      <c r="L110" s="21" t="str">
        <f>VLOOKUP(A110,'Trips&amp;Operators'!$C$1:$G$99999,5,FALSE)</f>
        <v>BEAM ROSS</v>
      </c>
      <c r="M110" s="6">
        <f t="shared" si="28"/>
        <v>2.679398148029577E-2</v>
      </c>
      <c r="N110" s="7">
        <f t="shared" si="45"/>
        <v>38.583333331625909</v>
      </c>
      <c r="O110" s="7"/>
      <c r="P110" s="7"/>
      <c r="Q110" s="22"/>
      <c r="R110" s="22"/>
      <c r="S110" s="31">
        <f t="shared" si="42"/>
        <v>1</v>
      </c>
      <c r="T110" s="46" t="str">
        <f t="shared" si="29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0"/>
        <v>https://d0f6bd738d7f1b3e5a7ca70fe4ff75f0.us-east-1.aws.found.io/app/kibana#/discover/Steve-Slow-Train-Analysis-(2080s-and-2083s)?_g=(refreshInterval:(display:Off,pause:!f,section:0,value:0),time:(from:'2017-03-21T14:46:57-0600',mode:absolute,to:'2017-03-21T17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87" t="str">
        <f t="shared" si="31"/>
        <v>N</v>
      </c>
      <c r="X110" s="187">
        <f t="shared" si="32"/>
        <v>1</v>
      </c>
      <c r="Y110" s="62">
        <f t="shared" si="46"/>
        <v>23.297899999999998</v>
      </c>
      <c r="Z110" s="62">
        <f t="shared" si="44"/>
        <v>1.4999999999999999E-2</v>
      </c>
      <c r="AA110" s="62">
        <f t="shared" si="33"/>
        <v>23.282899999999998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4"/>
        <v>0192-21</v>
      </c>
      <c r="AE110" s="85" t="str">
        <f t="shared" si="35"/>
        <v>aws s3 cp s3://rtdc.mdm.uploadarchive.raw/RTDC4013/ "%USERPROFILE%\AppData\Local\Temp\OnboardLogs"\RTDC4013\2017-03-21 --exclude "*" --recursive --include "*20170321*" &amp; "%USERPROFILE%\Documents\GitHub\mrs-test-scripts\Headless Mode &amp; Sideloading\WalkAndUnGZ.bat" "%USERPROFILE%\AppData\Local\Temp\OnboardLogs"\RTDC4013\2017-03-21 &amp; 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</v>
      </c>
      <c r="AF110" s="82" t="str">
        <f t="shared" si="36"/>
        <v>"C:\Program Files (x86)\AstroGrep\AstroGrep.exe" /e /r /s /spath="%USERPROFILE%\AppData\Local\Temp\OnboardLogs" /stypes="app*4013*20170321*" /stext=" 22:.+((SYSTEM_STATE.+slice.+state.+changed )|(ment ac)|(multiple cpu faults)|(system.+state.+changed )|(\[timeout)|(PRM\|1\|D)|(kpr)|(kdp)|(\|lc)|(penalty))"</v>
      </c>
      <c r="AG110" s="1" t="str">
        <f t="shared" si="37"/>
        <v>EC</v>
      </c>
      <c r="AH110" s="86" t="str">
        <f t="shared" si="38"/>
        <v>"%USERPROFILE%\Documents\GitHub\eaglep3\Utilities\RefineRTDCRunTimes.py" --tripid 192-21 --locoid 4013 --swversion DE.1.0.9.0 --startMP 204:232979 --initTime 2017-03-21T15:46:57 --startdatetime 2017-03-21T15:56:17 --delay 1 --endMP 204:150 --enddatetime 2017-03-21T16:34:52 --enforcementcount 0 &gt;&gt;C:\Users\stu\Documents\GitHub\eaglep3-reporting\EC\2017-03-21-refined-times.txt</v>
      </c>
      <c r="AI110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{"issue":{"subject":"","project_id":79,"tracker_id":40,"status_id":1,"priority_id":2,"assigned_to_id":23,"start_date":"2017-03-21","description":"","custom_fields":[{"id":1,"name":"Subdivision","value":"EC"},{"id":4,"name":"Milepost","value":"0.015"},{"id":17,"name":"Train ID","value":"192-21"},{"id":16,"name":"Locomotive ID","value":"4013"},{"id":130,"name":"Impact","value":""},{"id":150,"name":"Time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0"/>
        <v>start /low /b %USERPROFILE%\Documents\GitHub\eaglep3\Utilities\DownloadLogsFromS3.py --loco 4013 --day 2017-03-21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"%USERPROFILE%\AppData\Local\Temp\OnboardLogs"\RTDC4013\*4013*20170321* | grep -SE "(Enforcement Action)|(\[TIMEOUT)|(CHR.+\|PRM\|1\|D.+(SWITCH|SIGNAL).+UNKNOWN)" - &gt;&gt; 2017-03-21-UncaughtWiMAX.txt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747</v>
      </c>
      <c r="B111" s="7">
        <v>4025</v>
      </c>
      <c r="C111" s="21" t="s">
        <v>221</v>
      </c>
      <c r="D111" s="21" t="s">
        <v>906</v>
      </c>
      <c r="E111" s="13">
        <v>42815.633831018517</v>
      </c>
      <c r="F111" s="13">
        <v>42815.635567129626</v>
      </c>
      <c r="G111" s="7">
        <v>1</v>
      </c>
      <c r="H111" s="21" t="s">
        <v>566</v>
      </c>
      <c r="I111" s="13">
        <v>42815.661469907405</v>
      </c>
      <c r="J111" s="7">
        <v>0</v>
      </c>
      <c r="K111" s="98" t="str">
        <f t="shared" si="27"/>
        <v>4025/4026</v>
      </c>
      <c r="L111" s="21" t="str">
        <f>VLOOKUP(A111,'Trips&amp;Operators'!$C$1:$G$99999,5,FALSE)</f>
        <v>CLARK KATHLEEN</v>
      </c>
      <c r="M111" s="6">
        <f t="shared" si="28"/>
        <v>2.5902777779265307E-2</v>
      </c>
      <c r="N111" s="7">
        <f t="shared" si="45"/>
        <v>37.300000002142042</v>
      </c>
      <c r="O111" s="7"/>
      <c r="P111" s="7"/>
      <c r="Q111" s="22"/>
      <c r="R111" s="22"/>
      <c r="S111" s="31">
        <f t="shared" si="42"/>
        <v>1</v>
      </c>
      <c r="T111" s="46" t="str">
        <f t="shared" si="29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0"/>
        <v>https://d0f6bd738d7f1b3e5a7ca70fe4ff75f0.us-east-1.aws.found.io/app/kibana#/discover/Steve-Slow-Train-Analysis-(2080s-and-2083s)?_g=(refreshInterval:(display:Off,pause:!f,section:0,value:0),time:(from:'2017-03-21T14:12:43-0600',mode:absolute,to:'2017-03-21T16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1" s="187" t="str">
        <f t="shared" si="31"/>
        <v>N</v>
      </c>
      <c r="X111" s="187">
        <f t="shared" si="32"/>
        <v>1</v>
      </c>
      <c r="Y111" s="62">
        <f t="shared" si="46"/>
        <v>5.2200000000000003E-2</v>
      </c>
      <c r="Z111" s="62">
        <f t="shared" si="44"/>
        <v>23.327400000000001</v>
      </c>
      <c r="AA111" s="62">
        <f t="shared" si="33"/>
        <v>23.275200000000002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4"/>
        <v>0193-21</v>
      </c>
      <c r="AE111" s="85" t="str">
        <f t="shared" si="35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111" s="82" t="str">
        <f t="shared" si="36"/>
        <v>"C:\Program Files (x86)\AstroGrep\AstroGrep.exe" /e /r /s /spath="%USERPROFILE%\AppData\Local\Temp\OnboardLogs" /stypes="app*4025*20170321*" /stext=" 21:.+((SYSTEM_STATE.+slice.+state.+changed )|(ment ac)|(multiple cpu faults)|(system.+state.+changed )|(\[timeout)|(PRM\|1\|D)|(kpr)|(kdp)|(\|lc)|(penalty))"</v>
      </c>
      <c r="AG111" s="1" t="str">
        <f t="shared" si="37"/>
        <v>EC</v>
      </c>
      <c r="AH111" s="86" t="str">
        <f t="shared" si="38"/>
        <v>"%USERPROFILE%\Documents\GitHub\eaglep3\Utilities\RefineRTDCRunTimes.py" --tripid 193-21 --locoid 4025 --swversion DE.1.0.9.0 --startMP 204:522 --initTime 2017-03-21T15:12:43 --startdatetime 2017-03-21T15:15:13 --delay 1 --endMP 204:233274 --enddatetime 2017-03-21T15:52:31 --enforcementcount 0 &gt;&gt;C:\Users\stu\Documents\GitHub\eaglep3-reporting\EC\2017-03-21-refined-times.txt</v>
      </c>
      <c r="AI111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{"issue":{"subject":"","project_id":79,"tracker_id":40,"status_id":1,"priority_id":2,"assigned_to_id":23,"start_date":"2017-03-21","description":"","custom_fields":[{"id":1,"name":"Subdivision","value":"EC"},{"id":4,"name":"Milepost","value":"23.3274"},{"id":17,"name":"Train ID","value":"193-21"},{"id":16,"name":"Locomotive ID","value":"4025"},{"id":130,"name":"Impact","value":""},{"id":150,"name":"Time of Event (Mountain Time)","value":"15:52:31"},{"id":151,"name":"Denver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0"/>
        <v>start /low /b %USERPROFILE%\Documents\GitHub\eaglep3\Utilities\DownloadLogsFromS3.py --loco 4025 --day 2017-03-21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757</v>
      </c>
      <c r="B112" s="7">
        <v>4026</v>
      </c>
      <c r="C112" s="21" t="s">
        <v>221</v>
      </c>
      <c r="D112" s="21" t="s">
        <v>907</v>
      </c>
      <c r="E112" s="13">
        <v>42815.669224537036</v>
      </c>
      <c r="F112" s="13">
        <v>42815.674479166664</v>
      </c>
      <c r="G112" s="7">
        <v>0</v>
      </c>
      <c r="H112" s="21" t="s">
        <v>908</v>
      </c>
      <c r="I112" s="13">
        <v>42815.704328703701</v>
      </c>
      <c r="J112" s="7">
        <v>0</v>
      </c>
      <c r="K112" s="98" t="str">
        <f t="shared" si="27"/>
        <v>4025/4026</v>
      </c>
      <c r="L112" s="21" t="str">
        <f>VLOOKUP(A112,'Trips&amp;Operators'!$C$1:$G$99999,5,FALSE)</f>
        <v>CLARK KATHLEEN</v>
      </c>
      <c r="M112" s="6">
        <f t="shared" si="28"/>
        <v>2.9849537037080154E-2</v>
      </c>
      <c r="N112" s="7">
        <f t="shared" si="45"/>
        <v>42.983333333395422</v>
      </c>
      <c r="O112" s="7"/>
      <c r="P112" s="7"/>
      <c r="Q112" s="22"/>
      <c r="R112" s="22"/>
      <c r="S112" s="31">
        <f t="shared" si="42"/>
        <v>1</v>
      </c>
      <c r="T112" s="46" t="str">
        <f t="shared" si="29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0"/>
        <v>https://d0f6bd738d7f1b3e5a7ca70fe4ff75f0.us-east-1.aws.found.io/app/kibana#/discover/Steve-Slow-Train-Analysis-(2080s-and-2083s)?_g=(refreshInterval:(display:Off,pause:!f,section:0,value:0),time:(from:'2017-03-21T15:03:41-0600',mode:absolute,to:'2017-03-21T17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2" s="187" t="str">
        <f t="shared" si="31"/>
        <v>N</v>
      </c>
      <c r="X112" s="187">
        <f t="shared" si="32"/>
        <v>1</v>
      </c>
      <c r="Y112" s="62">
        <f t="shared" si="46"/>
        <v>23.298400000000001</v>
      </c>
      <c r="Z112" s="62">
        <f t="shared" si="44"/>
        <v>1.9800000000000002E-2</v>
      </c>
      <c r="AA112" s="62">
        <f t="shared" si="33"/>
        <v>23.278600000000001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4"/>
        <v>0194-21</v>
      </c>
      <c r="AE112" s="85" t="str">
        <f t="shared" si="35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112" s="82" t="str">
        <f t="shared" si="36"/>
        <v>"C:\Program Files (x86)\AstroGrep\AstroGrep.exe" /e /r /s /spath="%USERPROFILE%\AppData\Local\Temp\OnboardLogs" /stypes="app*4026*20170321*" /stext=" 22:.+((SYSTEM_STATE.+slice.+state.+changed )|(ment ac)|(multiple cpu faults)|(system.+state.+changed )|(\[timeout)|(PRM\|1\|D)|(kpr)|(kdp)|(\|lc)|(penalty))"</v>
      </c>
      <c r="AG112" s="1" t="str">
        <f t="shared" si="37"/>
        <v>EC</v>
      </c>
      <c r="AH112" s="86" t="str">
        <f t="shared" si="38"/>
        <v>"%USERPROFILE%\Documents\GitHub\eaglep3\Utilities\RefineRTDCRunTimes.py" --tripid 194-21 --locoid 4026 --swversion DE.1.0.9.0 --startMP 204:232984 --initTime 2017-03-21T16:03:41 --startdatetime 2017-03-21T16:11:15 --delay 0 --endMP 204:198 --enddatetime 2017-03-21T16:54:14 --enforcementcount 0 &gt;&gt;C:\Users\stu\Documents\GitHub\eaglep3-reporting\EC\2017-03-21-refined-times.txt</v>
      </c>
      <c r="AI112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{"issue":{"subject":"","project_id":79,"tracker_id":40,"status_id":1,"priority_id":2,"assigned_to_id":23,"start_date":"2017-03-21","description":"","custom_fields":[{"id":1,"name":"Subdivision","value":"EC"},{"id":4,"name":"Milepost","value":"0.0198"},{"id":17,"name":"Train ID","value":"194-21"},{"id":16,"name":"Locomotive ID","value":"4026"},{"id":130,"name":"Impact","value":""},{"id":150,"name":"Time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0"/>
        <v>start /low /b %USERPROFILE%\Documents\GitHub\eaglep3\Utilities\DownloadLogsFromS3.py --loco 4026 --day 2017-03-21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750</v>
      </c>
      <c r="B113" s="7">
        <v>4044</v>
      </c>
      <c r="C113" s="21" t="s">
        <v>221</v>
      </c>
      <c r="D113" s="21" t="s">
        <v>213</v>
      </c>
      <c r="E113" s="13">
        <v>42815.642476851855</v>
      </c>
      <c r="F113" s="13">
        <v>42815.646018518521</v>
      </c>
      <c r="G113" s="7">
        <v>0</v>
      </c>
      <c r="H113" s="21" t="s">
        <v>878</v>
      </c>
      <c r="I113" s="13">
        <v>42815.671481481484</v>
      </c>
      <c r="J113" s="7">
        <v>0</v>
      </c>
      <c r="K113" s="98" t="str">
        <f t="shared" si="27"/>
        <v>4043/4044</v>
      </c>
      <c r="L113" s="21" t="str">
        <f>VLOOKUP(A113,'Trips&amp;Operators'!$C$1:$G$99999,5,FALSE)</f>
        <v>LOCKLEAR TRAVIS</v>
      </c>
      <c r="M113" s="6">
        <f t="shared" si="28"/>
        <v>2.5462962963501923E-2</v>
      </c>
      <c r="N113" s="7">
        <f t="shared" si="45"/>
        <v>36.666666667442769</v>
      </c>
      <c r="O113" s="7"/>
      <c r="P113" s="7"/>
      <c r="Q113" s="22"/>
      <c r="R113" s="22"/>
      <c r="S113" s="31">
        <f t="shared" si="42"/>
        <v>1</v>
      </c>
      <c r="T113" s="46" t="str">
        <f t="shared" si="29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0"/>
        <v>https://d0f6bd738d7f1b3e5a7ca70fe4ff75f0.us-east-1.aws.found.io/app/kibana#/discover/Steve-Slow-Train-Analysis-(2080s-and-2083s)?_g=(refreshInterval:(display:Off,pause:!f,section:0,value:0),time:(from:'2017-03-21T14:25:10-0600',mode:absolute,to:'2017-03-21T17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7" t="str">
        <f t="shared" si="31"/>
        <v>N</v>
      </c>
      <c r="X113" s="187">
        <f t="shared" si="32"/>
        <v>1</v>
      </c>
      <c r="Y113" s="62">
        <f t="shared" si="46"/>
        <v>4.5499999999999999E-2</v>
      </c>
      <c r="Z113" s="62">
        <f t="shared" si="44"/>
        <v>23.3325</v>
      </c>
      <c r="AA113" s="62">
        <f t="shared" si="33"/>
        <v>23.286999999999999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4"/>
        <v>0195-21</v>
      </c>
      <c r="AE113" s="85" t="str">
        <f t="shared" si="35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113" s="82" t="str">
        <f t="shared" si="36"/>
        <v>"C:\Program Files (x86)\AstroGrep\AstroGrep.exe" /e /r /s /spath="%USERPROFILE%\AppData\Local\Temp\OnboardLogs" /stypes="app*4044*20170321*" /stext=" 22:.+((SYSTEM_STATE.+slice.+state.+changed )|(ment ac)|(multiple cpu faults)|(system.+state.+changed )|(\[timeout)|(PRM\|1\|D)|(kpr)|(kdp)|(\|lc)|(penalty))"</v>
      </c>
      <c r="AG113" s="1" t="str">
        <f t="shared" si="37"/>
        <v>EC</v>
      </c>
      <c r="AH113" s="86" t="str">
        <f t="shared" si="38"/>
        <v>"%USERPROFILE%\Documents\GitHub\eaglep3\Utilities\RefineRTDCRunTimes.py" --tripid 195-21 --locoid 4044 --swversion DE.1.0.9.0 --startMP 204:455 --initTime 2017-03-21T15:25:10 --startdatetime 2017-03-21T15:30:16 --delay 0 --endMP 204:233325 --enddatetime 2017-03-21T16:06:56 --enforcementcount 0 &gt;&gt;C:\Users\stu\Documents\GitHub\eaglep3-reporting\EC\2017-03-21-refined-times.txt</v>
      </c>
      <c r="AI113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{"issue":{"subject":"","project_id":79,"tracker_id":40,"status_id":1,"priority_id":2,"assigned_to_id":23,"start_date":"2017-03-21","description":"","custom_fields":[{"id":1,"name":"Subdivision","value":"EC"},{"id":4,"name":"Milepost","value":"23.3325"},{"id":17,"name":"Train ID","value":"195-21"},{"id":16,"name":"Locomotive ID","value":"4044"},{"id":130,"name":"Impact","value":""},{"id":150,"name":"Time of Event (Mountain Time)","value":"16:06:56"},{"id":151,"name":"Denver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0"/>
        <v>start /low /b %USERPROFILE%\Documents\GitHub\eaglep3\Utilities\DownloadLogsFromS3.py --loco 4044 --day 2017-03-21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760</v>
      </c>
      <c r="B114" s="7">
        <v>4043</v>
      </c>
      <c r="C114" s="21" t="s">
        <v>221</v>
      </c>
      <c r="D114" s="21" t="s">
        <v>909</v>
      </c>
      <c r="E114" s="13">
        <v>42815.679097222222</v>
      </c>
      <c r="F114" s="13">
        <v>42815.684884259259</v>
      </c>
      <c r="G114" s="7">
        <v>1</v>
      </c>
      <c r="H114" s="21" t="s">
        <v>200</v>
      </c>
      <c r="I114" s="13">
        <v>42815.712569444448</v>
      </c>
      <c r="J114" s="7">
        <v>0</v>
      </c>
      <c r="K114" s="98" t="str">
        <f t="shared" si="27"/>
        <v>4043/4044</v>
      </c>
      <c r="L114" s="21" t="str">
        <f>VLOOKUP(A114,'Trips&amp;Operators'!$C$1:$G$99999,5,FALSE)</f>
        <v>LOCKLEAR TRAVIS</v>
      </c>
      <c r="M114" s="6">
        <f t="shared" si="28"/>
        <v>2.768518518860219E-2</v>
      </c>
      <c r="N114" s="7">
        <f t="shared" si="45"/>
        <v>39.866666671587154</v>
      </c>
      <c r="O114" s="7"/>
      <c r="P114" s="7"/>
      <c r="Q114" s="22"/>
      <c r="R114" s="22"/>
      <c r="S114" s="31">
        <f t="shared" si="42"/>
        <v>1</v>
      </c>
      <c r="T114" s="46" t="str">
        <f t="shared" si="29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0"/>
        <v>https://d0f6bd738d7f1b3e5a7ca70fe4ff75f0.us-east-1.aws.found.io/app/kibana#/discover/Steve-Slow-Train-Analysis-(2080s-and-2083s)?_g=(refreshInterval:(display:Off,pause:!f,section:0,value:0),time:(from:'2017-03-21T15:17:54-0600',mode:absolute,to:'2017-03-21T18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7" t="str">
        <f t="shared" si="31"/>
        <v>N</v>
      </c>
      <c r="X114" s="187">
        <f t="shared" si="32"/>
        <v>1</v>
      </c>
      <c r="Y114" s="62">
        <f t="shared" si="46"/>
        <v>23.302800000000001</v>
      </c>
      <c r="Z114" s="62">
        <f t="shared" si="44"/>
        <v>1.5800000000000002E-2</v>
      </c>
      <c r="AA114" s="62">
        <f t="shared" si="33"/>
        <v>23.287000000000003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4"/>
        <v>0196-21</v>
      </c>
      <c r="AE114" s="85" t="str">
        <f t="shared" si="35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114" s="82" t="str">
        <f t="shared" si="36"/>
        <v>"C:\Program Files (x86)\AstroGrep\AstroGrep.exe" /e /r /s /spath="%USERPROFILE%\AppData\Local\Temp\OnboardLogs" /stypes="app*4043*20170321*" /stext=" 23:.+((SYSTEM_STATE.+slice.+state.+changed )|(ment ac)|(multiple cpu faults)|(system.+state.+changed )|(\[timeout)|(PRM\|1\|D)|(kpr)|(kdp)|(\|lc)|(penalty))"</v>
      </c>
      <c r="AG114" s="1" t="str">
        <f t="shared" si="37"/>
        <v>EC</v>
      </c>
      <c r="AH114" s="86" t="str">
        <f t="shared" si="38"/>
        <v>"%USERPROFILE%\Documents\GitHub\eaglep3\Utilities\RefineRTDCRunTimes.py" --tripid 196-21 --locoid 4043 --swversion DE.1.0.9.0 --startMP 204:233028 --initTime 2017-03-21T16:17:54 --startdatetime 2017-03-21T16:26:14 --delay 1 --endMP 204:158 --enddatetime 2017-03-21T17:06:06 --enforcementcount 0 &gt;&gt;C:\Users\stu\Documents\GitHub\eaglep3-reporting\EC\2017-03-21-refined-times.txt</v>
      </c>
      <c r="AI114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{"issue":{"subject":"","project_id":79,"tracker_id":40,"status_id":1,"priority_id":2,"assigned_to_id":23,"start_date":"2017-03-21","description":"","custom_fields":[{"id":1,"name":"Subdivision","value":"EC"},{"id":4,"name":"Milepost","value":"0.0158"},{"id":17,"name":"Train ID","value":"196-21"},{"id":16,"name":"Locomotive ID","value":"4043"},{"id":130,"name":"Impact","value":""},{"id":150,"name":"Time of Event (Mountain Time)","value":"17:06:06"},{"id":151,"name":"Denver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0"/>
        <v>start /low /b %USERPROFILE%\Documents\GitHub\eaglep3\Utilities\DownloadLogsFromS3.py --loco 4043 --day 2017-03-21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"%USERPROFILE%\AppData\Local\Temp\OnboardLogs"\RTDC4043\*4043*20170321* | grep -SE "(Enforcement Action)|(\[TIMEOUT)|(CHR.+\|PRM\|1\|D.+(SWITCH|SIGNAL).+UNKNOWN)" - &gt;&gt; 2017-03-21-UncaughtWiMAX.txt</v>
      </c>
    </row>
    <row r="115" spans="1:91" s="20" customFormat="1" x14ac:dyDescent="0.25">
      <c r="A115" s="33" t="s">
        <v>753</v>
      </c>
      <c r="B115" s="7">
        <v>4024</v>
      </c>
      <c r="C115" s="21" t="s">
        <v>221</v>
      </c>
      <c r="D115" s="21" t="s">
        <v>474</v>
      </c>
      <c r="E115" s="13">
        <v>42815.651666666665</v>
      </c>
      <c r="F115" s="13">
        <v>42815.656412037039</v>
      </c>
      <c r="G115" s="7">
        <v>1</v>
      </c>
      <c r="H115" s="21" t="s">
        <v>898</v>
      </c>
      <c r="I115" s="13">
        <v>42815.680625000001</v>
      </c>
      <c r="J115" s="7">
        <v>0</v>
      </c>
      <c r="K115" s="98" t="str">
        <f t="shared" si="27"/>
        <v>4023/4024</v>
      </c>
      <c r="L115" s="21" t="str">
        <f>VLOOKUP(A115,'Trips&amp;Operators'!$C$1:$G$99999,5,FALSE)</f>
        <v>ROMERO CHAD</v>
      </c>
      <c r="M115" s="6">
        <f t="shared" si="28"/>
        <v>2.421296296233777E-2</v>
      </c>
      <c r="N115" s="7">
        <f t="shared" si="45"/>
        <v>34.866666665766388</v>
      </c>
      <c r="O115" s="7"/>
      <c r="P115" s="7"/>
      <c r="Q115" s="22"/>
      <c r="R115" s="22"/>
      <c r="S115" s="31">
        <f t="shared" si="42"/>
        <v>1</v>
      </c>
      <c r="T115" s="46" t="str">
        <f t="shared" si="29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0"/>
        <v>https://d0f6bd738d7f1b3e5a7ca70fe4ff75f0.us-east-1.aws.found.io/app/kibana#/discover/Steve-Slow-Train-Analysis-(2080s-and-2083s)?_g=(refreshInterval:(display:Off,pause:!f,section:0,value:0),time:(from:'2017-03-21T14:38:24-0600',mode:absolute,to:'2017-03-21T17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5" s="187" t="str">
        <f t="shared" si="31"/>
        <v>N</v>
      </c>
      <c r="X115" s="187">
        <f t="shared" si="32"/>
        <v>1</v>
      </c>
      <c r="Y115" s="62">
        <f t="shared" si="46"/>
        <v>4.4900000000000002E-2</v>
      </c>
      <c r="Z115" s="62">
        <f t="shared" si="44"/>
        <v>23.340699999999998</v>
      </c>
      <c r="AA115" s="62">
        <f t="shared" si="33"/>
        <v>23.2958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4"/>
        <v>0197-21</v>
      </c>
      <c r="AE115" s="85" t="str">
        <f t="shared" si="35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115" s="82" t="str">
        <f t="shared" si="36"/>
        <v>"C:\Program Files (x86)\AstroGrep\AstroGrep.exe" /e /r /s /spath="%USERPROFILE%\AppData\Local\Temp\OnboardLogs" /stypes="app*4024*20170321*" /stext=" 22:.+((SYSTEM_STATE.+slice.+state.+changed )|(ment ac)|(multiple cpu faults)|(system.+state.+changed )|(\[timeout)|(PRM\|1\|D)|(kpr)|(kdp)|(\|lc)|(penalty))"</v>
      </c>
      <c r="AG115" s="1" t="str">
        <f t="shared" si="37"/>
        <v>EC</v>
      </c>
      <c r="AH115" s="86" t="str">
        <f t="shared" si="38"/>
        <v>"%USERPROFILE%\Documents\GitHub\eaglep3\Utilities\RefineRTDCRunTimes.py" --tripid 197-21 --locoid 4024 --swversion DE.1.0.9.0 --startMP 204:449 --initTime 2017-03-21T15:38:24 --startdatetime 2017-03-21T15:45:14 --delay 1 --endMP 204:233407 --enddatetime 2017-03-21T16:20:06 --enforcementcount 0 &gt;&gt;C:\Users\stu\Documents\GitHub\eaglep3-reporting\EC\2017-03-21-refined-times.txt</v>
      </c>
      <c r="AI115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{"issue":{"subject":"","project_id":79,"tracker_id":40,"status_id":1,"priority_id":2,"assigned_to_id":23,"start_date":"2017-03-21","description":"","custom_fields":[{"id":1,"name":"Subdivision","value":"EC"},{"id":4,"name":"Milepost","value":"23.3407"},{"id":17,"name":"Train ID","value":"197-21"},{"id":16,"name":"Locomotive ID","value":"4024"},{"id":130,"name":"Impact","value":""},{"id":150,"name":"Time of Event (Mountain Time)","value":"16:20:06"},{"id":151,"name":"Denver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0"/>
        <v>start /low /b %USERPROFILE%\Documents\GitHub\eaglep3\Utilities\DownloadLogsFromS3.py --loco 4024 --day 2017-03-21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762</v>
      </c>
      <c r="B116" s="7">
        <v>4023</v>
      </c>
      <c r="C116" s="21" t="s">
        <v>221</v>
      </c>
      <c r="D116" s="21" t="s">
        <v>526</v>
      </c>
      <c r="E116" s="13">
        <v>42815.684513888889</v>
      </c>
      <c r="F116" s="13">
        <v>42815.695509259262</v>
      </c>
      <c r="G116" s="7">
        <v>1</v>
      </c>
      <c r="H116" s="21" t="s">
        <v>519</v>
      </c>
      <c r="I116" s="13">
        <v>42815.722418981481</v>
      </c>
      <c r="J116" s="7">
        <v>0</v>
      </c>
      <c r="K116" s="98" t="str">
        <f t="shared" si="27"/>
        <v>4023/4024</v>
      </c>
      <c r="L116" s="21" t="str">
        <f>VLOOKUP(A116,'Trips&amp;Operators'!$C$1:$G$99999,5,FALSE)</f>
        <v>ROMERO CHAD</v>
      </c>
      <c r="M116" s="6">
        <f t="shared" si="28"/>
        <v>2.6909722218988463E-2</v>
      </c>
      <c r="N116" s="7">
        <f t="shared" si="45"/>
        <v>38.749999995343387</v>
      </c>
      <c r="O116" s="7"/>
      <c r="P116" s="7"/>
      <c r="Q116" s="22"/>
      <c r="R116" s="22"/>
      <c r="S116" s="31">
        <f t="shared" si="42"/>
        <v>1</v>
      </c>
      <c r="T116" s="46" t="str">
        <f t="shared" si="29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0"/>
        <v>https://d0f6bd738d7f1b3e5a7ca70fe4ff75f0.us-east-1.aws.found.io/app/kibana#/discover/Steve-Slow-Train-Analysis-(2080s-and-2083s)?_g=(refreshInterval:(display:Off,pause:!f,section:0,value:0),time:(from:'2017-03-21T15:25:42-0600',mode:absolute,to:'2017-03-21T18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6" s="187" t="str">
        <f t="shared" si="31"/>
        <v>N</v>
      </c>
      <c r="X116" s="187">
        <f t="shared" si="32"/>
        <v>1</v>
      </c>
      <c r="Y116" s="62">
        <f t="shared" si="46"/>
        <v>23.307099999999998</v>
      </c>
      <c r="Z116" s="62">
        <f t="shared" si="44"/>
        <v>1.32E-2</v>
      </c>
      <c r="AA116" s="62">
        <f t="shared" si="33"/>
        <v>23.293899999999997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4"/>
        <v>0198-21</v>
      </c>
      <c r="AE116" s="85" t="str">
        <f t="shared" si="35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116" s="82" t="str">
        <f t="shared" si="36"/>
        <v>"C:\Program Files (x86)\AstroGrep\AstroGrep.exe" /e /r /s /spath="%USERPROFILE%\AppData\Local\Temp\OnboardLogs" /stypes="app*4023*20170321*" /stext=" 23:.+((SYSTEM_STATE.+slice.+state.+changed )|(ment ac)|(multiple cpu faults)|(system.+state.+changed )|(\[timeout)|(PRM\|1\|D)|(kpr)|(kdp)|(\|lc)|(penalty))"</v>
      </c>
      <c r="AG116" s="1" t="str">
        <f t="shared" si="37"/>
        <v>EC</v>
      </c>
      <c r="AH116" s="86" t="str">
        <f t="shared" si="38"/>
        <v>"%USERPROFILE%\Documents\GitHub\eaglep3\Utilities\RefineRTDCRunTimes.py" --tripid 198-21 --locoid 4023 --swversion DE.1.0.9.0 --startMP 204:233071 --initTime 2017-03-21T16:25:42 --startdatetime 2017-03-21T16:41:32 --delay 1 --endMP 204:132 --enddatetime 2017-03-21T17:20:17 --enforcementcount 0 &gt;&gt;C:\Users\stu\Documents\GitHub\eaglep3-reporting\EC\2017-03-21-refined-times.txt</v>
      </c>
      <c r="AI116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{"issue":{"subject":"","project_id":79,"tracker_id":40,"status_id":1,"priority_id":2,"assigned_to_id":23,"start_date":"2017-03-21","description":"","custom_fields":[{"id":1,"name":"Subdivision","value":"EC"},{"id":4,"name":"Milepost","value":"0.0132"},{"id":17,"name":"Train ID","value":"198-21"},{"id":16,"name":"Locomotive ID","value":"4023"},{"id":130,"name":"Impact","value":""},{"id":150,"name":"Time of Event (Mountain Time)","value":"17:20:17"},{"id":151,"name":"Denver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0"/>
        <v>start /low /b %USERPROFILE%\Documents\GitHub\eaglep3\Utilities\DownloadLogsFromS3.py --loco 4023 --day 2017-03-21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</row>
    <row r="117" spans="1:91" s="20" customFormat="1" x14ac:dyDescent="0.25">
      <c r="A117" s="33" t="s">
        <v>623</v>
      </c>
      <c r="B117" s="7">
        <v>4016</v>
      </c>
      <c r="C117" s="21" t="s">
        <v>221</v>
      </c>
      <c r="D117" s="21" t="s">
        <v>224</v>
      </c>
      <c r="E117" s="13">
        <v>42815.662800925929</v>
      </c>
      <c r="F117" s="13">
        <v>42815.666851851849</v>
      </c>
      <c r="G117" s="7">
        <v>1</v>
      </c>
      <c r="H117" s="21" t="s">
        <v>910</v>
      </c>
      <c r="I117" s="13">
        <v>42815.69908564815</v>
      </c>
      <c r="J117" s="7">
        <v>0</v>
      </c>
      <c r="K117" s="98" t="str">
        <f t="shared" si="27"/>
        <v>4015/4016</v>
      </c>
      <c r="L117" s="21" t="str">
        <f>VLOOKUP(A117,'Trips&amp;Operators'!$C$1:$G$99999,5,FALSE)</f>
        <v>STRICKLAND EVAN</v>
      </c>
      <c r="M117" s="6">
        <f t="shared" si="28"/>
        <v>3.2233796300715767E-2</v>
      </c>
      <c r="N117" s="7">
        <f t="shared" si="45"/>
        <v>46.416666673030704</v>
      </c>
      <c r="O117" s="7"/>
      <c r="P117" s="7"/>
      <c r="Q117" s="22"/>
      <c r="R117" s="22"/>
      <c r="S117" s="31">
        <f t="shared" si="42"/>
        <v>1</v>
      </c>
      <c r="T117" s="46" t="str">
        <f t="shared" si="29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0"/>
        <v>https://d0f6bd738d7f1b3e5a7ca70fe4ff75f0.us-east-1.aws.found.io/app/kibana#/discover/Steve-Slow-Train-Analysis-(2080s-and-2083s)?_g=(refreshInterval:(display:Off,pause:!f,section:0,value:0),time:(from:'2017-03-21T14:54:26-0600',mode:absolute,to:'2017-03-21T17:46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7" s="187" t="str">
        <f t="shared" si="31"/>
        <v>N</v>
      </c>
      <c r="X117" s="187">
        <f t="shared" si="32"/>
        <v>1</v>
      </c>
      <c r="Y117" s="62">
        <f t="shared" si="46"/>
        <v>4.6699999999999998E-2</v>
      </c>
      <c r="Z117" s="62">
        <f t="shared" si="44"/>
        <v>23.334700000000002</v>
      </c>
      <c r="AA117" s="62">
        <f t="shared" si="33"/>
        <v>23.288</v>
      </c>
      <c r="AB117" s="59" t="str">
        <f>VLOOKUP(A117,Enforcements!$C$7:$K$13,8,0)</f>
        <v>Bulletin (2)</v>
      </c>
      <c r="AC117" s="55" t="str">
        <f>VLOOKUP(A117,Enforcements!$C$7:$E$13,3,0)</f>
        <v>GRADE CROSSING</v>
      </c>
      <c r="AD117" s="56" t="str">
        <f t="shared" si="34"/>
        <v>0199-21</v>
      </c>
      <c r="AE117" s="85" t="str">
        <f t="shared" si="35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117" s="82" t="str">
        <f t="shared" si="36"/>
        <v>"C:\Program Files (x86)\AstroGrep\AstroGrep.exe" /e /r /s /spath="%USERPROFILE%\AppData\Local\Temp\OnboardLogs" /stypes="app*4016*20170321*" /stext=" 22:.+((SYSTEM_STATE.+slice.+state.+changed )|(ment ac)|(multiple cpu faults)|(system.+state.+changed )|(\[timeout)|(PRM\|1\|D)|(kpr)|(kdp)|(\|lc)|(penalty))"</v>
      </c>
      <c r="AG117" s="1" t="str">
        <f t="shared" si="37"/>
        <v>EC</v>
      </c>
      <c r="AH117" s="86" t="str">
        <f t="shared" si="38"/>
        <v>"%USERPROFILE%\Documents\GitHub\eaglep3\Utilities\RefineRTDCRunTimes.py" --tripid 199-21 --locoid 4016 --swversion DE.1.0.9.0 --startMP 204:467 --initTime 2017-03-21T15:54:26 --startdatetime 2017-03-21T16:00:16 --delay 1 --endMP 204:233347 --enddatetime 2017-03-21T16:46:41 --enforcementcount 0 &gt;&gt;C:\Users\stu\Documents\GitHub\eaglep3-reporting\EC\2017-03-21-refined-times.txt</v>
      </c>
      <c r="AI117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{"issue":{"subject":"","project_id":79,"tracker_id":40,"status_id":1,"priority_id":2,"assigned_to_id":23,"start_date":"2017-03-21","description":"","custom_fields":[{"id":1,"name":"Subdivision","value":"EC"},{"id":4,"name":"Milepost","value":"23.3347"},{"id":17,"name":"Train ID","value":"199-21"},{"id":16,"name":"Locomotive ID","value":"4016"},{"id":130,"name":"Impact","value":""},{"id":150,"name":"Time of Event (Mountain Time)","value":"16:46:41"},{"id":151,"name":"Denver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0"/>
        <v>start /low /b %USERPROFILE%\Documents\GitHub\eaglep3\Utilities\DownloadLogsFromS3.py --loco 4016 --day 2017-03-21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"%USERPROFILE%\AppData\Local\Temp\OnboardLogs"\RTDC4016\*4016*20170321* | grep -SE "(Enforcement Action)|(\[TIMEOUT)|(CHR.+\|PRM\|1\|D.+(SWITCH|SIGNAL).+UNKNOWN)" - &gt;&gt; 2017-03-21-UncaughtWiMAX.txt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626</v>
      </c>
      <c r="B118" s="7">
        <v>4015</v>
      </c>
      <c r="C118" s="21" t="s">
        <v>221</v>
      </c>
      <c r="D118" s="21" t="s">
        <v>911</v>
      </c>
      <c r="E118" s="13">
        <v>42815.70040509259</v>
      </c>
      <c r="F118" s="13">
        <v>42815.706053240741</v>
      </c>
      <c r="G118" s="7">
        <v>1</v>
      </c>
      <c r="H118" s="21" t="s">
        <v>216</v>
      </c>
      <c r="I118" s="13">
        <v>42815.73510416667</v>
      </c>
      <c r="J118" s="7">
        <v>0</v>
      </c>
      <c r="K118" s="98" t="str">
        <f t="shared" si="27"/>
        <v>4015/4016</v>
      </c>
      <c r="L118" s="21" t="str">
        <f>VLOOKUP(A118,'Trips&amp;Operators'!$C$1:$G$99999,5,FALSE)</f>
        <v>STRICKLAND EVAN</v>
      </c>
      <c r="M118" s="6">
        <f t="shared" si="28"/>
        <v>2.9050925928459037E-2</v>
      </c>
      <c r="N118" s="7">
        <f t="shared" si="45"/>
        <v>41.833333336981013</v>
      </c>
      <c r="O118" s="7"/>
      <c r="P118" s="7"/>
      <c r="Q118" s="22"/>
      <c r="R118" s="22"/>
      <c r="S118" s="31">
        <f t="shared" si="42"/>
        <v>1</v>
      </c>
      <c r="T118" s="46" t="str">
        <f t="shared" si="29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0"/>
        <v>https://d0f6bd738d7f1b3e5a7ca70fe4ff75f0.us-east-1.aws.found.io/app/kibana#/discover/Steve-Slow-Train-Analysis-(2080s-and-2083s)?_g=(refreshInterval:(display:Off,pause:!f,section:0,value:0),time:(from:'2017-03-21T15:48:35-0600',mode:absolute,to:'2017-03-21T18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8" s="187" t="str">
        <f t="shared" si="31"/>
        <v>N</v>
      </c>
      <c r="X118" s="187">
        <f t="shared" si="32"/>
        <v>1</v>
      </c>
      <c r="Y118" s="62">
        <f t="shared" si="46"/>
        <v>23.303799999999999</v>
      </c>
      <c r="Z118" s="62">
        <f t="shared" si="44"/>
        <v>1.47E-2</v>
      </c>
      <c r="AA118" s="62">
        <f t="shared" si="33"/>
        <v>23.289099999999998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4"/>
        <v>0200-21</v>
      </c>
      <c r="AE118" s="85" t="str">
        <f t="shared" si="35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118" s="82" t="str">
        <f t="shared" si="36"/>
        <v>"C:\Program Files (x86)\AstroGrep\AstroGrep.exe" /e /r /s /spath="%USERPROFILE%\AppData\Local\Temp\OnboardLogs" /stypes="app*4015*20170321*" /stext=" 23:.+((SYSTEM_STATE.+slice.+state.+changed )|(ment ac)|(multiple cpu faults)|(system.+state.+changed )|(\[timeout)|(PRM\|1\|D)|(kpr)|(kdp)|(\|lc)|(penalty))"</v>
      </c>
      <c r="AG118" s="1" t="str">
        <f t="shared" si="37"/>
        <v>EC</v>
      </c>
      <c r="AH118" s="86" t="str">
        <f t="shared" si="38"/>
        <v>"%USERPROFILE%\Documents\GitHub\eaglep3\Utilities\RefineRTDCRunTimes.py" --tripid 200-21 --locoid 4015 --swversion DE.1.0.9.0 --startMP 204:233038 --initTime 2017-03-21T16:48:35 --startdatetime 2017-03-21T16:56:43 --delay 1 --endMP 204:147 --enddatetime 2017-03-21T17:38:33 --enforcementcount 0 &gt;&gt;C:\Users\stu\Documents\GitHub\eaglep3-reporting\EC\2017-03-21-refined-times.txt</v>
      </c>
      <c r="AI118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{"issue":{"subject":"","project_id":79,"tracker_id":40,"status_id":1,"priority_id":2,"assigned_to_id":23,"start_date":"2017-03-21","description":"","custom_fields":[{"id":1,"name":"Subdivision","value":"EC"},{"id":4,"name":"Milepost","value":"0.0147"},{"id":17,"name":"Train ID","value":"200-21"},{"id":16,"name":"Locomotive ID","value":"4015"},{"id":130,"name":"Impact","value":""},{"id":150,"name":"Time of Event (Mountain Time)","value":"17:38:33"},{"id":151,"name":"Denver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0"/>
        <v>start /low /b %USERPROFILE%\Documents\GitHub\eaglep3\Utilities\DownloadLogsFromS3.py --loco 4015 --day 2017-03-21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"%USERPROFILE%\AppData\Local\Temp\OnboardLogs"\RTDC4015\*4015*20170321* | grep -SE "(Enforcement Action)|(\[TIMEOUT)|(CHR.+\|PRM\|1\|D.+(SWITCH|SIGNAL).+UNKNOWN)" - &gt;&gt; 2017-03-21-UncaughtWiMAX.txt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758</v>
      </c>
      <c r="B119" s="7">
        <v>4042</v>
      </c>
      <c r="C119" s="21" t="s">
        <v>221</v>
      </c>
      <c r="D119" s="21" t="s">
        <v>912</v>
      </c>
      <c r="E119" s="13">
        <v>42815.674976851849</v>
      </c>
      <c r="F119" s="13">
        <v>42815.677349537036</v>
      </c>
      <c r="G119" s="7">
        <v>1</v>
      </c>
      <c r="H119" s="21" t="s">
        <v>913</v>
      </c>
      <c r="I119" s="13">
        <v>42815.704074074078</v>
      </c>
      <c r="J119" s="7">
        <v>0</v>
      </c>
      <c r="K119" s="98" t="str">
        <f t="shared" si="27"/>
        <v>4041/4042</v>
      </c>
      <c r="L119" s="21" t="str">
        <f>VLOOKUP(A119,'Trips&amp;Operators'!$C$1:$G$99999,5,FALSE)</f>
        <v>DAVIS MICHAEL</v>
      </c>
      <c r="M119" s="6">
        <f t="shared" si="28"/>
        <v>2.6724537041445728E-2</v>
      </c>
      <c r="N119" s="7">
        <f t="shared" si="45"/>
        <v>38.483333339681849</v>
      </c>
      <c r="O119" s="7"/>
      <c r="P119" s="7"/>
      <c r="Q119" s="22"/>
      <c r="R119" s="22"/>
      <c r="S119" s="31">
        <f t="shared" si="42"/>
        <v>1</v>
      </c>
      <c r="T119" s="46" t="str">
        <f t="shared" si="29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0"/>
        <v>https://d0f6bd738d7f1b3e5a7ca70fe4ff75f0.us-east-1.aws.found.io/app/kibana#/discover/Steve-Slow-Train-Analysis-(2080s-and-2083s)?_g=(refreshInterval:(display:Off,pause:!f,section:0,value:0),time:(from:'2017-03-21T15:11:58-0600',mode:absolute,to:'2017-03-21T17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87" t="str">
        <f t="shared" si="31"/>
        <v>N</v>
      </c>
      <c r="X119" s="187">
        <f t="shared" si="32"/>
        <v>1</v>
      </c>
      <c r="Y119" s="62">
        <f t="shared" si="46"/>
        <v>4.2700000000000002E-2</v>
      </c>
      <c r="Z119" s="62">
        <f t="shared" si="44"/>
        <v>23.332999999999998</v>
      </c>
      <c r="AA119" s="62">
        <f t="shared" si="33"/>
        <v>23.290299999999998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4"/>
        <v>0201-21</v>
      </c>
      <c r="AE119" s="85" t="str">
        <f t="shared" si="35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119" s="82" t="str">
        <f t="shared" si="36"/>
        <v>"C:\Program Files (x86)\AstroGrep\AstroGrep.exe" /e /r /s /spath="%USERPROFILE%\AppData\Local\Temp\OnboardLogs" /stypes="app*4042*20170321*" /stext=" 22:.+((SYSTEM_STATE.+slice.+state.+changed )|(ment ac)|(multiple cpu faults)|(system.+state.+changed )|(\[timeout)|(PRM\|1\|D)|(kpr)|(kdp)|(\|lc)|(penalty))"</v>
      </c>
      <c r="AG119" s="1" t="str">
        <f t="shared" si="37"/>
        <v>EC</v>
      </c>
      <c r="AH119" s="86" t="str">
        <f t="shared" si="38"/>
        <v>"%USERPROFILE%\Documents\GitHub\eaglep3\Utilities\RefineRTDCRunTimes.py" --tripid 201-21 --locoid 4042 --swversion DE.1.0.9.0 --startMP 204:427 --initTime 2017-03-21T16:11:58 --startdatetime 2017-03-21T16:15:23 --delay 1 --endMP 204:233330 --enddatetime 2017-03-21T16:53:52 --enforcementcount 0 &gt;&gt;C:\Users\stu\Documents\GitHub\eaglep3-reporting\EC\2017-03-21-refined-times.txt</v>
      </c>
      <c r="AI119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{"issue":{"subject":"","project_id":79,"tracker_id":40,"status_id":1,"priority_id":2,"assigned_to_id":23,"start_date":"2017-03-21","description":"","custom_fields":[{"id":1,"name":"Subdivision","value":"EC"},{"id":4,"name":"Milepost","value":"23.333"},{"id":17,"name":"Train ID","value":"201-21"},{"id":16,"name":"Locomotive ID","value":"4042"},{"id":130,"name":"Impact","value":""},{"id":150,"name":"Time of Event (Mountain Time)","value":"16:53:52"},{"id":151,"name":"Denver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0"/>
        <v>start /low /b %USERPROFILE%\Documents\GitHub\eaglep3\Utilities\DownloadLogsFromS3.py --loco 4042 --day 2017-03-21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"%USERPROFILE%\AppData\Local\Temp\OnboardLogs"\RTDC4042\*4042*20170321* | grep -SE "(Enforcement Action)|(\[TIMEOUT)|(CHR.+\|PRM\|1\|D.+(SWITCH|SIGNAL).+UNKNOWN)" - &gt;&gt; 2017-03-21-UncaughtWiMAX.txt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628</v>
      </c>
      <c r="B120" s="7">
        <v>4041</v>
      </c>
      <c r="C120" s="21" t="s">
        <v>221</v>
      </c>
      <c r="D120" s="21" t="s">
        <v>483</v>
      </c>
      <c r="E120" s="13">
        <v>42815.714178240742</v>
      </c>
      <c r="F120" s="13">
        <v>42815.716226851851</v>
      </c>
      <c r="G120" s="7">
        <v>1</v>
      </c>
      <c r="H120" s="21" t="s">
        <v>215</v>
      </c>
      <c r="I120" s="13">
        <v>42815.74486111111</v>
      </c>
      <c r="J120" s="7">
        <v>0</v>
      </c>
      <c r="K120" s="98" t="str">
        <f t="shared" si="27"/>
        <v>4041/4042</v>
      </c>
      <c r="L120" s="21" t="str">
        <f>VLOOKUP(A120,'Trips&amp;Operators'!$C$1:$G$99999,5,FALSE)</f>
        <v>DAVIS MICHAEL</v>
      </c>
      <c r="M120" s="6">
        <f t="shared" si="28"/>
        <v>2.8634259258979E-2</v>
      </c>
      <c r="N120" s="7">
        <f t="shared" si="45"/>
        <v>41.23333333292976</v>
      </c>
      <c r="O120" s="7"/>
      <c r="P120" s="7"/>
      <c r="Q120" s="22"/>
      <c r="R120" s="22"/>
      <c r="S120" s="31">
        <f t="shared" si="42"/>
        <v>1</v>
      </c>
      <c r="T120" s="46" t="str">
        <f t="shared" si="29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0"/>
        <v>https://d0f6bd738d7f1b3e5a7ca70fe4ff75f0.us-east-1.aws.found.io/app/kibana#/discover/Steve-Slow-Train-Analysis-(2080s-and-2083s)?_g=(refreshInterval:(display:Off,pause:!f,section:0,value:0),time:(from:'2017-03-21T16:08:25-0600',mode:absolute,to:'2017-03-21T18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87" t="str">
        <f t="shared" si="31"/>
        <v>N</v>
      </c>
      <c r="X120" s="187">
        <f t="shared" si="32"/>
        <v>1</v>
      </c>
      <c r="Y120" s="62">
        <f t="shared" si="46"/>
        <v>23.299600000000002</v>
      </c>
      <c r="Z120" s="62">
        <f t="shared" si="44"/>
        <v>1.5599999999999999E-2</v>
      </c>
      <c r="AA120" s="62">
        <f t="shared" si="33"/>
        <v>23.284000000000002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4"/>
        <v>0202-21</v>
      </c>
      <c r="AE120" s="85" t="str">
        <f t="shared" si="35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120" s="82" t="str">
        <f t="shared" si="36"/>
        <v>"C:\Program Files (x86)\AstroGrep\AstroGrep.exe" /e /r /s /spath="%USERPROFILE%\AppData\Local\Temp\OnboardLogs" /stypes="app*4041*20170321*" /stext=" 23:.+((SYSTEM_STATE.+slice.+state.+changed )|(ment ac)|(multiple cpu faults)|(system.+state.+changed )|(\[timeout)|(PRM\|1\|D)|(kpr)|(kdp)|(\|lc)|(penalty))"</v>
      </c>
      <c r="AG120" s="1" t="str">
        <f t="shared" si="37"/>
        <v>EC</v>
      </c>
      <c r="AH120" s="86" t="str">
        <f t="shared" si="38"/>
        <v>"%USERPROFILE%\Documents\GitHub\eaglep3\Utilities\RefineRTDCRunTimes.py" --tripid 202-21 --locoid 4041 --swversion DE.1.0.9.0 --startMP 204:232996 --initTime 2017-03-21T17:08:25 --startdatetime 2017-03-21T17:11:22 --delay 1 --endMP 204:156 --enddatetime 2017-03-21T17:52:36 --enforcementcount 0 &gt;&gt;C:\Users\stu\Documents\GitHub\eaglep3-reporting\EC\2017-03-21-refined-times.txt</v>
      </c>
      <c r="AI120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{"issue":{"subject":"","project_id":79,"tracker_id":40,"status_id":1,"priority_id":2,"assigned_to_id":23,"start_date":"2017-03-21","description":"","custom_fields":[{"id":1,"name":"Subdivision","value":"EC"},{"id":4,"name":"Milepost","value":"0.0156"},{"id":17,"name":"Train ID","value":"202-21"},{"id":16,"name":"Locomotive ID","value":"4041"},{"id":130,"name":"Impact","value":""},{"id":150,"name":"Time of Event (Mountain Time)","value":"17:52:36"},{"id":151,"name":"Denver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0"/>
        <v>start /low /b %USERPROFILE%\Documents\GitHub\eaglep3\Utilities\DownloadLogsFromS3.py --loco 4041 --day 2017-03-21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761</v>
      </c>
      <c r="B121" s="7">
        <v>4031</v>
      </c>
      <c r="C121" s="21" t="s">
        <v>221</v>
      </c>
      <c r="D121" s="21" t="s">
        <v>474</v>
      </c>
      <c r="E121" s="13">
        <v>42815.684305555558</v>
      </c>
      <c r="F121" s="13">
        <v>42815.687719907408</v>
      </c>
      <c r="G121" s="7">
        <v>1</v>
      </c>
      <c r="H121" s="21" t="s">
        <v>411</v>
      </c>
      <c r="I121" s="13">
        <v>42815.713194444441</v>
      </c>
      <c r="J121" s="7">
        <v>0</v>
      </c>
      <c r="K121" s="98" t="str">
        <f t="shared" si="27"/>
        <v>4031/4032</v>
      </c>
      <c r="L121" s="21" t="str">
        <f>VLOOKUP(A121,'Trips&amp;Operators'!$C$1:$G$99999,5,FALSE)</f>
        <v>STEWART MICHAEL</v>
      </c>
      <c r="M121" s="6">
        <f t="shared" si="28"/>
        <v>2.5474537033005618E-2</v>
      </c>
      <c r="N121" s="7">
        <f t="shared" si="45"/>
        <v>36.683333327528089</v>
      </c>
      <c r="O121" s="7"/>
      <c r="P121" s="7"/>
      <c r="Q121" s="22"/>
      <c r="R121" s="22"/>
      <c r="S121" s="31">
        <f t="shared" si="42"/>
        <v>1</v>
      </c>
      <c r="T121" s="46" t="str">
        <f t="shared" si="29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0"/>
        <v>https://d0f6bd738d7f1b3e5a7ca70fe4ff75f0.us-east-1.aws.found.io/app/kibana#/discover/Steve-Slow-Train-Analysis-(2080s-and-2083s)?_g=(refreshInterval:(display:Off,pause:!f,section:0,value:0),time:(from:'2017-03-21T15:25:24-0600',mode:absolute,to:'2017-03-21T18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187" t="str">
        <f t="shared" si="31"/>
        <v>N</v>
      </c>
      <c r="X121" s="187">
        <f t="shared" si="32"/>
        <v>1</v>
      </c>
      <c r="Y121" s="62">
        <f t="shared" si="46"/>
        <v>4.4900000000000002E-2</v>
      </c>
      <c r="Z121" s="62">
        <f t="shared" si="44"/>
        <v>23.3308</v>
      </c>
      <c r="AA121" s="62">
        <f t="shared" si="33"/>
        <v>23.285900000000002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4"/>
        <v>0203-21</v>
      </c>
      <c r="AE121" s="85" t="str">
        <f t="shared" si="35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121" s="82" t="str">
        <f t="shared" si="36"/>
        <v>"C:\Program Files (x86)\AstroGrep\AstroGrep.exe" /e /r /s /spath="%USERPROFILE%\AppData\Local\Temp\OnboardLogs" /stypes="app*4031*20170321*" /stext=" 23:.+((SYSTEM_STATE.+slice.+state.+changed )|(ment ac)|(multiple cpu faults)|(system.+state.+changed )|(\[timeout)|(PRM\|1\|D)|(kpr)|(kdp)|(\|lc)|(penalty))"</v>
      </c>
      <c r="AG121" s="1" t="str">
        <f t="shared" si="37"/>
        <v>EC</v>
      </c>
      <c r="AH121" s="86" t="str">
        <f t="shared" si="38"/>
        <v>"%USERPROFILE%\Documents\GitHub\eaglep3\Utilities\RefineRTDCRunTimes.py" --tripid 203-21 --locoid 4031 --swversion DE.1.0.9.0 --startMP 204:449 --initTime 2017-03-21T16:25:24 --startdatetime 2017-03-21T16:30:19 --delay 1 --endMP 204:233308 --enddatetime 2017-03-21T17:07:00 --enforcementcount 0 &gt;&gt;C:\Users\stu\Documents\GitHub\eaglep3-reporting\EC\2017-03-21-refined-times.txt</v>
      </c>
      <c r="AI121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{"issue":{"subject":"","project_id":79,"tracker_id":40,"status_id":1,"priority_id":2,"assigned_to_id":23,"start_date":"2017-03-21","description":"","custom_fields":[{"id":1,"name":"Subdivision","value":"EC"},{"id":4,"name":"Milepost","value":"23.3308"},{"id":17,"name":"Train ID","value":"203-21"},{"id":16,"name":"Locomotive ID","value":"4031"},{"id":130,"name":"Impact","value":""},{"id":150,"name":"Time of Event (Mountain Time)","value":"17:07:00"},{"id":151,"name":"Denver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0"/>
        <v>start /low /b %USERPROFILE%\Documents\GitHub\eaglep3\Utilities\DownloadLogsFromS3.py --loco 4031 --day 2017-03-21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630</v>
      </c>
      <c r="B122" s="7">
        <v>4032</v>
      </c>
      <c r="C122" s="21" t="s">
        <v>221</v>
      </c>
      <c r="D122" s="21" t="s">
        <v>570</v>
      </c>
      <c r="E122" s="13">
        <v>42815.724409722221</v>
      </c>
      <c r="F122" s="13">
        <v>42815.726631944446</v>
      </c>
      <c r="G122" s="7">
        <v>1</v>
      </c>
      <c r="H122" s="21" t="s">
        <v>914</v>
      </c>
      <c r="I122" s="13">
        <v>42815.754652777781</v>
      </c>
      <c r="J122" s="7">
        <v>0</v>
      </c>
      <c r="K122" s="98" t="str">
        <f t="shared" si="27"/>
        <v>4031/4032</v>
      </c>
      <c r="L122" s="21" t="str">
        <f>VLOOKUP(A122,'Trips&amp;Operators'!$C$1:$G$99999,5,FALSE)</f>
        <v>STEWART MICHAEL</v>
      </c>
      <c r="M122" s="6">
        <f t="shared" si="28"/>
        <v>2.8020833335176576E-2</v>
      </c>
      <c r="N122" s="7">
        <f t="shared" si="45"/>
        <v>40.350000002654269</v>
      </c>
      <c r="O122" s="7"/>
      <c r="P122" s="7"/>
      <c r="Q122" s="22"/>
      <c r="R122" s="22"/>
      <c r="S122" s="31">
        <f t="shared" si="42"/>
        <v>1</v>
      </c>
      <c r="T122" s="46" t="str">
        <f t="shared" si="29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0"/>
        <v>https://d0f6bd738d7f1b3e5a7ca70fe4ff75f0.us-east-1.aws.found.io/app/kibana#/discover/Steve-Slow-Train-Analysis-(2080s-and-2083s)?_g=(refreshInterval:(display:Off,pause:!f,section:0,value:0),time:(from:'2017-03-21T16:23:09-0600',mode:absolute,to:'2017-03-21T19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187" t="str">
        <f t="shared" si="31"/>
        <v>N</v>
      </c>
      <c r="X122" s="187">
        <f t="shared" si="32"/>
        <v>1</v>
      </c>
      <c r="Y122" s="62">
        <f t="shared" si="46"/>
        <v>23.299399999999999</v>
      </c>
      <c r="Z122" s="62">
        <f t="shared" si="44"/>
        <v>2.6499999999999999E-2</v>
      </c>
      <c r="AA122" s="62">
        <f t="shared" si="33"/>
        <v>23.2729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4"/>
        <v>0204-21</v>
      </c>
      <c r="AE122" s="85" t="str">
        <f t="shared" si="35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122" s="82" t="str">
        <f t="shared" si="36"/>
        <v>"C:\Program Files (x86)\AstroGrep\AstroGrep.exe" /e /r /s /spath="%USERPROFILE%\AppData\Local\Temp\OnboardLogs" /stypes="app*4032*20170322*" /stext=" 00:.+((SYSTEM_STATE.+slice.+state.+changed )|(ment ac)|(multiple cpu faults)|(system.+state.+changed )|(\[timeout)|(PRM\|1\|D)|(kpr)|(kdp)|(\|lc)|(penalty))"</v>
      </c>
      <c r="AG122" s="1" t="str">
        <f t="shared" si="37"/>
        <v>EC</v>
      </c>
      <c r="AH122" s="86" t="str">
        <f t="shared" si="38"/>
        <v>"%USERPROFILE%\Documents\GitHub\eaglep3\Utilities\RefineRTDCRunTimes.py" --tripid 204-21 --locoid 4032 --swversion DE.1.0.9.0 --startMP 204:232994 --initTime 2017-03-21T17:23:09 --startdatetime 2017-03-21T17:26:21 --delay 1 --endMP 204:265 --enddatetime 2017-03-21T18:06:42 --enforcementcount 0 &gt;&gt;C:\Users\stu\Documents\GitHub\eaglep3-reporting\EC\2017-03-21-refined-times.txt</v>
      </c>
      <c r="AI122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{"issue":{"subject":"","project_id":79,"tracker_id":40,"status_id":1,"priority_id":2,"assigned_to_id":23,"start_date":"2017-03-21","description":"","custom_fields":[{"id":1,"name":"Subdivision","value":"EC"},{"id":4,"name":"Milepost","value":"0.0265"},{"id":17,"name":"Train ID","value":"204-21"},{"id":16,"name":"Locomotive ID","value":"4032"},{"id":130,"name":"Impact","value":""},{"id":150,"name":"Time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0"/>
        <v>start /low /b %USERPROFILE%\Documents\GitHub\eaglep3\Utilities\DownloadLogsFromS3.py --loco 4032 --day 2017-03-21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765</v>
      </c>
      <c r="B123" s="7">
        <v>4014</v>
      </c>
      <c r="C123" s="21" t="s">
        <v>221</v>
      </c>
      <c r="D123" s="21" t="s">
        <v>208</v>
      </c>
      <c r="E123" s="13">
        <v>42815.694467592592</v>
      </c>
      <c r="F123" s="13">
        <v>42815.698321759257</v>
      </c>
      <c r="G123" s="7">
        <v>2</v>
      </c>
      <c r="H123" s="21" t="s">
        <v>835</v>
      </c>
      <c r="I123" s="13">
        <v>42815.724039351851</v>
      </c>
      <c r="J123" s="7">
        <v>0</v>
      </c>
      <c r="K123" s="98" t="str">
        <f t="shared" si="27"/>
        <v>4013/4014</v>
      </c>
      <c r="L123" s="21" t="str">
        <f>VLOOKUP(A123,'Trips&amp;Operators'!$C$1:$G$99999,5,FALSE)</f>
        <v>MENGES BRAD</v>
      </c>
      <c r="M123" s="6">
        <f t="shared" si="28"/>
        <v>2.5717592594446614E-2</v>
      </c>
      <c r="N123" s="7">
        <f t="shared" si="45"/>
        <v>37.033333336003125</v>
      </c>
      <c r="O123" s="7"/>
      <c r="P123" s="7"/>
      <c r="Q123" s="22"/>
      <c r="R123" s="22"/>
      <c r="S123" s="31">
        <f t="shared" si="42"/>
        <v>1</v>
      </c>
      <c r="T123" s="46" t="str">
        <f t="shared" si="29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0"/>
        <v>https://d0f6bd738d7f1b3e5a7ca70fe4ff75f0.us-east-1.aws.found.io/app/kibana#/discover/Steve-Slow-Train-Analysis-(2080s-and-2083s)?_g=(refreshInterval:(display:Off,pause:!f,section:0,value:0),time:(from:'2017-03-21T15:40:02-0600',mode:absolute,to:'2017-03-21T18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87" t="str">
        <f t="shared" si="31"/>
        <v>N</v>
      </c>
      <c r="X123" s="187">
        <f t="shared" si="32"/>
        <v>1</v>
      </c>
      <c r="Y123" s="62">
        <f t="shared" si="46"/>
        <v>4.5699999999999998E-2</v>
      </c>
      <c r="Z123" s="62">
        <f t="shared" si="44"/>
        <v>23.328900000000001</v>
      </c>
      <c r="AA123" s="62">
        <f t="shared" si="33"/>
        <v>23.283200000000001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4"/>
        <v>0205-21</v>
      </c>
      <c r="AE123" s="85" t="str">
        <f t="shared" si="35"/>
        <v>aws s3 cp s3://rtdc.mdm.uploadarchive.raw/RTDC4014/ "%USERPROFILE%\AppData\Local\Temp\OnboardLogs"\RTDC4014\2017-03-21 --exclude "*" --recursive --include "*20170321*" &amp; "%USERPROFILE%\Documents\GitHub\mrs-test-scripts\Headless Mode &amp; Sideloading\WalkAndUnGZ.bat" "%USERPROFILE%\AppData\Local\Temp\OnboardLogs"\RTDC4014\2017-03-21 &amp; 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</v>
      </c>
      <c r="AF123" s="82" t="str">
        <f t="shared" si="36"/>
        <v>"C:\Program Files (x86)\AstroGrep\AstroGrep.exe" /e /r /s /spath="%USERPROFILE%\AppData\Local\Temp\OnboardLogs" /stypes="app*4014*20170321*" /stext=" 23:.+((SYSTEM_STATE.+slice.+state.+changed )|(ment ac)|(multiple cpu faults)|(system.+state.+changed )|(\[timeout)|(PRM\|1\|D)|(kpr)|(kdp)|(\|lc)|(penalty))"</v>
      </c>
      <c r="AG123" s="1" t="str">
        <f t="shared" si="37"/>
        <v>EC</v>
      </c>
      <c r="AH123" s="86" t="str">
        <f t="shared" si="38"/>
        <v>"%USERPROFILE%\Documents\GitHub\eaglep3\Utilities\RefineRTDCRunTimes.py" --tripid 205-21 --locoid 4014 --swversion DE.1.0.9.0 --startMP 204:457 --initTime 2017-03-21T16:40:02 --startdatetime 2017-03-21T16:45:35 --delay 2 --endMP 204:233289 --enddatetime 2017-03-21T17:22:37 --enforcementcount 0 &gt;&gt;C:\Users\stu\Documents\GitHub\eaglep3-reporting\EC\2017-03-21-refined-times.txt</v>
      </c>
      <c r="AI123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{"issue":{"subject":"","project_id":79,"tracker_id":40,"status_id":1,"priority_id":2,"assigned_to_id":23,"start_date":"2017-03-21","description":"","custom_fields":[{"id":1,"name":"Subdivision","value":"EC"},{"id":4,"name":"Milepost","value":"23.3289"},{"id":17,"name":"Train ID","value":"205-21"},{"id":16,"name":"Locomotive ID","value":"4014"},{"id":130,"name":"Impact","value":""},{"id":150,"name":"Time of Event (Mountain Time)","value":"17:22:37"},{"id":151,"name":"Denver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0"/>
        <v>start /low /b %USERPROFILE%\Documents\GitHub\eaglep3\Utilities\DownloadLogsFromS3.py --loco 4014 --day 2017-03-21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"%USERPROFILE%\AppData\Local\Temp\OnboardLogs"\RTDC4014\*4014*20170321* | grep -SE "(Enforcement Action)|(\[TIMEOUT)|(CHR.+\|PRM\|1\|D.+(SWITCH|SIGNAL).+UNKNOWN)" - &gt;&gt; 2017-03-21-UncaughtWiMAX.txt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772</v>
      </c>
      <c r="B124" s="7">
        <v>4013</v>
      </c>
      <c r="C124" s="21" t="s">
        <v>221</v>
      </c>
      <c r="D124" s="21" t="s">
        <v>573</v>
      </c>
      <c r="E124" s="13">
        <v>42815.730555555558</v>
      </c>
      <c r="F124" s="13">
        <v>42815.73715277778</v>
      </c>
      <c r="G124" s="7">
        <v>3</v>
      </c>
      <c r="H124" s="21" t="s">
        <v>577</v>
      </c>
      <c r="I124" s="13">
        <v>42815.76734953704</v>
      </c>
      <c r="J124" s="7">
        <v>0</v>
      </c>
      <c r="K124" s="98" t="str">
        <f t="shared" si="27"/>
        <v>4013/4014</v>
      </c>
      <c r="L124" s="21" t="str">
        <f>VLOOKUP(A124,'Trips&amp;Operators'!$C$1:$G$99999,5,FALSE)</f>
        <v>MENGES BRAD</v>
      </c>
      <c r="M124" s="6">
        <f t="shared" si="28"/>
        <v>3.0196759260434192E-2</v>
      </c>
      <c r="N124" s="7">
        <f t="shared" si="45"/>
        <v>43.483333335025236</v>
      </c>
      <c r="O124" s="7"/>
      <c r="P124" s="7"/>
      <c r="Q124" s="22"/>
      <c r="R124" s="22"/>
      <c r="S124" s="31">
        <f t="shared" si="42"/>
        <v>1</v>
      </c>
      <c r="T124" s="46" t="str">
        <f t="shared" si="29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0"/>
        <v>https://d0f6bd738d7f1b3e5a7ca70fe4ff75f0.us-east-1.aws.found.io/app/kibana#/discover/Steve-Slow-Train-Analysis-(2080s-and-2083s)?_g=(refreshInterval:(display:Off,pause:!f,section:0,value:0),time:(from:'2017-03-21T16:32:00-0600',mode:absolute,to:'2017-03-21T19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87" t="str">
        <f t="shared" si="31"/>
        <v>N</v>
      </c>
      <c r="X124" s="187">
        <f t="shared" si="32"/>
        <v>1</v>
      </c>
      <c r="Y124" s="62">
        <f t="shared" si="46"/>
        <v>23.297799999999999</v>
      </c>
      <c r="Z124" s="62">
        <f t="shared" si="44"/>
        <v>1.2500000000000001E-2</v>
      </c>
      <c r="AA124" s="62">
        <f t="shared" si="33"/>
        <v>23.285299999999999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4"/>
        <v>0206-21</v>
      </c>
      <c r="AE124" s="85" t="str">
        <f t="shared" si="35"/>
        <v>aws s3 cp s3://rtdc.mdm.uploadarchive.raw/RTDC4013/ "%USERPROFILE%\AppData\Local\Temp\OnboardLogs"\RTDC4013\2017-03-21 --exclude "*" --recursive --include "*20170321*" &amp; "%USERPROFILE%\Documents\GitHub\mrs-test-scripts\Headless Mode &amp; Sideloading\WalkAndUnGZ.bat" "%USERPROFILE%\AppData\Local\Temp\OnboardLogs"\RTDC4013\2017-03-21 &amp; 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</v>
      </c>
      <c r="AF124" s="82" t="str">
        <f t="shared" si="36"/>
        <v>"C:\Program Files (x86)\AstroGrep\AstroGrep.exe" /e /r /s /spath="%USERPROFILE%\AppData\Local\Temp\OnboardLogs" /stypes="app*4013*20170322*" /stext=" 00:.+((SYSTEM_STATE.+slice.+state.+changed )|(ment ac)|(multiple cpu faults)|(system.+state.+changed )|(\[timeout)|(PRM\|1\|D)|(kpr)|(kdp)|(\|lc)|(penalty))"</v>
      </c>
      <c r="AG124" s="1" t="str">
        <f t="shared" si="37"/>
        <v>EC</v>
      </c>
      <c r="AH124" s="86" t="str">
        <f t="shared" si="38"/>
        <v>"%USERPROFILE%\Documents\GitHub\eaglep3\Utilities\RefineRTDCRunTimes.py" --tripid 206-21 --locoid 4013 --swversion DE.1.0.9.0 --startMP 204:232978 --initTime 2017-03-21T17:32:00 --startdatetime 2017-03-21T17:41:30 --delay 3 --endMP 204:125 --enddatetime 2017-03-21T18:24:59 --enforcementcount 0 &gt;&gt;C:\Users\stu\Documents\GitHub\eaglep3-reporting\EC\2017-03-21-refined-times.txt</v>
      </c>
      <c r="AI124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{"issue":{"subject":"","project_id":79,"tracker_id":40,"status_id":1,"priority_id":2,"assigned_to_id":23,"start_date":"2017-03-21","description":"","custom_fields":[{"id":1,"name":"Subdivision","value":"EC"},{"id":4,"name":"Milepost","value":"0.0125"},{"id":17,"name":"Train ID","value":"206-21"},{"id":16,"name":"Locomotive ID","value":"4013"},{"id":130,"name":"Impact","value":""},{"id":150,"name":"Time of Event (Mountain Time)","value":"18:24:59"},{"id":151,"name":"Denver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0"/>
        <v>start /low /b %USERPROFILE%\Documents\GitHub\eaglep3\Utilities\DownloadLogsFromS3.py --loco 4013 --day 2017-03-21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"%USERPROFILE%\AppData\Local\Temp\OnboardLogs"\RTDC4013\*4013*20170322* | grep -SE "(Enforcement Action)|(\[TIMEOUT)|(CHR.+\|PRM\|1\|D.+(SWITCH|SIGNAL).+UNKNOWN)" - &gt;&gt; 2017-03-21-UncaughtWiMAX.txt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766</v>
      </c>
      <c r="B125" s="7">
        <v>4025</v>
      </c>
      <c r="C125" s="21" t="s">
        <v>221</v>
      </c>
      <c r="D125" s="21" t="s">
        <v>915</v>
      </c>
      <c r="E125" s="13">
        <v>42815.705671296295</v>
      </c>
      <c r="F125" s="13">
        <v>42815.708483796298</v>
      </c>
      <c r="G125" s="7">
        <v>1</v>
      </c>
      <c r="H125" s="21" t="s">
        <v>510</v>
      </c>
      <c r="I125" s="13">
        <v>42815.734953703701</v>
      </c>
      <c r="J125" s="7">
        <v>0</v>
      </c>
      <c r="K125" s="98" t="str">
        <f t="shared" si="27"/>
        <v>4025/4026</v>
      </c>
      <c r="L125" s="21" t="str">
        <f>VLOOKUP(A125,'Trips&amp;Operators'!$C$1:$G$99999,5,FALSE)</f>
        <v>CLARK KATHLEEN</v>
      </c>
      <c r="M125" s="6">
        <f t="shared" si="28"/>
        <v>2.6469907403225079E-2</v>
      </c>
      <c r="N125" s="7">
        <f t="shared" si="45"/>
        <v>38.116666660644114</v>
      </c>
      <c r="O125" s="7"/>
      <c r="P125" s="7"/>
      <c r="Q125" s="22"/>
      <c r="R125" s="22"/>
      <c r="S125" s="31">
        <f t="shared" si="42"/>
        <v>1</v>
      </c>
      <c r="T125" s="46" t="str">
        <f t="shared" si="29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0"/>
        <v>https://d0f6bd738d7f1b3e5a7ca70fe4ff75f0.us-east-1.aws.found.io/app/kibana#/discover/Steve-Slow-Train-Analysis-(2080s-and-2083s)?_g=(refreshInterval:(display:Off,pause:!f,section:0,value:0),time:(from:'2017-03-21T15:56:10-0600',mode:absolute,to:'2017-03-21T18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5" s="187" t="str">
        <f t="shared" si="31"/>
        <v>N</v>
      </c>
      <c r="X125" s="187">
        <f t="shared" si="32"/>
        <v>1</v>
      </c>
      <c r="Y125" s="62">
        <f t="shared" si="46"/>
        <v>5.04E-2</v>
      </c>
      <c r="Z125" s="62">
        <f t="shared" si="44"/>
        <v>23.327999999999999</v>
      </c>
      <c r="AA125" s="62">
        <f t="shared" si="33"/>
        <v>23.2776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4"/>
        <v>0207-21</v>
      </c>
      <c r="AE125" s="85" t="str">
        <f t="shared" si="35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125" s="82" t="str">
        <f t="shared" si="36"/>
        <v>"C:\Program Files (x86)\AstroGrep\AstroGrep.exe" /e /r /s /spath="%USERPROFILE%\AppData\Local\Temp\OnboardLogs" /stypes="app*4025*20170321*" /stext=" 23:.+((SYSTEM_STATE.+slice.+state.+changed )|(ment ac)|(multiple cpu faults)|(system.+state.+changed )|(\[timeout)|(PRM\|1\|D)|(kpr)|(kdp)|(\|lc)|(penalty))"</v>
      </c>
      <c r="AG125" s="1" t="str">
        <f t="shared" si="37"/>
        <v>EC</v>
      </c>
      <c r="AH125" s="86" t="str">
        <f t="shared" si="38"/>
        <v>"%USERPROFILE%\Documents\GitHub\eaglep3\Utilities\RefineRTDCRunTimes.py" --tripid 207-21 --locoid 4025 --swversion DE.1.0.9.0 --startMP 204:504 --initTime 2017-03-21T16:56:10 --startdatetime 2017-03-21T17:00:13 --delay 1 --endMP 204:233280 --enddatetime 2017-03-21T17:38:20 --enforcementcount 0 &gt;&gt;C:\Users\stu\Documents\GitHub\eaglep3-reporting\EC\2017-03-21-refined-times.txt</v>
      </c>
      <c r="AI125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{"issue":{"subject":"","project_id":79,"tracker_id":40,"status_id":1,"priority_id":2,"assigned_to_id":23,"start_date":"2017-03-21","description":"","custom_fields":[{"id":1,"name":"Subdivision","value":"EC"},{"id":4,"name":"Milepost","value":"23.328"},{"id":17,"name":"Train ID","value":"207-21"},{"id":16,"name":"Locomotive ID","value":"4025"},{"id":130,"name":"Impact","value":""},{"id":150,"name":"Time of Event (Mountain Time)","value":"17:38:20"},{"id":151,"name":"Denver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0"/>
        <v>start /low /b %USERPROFILE%\Documents\GitHub\eaglep3\Utilities\DownloadLogsFromS3.py --loco 4025 --day 2017-03-21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775</v>
      </c>
      <c r="B126" s="7">
        <v>4026</v>
      </c>
      <c r="C126" s="21" t="s">
        <v>221</v>
      </c>
      <c r="D126" s="21" t="s">
        <v>916</v>
      </c>
      <c r="E126" s="13">
        <v>42815.742662037039</v>
      </c>
      <c r="F126" s="13">
        <v>42815.747384259259</v>
      </c>
      <c r="G126" s="7">
        <v>1</v>
      </c>
      <c r="H126" s="21" t="s">
        <v>897</v>
      </c>
      <c r="I126" s="13">
        <v>42815.775868055556</v>
      </c>
      <c r="J126" s="7">
        <v>0</v>
      </c>
      <c r="K126" s="98" t="str">
        <f t="shared" si="27"/>
        <v>4025/4026</v>
      </c>
      <c r="L126" s="21" t="str">
        <f>VLOOKUP(A126,'Trips&amp;Operators'!$C$1:$G$99999,5,FALSE)</f>
        <v>CLARK KATHLEEN</v>
      </c>
      <c r="M126" s="6">
        <f t="shared" si="28"/>
        <v>2.8483796297223307E-2</v>
      </c>
      <c r="N126" s="7">
        <f t="shared" si="45"/>
        <v>41.016666668001562</v>
      </c>
      <c r="O126" s="7"/>
      <c r="P126" s="7"/>
      <c r="Q126" s="22"/>
      <c r="R126" s="22"/>
      <c r="S126" s="31">
        <f t="shared" si="42"/>
        <v>1</v>
      </c>
      <c r="T126" s="46" t="str">
        <f t="shared" si="29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0"/>
        <v>https://d0f6bd738d7f1b3e5a7ca70fe4ff75f0.us-east-1.aws.found.io/app/kibana#/discover/Steve-Slow-Train-Analysis-(2080s-and-2083s)?_g=(refreshInterval:(display:Off,pause:!f,section:0,value:0),time:(from:'2017-03-21T16:49:26-0600',mode:absolute,to:'2017-03-21T19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6" s="187" t="str">
        <f t="shared" si="31"/>
        <v>N</v>
      </c>
      <c r="X126" s="187">
        <f t="shared" si="32"/>
        <v>1</v>
      </c>
      <c r="Y126" s="62">
        <f t="shared" si="46"/>
        <v>23.2959</v>
      </c>
      <c r="Z126" s="62">
        <f t="shared" si="44"/>
        <v>2.1999999999999999E-2</v>
      </c>
      <c r="AA126" s="62">
        <f t="shared" si="33"/>
        <v>23.273900000000001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4"/>
        <v>0208-21</v>
      </c>
      <c r="AE126" s="85" t="str">
        <f t="shared" si="35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126" s="82" t="str">
        <f t="shared" si="36"/>
        <v>"C:\Program Files (x86)\AstroGrep\AstroGrep.exe" /e /r /s /spath="%USERPROFILE%\AppData\Local\Temp\OnboardLogs" /stypes="app*4026*20170322*" /stext=" 00:.+((SYSTEM_STATE.+slice.+state.+changed )|(ment ac)|(multiple cpu faults)|(system.+state.+changed )|(\[timeout)|(PRM\|1\|D)|(kpr)|(kdp)|(\|lc)|(penalty))"</v>
      </c>
      <c r="AG126" s="1" t="str">
        <f t="shared" si="37"/>
        <v>EC</v>
      </c>
      <c r="AH126" s="86" t="str">
        <f t="shared" si="38"/>
        <v>"%USERPROFILE%\Documents\GitHub\eaglep3\Utilities\RefineRTDCRunTimes.py" --tripid 208-21 --locoid 4026 --swversion DE.1.0.9.0 --startMP 204:232959 --initTime 2017-03-21T17:49:26 --startdatetime 2017-03-21T17:56:14 --delay 1 --endMP 204:220 --enddatetime 2017-03-21T18:37:15 --enforcementcount 0 &gt;&gt;C:\Users\stu\Documents\GitHub\eaglep3-reporting\EC\2017-03-21-refined-times.txt</v>
      </c>
      <c r="AI126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{"issue":{"subject":"","project_id":79,"tracker_id":40,"status_id":1,"priority_id":2,"assigned_to_id":23,"start_date":"2017-03-21","description":"","custom_fields":[{"id":1,"name":"Subdivision","value":"EC"},{"id":4,"name":"Milepost","value":"0.022"},{"id":17,"name":"Train ID","value":"208-21"},{"id":16,"name":"Locomotive ID","value":"4026"},{"id":130,"name":"Impact","value":""},{"id":150,"name":"Time of Event (Mountain Time)","value":"18:37:15"},{"id":151,"name":"Denver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0"/>
        <v>start /low /b %USERPROFILE%\Documents\GitHub\eaglep3\Utilities\DownloadLogsFromS3.py --loco 4026 --day 2017-03-21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"%USERPROFILE%\AppData\Local\Temp\OnboardLogs"\RTDC4026\*4026*20170322* | grep -SE "(Enforcement Action)|(\[TIMEOUT)|(CHR.+\|PRM\|1\|D.+(SWITCH|SIGNAL).+UNKNOWN)" - &gt;&gt; 2017-03-21-UncaughtWiMAX.txt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769</v>
      </c>
      <c r="B127" s="7">
        <v>4044</v>
      </c>
      <c r="C127" s="21" t="s">
        <v>221</v>
      </c>
      <c r="D127" s="21" t="s">
        <v>226</v>
      </c>
      <c r="E127" s="13">
        <v>42815.716412037036</v>
      </c>
      <c r="F127" s="13">
        <v>42815.718912037039</v>
      </c>
      <c r="G127" s="7">
        <v>1</v>
      </c>
      <c r="H127" s="21" t="s">
        <v>431</v>
      </c>
      <c r="I127" s="13">
        <v>42815.744942129626</v>
      </c>
      <c r="J127" s="7">
        <v>0</v>
      </c>
      <c r="K127" s="98" t="str">
        <f t="shared" si="27"/>
        <v>4043/4044</v>
      </c>
      <c r="L127" s="21" t="str">
        <f>VLOOKUP(A127,'Trips&amp;Operators'!$C$1:$G$99999,5,FALSE)</f>
        <v>CHANDLER KELVIN</v>
      </c>
      <c r="M127" s="6">
        <f t="shared" si="28"/>
        <v>2.6030092587461695E-2</v>
      </c>
      <c r="N127" s="7">
        <f t="shared" si="45"/>
        <v>37.483333325944841</v>
      </c>
      <c r="O127" s="7"/>
      <c r="P127" s="7"/>
      <c r="Q127" s="22"/>
      <c r="R127" s="22"/>
      <c r="S127" s="31">
        <f t="shared" si="42"/>
        <v>1</v>
      </c>
      <c r="T127" s="46" t="str">
        <f t="shared" si="29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0"/>
        <v>https://d0f6bd738d7f1b3e5a7ca70fe4ff75f0.us-east-1.aws.found.io/app/kibana#/discover/Steve-Slow-Train-Analysis-(2080s-and-2083s)?_g=(refreshInterval:(display:Off,pause:!f,section:0,value:0),time:(from:'2017-03-21T16:11:38-0600',mode:absolute,to:'2017-03-21T18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7" t="str">
        <f t="shared" si="31"/>
        <v>N</v>
      </c>
      <c r="X127" s="187">
        <f t="shared" si="32"/>
        <v>1</v>
      </c>
      <c r="Y127" s="62">
        <f t="shared" si="46"/>
        <v>4.6899999999999997E-2</v>
      </c>
      <c r="Z127" s="62">
        <f t="shared" si="44"/>
        <v>23.3278</v>
      </c>
      <c r="AA127" s="62">
        <f t="shared" si="33"/>
        <v>23.280899999999999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4"/>
        <v>0209-21</v>
      </c>
      <c r="AE127" s="85" t="str">
        <f t="shared" si="35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127" s="82" t="str">
        <f t="shared" si="36"/>
        <v>"C:\Program Files (x86)\AstroGrep\AstroGrep.exe" /e /r /s /spath="%USERPROFILE%\AppData\Local\Temp\OnboardLogs" /stypes="app*4044*20170321*" /stext=" 23:.+((SYSTEM_STATE.+slice.+state.+changed )|(ment ac)|(multiple cpu faults)|(system.+state.+changed )|(\[timeout)|(PRM\|1\|D)|(kpr)|(kdp)|(\|lc)|(penalty))"</v>
      </c>
      <c r="AG127" s="1" t="str">
        <f t="shared" si="37"/>
        <v>EC</v>
      </c>
      <c r="AH127" s="86" t="str">
        <f t="shared" si="38"/>
        <v>"%USERPROFILE%\Documents\GitHub\eaglep3\Utilities\RefineRTDCRunTimes.py" --tripid 209-21 --locoid 4044 --swversion DE.1.0.9.0 --startMP 204:469 --initTime 2017-03-21T17:11:38 --startdatetime 2017-03-21T17:15:14 --delay 1 --endMP 204:233278 --enddatetime 2017-03-21T17:52:43 --enforcementcount 0 &gt;&gt;C:\Users\stu\Documents\GitHub\eaglep3-reporting\EC\2017-03-21-refined-times.txt</v>
      </c>
      <c r="AI127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{"issue":{"subject":"","project_id":79,"tracker_id":40,"status_id":1,"priority_id":2,"assigned_to_id":23,"start_date":"2017-03-21","description":"","custom_fields":[{"id":1,"name":"Subdivision","value":"EC"},{"id":4,"name":"Milepost","value":"23.3278"},{"id":17,"name":"Train ID","value":"209-21"},{"id":16,"name":"Locomotive ID","value":"4044"},{"id":130,"name":"Impact","value":""},{"id":150,"name":"Time of Event (Mountain Time)","value":"17:52:43"},{"id":151,"name":"Denver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0"/>
        <v>start /low /b %USERPROFILE%\Documents\GitHub\eaglep3\Utilities\DownloadLogsFromS3.py --loco 4044 --day 2017-03-21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"%USERPROFILE%\AppData\Local\Temp\OnboardLogs"\RTDC4044\*4044*20170321* | grep -SE "(Enforcement Action)|(\[TIMEOUT)|(CHR.+\|PRM\|1\|D.+(SWITCH|SIGNAL).+UNKNOWN)" - &gt;&gt; 2017-03-21-UncaughtWiMAX.txt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780</v>
      </c>
      <c r="B128" s="7">
        <v>4043</v>
      </c>
      <c r="C128" s="21" t="s">
        <v>221</v>
      </c>
      <c r="D128" s="21" t="s">
        <v>565</v>
      </c>
      <c r="E128" s="13">
        <v>42815.753946759258</v>
      </c>
      <c r="F128" s="13">
        <v>42815.757893518516</v>
      </c>
      <c r="G128" s="7">
        <v>1</v>
      </c>
      <c r="H128" s="21" t="s">
        <v>401</v>
      </c>
      <c r="I128" s="13">
        <v>42815.785486111112</v>
      </c>
      <c r="J128" s="7">
        <v>0</v>
      </c>
      <c r="K128" s="98" t="str">
        <f t="shared" si="27"/>
        <v>4043/4044</v>
      </c>
      <c r="L128" s="21" t="str">
        <f>VLOOKUP(A128,'Trips&amp;Operators'!$C$1:$G$99999,5,FALSE)</f>
        <v>CHANDLER KELVIN</v>
      </c>
      <c r="M128" s="6">
        <f t="shared" si="28"/>
        <v>2.7592592596192844E-2</v>
      </c>
      <c r="N128" s="7">
        <f t="shared" si="45"/>
        <v>39.733333338517696</v>
      </c>
      <c r="O128" s="7"/>
      <c r="P128" s="7"/>
      <c r="Q128" s="22"/>
      <c r="R128" s="22"/>
      <c r="S128" s="31">
        <f t="shared" ref="S128:S160" si="47">SUM(U128:U128)/IF(AG128="EC",12,1)</f>
        <v>1</v>
      </c>
      <c r="T128" s="46" t="str">
        <f t="shared" si="29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0"/>
        <v>https://d0f6bd738d7f1b3e5a7ca70fe4ff75f0.us-east-1.aws.found.io/app/kibana#/discover/Steve-Slow-Train-Analysis-(2080s-and-2083s)?_g=(refreshInterval:(display:Off,pause:!f,section:0,value:0),time:(from:'2017-03-21T17:05:41-0600',mode:absolute,to:'2017-03-21T19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7" t="str">
        <f t="shared" si="31"/>
        <v>N</v>
      </c>
      <c r="X128" s="187">
        <f t="shared" si="32"/>
        <v>1</v>
      </c>
      <c r="Y128" s="62">
        <f t="shared" si="46"/>
        <v>23.295300000000001</v>
      </c>
      <c r="Z128" s="62">
        <f t="shared" si="44"/>
        <v>1.4500000000000001E-2</v>
      </c>
      <c r="AA128" s="62">
        <f t="shared" si="33"/>
        <v>23.280799999999999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4"/>
        <v>0210-21</v>
      </c>
      <c r="AE128" s="85" t="str">
        <f t="shared" si="35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128" s="82" t="str">
        <f t="shared" si="36"/>
        <v>"C:\Program Files (x86)\AstroGrep\AstroGrep.exe" /e /r /s /spath="%USERPROFILE%\AppData\Local\Temp\OnboardLogs" /stypes="app*4043*20170322*" /stext=" 00:.+((SYSTEM_STATE.+slice.+state.+changed )|(ment ac)|(multiple cpu faults)|(system.+state.+changed )|(\[timeout)|(PRM\|1\|D)|(kpr)|(kdp)|(\|lc)|(penalty))"</v>
      </c>
      <c r="AG128" s="1" t="str">
        <f t="shared" si="37"/>
        <v>EC</v>
      </c>
      <c r="AH128" s="86" t="str">
        <f t="shared" si="38"/>
        <v>"%USERPROFILE%\Documents\GitHub\eaglep3\Utilities\RefineRTDCRunTimes.py" --tripid 210-21 --locoid 4043 --swversion DE.1.0.9.0 --startMP 204:232953 --initTime 2017-03-21T18:05:41 --startdatetime 2017-03-21T18:11:22 --delay 1 --endMP 204:145 --enddatetime 2017-03-21T18:51:06 --enforcementcount 0 &gt;&gt;C:\Users\stu\Documents\GitHub\eaglep3-reporting\EC\2017-03-21-refined-times.txt</v>
      </c>
      <c r="AI128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{"issue":{"subject":"","project_id":79,"tracker_id":40,"status_id":1,"priority_id":2,"assigned_to_id":23,"start_date":"2017-03-21","description":"","custom_fields":[{"id":1,"name":"Subdivision","value":"EC"},{"id":4,"name":"Milepost","value":"0.0145"},{"id":17,"name":"Train ID","value":"210-21"},{"id":16,"name":"Locomotive ID","value":"4043"},{"id":130,"name":"Impact","value":""},{"id":150,"name":"Time of Event (Mountain Time)","value":"18:51:06"},{"id":151,"name":"Denver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0"/>
        <v>start /low /b %USERPROFILE%\Documents\GitHub\eaglep3\Utilities\DownloadLogsFromS3.py --loco 4043 --day 2017-03-21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"%USERPROFILE%\AppData\Local\Temp\OnboardLogs"\RTDC4043\*4043*20170322* | grep -SE "(Enforcement Action)|(\[TIMEOUT)|(CHR.+\|PRM\|1\|D.+(SWITCH|SIGNAL).+UNKNOWN)" - &gt;&gt; 2017-03-21-UncaughtWiMAX.txt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770</v>
      </c>
      <c r="B129" s="7">
        <v>4024</v>
      </c>
      <c r="C129" s="21" t="s">
        <v>221</v>
      </c>
      <c r="D129" s="21" t="s">
        <v>392</v>
      </c>
      <c r="E129" s="13">
        <v>42815.723958333336</v>
      </c>
      <c r="F129" s="13">
        <v>42815.726620370369</v>
      </c>
      <c r="G129" s="7">
        <v>1</v>
      </c>
      <c r="H129" s="21" t="s">
        <v>917</v>
      </c>
      <c r="I129" s="13">
        <v>42815.755150462966</v>
      </c>
      <c r="J129" s="7">
        <v>0</v>
      </c>
      <c r="K129" s="98" t="str">
        <f t="shared" si="27"/>
        <v>4023/4024</v>
      </c>
      <c r="L129" s="21" t="str">
        <f>VLOOKUP(A129,'Trips&amp;Operators'!$C$1:$G$99999,5,FALSE)</f>
        <v>LOCKLEAR TRAVIS</v>
      </c>
      <c r="M129" s="6">
        <f t="shared" si="28"/>
        <v>2.8530092597065959E-2</v>
      </c>
      <c r="N129" s="7">
        <f t="shared" si="45"/>
        <v>41.083333339774981</v>
      </c>
      <c r="O129" s="7"/>
      <c r="P129" s="7"/>
      <c r="Q129" s="22"/>
      <c r="R129" s="22"/>
      <c r="S129" s="31">
        <f t="shared" si="47"/>
        <v>1</v>
      </c>
      <c r="T129" s="46" t="str">
        <f t="shared" si="29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0"/>
        <v>https://d0f6bd738d7f1b3e5a7ca70fe4ff75f0.us-east-1.aws.found.io/app/kibana#/discover/Steve-Slow-Train-Analysis-(2080s-and-2083s)?_g=(refreshInterval:(display:Off,pause:!f,section:0,value:0),time:(from:'2017-03-21T16:22:30-0600',mode:absolute,to:'2017-03-21T19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9" s="187" t="str">
        <f t="shared" si="31"/>
        <v>N</v>
      </c>
      <c r="X129" s="187">
        <f t="shared" si="32"/>
        <v>1</v>
      </c>
      <c r="Y129" s="62">
        <f t="shared" si="46"/>
        <v>4.6199999999999998E-2</v>
      </c>
      <c r="Z129" s="62">
        <f t="shared" si="44"/>
        <v>23.3353</v>
      </c>
      <c r="AA129" s="62">
        <f t="shared" si="33"/>
        <v>23.289100000000001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4"/>
        <v>0211-21</v>
      </c>
      <c r="AE129" s="85" t="str">
        <f t="shared" si="35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129" s="82" t="str">
        <f t="shared" si="36"/>
        <v>"C:\Program Files (x86)\AstroGrep\AstroGrep.exe" /e /r /s /spath="%USERPROFILE%\AppData\Local\Temp\OnboardLogs" /stypes="app*4024*20170322*" /stext=" 00:.+((SYSTEM_STATE.+slice.+state.+changed )|(ment ac)|(multiple cpu faults)|(system.+state.+changed )|(\[timeout)|(PRM\|1\|D)|(kpr)|(kdp)|(\|lc)|(penalty))"</v>
      </c>
      <c r="AG129" s="1" t="str">
        <f t="shared" si="37"/>
        <v>EC</v>
      </c>
      <c r="AH129" s="86" t="str">
        <f t="shared" si="38"/>
        <v>"%USERPROFILE%\Documents\GitHub\eaglep3\Utilities\RefineRTDCRunTimes.py" --tripid 211-21 --locoid 4024 --swversion DE.1.0.9.0 --startMP 204:462 --initTime 2017-03-21T17:22:30 --startdatetime 2017-03-21T17:26:20 --delay 1 --endMP 204:233353 --enddatetime 2017-03-21T18:07:25 --enforcementcount 0 &gt;&gt;C:\Users\stu\Documents\GitHub\eaglep3-reporting\EC\2017-03-21-refined-times.txt</v>
      </c>
      <c r="AI129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{"issue":{"subject":"","project_id":79,"tracker_id":40,"status_id":1,"priority_id":2,"assigned_to_id":23,"start_date":"2017-03-21","description":"","custom_fields":[{"id":1,"name":"Subdivision","value":"EC"},{"id":4,"name":"Milepost","value":"23.3353"},{"id":17,"name":"Train ID","value":"211-21"},{"id":16,"name":"Locomotive ID","value":"4024"},{"id":130,"name":"Impact","value":""},{"id":150,"name":"Time of Event (Mountain Time)","value":"18:07:25"},{"id":151,"name":"Denver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0"/>
        <v>start /low /b %USERPROFILE%\Documents\GitHub\eaglep3\Utilities\DownloadLogsFromS3.py --loco 4024 --day 2017-03-21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"%USERPROFILE%\AppData\Local\Temp\OnboardLogs"\RTDC4024\*4024*20170321* | grep -SE "(Enforcement Action)|(\[TIMEOUT)|(CHR.+\|PRM\|1\|D.+(SWITCH|SIGNAL).+UNKNOWN)" - &gt;&gt; 2017-03-21-UncaughtWiMAX.txt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785</v>
      </c>
      <c r="B130" s="7">
        <v>4023</v>
      </c>
      <c r="C130" s="21" t="s">
        <v>221</v>
      </c>
      <c r="D130" s="21" t="s">
        <v>569</v>
      </c>
      <c r="E130" s="13">
        <v>42815.765231481484</v>
      </c>
      <c r="F130" s="13">
        <v>42815.768333333333</v>
      </c>
      <c r="G130" s="7">
        <v>1</v>
      </c>
      <c r="H130" s="21" t="s">
        <v>507</v>
      </c>
      <c r="I130" s="13">
        <v>42815.795439814814</v>
      </c>
      <c r="J130" s="7">
        <v>0</v>
      </c>
      <c r="K130" s="98" t="str">
        <f t="shared" si="27"/>
        <v>4023/4024</v>
      </c>
      <c r="L130" s="21" t="str">
        <f>VLOOKUP(A130,'Trips&amp;Operators'!$C$1:$G$99999,5,FALSE)</f>
        <v>LOCKLEAR TRAVIS</v>
      </c>
      <c r="M130" s="6">
        <f t="shared" si="28"/>
        <v>2.7106481480586808E-2</v>
      </c>
      <c r="N130" s="7">
        <f t="shared" si="45"/>
        <v>39.033333332045004</v>
      </c>
      <c r="O130" s="7"/>
      <c r="P130" s="7"/>
      <c r="Q130" s="22"/>
      <c r="R130" s="22"/>
      <c r="S130" s="31">
        <f t="shared" si="47"/>
        <v>1</v>
      </c>
      <c r="T130" s="46" t="str">
        <f t="shared" si="29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0"/>
        <v>https://d0f6bd738d7f1b3e5a7ca70fe4ff75f0.us-east-1.aws.found.io/app/kibana#/discover/Steve-Slow-Train-Analysis-(2080s-and-2083s)?_g=(refreshInterval:(display:Off,pause:!f,section:0,value:0),time:(from:'2017-03-21T17:21:56-0600',mode:absolute,to:'2017-03-21T20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0" s="187" t="str">
        <f t="shared" si="31"/>
        <v>N</v>
      </c>
      <c r="X130" s="187">
        <f t="shared" si="32"/>
        <v>1</v>
      </c>
      <c r="Y130" s="62">
        <f t="shared" si="46"/>
        <v>23.3019</v>
      </c>
      <c r="Z130" s="62">
        <f t="shared" si="44"/>
        <v>1.61E-2</v>
      </c>
      <c r="AA130" s="62">
        <f t="shared" si="33"/>
        <v>23.285799999999998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4"/>
        <v>0212-21</v>
      </c>
      <c r="AE130" s="85" t="str">
        <f t="shared" si="35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130" s="82" t="str">
        <f t="shared" si="36"/>
        <v>"C:\Program Files (x86)\AstroGrep\AstroGrep.exe" /e /r /s /spath="%USERPROFILE%\AppData\Local\Temp\OnboardLogs" /stypes="app*4023*20170322*" /stext=" 01:.+((SYSTEM_STATE.+slice.+state.+changed )|(ment ac)|(multiple cpu faults)|(system.+state.+changed )|(\[timeout)|(PRM\|1\|D)|(kpr)|(kdp)|(\|lc)|(penalty))"</v>
      </c>
      <c r="AG130" s="1" t="str">
        <f t="shared" si="37"/>
        <v>EC</v>
      </c>
      <c r="AH130" s="86" t="str">
        <f t="shared" si="38"/>
        <v>"%USERPROFILE%\Documents\GitHub\eaglep3\Utilities\RefineRTDCRunTimes.py" --tripid 212-21 --locoid 4023 --swversion DE.1.0.9.0 --startMP 204:233019 --initTime 2017-03-21T18:21:56 --startdatetime 2017-03-21T18:26:24 --delay 1 --endMP 204:161 --enddatetime 2017-03-21T19:05:26 --enforcementcount 0 &gt;&gt;C:\Users\stu\Documents\GitHub\eaglep3-reporting\EC\2017-03-21-refined-times.txt</v>
      </c>
      <c r="AI130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{"issue":{"subject":"","project_id":79,"tracker_id":40,"status_id":1,"priority_id":2,"assigned_to_id":23,"start_date":"2017-03-21","description":"","custom_fields":[{"id":1,"name":"Subdivision","value":"EC"},{"id":4,"name":"Milepost","value":"0.0161"},{"id":17,"name":"Train ID","value":"212-21"},{"id":16,"name":"Locomotive ID","value":"4023"},{"id":130,"name":"Impact","value":""},{"id":150,"name":"Time of Event (Mountain Time)","value":"19:05:26"},{"id":151,"name":"Denver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0"/>
        <v>start /low /b %USERPROFILE%\Documents\GitHub\eaglep3\Utilities\DownloadLogsFromS3.py --loco 4023 --day 2017-03-21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"%USERPROFILE%\AppData\Local\Temp\OnboardLogs"\RTDC4023\*4023*20170322* | grep -SE "(Enforcement Action)|(\[TIMEOUT)|(CHR.+\|PRM\|1\|D.+(SWITCH|SIGNAL).+UNKNOWN)" - &gt;&gt; 2017-03-21-UncaughtWiMAX.txt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774</v>
      </c>
      <c r="B131" s="7">
        <v>4016</v>
      </c>
      <c r="C131" s="21" t="s">
        <v>221</v>
      </c>
      <c r="D131" s="21" t="s">
        <v>213</v>
      </c>
      <c r="E131" s="13">
        <v>42815.738726851851</v>
      </c>
      <c r="F131" s="13">
        <v>42815.739895833336</v>
      </c>
      <c r="G131" s="7">
        <v>1</v>
      </c>
      <c r="H131" s="21" t="s">
        <v>918</v>
      </c>
      <c r="I131" s="13">
        <v>42815.763912037037</v>
      </c>
      <c r="J131" s="7">
        <v>0</v>
      </c>
      <c r="K131" s="98" t="str">
        <f t="shared" si="27"/>
        <v>4015/4016</v>
      </c>
      <c r="L131" s="21" t="str">
        <f>VLOOKUP(A131,'Trips&amp;Operators'!$C$1:$G$99999,5,FALSE)</f>
        <v>NEWELL JAMES</v>
      </c>
      <c r="M131" s="6">
        <f t="shared" si="28"/>
        <v>2.4016203700739425E-2</v>
      </c>
      <c r="N131" s="7">
        <f t="shared" si="45"/>
        <v>34.583333329064772</v>
      </c>
      <c r="O131" s="7"/>
      <c r="P131" s="7"/>
      <c r="Q131" s="22"/>
      <c r="R131" s="22"/>
      <c r="S131" s="31">
        <f t="shared" si="47"/>
        <v>1</v>
      </c>
      <c r="T131" s="46" t="str">
        <f t="shared" si="29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0"/>
        <v>https://d0f6bd738d7f1b3e5a7ca70fe4ff75f0.us-east-1.aws.found.io/app/kibana#/discover/Steve-Slow-Train-Analysis-(2080s-and-2083s)?_g=(refreshInterval:(display:Off,pause:!f,section:0,value:0),time:(from:'2017-03-21T16:43:46-0600',mode:absolute,to:'2017-03-21T19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1" s="187" t="str">
        <f t="shared" si="31"/>
        <v>N</v>
      </c>
      <c r="X131" s="187">
        <f t="shared" si="32"/>
        <v>1</v>
      </c>
      <c r="Y131" s="62">
        <f t="shared" si="46"/>
        <v>4.5499999999999999E-2</v>
      </c>
      <c r="Z131" s="62">
        <f t="shared" si="44"/>
        <v>23.3324</v>
      </c>
      <c r="AA131" s="62">
        <f t="shared" si="33"/>
        <v>23.286899999999999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4"/>
        <v>0213-21</v>
      </c>
      <c r="AE131" s="85" t="str">
        <f t="shared" si="35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131" s="82" t="str">
        <f t="shared" si="36"/>
        <v>"C:\Program Files (x86)\AstroGrep\AstroGrep.exe" /e /r /s /spath="%USERPROFILE%\AppData\Local\Temp\OnboardLogs" /stypes="app*4016*20170322*" /stext=" 00:.+((SYSTEM_STATE.+slice.+state.+changed )|(ment ac)|(multiple cpu faults)|(system.+state.+changed )|(\[timeout)|(PRM\|1\|D)|(kpr)|(kdp)|(\|lc)|(penalty))"</v>
      </c>
      <c r="AG131" s="1" t="str">
        <f t="shared" si="37"/>
        <v>EC</v>
      </c>
      <c r="AH131" s="86" t="str">
        <f t="shared" si="38"/>
        <v>"%USERPROFILE%\Documents\GitHub\eaglep3\Utilities\RefineRTDCRunTimes.py" --tripid 213-21 --locoid 4016 --swversion DE.1.0.9.0 --startMP 204:455 --initTime 2017-03-21T17:43:46 --startdatetime 2017-03-21T17:45:27 --delay 1 --endMP 204:233324 --enddatetime 2017-03-21T18:20:02 --enforcementcount 0 &gt;&gt;C:\Users\stu\Documents\GitHub\eaglep3-reporting\EC\2017-03-21-refined-times.txt</v>
      </c>
      <c r="AI131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{"issue":{"subject":"","project_id":79,"tracker_id":40,"status_id":1,"priority_id":2,"assigned_to_id":23,"start_date":"2017-03-21","description":"","custom_fields":[{"id":1,"name":"Subdivision","value":"EC"},{"id":4,"name":"Milepost","value":"23.3324"},{"id":17,"name":"Train ID","value":"213-21"},{"id":16,"name":"Locomotive ID","value":"4016"},{"id":130,"name":"Impact","value":""},{"id":150,"name":"Time of Event (Mountain Time)","value":"18:20:02"},{"id":151,"name":"Denver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0"/>
        <v>start /low /b %USERPROFILE%\Documents\GitHub\eaglep3\Utilities\DownloadLogsFromS3.py --loco 4016 --day 2017-03-21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"%USERPROFILE%\AppData\Local\Temp\OnboardLogs"\RTDC4016\*4016*20170322* | grep -SE "(Enforcement Action)|(\[TIMEOUT)|(CHR.+\|PRM\|1\|D.+(SWITCH|SIGNAL).+UNKNOWN)" - &gt;&gt; 2017-03-21-UncaughtWiMAX.txt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786</v>
      </c>
      <c r="B132" s="7">
        <v>4015</v>
      </c>
      <c r="C132" s="21" t="s">
        <v>221</v>
      </c>
      <c r="D132" s="21" t="s">
        <v>919</v>
      </c>
      <c r="E132" s="13">
        <v>42815.768159722225</v>
      </c>
      <c r="F132" s="13">
        <v>42815.778634259259</v>
      </c>
      <c r="G132" s="7">
        <v>1</v>
      </c>
      <c r="H132" s="21" t="s">
        <v>199</v>
      </c>
      <c r="I132" s="13">
        <v>42815.805046296293</v>
      </c>
      <c r="J132" s="7">
        <v>0</v>
      </c>
      <c r="K132" s="98" t="str">
        <f t="shared" si="27"/>
        <v>4015/4016</v>
      </c>
      <c r="L132" s="21" t="str">
        <f>VLOOKUP(A132,'Trips&amp;Operators'!$C$1:$G$99999,5,FALSE)</f>
        <v>NEWELL JAMES</v>
      </c>
      <c r="M132" s="6">
        <f t="shared" si="28"/>
        <v>2.6412037033878732E-2</v>
      </c>
      <c r="N132" s="7">
        <f t="shared" si="45"/>
        <v>38.033333328785375</v>
      </c>
      <c r="O132" s="7"/>
      <c r="P132" s="7"/>
      <c r="Q132" s="22"/>
      <c r="R132" s="22"/>
      <c r="S132" s="31">
        <f t="shared" si="47"/>
        <v>1</v>
      </c>
      <c r="T132" s="46" t="str">
        <f t="shared" si="29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0"/>
        <v>https://d0f6bd738d7f1b3e5a7ca70fe4ff75f0.us-east-1.aws.found.io/app/kibana#/discover/Steve-Slow-Train-Analysis-(2080s-and-2083s)?_g=(refreshInterval:(display:Off,pause:!f,section:0,value:0),time:(from:'2017-03-21T17:26:09-0600',mode:absolute,to:'2017-03-21T20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2" s="187" t="str">
        <f t="shared" si="31"/>
        <v>N</v>
      </c>
      <c r="X132" s="187">
        <f t="shared" si="32"/>
        <v>1</v>
      </c>
      <c r="Y132" s="62">
        <f t="shared" si="46"/>
        <v>23.299199999999999</v>
      </c>
      <c r="Z132" s="62">
        <f t="shared" si="44"/>
        <v>1.52E-2</v>
      </c>
      <c r="AA132" s="62">
        <f t="shared" si="33"/>
        <v>23.283999999999999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4"/>
        <v>0214-21</v>
      </c>
      <c r="AE132" s="85" t="str">
        <f t="shared" si="35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132" s="82" t="str">
        <f t="shared" si="36"/>
        <v>"C:\Program Files (x86)\AstroGrep\AstroGrep.exe" /e /r /s /spath="%USERPROFILE%\AppData\Local\Temp\OnboardLogs" /stypes="app*4015*20170322*" /stext=" 01:.+((SYSTEM_STATE.+slice.+state.+changed )|(ment ac)|(multiple cpu faults)|(system.+state.+changed )|(\[timeout)|(PRM\|1\|D)|(kpr)|(kdp)|(\|lc)|(penalty))"</v>
      </c>
      <c r="AG132" s="1" t="str">
        <f t="shared" si="37"/>
        <v>EC</v>
      </c>
      <c r="AH132" s="86" t="str">
        <f t="shared" si="38"/>
        <v>"%USERPROFILE%\Documents\GitHub\eaglep3\Utilities\RefineRTDCRunTimes.py" --tripid 214-21 --locoid 4015 --swversion DE.1.0.9.0 --startMP 204:232992 --initTime 2017-03-21T18:26:09 --startdatetime 2017-03-21T18:41:14 --delay 1 --endMP 204:152 --enddatetime 2017-03-21T19:19:16 --enforcementcount 0 &gt;&gt;C:\Users\stu\Documents\GitHub\eaglep3-reporting\EC\2017-03-21-refined-times.txt</v>
      </c>
      <c r="AI132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{"issue":{"subject":"","project_id":79,"tracker_id":40,"status_id":1,"priority_id":2,"assigned_to_id":23,"start_date":"2017-03-21","description":"","custom_fields":[{"id":1,"name":"Subdivision","value":"EC"},{"id":4,"name":"Milepost","value":"0.0152"},{"id":17,"name":"Train ID","value":"214-21"},{"id":16,"name":"Locomotive ID","value":"4015"},{"id":130,"name":"Impact","value":""},{"id":150,"name":"Time of Event (Mountain Time)","value":"19:19:16"},{"id":151,"name":"Denver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0"/>
        <v>start /low /b %USERPROFILE%\Documents\GitHub\eaglep3\Utilities\DownloadLogsFromS3.py --loco 4015 --day 2017-03-21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"%USERPROFILE%\AppData\Local\Temp\OnboardLogs"\RTDC4015\*4015*20170322* | grep -SE "(Enforcement Action)|(\[TIMEOUT)|(CHR.+\|PRM\|1\|D.+(SWITCH|SIGNAL).+UNKNOWN)" - &gt;&gt; 2017-03-21-UncaughtWiMAX.txt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776</v>
      </c>
      <c r="B133" s="7">
        <v>4042</v>
      </c>
      <c r="C133" s="21" t="s">
        <v>221</v>
      </c>
      <c r="D133" s="21" t="s">
        <v>209</v>
      </c>
      <c r="E133" s="13">
        <v>42815.746562499997</v>
      </c>
      <c r="F133" s="13">
        <v>42815.750416666669</v>
      </c>
      <c r="G133" s="7">
        <v>1</v>
      </c>
      <c r="H133" s="21" t="s">
        <v>567</v>
      </c>
      <c r="I133" s="13">
        <v>42815.776469907411</v>
      </c>
      <c r="J133" s="7">
        <v>0</v>
      </c>
      <c r="K133" s="98" t="str">
        <f t="shared" si="27"/>
        <v>4041/4042</v>
      </c>
      <c r="L133" s="21" t="str">
        <f>VLOOKUP(A133,'Trips&amp;Operators'!$C$1:$G$99999,5,FALSE)</f>
        <v>STRICKLAND EVAN</v>
      </c>
      <c r="M133" s="6">
        <f t="shared" si="28"/>
        <v>2.6053240741021E-2</v>
      </c>
      <c r="N133" s="7">
        <f t="shared" si="45"/>
        <v>37.51666666707024</v>
      </c>
      <c r="O133" s="7"/>
      <c r="P133" s="7"/>
      <c r="Q133" s="22"/>
      <c r="R133" s="22"/>
      <c r="S133" s="31">
        <f t="shared" si="47"/>
        <v>1</v>
      </c>
      <c r="T133" s="46" t="str">
        <f t="shared" si="29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0"/>
        <v>https://d0f6bd738d7f1b3e5a7ca70fe4ff75f0.us-east-1.aws.found.io/app/kibana#/discover/Steve-Slow-Train-Analysis-(2080s-and-2083s)?_g=(refreshInterval:(display:Off,pause:!f,section:0,value:0),time:(from:'2017-03-21T16:55:03-0600',mode:absolute,to:'2017-03-21T19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87" t="str">
        <f t="shared" si="31"/>
        <v>N</v>
      </c>
      <c r="X133" s="187">
        <f t="shared" si="32"/>
        <v>1</v>
      </c>
      <c r="Y133" s="62">
        <f t="shared" si="46"/>
        <v>4.5999999999999999E-2</v>
      </c>
      <c r="Z133" s="62">
        <f t="shared" si="44"/>
        <v>23.33</v>
      </c>
      <c r="AA133" s="62">
        <f t="shared" si="33"/>
        <v>23.283999999999999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4"/>
        <v>0215-21</v>
      </c>
      <c r="AE133" s="85" t="str">
        <f t="shared" si="35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133" s="82" t="str">
        <f t="shared" si="36"/>
        <v>"C:\Program Files (x86)\AstroGrep\AstroGrep.exe" /e /r /s /spath="%USERPROFILE%\AppData\Local\Temp\OnboardLogs" /stypes="app*4042*20170322*" /stext=" 00:.+((SYSTEM_STATE.+slice.+state.+changed )|(ment ac)|(multiple cpu faults)|(system.+state.+changed )|(\[timeout)|(PRM\|1\|D)|(kpr)|(kdp)|(\|lc)|(penalty))"</v>
      </c>
      <c r="AG133" s="1" t="str">
        <f t="shared" si="37"/>
        <v>EC</v>
      </c>
      <c r="AH133" s="86" t="str">
        <f t="shared" si="38"/>
        <v>"%USERPROFILE%\Documents\GitHub\eaglep3\Utilities\RefineRTDCRunTimes.py" --tripid 215-21 --locoid 4042 --swversion DE.1.0.9.0 --startMP 204:460 --initTime 2017-03-21T17:55:03 --startdatetime 2017-03-21T18:00:36 --delay 1 --endMP 204:233300 --enddatetime 2017-03-21T18:38:07 --enforcementcount 0 &gt;&gt;C:\Users\stu\Documents\GitHub\eaglep3-reporting\EC\2017-03-21-refined-times.txt</v>
      </c>
      <c r="AI133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{"issue":{"subject":"","project_id":79,"tracker_id":40,"status_id":1,"priority_id":2,"assigned_to_id":23,"start_date":"2017-03-21","description":"","custom_fields":[{"id":1,"name":"Subdivision","value":"EC"},{"id":4,"name":"Milepost","value":"23.33"},{"id":17,"name":"Train ID","value":"215-21"},{"id":16,"name":"Locomotive ID","value":"4042"},{"id":130,"name":"Impact","value":""},{"id":150,"name":"Time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0"/>
        <v>start /low /b %USERPROFILE%\Documents\GitHub\eaglep3\Utilities\DownloadLogsFromS3.py --loco 4042 --day 2017-03-21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790</v>
      </c>
      <c r="B134" s="7">
        <v>4041</v>
      </c>
      <c r="C134" s="21" t="s">
        <v>221</v>
      </c>
      <c r="D134" s="21" t="s">
        <v>920</v>
      </c>
      <c r="E134" s="13">
        <v>42815.782268518517</v>
      </c>
      <c r="F134" s="13">
        <v>42815.789340277777</v>
      </c>
      <c r="G134" s="7">
        <v>2</v>
      </c>
      <c r="H134" s="21" t="s">
        <v>200</v>
      </c>
      <c r="I134" s="13">
        <v>42815.816678240742</v>
      </c>
      <c r="J134" s="7">
        <v>0</v>
      </c>
      <c r="K134" s="98" t="str">
        <f t="shared" si="27"/>
        <v>4041/4042</v>
      </c>
      <c r="L134" s="21" t="str">
        <f>VLOOKUP(A134,'Trips&amp;Operators'!$C$1:$G$99999,5,FALSE)</f>
        <v>STRICKLAND EVAN</v>
      </c>
      <c r="M134" s="6">
        <f t="shared" si="28"/>
        <v>2.7337962965248153E-2</v>
      </c>
      <c r="N134" s="7">
        <f t="shared" si="45"/>
        <v>39.36666666995734</v>
      </c>
      <c r="O134" s="7"/>
      <c r="P134" s="7"/>
      <c r="Q134" s="22"/>
      <c r="R134" s="22"/>
      <c r="S134" s="31">
        <f t="shared" si="47"/>
        <v>1</v>
      </c>
      <c r="T134" s="46" t="str">
        <f t="shared" si="29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0"/>
        <v>https://d0f6bd738d7f1b3e5a7ca70fe4ff75f0.us-east-1.aws.found.io/app/kibana#/discover/Steve-Slow-Train-Analysis-(2080s-and-2083s)?_g=(refreshInterval:(display:Off,pause:!f,section:0,value:0),time:(from:'2017-03-21T17:46:28-0600',mode:absolute,to:'2017-03-21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87" t="str">
        <f t="shared" si="31"/>
        <v>N</v>
      </c>
      <c r="X134" s="187">
        <f t="shared" si="32"/>
        <v>1</v>
      </c>
      <c r="Y134" s="62">
        <f t="shared" si="46"/>
        <v>23.301500000000001</v>
      </c>
      <c r="Z134" s="62">
        <f t="shared" si="44"/>
        <v>1.5800000000000002E-2</v>
      </c>
      <c r="AA134" s="62">
        <f t="shared" si="33"/>
        <v>23.285700000000002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4"/>
        <v>0216-21</v>
      </c>
      <c r="AE134" s="85" t="str">
        <f t="shared" si="35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134" s="82" t="str">
        <f t="shared" si="36"/>
        <v>"C:\Program Files (x86)\AstroGrep\AstroGrep.exe" /e /r /s /spath="%USERPROFILE%\AppData\Local\Temp\OnboardLogs" /stypes="app*4041*20170322*" /stext=" 01:.+((SYSTEM_STATE.+slice.+state.+changed )|(ment ac)|(multiple cpu faults)|(system.+state.+changed )|(\[timeout)|(PRM\|1\|D)|(kpr)|(kdp)|(\|lc)|(penalty))"</v>
      </c>
      <c r="AG134" s="1" t="str">
        <f t="shared" si="37"/>
        <v>EC</v>
      </c>
      <c r="AH134" s="86" t="str">
        <f t="shared" si="38"/>
        <v>"%USERPROFILE%\Documents\GitHub\eaglep3\Utilities\RefineRTDCRunTimes.py" --tripid 216-21 --locoid 4041 --swversion DE.1.0.9.0 --startMP 204:233015 --initTime 2017-03-21T18:46:28 --startdatetime 2017-03-21T18:56:39 --delay 2 --endMP 204:158 --enddatetime 2017-03-21T19:36:01 --enforcementcount 0 &gt;&gt;C:\Users\stu\Documents\GitHub\eaglep3-reporting\EC\2017-03-21-refined-times.txt</v>
      </c>
      <c r="AI134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{"issue":{"subject":"","project_id":79,"tracker_id":40,"status_id":1,"priority_id":2,"assigned_to_id":23,"start_date":"2017-03-21","description":"","custom_fields":[{"id":1,"name":"Subdivision","value":"EC"},{"id":4,"name":"Milepost","value":"0.0158"},{"id":17,"name":"Train ID","value":"216-21"},{"id":16,"name":"Locomotive ID","value":"4041"},{"id":130,"name":"Impact","value":""},{"id":150,"name":"Time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0"/>
        <v>start /low /b %USERPROFILE%\Documents\GitHub\eaglep3\Utilities\DownloadLogsFromS3.py --loco 4041 --day 2017-03-21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"%USERPROFILE%\AppData\Local\Temp\OnboardLogs"\RTDC4041\*4041*20170322* | grep -SE "(Enforcement Action)|(\[TIMEOUT)|(CHR.+\|PRM\|1\|D.+(SWITCH|SIGNAL).+UNKNOWN)" - &gt;&gt; 2017-03-21-UncaughtWiMAX.txt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782</v>
      </c>
      <c r="B135" s="7">
        <v>4031</v>
      </c>
      <c r="C135" s="21" t="s">
        <v>221</v>
      </c>
      <c r="D135" s="21" t="s">
        <v>921</v>
      </c>
      <c r="E135" s="13">
        <v>42815.7577662037</v>
      </c>
      <c r="F135" s="13">
        <v>42815.760752314818</v>
      </c>
      <c r="G135" s="7">
        <v>1</v>
      </c>
      <c r="H135" s="21" t="s">
        <v>922</v>
      </c>
      <c r="I135" s="13">
        <v>42815.78497685185</v>
      </c>
      <c r="J135" s="7">
        <v>0</v>
      </c>
      <c r="K135" s="98" t="str">
        <f t="shared" si="27"/>
        <v>4031/4032</v>
      </c>
      <c r="L135" s="21" t="str">
        <f>VLOOKUP(A135,'Trips&amp;Operators'!$C$1:$G$99999,5,FALSE)</f>
        <v>STORY SAMANTHA</v>
      </c>
      <c r="M135" s="6">
        <f t="shared" si="28"/>
        <v>2.4224537031841464E-2</v>
      </c>
      <c r="N135" s="7">
        <f t="shared" si="45"/>
        <v>34.883333325851709</v>
      </c>
      <c r="O135" s="7"/>
      <c r="P135" s="7"/>
      <c r="Q135" s="22"/>
      <c r="R135" s="22"/>
      <c r="S135" s="31">
        <f t="shared" si="47"/>
        <v>1</v>
      </c>
      <c r="T135" s="46" t="str">
        <f t="shared" si="29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0"/>
        <v>https://d0f6bd738d7f1b3e5a7ca70fe4ff75f0.us-east-1.aws.found.io/app/kibana#/discover/Steve-Slow-Train-Analysis-(2080s-and-2083s)?_g=(refreshInterval:(display:Off,pause:!f,section:0,value:0),time:(from:'2017-03-21T17:11:11-0600',mode:absolute,to:'2017-03-21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187" t="str">
        <f t="shared" si="31"/>
        <v>N</v>
      </c>
      <c r="X135" s="187">
        <f t="shared" si="32"/>
        <v>1</v>
      </c>
      <c r="Y135" s="62">
        <f t="shared" si="46"/>
        <v>5.91E-2</v>
      </c>
      <c r="Z135" s="62">
        <f t="shared" si="44"/>
        <v>23.3322</v>
      </c>
      <c r="AA135" s="62">
        <f t="shared" si="33"/>
        <v>23.273099999999999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4"/>
        <v>0217-21</v>
      </c>
      <c r="AE135" s="85" t="str">
        <f t="shared" si="35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135" s="82" t="str">
        <f t="shared" si="36"/>
        <v>"C:\Program Files (x86)\AstroGrep\AstroGrep.exe" /e /r /s /spath="%USERPROFILE%\AppData\Local\Temp\OnboardLogs" /stypes="app*4031*20170322*" /stext=" 00:.+((SYSTEM_STATE.+slice.+state.+changed )|(ment ac)|(multiple cpu faults)|(system.+state.+changed )|(\[timeout)|(PRM\|1\|D)|(kpr)|(kdp)|(\|lc)|(penalty))"</v>
      </c>
      <c r="AG135" s="1" t="str">
        <f t="shared" si="37"/>
        <v>EC</v>
      </c>
      <c r="AH135" s="86" t="str">
        <f t="shared" si="38"/>
        <v>"%USERPROFILE%\Documents\GitHub\eaglep3\Utilities\RefineRTDCRunTimes.py" --tripid 217-21 --locoid 4031 --swversion DE.1.0.9.0 --startMP 204:591 --initTime 2017-03-21T18:11:11 --startdatetime 2017-03-21T18:15:29 --delay 1 --endMP 204:233322 --enddatetime 2017-03-21T18:50:22 --enforcementcount 0 &gt;&gt;C:\Users\stu\Documents\GitHub\eaglep3-reporting\EC\2017-03-21-refined-times.txt</v>
      </c>
      <c r="AI135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{"issue":{"subject":"","project_id":79,"tracker_id":40,"status_id":1,"priority_id":2,"assigned_to_id":23,"start_date":"2017-03-21","description":"","custom_fields":[{"id":1,"name":"Subdivision","value":"EC"},{"id":4,"name":"Milepost","value":"23.3322"},{"id":17,"name":"Train ID","value":"217-21"},{"id":16,"name":"Locomotive ID","value":"4031"},{"id":130,"name":"Impact","value":""},{"id":150,"name":"Time of Event (Mountain Time)","value":"18:50:22"},{"id":151,"name":"Denver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0"/>
        <v>start /low /b %USERPROFILE%\Documents\GitHub\eaglep3\Utilities\DownloadLogsFromS3.py --loco 4031 --day 2017-03-21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"%USERPROFILE%\AppData\Local\Temp\OnboardLogs"\RTDC4031\*4031*20170322* | grep -SE "(Enforcement Action)|(\[TIMEOUT)|(CHR.+\|PRM\|1\|D.+(SWITCH|SIGNAL).+UNKNOWN)" - &gt;&gt; 2017-03-21-UncaughtWiMAX.txt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633</v>
      </c>
      <c r="B136" s="7">
        <v>4032</v>
      </c>
      <c r="C136" s="21" t="s">
        <v>221</v>
      </c>
      <c r="D136" s="21" t="s">
        <v>516</v>
      </c>
      <c r="E136" s="13">
        <v>42815.795810185184</v>
      </c>
      <c r="F136" s="13">
        <v>42815.799502314818</v>
      </c>
      <c r="G136" s="7">
        <v>1</v>
      </c>
      <c r="H136" s="21" t="s">
        <v>522</v>
      </c>
      <c r="I136" s="13">
        <v>42815.827175925922</v>
      </c>
      <c r="J136" s="7">
        <v>0</v>
      </c>
      <c r="K136" s="98" t="str">
        <f t="shared" si="27"/>
        <v>4031/4032</v>
      </c>
      <c r="L136" s="21" t="str">
        <f>VLOOKUP(A136,'Trips&amp;Operators'!$C$1:$G$99999,5,FALSE)</f>
        <v>STORY SAMANTHA</v>
      </c>
      <c r="M136" s="6">
        <f t="shared" si="28"/>
        <v>2.767361110454658E-2</v>
      </c>
      <c r="N136" s="7">
        <f t="shared" ref="N136:N156" si="48">24*60*SUM($M136:$M136)</f>
        <v>39.849999990547076</v>
      </c>
      <c r="O136" s="7"/>
      <c r="P136" s="7"/>
      <c r="Q136" s="22"/>
      <c r="R136" s="22"/>
      <c r="S136" s="31">
        <f t="shared" si="47"/>
        <v>1</v>
      </c>
      <c r="T136" s="46" t="str">
        <f t="shared" si="29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0"/>
        <v>https://d0f6bd738d7f1b3e5a7ca70fe4ff75f0.us-east-1.aws.found.io/app/kibana#/discover/Steve-Slow-Train-Analysis-(2080s-and-2083s)?_g=(refreshInterval:(display:Off,pause:!f,section:0,value:0),time:(from:'2017-03-21T18:05:58-0600',mode:absolute,to:'2017-03-21T20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187" t="str">
        <f t="shared" si="31"/>
        <v>N</v>
      </c>
      <c r="X136" s="187">
        <f t="shared" si="32"/>
        <v>1</v>
      </c>
      <c r="Y136" s="62">
        <f t="shared" ref="Y136:Y167" si="49">RIGHT(D136,LEN(D136)-4)/10000</f>
        <v>23.3005</v>
      </c>
      <c r="Z136" s="62">
        <f t="shared" si="44"/>
        <v>1.6500000000000001E-2</v>
      </c>
      <c r="AA136" s="62">
        <f t="shared" si="33"/>
        <v>23.283999999999999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4"/>
        <v>0218-21</v>
      </c>
      <c r="AE136" s="85" t="str">
        <f t="shared" si="35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136" s="82" t="str">
        <f t="shared" si="36"/>
        <v>"C:\Program Files (x86)\AstroGrep\AstroGrep.exe" /e /r /s /spath="%USERPROFILE%\AppData\Local\Temp\OnboardLogs" /stypes="app*4032*20170322*" /stext=" 01:.+((SYSTEM_STATE.+slice.+state.+changed )|(ment ac)|(multiple cpu faults)|(system.+state.+changed )|(\[timeout)|(PRM\|1\|D)|(kpr)|(kdp)|(\|lc)|(penalty))"</v>
      </c>
      <c r="AG136" s="1" t="str">
        <f t="shared" si="37"/>
        <v>EC</v>
      </c>
      <c r="AH136" s="86" t="str">
        <f t="shared" si="38"/>
        <v>"%USERPROFILE%\Documents\GitHub\eaglep3\Utilities\RefineRTDCRunTimes.py" --tripid 218-21 --locoid 4032 --swversion DE.1.0.9.0 --startMP 204:233005 --initTime 2017-03-21T19:05:58 --startdatetime 2017-03-21T19:11:17 --delay 1 --endMP 204:165 --enddatetime 2017-03-21T19:51:08 --enforcementcount 0 &gt;&gt;C:\Users\stu\Documents\GitHub\eaglep3-reporting\EC\2017-03-21-refined-times.txt</v>
      </c>
      <c r="AI136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{"issue":{"subject":"","project_id":79,"tracker_id":40,"status_id":1,"priority_id":2,"assigned_to_id":23,"start_date":"2017-03-21","description":"","custom_fields":[{"id":1,"name":"Subdivision","value":"EC"},{"id":4,"name":"Milepost","value":"0.0165"},{"id":17,"name":"Train ID","value":"218-21"},{"id":16,"name":"Locomotive ID","value":"4032"},{"id":130,"name":"Impact","value":""},{"id":150,"name":"Time of Event (Mountain Time)","value":"19:51:08"},{"id":151,"name":"Denver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0"/>
        <v>start /low /b %USERPROFILE%\Documents\GitHub\eaglep3\Utilities\DownloadLogsFromS3.py --loco 4032 --day 2017-03-21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"%USERPROFILE%\AppData\Local\Temp\OnboardLogs"\RTDC4032\*4032*20170322* | grep -SE "(Enforcement Action)|(\[TIMEOUT)|(CHR.+\|PRM\|1\|D.+(SWITCH|SIGNAL).+UNKNOWN)" - &gt;&gt; 2017-03-21-UncaughtWiMAX.txt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632</v>
      </c>
      <c r="B137" s="7">
        <v>4014</v>
      </c>
      <c r="C137" s="21" t="s">
        <v>221</v>
      </c>
      <c r="D137" s="21" t="s">
        <v>213</v>
      </c>
      <c r="E137" s="13">
        <v>42815.769421296296</v>
      </c>
      <c r="F137" s="13">
        <v>42815.77140046296</v>
      </c>
      <c r="G137" s="7">
        <v>1</v>
      </c>
      <c r="H137" s="21" t="s">
        <v>923</v>
      </c>
      <c r="I137" s="13">
        <v>42815.796099537038</v>
      </c>
      <c r="J137" s="7">
        <v>0</v>
      </c>
      <c r="K137" s="98" t="str">
        <f t="shared" si="27"/>
        <v>4013/4014</v>
      </c>
      <c r="L137" s="21" t="str">
        <f>VLOOKUP(A137,'Trips&amp;Operators'!$C$1:$G$99999,5,FALSE)</f>
        <v>STAMBAUGH JAMES</v>
      </c>
      <c r="M137" s="6">
        <f t="shared" si="28"/>
        <v>2.4699074077943806E-2</v>
      </c>
      <c r="N137" s="7">
        <f t="shared" si="48"/>
        <v>35.56666667223908</v>
      </c>
      <c r="O137" s="7"/>
      <c r="P137" s="7"/>
      <c r="Q137" s="22"/>
      <c r="R137" s="22"/>
      <c r="S137" s="31">
        <f t="shared" si="47"/>
        <v>1</v>
      </c>
      <c r="T137" s="46" t="str">
        <f t="shared" si="29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0"/>
        <v>https://d0f6bd738d7f1b3e5a7ca70fe4ff75f0.us-east-1.aws.found.io/app/kibana#/discover/Steve-Slow-Train-Analysis-(2080s-and-2083s)?_g=(refreshInterval:(display:Off,pause:!f,section:0,value:0),time:(from:'2017-03-21T17:27:58-0600',mode:absolute,to:'2017-03-21T20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187" t="str">
        <f t="shared" si="31"/>
        <v>N</v>
      </c>
      <c r="X137" s="187">
        <f t="shared" si="32"/>
        <v>1</v>
      </c>
      <c r="Y137" s="62">
        <f t="shared" si="49"/>
        <v>4.5499999999999999E-2</v>
      </c>
      <c r="Z137" s="62">
        <f t="shared" si="44"/>
        <v>23.341200000000001</v>
      </c>
      <c r="AA137" s="62">
        <f t="shared" si="33"/>
        <v>23.2957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4"/>
        <v>0219-21</v>
      </c>
      <c r="AE137" s="85" t="str">
        <f t="shared" si="35"/>
        <v>aws s3 cp s3://rtdc.mdm.uploadarchive.raw/RTDC4014/ "%USERPROFILE%\AppData\Local\Temp\OnboardLogs"\RTDC4014\2017-03-21 --exclude "*" --recursive --include "*20170321*" &amp; "%USERPROFILE%\Documents\GitHub\mrs-test-scripts\Headless Mode &amp; Sideloading\WalkAndUnGZ.bat" "%USERPROFILE%\AppData\Local\Temp\OnboardLogs"\RTDC4014\2017-03-21 &amp; 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</v>
      </c>
      <c r="AF137" s="82" t="str">
        <f t="shared" si="36"/>
        <v>"C:\Program Files (x86)\AstroGrep\AstroGrep.exe" /e /r /s /spath="%USERPROFILE%\AppData\Local\Temp\OnboardLogs" /stypes="app*4014*20170322*" /stext=" 01:.+((SYSTEM_STATE.+slice.+state.+changed )|(ment ac)|(multiple cpu faults)|(system.+state.+changed )|(\[timeout)|(PRM\|1\|D)|(kpr)|(kdp)|(\|lc)|(penalty))"</v>
      </c>
      <c r="AG137" s="1" t="str">
        <f t="shared" si="37"/>
        <v>EC</v>
      </c>
      <c r="AH137" s="86" t="str">
        <f t="shared" si="38"/>
        <v>"%USERPROFILE%\Documents\GitHub\eaglep3\Utilities\RefineRTDCRunTimes.py" --tripid 219-21 --locoid 4014 --swversion DE.1.0.9.0 --startMP 204:455 --initTime 2017-03-21T18:27:58 --startdatetime 2017-03-21T18:30:49 --delay 1 --endMP 204:233412 --enddatetime 2017-03-21T19:06:23 --enforcementcount 0 &gt;&gt;C:\Users\stu\Documents\GitHub\eaglep3-reporting\EC\2017-03-21-refined-times.txt</v>
      </c>
      <c r="AI137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{"issue":{"subject":"","project_id":79,"tracker_id":40,"status_id":1,"priority_id":2,"assigned_to_id":23,"start_date":"2017-03-21","description":"","custom_fields":[{"id":1,"name":"Subdivision","value":"EC"},{"id":4,"name":"Milepost","value":"23.3412"},{"id":17,"name":"Train ID","value":"219-21"},{"id":16,"name":"Locomotive ID","value":"4014"},{"id":130,"name":"Impact","value":""},{"id":150,"name":"Time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0"/>
        <v>start /low /b %USERPROFILE%\Documents\GitHub\eaglep3\Utilities\DownloadLogsFromS3.py --loco 4014 --day 2017-03-21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"%USERPROFILE%\AppData\Local\Temp\OnboardLogs"\RTDC4014\*4014*20170322* | grep -SE "(Enforcement Action)|(\[TIMEOUT)|(CHR.+\|PRM\|1\|D.+(SWITCH|SIGNAL).+UNKNOWN)" - &gt;&gt; 2017-03-21-UncaughtWiMAX.txt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795</v>
      </c>
      <c r="B138" s="7">
        <v>4013</v>
      </c>
      <c r="C138" s="21" t="s">
        <v>221</v>
      </c>
      <c r="D138" s="21" t="s">
        <v>924</v>
      </c>
      <c r="E138" s="13">
        <v>42815.805428240739</v>
      </c>
      <c r="F138" s="13">
        <v>42815.810173611113</v>
      </c>
      <c r="G138" s="7">
        <v>1</v>
      </c>
      <c r="H138" s="21" t="s">
        <v>571</v>
      </c>
      <c r="I138" s="13">
        <v>42815.838043981479</v>
      </c>
      <c r="J138" s="7">
        <v>0</v>
      </c>
      <c r="K138" s="98" t="str">
        <f t="shared" si="27"/>
        <v>4013/4014</v>
      </c>
      <c r="L138" s="21" t="str">
        <f>VLOOKUP(A138,'Trips&amp;Operators'!$C$1:$G$99999,5,FALSE)</f>
        <v>STAMBAUGH JAMES</v>
      </c>
      <c r="M138" s="6">
        <f t="shared" si="28"/>
        <v>2.7870370366144925E-2</v>
      </c>
      <c r="N138" s="7">
        <f t="shared" si="48"/>
        <v>40.133333327248693</v>
      </c>
      <c r="O138" s="7"/>
      <c r="P138" s="7"/>
      <c r="Q138" s="22"/>
      <c r="R138" s="22"/>
      <c r="S138" s="31">
        <f t="shared" si="47"/>
        <v>1</v>
      </c>
      <c r="T138" s="46" t="str">
        <f t="shared" si="29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0"/>
        <v>https://d0f6bd738d7f1b3e5a7ca70fe4ff75f0.us-east-1.aws.found.io/app/kibana#/discover/Steve-Slow-Train-Analysis-(2080s-and-2083s)?_g=(refreshInterval:(display:Off,pause:!f,section:0,value:0),time:(from:'2017-03-21T18:19:49-0600',mode:absolute,to:'2017-03-21T21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187" t="str">
        <f t="shared" si="31"/>
        <v>N</v>
      </c>
      <c r="X138" s="187">
        <f t="shared" si="32"/>
        <v>1</v>
      </c>
      <c r="Y138" s="62">
        <f t="shared" si="49"/>
        <v>23.311499999999999</v>
      </c>
      <c r="Z138" s="62">
        <f t="shared" si="44"/>
        <v>1.2699999999999999E-2</v>
      </c>
      <c r="AA138" s="62">
        <f t="shared" si="33"/>
        <v>23.2988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4"/>
        <v>0220-21</v>
      </c>
      <c r="AE138" s="85" t="str">
        <f t="shared" si="35"/>
        <v>aws s3 cp s3://rtdc.mdm.uploadarchive.raw/RTDC4013/ "%USERPROFILE%\AppData\Local\Temp\OnboardLogs"\RTDC4013\2017-03-21 --exclude "*" --recursive --include "*20170321*" &amp; "%USERPROFILE%\Documents\GitHub\mrs-test-scripts\Headless Mode &amp; Sideloading\WalkAndUnGZ.bat" "%USERPROFILE%\AppData\Local\Temp\OnboardLogs"\RTDC4013\2017-03-21 &amp; 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</v>
      </c>
      <c r="AF138" s="82" t="str">
        <f t="shared" si="36"/>
        <v>"C:\Program Files (x86)\AstroGrep\AstroGrep.exe" /e /r /s /spath="%USERPROFILE%\AppData\Local\Temp\OnboardLogs" /stypes="app*4013*20170322*" /stext=" 02:.+((SYSTEM_STATE.+slice.+state.+changed )|(ment ac)|(multiple cpu faults)|(system.+state.+changed )|(\[timeout)|(PRM\|1\|D)|(kpr)|(kdp)|(\|lc)|(penalty))"</v>
      </c>
      <c r="AG138" s="1" t="str">
        <f t="shared" si="37"/>
        <v>EC</v>
      </c>
      <c r="AH138" s="86" t="str">
        <f t="shared" si="38"/>
        <v>"%USERPROFILE%\Documents\GitHub\eaglep3\Utilities\RefineRTDCRunTimes.py" --tripid 220-21 --locoid 4013 --swversion DE.1.0.9.0 --startMP 204:233115 --initTime 2017-03-21T19:19:49 --startdatetime 2017-03-21T19:26:39 --delay 1 --endMP 204:127 --enddatetime 2017-03-21T20:06:47 --enforcementcount 0 &gt;&gt;C:\Users\stu\Documents\GitHub\eaglep3-reporting\EC\2017-03-21-refined-times.txt</v>
      </c>
      <c r="AI138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{"issue":{"subject":"","project_id":79,"tracker_id":40,"status_id":1,"priority_id":2,"assigned_to_id":23,"start_date":"2017-03-21","description":"","custom_fields":[{"id":1,"name":"Subdivision","value":"EC"},{"id":4,"name":"Milepost","value":"0.0127"},{"id":17,"name":"Train ID","value":"220-21"},{"id":16,"name":"Locomotive ID","value":"4013"},{"id":130,"name":"Impact","value":""},{"id":150,"name":"Time of Event (Mountain Time)","value":"20:06:47"},{"id":151,"name":"Denver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0"/>
        <v>start /low /b %USERPROFILE%\Documents\GitHub\eaglep3\Utilities\DownloadLogsFromS3.py --loco 4013 --day 2017-03-21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"%USERPROFILE%\AppData\Local\Temp\OnboardLogs"\RTDC4013\*4013*20170322* | grep -SE "(Enforcement Action)|(\[TIMEOUT)|(CHR.+\|PRM\|1\|D.+(SWITCH|SIGNAL).+UNKNOWN)" - &gt;&gt; 2017-03-21-UncaughtWiMAX.txt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791</v>
      </c>
      <c r="B139" s="7">
        <v>4044</v>
      </c>
      <c r="C139" s="21" t="s">
        <v>221</v>
      </c>
      <c r="D139" s="21" t="s">
        <v>217</v>
      </c>
      <c r="E139" s="13">
        <v>42815.791284722225</v>
      </c>
      <c r="F139" s="13">
        <v>42815.792256944442</v>
      </c>
      <c r="G139" s="7">
        <v>0</v>
      </c>
      <c r="H139" s="21" t="s">
        <v>925</v>
      </c>
      <c r="I139" s="13">
        <v>42815.817071759258</v>
      </c>
      <c r="J139" s="7">
        <v>0</v>
      </c>
      <c r="K139" s="98" t="str">
        <f t="shared" si="27"/>
        <v>4043/4044</v>
      </c>
      <c r="L139" s="21" t="str">
        <f>VLOOKUP(A139,'Trips&amp;Operators'!$C$1:$G$99999,5,FALSE)</f>
        <v>CHANDLER KELVIN</v>
      </c>
      <c r="M139" s="6">
        <f t="shared" si="28"/>
        <v>2.4814814816636499E-2</v>
      </c>
      <c r="N139" s="7">
        <f t="shared" si="48"/>
        <v>35.733333335956559</v>
      </c>
      <c r="O139" s="7"/>
      <c r="P139" s="7"/>
      <c r="Q139" s="22"/>
      <c r="R139" s="22"/>
      <c r="S139" s="31">
        <f t="shared" si="47"/>
        <v>1</v>
      </c>
      <c r="T139" s="46" t="str">
        <f t="shared" si="29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0"/>
        <v>https://d0f6bd738d7f1b3e5a7ca70fe4ff75f0.us-east-1.aws.found.io/app/kibana#/discover/Steve-Slow-Train-Analysis-(2080s-and-2083s)?_g=(refreshInterval:(display:Off,pause:!f,section:0,value:0),time:(from:'2017-03-21T17:59:27-0600',mode:absolute,to:'2017-03-21T20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187" t="str">
        <f t="shared" si="31"/>
        <v>N</v>
      </c>
      <c r="X139" s="187">
        <f t="shared" si="32"/>
        <v>1</v>
      </c>
      <c r="Y139" s="62">
        <f t="shared" si="49"/>
        <v>4.4699999999999997E-2</v>
      </c>
      <c r="Z139" s="62">
        <f t="shared" si="44"/>
        <v>23.326599999999999</v>
      </c>
      <c r="AA139" s="62">
        <f t="shared" si="33"/>
        <v>23.2819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4"/>
        <v>0221-21</v>
      </c>
      <c r="AE139" s="85" t="str">
        <f t="shared" si="35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139" s="82" t="str">
        <f t="shared" si="36"/>
        <v>"C:\Program Files (x86)\AstroGrep\AstroGrep.exe" /e /r /s /spath="%USERPROFILE%\AppData\Local\Temp\OnboardLogs" /stypes="app*4044*20170322*" /stext=" 01:.+((SYSTEM_STATE.+slice.+state.+changed )|(ment ac)|(multiple cpu faults)|(system.+state.+changed )|(\[timeout)|(PRM\|1\|D)|(kpr)|(kdp)|(\|lc)|(penalty))"</v>
      </c>
      <c r="AG139" s="1" t="str">
        <f t="shared" si="37"/>
        <v>EC</v>
      </c>
      <c r="AH139" s="86" t="str">
        <f t="shared" si="38"/>
        <v>"%USERPROFILE%\Documents\GitHub\eaglep3\Utilities\RefineRTDCRunTimes.py" --tripid 221-21 --locoid 4044 --swversion DE.1.0.9.0 --startMP 204:447 --initTime 2017-03-21T18:59:27 --startdatetime 2017-03-21T19:00:51 --delay 0 --endMP 204:233266 --enddatetime 2017-03-21T19:36:35 --enforcementcount 0 &gt;&gt;C:\Users\stu\Documents\GitHub\eaglep3-reporting\EC\2017-03-21-refined-times.txt</v>
      </c>
      <c r="AI139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{"issue":{"subject":"","project_id":79,"tracker_id":40,"status_id":1,"priority_id":2,"assigned_to_id":23,"start_date":"2017-03-21","description":"","custom_fields":[{"id":1,"name":"Subdivision","value":"EC"},{"id":4,"name":"Milepost","value":"23.3266"},{"id":17,"name":"Train ID","value":"221-21"},{"id":16,"name":"Locomotive ID","value":"4044"},{"id":130,"name":"Impact","value":""},{"id":150,"name":"Time of Event (Mountain Time)","value":"19:36:35"},{"id":151,"name":"Denver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0"/>
        <v>start /low /b %USERPROFILE%\Documents\GitHub\eaglep3\Utilities\DownloadLogsFromS3.py --loco 4044 --day 2017-03-21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"%USERPROFILE%\AppData\Local\Temp\OnboardLogs"\RTDC4044\*4044*20170322* | grep -SE "(Enforcement Action)|(\[TIMEOUT)|(CHR.+\|PRM\|1\|D.+(SWITCH|SIGNAL).+UNKNOWN)" - &gt;&gt; 2017-03-21-UncaughtWiMAX.txt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797</v>
      </c>
      <c r="B140" s="7">
        <v>4043</v>
      </c>
      <c r="C140" s="21" t="s">
        <v>221</v>
      </c>
      <c r="D140" s="21" t="s">
        <v>926</v>
      </c>
      <c r="E140" s="13">
        <v>42815.828125</v>
      </c>
      <c r="F140" s="13">
        <v>42815.831689814811</v>
      </c>
      <c r="G140" s="7">
        <v>1</v>
      </c>
      <c r="H140" s="21" t="s">
        <v>927</v>
      </c>
      <c r="I140" s="13">
        <v>42815.859502314815</v>
      </c>
      <c r="J140" s="7">
        <v>0</v>
      </c>
      <c r="K140" s="98" t="str">
        <f t="shared" si="27"/>
        <v>4043/4044</v>
      </c>
      <c r="L140" s="21" t="str">
        <f>VLOOKUP(A140,'Trips&amp;Operators'!$C$1:$G$99999,5,FALSE)</f>
        <v>CHANDLER KELVIN</v>
      </c>
      <c r="M140" s="6">
        <f t="shared" si="28"/>
        <v>2.7812500004074536E-2</v>
      </c>
      <c r="N140" s="7">
        <f t="shared" si="48"/>
        <v>40.050000005867332</v>
      </c>
      <c r="O140" s="7"/>
      <c r="P140" s="7"/>
      <c r="Q140" s="22"/>
      <c r="R140" s="22"/>
      <c r="S140" s="31">
        <f t="shared" si="47"/>
        <v>1</v>
      </c>
      <c r="T140" s="46" t="str">
        <f t="shared" si="29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0"/>
        <v>https://d0f6bd738d7f1b3e5a7ca70fe4ff75f0.us-east-1.aws.found.io/app/kibana#/discover/Steve-Slow-Train-Analysis-(2080s-and-2083s)?_g=(refreshInterval:(display:Off,pause:!f,section:0,value:0),time:(from:'2017-03-21T18:52:30-0600',mode:absolute,to:'2017-03-21T21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187" t="str">
        <f t="shared" si="31"/>
        <v>N</v>
      </c>
      <c r="X140" s="187">
        <f t="shared" si="32"/>
        <v>1</v>
      </c>
      <c r="Y140" s="62">
        <f t="shared" si="49"/>
        <v>23.294499999999999</v>
      </c>
      <c r="Z140" s="62">
        <f t="shared" si="44"/>
        <v>1.2999999999999999E-2</v>
      </c>
      <c r="AA140" s="62">
        <f t="shared" si="33"/>
        <v>23.281499999999998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4"/>
        <v>0222-21</v>
      </c>
      <c r="AE140" s="85" t="str">
        <f t="shared" si="35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140" s="82" t="str">
        <f t="shared" si="36"/>
        <v>"C:\Program Files (x86)\AstroGrep\AstroGrep.exe" /e /r /s /spath="%USERPROFILE%\AppData\Local\Temp\OnboardLogs" /stypes="app*4043*20170322*" /stext=" 02:.+((SYSTEM_STATE.+slice.+state.+changed )|(ment ac)|(multiple cpu faults)|(system.+state.+changed )|(\[timeout)|(PRM\|1\|D)|(kpr)|(kdp)|(\|lc)|(penalty))"</v>
      </c>
      <c r="AG140" s="1" t="str">
        <f t="shared" si="37"/>
        <v>EC</v>
      </c>
      <c r="AH140" s="86" t="str">
        <f t="shared" si="38"/>
        <v>"%USERPROFILE%\Documents\GitHub\eaglep3\Utilities\RefineRTDCRunTimes.py" --tripid 222-21 --locoid 4043 --swversion DE.1.0.9.0 --startMP 204:232945 --initTime 2017-03-21T19:52:30 --startdatetime 2017-03-21T19:57:38 --delay 1 --endMP 204:130 --enddatetime 2017-03-21T20:37:41 --enforcementcount 0 &gt;&gt;C:\Users\stu\Documents\GitHub\eaglep3-reporting\EC\2017-03-21-refined-times.txt</v>
      </c>
      <c r="AI140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{"issue":{"subject":"","project_id":79,"tracker_id":40,"status_id":1,"priority_id":2,"assigned_to_id":23,"start_date":"2017-03-21","description":"","custom_fields":[{"id":1,"name":"Subdivision","value":"EC"},{"id":4,"name":"Milepost","value":"0.013"},{"id":17,"name":"Train ID","value":"222-21"},{"id":16,"name":"Locomotive ID","value":"4043"},{"id":130,"name":"Impact","value":""},{"id":150,"name":"Time of Event (Mountain Time)","value":"20:37:41"},{"id":151,"name":"Denver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0"/>
        <v>start /low /b %USERPROFILE%\Documents\GitHub\eaglep3\Utilities\DownloadLogsFromS3.py --loco 4043 --day 2017-03-21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"%USERPROFILE%\AppData\Local\Temp\OnboardLogs"\RTDC4043\*4043*20170322* | grep -SE "(Enforcement Action)|(\[TIMEOUT)|(CHR.+\|PRM\|1\|D.+(SWITCH|SIGNAL).+UNKNOWN)" - &gt;&gt; 2017-03-21-UncaughtWiMAX.txt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634</v>
      </c>
      <c r="B141" s="7">
        <v>4016</v>
      </c>
      <c r="C141" s="21" t="s">
        <v>221</v>
      </c>
      <c r="D141" s="21" t="s">
        <v>212</v>
      </c>
      <c r="E141" s="13">
        <v>42815.806956018518</v>
      </c>
      <c r="F141" s="13">
        <v>42815.812696759262</v>
      </c>
      <c r="G141" s="7">
        <v>2</v>
      </c>
      <c r="H141" s="21" t="s">
        <v>928</v>
      </c>
      <c r="I141" s="13">
        <v>42815.837777777779</v>
      </c>
      <c r="J141" s="7">
        <v>0</v>
      </c>
      <c r="K141" s="98" t="str">
        <f t="shared" ref="K141:K204" si="50">IF(ISEVEN(B141),(B141-1)&amp;"/"&amp;B141,B141&amp;"/"&amp;(B141+1))</f>
        <v>4015/4016</v>
      </c>
      <c r="L141" s="21" t="str">
        <f>VLOOKUP(A141,'Trips&amp;Operators'!$C$1:$G$99999,5,FALSE)</f>
        <v>LALONDE GREGORY</v>
      </c>
      <c r="M141" s="6">
        <f t="shared" ref="M141:M204" si="51">I141-F141</f>
        <v>2.5081018517084885E-2</v>
      </c>
      <c r="N141" s="7">
        <f t="shared" si="48"/>
        <v>36.116666664602235</v>
      </c>
      <c r="O141" s="7"/>
      <c r="P141" s="7"/>
      <c r="Q141" s="22"/>
      <c r="R141" s="22"/>
      <c r="S141" s="31">
        <f t="shared" si="47"/>
        <v>1</v>
      </c>
      <c r="T141" s="46" t="str">
        <f t="shared" ref="T141:T204" si="52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-21T18:22:01-0600',mode:absolute,to:'2017-03-21T21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87" t="str">
        <f t="shared" ref="W141:W204" si="54">IF(AA141&lt;IF(AG141="EC",23,5.65),"Y","N")</f>
        <v>N</v>
      </c>
      <c r="X141" s="187">
        <f t="shared" ref="X141:X204" si="55">VALUE(LEFT(AD141,4))-VALUE(LEFT(AD140,4))</f>
        <v>1</v>
      </c>
      <c r="Y141" s="62">
        <f t="shared" si="49"/>
        <v>4.53E-2</v>
      </c>
      <c r="Z141" s="62">
        <f t="shared" si="44"/>
        <v>23.3385</v>
      </c>
      <c r="AA141" s="62">
        <f t="shared" ref="AA141:AA204" si="56">ABS(Z141-Y141)</f>
        <v>23.293199999999999</v>
      </c>
      <c r="AB141" s="59" t="str">
        <f>VLOOKUP(A141,Enforcements!$C$7:$K$13,8,0)</f>
        <v>Bulletin (2)</v>
      </c>
      <c r="AC141" s="55" t="str">
        <f>VLOOKUP(A141,Enforcements!$C$7:$E$13,3,0)</f>
        <v>GRADE CROSSING</v>
      </c>
      <c r="AD141" s="56" t="str">
        <f t="shared" ref="AD141:AD204" si="57">IF(LEN(A141)=6,"0"&amp;A141,A141)</f>
        <v>0223-21</v>
      </c>
      <c r="AE141" s="85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141" s="82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/stypes="app*4016*20170322*" /stext=" 02:.+((SYSTEM_STATE.+slice.+state.+changed )|(ment ac)|(multiple cpu faults)|(system.+state.+changed )|(\[timeout)|(PRM\|1\|D)|(kpr)|(kdp)|(\|lc)|(penalty))"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6" t="str">
        <f t="shared" si="38"/>
        <v>"%USERPROFILE%\Documents\GitHub\eaglep3\Utilities\RefineRTDCRunTimes.py" --tripid 223-21 --locoid 4016 --swversion DE.1.0.9.0 --startMP 204:453 --initTime 2017-03-21T19:22:01 --startdatetime 2017-03-21T19:30:17 --delay 2 --endMP 204:233385 --enddatetime 2017-03-21T20:06:24 --enforcementcount 0 &gt;&gt;C:\Users\stu\Documents\GitHub\eaglep3-reporting\EC\2017-03-21-refined-times.txt</v>
      </c>
      <c r="AI141" s="108" t="str">
        <f t="shared" si="39"/>
        <v>echo {"issue":{"subject":"","project_id":79,"tracker_id":40,"status_id":1,"priority_id":2,"assigned_to_id":23,"start_date":"2017-03-21","description":"","custom_fields":[{"id":1,"name":"Subdivision","value":"EC"},{"id":4,"name":"Milepost","value":"23.3385"},{"id":17,"name":"Train ID","value":"223-21"},{"id":16,"name":"Locomotive ID","value":"4016"},{"id":130,"name":"Impact","value":""},{"id":150,"name":"Time of Event (Mountain Time)","value":"20:06:24"},{"id":151,"name":"Denver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0"/>
        <v>start /low /b %USERPROFILE%\Documents\GitHub\eaglep3\Utilities\DownloadLogsFromS3.py --loco 4016 --day 2017-03-21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"%USERPROFILE%\AppData\Local\Temp\OnboardLogs"\RTDC4016\*4016*20170322* | grep -SE "(Enforcement Action)|(\[TIMEOUT)|(CHR.+\|PRM\|1\|D.+(SWITCH|SIGNAL).+UNKNOWN)" - &gt;&gt; 2017-03-21-UncaughtWiMAX.txt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798</v>
      </c>
      <c r="B142" s="7">
        <v>4015</v>
      </c>
      <c r="C142" s="21" t="s">
        <v>221</v>
      </c>
      <c r="D142" s="21" t="s">
        <v>929</v>
      </c>
      <c r="E142" s="13">
        <v>42815.839097222219</v>
      </c>
      <c r="F142" s="13">
        <v>42815.851550925923</v>
      </c>
      <c r="G142" s="7">
        <v>1</v>
      </c>
      <c r="H142" s="21" t="s">
        <v>214</v>
      </c>
      <c r="I142" s="13">
        <v>42815.879166666666</v>
      </c>
      <c r="J142" s="7">
        <v>0</v>
      </c>
      <c r="K142" s="98" t="str">
        <f t="shared" si="50"/>
        <v>4015/4016</v>
      </c>
      <c r="L142" s="21" t="str">
        <f>VLOOKUP(A142,'Trips&amp;Operators'!$C$1:$G$99999,5,FALSE)</f>
        <v>LALONDE GREGORY</v>
      </c>
      <c r="M142" s="6">
        <f t="shared" si="51"/>
        <v>2.7615740742476191E-2</v>
      </c>
      <c r="N142" s="7">
        <f t="shared" si="48"/>
        <v>39.766666669165716</v>
      </c>
      <c r="O142" s="7"/>
      <c r="P142" s="7"/>
      <c r="Q142" s="22"/>
      <c r="R142" s="22"/>
      <c r="S142" s="31">
        <f t="shared" si="47"/>
        <v>1</v>
      </c>
      <c r="T142" s="46" t="str">
        <f t="shared" si="52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3"/>
        <v>https://d0f6bd738d7f1b3e5a7ca70fe4ff75f0.us-east-1.aws.found.io/app/kibana#/discover/Steve-Slow-Train-Analysis-(2080s-and-2083s)?_g=(refreshInterval:(display:Off,pause:!f,section:0,value:0),time:(from:'2017-03-21T19:08:18-0600',mode:absolute,to:'2017-03-21T22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87" t="str">
        <f t="shared" si="54"/>
        <v>N</v>
      </c>
      <c r="X142" s="187">
        <f t="shared" si="55"/>
        <v>1</v>
      </c>
      <c r="Y142" s="62">
        <f t="shared" si="49"/>
        <v>23.3079</v>
      </c>
      <c r="Z142" s="62">
        <f t="shared" si="44"/>
        <v>1.41E-2</v>
      </c>
      <c r="AA142" s="62">
        <f t="shared" si="56"/>
        <v>23.293800000000001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7"/>
        <v>0224-21</v>
      </c>
      <c r="AE142" s="85" t="str">
        <f t="shared" si="58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142" s="82" t="str">
        <f t="shared" si="59"/>
        <v>"C:\Program Files (x86)\AstroGrep\AstroGrep.exe" /e /r /s /spath="%USERPROFILE%\AppData\Local\Temp\OnboardLogs" /stypes="app*4015*20170322*" /stext=" 03:.+((SYSTEM_STATE.+slice.+state.+changed )|(ment ac)|(multiple cpu faults)|(system.+state.+changed )|(\[timeout)|(PRM\|1\|D)|(kpr)|(kdp)|(\|lc)|(penalty))"</v>
      </c>
      <c r="AG142" s="1" t="str">
        <f t="shared" si="60"/>
        <v>EC</v>
      </c>
      <c r="AH142" s="86" t="str">
        <f t="shared" ref="AH142:AH205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224-21 --locoid 4015 --swversion DE.1.0.9.0 --startMP 204:233079 --initTime 2017-03-21T20:08:18 --startdatetime 2017-03-21T20:26:14 --delay 1 --endMP 204:141 --enddatetime 2017-03-21T21:06:00 --enforcementcount 0 &gt;&gt;C:\Users\stu\Documents\GitHub\eaglep3-reporting\EC\2017-03-21-refined-times.txt</v>
      </c>
      <c r="AI142" s="108" t="str">
        <f t="shared" ref="AI142:AI205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{"issue":{"subject":"","project_id":79,"tracker_id":40,"status_id":1,"priority_id":2,"assigned_to_id":23,"start_date":"2017-03-21","description":"","custom_fields":[{"id":1,"name":"Subdivision","value":"EC"},{"id":4,"name":"Milepost","value":"0.0141"},{"id":17,"name":"Train ID","value":"224-21"},{"id":16,"name":"Locomotive ID","value":"4015"},{"id":130,"name":"Impact","value":""},{"id":150,"name":"Time of Event (Mountain Time)","value":"21:06:00"},{"id":151,"name":"Denver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63">"start /low /b "&amp;dls3logs&amp;" --loco "&amp;B142&amp;" --day "&amp;TEXT(F142,"YYYY-MM-DD")</f>
        <v>start /low /b %USERPROFILE%\Documents\GitHub\eaglep3\Utilities\DownloadLogsFromS3.py --loco 4015 --day 2017-03-21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"%USERPROFILE%\AppData\Local\Temp\OnboardLogs"\RTDC4015\*4015*20170322* | grep -SE "(Enforcement Action)|(\[TIMEOUT)|(CHR.+\|PRM\|1\|D.+(SWITCH|SIGNAL).+UNKNOWN)" - &gt;&gt; 2017-03-21-UncaughtWiMAX.txt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636</v>
      </c>
      <c r="B143" s="7">
        <v>4031</v>
      </c>
      <c r="C143" s="21" t="s">
        <v>221</v>
      </c>
      <c r="D143" s="21" t="s">
        <v>209</v>
      </c>
      <c r="E143" s="13">
        <v>42815.828611111108</v>
      </c>
      <c r="F143" s="13">
        <v>42815.833495370367</v>
      </c>
      <c r="G143" s="7">
        <v>2</v>
      </c>
      <c r="H143" s="21" t="s">
        <v>930</v>
      </c>
      <c r="I143" s="13">
        <v>42815.859629629631</v>
      </c>
      <c r="J143" s="7">
        <v>0</v>
      </c>
      <c r="K143" s="98" t="str">
        <f t="shared" si="50"/>
        <v>4031/4032</v>
      </c>
      <c r="L143" s="21" t="str">
        <f>VLOOKUP(A143,'Trips&amp;Operators'!$C$1:$G$99999,5,FALSE)</f>
        <v>STORY SAMANTHA</v>
      </c>
      <c r="M143" s="6">
        <f t="shared" si="51"/>
        <v>2.6134259263926651E-2</v>
      </c>
      <c r="N143" s="7">
        <f t="shared" si="48"/>
        <v>37.633333340054378</v>
      </c>
      <c r="O143" s="7"/>
      <c r="P143" s="7"/>
      <c r="Q143" s="22"/>
      <c r="R143" s="22"/>
      <c r="S143" s="31">
        <f t="shared" si="47"/>
        <v>1</v>
      </c>
      <c r="T143" s="46" t="str">
        <f t="shared" si="52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3"/>
        <v>https://d0f6bd738d7f1b3e5a7ca70fe4ff75f0.us-east-1.aws.found.io/app/kibana#/discover/Steve-Slow-Train-Analysis-(2080s-and-2083s)?_g=(refreshInterval:(display:Off,pause:!f,section:0,value:0),time:(from:'2017-03-21T18:53:12-0600',mode:absolute,to:'2017-03-21T21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187" t="str">
        <f t="shared" si="54"/>
        <v>N</v>
      </c>
      <c r="X143" s="187">
        <f t="shared" si="55"/>
        <v>1</v>
      </c>
      <c r="Y143" s="62">
        <f t="shared" si="49"/>
        <v>4.5999999999999999E-2</v>
      </c>
      <c r="Z143" s="62">
        <f t="shared" si="44"/>
        <v>23.3398</v>
      </c>
      <c r="AA143" s="62">
        <f t="shared" si="56"/>
        <v>23.293800000000001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7"/>
        <v>0225-21</v>
      </c>
      <c r="AE143" s="85" t="str">
        <f t="shared" si="58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143" s="82" t="str">
        <f t="shared" si="59"/>
        <v>"C:\Program Files (x86)\AstroGrep\AstroGrep.exe" /e /r /s /spath="%USERPROFILE%\AppData\Local\Temp\OnboardLogs" /stypes="app*4031*20170322*" /stext=" 02:.+((SYSTEM_STATE.+slice.+state.+changed )|(ment ac)|(multiple cpu faults)|(system.+state.+changed )|(\[timeout)|(PRM\|1\|D)|(kpr)|(kdp)|(\|lc)|(penalty))"</v>
      </c>
      <c r="AG143" s="1" t="str">
        <f t="shared" si="60"/>
        <v>EC</v>
      </c>
      <c r="AH143" s="86" t="str">
        <f t="shared" si="61"/>
        <v>"%USERPROFILE%\Documents\GitHub\eaglep3\Utilities\RefineRTDCRunTimes.py" --tripid 225-21 --locoid 4031 --swversion DE.1.0.9.0 --startMP 204:460 --initTime 2017-03-21T19:53:12 --startdatetime 2017-03-21T20:00:14 --delay 2 --endMP 204:233398 --enddatetime 2017-03-21T20:37:52 --enforcementcount 0 &gt;&gt;C:\Users\stu\Documents\GitHub\eaglep3-reporting\EC\2017-03-21-refined-times.txt</v>
      </c>
      <c r="AI143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{"issue":{"subject":"","project_id":79,"tracker_id":40,"status_id":1,"priority_id":2,"assigned_to_id":23,"start_date":"2017-03-21","description":"","custom_fields":[{"id":1,"name":"Subdivision","value":"EC"},{"id":4,"name":"Milepost","value":"23.3398"},{"id":17,"name":"Train ID","value":"225-21"},{"id":16,"name":"Locomotive ID","value":"4031"},{"id":130,"name":"Impact","value":""},{"id":150,"name":"Time of Event (Mountain Time)","value":"20:37:52"},{"id":151,"name":"Denver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3"/>
        <v>start /low /b %USERPROFILE%\Documents\GitHub\eaglep3\Utilities\DownloadLogsFromS3.py --loco 4031 --day 2017-03-21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"%USERPROFILE%\AppData\Local\Temp\OnboardLogs"\RTDC4031\*4031*20170322* | grep -SE "(Enforcement Action)|(\[TIMEOUT)|(CHR.+\|PRM\|1\|D.+(SWITCH|SIGNAL).+UNKNOWN)" - &gt;&gt; 2017-03-21-UncaughtWiMAX.txt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800</v>
      </c>
      <c r="B144" s="7">
        <v>4032</v>
      </c>
      <c r="C144" s="21" t="s">
        <v>221</v>
      </c>
      <c r="D144" s="21" t="s">
        <v>931</v>
      </c>
      <c r="E144" s="13">
        <v>42815.864178240743</v>
      </c>
      <c r="F144" s="13">
        <v>42815.872615740744</v>
      </c>
      <c r="G144" s="7">
        <v>1</v>
      </c>
      <c r="H144" s="21" t="s">
        <v>932</v>
      </c>
      <c r="I144" s="13">
        <v>42815.901030092595</v>
      </c>
      <c r="J144" s="7">
        <v>0</v>
      </c>
      <c r="K144" s="98" t="str">
        <f t="shared" si="50"/>
        <v>4031/4032</v>
      </c>
      <c r="L144" s="21" t="str">
        <f>VLOOKUP(A144,'Trips&amp;Operators'!$C$1:$G$99999,5,FALSE)</f>
        <v>STORY SAMANTHA</v>
      </c>
      <c r="M144" s="6">
        <f t="shared" si="51"/>
        <v>2.8414351851097308E-2</v>
      </c>
      <c r="N144" s="7">
        <f t="shared" si="48"/>
        <v>40.916666665580124</v>
      </c>
      <c r="O144" s="7"/>
      <c r="P144" s="7"/>
      <c r="Q144" s="22"/>
      <c r="R144" s="22"/>
      <c r="S144" s="31">
        <f t="shared" si="47"/>
        <v>1</v>
      </c>
      <c r="T144" s="46" t="str">
        <f t="shared" si="52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3"/>
        <v>https://d0f6bd738d7f1b3e5a7ca70fe4ff75f0.us-east-1.aws.found.io/app/kibana#/discover/Steve-Slow-Train-Analysis-(2080s-and-2083s)?_g=(refreshInterval:(display:Off,pause:!f,section:0,value:0),time:(from:'2017-03-21T19:44:25-0600',mode:absolute,to:'2017-03-21T22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187" t="str">
        <f t="shared" si="54"/>
        <v>N</v>
      </c>
      <c r="X144" s="187">
        <f t="shared" si="55"/>
        <v>1</v>
      </c>
      <c r="Y144" s="62">
        <f t="shared" si="49"/>
        <v>23.310400000000001</v>
      </c>
      <c r="Z144" s="62">
        <f t="shared" si="44"/>
        <v>1.7600000000000001E-2</v>
      </c>
      <c r="AA144" s="62">
        <f t="shared" si="56"/>
        <v>23.2928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7"/>
        <v>0226-21</v>
      </c>
      <c r="AE144" s="85" t="str">
        <f t="shared" si="58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144" s="82" t="str">
        <f t="shared" si="59"/>
        <v>"C:\Program Files (x86)\AstroGrep\AstroGrep.exe" /e /r /s /spath="%USERPROFILE%\AppData\Local\Temp\OnboardLogs" /stypes="app*4032*20170322*" /stext=" 03:.+((SYSTEM_STATE.+slice.+state.+changed )|(ment ac)|(multiple cpu faults)|(system.+state.+changed )|(\[timeout)|(PRM\|1\|D)|(kpr)|(kdp)|(\|lc)|(penalty))"</v>
      </c>
      <c r="AG144" s="1" t="str">
        <f t="shared" si="60"/>
        <v>EC</v>
      </c>
      <c r="AH144" s="86" t="str">
        <f t="shared" si="61"/>
        <v>"%USERPROFILE%\Documents\GitHub\eaglep3\Utilities\RefineRTDCRunTimes.py" --tripid 226-21 --locoid 4032 --swversion DE.1.0.9.0 --startMP 204:233104 --initTime 2017-03-21T20:44:25 --startdatetime 2017-03-21T20:56:34 --delay 1 --endMP 204:176 --enddatetime 2017-03-21T21:37:29 --enforcementcount 0 &gt;&gt;C:\Users\stu\Documents\GitHub\eaglep3-reporting\EC\2017-03-21-refined-times.txt</v>
      </c>
      <c r="AI144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{"issue":{"subject":"","project_id":79,"tracker_id":40,"status_id":1,"priority_id":2,"assigned_to_id":23,"start_date":"2017-03-21","description":"","custom_fields":[{"id":1,"name":"Subdivision","value":"EC"},{"id":4,"name":"Milepost","value":"0.0176"},{"id":17,"name":"Train ID","value":"226-21"},{"id":16,"name":"Locomotive ID","value":"4032"},{"id":130,"name":"Impact","value":""},{"id":150,"name":"Time of Event (Mountain Time)","value":"21:37:29"},{"id":151,"name":"Denver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3"/>
        <v>start /low /b %USERPROFILE%\Documents\GitHub\eaglep3\Utilities\DownloadLogsFromS3.py --loco 4032 --day 2017-03-21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"%USERPROFILE%\AppData\Local\Temp\OnboardLogs"\RTDC4032\*4032*20170322* | grep -SE "(Enforcement Action)|(\[TIMEOUT)|(CHR.+\|PRM\|1\|D.+(SWITCH|SIGNAL).+UNKNOWN)" - &gt;&gt; 2017-03-21-UncaughtWiMAX.txt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638</v>
      </c>
      <c r="B145" s="7">
        <v>4014</v>
      </c>
      <c r="C145" s="21" t="s">
        <v>221</v>
      </c>
      <c r="D145" s="21" t="s">
        <v>529</v>
      </c>
      <c r="E145" s="13">
        <v>42815.840358796297</v>
      </c>
      <c r="F145" s="13">
        <v>42815.85460648148</v>
      </c>
      <c r="G145" s="7">
        <v>2</v>
      </c>
      <c r="H145" s="21" t="s">
        <v>933</v>
      </c>
      <c r="I145" s="13">
        <v>42815.879386574074</v>
      </c>
      <c r="J145" s="7">
        <v>0</v>
      </c>
      <c r="K145" s="98" t="str">
        <f t="shared" si="50"/>
        <v>4013/4014</v>
      </c>
      <c r="L145" s="21" t="str">
        <f>VLOOKUP(A145,'Trips&amp;Operators'!$C$1:$G$99999,5,FALSE)</f>
        <v>STAMBAUGH JAMES</v>
      </c>
      <c r="M145" s="6">
        <f t="shared" si="51"/>
        <v>2.4780092593573499E-2</v>
      </c>
      <c r="N145" s="7">
        <f t="shared" si="48"/>
        <v>35.683333334745839</v>
      </c>
      <c r="O145" s="7"/>
      <c r="P145" s="7"/>
      <c r="Q145" s="22"/>
      <c r="R145" s="22"/>
      <c r="S145" s="31">
        <f t="shared" si="47"/>
        <v>1</v>
      </c>
      <c r="T145" s="46" t="str">
        <f t="shared" si="52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3"/>
        <v>https://d0f6bd738d7f1b3e5a7ca70fe4ff75f0.us-east-1.aws.found.io/app/kibana#/discover/Steve-Slow-Train-Analysis-(2080s-and-2083s)?_g=(refreshInterval:(display:Off,pause:!f,section:0,value:0),time:(from:'2017-03-21T19:10:07-0600',mode:absolute,to:'2017-03-21T22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5" s="187" t="str">
        <f t="shared" si="54"/>
        <v>N</v>
      </c>
      <c r="X145" s="187">
        <f t="shared" si="55"/>
        <v>1</v>
      </c>
      <c r="Y145" s="62">
        <f t="shared" si="49"/>
        <v>4.3700000000000003E-2</v>
      </c>
      <c r="Z145" s="62">
        <f t="shared" si="44"/>
        <v>23.336600000000001</v>
      </c>
      <c r="AA145" s="62">
        <f t="shared" si="56"/>
        <v>23.292899999999999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7"/>
        <v>0227-21</v>
      </c>
      <c r="AE145" s="85" t="str">
        <f t="shared" si="58"/>
        <v>aws s3 cp s3://rtdc.mdm.uploadarchive.raw/RTDC4014/ "%USERPROFILE%\AppData\Local\Temp\OnboardLogs"\RTDC4014\2017-03-21 --exclude "*" --recursive --include "*20170321*" &amp; "%USERPROFILE%\Documents\GitHub\mrs-test-scripts\Headless Mode &amp; Sideloading\WalkAndUnGZ.bat" "%USERPROFILE%\AppData\Local\Temp\OnboardLogs"\RTDC4014\2017-03-21 &amp; 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</v>
      </c>
      <c r="AF145" s="82" t="str">
        <f t="shared" si="59"/>
        <v>"C:\Program Files (x86)\AstroGrep\AstroGrep.exe" /e /r /s /spath="%USERPROFILE%\AppData\Local\Temp\OnboardLogs" /stypes="app*4014*20170322*" /stext=" 03:.+((SYSTEM_STATE.+slice.+state.+changed )|(ment ac)|(multiple cpu faults)|(system.+state.+changed )|(\[timeout)|(PRM\|1\|D)|(kpr)|(kdp)|(\|lc)|(penalty))"</v>
      </c>
      <c r="AG145" s="1" t="str">
        <f t="shared" si="60"/>
        <v>EC</v>
      </c>
      <c r="AH145" s="86" t="str">
        <f t="shared" si="61"/>
        <v>"%USERPROFILE%\Documents\GitHub\eaglep3\Utilities\RefineRTDCRunTimes.py" --tripid 227-21 --locoid 4014 --swversion DE.1.0.9.0 --startMP 204:437 --initTime 2017-03-21T20:10:07 --startdatetime 2017-03-21T20:30:38 --delay 2 --endMP 204:233366 --enddatetime 2017-03-21T21:06:19 --enforcementcount 0 &gt;&gt;C:\Users\stu\Documents\GitHub\eaglep3-reporting\EC\2017-03-21-refined-times.txt</v>
      </c>
      <c r="AI145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{"issue":{"subject":"","project_id":79,"tracker_id":40,"status_id":1,"priority_id":2,"assigned_to_id":23,"start_date":"2017-03-21","description":"","custom_fields":[{"id":1,"name":"Subdivision","value":"EC"},{"id":4,"name":"Milepost","value":"23.3366"},{"id":17,"name":"Train ID","value":"227-21"},{"id":16,"name":"Locomotive ID","value":"4014"},{"id":130,"name":"Impact","value":""},{"id":150,"name":"Time of Event (Mountain Time)","value":"21:06:19"},{"id":151,"name":"Denver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3"/>
        <v>start /low /b %USERPROFILE%\Documents\GitHub\eaglep3\Utilities\DownloadLogsFromS3.py --loco 4014 --day 2017-03-21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"%USERPROFILE%\AppData\Local\Temp\OnboardLogs"\RTDC4014\*4014*20170322* | grep -SE "(Enforcement Action)|(\[TIMEOUT)|(CHR.+\|PRM\|1\|D.+(SWITCH|SIGNAL).+UNKNOWN)" - &gt;&gt; 2017-03-21-UncaughtWiMAX.txt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804</v>
      </c>
      <c r="B146" s="7">
        <v>4013</v>
      </c>
      <c r="C146" s="21" t="s">
        <v>221</v>
      </c>
      <c r="D146" s="21" t="s">
        <v>934</v>
      </c>
      <c r="E146" s="13">
        <v>42815.890682870369</v>
      </c>
      <c r="F146" s="13">
        <v>42815.893877314818</v>
      </c>
      <c r="G146" s="7">
        <v>1</v>
      </c>
      <c r="H146" s="21" t="s">
        <v>191</v>
      </c>
      <c r="I146" s="13">
        <v>42815.919965277775</v>
      </c>
      <c r="J146" s="7">
        <v>0</v>
      </c>
      <c r="K146" s="98" t="str">
        <f t="shared" si="50"/>
        <v>4013/4014</v>
      </c>
      <c r="L146" s="21" t="str">
        <f>VLOOKUP(A146,'Trips&amp;Operators'!$C$1:$G$99999,5,FALSE)</f>
        <v>STAMBAUGH JAMES</v>
      </c>
      <c r="M146" s="6">
        <f t="shared" si="51"/>
        <v>2.6087962956808042E-2</v>
      </c>
      <c r="N146" s="7">
        <f t="shared" si="48"/>
        <v>37.56666665780358</v>
      </c>
      <c r="O146" s="7"/>
      <c r="P146" s="7"/>
      <c r="Q146" s="22"/>
      <c r="R146" s="22"/>
      <c r="S146" s="31">
        <f t="shared" si="47"/>
        <v>1</v>
      </c>
      <c r="T146" s="46" t="str">
        <f t="shared" si="52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3"/>
        <v>https://d0f6bd738d7f1b3e5a7ca70fe4ff75f0.us-east-1.aws.found.io/app/kibana#/discover/Steve-Slow-Train-Analysis-(2080s-and-2083s)?_g=(refreshInterval:(display:Off,pause:!f,section:0,value:0),time:(from:'2017-03-21T20:22:35-0600',mode:absolute,to:'2017-03-21T23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187" t="str">
        <f t="shared" si="54"/>
        <v>N</v>
      </c>
      <c r="X146" s="187">
        <f t="shared" si="55"/>
        <v>1</v>
      </c>
      <c r="Y146" s="62">
        <f t="shared" si="49"/>
        <v>23.308900000000001</v>
      </c>
      <c r="Z146" s="62">
        <f t="shared" si="44"/>
        <v>1.4999999999999999E-2</v>
      </c>
      <c r="AA146" s="62">
        <f t="shared" si="56"/>
        <v>23.293900000000001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7"/>
        <v>0228-21</v>
      </c>
      <c r="AE146" s="85" t="str">
        <f t="shared" si="58"/>
        <v>aws s3 cp s3://rtdc.mdm.uploadarchive.raw/RTDC4013/ "%USERPROFILE%\AppData\Local\Temp\OnboardLogs"\RTDC4013\2017-03-21 --exclude "*" --recursive --include "*20170321*" &amp; "%USERPROFILE%\Documents\GitHub\mrs-test-scripts\Headless Mode &amp; Sideloading\WalkAndUnGZ.bat" "%USERPROFILE%\AppData\Local\Temp\OnboardLogs"\RTDC4013\2017-03-21 &amp; 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</v>
      </c>
      <c r="AF146" s="82" t="str">
        <f t="shared" si="59"/>
        <v>"C:\Program Files (x86)\AstroGrep\AstroGrep.exe" /e /r /s /spath="%USERPROFILE%\AppData\Local\Temp\OnboardLogs" /stypes="app*4013*20170322*" /stext=" 04:.+((SYSTEM_STATE.+slice.+state.+changed )|(ment ac)|(multiple cpu faults)|(system.+state.+changed )|(\[timeout)|(PRM\|1\|D)|(kpr)|(kdp)|(\|lc)|(penalty))"</v>
      </c>
      <c r="AG146" s="1" t="str">
        <f t="shared" si="60"/>
        <v>EC</v>
      </c>
      <c r="AH146" s="86" t="str">
        <f t="shared" si="61"/>
        <v>"%USERPROFILE%\Documents\GitHub\eaglep3\Utilities\RefineRTDCRunTimes.py" --tripid 228-21 --locoid 4013 --swversion DE.1.0.9.0 --startMP 204:233089 --initTime 2017-03-21T21:22:35 --startdatetime 2017-03-21T21:27:11 --delay 1 --endMP 204:150 --enddatetime 2017-03-21T22:04:45 --enforcementcount 0 &gt;&gt;C:\Users\stu\Documents\GitHub\eaglep3-reporting\EC\2017-03-21-refined-times.txt</v>
      </c>
      <c r="AI146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{"issue":{"subject":"","project_id":79,"tracker_id":40,"status_id":1,"priority_id":2,"assigned_to_id":23,"start_date":"2017-03-21","description":"","custom_fields":[{"id":1,"name":"Subdivision","value":"EC"},{"id":4,"name":"Milepost","value":"0.015"},{"id":17,"name":"Train ID","value":"228-21"},{"id":16,"name":"Locomotive ID","value":"4013"},{"id":130,"name":"Impact","value":""},{"id":150,"name":"Time of Event (Mountain Time)","value":"22:04:45"},{"id":151,"name":"Denver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3"/>
        <v>start /low /b %USERPROFILE%\Documents\GitHub\eaglep3\Utilities\DownloadLogsFromS3.py --loco 4013 --day 2017-03-21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"%USERPROFILE%\AppData\Local\Temp\OnboardLogs"\RTDC4013\*4013*20170322* | grep -SE "(Enforcement Action)|(\[TIMEOUT)|(CHR.+\|PRM\|1\|D.+(SWITCH|SIGNAL).+UNKNOWN)" - &gt;&gt; 2017-03-21-UncaughtWiMAX.txt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802</v>
      </c>
      <c r="B147" s="7">
        <v>4044</v>
      </c>
      <c r="C147" s="21" t="s">
        <v>221</v>
      </c>
      <c r="D147" s="21" t="s">
        <v>212</v>
      </c>
      <c r="E147" s="13">
        <v>42815.869756944441</v>
      </c>
      <c r="F147" s="13">
        <v>42815.875231481485</v>
      </c>
      <c r="G147" s="7">
        <v>1</v>
      </c>
      <c r="H147" s="21" t="s">
        <v>431</v>
      </c>
      <c r="I147" s="13">
        <v>42815.901122685187</v>
      </c>
      <c r="J147" s="7">
        <v>0</v>
      </c>
      <c r="K147" s="98" t="str">
        <f t="shared" si="50"/>
        <v>4043/4044</v>
      </c>
      <c r="L147" s="21" t="str">
        <f>VLOOKUP(A147,'Trips&amp;Operators'!$C$1:$G$99999,5,FALSE)</f>
        <v>CHANDLER KELVIN</v>
      </c>
      <c r="M147" s="6">
        <f t="shared" si="51"/>
        <v>2.5891203702485655E-2</v>
      </c>
      <c r="N147" s="7">
        <f t="shared" si="48"/>
        <v>37.283333331579342</v>
      </c>
      <c r="O147" s="7"/>
      <c r="P147" s="7"/>
      <c r="Q147" s="22"/>
      <c r="R147" s="22"/>
      <c r="S147" s="31">
        <f t="shared" si="47"/>
        <v>1</v>
      </c>
      <c r="T147" s="46" t="str">
        <f t="shared" si="52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3"/>
        <v>https://d0f6bd738d7f1b3e5a7ca70fe4ff75f0.us-east-1.aws.found.io/app/kibana#/discover/Steve-Slow-Train-Analysis-(2080s-and-2083s)?_g=(refreshInterval:(display:Off,pause:!f,section:0,value:0),time:(from:'2017-03-21T19:52:27-0600',mode:absolute,to:'2017-03-21T22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187" t="str">
        <f t="shared" si="54"/>
        <v>N</v>
      </c>
      <c r="X147" s="187">
        <f t="shared" si="55"/>
        <v>1</v>
      </c>
      <c r="Y147" s="62">
        <f t="shared" si="49"/>
        <v>4.53E-2</v>
      </c>
      <c r="Z147" s="62">
        <f t="shared" si="44"/>
        <v>23.3278</v>
      </c>
      <c r="AA147" s="62">
        <f t="shared" si="56"/>
        <v>23.282499999999999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7"/>
        <v>0229-21</v>
      </c>
      <c r="AE147" s="85" t="str">
        <f t="shared" si="58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147" s="82" t="str">
        <f t="shared" si="59"/>
        <v>"C:\Program Files (x86)\AstroGrep\AstroGrep.exe" /e /r /s /spath="%USERPROFILE%\AppData\Local\Temp\OnboardLogs" /stypes="app*4044*20170322*" /stext=" 03:.+((SYSTEM_STATE.+slice.+state.+changed )|(ment ac)|(multiple cpu faults)|(system.+state.+changed )|(\[timeout)|(PRM\|1\|D)|(kpr)|(kdp)|(\|lc)|(penalty))"</v>
      </c>
      <c r="AG147" s="1" t="str">
        <f t="shared" si="60"/>
        <v>EC</v>
      </c>
      <c r="AH147" s="86" t="str">
        <f t="shared" si="61"/>
        <v>"%USERPROFILE%\Documents\GitHub\eaglep3\Utilities\RefineRTDCRunTimes.py" --tripid 229-21 --locoid 4044 --swversion DE.1.0.9.0 --startMP 204:453 --initTime 2017-03-21T20:52:27 --startdatetime 2017-03-21T21:00:20 --delay 1 --endMP 204:233278 --enddatetime 2017-03-21T21:37:37 --enforcementcount 0 &gt;&gt;C:\Users\stu\Documents\GitHub\eaglep3-reporting\EC\2017-03-21-refined-times.txt</v>
      </c>
      <c r="AI147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{"issue":{"subject":"","project_id":79,"tracker_id":40,"status_id":1,"priority_id":2,"assigned_to_id":23,"start_date":"2017-03-21","description":"","custom_fields":[{"id":1,"name":"Subdivision","value":"EC"},{"id":4,"name":"Milepost","value":"23.3278"},{"id":17,"name":"Train ID","value":"229-21"},{"id":16,"name":"Locomotive ID","value":"4044"},{"id":130,"name":"Impact","value":""},{"id":150,"name":"Time of Event (Mountain Time)","value":"21:37:37"},{"id":151,"name":"Denver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3"/>
        <v>start /low /b %USERPROFILE%\Documents\GitHub\eaglep3\Utilities\DownloadLogsFromS3.py --loco 4044 --day 2017-03-21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"%USERPROFILE%\AppData\Local\Temp\OnboardLogs"\RTDC4044\*4044*20170322* | grep -SE "(Enforcement Action)|(\[TIMEOUT)|(CHR.+\|PRM\|1\|D.+(SWITCH|SIGNAL).+UNKNOWN)" - &gt;&gt; 2017-03-21-UncaughtWiMAX.txt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807</v>
      </c>
      <c r="B148" s="7">
        <v>4043</v>
      </c>
      <c r="C148" s="21" t="s">
        <v>221</v>
      </c>
      <c r="D148" s="21" t="s">
        <v>574</v>
      </c>
      <c r="E148" s="13">
        <v>42815.910833333335</v>
      </c>
      <c r="F148" s="13">
        <v>42815.914259259262</v>
      </c>
      <c r="G148" s="7">
        <v>1</v>
      </c>
      <c r="H148" s="21" t="s">
        <v>433</v>
      </c>
      <c r="I148" s="13">
        <v>42815.94195601852</v>
      </c>
      <c r="J148" s="7">
        <v>0</v>
      </c>
      <c r="K148" s="98" t="str">
        <f t="shared" si="50"/>
        <v>4043/4044</v>
      </c>
      <c r="L148" s="21" t="str">
        <f>VLOOKUP(A148,'Trips&amp;Operators'!$C$1:$G$99999,5,FALSE)</f>
        <v>CHANDLER KELVIN</v>
      </c>
      <c r="M148" s="6">
        <f t="shared" si="51"/>
        <v>2.7696759258105885E-2</v>
      </c>
      <c r="N148" s="7">
        <f t="shared" si="48"/>
        <v>39.883333331672475</v>
      </c>
      <c r="O148" s="7"/>
      <c r="P148" s="7"/>
      <c r="Q148" s="22"/>
      <c r="R148" s="22"/>
      <c r="S148" s="31">
        <f t="shared" si="47"/>
        <v>1</v>
      </c>
      <c r="T148" s="46" t="str">
        <f t="shared" si="52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3"/>
        <v>https://d0f6bd738d7f1b3e5a7ca70fe4ff75f0.us-east-1.aws.found.io/app/kibana#/discover/Steve-Slow-Train-Analysis-(2080s-and-2083s)?_g=(refreshInterval:(display:Off,pause:!f,section:0,value:0),time:(from:'2017-03-21T20:51:36-0600',mode:absolute,to:'2017-03-21T23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187" t="str">
        <f t="shared" si="54"/>
        <v>N</v>
      </c>
      <c r="X148" s="187">
        <f t="shared" si="55"/>
        <v>1</v>
      </c>
      <c r="Y148" s="62">
        <f t="shared" si="49"/>
        <v>23.296600000000002</v>
      </c>
      <c r="Z148" s="62">
        <f t="shared" si="44"/>
        <v>1.6E-2</v>
      </c>
      <c r="AA148" s="62">
        <f t="shared" si="56"/>
        <v>23.280600000000003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7"/>
        <v>0230-21</v>
      </c>
      <c r="AE148" s="85" t="str">
        <f t="shared" si="58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148" s="82" t="str">
        <f t="shared" si="59"/>
        <v>"C:\Program Files (x86)\AstroGrep\AstroGrep.exe" /e /r /s /spath="%USERPROFILE%\AppData\Local\Temp\OnboardLogs" /stypes="app*4043*20170322*" /stext=" 04:.+((SYSTEM_STATE.+slice.+state.+changed )|(ment ac)|(multiple cpu faults)|(system.+state.+changed )|(\[timeout)|(PRM\|1\|D)|(kpr)|(kdp)|(\|lc)|(penalty))"</v>
      </c>
      <c r="AG148" s="1" t="str">
        <f t="shared" si="60"/>
        <v>EC</v>
      </c>
      <c r="AH148" s="86" t="str">
        <f t="shared" si="61"/>
        <v>"%USERPROFILE%\Documents\GitHub\eaglep3\Utilities\RefineRTDCRunTimes.py" --tripid 230-21 --locoid 4043 --swversion DE.1.0.9.0 --startMP 204:232966 --initTime 2017-03-21T21:51:36 --startdatetime 2017-03-21T21:56:32 --delay 1 --endMP 204:160 --enddatetime 2017-03-21T22:36:25 --enforcementcount 0 &gt;&gt;C:\Users\stu\Documents\GitHub\eaglep3-reporting\EC\2017-03-21-refined-times.txt</v>
      </c>
      <c r="AI148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{"issue":{"subject":"","project_id":79,"tracker_id":40,"status_id":1,"priority_id":2,"assigned_to_id":23,"start_date":"2017-03-21","description":"","custom_fields":[{"id":1,"name":"Subdivision","value":"EC"},{"id":4,"name":"Milepost","value":"0.016"},{"id":17,"name":"Train ID","value":"230-21"},{"id":16,"name":"Locomotive ID","value":"4043"},{"id":130,"name":"Impact","value":""},{"id":150,"name":"Time of Event (Mountain Time)","value":"22:36:25"},{"id":151,"name":"Denver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3"/>
        <v>start /low /b %USERPROFILE%\Documents\GitHub\eaglep3\Utilities\DownloadLogsFromS3.py --loco 4043 --day 2017-03-21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"%USERPROFILE%\AppData\Local\Temp\OnboardLogs"\RTDC4043\*4043*20170322* | grep -SE "(Enforcement Action)|(\[TIMEOUT)|(CHR.+\|PRM\|1\|D.+(SWITCH|SIGNAL).+UNKNOWN)" - &gt;&gt; 2017-03-21-UncaughtWiMAX.txt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805</v>
      </c>
      <c r="B149" s="7">
        <v>4016</v>
      </c>
      <c r="C149" s="21" t="s">
        <v>221</v>
      </c>
      <c r="D149" s="21" t="s">
        <v>528</v>
      </c>
      <c r="E149" s="13">
        <v>42815.891574074078</v>
      </c>
      <c r="F149" s="13">
        <v>42815.895972222221</v>
      </c>
      <c r="G149" s="7">
        <v>1</v>
      </c>
      <c r="H149" s="21" t="s">
        <v>390</v>
      </c>
      <c r="I149" s="13">
        <v>42815.920474537037</v>
      </c>
      <c r="J149" s="7">
        <v>0</v>
      </c>
      <c r="K149" s="98" t="str">
        <f t="shared" si="50"/>
        <v>4015/4016</v>
      </c>
      <c r="L149" s="21" t="str">
        <f>VLOOKUP(A149,'Trips&amp;Operators'!$C$1:$G$99999,5,FALSE)</f>
        <v>NEWELL JAMES</v>
      </c>
      <c r="M149" s="6">
        <f t="shared" si="51"/>
        <v>2.4502314816345461E-2</v>
      </c>
      <c r="N149" s="7">
        <f t="shared" si="48"/>
        <v>35.283333335537463</v>
      </c>
      <c r="O149" s="7"/>
      <c r="P149" s="7"/>
      <c r="Q149" s="22"/>
      <c r="R149" s="22"/>
      <c r="S149" s="31">
        <f t="shared" si="47"/>
        <v>1</v>
      </c>
      <c r="T149" s="46" t="str">
        <f t="shared" si="52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3"/>
        <v>https://d0f6bd738d7f1b3e5a7ca70fe4ff75f0.us-east-1.aws.found.io/app/kibana#/discover/Steve-Slow-Train-Analysis-(2080s-and-2083s)?_g=(refreshInterval:(display:Off,pause:!f,section:0,value:0),time:(from:'2017-03-21T20:23:52-0600',mode:absolute,to:'2017-03-21T23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87" t="str">
        <f t="shared" si="54"/>
        <v>N</v>
      </c>
      <c r="X149" s="187">
        <f t="shared" si="55"/>
        <v>1</v>
      </c>
      <c r="Y149" s="62">
        <f t="shared" si="49"/>
        <v>4.4200000000000003E-2</v>
      </c>
      <c r="Z149" s="62">
        <f t="shared" si="44"/>
        <v>23.3306</v>
      </c>
      <c r="AA149" s="62">
        <f t="shared" si="56"/>
        <v>23.2864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7"/>
        <v>0231-21</v>
      </c>
      <c r="AE149" s="85" t="str">
        <f t="shared" si="58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149" s="82" t="str">
        <f t="shared" si="59"/>
        <v>"C:\Program Files (x86)\AstroGrep\AstroGrep.exe" /e /r /s /spath="%USERPROFILE%\AppData\Local\Temp\OnboardLogs" /stypes="app*4016*20170322*" /stext=" 04:.+((SYSTEM_STATE.+slice.+state.+changed )|(ment ac)|(multiple cpu faults)|(system.+state.+changed )|(\[timeout)|(PRM\|1\|D)|(kpr)|(kdp)|(\|lc)|(penalty))"</v>
      </c>
      <c r="AG149" s="1" t="str">
        <f t="shared" si="60"/>
        <v>EC</v>
      </c>
      <c r="AH149" s="86" t="str">
        <f t="shared" si="61"/>
        <v>"%USERPROFILE%\Documents\GitHub\eaglep3\Utilities\RefineRTDCRunTimes.py" --tripid 231-21 --locoid 4016 --swversion DE.1.0.9.0 --startMP 204:442 --initTime 2017-03-21T21:23:52 --startdatetime 2017-03-21T21:30:12 --delay 1 --endMP 204:233306 --enddatetime 2017-03-21T22:05:29 --enforcementcount 0 &gt;&gt;C:\Users\stu\Documents\GitHub\eaglep3-reporting\EC\2017-03-21-refined-times.txt</v>
      </c>
      <c r="AI149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{"issue":{"subject":"","project_id":79,"tracker_id":40,"status_id":1,"priority_id":2,"assigned_to_id":23,"start_date":"2017-03-21","description":"","custom_fields":[{"id":1,"name":"Subdivision","value":"EC"},{"id":4,"name":"Milepost","value":"23.3306"},{"id":17,"name":"Train ID","value":"231-21"},{"id":16,"name":"Locomotive ID","value":"4016"},{"id":130,"name":"Impact","value":""},{"id":150,"name":"Time of Event (Mountain Time)","value":"22:05:29"},{"id":151,"name":"Denver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3"/>
        <v>start /low /b %USERPROFILE%\Documents\GitHub\eaglep3\Utilities\DownloadLogsFromS3.py --loco 4016 --day 2017-03-21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"%USERPROFILE%\AppData\Local\Temp\OnboardLogs"\RTDC4016\*4016*20170322* | grep -SE "(Enforcement Action)|(\[TIMEOUT)|(CHR.+\|PRM\|1\|D.+(SWITCH|SIGNAL).+UNKNOWN)" - &gt;&gt; 2017-03-21-UncaughtWiMAX.txt</v>
      </c>
    </row>
    <row r="150" spans="1:91" s="20" customFormat="1" x14ac:dyDescent="0.25">
      <c r="A150" s="33" t="s">
        <v>811</v>
      </c>
      <c r="B150" s="7">
        <v>4015</v>
      </c>
      <c r="C150" s="21" t="s">
        <v>221</v>
      </c>
      <c r="D150" s="21" t="s">
        <v>483</v>
      </c>
      <c r="E150" s="13">
        <v>42815.93074074074</v>
      </c>
      <c r="F150" s="13">
        <v>42815.934861111113</v>
      </c>
      <c r="G150" s="7">
        <v>1</v>
      </c>
      <c r="H150" s="21" t="s">
        <v>199</v>
      </c>
      <c r="I150" s="13">
        <v>42815.960995370369</v>
      </c>
      <c r="J150" s="7">
        <v>0</v>
      </c>
      <c r="K150" s="98" t="str">
        <f t="shared" si="50"/>
        <v>4015/4016</v>
      </c>
      <c r="L150" s="21" t="str">
        <f>VLOOKUP(A150,'Trips&amp;Operators'!$C$1:$G$99999,5,FALSE)</f>
        <v>NEWELL JAMES</v>
      </c>
      <c r="M150" s="6">
        <f t="shared" si="51"/>
        <v>2.6134259256650694E-2</v>
      </c>
      <c r="N150" s="7">
        <f t="shared" si="48"/>
        <v>37.633333329576999</v>
      </c>
      <c r="O150" s="7"/>
      <c r="P150" s="7"/>
      <c r="Q150" s="22"/>
      <c r="R150" s="22"/>
      <c r="S150" s="31">
        <f t="shared" si="47"/>
        <v>1</v>
      </c>
      <c r="T150" s="46" t="str">
        <f t="shared" si="52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3"/>
        <v>https://d0f6bd738d7f1b3e5a7ca70fe4ff75f0.us-east-1.aws.found.io/app/kibana#/discover/Steve-Slow-Train-Analysis-(2080s-and-2083s)?_g=(refreshInterval:(display:Off,pause:!f,section:0,value:0),time:(from:'2017-03-21T21:20:16-0600',mode:absolute,to:'2017-03-22T00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87" t="str">
        <f t="shared" si="54"/>
        <v>N</v>
      </c>
      <c r="X150" s="187">
        <f t="shared" si="55"/>
        <v>1</v>
      </c>
      <c r="Y150" s="62">
        <f t="shared" si="49"/>
        <v>23.299600000000002</v>
      </c>
      <c r="Z150" s="62">
        <f t="shared" si="44"/>
        <v>1.52E-2</v>
      </c>
      <c r="AA150" s="62">
        <f t="shared" si="56"/>
        <v>23.284400000000002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7"/>
        <v>0232-21</v>
      </c>
      <c r="AE150" s="85" t="str">
        <f t="shared" si="58"/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AF150" s="82" t="str">
        <f t="shared" si="59"/>
        <v>"C:\Program Files (x86)\AstroGrep\AstroGrep.exe" /e /r /s /spath="%USERPROFILE%\AppData\Local\Temp\OnboardLogs" /stypes="app*4015*20170322*" /stext=" 05:.+((SYSTEM_STATE.+slice.+state.+changed )|(ment ac)|(multiple cpu faults)|(system.+state.+changed )|(\[timeout)|(PRM\|1\|D)|(kpr)|(kdp)|(\|lc)|(penalty))"</v>
      </c>
      <c r="AG150" s="1" t="str">
        <f t="shared" si="60"/>
        <v>EC</v>
      </c>
      <c r="AH150" s="86" t="str">
        <f t="shared" si="61"/>
        <v>"%USERPROFILE%\Documents\GitHub\eaglep3\Utilities\RefineRTDCRunTimes.py" --tripid 232-21 --locoid 4015 --swversion DE.1.0.9.0 --startMP 204:232996 --initTime 2017-03-21T22:20:16 --startdatetime 2017-03-21T22:26:12 --delay 1 --endMP 204:152 --enddatetime 2017-03-21T23:03:50 --enforcementcount 0 &gt;&gt;C:\Users\stu\Documents\GitHub\eaglep3-reporting\EC\2017-03-21-refined-times.txt</v>
      </c>
      <c r="AI150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{"issue":{"subject":"","project_id":79,"tracker_id":40,"status_id":1,"priority_id":2,"assigned_to_id":23,"start_date":"2017-03-21","description":"","custom_fields":[{"id":1,"name":"Subdivision","value":"EC"},{"id":4,"name":"Milepost","value":"0.0152"},{"id":17,"name":"Train ID","value":"232-21"},{"id":16,"name":"Locomotive ID","value":"4015"},{"id":130,"name":"Impact","value":""},{"id":150,"name":"Time of Event (Mountain Time)","value":"23:03:50"},{"id":151,"name":"Denver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3"/>
        <v>start /low /b %USERPROFILE%\Documents\GitHub\eaglep3\Utilities\DownloadLogsFromS3.py --loco 4015 --day 2017-03-21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"%USERPROFILE%\AppData\Local\Temp\OnboardLogs"\RTDC4015\*4015*20170322* | grep -SE "(Enforcement Action)|(\[TIMEOUT)|(CHR.+\|PRM\|1\|D.+(SWITCH|SIGNAL).+UNKNOWN)" - &gt;&gt; 2017-03-21-UncaughtWiMAX.txt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808</v>
      </c>
      <c r="B151" s="7">
        <v>4031</v>
      </c>
      <c r="C151" s="21" t="s">
        <v>221</v>
      </c>
      <c r="D151" s="21" t="s">
        <v>226</v>
      </c>
      <c r="E151" s="13">
        <v>42815.913356481484</v>
      </c>
      <c r="F151" s="13">
        <v>42815.917326388888</v>
      </c>
      <c r="G151" s="7">
        <v>2</v>
      </c>
      <c r="H151" s="21" t="s">
        <v>409</v>
      </c>
      <c r="I151" s="13">
        <v>42815.942488425928</v>
      </c>
      <c r="J151" s="7">
        <v>0</v>
      </c>
      <c r="K151" s="98" t="str">
        <f t="shared" si="50"/>
        <v>4031/4032</v>
      </c>
      <c r="L151" s="21" t="str">
        <f>VLOOKUP(A151,'Trips&amp;Operators'!$C$1:$G$99999,5,FALSE)</f>
        <v>STORY SAMANTHA</v>
      </c>
      <c r="M151" s="6">
        <f t="shared" si="51"/>
        <v>2.5162037039990537E-2</v>
      </c>
      <c r="N151" s="7">
        <f t="shared" si="48"/>
        <v>36.233333337586373</v>
      </c>
      <c r="O151" s="7"/>
      <c r="P151" s="7"/>
      <c r="Q151" s="22"/>
      <c r="R151" s="22"/>
      <c r="S151" s="31">
        <f t="shared" si="47"/>
        <v>1</v>
      </c>
      <c r="T151" s="46" t="str">
        <f t="shared" si="52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3"/>
        <v>https://d0f6bd738d7f1b3e5a7ca70fe4ff75f0.us-east-1.aws.found.io/app/kibana#/discover/Steve-Slow-Train-Analysis-(2080s-and-2083s)?_g=(refreshInterval:(display:Off,pause:!f,section:0,value:0),time:(from:'2017-03-21T20:55:14-0600',mode:absolute,to:'2017-03-21T23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187" t="str">
        <f t="shared" si="54"/>
        <v>N</v>
      </c>
      <c r="X151" s="187">
        <f t="shared" si="55"/>
        <v>1</v>
      </c>
      <c r="Y151" s="62">
        <f t="shared" si="49"/>
        <v>4.6899999999999997E-2</v>
      </c>
      <c r="Z151" s="62">
        <f t="shared" si="44"/>
        <v>23.330400000000001</v>
      </c>
      <c r="AA151" s="62">
        <f t="shared" si="56"/>
        <v>23.2835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7"/>
        <v>0233-21</v>
      </c>
      <c r="AE151" s="85" t="str">
        <f t="shared" si="58"/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AF151" s="82" t="str">
        <f t="shared" si="59"/>
        <v>"C:\Program Files (x86)\AstroGrep\AstroGrep.exe" /e /r /s /spath="%USERPROFILE%\AppData\Local\Temp\OnboardLogs" /stypes="app*4031*20170322*" /stext=" 04:.+((SYSTEM_STATE.+slice.+state.+changed )|(ment ac)|(multiple cpu faults)|(system.+state.+changed )|(\[timeout)|(PRM\|1\|D)|(kpr)|(kdp)|(\|lc)|(penalty))"</v>
      </c>
      <c r="AG151" s="1" t="str">
        <f t="shared" si="60"/>
        <v>EC</v>
      </c>
      <c r="AH151" s="86" t="str">
        <f t="shared" si="61"/>
        <v>"%USERPROFILE%\Documents\GitHub\eaglep3\Utilities\RefineRTDCRunTimes.py" --tripid 233-21 --locoid 4031 --swversion DE.1.0.9.0 --startMP 204:469 --initTime 2017-03-21T21:55:14 --startdatetime 2017-03-21T22:00:57 --delay 2 --endMP 204:233304 --enddatetime 2017-03-21T22:37:11 --enforcementcount 0 &gt;&gt;C:\Users\stu\Documents\GitHub\eaglep3-reporting\EC\2017-03-21-refined-times.txt</v>
      </c>
      <c r="AI151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{"issue":{"subject":"","project_id":79,"tracker_id":40,"status_id":1,"priority_id":2,"assigned_to_id":23,"start_date":"2017-03-21","description":"","custom_fields":[{"id":1,"name":"Subdivision","value":"EC"},{"id":4,"name":"Milepost","value":"23.3304"},{"id":17,"name":"Train ID","value":"233-21"},{"id":16,"name":"Locomotive ID","value":"4031"},{"id":130,"name":"Impact","value":""},{"id":150,"name":"Time of Event (Mountain Time)","value":"22:37:11"},{"id":151,"name":"Denver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3"/>
        <v>start /low /b %USERPROFILE%\Documents\GitHub\eaglep3\Utilities\DownloadLogsFromS3.py --loco 4031 --day 2017-03-21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"%USERPROFILE%\AppData\Local\Temp\OnboardLogs"\RTDC4031\*4031*20170322* | grep -SE "(Enforcement Action)|(\[TIMEOUT)|(CHR.+\|PRM\|1\|D.+(SWITCH|SIGNAL).+UNKNOWN)" - &gt;&gt; 2017-03-21-UncaughtWiMAX.txt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813</v>
      </c>
      <c r="B152" s="7">
        <v>4032</v>
      </c>
      <c r="C152" s="21" t="s">
        <v>221</v>
      </c>
      <c r="D152" s="21" t="s">
        <v>874</v>
      </c>
      <c r="E152" s="13">
        <v>42815.94767361111</v>
      </c>
      <c r="F152" s="13">
        <v>42815.955717592595</v>
      </c>
      <c r="G152" s="7">
        <v>2</v>
      </c>
      <c r="H152" s="21" t="s">
        <v>522</v>
      </c>
      <c r="I152" s="13">
        <v>42815.985914351855</v>
      </c>
      <c r="J152" s="7">
        <v>0</v>
      </c>
      <c r="K152" s="98" t="str">
        <f t="shared" si="50"/>
        <v>4031/4032</v>
      </c>
      <c r="L152" s="21" t="str">
        <f>VLOOKUP(A152,'Trips&amp;Operators'!$C$1:$G$99999,5,FALSE)</f>
        <v>STORY SAMANTHA</v>
      </c>
      <c r="M152" s="6">
        <f t="shared" si="51"/>
        <v>3.0196759260434192E-2</v>
      </c>
      <c r="N152" s="7">
        <f t="shared" si="48"/>
        <v>43.483333335025236</v>
      </c>
      <c r="O152" s="7"/>
      <c r="P152" s="7"/>
      <c r="Q152" s="22"/>
      <c r="R152" s="22"/>
      <c r="S152" s="31">
        <f t="shared" si="47"/>
        <v>1</v>
      </c>
      <c r="T152" s="46" t="str">
        <f t="shared" si="52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3"/>
        <v>https://d0f6bd738d7f1b3e5a7ca70fe4ff75f0.us-east-1.aws.found.io/app/kibana#/discover/Steve-Slow-Train-Analysis-(2080s-and-2083s)?_g=(refreshInterval:(display:Off,pause:!f,section:0,value:0),time:(from:'2017-03-21T21:44:39-0600',mode:absolute,to:'2017-03-22T00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87" t="str">
        <f t="shared" si="54"/>
        <v>N</v>
      </c>
      <c r="X152" s="187">
        <f t="shared" si="55"/>
        <v>1</v>
      </c>
      <c r="Y152" s="62">
        <f t="shared" si="49"/>
        <v>23.300599999999999</v>
      </c>
      <c r="Z152" s="62">
        <f t="shared" si="44"/>
        <v>1.6500000000000001E-2</v>
      </c>
      <c r="AA152" s="62">
        <f t="shared" si="56"/>
        <v>23.284099999999999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7"/>
        <v>0234-21</v>
      </c>
      <c r="AE152" s="85" t="str">
        <f t="shared" si="58"/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AF152" s="82" t="str">
        <f t="shared" si="59"/>
        <v>"C:\Program Files (x86)\AstroGrep\AstroGrep.exe" /e /r /s /spath="%USERPROFILE%\AppData\Local\Temp\OnboardLogs" /stypes="app*4032*20170322*" /stext=" 05:.+((SYSTEM_STATE.+slice.+state.+changed )|(ment ac)|(multiple cpu faults)|(system.+state.+changed )|(\[timeout)|(PRM\|1\|D)|(kpr)|(kdp)|(\|lc)|(penalty))"</v>
      </c>
      <c r="AG152" s="1" t="str">
        <f t="shared" si="60"/>
        <v>EC</v>
      </c>
      <c r="AH152" s="86" t="str">
        <f t="shared" si="61"/>
        <v>"%USERPROFILE%\Documents\GitHub\eaglep3\Utilities\RefineRTDCRunTimes.py" --tripid 234-21 --locoid 4032 --swversion DE.1.0.9.0 --startMP 204:233006 --initTime 2017-03-21T22:44:39 --startdatetime 2017-03-21T22:56:14 --delay 2 --endMP 204:165 --enddatetime 2017-03-21T23:39:43 --enforcementcount 0 &gt;&gt;C:\Users\stu\Documents\GitHub\eaglep3-reporting\EC\2017-03-21-refined-times.txt</v>
      </c>
      <c r="AI152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{"issue":{"subject":"","project_id":79,"tracker_id":40,"status_id":1,"priority_id":2,"assigned_to_id":23,"start_date":"2017-03-21","description":"","custom_fields":[{"id":1,"name":"Subdivision","value":"EC"},{"id":4,"name":"Milepost","value":"0.0165"},{"id":17,"name":"Train ID","value":"234-21"},{"id":16,"name":"Locomotive ID","value":"4032"},{"id":130,"name":"Impact","value":""},{"id":150,"name":"Time of Event (Mountain Time)","value":"23:39:43"},{"id":151,"name":"Denver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3"/>
        <v>start /low /b %USERPROFILE%\Documents\GitHub\eaglep3\Utilities\DownloadLogsFromS3.py --loco 4032 --day 2017-03-21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"%USERPROFILE%\AppData\Local\Temp\OnboardLogs"\RTDC4032\*4032*20170322* | grep -SE "(Enforcement Action)|(\[TIMEOUT)|(CHR.+\|PRM\|1\|D.+(SWITCH|SIGNAL).+UNKNOWN)" - &gt;&gt; 2017-03-21-UncaughtWiMAX.txt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809</v>
      </c>
      <c r="B153" s="7">
        <v>4014</v>
      </c>
      <c r="C153" s="21" t="s">
        <v>221</v>
      </c>
      <c r="D153" s="21" t="s">
        <v>212</v>
      </c>
      <c r="E153" s="13">
        <v>42815.9215625</v>
      </c>
      <c r="F153" s="13">
        <v>42815.937905092593</v>
      </c>
      <c r="G153" s="7">
        <v>1</v>
      </c>
      <c r="H153" s="21" t="s">
        <v>935</v>
      </c>
      <c r="I153" s="13">
        <v>42815.963356481479</v>
      </c>
      <c r="J153" s="7">
        <v>0</v>
      </c>
      <c r="K153" s="98" t="str">
        <f t="shared" si="50"/>
        <v>4013/4014</v>
      </c>
      <c r="L153" s="21" t="str">
        <f>VLOOKUP(A153,'Trips&amp;Operators'!$C$1:$G$99999,5,FALSE)</f>
        <v>STAMBAUGH JAMES</v>
      </c>
      <c r="M153" s="6">
        <f t="shared" si="51"/>
        <v>2.545138888672227E-2</v>
      </c>
      <c r="N153" s="7">
        <f t="shared" si="48"/>
        <v>36.649999996880069</v>
      </c>
      <c r="O153" s="7"/>
      <c r="P153" s="7"/>
      <c r="Q153" s="22"/>
      <c r="R153" s="22"/>
      <c r="S153" s="31">
        <f t="shared" si="47"/>
        <v>1</v>
      </c>
      <c r="T153" s="46" t="str">
        <f t="shared" si="52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3"/>
        <v>https://d0f6bd738d7f1b3e5a7ca70fe4ff75f0.us-east-1.aws.found.io/app/kibana#/discover/Steve-Slow-Train-Analysis-(2080s-and-2083s)?_g=(refreshInterval:(display:Off,pause:!f,section:0,value:0),time:(from:'2017-03-21T21:07:03-0600',mode:absolute,to:'2017-03-22T00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3" s="187" t="str">
        <f t="shared" si="54"/>
        <v>N</v>
      </c>
      <c r="X153" s="187">
        <f t="shared" si="55"/>
        <v>1</v>
      </c>
      <c r="Y153" s="62">
        <f t="shared" si="49"/>
        <v>4.53E-2</v>
      </c>
      <c r="Z153" s="62">
        <f t="shared" si="44"/>
        <v>23.341899999999999</v>
      </c>
      <c r="AA153" s="62">
        <f t="shared" si="56"/>
        <v>23.296599999999998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7"/>
        <v>0235-21</v>
      </c>
      <c r="AE153" s="85" t="str">
        <f t="shared" si="58"/>
        <v>aws s3 cp s3://rtdc.mdm.uploadarchive.raw/RTDC4014/ "%USERPROFILE%\AppData\Local\Temp\OnboardLogs"\RTDC4014\2017-03-21 --exclude "*" --recursive --include "*20170321*" &amp; "%USERPROFILE%\Documents\GitHub\mrs-test-scripts\Headless Mode &amp; Sideloading\WalkAndUnGZ.bat" "%USERPROFILE%\AppData\Local\Temp\OnboardLogs"\RTDC4014\2017-03-21 &amp; 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</v>
      </c>
      <c r="AF153" s="82" t="str">
        <f t="shared" si="59"/>
        <v>"C:\Program Files (x86)\AstroGrep\AstroGrep.exe" /e /r /s /spath="%USERPROFILE%\AppData\Local\Temp\OnboardLogs" /stypes="app*4014*20170322*" /stext=" 05:.+((SYSTEM_STATE.+slice.+state.+changed )|(ment ac)|(multiple cpu faults)|(system.+state.+changed )|(\[timeout)|(PRM\|1\|D)|(kpr)|(kdp)|(\|lc)|(penalty))"</v>
      </c>
      <c r="AG153" s="1" t="str">
        <f t="shared" si="60"/>
        <v>EC</v>
      </c>
      <c r="AH153" s="86" t="str">
        <f t="shared" si="61"/>
        <v>"%USERPROFILE%\Documents\GitHub\eaglep3\Utilities\RefineRTDCRunTimes.py" --tripid 235-21 --locoid 4014 --swversion DE.1.0.9.0 --startMP 204:453 --initTime 2017-03-21T22:07:03 --startdatetime 2017-03-21T22:30:35 --delay 1 --endMP 204:233419 --enddatetime 2017-03-21T23:07:14 --enforcementcount 0 &gt;&gt;C:\Users\stu\Documents\GitHub\eaglep3-reporting\EC\2017-03-21-refined-times.txt</v>
      </c>
      <c r="AI153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{"issue":{"subject":"","project_id":79,"tracker_id":40,"status_id":1,"priority_id":2,"assigned_to_id":23,"start_date":"2017-03-21","description":"","custom_fields":[{"id":1,"name":"Subdivision","value":"EC"},{"id":4,"name":"Milepost","value":"23.3419"},{"id":17,"name":"Train ID","value":"235-21"},{"id":16,"name":"Locomotive ID","value":"4014"},{"id":130,"name":"Impact","value":""},{"id":150,"name":"Time of Event (Mountain Time)","value":"23:07:14"},{"id":151,"name":"Denver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3"/>
        <v>start /low /b %USERPROFILE%\Documents\GitHub\eaglep3\Utilities\DownloadLogsFromS3.py --loco 4014 --day 2017-03-21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"%USERPROFILE%\AppData\Local\Temp\OnboardLogs"\RTDC4014\*4014*20170322* | grep -SE "(Enforcement Action)|(\[TIMEOUT)|(CHR.+\|PRM\|1\|D.+(SWITCH|SIGNAL).+UNKNOWN)" - &gt;&gt; 2017-03-21-UncaughtWiMAX.txt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815</v>
      </c>
      <c r="B154" s="7">
        <v>4013</v>
      </c>
      <c r="C154" s="21" t="s">
        <v>221</v>
      </c>
      <c r="D154" s="21" t="s">
        <v>936</v>
      </c>
      <c r="E154" s="13">
        <v>42815.974872685183</v>
      </c>
      <c r="F154" s="13">
        <v>42815.976793981485</v>
      </c>
      <c r="G154" s="7">
        <v>1</v>
      </c>
      <c r="H154" s="21" t="s">
        <v>408</v>
      </c>
      <c r="I154" s="13">
        <v>42816.003831018519</v>
      </c>
      <c r="J154" s="7">
        <v>0</v>
      </c>
      <c r="K154" s="98" t="str">
        <f t="shared" si="50"/>
        <v>4013/4014</v>
      </c>
      <c r="L154" s="21" t="str">
        <f>VLOOKUP(A154,'Trips&amp;Operators'!$C$1:$G$99999,5,FALSE)</f>
        <v>STAMBAUGH JAMES</v>
      </c>
      <c r="M154" s="6">
        <f t="shared" si="51"/>
        <v>2.7037037034460809E-2</v>
      </c>
      <c r="N154" s="7">
        <f t="shared" si="48"/>
        <v>38.933333329623565</v>
      </c>
      <c r="O154" s="7"/>
      <c r="P154" s="7"/>
      <c r="Q154" s="22"/>
      <c r="R154" s="22"/>
      <c r="S154" s="31">
        <f t="shared" si="47"/>
        <v>1</v>
      </c>
      <c r="T154" s="46" t="str">
        <f t="shared" si="52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3"/>
        <v>https://d0f6bd738d7f1b3e5a7ca70fe4ff75f0.us-east-1.aws.found.io/app/kibana#/discover/Steve-Slow-Train-Analysis-(2080s-and-2083s)?_g=(refreshInterval:(display:Off,pause:!f,section:0,value:0),time:(from:'2017-03-21T22:23:49-0600',mode:absolute,to:'2017-03-22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4" s="187" t="str">
        <f t="shared" si="54"/>
        <v>N</v>
      </c>
      <c r="X154" s="187">
        <f t="shared" si="55"/>
        <v>1</v>
      </c>
      <c r="Y154" s="62">
        <f t="shared" si="49"/>
        <v>23.3127</v>
      </c>
      <c r="Z154" s="62">
        <f t="shared" si="44"/>
        <v>1.43E-2</v>
      </c>
      <c r="AA154" s="62">
        <f t="shared" si="56"/>
        <v>23.298400000000001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7"/>
        <v>0236-21</v>
      </c>
      <c r="AE154" s="85" t="str">
        <f t="shared" si="58"/>
        <v>aws s3 cp s3://rtdc.mdm.uploadarchive.raw/RTDC4013/ "%USERPROFILE%\AppData\Local\Temp\OnboardLogs"\RTDC4013\2017-03-21 --exclude "*" --recursive --include "*20170321*" &amp; "%USERPROFILE%\Documents\GitHub\mrs-test-scripts\Headless Mode &amp; Sideloading\WalkAndUnGZ.bat" "%USERPROFILE%\AppData\Local\Temp\OnboardLogs"\RTDC4013\2017-03-21 &amp; 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</v>
      </c>
      <c r="AF154" s="82" t="str">
        <f t="shared" si="59"/>
        <v>"C:\Program Files (x86)\AstroGrep\AstroGrep.exe" /e /r /s /spath="%USERPROFILE%\AppData\Local\Temp\OnboardLogs" /stypes="app*4013*20170322*" /stext=" 06:.+((SYSTEM_STATE.+slice.+state.+changed )|(ment ac)|(multiple cpu faults)|(system.+state.+changed )|(\[timeout)|(PRM\|1\|D)|(kpr)|(kdp)|(\|lc)|(penalty))"</v>
      </c>
      <c r="AG154" s="1" t="str">
        <f t="shared" si="60"/>
        <v>EC</v>
      </c>
      <c r="AH154" s="86" t="str">
        <f t="shared" si="61"/>
        <v>"%USERPROFILE%\Documents\GitHub\eaglep3\Utilities\RefineRTDCRunTimes.py" --tripid 236-21 --locoid 4013 --swversion DE.1.0.9.0 --startMP 204:233127 --initTime 2017-03-21T23:23:49 --startdatetime 2017-03-21T23:26:35 --delay 1 --endMP 204:143 --enddatetime 2017-03-22T00:05:31 --enforcementcount 0 &gt;&gt;C:\Users\stu\Documents\GitHub\eaglep3-reporting\EC\2017-03-21-refined-times.txt</v>
      </c>
      <c r="AI154" s="108" t="str">
        <f t="shared" si="62"/>
        <v>echo {"issue":{"subject":"","project_id":79,"tracker_id":40,"status_id":1,"priority_id":2,"assigned_to_id":23,"start_date":"2017-03-22","description":"","custom_fields":[{"id":1,"name":"Subdivision","value":"EC"},{"id":4,"name":"Milepost","value":"0.0143"},{"id":17,"name":"Train ID","value":"236-21"},{"id":16,"name":"Locomotive ID","value":"4013"},{"id":130,"name":"Impact","value":""},{"id":150,"name":"Time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3"/>
        <v>start /low /b %USERPROFILE%\Documents\GitHub\eaglep3\Utilities\DownloadLogsFromS3.py --loco 4013 --day 2017-03-21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"%USERPROFILE%\AppData\Local\Temp\OnboardLogs"\RTDC4013\*4013*20170322* | grep -SE "(Enforcement Action)|(\[TIMEOUT)|(CHR.+\|PRM\|1\|D.+(SWITCH|SIGNAL).+UNKNOWN)" - &gt;&gt; 2017-03-21-UncaughtWiMAX.txt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814</v>
      </c>
      <c r="B155" s="7">
        <v>4044</v>
      </c>
      <c r="C155" s="21" t="s">
        <v>221</v>
      </c>
      <c r="D155" s="21" t="s">
        <v>473</v>
      </c>
      <c r="E155" s="13">
        <v>42815.955613425926</v>
      </c>
      <c r="F155" s="13">
        <v>42815.959120370368</v>
      </c>
      <c r="G155" s="7">
        <v>1</v>
      </c>
      <c r="H155" s="21" t="s">
        <v>511</v>
      </c>
      <c r="I155" s="13">
        <v>42815.984618055554</v>
      </c>
      <c r="J155" s="7">
        <v>0</v>
      </c>
      <c r="K155" s="98" t="str">
        <f t="shared" si="50"/>
        <v>4043/4044</v>
      </c>
      <c r="L155" s="21" t="str">
        <f>VLOOKUP(A155,'Trips&amp;Operators'!$C$1:$G$99999,5,FALSE)</f>
        <v>CHANDLER KELVIN</v>
      </c>
      <c r="M155" s="6">
        <f t="shared" si="51"/>
        <v>2.5497685186564922E-2</v>
      </c>
      <c r="N155" s="7">
        <f t="shared" si="48"/>
        <v>36.716666668653488</v>
      </c>
      <c r="O155" s="7"/>
      <c r="P155" s="7"/>
      <c r="Q155" s="22"/>
      <c r="R155" s="22"/>
      <c r="S155" s="31">
        <f t="shared" si="47"/>
        <v>1</v>
      </c>
      <c r="T155" s="46" t="str">
        <f t="shared" si="52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3"/>
        <v>https://d0f6bd738d7f1b3e5a7ca70fe4ff75f0.us-east-1.aws.found.io/app/kibana#/discover/Steve-Slow-Train-Analysis-(2080s-and-2083s)?_g=(refreshInterval:(display:Off,pause:!f,section:0,value:0),time:(from:'2017-03-21T21:56:05-0600',mode:absolute,to:'2017-03-22T00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187" t="str">
        <f t="shared" si="54"/>
        <v>N</v>
      </c>
      <c r="X155" s="187">
        <f t="shared" si="55"/>
        <v>1</v>
      </c>
      <c r="Y155" s="62">
        <f t="shared" si="49"/>
        <v>4.8599999999999997E-2</v>
      </c>
      <c r="Z155" s="62">
        <f t="shared" si="44"/>
        <v>23.328499999999998</v>
      </c>
      <c r="AA155" s="62">
        <f t="shared" si="56"/>
        <v>23.279899999999998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7"/>
        <v>0237-21</v>
      </c>
      <c r="AE155" s="85" t="str">
        <f t="shared" si="58"/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AF155" s="82" t="str">
        <f t="shared" si="59"/>
        <v>"C:\Program Files (x86)\AstroGrep\AstroGrep.exe" /e /r /s /spath="%USERPROFILE%\AppData\Local\Temp\OnboardLogs" /stypes="app*4044*20170322*" /stext=" 05:.+((SYSTEM_STATE.+slice.+state.+changed )|(ment ac)|(multiple cpu faults)|(system.+state.+changed )|(\[timeout)|(PRM\|1\|D)|(kpr)|(kdp)|(\|lc)|(penalty))"</v>
      </c>
      <c r="AG155" s="1" t="str">
        <f t="shared" si="60"/>
        <v>EC</v>
      </c>
      <c r="AH155" s="86" t="str">
        <f t="shared" si="61"/>
        <v>"%USERPROFILE%\Documents\GitHub\eaglep3\Utilities\RefineRTDCRunTimes.py" --tripid 237-21 --locoid 4044 --swversion DE.1.0.9.0 --startMP 204:486 --initTime 2017-03-21T22:56:05 --startdatetime 2017-03-21T23:01:08 --delay 1 --endMP 204:233285 --enddatetime 2017-03-21T23:37:51 --enforcementcount 0 &gt;&gt;C:\Users\stu\Documents\GitHub\eaglep3-reporting\EC\2017-03-21-refined-times.txt</v>
      </c>
      <c r="AI155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{"issue":{"subject":"","project_id":79,"tracker_id":40,"status_id":1,"priority_id":2,"assigned_to_id":23,"start_date":"2017-03-21","description":"","custom_fields":[{"id":1,"name":"Subdivision","value":"EC"},{"id":4,"name":"Milepost","value":"23.3285"},{"id":17,"name":"Train ID","value":"237-21"},{"id":16,"name":"Locomotive ID","value":"4044"},{"id":130,"name":"Impact","value":""},{"id":150,"name":"Time of Event (Mountain Time)","value":"23:37:51"},{"id":151,"name":"Denver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3"/>
        <v>start /low /b %USERPROFILE%\Documents\GitHub\eaglep3\Utilities\DownloadLogsFromS3.py --loco 4044 --day 2017-03-21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"%USERPROFILE%\AppData\Local\Temp\OnboardLogs"\RTDC4044\*4044*20170322* | grep -SE "(Enforcement Action)|(\[TIMEOUT)|(CHR.+\|PRM\|1\|D.+(SWITCH|SIGNAL).+UNKNOWN)" - &gt;&gt; 2017-03-21-UncaughtWiMAX.txt</v>
      </c>
    </row>
    <row r="156" spans="1:91" s="20" customFormat="1" x14ac:dyDescent="0.25">
      <c r="A156" s="33" t="s">
        <v>818</v>
      </c>
      <c r="B156" s="7">
        <v>4043</v>
      </c>
      <c r="C156" s="21" t="s">
        <v>221</v>
      </c>
      <c r="D156" s="21" t="s">
        <v>937</v>
      </c>
      <c r="E156" s="13">
        <v>42815.993391203701</v>
      </c>
      <c r="F156" s="13">
        <v>42815.997453703705</v>
      </c>
      <c r="G156" s="7">
        <v>1</v>
      </c>
      <c r="H156" s="21" t="s">
        <v>938</v>
      </c>
      <c r="I156" s="13">
        <v>42816.024502314816</v>
      </c>
      <c r="J156" s="7">
        <v>0</v>
      </c>
      <c r="K156" s="98" t="str">
        <f t="shared" si="50"/>
        <v>4043/4044</v>
      </c>
      <c r="L156" s="21" t="str">
        <f>VLOOKUP(A156,'Trips&amp;Operators'!$C$1:$G$99999,5,FALSE)</f>
        <v>CHANDLER KELVIN</v>
      </c>
      <c r="M156" s="6">
        <f t="shared" si="51"/>
        <v>2.7048611111240461E-2</v>
      </c>
      <c r="N156" s="7">
        <f t="shared" si="48"/>
        <v>38.950000000186265</v>
      </c>
      <c r="O156" s="7"/>
      <c r="P156" s="7"/>
      <c r="Q156" s="22"/>
      <c r="R156" s="22"/>
      <c r="S156" s="31">
        <f t="shared" si="47"/>
        <v>1</v>
      </c>
      <c r="T156" s="46" t="str">
        <f t="shared" si="52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3"/>
        <v>https://d0f6bd738d7f1b3e5a7ca70fe4ff75f0.us-east-1.aws.found.io/app/kibana#/discover/Steve-Slow-Train-Analysis-(2080s-and-2083s)?_g=(refreshInterval:(display:Off,pause:!f,section:0,value:0),time:(from:'2017-03-21T22:50:29-0600',mode:absolute,to:'2017-03-22T01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187" t="str">
        <f t="shared" si="54"/>
        <v>N</v>
      </c>
      <c r="X156" s="187">
        <f t="shared" si="55"/>
        <v>1</v>
      </c>
      <c r="Y156" s="62">
        <f t="shared" si="49"/>
        <v>23.2974</v>
      </c>
      <c r="Z156" s="62">
        <f t="shared" si="44"/>
        <v>2.3599999999999999E-2</v>
      </c>
      <c r="AA156" s="62">
        <f t="shared" si="56"/>
        <v>23.273800000000001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7"/>
        <v>0238-21</v>
      </c>
      <c r="AE156" s="85" t="str">
        <f t="shared" si="58"/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AF156" s="82" t="str">
        <f t="shared" si="59"/>
        <v>"C:\Program Files (x86)\AstroGrep\AstroGrep.exe" /e /r /s /spath="%USERPROFILE%\AppData\Local\Temp\OnboardLogs" /stypes="app*4043*20170322*" /stext=" 06:.+((SYSTEM_STATE.+slice.+state.+changed )|(ment ac)|(multiple cpu faults)|(system.+state.+changed )|(\[timeout)|(PRM\|1\|D)|(kpr)|(kdp)|(\|lc)|(penalty))"</v>
      </c>
      <c r="AG156" s="1" t="str">
        <f t="shared" si="60"/>
        <v>EC</v>
      </c>
      <c r="AH156" s="86" t="str">
        <f t="shared" si="61"/>
        <v>"%USERPROFILE%\Documents\GitHub\eaglep3\Utilities\RefineRTDCRunTimes.py" --tripid 238-21 --locoid 4043 --swversion DE.1.0.9.0 --startMP 204:232974 --initTime 2017-03-21T23:50:29 --startdatetime 2017-03-21T23:56:20 --delay 1 --endMP 204:236 --enddatetime 2017-03-22T00:35:17 --enforcementcount 0 &gt;&gt;C:\Users\stu\Documents\GitHub\eaglep3-reporting\EC\2017-03-21-refined-times.txt</v>
      </c>
      <c r="AI156" s="108" t="str">
        <f t="shared" si="62"/>
        <v>echo {"issue":{"subject":"","project_id":79,"tracker_id":40,"status_id":1,"priority_id":2,"assigned_to_id":23,"start_date":"2017-03-22","description":"","custom_fields":[{"id":1,"name":"Subdivision","value":"EC"},{"id":4,"name":"Milepost","value":"0.0236"},{"id":17,"name":"Train ID","value":"238-21"},{"id":16,"name":"Locomotive ID","value":"4043"},{"id":130,"name":"Impact","value":""},{"id":150,"name":"Time of Event (Mountain Time)","value":"00:35:17"},{"id":151,"name":"Denver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3"/>
        <v>start /low /b %USERPROFILE%\Documents\GitHub\eaglep3\Utilities\DownloadLogsFromS3.py --loco 4043 --day 2017-03-21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"%USERPROFILE%\AppData\Local\Temp\OnboardLogs"\RTDC4043\*4043*20170322* | grep -SE "(Enforcement Action)|(\[TIMEOUT)|(CHR.+\|PRM\|1\|D.+(SWITCH|SIGNAL).+UNKNOWN)" - &gt;&gt; 2017-03-21-UncaughtWiMAX.txt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816</v>
      </c>
      <c r="B157" s="7">
        <v>4016</v>
      </c>
      <c r="C157" s="21" t="s">
        <v>221</v>
      </c>
      <c r="D157" s="21" t="s">
        <v>869</v>
      </c>
      <c r="E157" s="13">
        <v>42815.976805555554</v>
      </c>
      <c r="F157" s="13">
        <v>42815.986504629633</v>
      </c>
      <c r="G157" s="7">
        <v>13</v>
      </c>
      <c r="H157" s="21" t="s">
        <v>835</v>
      </c>
      <c r="I157" s="13">
        <v>42816.010694444441</v>
      </c>
      <c r="J157" s="7">
        <v>0</v>
      </c>
      <c r="K157" s="98" t="str">
        <f t="shared" si="50"/>
        <v>4015/4016</v>
      </c>
      <c r="L157" s="21" t="str">
        <f>VLOOKUP(A157,'Trips&amp;Operators'!$C$1:$G$99999,5,FALSE)</f>
        <v>NEWELL JAMES</v>
      </c>
      <c r="M157" s="6">
        <f t="shared" si="51"/>
        <v>2.4189814808778465E-2</v>
      </c>
      <c r="N157" s="7"/>
      <c r="O157" s="7"/>
      <c r="P157" s="7">
        <f>24*60*SUM($M157:$M157)</f>
        <v>34.833333324640989</v>
      </c>
      <c r="Q157" s="22"/>
      <c r="R157" s="22" t="s">
        <v>532</v>
      </c>
      <c r="S157" s="31">
        <f t="shared" si="47"/>
        <v>1</v>
      </c>
      <c r="T157" s="46" t="str">
        <f t="shared" si="52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3"/>
        <v>https://d0f6bd738d7f1b3e5a7ca70fe4ff75f0.us-east-1.aws.found.io/app/kibana#/discover/Steve-Slow-Train-Analysis-(2080s-and-2083s)?_g=(refreshInterval:(display:Off,pause:!f,section:0,value:0),time:(from:'2017-03-21T22:26:36-0600',mode:absolute,to:'2017-03-22T01:15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187" t="str">
        <f t="shared" si="54"/>
        <v>Y</v>
      </c>
      <c r="X157" s="187">
        <f t="shared" si="55"/>
        <v>1</v>
      </c>
      <c r="Y157" s="62">
        <f t="shared" si="49"/>
        <v>1.9128000000000001</v>
      </c>
      <c r="Z157" s="62">
        <f t="shared" si="44"/>
        <v>23.328900000000001</v>
      </c>
      <c r="AA157" s="62">
        <f t="shared" si="56"/>
        <v>21.4161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7"/>
        <v>0239-21</v>
      </c>
      <c r="AE157" s="85" t="str">
        <f t="shared" si="58"/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AF157" s="82" t="str">
        <f t="shared" si="59"/>
        <v>"C:\Program Files (x86)\AstroGrep\AstroGrep.exe" /e /r /s /spath="%USERPROFILE%\AppData\Local\Temp\OnboardLogs" /stypes="app*4016*20170322*" /stext=" 06:.+((SYSTEM_STATE.+slice.+state.+changed )|(ment ac)|(multiple cpu faults)|(system.+state.+changed )|(\[timeout)|(PRM\|1\|D)|(kpr)|(kdp)|(\|lc)|(penalty))"</v>
      </c>
      <c r="AG157" s="1" t="str">
        <f t="shared" si="60"/>
        <v>EC</v>
      </c>
      <c r="AH157" s="86" t="str">
        <f t="shared" si="61"/>
        <v>"%USERPROFILE%\Documents\GitHub\eaglep3\Utilities\RefineRTDCRunTimes.py" --tripid 239-21 --locoid 4016 --swversion DE.1.0.9.0 --startMP 204:19128 --initTime 2017-03-21T23:26:36 --startdatetime 2017-03-21T23:40:34 --delay 13 --endMP 204:233289 --enddatetime 2017-03-22T00:15:24 --enforcementcount 0 &gt;&gt;C:\Users\stu\Documents\GitHub\eaglep3-reporting\EC\2017-03-21-refined-times.txt</v>
      </c>
      <c r="AI157" s="108" t="str">
        <f t="shared" si="62"/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failure","project_id":79,"tracker_id":40,"status_id":1,"priority_id":2,"assigned_to_id":23,"start_date":"2017-03-22","description":"","custom_fields":[{"id":1,"name":"Subdivision","value":"EC"},{"id":4,"name":"Milepost","value":"23.3289"},{"id":17,"name":"Train ID","value":"239-21"},{"id":16,"name":"Locomotive ID","value":"4016"},{"id":130,"name":"Impact","value":""},{"id":150,"name":"Time of Event (Mountain Time)","value":"00:15:24"},{"id":151,"name":"Denver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3"/>
        <v>start /low /b %USERPROFILE%\Documents\GitHub\eaglep3\Utilities\DownloadLogsFromS3.py --loco 4016 --day 2017-03-21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"%USERPROFILE%\AppData\Local\Temp\OnboardLogs"\RTDC4016\*4016*20170322* | grep -SE "(Enforcement Action)|(\[TIMEOUT)|(CHR.+\|PRM\|1\|D.+(SWITCH|SIGNAL).+UNKNOWN)" - &gt;&gt; 2017-03-21-UncaughtWiMAX.txt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639</v>
      </c>
      <c r="B158" s="7">
        <v>4015</v>
      </c>
      <c r="C158" s="21" t="s">
        <v>221</v>
      </c>
      <c r="D158" s="21" t="s">
        <v>570</v>
      </c>
      <c r="E158" s="13">
        <v>42816.013240740744</v>
      </c>
      <c r="F158" s="13">
        <v>42816.018252314818</v>
      </c>
      <c r="G158" s="7">
        <v>0</v>
      </c>
      <c r="H158" s="21" t="s">
        <v>507</v>
      </c>
      <c r="I158" s="13">
        <v>42816.044895833336</v>
      </c>
      <c r="J158" s="7">
        <v>0</v>
      </c>
      <c r="K158" s="98" t="str">
        <f t="shared" si="50"/>
        <v>4015/4016</v>
      </c>
      <c r="L158" s="21" t="str">
        <f>VLOOKUP(A158,'Trips&amp;Operators'!$C$1:$G$99999,5,FALSE)</f>
        <v>NEWELL JAMES</v>
      </c>
      <c r="M158" s="6">
        <f t="shared" si="51"/>
        <v>2.6643518518540077E-2</v>
      </c>
      <c r="N158" s="7">
        <f>24*60*SUM($M158:$M158)</f>
        <v>38.366666666697711</v>
      </c>
      <c r="O158" s="7"/>
      <c r="P158" s="7"/>
      <c r="Q158" s="22"/>
      <c r="R158" s="22"/>
      <c r="S158" s="31">
        <f t="shared" si="47"/>
        <v>1</v>
      </c>
      <c r="T158" s="46" t="str">
        <f t="shared" si="52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3"/>
        <v>https://d0f6bd738d7f1b3e5a7ca70fe4ff75f0.us-east-1.aws.found.io/app/kibana#/discover/Steve-Slow-Train-Analysis-(2080s-and-2083s)?_g=(refreshInterval:(display:Off,pause:!f,section:0,value:0),time:(from:'2017-03-21T23:19:04-0600',mode:absolute,to:'2017-03-22T02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87" t="str">
        <f t="shared" si="54"/>
        <v>N</v>
      </c>
      <c r="X158" s="187">
        <f t="shared" si="55"/>
        <v>1</v>
      </c>
      <c r="Y158" s="62">
        <f t="shared" si="49"/>
        <v>23.299399999999999</v>
      </c>
      <c r="Z158" s="62">
        <f t="shared" si="44"/>
        <v>1.61E-2</v>
      </c>
      <c r="AA158" s="62">
        <f t="shared" si="56"/>
        <v>23.283299999999997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7"/>
        <v>0240-21</v>
      </c>
      <c r="AE158" s="85" t="str">
        <f t="shared" si="58"/>
        <v>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 &amp; aws s3 cp s3://rtdc.mdm.uploadarchive.raw/RTDC4015/ "%USERPROFILE%\AppData\Local\Temp\OnboardLogs"\RTDC4015\2017-03-23 --exclude "*" --recursive --include "*20170323*" &amp; "%USERPROFILE%\Documents\GitHub\mrs-test-scripts\Headless Mode &amp; Sideloading\WalkAndUnGZ.bat" "%USERPROFILE%\AppData\Local\Temp\OnboardLogs"\RTDC4015\2017-03-23</v>
      </c>
      <c r="AF158" s="82" t="str">
        <f t="shared" si="59"/>
        <v>"C:\Program Files (x86)\AstroGrep\AstroGrep.exe" /e /r /s /spath="%USERPROFILE%\AppData\Local\Temp\OnboardLogs" /stypes="app*4015*20170322*" /stext=" 07:.+((SYSTEM_STATE.+slice.+state.+changed )|(ment ac)|(multiple cpu faults)|(system.+state.+changed )|(\[timeout)|(PRM\|1\|D)|(kpr)|(kdp)|(\|lc)|(penalty))"</v>
      </c>
      <c r="AG158" s="1" t="str">
        <f t="shared" si="60"/>
        <v>EC</v>
      </c>
      <c r="AH158" s="86" t="str">
        <f t="shared" si="61"/>
        <v>"%USERPROFILE%\Documents\GitHub\eaglep3\Utilities\RefineRTDCRunTimes.py" --tripid 240-21 --locoid 4015 --swversion DE.1.0.9.0 --startMP 204:232994 --initTime 2017-03-22T00:19:04 --startdatetime 2017-03-22T00:26:17 --delay 0 --endMP 204:161 --enddatetime 2017-03-22T01:04:39 --enforcementcount 0 &gt;&gt;C:\Users\stu\Documents\GitHub\eaglep3-reporting\EC\2017-03-21-refined-times.txt</v>
      </c>
      <c r="AI158" s="108" t="str">
        <f t="shared" si="62"/>
        <v>echo {"issue":{"subject":"","project_id":79,"tracker_id":40,"status_id":1,"priority_id":2,"assigned_to_id":23,"start_date":"2017-03-22","description":"","custom_fields":[{"id":1,"name":"Subdivision","value":"EC"},{"id":4,"name":"Milepost","value":"0.0161"},{"id":17,"name":"Train ID","value":"240-21"},{"id":16,"name":"Locomotive ID","value":"4015"},{"id":130,"name":"Impact","value":""},{"id":150,"name":"Time of Event (Mountain Time)","value":"01:04:39"},{"id":151,"name":"Denver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3"/>
        <v>start /low /b %USERPROFILE%\Documents\GitHub\eaglep3\Utilities\DownloadLogsFromS3.py --loco 4015 --day 2017-03-22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"%USERPROFILE%\AppData\Local\Temp\OnboardLogs"\RTDC4015\*4015*20170322* | grep -SE "(Enforcement Action)|(\[TIMEOUT)|(CHR.+\|PRM\|1\|D.+(SWITCH|SIGNAL).+UNKNOWN)" - &gt;&gt; 2017-03-21-UncaughtWiMAX.txt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817</v>
      </c>
      <c r="B159" s="7">
        <v>4031</v>
      </c>
      <c r="C159" s="21" t="s">
        <v>221</v>
      </c>
      <c r="D159" s="21" t="s">
        <v>939</v>
      </c>
      <c r="E159" s="13">
        <v>42815.991203703707</v>
      </c>
      <c r="F159" s="13">
        <v>42816.000277777777</v>
      </c>
      <c r="G159" s="7">
        <v>1</v>
      </c>
      <c r="H159" s="21" t="s">
        <v>222</v>
      </c>
      <c r="I159" s="13">
        <v>42816.025509259256</v>
      </c>
      <c r="J159" s="7">
        <v>0</v>
      </c>
      <c r="K159" s="98" t="str">
        <f t="shared" si="50"/>
        <v>4031/4032</v>
      </c>
      <c r="L159" s="21" t="str">
        <f>VLOOKUP(A159,'Trips&amp;Operators'!$C$1:$G$99999,5,FALSE)</f>
        <v>STORY SAMANTHA</v>
      </c>
      <c r="M159" s="6">
        <f t="shared" si="51"/>
        <v>2.5231481478840578E-2</v>
      </c>
      <c r="N159" s="7">
        <f>24*60*SUM($M159:$M159)</f>
        <v>36.333333329530433</v>
      </c>
      <c r="O159" s="7"/>
      <c r="P159" s="7"/>
      <c r="Q159" s="22"/>
      <c r="R159" s="22"/>
      <c r="S159" s="31">
        <f t="shared" si="47"/>
        <v>1</v>
      </c>
      <c r="T159" s="46" t="str">
        <f t="shared" si="52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3"/>
        <v>https://d0f6bd738d7f1b3e5a7ca70fe4ff75f0.us-east-1.aws.found.io/app/kibana#/discover/Steve-Slow-Train-Analysis-(2080s-and-2083s)?_g=(refreshInterval:(display:Off,pause:!f,section:0,value:0),time:(from:'2017-03-21T22:47:20-0600',mode:absolute,to:'2017-03-22T01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187" t="str">
        <f t="shared" si="54"/>
        <v>N</v>
      </c>
      <c r="X159" s="187">
        <f t="shared" si="55"/>
        <v>1</v>
      </c>
      <c r="Y159" s="62">
        <f t="shared" si="49"/>
        <v>4.8800000000000003E-2</v>
      </c>
      <c r="Z159" s="62">
        <f t="shared" si="44"/>
        <v>23.329699999999999</v>
      </c>
      <c r="AA159" s="62">
        <f t="shared" si="56"/>
        <v>23.280899999999999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7"/>
        <v>0241-21</v>
      </c>
      <c r="AE159" s="85" t="str">
        <f t="shared" si="58"/>
        <v>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 &amp; aws s3 cp s3://rtdc.mdm.uploadarchive.raw/RTDC4031/ "%USERPROFILE%\AppData\Local\Temp\OnboardLogs"\RTDC4031\2017-03-23 --exclude "*" --recursive --include "*20170323*" &amp; "%USERPROFILE%\Documents\GitHub\mrs-test-scripts\Headless Mode &amp; Sideloading\WalkAndUnGZ.bat" "%USERPROFILE%\AppData\Local\Temp\OnboardLogs"\RTDC4031\2017-03-23</v>
      </c>
      <c r="AF159" s="82" t="str">
        <f t="shared" si="59"/>
        <v>"C:\Program Files (x86)\AstroGrep\AstroGrep.exe" /e /r /s /spath="%USERPROFILE%\AppData\Local\Temp\OnboardLogs" /stypes="app*4031*20170322*" /stext=" 06:.+((SYSTEM_STATE.+slice.+state.+changed )|(ment ac)|(multiple cpu faults)|(system.+state.+changed )|(\[timeout)|(PRM\|1\|D)|(kpr)|(kdp)|(\|lc)|(penalty))"</v>
      </c>
      <c r="AG159" s="1" t="str">
        <f t="shared" si="60"/>
        <v>EC</v>
      </c>
      <c r="AH159" s="86" t="str">
        <f t="shared" si="61"/>
        <v>"%USERPROFILE%\Documents\GitHub\eaglep3\Utilities\RefineRTDCRunTimes.py" --tripid 241-21 --locoid 4031 --swversion DE.1.0.9.0 --startMP 204:488 --initTime 2017-03-21T23:47:20 --startdatetime 2017-03-22T00:00:24 --delay 1 --endMP 204:233297 --enddatetime 2017-03-22T00:36:44 --enforcementcount 0 &gt;&gt;C:\Users\stu\Documents\GitHub\eaglep3-reporting\EC\2017-03-21-refined-times.txt</v>
      </c>
      <c r="AI159" s="108" t="str">
        <f t="shared" si="62"/>
        <v>echo {"issue":{"subject":"","project_id":79,"tracker_id":40,"status_id":1,"priority_id":2,"assigned_to_id":23,"start_date":"2017-03-22","description":"","custom_fields":[{"id":1,"name":"Subdivision","value":"EC"},{"id":4,"name":"Milepost","value":"23.3297"},{"id":17,"name":"Train ID","value":"241-21"},{"id":16,"name":"Locomotive ID","value":"4031"},{"id":130,"name":"Impact","value":""},{"id":150,"name":"Time of Event (Mountain Time)","value":"00:36:44"},{"id":151,"name":"Denver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3"/>
        <v>start /low /b %USERPROFILE%\Documents\GitHub\eaglep3\Utilities\DownloadLogsFromS3.py --loco 4031 --day 2017-03-22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"%USERPROFILE%\AppData\Local\Temp\OnboardLogs"\RTDC4031\*4031*20170322* | grep -SE "(Enforcement Action)|(\[TIMEOUT)|(CHR.+\|PRM\|1\|D.+(SWITCH|SIGNAL).+UNKNOWN)" - &gt;&gt; 2017-03-21-UncaughtWiMAX.txt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820</v>
      </c>
      <c r="B160" s="7">
        <v>4032</v>
      </c>
      <c r="C160" s="21" t="s">
        <v>221</v>
      </c>
      <c r="D160" s="21" t="s">
        <v>940</v>
      </c>
      <c r="E160" s="13">
        <v>42816.047083333331</v>
      </c>
      <c r="F160" s="13">
        <v>42816.073414351849</v>
      </c>
      <c r="G160" s="7">
        <v>0</v>
      </c>
      <c r="H160" s="21" t="s">
        <v>433</v>
      </c>
      <c r="I160" s="13">
        <v>42816.082766203705</v>
      </c>
      <c r="J160" s="7">
        <v>0</v>
      </c>
      <c r="K160" s="98" t="str">
        <f t="shared" si="50"/>
        <v>4031/4032</v>
      </c>
      <c r="L160" s="21" t="str">
        <f>VLOOKUP(A160,'Trips&amp;Operators'!$C$1:$G$99999,5,FALSE)</f>
        <v>STORY SAMANTHA</v>
      </c>
      <c r="M160" s="6">
        <f t="shared" si="51"/>
        <v>9.3518518551718444E-3</v>
      </c>
      <c r="N160" s="7"/>
      <c r="O160" s="7"/>
      <c r="P160" s="7">
        <f>24*60*SUM($M160:$M160)</f>
        <v>13.466666671447456</v>
      </c>
      <c r="Q160" s="22"/>
      <c r="R160" s="22" t="s">
        <v>532</v>
      </c>
      <c r="S160" s="31">
        <f t="shared" si="47"/>
        <v>1</v>
      </c>
      <c r="T160" s="46" t="str">
        <f t="shared" si="52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 t="shared" si="53"/>
        <v>https://d0f6bd738d7f1b3e5a7ca70fe4ff75f0.us-east-1.aws.found.io/app/kibana#/discover/Steve-Slow-Train-Analysis-(2080s-and-2083s)?_g=(refreshInterval:(display:Off,pause:!f,section:0,value:0),time:(from:'2017-03-22T00:07:48-0600',mode:absolute,to:'2017-03-22T02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187" t="str">
        <f t="shared" si="54"/>
        <v>Y</v>
      </c>
      <c r="X160" s="187">
        <f t="shared" si="55"/>
        <v>1</v>
      </c>
      <c r="Y160" s="62">
        <f t="shared" si="49"/>
        <v>15.401199999999999</v>
      </c>
      <c r="Z160" s="62">
        <f t="shared" si="44"/>
        <v>1.6E-2</v>
      </c>
      <c r="AA160" s="62">
        <f t="shared" si="56"/>
        <v>15.385199999999999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7"/>
        <v>0242-21</v>
      </c>
      <c r="AE160" s="85" t="str">
        <f t="shared" si="58"/>
        <v>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 &amp; aws s3 cp s3://rtdc.mdm.uploadarchive.raw/RTDC4032/ "%USERPROFILE%\AppData\Local\Temp\OnboardLogs"\RTDC4032\2017-03-23 --exclude "*" --recursive --include "*20170323*" &amp; "%USERPROFILE%\Documents\GitHub\mrs-test-scripts\Headless Mode &amp; Sideloading\WalkAndUnGZ.bat" "%USERPROFILE%\AppData\Local\Temp\OnboardLogs"\RTDC4032\2017-03-23</v>
      </c>
      <c r="AF160" s="82" t="str">
        <f t="shared" si="59"/>
        <v>"C:\Program Files (x86)\AstroGrep\AstroGrep.exe" /e /r /s /spath="%USERPROFILE%\AppData\Local\Temp\OnboardLogs" /stypes="app*4032*20170322*" /stext=" 07:.+((SYSTEM_STATE.+slice.+state.+changed )|(ment ac)|(multiple cpu faults)|(system.+state.+changed )|(\[timeout)|(PRM\|1\|D)|(kpr)|(kdp)|(\|lc)|(penalty))"</v>
      </c>
      <c r="AG160" s="1" t="str">
        <f t="shared" si="60"/>
        <v>EC</v>
      </c>
      <c r="AH160" s="86" t="str">
        <f t="shared" si="61"/>
        <v>"%USERPROFILE%\Documents\GitHub\eaglep3\Utilities\RefineRTDCRunTimes.py" --tripid 242-21 --locoid 4032 --swversion DE.1.0.9.0 --startMP 204:154012 --initTime 2017-03-22T01:07:48 --startdatetime 2017-03-22T01:45:43 --delay 0 --endMP 204:160 --enddatetime 2017-03-22T01:59:11 --enforcementcount 0 &gt;&gt;C:\Users\stu\Documents\GitHub\eaglep3-reporting\EC\2017-03-21-refined-times.txt</v>
      </c>
      <c r="AI160" s="108" t="str">
        <f t="shared" si="62"/>
        <v>echo {"issue":{"subject":"Onboard in-route failure","project_id":79,"tracker_id":40,"status_id":1,"priority_id":2,"assigned_to_id":23,"start_date":"2017-03-22","description":"","custom_fields":[{"id":1,"name":"Subdivision","value":"EC"},{"id":4,"name":"Milepost","value":"0.016"},{"id":17,"name":"Train ID","value":"242-21"},{"id":16,"name":"Locomotive ID","value":"4032"},{"id":130,"name":"Impact","value":""},{"id":150,"name":"Time of Event (Mountain Time)","value":"01:59:11"},{"id":151,"name":"Denver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3"/>
        <v>start /low /b %USERPROFILE%\Documents\GitHub\eaglep3\Utilities\DownloadLogsFromS3.py --loco 4032 --day 2017-03-22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"%USERPROFILE%\AppData\Local\Temp\OnboardLogs"\RTDC4032\*4032*20170322* | grep -SE "(Enforcement Action)|(\[TIMEOUT)|(CHR.+\|PRM\|1\|D.+(SWITCH|SIGNAL).+UNKNOWN)" - &gt;&gt; 2017-03-21-UncaughtWiMAX.txt</v>
      </c>
    </row>
    <row r="161" spans="1:91" s="20" customFormat="1" x14ac:dyDescent="0.25">
      <c r="A161" s="33" t="s">
        <v>820</v>
      </c>
      <c r="B161" s="7">
        <v>4032</v>
      </c>
      <c r="C161" s="21" t="s">
        <v>221</v>
      </c>
      <c r="D161" s="21" t="s">
        <v>563</v>
      </c>
      <c r="E161" s="13">
        <v>42816.028553240743</v>
      </c>
      <c r="F161" s="13">
        <v>42816.047974537039</v>
      </c>
      <c r="G161" s="7">
        <v>6</v>
      </c>
      <c r="H161" s="21" t="s">
        <v>485</v>
      </c>
      <c r="I161" s="13">
        <v>42816.069131944445</v>
      </c>
      <c r="J161" s="7">
        <v>0</v>
      </c>
      <c r="K161" s="98" t="str">
        <f t="shared" si="50"/>
        <v>4031/4032</v>
      </c>
      <c r="L161" s="21" t="str">
        <f>VLOOKUP(A161,'Trips&amp;Operators'!$C$1:$G$99999,5,FALSE)</f>
        <v>STORY SAMANTHA</v>
      </c>
      <c r="M161" s="6">
        <f t="shared" si="51"/>
        <v>2.1157407405553386E-2</v>
      </c>
      <c r="N161" s="7"/>
      <c r="O161" s="7"/>
      <c r="P161" s="7"/>
      <c r="Q161" s="22"/>
      <c r="R161" s="22"/>
      <c r="S161" s="31"/>
      <c r="T161" s="46" t="str">
        <f t="shared" si="52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86" t="str">
        <f t="shared" si="53"/>
        <v>https://d0f6bd738d7f1b3e5a7ca70fe4ff75f0.us-east-1.aws.found.io/app/kibana#/discover/Steve-Slow-Train-Analysis-(2080s-and-2083s)?_g=(refreshInterval:(display:Off,pause:!f,section:0,value:0),time:(from:'2017-03-21T23:41:07-0600',mode:absolute,to:'2017-03-22T02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7" t="str">
        <f t="shared" si="54"/>
        <v>Y</v>
      </c>
      <c r="X161" s="187">
        <f t="shared" si="55"/>
        <v>0</v>
      </c>
      <c r="Y161" s="62">
        <f t="shared" si="49"/>
        <v>23.297899999999998</v>
      </c>
      <c r="Z161" s="62">
        <f t="shared" si="44"/>
        <v>23.298300000000001</v>
      </c>
      <c r="AA161" s="62">
        <f t="shared" si="56"/>
        <v>4.0000000000262048E-4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7"/>
        <v>0242-21</v>
      </c>
      <c r="AE161" s="85" t="str">
        <f t="shared" si="58"/>
        <v>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 &amp; aws s3 cp s3://rtdc.mdm.uploadarchive.raw/RTDC4032/ "%USERPROFILE%\AppData\Local\Temp\OnboardLogs"\RTDC4032\2017-03-23 --exclude "*" --recursive --include "*20170323*" &amp; "%USERPROFILE%\Documents\GitHub\mrs-test-scripts\Headless Mode &amp; Sideloading\WalkAndUnGZ.bat" "%USERPROFILE%\AppData\Local\Temp\OnboardLogs"\RTDC4032\2017-03-23</v>
      </c>
      <c r="AF161" s="82" t="str">
        <f t="shared" si="59"/>
        <v>"C:\Program Files (x86)\AstroGrep\AstroGrep.exe" /e /r /s /spath="%USERPROFILE%\AppData\Local\Temp\OnboardLogs" /stypes="app*4032*20170322*" /stext=" 07:.+((SYSTEM_STATE.+slice.+state.+changed )|(ment ac)|(multiple cpu faults)|(system.+state.+changed )|(\[timeout)|(PRM\|1\|D)|(kpr)|(kdp)|(\|lc)|(penalty))"</v>
      </c>
      <c r="AG161" s="1" t="str">
        <f t="shared" si="60"/>
        <v>EC</v>
      </c>
      <c r="AH161" s="86" t="str">
        <f t="shared" si="61"/>
        <v>"%USERPROFILE%\Documents\GitHub\eaglep3\Utilities\RefineRTDCRunTimes.py" --tripid 242-21 --locoid 4032 --swversion DE.1.0.9.0 --startMP 204:232979 --initTime 2017-03-22T00:41:07 --startdatetime 2017-03-22T01:09:05 --delay 6 --endMP 204:232983 --enddatetime 2017-03-22T01:39:33 --enforcementcount 0 &gt;&gt;C:\Users\stu\Documents\GitHub\eaglep3-reporting\EC\2017-03-21-refined-times.txt</v>
      </c>
      <c r="AI161" s="108" t="str">
        <f t="shared" si="62"/>
        <v>echo {"issue":{"subject":"","project_id":79,"tracker_id":40,"status_id":1,"priority_id":2,"assigned_to_id":23,"start_date":"2017-03-22","description":"","custom_fields":[{"id":1,"name":"Subdivision","value":"EC"},{"id":4,"name":"Milepost","value":"23.2983"},{"id":17,"name":"Train ID","value":"242-21"},{"id":16,"name":"Locomotive ID","value":"4032"},{"id":130,"name":"Impact","value":""},{"id":150,"name":"Time of Event (Mountain Time)","value":"01:39:33"},{"id":151,"name":"Denver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3"/>
        <v>start /low /b %USERPROFILE%\Documents\GitHub\eaglep3\Utilities\DownloadLogsFromS3.py --loco 4032 --day 2017-03-22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"%USERPROFILE%\AppData\Local\Temp\OnboardLogs"\RTDC4032\*4032*20170322* | grep -SE "(Enforcement Action)|(\[TIMEOUT)|(CHR.+\|PRM\|1\|D.+(SWITCH|SIGNAL).+UNKNOWN)" - &gt;&gt; 2017-03-21-UncaughtWiMAX.txt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819</v>
      </c>
      <c r="B162" s="7">
        <v>4014</v>
      </c>
      <c r="C162" s="21" t="s">
        <v>221</v>
      </c>
      <c r="D162" s="21" t="s">
        <v>224</v>
      </c>
      <c r="E162" s="13">
        <v>42816.004976851851</v>
      </c>
      <c r="F162" s="13">
        <v>42816.021053240744</v>
      </c>
      <c r="G162" s="7">
        <v>1</v>
      </c>
      <c r="H162" s="21" t="s">
        <v>576</v>
      </c>
      <c r="I162" s="13">
        <v>42816.045694444445</v>
      </c>
      <c r="J162" s="7">
        <v>0</v>
      </c>
      <c r="K162" s="98" t="str">
        <f t="shared" si="50"/>
        <v>4013/4014</v>
      </c>
      <c r="L162" s="21" t="str">
        <f>VLOOKUP(A162,'Trips&amp;Operators'!$C$1:$G$99999,5,FALSE)</f>
        <v>STAMBAUGH JAMES</v>
      </c>
      <c r="M162" s="6">
        <f t="shared" si="51"/>
        <v>2.4641203701321501E-2</v>
      </c>
      <c r="N162" s="7">
        <f t="shared" ref="N162:N204" si="64">24*60*SUM($M162:$M162)</f>
        <v>35.483333329902962</v>
      </c>
      <c r="O162" s="7"/>
      <c r="P162" s="7"/>
      <c r="Q162" s="22"/>
      <c r="R162" s="22"/>
      <c r="S162" s="31">
        <f t="shared" ref="S162:S204" si="65">SUM(U162:U162)/IF(AG162="EC",12,1)</f>
        <v>1</v>
      </c>
      <c r="T162" s="46" t="str">
        <f t="shared" si="52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86" t="str">
        <f t="shared" si="53"/>
        <v>https://d0f6bd738d7f1b3e5a7ca70fe4ff75f0.us-east-1.aws.found.io/app/kibana#/discover/Steve-Slow-Train-Analysis-(2080s-and-2083s)?_g=(refreshInterval:(display:Off,pause:!f,section:0,value:0),time:(from:'2017-03-21T23:07:10-0600',mode:absolute,to:'2017-03-22T02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187" t="str">
        <f t="shared" si="54"/>
        <v>N</v>
      </c>
      <c r="X162" s="187">
        <f t="shared" si="55"/>
        <v>1</v>
      </c>
      <c r="Y162" s="62">
        <f t="shared" si="49"/>
        <v>4.6699999999999998E-2</v>
      </c>
      <c r="Z162" s="62">
        <f t="shared" si="44"/>
        <v>23.335100000000001</v>
      </c>
      <c r="AA162" s="62">
        <f t="shared" si="56"/>
        <v>23.288399999999999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7"/>
        <v>0243-21</v>
      </c>
      <c r="AE162" s="85" t="str">
        <f t="shared" si="58"/>
        <v>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 &amp; 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</v>
      </c>
      <c r="AF162" s="82" t="str">
        <f t="shared" si="59"/>
        <v>"C:\Program Files (x86)\AstroGrep\AstroGrep.exe" /e /r /s /spath="%USERPROFILE%\AppData\Local\Temp\OnboardLogs" /stypes="app*4014*20170322*" /stext=" 07:.+((SYSTEM_STATE.+slice.+state.+changed )|(ment ac)|(multiple cpu faults)|(system.+state.+changed )|(\[timeout)|(PRM\|1\|D)|(kpr)|(kdp)|(\|lc)|(penalty))"</v>
      </c>
      <c r="AG162" s="1" t="str">
        <f t="shared" si="60"/>
        <v>EC</v>
      </c>
      <c r="AH162" s="86" t="str">
        <f t="shared" si="61"/>
        <v>"%USERPROFILE%\Documents\GitHub\eaglep3\Utilities\RefineRTDCRunTimes.py" --tripid 243-21 --locoid 4014 --swversion DE.1.0.9.0 --startMP 204:467 --initTime 2017-03-22T00:07:10 --startdatetime 2017-03-22T00:30:19 --delay 1 --endMP 204:233351 --enddatetime 2017-03-22T01:05:48 --enforcementcount 0 &gt;&gt;C:\Users\stu\Documents\GitHub\eaglep3-reporting\EC\2017-03-21-refined-times.txt</v>
      </c>
      <c r="AI162" s="108" t="str">
        <f t="shared" si="62"/>
        <v>echo {"issue":{"subject":"","project_id":79,"tracker_id":40,"status_id":1,"priority_id":2,"assigned_to_id":23,"start_date":"2017-03-22","description":"","custom_fields":[{"id":1,"name":"Subdivision","value":"EC"},{"id":4,"name":"Milepost","value":"23.3351"},{"id":17,"name":"Train ID","value":"243-21"},{"id":16,"name":"Locomotive ID","value":"4014"},{"id":130,"name":"Impact","value":""},{"id":150,"name":"Time of Event (Mountain Time)","value":"01:05:48"},{"id":151,"name":"Denver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3"/>
        <v>start /low /b %USERPROFILE%\Documents\GitHub\eaglep3\Utilities\DownloadLogsFromS3.py --loco 4014 --day 2017-03-22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"%USERPROFILE%\AppData\Local\Temp\OnboardLogs"\RTDC4014\*4014*20170322* | grep -SE "(Enforcement Action)|(\[TIMEOUT)|(CHR.+\|PRM\|1\|D.+(SWITCH|SIGNAL).+UNKNOWN)" - &gt;&gt; 2017-03-21-UncaughtWiMAX.txt</v>
      </c>
    </row>
    <row r="163" spans="1:91" x14ac:dyDescent="0.25">
      <c r="A163" s="33" t="s">
        <v>823</v>
      </c>
      <c r="B163" s="7">
        <v>4013</v>
      </c>
      <c r="C163" s="21" t="s">
        <v>221</v>
      </c>
      <c r="D163" s="21" t="s">
        <v>911</v>
      </c>
      <c r="E163" s="13">
        <v>42816.057870370372</v>
      </c>
      <c r="F163" s="13">
        <v>42816.060034722221</v>
      </c>
      <c r="G163" s="7">
        <v>1</v>
      </c>
      <c r="H163" s="21" t="s">
        <v>520</v>
      </c>
      <c r="I163" s="13">
        <v>42816.085949074077</v>
      </c>
      <c r="J163" s="7">
        <v>0</v>
      </c>
      <c r="K163" s="98" t="str">
        <f t="shared" si="50"/>
        <v>4013/4014</v>
      </c>
      <c r="L163" s="21" t="str">
        <f>VLOOKUP(A163,'Trips&amp;Operators'!$C$1:$G$99999,5,FALSE)</f>
        <v>STAMBAUGH JAMES</v>
      </c>
      <c r="M163" s="6">
        <f t="shared" si="51"/>
        <v>2.5914351856044959E-2</v>
      </c>
      <c r="N163" s="7">
        <f t="shared" si="64"/>
        <v>37.316666672704741</v>
      </c>
      <c r="O163" s="7"/>
      <c r="P163" s="7"/>
      <c r="Q163" s="22"/>
      <c r="R163" s="22"/>
      <c r="S163" s="31">
        <f t="shared" si="65"/>
        <v>1</v>
      </c>
      <c r="T163" s="46" t="str">
        <f t="shared" si="52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86" t="str">
        <f t="shared" si="53"/>
        <v>https://d0f6bd738d7f1b3e5a7ca70fe4ff75f0.us-east-1.aws.found.io/app/kibana#/discover/Steve-Slow-Train-Analysis-(2080s-and-2083s)?_g=(refreshInterval:(display:Off,pause:!f,section:0,value:0),time:(from:'2017-03-22T00:23:20-0600',mode:absolute,to:'2017-03-22T03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187" t="str">
        <f t="shared" si="54"/>
        <v>N</v>
      </c>
      <c r="X163" s="187">
        <f t="shared" si="55"/>
        <v>1</v>
      </c>
      <c r="Y163" s="62">
        <f t="shared" si="49"/>
        <v>23.303799999999999</v>
      </c>
      <c r="Z163" s="62">
        <f t="shared" ref="Z163:Z226" si="66">RIGHT(H163,LEN(H163)-4)/10000</f>
        <v>1.67E-2</v>
      </c>
      <c r="AA163" s="62">
        <f t="shared" si="56"/>
        <v>23.287099999999999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7"/>
        <v>0244-21</v>
      </c>
      <c r="AE163" s="85" t="str">
        <f t="shared" si="58"/>
        <v>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 &amp; 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</v>
      </c>
      <c r="AF163" s="82" t="str">
        <f t="shared" si="59"/>
        <v>"C:\Program Files (x86)\AstroGrep\AstroGrep.exe" /e /r /s /spath="%USERPROFILE%\AppData\Local\Temp\OnboardLogs" /stypes="app*4013*20170322*" /stext=" 08:.+((SYSTEM_STATE.+slice.+state.+changed )|(ment ac)|(multiple cpu faults)|(system.+state.+changed )|(\[timeout)|(PRM\|1\|D)|(kpr)|(kdp)|(\|lc)|(penalty))"</v>
      </c>
      <c r="AG163" s="1" t="str">
        <f t="shared" si="60"/>
        <v>EC</v>
      </c>
      <c r="AH163" s="86" t="str">
        <f t="shared" si="61"/>
        <v>"%USERPROFILE%\Documents\GitHub\eaglep3\Utilities\RefineRTDCRunTimes.py" --tripid 244-21 --locoid 4013 --swversion DE.1.0.9.0 --startMP 204:233038 --initTime 2017-03-22T01:23:20 --startdatetime 2017-03-22T01:26:27 --delay 1 --endMP 204:167 --enddatetime 2017-03-22T02:03:46 --enforcementcount 0 &gt;&gt;C:\Users\stu\Documents\GitHub\eaglep3-reporting\EC\2017-03-21-refined-times.txt</v>
      </c>
      <c r="AI163" s="108" t="str">
        <f t="shared" si="62"/>
        <v>echo {"issue":{"subject":"","project_id":79,"tracker_id":40,"status_id":1,"priority_id":2,"assigned_to_id":23,"start_date":"2017-03-22","description":"","custom_fields":[{"id":1,"name":"Subdivision","value":"EC"},{"id":4,"name":"Milepost","value":"0.0167"},{"id":17,"name":"Train ID","value":"244-21"},{"id":16,"name":"Locomotive ID","value":"4013"},{"id":130,"name":"Impact","value":""},{"id":150,"name":"Time of Event (Mountain Time)","value":"02:03:46"},{"id":151,"name":"Denver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3"/>
        <v>start /low /b %USERPROFILE%\Documents\GitHub\eaglep3\Utilities\DownloadLogsFromS3.py --loco 4013 --day 2017-03-22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"%USERPROFILE%\AppData\Local\Temp\OnboardLogs"\RTDC4013\*4013*20170322* | grep -SE "(Enforcement Action)|(\[TIMEOUT)|(CHR.+\|PRM\|1\|D.+(SWITCH|SIGNAL).+UNKNOWN)" - &gt;&gt; 2017-03-21-UncaughtWiMAX.txt</v>
      </c>
    </row>
    <row r="164" spans="1:91" x14ac:dyDescent="0.25">
      <c r="A164" s="33" t="s">
        <v>658</v>
      </c>
      <c r="B164" s="7">
        <v>4010</v>
      </c>
      <c r="C164" s="21" t="s">
        <v>221</v>
      </c>
      <c r="D164" s="21" t="s">
        <v>517</v>
      </c>
      <c r="E164" s="13">
        <v>42815.21</v>
      </c>
      <c r="F164" s="13">
        <v>42815.216446759259</v>
      </c>
      <c r="G164" s="7">
        <v>1</v>
      </c>
      <c r="H164" s="21" t="s">
        <v>965</v>
      </c>
      <c r="I164" s="13">
        <v>42815.226157407407</v>
      </c>
      <c r="J164" s="7">
        <v>0</v>
      </c>
      <c r="K164" s="98" t="str">
        <f t="shared" si="50"/>
        <v>4009/4010</v>
      </c>
      <c r="L164" s="21" t="str">
        <f>VLOOKUP(A164,'Trips&amp;Operators'!$C$1:$G$99999,5,FALSE)</f>
        <v>YORK EDGAR</v>
      </c>
      <c r="M164" s="6">
        <f t="shared" si="51"/>
        <v>9.710648148029577E-3</v>
      </c>
      <c r="N164" s="7">
        <f t="shared" si="64"/>
        <v>13.983333333162591</v>
      </c>
      <c r="O164" s="7"/>
      <c r="P164" s="7"/>
      <c r="Q164" s="22"/>
      <c r="R164" s="22"/>
      <c r="S164" s="31">
        <f t="shared" si="65"/>
        <v>1</v>
      </c>
      <c r="T164" s="46" t="str">
        <f t="shared" si="52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3"/>
        <v>https://d0f6bd738d7f1b3e5a7ca70fe4ff75f0.us-east-1.aws.found.io/app/kibana#/discover/Steve-Slow-Train-Analysis-(2080s-and-2083s)?_g=(refreshInterval:(display:Off,pause:!f,section:0,value:0),time:(from:'2017-03-21T04:02:24-0600',mode:absolute,to:'2017-03-21T06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4" s="187" t="str">
        <f t="shared" si="54"/>
        <v>N</v>
      </c>
      <c r="X164" s="187">
        <f t="shared" si="55"/>
        <v>556</v>
      </c>
      <c r="Y164" s="62">
        <f t="shared" si="49"/>
        <v>5.8624000000000001</v>
      </c>
      <c r="Z164" s="62">
        <f t="shared" si="66"/>
        <v>7.2900000000000006E-2</v>
      </c>
      <c r="AA164" s="62">
        <f t="shared" si="56"/>
        <v>5.7895000000000003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7"/>
        <v>0800-21</v>
      </c>
      <c r="AE164" s="85" t="str">
        <f t="shared" si="58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164" s="82" t="str">
        <f t="shared" si="59"/>
        <v>"C:\Program Files (x86)\AstroGrep\AstroGrep.exe" /e /r /s /spath="%USERPROFILE%\AppData\Local\Temp\OnboardLogs" /stypes="app*4010*20170321*" /stext=" 11:.+((SYSTEM_STATE.+slice.+state.+changed )|(ment ac)|(multiple cpu faults)|(system.+state.+changed )|(\[timeout)|(PRM\|1\|D)|(kpr)|(kdp)|(\|lc)|(penalty))"</v>
      </c>
      <c r="AG164" s="1" t="str">
        <f t="shared" si="60"/>
        <v>NW</v>
      </c>
      <c r="AH164" s="86" t="str">
        <f t="shared" si="61"/>
        <v>"%USERPROFILE%\Documents\GitHub\eaglep3\Utilities\RefineRTDCRunTimes.py" --tripid 800-21 --locoid 4010 --swversion DE.1.0.9.0 --startMP 300:58624 --initTime 2017-03-21T05:02:24 --startdatetime 2017-03-21T05:11:41 --delay 1 --endMP 204:729 --enddatetime 2017-03-21T05:25:40 --enforcementcount 0 &gt;&gt;C:\Users\stu\Documents\GitHub\eaglep3-reporting\EC\2017-03-21-refined-times.txt</v>
      </c>
      <c r="AI164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{"issue":{"subject":"","project_id":79,"tracker_id":40,"status_id":1,"priority_id":2,"assigned_to_id":23,"start_date":"2017-03-21","description":"","custom_fields":[{"id":1,"name":"Subdivision","value":"NW"},{"id":4,"name":"Milepost","value":"0.0729"},{"id":17,"name":"Train ID","value":"800-21"},{"id":16,"name":"Locomotive ID","value":"4010"},{"id":130,"name":"Impact","value":""},{"id":150,"name":"Time of Event (Mountain Time)","value":"05:25:40"},{"id":151,"name":"Denver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3"/>
        <v>start /low /b %USERPROFILE%\Documents\GitHub\eaglep3\Utilities\DownloadLogsFromS3.py --loco 4010 --day 2017-03-21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"%USERPROFILE%\AppData\Local\Temp\OnboardLogs"\RTDC4010\*4010*20170321* | grep -SE "(Enforcement Action)|(\[TIMEOUT)|(CHR.+\|PRM\|1\|D.+(SWITCH|SIGNAL).+UNKNOWN)" - &gt;&gt; 2017-03-21-UncaughtWiMAX.txt</v>
      </c>
    </row>
    <row r="165" spans="1:91" x14ac:dyDescent="0.25">
      <c r="A165" s="33" t="s">
        <v>662</v>
      </c>
      <c r="B165" s="7">
        <v>4009</v>
      </c>
      <c r="C165" s="21" t="s">
        <v>221</v>
      </c>
      <c r="D165" s="21" t="s">
        <v>586</v>
      </c>
      <c r="E165" s="13">
        <v>42815.226967592593</v>
      </c>
      <c r="F165" s="13">
        <v>42815.243923611109</v>
      </c>
      <c r="G165" s="7">
        <v>0</v>
      </c>
      <c r="H165" s="21" t="s">
        <v>482</v>
      </c>
      <c r="I165" s="13">
        <v>42815.252604166664</v>
      </c>
      <c r="J165" s="7">
        <v>0</v>
      </c>
      <c r="K165" s="98" t="str">
        <f t="shared" si="50"/>
        <v>4009/4010</v>
      </c>
      <c r="L165" s="21" t="str">
        <f>VLOOKUP(A165,'Trips&amp;Operators'!$C$1:$G$99999,5,FALSE)</f>
        <v>YORK EDGAR</v>
      </c>
      <c r="M165" s="6">
        <f t="shared" si="51"/>
        <v>8.6805555547471158E-3</v>
      </c>
      <c r="N165" s="7">
        <f t="shared" si="64"/>
        <v>12.499999998835847</v>
      </c>
      <c r="O165" s="7"/>
      <c r="P165" s="7"/>
      <c r="Q165" s="22"/>
      <c r="R165" s="22"/>
      <c r="S165" s="31">
        <f t="shared" si="65"/>
        <v>1</v>
      </c>
      <c r="T165" s="46" t="str">
        <f t="shared" si="52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3"/>
        <v>https://d0f6bd738d7f1b3e5a7ca70fe4ff75f0.us-east-1.aws.found.io/app/kibana#/discover/Steve-Slow-Train-Analysis-(2080s-and-2083s)?_g=(refreshInterval:(display:Off,pause:!f,section:0,value:0),time:(from:'2017-03-21T04:26:50-0600',mode:absolute,to:'2017-03-21T07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5" s="187" t="str">
        <f t="shared" si="54"/>
        <v>N</v>
      </c>
      <c r="X165" s="187">
        <f t="shared" si="55"/>
        <v>1</v>
      </c>
      <c r="Y165" s="62">
        <f t="shared" si="49"/>
        <v>0.10249999999999999</v>
      </c>
      <c r="Z165" s="62">
        <f t="shared" si="66"/>
        <v>5.8929</v>
      </c>
      <c r="AA165" s="62">
        <f t="shared" si="56"/>
        <v>5.7904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7"/>
        <v>0801-21</v>
      </c>
      <c r="AE165" s="85" t="str">
        <f t="shared" si="58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165" s="82" t="str">
        <f t="shared" si="59"/>
        <v>"C:\Program Files (x86)\AstroGrep\AstroGrep.exe" /e /r /s /spath="%USERPROFILE%\AppData\Local\Temp\OnboardLogs" /stypes="app*4009*20170321*" /stext=" 12:.+((SYSTEM_STATE.+slice.+state.+changed )|(ment ac)|(multiple cpu faults)|(system.+state.+changed )|(\[timeout)|(PRM\|1\|D)|(kpr)|(kdp)|(\|lc)|(penalty))"</v>
      </c>
      <c r="AG165" s="1" t="str">
        <f t="shared" si="60"/>
        <v>NW</v>
      </c>
      <c r="AH165" s="86" t="str">
        <f t="shared" si="61"/>
        <v>"%USERPROFILE%\Documents\GitHub\eaglep3\Utilities\RefineRTDCRunTimes.py" --tripid 801-21 --locoid 4009 --swversion DE.1.0.9.0 --startMP 204:1025 --initTime 2017-03-21T05:26:50 --startdatetime 2017-03-21T05:51:15 --delay 0 --endMP 300:58929 --enddatetime 2017-03-21T06:03:45 --enforcementcount 0 &gt;&gt;C:\Users\stu\Documents\GitHub\eaglep3-reporting\EC\2017-03-21-refined-times.txt</v>
      </c>
      <c r="AI165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{"issue":{"subject":"","project_id":79,"tracker_id":40,"status_id":1,"priority_id":2,"assigned_to_id":23,"start_date":"2017-03-21","description":"","custom_fields":[{"id":1,"name":"Subdivision","value":"NW"},{"id":4,"name":"Milepost","value":"5.8929"},{"id":17,"name":"Train ID","value":"801-21"},{"id":16,"name":"Locomotive ID","value":"4009"},{"id":130,"name":"Impact","value":""},{"id":150,"name":"Time of Event (Mountain Time)","value":"06:03:45"},{"id":151,"name":"Denver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3"/>
        <v>start /low /b %USERPROFILE%\Documents\GitHub\eaglep3\Utilities\DownloadLogsFromS3.py --loco 4009 --day 2017-03-21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</row>
    <row r="166" spans="1:91" x14ac:dyDescent="0.25">
      <c r="A166" s="33" t="s">
        <v>667</v>
      </c>
      <c r="B166" s="7">
        <v>4010</v>
      </c>
      <c r="C166" s="21" t="s">
        <v>221</v>
      </c>
      <c r="D166" s="21" t="s">
        <v>436</v>
      </c>
      <c r="E166" s="13">
        <v>42815.253946759258</v>
      </c>
      <c r="F166" s="13">
        <v>42815.257233796299</v>
      </c>
      <c r="G166" s="7">
        <v>1</v>
      </c>
      <c r="H166" s="21" t="s">
        <v>966</v>
      </c>
      <c r="I166" s="13">
        <v>42815.267557870371</v>
      </c>
      <c r="J166" s="7">
        <v>0</v>
      </c>
      <c r="K166" s="98" t="str">
        <f t="shared" si="50"/>
        <v>4009/4010</v>
      </c>
      <c r="L166" s="21" t="str">
        <f>VLOOKUP(A166,'Trips&amp;Operators'!$C$1:$G$99999,5,FALSE)</f>
        <v>YORK EDGAR</v>
      </c>
      <c r="M166" s="6">
        <f t="shared" si="51"/>
        <v>1.0324074071832001E-2</v>
      </c>
      <c r="N166" s="7">
        <f t="shared" si="64"/>
        <v>14.866666663438082</v>
      </c>
      <c r="O166" s="7"/>
      <c r="P166" s="7"/>
      <c r="Q166" s="22"/>
      <c r="R166" s="22"/>
      <c r="S166" s="31">
        <f t="shared" si="65"/>
        <v>1</v>
      </c>
      <c r="T166" s="46" t="str">
        <f t="shared" si="52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3"/>
        <v>https://d0f6bd738d7f1b3e5a7ca70fe4ff75f0.us-east-1.aws.found.io/app/kibana#/discover/Steve-Slow-Train-Analysis-(2080s-and-2083s)?_g=(refreshInterval:(display:Off,pause:!f,section:0,value:0),time:(from:'2017-03-21T05:05:41-0600',mode:absolute,to:'2017-03-21T07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87" t="str">
        <f t="shared" si="54"/>
        <v>N</v>
      </c>
      <c r="X166" s="187">
        <f t="shared" si="55"/>
        <v>1</v>
      </c>
      <c r="Y166" s="62">
        <f t="shared" si="49"/>
        <v>5.8613</v>
      </c>
      <c r="Z166" s="62">
        <f t="shared" si="66"/>
        <v>7.5200000000000003E-2</v>
      </c>
      <c r="AA166" s="62">
        <f t="shared" si="56"/>
        <v>5.7861000000000002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7"/>
        <v>0802-21</v>
      </c>
      <c r="AE166" s="85" t="str">
        <f t="shared" si="58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166" s="82" t="str">
        <f t="shared" si="59"/>
        <v>"C:\Program Files (x86)\AstroGrep\AstroGrep.exe" /e /r /s /spath="%USERPROFILE%\AppData\Local\Temp\OnboardLogs" /stypes="app*4010*20170321*" /stext=" 12:.+((SYSTEM_STATE.+slice.+state.+changed )|(ment ac)|(multiple cpu faults)|(system.+state.+changed )|(\[timeout)|(PRM\|1\|D)|(kpr)|(kdp)|(\|lc)|(penalty))"</v>
      </c>
      <c r="AG166" s="1" t="str">
        <f t="shared" si="60"/>
        <v>NW</v>
      </c>
      <c r="AH166" s="86" t="str">
        <f t="shared" si="61"/>
        <v>"%USERPROFILE%\Documents\GitHub\eaglep3\Utilities\RefineRTDCRunTimes.py" --tripid 802-21 --locoid 4010 --swversion DE.1.0.9.0 --startMP 300:58613 --initTime 2017-03-21T06:05:41 --startdatetime 2017-03-21T06:10:25 --delay 1 --endMP 204:752 --enddatetime 2017-03-21T06:25:17 --enforcementcount 0 &gt;&gt;C:\Users\stu\Documents\GitHub\eaglep3-reporting\EC\2017-03-21-refined-times.txt</v>
      </c>
      <c r="AI166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{"issue":{"subject":"","project_id":79,"tracker_id":40,"status_id":1,"priority_id":2,"assigned_to_id":23,"start_date":"2017-03-21","description":"","custom_fields":[{"id":1,"name":"Subdivision","value":"NW"},{"id":4,"name":"Milepost","value":"0.0752"},{"id":17,"name":"Train ID","value":"802-21"},{"id":16,"name":"Locomotive ID","value":"4010"},{"id":130,"name":"Impact","value":""},{"id":150,"name":"Time of Event (Mountain Time)","value":"06:25:17"},{"id":151,"name":"Denver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3"/>
        <v>start /low /b %USERPROFILE%\Documents\GitHub\eaglep3\Utilities\DownloadLogsFromS3.py --loco 4010 --day 2017-03-21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"%USERPROFILE%\AppData\Local\Temp\OnboardLogs"\RTDC4010\*4010*20170321* | grep -SE "(Enforcement Action)|(\[TIMEOUT)|(CHR.+\|PRM\|1\|D.+(SWITCH|SIGNAL).+UNKNOWN)" - &gt;&gt; 2017-03-21-UncaughtWiMAX.txt</v>
      </c>
    </row>
    <row r="167" spans="1:91" x14ac:dyDescent="0.25">
      <c r="A167" s="33" t="s">
        <v>668</v>
      </c>
      <c r="B167" s="7">
        <v>4002</v>
      </c>
      <c r="C167" s="21" t="s">
        <v>221</v>
      </c>
      <c r="D167" s="21" t="s">
        <v>967</v>
      </c>
      <c r="E167" s="13">
        <v>42815.261990740742</v>
      </c>
      <c r="F167" s="13">
        <v>42815.264722222222</v>
      </c>
      <c r="G167" s="7">
        <v>1</v>
      </c>
      <c r="H167" s="21" t="s">
        <v>418</v>
      </c>
      <c r="I167" s="13">
        <v>42815.274143518516</v>
      </c>
      <c r="J167" s="7">
        <v>0</v>
      </c>
      <c r="K167" s="98" t="str">
        <f t="shared" si="50"/>
        <v>4001/4002</v>
      </c>
      <c r="L167" s="21" t="str">
        <f>VLOOKUP(A167,'Trips&amp;Operators'!$C$1:$G$99999,5,FALSE)</f>
        <v>BROWN JACOB</v>
      </c>
      <c r="M167" s="6">
        <f t="shared" si="51"/>
        <v>9.4212962940218858E-3</v>
      </c>
      <c r="N167" s="7">
        <f t="shared" si="64"/>
        <v>13.566666663391516</v>
      </c>
      <c r="O167" s="7"/>
      <c r="P167" s="7"/>
      <c r="Q167" s="22"/>
      <c r="R167" s="22"/>
      <c r="S167" s="31">
        <f t="shared" si="65"/>
        <v>1</v>
      </c>
      <c r="T167" s="46" t="str">
        <f t="shared" si="52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3"/>
        <v>https://d0f6bd738d7f1b3e5a7ca70fe4ff75f0.us-east-1.aws.found.io/app/kibana#/discover/Steve-Slow-Train-Analysis-(2080s-and-2083s)?_g=(refreshInterval:(display:Off,pause:!f,section:0,value:0),time:(from:'2017-03-21T05:17:16-0600',mode:absolute,to:'2017-03-21T07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187" t="str">
        <f t="shared" si="54"/>
        <v>N</v>
      </c>
      <c r="X167" s="187">
        <f t="shared" si="55"/>
        <v>1</v>
      </c>
      <c r="Y167" s="62">
        <f t="shared" si="49"/>
        <v>0.1007</v>
      </c>
      <c r="Z167" s="62">
        <f t="shared" si="66"/>
        <v>5.8935000000000004</v>
      </c>
      <c r="AA167" s="62">
        <f t="shared" si="56"/>
        <v>5.7928000000000006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7"/>
        <v>0803-21</v>
      </c>
      <c r="AE167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67" s="82" t="str">
        <f t="shared" si="59"/>
        <v>"C:\Program Files (x86)\AstroGrep\AstroGrep.exe" /e /r /s /spath="%USERPROFILE%\AppData\Local\Temp\OnboardLogs" /stypes="app*4002*20170321*" /stext=" 12:.+((SYSTEM_STATE.+slice.+state.+changed )|(ment ac)|(multiple cpu faults)|(system.+state.+changed )|(\[timeout)|(PRM\|1\|D)|(kpr)|(kdp)|(\|lc)|(penalty))"</v>
      </c>
      <c r="AG167" s="1" t="str">
        <f t="shared" si="60"/>
        <v>NW</v>
      </c>
      <c r="AH167" s="86" t="str">
        <f t="shared" si="61"/>
        <v>"%USERPROFILE%\Documents\GitHub\eaglep3\Utilities\RefineRTDCRunTimes.py" --tripid 803-21 --locoid 4002 --swversion DE.1.0.9.0 --startMP 204:1007 --initTime 2017-03-21T06:17:16 --startdatetime 2017-03-21T06:21:12 --delay 1 --endMP 300:58935 --enddatetime 2017-03-21T06:34:46 --enforcementcount 0 &gt;&gt;C:\Users\stu\Documents\GitHub\eaglep3-reporting\EC\2017-03-21-refined-times.txt</v>
      </c>
      <c r="AI167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{"issue":{"subject":"","project_id":79,"tracker_id":40,"status_id":1,"priority_id":2,"assigned_to_id":23,"start_date":"2017-03-21","description":"","custom_fields":[{"id":1,"name":"Subdivision","value":"NW"},{"id":4,"name":"Milepost","value":"5.8935"},{"id":17,"name":"Train ID","value":"803-21"},{"id":16,"name":"Locomotive ID","value":"4002"},{"id":130,"name":"Impact","value":""},{"id":150,"name":"Time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3"/>
        <v>start /low /b %USERPROFILE%\Documents\GitHub\eaglep3\Utilities\DownloadLogsFromS3.py --loco 4002 --day 2017-03-21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68" spans="1:91" x14ac:dyDescent="0.25">
      <c r="A168" s="33" t="s">
        <v>672</v>
      </c>
      <c r="B168" s="7">
        <v>4001</v>
      </c>
      <c r="C168" s="21" t="s">
        <v>221</v>
      </c>
      <c r="D168" s="21" t="s">
        <v>517</v>
      </c>
      <c r="E168" s="13">
        <v>42815.275231481479</v>
      </c>
      <c r="F168" s="13">
        <v>42815.276956018519</v>
      </c>
      <c r="G168" s="7">
        <v>1</v>
      </c>
      <c r="H168" s="21" t="s">
        <v>968</v>
      </c>
      <c r="I168" s="13">
        <v>42815.288321759261</v>
      </c>
      <c r="J168" s="7">
        <v>0</v>
      </c>
      <c r="K168" s="98" t="str">
        <f t="shared" si="50"/>
        <v>4001/4002</v>
      </c>
      <c r="L168" s="21" t="str">
        <f>VLOOKUP(A168,'Trips&amp;Operators'!$C$1:$G$99999,5,FALSE)</f>
        <v>BROWN JACOB</v>
      </c>
      <c r="M168" s="6">
        <f t="shared" si="51"/>
        <v>1.1365740741894115E-2</v>
      </c>
      <c r="N168" s="7">
        <f t="shared" si="64"/>
        <v>16.366666668327525</v>
      </c>
      <c r="O168" s="7"/>
      <c r="P168" s="7"/>
      <c r="Q168" s="22"/>
      <c r="R168" s="22"/>
      <c r="S168" s="31">
        <f t="shared" si="65"/>
        <v>1</v>
      </c>
      <c r="T168" s="46" t="str">
        <f t="shared" si="52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3"/>
        <v>https://d0f6bd738d7f1b3e5a7ca70fe4ff75f0.us-east-1.aws.found.io/app/kibana#/discover/Steve-Slow-Train-Analysis-(2080s-and-2083s)?_g=(refreshInterval:(display:Off,pause:!f,section:0,value:0),time:(from:'2017-03-21T05:36:20-0600',mode:absolute,to:'2017-03-21T07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187" t="str">
        <f t="shared" si="54"/>
        <v>N</v>
      </c>
      <c r="X168" s="187">
        <f t="shared" si="55"/>
        <v>1</v>
      </c>
      <c r="Y168" s="62">
        <f t="shared" ref="Y168:Y199" si="67">RIGHT(D168,LEN(D168)-4)/10000</f>
        <v>5.8624000000000001</v>
      </c>
      <c r="Z168" s="62">
        <f t="shared" si="66"/>
        <v>7.2400000000000006E-2</v>
      </c>
      <c r="AA168" s="62">
        <f t="shared" si="56"/>
        <v>5.79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7"/>
        <v>0804-21</v>
      </c>
      <c r="AE168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68" s="82" t="str">
        <f t="shared" si="59"/>
        <v>"C:\Program Files (x86)\AstroGrep\AstroGrep.exe" /e /r /s /spath="%USERPROFILE%\AppData\Local\Temp\OnboardLogs" /stypes="app*4001*20170321*" /stext=" 12:.+((SYSTEM_STATE.+slice.+state.+changed )|(ment ac)|(multiple cpu faults)|(system.+state.+changed )|(\[timeout)|(PRM\|1\|D)|(kpr)|(kdp)|(\|lc)|(penalty))"</v>
      </c>
      <c r="AG168" s="1" t="str">
        <f t="shared" si="60"/>
        <v>NW</v>
      </c>
      <c r="AH168" s="86" t="str">
        <f t="shared" si="61"/>
        <v>"%USERPROFILE%\Documents\GitHub\eaglep3\Utilities\RefineRTDCRunTimes.py" --tripid 804-21 --locoid 4001 --swversion DE.1.0.9.0 --startMP 300:58624 --initTime 2017-03-21T06:36:20 --startdatetime 2017-03-21T06:38:49 --delay 1 --endMP 204:724 --enddatetime 2017-03-21T06:55:11 --enforcementcount 0 &gt;&gt;C:\Users\stu\Documents\GitHub\eaglep3-reporting\EC\2017-03-21-refined-times.txt</v>
      </c>
      <c r="AI168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{"issue":{"subject":"","project_id":79,"tracker_id":40,"status_id":1,"priority_id":2,"assigned_to_id":23,"start_date":"2017-03-21","description":"","custom_fields":[{"id":1,"name":"Subdivision","value":"NW"},{"id":4,"name":"Milepost","value":"0.0724"},{"id":17,"name":"Train ID","value":"804-21"},{"id":16,"name":"Locomotive ID","value":"4001"},{"id":130,"name":"Impact","value":""},{"id":150,"name":"Time of Event (Mountain Time)","value":"06:55:11"},{"id":151,"name":"Denver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3"/>
        <v>start /low /b %USERPROFILE%\Documents\GitHub\eaglep3\Utilities\DownloadLogsFromS3.py --loco 4001 --day 2017-03-21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69" spans="1:91" s="20" customFormat="1" x14ac:dyDescent="0.25">
      <c r="A169" s="33" t="s">
        <v>670</v>
      </c>
      <c r="B169" s="7">
        <v>4009</v>
      </c>
      <c r="C169" s="21" t="s">
        <v>221</v>
      </c>
      <c r="D169" s="21" t="s">
        <v>969</v>
      </c>
      <c r="E169" s="13">
        <v>42815.268437500003</v>
      </c>
      <c r="F169" s="13">
        <v>42815.285833333335</v>
      </c>
      <c r="G169" s="7">
        <v>0</v>
      </c>
      <c r="H169" s="21" t="s">
        <v>588</v>
      </c>
      <c r="I169" s="13">
        <v>42815.294756944444</v>
      </c>
      <c r="J169" s="7">
        <v>0</v>
      </c>
      <c r="K169" s="98" t="str">
        <f t="shared" si="50"/>
        <v>4009/4010</v>
      </c>
      <c r="L169" s="21" t="str">
        <f>VLOOKUP(A169,'Trips&amp;Operators'!$C$1:$G$99999,5,FALSE)</f>
        <v>YORK EDGAR</v>
      </c>
      <c r="M169" s="6">
        <f t="shared" si="51"/>
        <v>8.923611108912155E-3</v>
      </c>
      <c r="N169" s="7">
        <f t="shared" si="64"/>
        <v>12.849999996833503</v>
      </c>
      <c r="O169" s="7"/>
      <c r="P169" s="7"/>
      <c r="Q169" s="22"/>
      <c r="R169" s="22"/>
      <c r="S169" s="31">
        <f t="shared" si="65"/>
        <v>1</v>
      </c>
      <c r="T169" s="46" t="str">
        <f t="shared" si="52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3"/>
        <v>https://d0f6bd738d7f1b3e5a7ca70fe4ff75f0.us-east-1.aws.found.io/app/kibana#/discover/Steve-Slow-Train-Analysis-(2080s-and-2083s)?_g=(refreshInterval:(display:Off,pause:!f,section:0,value:0),time:(from:'2017-03-21T05:26:33-0600',mode:absolute,to:'2017-03-21T08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9" s="187" t="str">
        <f t="shared" si="54"/>
        <v>N</v>
      </c>
      <c r="X169" s="187">
        <f t="shared" si="55"/>
        <v>1</v>
      </c>
      <c r="Y169" s="62">
        <f t="shared" si="67"/>
        <v>0.1037</v>
      </c>
      <c r="Z169" s="62">
        <f t="shared" si="66"/>
        <v>5.8920000000000003</v>
      </c>
      <c r="AA169" s="62">
        <f t="shared" si="56"/>
        <v>5.7883000000000004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7"/>
        <v>0805-21</v>
      </c>
      <c r="AE169" s="85" t="str">
        <f t="shared" si="58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169" s="82" t="str">
        <f t="shared" si="59"/>
        <v>"C:\Program Files (x86)\AstroGrep\AstroGrep.exe" /e /r /s /spath="%USERPROFILE%\AppData\Local\Temp\OnboardLogs" /stypes="app*4009*20170321*" /stext=" 13:.+((SYSTEM_STATE.+slice.+state.+changed )|(ment ac)|(multiple cpu faults)|(system.+state.+changed )|(\[timeout)|(PRM\|1\|D)|(kpr)|(kdp)|(\|lc)|(penalty))"</v>
      </c>
      <c r="AG169" s="1" t="str">
        <f t="shared" si="60"/>
        <v>NW</v>
      </c>
      <c r="AH169" s="86" t="str">
        <f t="shared" si="61"/>
        <v>"%USERPROFILE%\Documents\GitHub\eaglep3\Utilities\RefineRTDCRunTimes.py" --tripid 805-21 --locoid 4009 --swversion DE.1.0.9.0 --startMP 204:1037 --initTime 2017-03-21T06:26:33 --startdatetime 2017-03-21T06:51:36 --delay 0 --endMP 300:58920 --enddatetime 2017-03-21T07:04:27 --enforcementcount 0 &gt;&gt;C:\Users\stu\Documents\GitHub\eaglep3-reporting\EC\2017-03-21-refined-times.txt</v>
      </c>
      <c r="AI169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{"issue":{"subject":"","project_id":79,"tracker_id":40,"status_id":1,"priority_id":2,"assigned_to_id":23,"start_date":"2017-03-21","description":"","custom_fields":[{"id":1,"name":"Subdivision","value":"NW"},{"id":4,"name":"Milepost","value":"5.892"},{"id":17,"name":"Train ID","value":"805-21"},{"id":16,"name":"Locomotive ID","value":"4009"},{"id":130,"name":"Impact","value":""},{"id":150,"name":"Time of Event (Mountain Time)","value":"07:04:27"},{"id":151,"name":"Denver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3"/>
        <v>start /low /b %USERPROFILE%\Documents\GitHub\eaglep3\Utilities\DownloadLogsFromS3.py --loco 4009 --day 2017-03-21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676</v>
      </c>
      <c r="B170" s="7">
        <v>4010</v>
      </c>
      <c r="C170" s="21" t="s">
        <v>221</v>
      </c>
      <c r="D170" s="21" t="s">
        <v>970</v>
      </c>
      <c r="E170" s="13">
        <v>42815.296805555554</v>
      </c>
      <c r="F170" s="13">
        <v>42815.298159722224</v>
      </c>
      <c r="G170" s="7">
        <v>1</v>
      </c>
      <c r="H170" s="21" t="s">
        <v>506</v>
      </c>
      <c r="I170" s="13">
        <v>42815.309062499997</v>
      </c>
      <c r="J170" s="7">
        <v>0</v>
      </c>
      <c r="K170" s="98" t="str">
        <f t="shared" si="50"/>
        <v>4009/4010</v>
      </c>
      <c r="L170" s="21" t="str">
        <f>VLOOKUP(A170,'Trips&amp;Operators'!$C$1:$G$99999,5,FALSE)</f>
        <v>YORK EDGAR</v>
      </c>
      <c r="M170" s="6">
        <f t="shared" si="51"/>
        <v>1.0902777772571426E-2</v>
      </c>
      <c r="N170" s="7">
        <f t="shared" si="64"/>
        <v>15.699999992502853</v>
      </c>
      <c r="O170" s="7"/>
      <c r="P170" s="7"/>
      <c r="Q170" s="22"/>
      <c r="R170" s="22"/>
      <c r="S170" s="31">
        <f t="shared" si="65"/>
        <v>1</v>
      </c>
      <c r="T170" s="46" t="str">
        <f t="shared" si="52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3"/>
        <v>https://d0f6bd738d7f1b3e5a7ca70fe4ff75f0.us-east-1.aws.found.io/app/kibana#/discover/Steve-Slow-Train-Analysis-(2080s-and-2083s)?_g=(refreshInterval:(display:Off,pause:!f,section:0,value:0),time:(from:'2017-03-21T06:07:24-0600',mode:absolute,to:'2017-03-21T08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87" t="str">
        <f t="shared" si="54"/>
        <v>N</v>
      </c>
      <c r="X170" s="187">
        <f t="shared" si="55"/>
        <v>1</v>
      </c>
      <c r="Y170" s="62">
        <f t="shared" si="67"/>
        <v>5.8609</v>
      </c>
      <c r="Z170" s="62">
        <f t="shared" si="66"/>
        <v>7.5700000000000003E-2</v>
      </c>
      <c r="AA170" s="62">
        <f t="shared" si="56"/>
        <v>5.7851999999999997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7"/>
        <v>0806-21</v>
      </c>
      <c r="AE170" s="85" t="str">
        <f t="shared" si="58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170" s="82" t="str">
        <f t="shared" si="59"/>
        <v>"C:\Program Files (x86)\AstroGrep\AstroGrep.exe" /e /r /s /spath="%USERPROFILE%\AppData\Local\Temp\OnboardLogs" /stypes="app*4010*20170321*" /stext=" 13:.+((SYSTEM_STATE.+slice.+state.+changed )|(ment ac)|(multiple cpu faults)|(system.+state.+changed )|(\[timeout)|(PRM\|1\|D)|(kpr)|(kdp)|(\|lc)|(penalty))"</v>
      </c>
      <c r="AG170" s="1" t="str">
        <f t="shared" si="60"/>
        <v>NW</v>
      </c>
      <c r="AH170" s="86" t="str">
        <f t="shared" si="61"/>
        <v>"%USERPROFILE%\Documents\GitHub\eaglep3\Utilities\RefineRTDCRunTimes.py" --tripid 806-21 --locoid 4010 --swversion DE.1.0.9.0 --startMP 300:58609 --initTime 2017-03-21T07:07:24 --startdatetime 2017-03-21T07:09:21 --delay 1 --endMP 204:757 --enddatetime 2017-03-21T07:25:03 --enforcementcount 0 &gt;&gt;C:\Users\stu\Documents\GitHub\eaglep3-reporting\EC\2017-03-21-refined-times.txt</v>
      </c>
      <c r="AI170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{"issue":{"subject":"","project_id":79,"tracker_id":40,"status_id":1,"priority_id":2,"assigned_to_id":23,"start_date":"2017-03-21","description":"","custom_fields":[{"id":1,"name":"Subdivision","value":"NW"},{"id":4,"name":"Milepost","value":"0.0757"},{"id":17,"name":"Train ID","value":"806-21"},{"id":16,"name":"Locomotive ID","value":"4010"},{"id":130,"name":"Impact","value":""},{"id":150,"name":"Time of Event (Mountain Time)","value":"07:25:03"},{"id":151,"name":"Denver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3"/>
        <v>start /low /b %USERPROFILE%\Documents\GitHub\eaglep3\Utilities\DownloadLogsFromS3.py --loco 4010 --day 2017-03-21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"%USERPROFILE%\AppData\Local\Temp\OnboardLogs"\RTDC4010\*4010*20170321* | grep -SE "(Enforcement Action)|(\[TIMEOUT)|(CHR.+\|PRM\|1\|D.+(SWITCH|SIGNAL).+UNKNOWN)" - &gt;&gt; 2017-03-21-UncaughtWiMAX.txt</v>
      </c>
    </row>
    <row r="171" spans="1:91" x14ac:dyDescent="0.25">
      <c r="A171" s="33" t="s">
        <v>677</v>
      </c>
      <c r="B171" s="7">
        <v>4002</v>
      </c>
      <c r="C171" s="21" t="s">
        <v>221</v>
      </c>
      <c r="D171" s="21" t="s">
        <v>967</v>
      </c>
      <c r="E171" s="13">
        <v>42815.30097222222</v>
      </c>
      <c r="F171" s="13">
        <v>42815.30641203704</v>
      </c>
      <c r="G171" s="7">
        <v>1</v>
      </c>
      <c r="H171" s="21" t="s">
        <v>971</v>
      </c>
      <c r="I171" s="13">
        <v>42815.315740740742</v>
      </c>
      <c r="J171" s="7">
        <v>0</v>
      </c>
      <c r="K171" s="98" t="str">
        <f t="shared" si="50"/>
        <v>4001/4002</v>
      </c>
      <c r="L171" s="21" t="str">
        <f>VLOOKUP(A171,'Trips&amp;Operators'!$C$1:$G$99999,5,FALSE)</f>
        <v>BROWN JACOB</v>
      </c>
      <c r="M171" s="6">
        <f t="shared" si="51"/>
        <v>9.3287037016125396E-3</v>
      </c>
      <c r="N171" s="7">
        <f t="shared" si="64"/>
        <v>13.433333330322057</v>
      </c>
      <c r="O171" s="7"/>
      <c r="P171" s="7"/>
      <c r="Q171" s="22"/>
      <c r="R171" s="22"/>
      <c r="S171" s="31">
        <f t="shared" si="65"/>
        <v>1</v>
      </c>
      <c r="T171" s="46" t="str">
        <f t="shared" si="52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3"/>
        <v>https://d0f6bd738d7f1b3e5a7ca70fe4ff75f0.us-east-1.aws.found.io/app/kibana#/discover/Steve-Slow-Train-Analysis-(2080s-and-2083s)?_g=(refreshInterval:(display:Off,pause:!f,section:0,value:0),time:(from:'2017-03-21T06:13:24-0600',mode:absolute,to:'2017-03-21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87" t="str">
        <f t="shared" si="54"/>
        <v>N</v>
      </c>
      <c r="X171" s="187">
        <f t="shared" si="55"/>
        <v>1</v>
      </c>
      <c r="Y171" s="62">
        <f t="shared" si="67"/>
        <v>0.1007</v>
      </c>
      <c r="Z171" s="62">
        <f t="shared" si="66"/>
        <v>5.8948</v>
      </c>
      <c r="AA171" s="62">
        <f t="shared" si="56"/>
        <v>5.7941000000000003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7"/>
        <v>0807-21</v>
      </c>
      <c r="AE171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71" s="82" t="str">
        <f t="shared" si="59"/>
        <v>"C:\Program Files (x86)\AstroGrep\AstroGrep.exe" /e /r /s /spath="%USERPROFILE%\AppData\Local\Temp\OnboardLogs" /stypes="app*4002*20170321*" /stext=" 13:.+((SYSTEM_STATE.+slice.+state.+changed )|(ment ac)|(multiple cpu faults)|(system.+state.+changed )|(\[timeout)|(PRM\|1\|D)|(kpr)|(kdp)|(\|lc)|(penalty))"</v>
      </c>
      <c r="AG171" s="1" t="str">
        <f t="shared" si="60"/>
        <v>NW</v>
      </c>
      <c r="AH171" s="86" t="str">
        <f t="shared" si="61"/>
        <v>"%USERPROFILE%\Documents\GitHub\eaglep3\Utilities\RefineRTDCRunTimes.py" --tripid 807-21 --locoid 4002 --swversion DE.1.0.9.0 --startMP 204:1007 --initTime 2017-03-21T07:13:24 --startdatetime 2017-03-21T07:21:14 --delay 1 --endMP 300:58948 --enddatetime 2017-03-21T07:34:40 --enforcementcount 0 &gt;&gt;C:\Users\stu\Documents\GitHub\eaglep3-reporting\EC\2017-03-21-refined-times.txt</v>
      </c>
      <c r="AI171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{"issue":{"subject":"","project_id":79,"tracker_id":40,"status_id":1,"priority_id":2,"assigned_to_id":23,"start_date":"2017-03-21","description":"","custom_fields":[{"id":1,"name":"Subdivision","value":"NW"},{"id":4,"name":"Milepost","value":"5.8948"},{"id":17,"name":"Train ID","value":"807-21"},{"id":16,"name":"Locomotive ID","value":"4002"},{"id":130,"name":"Impact","value":""},{"id":150,"name":"Time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3"/>
        <v>start /low /b %USERPROFILE%\Documents\GitHub\eaglep3\Utilities\DownloadLogsFromS3.py --loco 4002 --day 2017-03-21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72" spans="1:91" x14ac:dyDescent="0.25">
      <c r="A172" s="33" t="s">
        <v>682</v>
      </c>
      <c r="B172" s="7">
        <v>4001</v>
      </c>
      <c r="C172" s="21" t="s">
        <v>221</v>
      </c>
      <c r="D172" s="21" t="s">
        <v>972</v>
      </c>
      <c r="E172" s="13">
        <v>42815.316701388889</v>
      </c>
      <c r="F172" s="13">
        <v>42815.318287037036</v>
      </c>
      <c r="G172" s="7">
        <v>1</v>
      </c>
      <c r="H172" s="21" t="s">
        <v>434</v>
      </c>
      <c r="I172" s="13">
        <v>42815.330520833333</v>
      </c>
      <c r="J172" s="7">
        <v>0</v>
      </c>
      <c r="K172" s="98" t="str">
        <f t="shared" si="50"/>
        <v>4001/4002</v>
      </c>
      <c r="L172" s="21" t="str">
        <f>VLOOKUP(A172,'Trips&amp;Operators'!$C$1:$G$99999,5,FALSE)</f>
        <v>BROWN JACOB</v>
      </c>
      <c r="M172" s="6">
        <f t="shared" si="51"/>
        <v>1.2233796296641231E-2</v>
      </c>
      <c r="N172" s="7">
        <f t="shared" si="64"/>
        <v>17.616666667163372</v>
      </c>
      <c r="O172" s="7"/>
      <c r="P172" s="7"/>
      <c r="Q172" s="22"/>
      <c r="R172" s="22"/>
      <c r="S172" s="31">
        <f t="shared" si="65"/>
        <v>1</v>
      </c>
      <c r="T172" s="46" t="str">
        <f t="shared" si="52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3"/>
        <v>https://d0f6bd738d7f1b3e5a7ca70fe4ff75f0.us-east-1.aws.found.io/app/kibana#/discover/Steve-Slow-Train-Analysis-(2080s-and-2083s)?_g=(refreshInterval:(display:Off,pause:!f,section:0,value:0),time:(from:'2017-03-21T06:36:03-0600',mode:absolute,to:'2017-03-21T08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87" t="str">
        <f t="shared" si="54"/>
        <v>N</v>
      </c>
      <c r="X172" s="187">
        <f t="shared" si="55"/>
        <v>1</v>
      </c>
      <c r="Y172" s="62">
        <f t="shared" si="67"/>
        <v>5.8644999999999996</v>
      </c>
      <c r="Z172" s="62">
        <f t="shared" si="66"/>
        <v>7.4099999999999999E-2</v>
      </c>
      <c r="AA172" s="62">
        <f t="shared" si="56"/>
        <v>5.7904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7"/>
        <v>0808-21</v>
      </c>
      <c r="AE172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72" s="82" t="str">
        <f t="shared" si="59"/>
        <v>"C:\Program Files (x86)\AstroGrep\AstroGrep.exe" /e /r /s /spath="%USERPROFILE%\AppData\Local\Temp\OnboardLogs" /stypes="app*4001*20170321*" /stext=" 13:.+((SYSTEM_STATE.+slice.+state.+changed )|(ment ac)|(multiple cpu faults)|(system.+state.+changed )|(\[timeout)|(PRM\|1\|D)|(kpr)|(kdp)|(\|lc)|(penalty))"</v>
      </c>
      <c r="AG172" s="1" t="str">
        <f t="shared" si="60"/>
        <v>NW</v>
      </c>
      <c r="AH172" s="86" t="str">
        <f t="shared" si="61"/>
        <v>"%USERPROFILE%\Documents\GitHub\eaglep3\Utilities\RefineRTDCRunTimes.py" --tripid 808-21 --locoid 4001 --swversion DE.1.0.9.0 --startMP 300:58645 --initTime 2017-03-21T07:36:03 --startdatetime 2017-03-21T07:38:20 --delay 1 --endMP 204:741 --enddatetime 2017-03-21T07:55:57 --enforcementcount 0 &gt;&gt;C:\Users\stu\Documents\GitHub\eaglep3-reporting\EC\2017-03-21-refined-times.txt</v>
      </c>
      <c r="AI172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{"issue":{"subject":"","project_id":79,"tracker_id":40,"status_id":1,"priority_id":2,"assigned_to_id":23,"start_date":"2017-03-21","description":"","custom_fields":[{"id":1,"name":"Subdivision","value":"NW"},{"id":4,"name":"Milepost","value":"0.0741"},{"id":17,"name":"Train ID","value":"808-21"},{"id":16,"name":"Locomotive ID","value":"4001"},{"id":130,"name":"Impact","value":""},{"id":150,"name":"Time of Event (Mountain Time)","value":"07:55:57"},{"id":151,"name":"Denver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3"/>
        <v>start /low /b %USERPROFILE%\Documents\GitHub\eaglep3\Utilities\DownloadLogsFromS3.py --loco 4001 --day 2017-03-21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73" spans="1:91" s="20" customFormat="1" x14ac:dyDescent="0.25">
      <c r="A173" s="33" t="s">
        <v>679</v>
      </c>
      <c r="B173" s="7">
        <v>4009</v>
      </c>
      <c r="C173" s="21" t="s">
        <v>221</v>
      </c>
      <c r="D173" s="21" t="s">
        <v>973</v>
      </c>
      <c r="E173" s="13">
        <v>42815.310335648152</v>
      </c>
      <c r="F173" s="13">
        <v>42815.32775462963</v>
      </c>
      <c r="G173" s="7">
        <v>1</v>
      </c>
      <c r="H173" s="21" t="s">
        <v>482</v>
      </c>
      <c r="I173" s="13">
        <v>42815.336261574077</v>
      </c>
      <c r="J173" s="7">
        <v>0</v>
      </c>
      <c r="K173" s="98" t="str">
        <f t="shared" si="50"/>
        <v>4009/4010</v>
      </c>
      <c r="L173" s="21" t="str">
        <f>VLOOKUP(A173,'Trips&amp;Operators'!$C$1:$G$99999,5,FALSE)</f>
        <v>YORK EDGAR</v>
      </c>
      <c r="M173" s="6">
        <f t="shared" si="51"/>
        <v>8.5069444467080757E-3</v>
      </c>
      <c r="N173" s="7">
        <f t="shared" si="64"/>
        <v>12.250000003259629</v>
      </c>
      <c r="O173" s="7"/>
      <c r="P173" s="7"/>
      <c r="Q173" s="22"/>
      <c r="R173" s="22"/>
      <c r="S173" s="31">
        <f t="shared" si="65"/>
        <v>1</v>
      </c>
      <c r="T173" s="46" t="str">
        <f t="shared" si="52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3"/>
        <v>https://d0f6bd738d7f1b3e5a7ca70fe4ff75f0.us-east-1.aws.found.io/app/kibana#/discover/Steve-Slow-Train-Analysis-(2080s-and-2083s)?_g=(refreshInterval:(display:Off,pause:!f,section:0,value:0),time:(from:'2017-03-21T06:26:53-0600',mode:absolute,to:'2017-03-21T09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87" t="str">
        <f t="shared" si="54"/>
        <v>N</v>
      </c>
      <c r="X173" s="187">
        <f t="shared" si="55"/>
        <v>1</v>
      </c>
      <c r="Y173" s="62">
        <f t="shared" si="67"/>
        <v>0.1042</v>
      </c>
      <c r="Z173" s="62">
        <f t="shared" si="66"/>
        <v>5.8929</v>
      </c>
      <c r="AA173" s="62">
        <f t="shared" si="56"/>
        <v>5.7887000000000004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7"/>
        <v>0809-21</v>
      </c>
      <c r="AE173" s="85" t="str">
        <f t="shared" si="58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173" s="82" t="str">
        <f t="shared" si="59"/>
        <v>"C:\Program Files (x86)\AstroGrep\AstroGrep.exe" /e /r /s /spath="%USERPROFILE%\AppData\Local\Temp\OnboardLogs" /stypes="app*4009*20170321*" /stext=" 14:.+((SYSTEM_STATE.+slice.+state.+changed )|(ment ac)|(multiple cpu faults)|(system.+state.+changed )|(\[timeout)|(PRM\|1\|D)|(kpr)|(kdp)|(\|lc)|(penalty))"</v>
      </c>
      <c r="AG173" s="1" t="str">
        <f t="shared" si="60"/>
        <v>NW</v>
      </c>
      <c r="AH173" s="86" t="str">
        <f t="shared" si="61"/>
        <v>"%USERPROFILE%\Documents\GitHub\eaglep3\Utilities\RefineRTDCRunTimes.py" --tripid 809-21 --locoid 4009 --swversion DE.1.0.9.0 --startMP 204:1042 --initTime 2017-03-21T07:26:53 --startdatetime 2017-03-21T07:51:58 --delay 1 --endMP 300:58929 --enddatetime 2017-03-21T08:04:13 --enforcementcount 0 &gt;&gt;C:\Users\stu\Documents\GitHub\eaglep3-reporting\EC\2017-03-21-refined-times.txt</v>
      </c>
      <c r="AI173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{"issue":{"subject":"","project_id":79,"tracker_id":40,"status_id":1,"priority_id":2,"assigned_to_id":23,"start_date":"2017-03-21","description":"","custom_fields":[{"id":1,"name":"Subdivision","value":"NW"},{"id":4,"name":"Milepost","value":"5.8929"},{"id":17,"name":"Train ID","value":"809-21"},{"id":16,"name":"Locomotive ID","value":"4009"},{"id":130,"name":"Impact","value":""},{"id":150,"name":"Time of Event (Mountain Time)","value":"08:04:13"},{"id":151,"name":"Denver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3"/>
        <v>start /low /b %USERPROFILE%\Documents\GitHub\eaglep3\Utilities\DownloadLogsFromS3.py --loco 4009 --day 2017-03-21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686</v>
      </c>
      <c r="B174" s="7">
        <v>4010</v>
      </c>
      <c r="C174" s="21" t="s">
        <v>221</v>
      </c>
      <c r="D174" s="21" t="s">
        <v>436</v>
      </c>
      <c r="E174" s="13">
        <v>42815.338414351849</v>
      </c>
      <c r="F174" s="13">
        <v>42815.342268518521</v>
      </c>
      <c r="G174" s="7">
        <v>0</v>
      </c>
      <c r="H174" s="21" t="s">
        <v>980</v>
      </c>
      <c r="I174" s="13">
        <v>42815.351307870369</v>
      </c>
      <c r="J174" s="7">
        <v>0</v>
      </c>
      <c r="K174" s="98" t="str">
        <f t="shared" si="50"/>
        <v>4009/4010</v>
      </c>
      <c r="L174" s="21" t="str">
        <f>VLOOKUP(A174,'Trips&amp;Operators'!$C$1:$G$99999,5,FALSE)</f>
        <v>YORK EDGAR</v>
      </c>
      <c r="M174" s="6">
        <f t="shared" si="51"/>
        <v>9.0393518476048484E-3</v>
      </c>
      <c r="N174" s="7">
        <f t="shared" si="64"/>
        <v>13.016666660550982</v>
      </c>
      <c r="O174" s="7"/>
      <c r="P174" s="7"/>
      <c r="Q174" s="22"/>
      <c r="R174" s="22"/>
      <c r="S174" s="31">
        <f t="shared" si="65"/>
        <v>1</v>
      </c>
      <c r="T174" s="46" t="str">
        <f t="shared" si="52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3"/>
        <v>https://d0f6bd738d7f1b3e5a7ca70fe4ff75f0.us-east-1.aws.found.io/app/kibana#/discover/Steve-Slow-Train-Analysis-(2080s-and-2083s)?_g=(refreshInterval:(display:Off,pause:!f,section:0,value:0),time:(from:'2017-03-21T07:07:19-0600',mode:absolute,to:'2017-03-21T09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87" t="str">
        <f t="shared" si="54"/>
        <v>N</v>
      </c>
      <c r="X174" s="187">
        <f t="shared" si="55"/>
        <v>1</v>
      </c>
      <c r="Y174" s="62">
        <f t="shared" si="67"/>
        <v>5.8613</v>
      </c>
      <c r="Z174" s="62">
        <f t="shared" si="66"/>
        <v>9.0800000000000006E-2</v>
      </c>
      <c r="AA174" s="62">
        <f t="shared" si="56"/>
        <v>5.7705000000000002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7"/>
        <v>0810-21</v>
      </c>
      <c r="AE174" s="85" t="str">
        <f t="shared" si="58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174" s="82" t="str">
        <f t="shared" si="59"/>
        <v>"C:\Program Files (x86)\AstroGrep\AstroGrep.exe" /e /r /s /spath="%USERPROFILE%\AppData\Local\Temp\OnboardLogs" /stypes="app*4010*20170321*" /stext=" 14:.+((SYSTEM_STATE.+slice.+state.+changed )|(ment ac)|(multiple cpu faults)|(system.+state.+changed )|(\[timeout)|(PRM\|1\|D)|(kpr)|(kdp)|(\|lc)|(penalty))"</v>
      </c>
      <c r="AG174" s="1" t="str">
        <f t="shared" si="60"/>
        <v>NW</v>
      </c>
      <c r="AH174" s="86" t="str">
        <f t="shared" si="61"/>
        <v>"%USERPROFILE%\Documents\GitHub\eaglep3\Utilities\RefineRTDCRunTimes.py" --tripid 810-21 --locoid 4010 --swversion DE.1.0.9.0 --startMP 300:58613 --initTime 2017-03-21T08:07:19 --startdatetime 2017-03-21T08:12:52 --delay 0 --endMP 204:908 --enddatetime 2017-03-21T08:25:53 --enforcementcount 0 &gt;&gt;C:\Users\stu\Documents\GitHub\eaglep3-reporting\EC\2017-03-21-refined-times.txt</v>
      </c>
      <c r="AI174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{"issue":{"subject":"","project_id":79,"tracker_id":40,"status_id":1,"priority_id":2,"assigned_to_id":23,"start_date":"2017-03-21","description":"","custom_fields":[{"id":1,"name":"Subdivision","value":"NW"},{"id":4,"name":"Milepost","value":"0.0908"},{"id":17,"name":"Train ID","value":"810-21"},{"id":16,"name":"Locomotive ID","value":"4010"},{"id":130,"name":"Impact","value":""},{"id":150,"name":"Time of Event (Mountain Time)","value":"08:25:53"},{"id":151,"name":"Denver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3"/>
        <v>start /low /b %USERPROFILE%\Documents\GitHub\eaglep3\Utilities\DownloadLogsFromS3.py --loco 4010 --day 2017-03-21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"%USERPROFILE%\AppData\Local\Temp\OnboardLogs"\RTDC4010\*4010*20170321* | grep -SE "(Enforcement Action)|(\[TIMEOUT)|(CHR.+\|PRM\|1\|D.+(SWITCH|SIGNAL).+UNKNOWN)" - &gt;&gt; 2017-03-21-UncaughtWiMAX.txt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687</v>
      </c>
      <c r="B175" s="7">
        <v>4002</v>
      </c>
      <c r="C175" s="21" t="s">
        <v>221</v>
      </c>
      <c r="D175" s="21" t="s">
        <v>981</v>
      </c>
      <c r="E175" s="13">
        <v>42815.347858796296</v>
      </c>
      <c r="F175" s="13">
        <v>42815.349097222221</v>
      </c>
      <c r="G175" s="7">
        <v>1</v>
      </c>
      <c r="H175" s="21" t="s">
        <v>971</v>
      </c>
      <c r="I175" s="13">
        <v>42815.358252314814</v>
      </c>
      <c r="J175" s="7">
        <v>0</v>
      </c>
      <c r="K175" s="98" t="str">
        <f t="shared" si="50"/>
        <v>4001/4002</v>
      </c>
      <c r="L175" s="21" t="str">
        <f>VLOOKUP(A175,'Trips&amp;Operators'!$C$1:$G$99999,5,FALSE)</f>
        <v>BROWN JACOB</v>
      </c>
      <c r="M175" s="6">
        <f t="shared" si="51"/>
        <v>9.1550925935734995E-3</v>
      </c>
      <c r="N175" s="7">
        <f t="shared" si="64"/>
        <v>13.183333334745839</v>
      </c>
      <c r="O175" s="7"/>
      <c r="P175" s="7"/>
      <c r="Q175" s="22"/>
      <c r="R175" s="22"/>
      <c r="S175" s="31">
        <f t="shared" si="65"/>
        <v>1</v>
      </c>
      <c r="T175" s="46" t="str">
        <f t="shared" si="52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3"/>
        <v>https://d0f6bd738d7f1b3e5a7ca70fe4ff75f0.us-east-1.aws.found.io/app/kibana#/discover/Steve-Slow-Train-Analysis-(2080s-and-2083s)?_g=(refreshInterval:(display:Off,pause:!f,section:0,value:0),time:(from:'2017-03-21T07:20:55-0600',mode:absolute,to:'2017-03-21T09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187" t="str">
        <f t="shared" si="54"/>
        <v>N</v>
      </c>
      <c r="X175" s="187">
        <f t="shared" si="55"/>
        <v>1</v>
      </c>
      <c r="Y175" s="62">
        <f t="shared" si="67"/>
        <v>0.1011</v>
      </c>
      <c r="Z175" s="62">
        <f t="shared" si="66"/>
        <v>5.8948</v>
      </c>
      <c r="AA175" s="62">
        <f t="shared" si="56"/>
        <v>5.7937000000000003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7"/>
        <v>0811-21</v>
      </c>
      <c r="AE175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75" s="82" t="str">
        <f t="shared" si="59"/>
        <v>"C:\Program Files (x86)\AstroGrep\AstroGrep.exe" /e /r /s /spath="%USERPROFILE%\AppData\Local\Temp\OnboardLogs" /stypes="app*4002*20170321*" /stext=" 14:.+((SYSTEM_STATE.+slice.+state.+changed )|(ment ac)|(multiple cpu faults)|(system.+state.+changed )|(\[timeout)|(PRM\|1\|D)|(kpr)|(kdp)|(\|lc)|(penalty))"</v>
      </c>
      <c r="AG175" s="1" t="str">
        <f t="shared" si="60"/>
        <v>NW</v>
      </c>
      <c r="AH175" s="86" t="str">
        <f t="shared" si="61"/>
        <v>"%USERPROFILE%\Documents\GitHub\eaglep3\Utilities\RefineRTDCRunTimes.py" --tripid 811-21 --locoid 4002 --swversion DE.1.0.9.0 --startMP 204:1011 --initTime 2017-03-21T08:20:55 --startdatetime 2017-03-21T08:22:42 --delay 1 --endMP 300:58948 --enddatetime 2017-03-21T08:35:53 --enforcementcount 0 &gt;&gt;C:\Users\stu\Documents\GitHub\eaglep3-reporting\EC\2017-03-21-refined-times.txt</v>
      </c>
      <c r="AI175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{"issue":{"subject":"","project_id":79,"tracker_id":40,"status_id":1,"priority_id":2,"assigned_to_id":23,"start_date":"2017-03-21","description":"","custom_fields":[{"id":1,"name":"Subdivision","value":"NW"},{"id":4,"name":"Milepost","value":"5.8948"},{"id":17,"name":"Train ID","value":"811-21"},{"id":16,"name":"Locomotive ID","value":"4002"},{"id":130,"name":"Impact","value":""},{"id":150,"name":"Time of Event (Mountain Time)","value":"08:35:53"},{"id":151,"name":"Denver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3"/>
        <v>start /low /b %USERPROFILE%\Documents\GitHub\eaglep3\Utilities\DownloadLogsFromS3.py --loco 4002 --day 2017-03-21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692</v>
      </c>
      <c r="B176" s="7">
        <v>4001</v>
      </c>
      <c r="C176" s="21" t="s">
        <v>221</v>
      </c>
      <c r="D176" s="21" t="s">
        <v>982</v>
      </c>
      <c r="E176" s="13">
        <v>42815.359131944446</v>
      </c>
      <c r="F176" s="13">
        <v>42815.360474537039</v>
      </c>
      <c r="G176" s="7">
        <v>1</v>
      </c>
      <c r="H176" s="21" t="s">
        <v>983</v>
      </c>
      <c r="I176" s="13">
        <v>42815.371481481481</v>
      </c>
      <c r="J176" s="7">
        <v>0</v>
      </c>
      <c r="K176" s="98" t="str">
        <f t="shared" si="50"/>
        <v>4001/4002</v>
      </c>
      <c r="L176" s="21" t="str">
        <f>VLOOKUP(A176,'Trips&amp;Operators'!$C$1:$G$99999,5,FALSE)</f>
        <v>BROWN JACOB</v>
      </c>
      <c r="M176" s="6">
        <f t="shared" si="51"/>
        <v>1.1006944441760425E-2</v>
      </c>
      <c r="N176" s="7">
        <f t="shared" si="64"/>
        <v>15.849999996135011</v>
      </c>
      <c r="O176" s="7"/>
      <c r="P176" s="7"/>
      <c r="Q176" s="22"/>
      <c r="R176" s="22"/>
      <c r="S176" s="31">
        <f t="shared" si="65"/>
        <v>1</v>
      </c>
      <c r="T176" s="46" t="str">
        <f t="shared" si="52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3"/>
        <v>https://d0f6bd738d7f1b3e5a7ca70fe4ff75f0.us-east-1.aws.found.io/app/kibana#/discover/Steve-Slow-Train-Analysis-(2080s-and-2083s)?_g=(refreshInterval:(display:Off,pause:!f,section:0,value:0),time:(from:'2017-03-21T07:37:09-0600',mode:absolute,to:'2017-03-21T09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187" t="str">
        <f t="shared" si="54"/>
        <v>N</v>
      </c>
      <c r="X176" s="187">
        <f t="shared" si="55"/>
        <v>1</v>
      </c>
      <c r="Y176" s="62">
        <f t="shared" si="67"/>
        <v>5.8639999999999999</v>
      </c>
      <c r="Z176" s="62">
        <f t="shared" si="66"/>
        <v>7.22E-2</v>
      </c>
      <c r="AA176" s="62">
        <f t="shared" si="56"/>
        <v>5.7918000000000003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7"/>
        <v>0812-21</v>
      </c>
      <c r="AE176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76" s="82" t="str">
        <f t="shared" si="59"/>
        <v>"C:\Program Files (x86)\AstroGrep\AstroGrep.exe" /e /r /s /spath="%USERPROFILE%\AppData\Local\Temp\OnboardLogs" /stypes="app*4001*20170321*" /stext=" 14:.+((SYSTEM_STATE.+slice.+state.+changed )|(ment ac)|(multiple cpu faults)|(system.+state.+changed )|(\[timeout)|(PRM\|1\|D)|(kpr)|(kdp)|(\|lc)|(penalty))"</v>
      </c>
      <c r="AG176" s="1" t="str">
        <f t="shared" si="60"/>
        <v>NW</v>
      </c>
      <c r="AH176" s="86" t="str">
        <f t="shared" si="61"/>
        <v>"%USERPROFILE%\Documents\GitHub\eaglep3\Utilities\RefineRTDCRunTimes.py" --tripid 812-21 --locoid 4001 --swversion DE.1.0.9.0 --startMP 300:58640 --initTime 2017-03-21T08:37:09 --startdatetime 2017-03-21T08:39:05 --delay 1 --endMP 204:722 --enddatetime 2017-03-21T08:54:56 --enforcementcount 0 &gt;&gt;C:\Users\stu\Documents\GitHub\eaglep3-reporting\EC\2017-03-21-refined-times.txt</v>
      </c>
      <c r="AI176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{"issue":{"subject":"","project_id":79,"tracker_id":40,"status_id":1,"priority_id":2,"assigned_to_id":23,"start_date":"2017-03-21","description":"","custom_fields":[{"id":1,"name":"Subdivision","value":"NW"},{"id":4,"name":"Milepost","value":"0.0722"},{"id":17,"name":"Train ID","value":"812-21"},{"id":16,"name":"Locomotive ID","value":"4001"},{"id":130,"name":"Impact","value":""},{"id":150,"name":"Time of Event (Mountain Time)","value":"08:54:56"},{"id":151,"name":"Denver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3"/>
        <v>start /low /b %USERPROFILE%\Documents\GitHub\eaglep3\Utilities\DownloadLogsFromS3.py --loco 4001 --day 2017-03-21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77" spans="1:91" s="20" customFormat="1" x14ac:dyDescent="0.25">
      <c r="A177" s="33" t="s">
        <v>696</v>
      </c>
      <c r="B177" s="7">
        <v>4002</v>
      </c>
      <c r="C177" s="21" t="s">
        <v>221</v>
      </c>
      <c r="D177" s="21" t="s">
        <v>984</v>
      </c>
      <c r="E177" s="13">
        <v>42815.386493055557</v>
      </c>
      <c r="F177" s="13">
        <v>42815.390127314815</v>
      </c>
      <c r="G177" s="7">
        <v>1</v>
      </c>
      <c r="H177" s="21" t="s">
        <v>985</v>
      </c>
      <c r="I177" s="13">
        <v>42815.39912037037</v>
      </c>
      <c r="J177" s="7">
        <v>0</v>
      </c>
      <c r="K177" s="98" t="str">
        <f t="shared" si="50"/>
        <v>4001/4002</v>
      </c>
      <c r="L177" s="21" t="str">
        <f>VLOOKUP(A177,'Trips&amp;Operators'!$C$1:$G$99999,5,FALSE)</f>
        <v>BROWN JACOB</v>
      </c>
      <c r="M177" s="6">
        <f t="shared" si="51"/>
        <v>8.9930555550381541E-3</v>
      </c>
      <c r="N177" s="7">
        <f t="shared" si="64"/>
        <v>12.949999999254942</v>
      </c>
      <c r="O177" s="7"/>
      <c r="P177" s="7"/>
      <c r="Q177" s="22"/>
      <c r="R177" s="22"/>
      <c r="S177" s="31">
        <f t="shared" si="65"/>
        <v>1</v>
      </c>
      <c r="T177" s="46" t="str">
        <f t="shared" si="52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3"/>
        <v>https://d0f6bd738d7f1b3e5a7ca70fe4ff75f0.us-east-1.aws.found.io/app/kibana#/discover/Steve-Slow-Train-Analysis-(2080s-and-2083s)?_g=(refreshInterval:(display:Off,pause:!f,section:0,value:0),time:(from:'2017-03-21T08:16:33-0600',mode:absolute,to:'2017-03-21T10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187" t="str">
        <f t="shared" si="54"/>
        <v>N</v>
      </c>
      <c r="X177" s="187">
        <f t="shared" si="55"/>
        <v>1</v>
      </c>
      <c r="Y177" s="62">
        <f t="shared" si="67"/>
        <v>0.1013</v>
      </c>
      <c r="Z177" s="62">
        <f t="shared" si="66"/>
        <v>5.8973000000000004</v>
      </c>
      <c r="AA177" s="62">
        <f t="shared" si="56"/>
        <v>5.7960000000000003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7"/>
        <v>0813-21</v>
      </c>
      <c r="AE177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77" s="82" t="str">
        <f t="shared" si="59"/>
        <v>"C:\Program Files (x86)\AstroGrep\AstroGrep.exe" /e /r /s /spath="%USERPROFILE%\AppData\Local\Temp\OnboardLogs" /stypes="app*4002*20170321*" /stext=" 15:.+((SYSTEM_STATE.+slice.+state.+changed )|(ment ac)|(multiple cpu faults)|(system.+state.+changed )|(\[timeout)|(PRM\|1\|D)|(kpr)|(kdp)|(\|lc)|(penalty))"</v>
      </c>
      <c r="AG177" s="1" t="str">
        <f t="shared" si="60"/>
        <v>NW</v>
      </c>
      <c r="AH177" s="86" t="str">
        <f t="shared" si="61"/>
        <v>"%USERPROFILE%\Documents\GitHub\eaglep3\Utilities\RefineRTDCRunTimes.py" --tripid 813-21 --locoid 4002 --swversion DE.1.0.9.0 --startMP 204:1013 --initTime 2017-03-21T09:16:33 --startdatetime 2017-03-21T09:21:47 --delay 1 --endMP 300:58973 --enddatetime 2017-03-21T09:34:44 --enforcementcount 0 &gt;&gt;C:\Users\stu\Documents\GitHub\eaglep3-reporting\EC\2017-03-21-refined-times.txt</v>
      </c>
      <c r="AI177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{"issue":{"subject":"","project_id":79,"tracker_id":40,"status_id":1,"priority_id":2,"assigned_to_id":23,"start_date":"2017-03-21","description":"","custom_fields":[{"id":1,"name":"Subdivision","value":"NW"},{"id":4,"name":"Milepost","value":"5.8973"},{"id":17,"name":"Train ID","value":"813-21"},{"id":16,"name":"Locomotive ID","value":"4002"},{"id":130,"name":"Impact","value":""},{"id":150,"name":"Time of Event (Mountain Time)","value":"09:34:44"},{"id":151,"name":"Denver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3"/>
        <v>start /low /b %USERPROFILE%\Documents\GitHub\eaglep3\Utilities\DownloadLogsFromS3.py --loco 4002 --day 2017-03-21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698</v>
      </c>
      <c r="B178" s="7">
        <v>4001</v>
      </c>
      <c r="C178" s="21" t="s">
        <v>221</v>
      </c>
      <c r="D178" s="21" t="s">
        <v>986</v>
      </c>
      <c r="E178" s="13">
        <v>42815.4</v>
      </c>
      <c r="F178" s="13">
        <v>42815.401539351849</v>
      </c>
      <c r="G178" s="7">
        <v>1</v>
      </c>
      <c r="H178" s="21" t="s">
        <v>987</v>
      </c>
      <c r="I178" s="13">
        <v>42815.413240740738</v>
      </c>
      <c r="J178" s="7">
        <v>0</v>
      </c>
      <c r="K178" s="98" t="str">
        <f t="shared" si="50"/>
        <v>4001/4002</v>
      </c>
      <c r="L178" s="21" t="str">
        <f>VLOOKUP(A178,'Trips&amp;Operators'!$C$1:$G$99999,5,FALSE)</f>
        <v>BROWN JACOB</v>
      </c>
      <c r="M178" s="6">
        <f t="shared" si="51"/>
        <v>1.17013888884685E-2</v>
      </c>
      <c r="N178" s="7">
        <f t="shared" si="64"/>
        <v>16.84999999939464</v>
      </c>
      <c r="O178" s="7"/>
      <c r="P178" s="7"/>
      <c r="Q178" s="22"/>
      <c r="R178" s="22"/>
      <c r="S178" s="31">
        <f t="shared" si="65"/>
        <v>1</v>
      </c>
      <c r="T178" s="46" t="str">
        <f t="shared" si="52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3"/>
        <v>https://d0f6bd738d7f1b3e5a7ca70fe4ff75f0.us-east-1.aws.found.io/app/kibana#/discover/Steve-Slow-Train-Analysis-(2080s-and-2083s)?_g=(refreshInterval:(display:Off,pause:!f,section:0,value:0),time:(from:'2017-03-21T08:36:00-0600',mode:absolute,to:'2017-03-21T10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187" t="str">
        <f t="shared" si="54"/>
        <v>N</v>
      </c>
      <c r="X178" s="187">
        <f t="shared" si="55"/>
        <v>1</v>
      </c>
      <c r="Y178" s="62">
        <f t="shared" si="67"/>
        <v>5.8653000000000004</v>
      </c>
      <c r="Z178" s="62">
        <f t="shared" si="66"/>
        <v>7.17E-2</v>
      </c>
      <c r="AA178" s="62">
        <f t="shared" si="56"/>
        <v>5.7936000000000005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7"/>
        <v>0814-21</v>
      </c>
      <c r="AE178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78" s="82" t="str">
        <f t="shared" si="59"/>
        <v>"C:\Program Files (x86)\AstroGrep\AstroGrep.exe" /e /r /s /spath="%USERPROFILE%\AppData\Local\Temp\OnboardLogs" /stypes="app*4001*20170321*" /stext=" 15:.+((SYSTEM_STATE.+slice.+state.+changed )|(ment ac)|(multiple cpu faults)|(system.+state.+changed )|(\[timeout)|(PRM\|1\|D)|(kpr)|(kdp)|(\|lc)|(penalty))"</v>
      </c>
      <c r="AG178" s="1" t="str">
        <f t="shared" si="60"/>
        <v>NW</v>
      </c>
      <c r="AH178" s="86" t="str">
        <f t="shared" si="61"/>
        <v>"%USERPROFILE%\Documents\GitHub\eaglep3\Utilities\RefineRTDCRunTimes.py" --tripid 814-21 --locoid 4001 --swversion DE.1.0.9.0 --startMP 300:58653 --initTime 2017-03-21T09:36:00 --startdatetime 2017-03-21T09:38:13 --delay 1 --endMP 204:717 --enddatetime 2017-03-21T09:55:04 --enforcementcount 0 &gt;&gt;C:\Users\stu\Documents\GitHub\eaglep3-reporting\EC\2017-03-21-refined-times.txt</v>
      </c>
      <c r="AI178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{"issue":{"subject":"","project_id":79,"tracker_id":40,"status_id":1,"priority_id":2,"assigned_to_id":23,"start_date":"2017-03-21","description":"","custom_fields":[{"id":1,"name":"Subdivision","value":"NW"},{"id":4,"name":"Milepost","value":"0.0717"},{"id":17,"name":"Train ID","value":"814-21"},{"id":16,"name":"Locomotive ID","value":"4001"},{"id":130,"name":"Impact","value":""},{"id":150,"name":"Time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3"/>
        <v>start /low /b %USERPROFILE%\Documents\GitHub\eaglep3\Utilities\DownloadLogsFromS3.py --loco 4001 --day 2017-03-21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79" spans="1:91" s="20" customFormat="1" x14ac:dyDescent="0.25">
      <c r="A179" s="33" t="s">
        <v>704</v>
      </c>
      <c r="B179" s="7">
        <v>4002</v>
      </c>
      <c r="C179" s="21" t="s">
        <v>221</v>
      </c>
      <c r="D179" s="21" t="s">
        <v>988</v>
      </c>
      <c r="E179" s="13">
        <v>42815.427187499998</v>
      </c>
      <c r="F179" s="13">
        <v>42815.43167824074</v>
      </c>
      <c r="G179" s="7">
        <v>3</v>
      </c>
      <c r="H179" s="21" t="s">
        <v>989</v>
      </c>
      <c r="I179" s="13">
        <v>42815.441053240742</v>
      </c>
      <c r="J179" s="7">
        <v>0</v>
      </c>
      <c r="K179" s="98" t="str">
        <f t="shared" si="50"/>
        <v>4001/4002</v>
      </c>
      <c r="L179" s="21" t="str">
        <f>VLOOKUP(A179,'Trips&amp;Operators'!$C$1:$G$99999,5,FALSE)</f>
        <v>BROWN JACOB</v>
      </c>
      <c r="M179" s="6">
        <f t="shared" si="51"/>
        <v>9.3750000014551915E-3</v>
      </c>
      <c r="N179" s="7">
        <f t="shared" si="64"/>
        <v>13.500000002095476</v>
      </c>
      <c r="O179" s="7"/>
      <c r="P179" s="7"/>
      <c r="Q179" s="22"/>
      <c r="R179" s="22"/>
      <c r="S179" s="31">
        <f t="shared" si="65"/>
        <v>1</v>
      </c>
      <c r="T179" s="46" t="str">
        <f t="shared" si="52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3"/>
        <v>https://d0f6bd738d7f1b3e5a7ca70fe4ff75f0.us-east-1.aws.found.io/app/kibana#/discover/Steve-Slow-Train-Analysis-(2080s-and-2083s)?_g=(refreshInterval:(display:Off,pause:!f,section:0,value:0),time:(from:'2017-03-21T09:15:09-0600',mode:absolute,to:'2017-03-21T11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187" t="str">
        <f t="shared" si="54"/>
        <v>N</v>
      </c>
      <c r="X179" s="187">
        <f t="shared" si="55"/>
        <v>1</v>
      </c>
      <c r="Y179" s="62">
        <f t="shared" si="67"/>
        <v>0.10059999999999999</v>
      </c>
      <c r="Z179" s="62">
        <f t="shared" si="66"/>
        <v>5.8949999999999996</v>
      </c>
      <c r="AA179" s="62">
        <f t="shared" si="56"/>
        <v>5.7943999999999996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7"/>
        <v>0815-21</v>
      </c>
      <c r="AE179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79" s="82" t="str">
        <f t="shared" si="59"/>
        <v>"C:\Program Files (x86)\AstroGrep\AstroGrep.exe" /e /r /s /spath="%USERPROFILE%\AppData\Local\Temp\OnboardLogs" /stypes="app*4002*20170321*" /stext=" 16:.+((SYSTEM_STATE.+slice.+state.+changed )|(ment ac)|(multiple cpu faults)|(system.+state.+changed )|(\[timeout)|(PRM\|1\|D)|(kpr)|(kdp)|(\|lc)|(penalty))"</v>
      </c>
      <c r="AG179" s="1" t="str">
        <f t="shared" si="60"/>
        <v>NW</v>
      </c>
      <c r="AH179" s="86" t="str">
        <f t="shared" si="61"/>
        <v>"%USERPROFILE%\Documents\GitHub\eaglep3\Utilities\RefineRTDCRunTimes.py" --tripid 815-21 --locoid 4002 --swversion DE.1.0.9.0 --startMP 204:1006 --initTime 2017-03-21T10:15:09 --startdatetime 2017-03-21T10:21:37 --delay 3 --endMP 300:58950 --enddatetime 2017-03-21T10:35:07 --enforcementcount 0 &gt;&gt;C:\Users\stu\Documents\GitHub\eaglep3-reporting\EC\2017-03-21-refined-times.txt</v>
      </c>
      <c r="AI179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{"issue":{"subject":"","project_id":79,"tracker_id":40,"status_id":1,"priority_id":2,"assigned_to_id":23,"start_date":"2017-03-21","description":"","custom_fields":[{"id":1,"name":"Subdivision","value":"NW"},{"id":4,"name":"Milepost","value":"5.895"},{"id":17,"name":"Train ID","value":"815-21"},{"id":16,"name":"Locomotive ID","value":"4002"},{"id":130,"name":"Impact","value":""},{"id":150,"name":"Time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3"/>
        <v>start /low /b %USERPROFILE%\Documents\GitHub\eaglep3\Utilities\DownloadLogsFromS3.py --loco 4002 --day 2017-03-21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708</v>
      </c>
      <c r="B180" s="7">
        <v>4001</v>
      </c>
      <c r="C180" s="21" t="s">
        <v>221</v>
      </c>
      <c r="D180" s="21" t="s">
        <v>589</v>
      </c>
      <c r="E180" s="13">
        <v>42815.44190972222</v>
      </c>
      <c r="F180" s="13">
        <v>42815.444189814814</v>
      </c>
      <c r="G180" s="7">
        <v>1</v>
      </c>
      <c r="H180" s="21" t="s">
        <v>830</v>
      </c>
      <c r="I180" s="13">
        <v>42815.454618055555</v>
      </c>
      <c r="J180" s="7">
        <v>0</v>
      </c>
      <c r="K180" s="98" t="str">
        <f t="shared" si="50"/>
        <v>4001/4002</v>
      </c>
      <c r="L180" s="21" t="str">
        <f>VLOOKUP(A180,'Trips&amp;Operators'!$C$1:$G$99999,5,FALSE)</f>
        <v>BROWN JACOB</v>
      </c>
      <c r="M180" s="6">
        <f t="shared" si="51"/>
        <v>1.0428240741021E-2</v>
      </c>
      <c r="N180" s="7">
        <f t="shared" si="64"/>
        <v>15.01666666707024</v>
      </c>
      <c r="O180" s="7"/>
      <c r="P180" s="7"/>
      <c r="Q180" s="22"/>
      <c r="R180" s="22"/>
      <c r="S180" s="31">
        <f t="shared" si="65"/>
        <v>1</v>
      </c>
      <c r="T180" s="46" t="str">
        <f t="shared" si="52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3"/>
        <v>https://d0f6bd738d7f1b3e5a7ca70fe4ff75f0.us-east-1.aws.found.io/app/kibana#/discover/Steve-Slow-Train-Analysis-(2080s-and-2083s)?_g=(refreshInterval:(display:Off,pause:!f,section:0,value:0),time:(from:'2017-03-21T09:36:21-0600',mode:absolute,to:'2017-03-21T11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187" t="str">
        <f t="shared" si="54"/>
        <v>N</v>
      </c>
      <c r="X180" s="187">
        <f t="shared" si="55"/>
        <v>1</v>
      </c>
      <c r="Y180" s="62">
        <f t="shared" si="67"/>
        <v>5.8638000000000003</v>
      </c>
      <c r="Z180" s="62">
        <f t="shared" si="66"/>
        <v>7.2599999999999998E-2</v>
      </c>
      <c r="AA180" s="62">
        <f t="shared" si="56"/>
        <v>5.7911999999999999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7"/>
        <v>0816-21</v>
      </c>
      <c r="AE180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80" s="82" t="str">
        <f t="shared" si="59"/>
        <v>"C:\Program Files (x86)\AstroGrep\AstroGrep.exe" /e /r /s /spath="%USERPROFILE%\AppData\Local\Temp\OnboardLogs" /stypes="app*4001*20170321*" /stext=" 16:.+((SYSTEM_STATE.+slice.+state.+changed )|(ment ac)|(multiple cpu faults)|(system.+state.+changed )|(\[timeout)|(PRM\|1\|D)|(kpr)|(kdp)|(\|lc)|(penalty))"</v>
      </c>
      <c r="AG180" s="1" t="str">
        <f t="shared" si="60"/>
        <v>NW</v>
      </c>
      <c r="AH180" s="86" t="str">
        <f t="shared" si="61"/>
        <v>"%USERPROFILE%\Documents\GitHub\eaglep3\Utilities\RefineRTDCRunTimes.py" --tripid 816-21 --locoid 4001 --swversion DE.1.0.9.0 --startMP 300:58638 --initTime 2017-03-21T10:36:21 --startdatetime 2017-03-21T10:39:38 --delay 1 --endMP 204:726 --enddatetime 2017-03-21T10:54:39 --enforcementcount 0 &gt;&gt;C:\Users\stu\Documents\GitHub\eaglep3-reporting\EC\2017-03-21-refined-times.txt</v>
      </c>
      <c r="AI180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{"issue":{"subject":"","project_id":79,"tracker_id":40,"status_id":1,"priority_id":2,"assigned_to_id":23,"start_date":"2017-03-21","description":"","custom_fields":[{"id":1,"name":"Subdivision","value":"NW"},{"id":4,"name":"Milepost","value":"0.0726"},{"id":17,"name":"Train ID","value":"816-21"},{"id":16,"name":"Locomotive ID","value":"4001"},{"id":130,"name":"Impact","value":""},{"id":150,"name":"Time of Event (Mountain Time)","value":"10:54:39"},{"id":151,"name":"Denver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3"/>
        <v>start /low /b %USERPROFILE%\Documents\GitHub\eaglep3\Utilities\DownloadLogsFromS3.py --loco 4001 --day 2017-03-21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81" spans="1:91" s="20" customFormat="1" x14ac:dyDescent="0.25">
      <c r="A181" s="33" t="s">
        <v>614</v>
      </c>
      <c r="B181" s="7">
        <v>4002</v>
      </c>
      <c r="C181" s="21" t="s">
        <v>221</v>
      </c>
      <c r="D181" s="21" t="s">
        <v>990</v>
      </c>
      <c r="E181" s="13">
        <v>42815.460486111115</v>
      </c>
      <c r="F181" s="13">
        <v>42815.473321759258</v>
      </c>
      <c r="G181" s="7">
        <v>1</v>
      </c>
      <c r="H181" s="21" t="s">
        <v>991</v>
      </c>
      <c r="I181" s="13">
        <v>42815.482511574075</v>
      </c>
      <c r="J181" s="7">
        <v>0</v>
      </c>
      <c r="K181" s="98" t="str">
        <f t="shared" si="50"/>
        <v>4001/4002</v>
      </c>
      <c r="L181" s="21" t="str">
        <f>VLOOKUP(A181,'Trips&amp;Operators'!$C$1:$G$99999,5,FALSE)</f>
        <v>BROWN JACOB</v>
      </c>
      <c r="M181" s="6">
        <f t="shared" si="51"/>
        <v>9.189814816636499E-3</v>
      </c>
      <c r="N181" s="7">
        <f t="shared" si="64"/>
        <v>13.233333335956559</v>
      </c>
      <c r="O181" s="7"/>
      <c r="P181" s="7"/>
      <c r="Q181" s="22"/>
      <c r="R181" s="22"/>
      <c r="S181" s="31">
        <f t="shared" si="65"/>
        <v>1</v>
      </c>
      <c r="T181" s="46" t="str">
        <f t="shared" si="52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3"/>
        <v>https://d0f6bd738d7f1b3e5a7ca70fe4ff75f0.us-east-1.aws.found.io/app/kibana#/discover/Steve-Slow-Train-Analysis-(2080s-and-2083s)?_g=(refreshInterval:(display:Off,pause:!f,section:0,value:0),time:(from:'2017-03-21T10:03:06-0600',mode:absolute,to:'2017-03-21T12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187" t="str">
        <f t="shared" si="54"/>
        <v>N</v>
      </c>
      <c r="X181" s="187">
        <f t="shared" si="55"/>
        <v>1</v>
      </c>
      <c r="Y181" s="62">
        <f t="shared" si="67"/>
        <v>0.1009</v>
      </c>
      <c r="Z181" s="62">
        <f t="shared" si="66"/>
        <v>5.8958000000000004</v>
      </c>
      <c r="AA181" s="62">
        <f t="shared" si="56"/>
        <v>5.7949000000000002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7"/>
        <v>0817-21</v>
      </c>
      <c r="AE181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81" s="82" t="str">
        <f t="shared" si="59"/>
        <v>"C:\Program Files (x86)\AstroGrep\AstroGrep.exe" /e /r /s /spath="%USERPROFILE%\AppData\Local\Temp\OnboardLogs" /stypes="app*4002*20170321*" /stext=" 17:.+((SYSTEM_STATE.+slice.+state.+changed )|(ment ac)|(multiple cpu faults)|(system.+state.+changed )|(\[timeout)|(PRM\|1\|D)|(kpr)|(kdp)|(\|lc)|(penalty))"</v>
      </c>
      <c r="AG181" s="1" t="str">
        <f t="shared" si="60"/>
        <v>NW</v>
      </c>
      <c r="AH181" s="86" t="str">
        <f t="shared" si="61"/>
        <v>"%USERPROFILE%\Documents\GitHub\eaglep3\Utilities\RefineRTDCRunTimes.py" --tripid 817-21 --locoid 4002 --swversion DE.1.0.9.0 --startMP 204:1009 --initTime 2017-03-21T11:03:06 --startdatetime 2017-03-21T11:21:35 --delay 1 --endMP 300:58958 --enddatetime 2017-03-21T11:34:49 --enforcementcount 0 &gt;&gt;C:\Users\stu\Documents\GitHub\eaglep3-reporting\EC\2017-03-21-refined-times.txt</v>
      </c>
      <c r="AI181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{"issue":{"subject":"","project_id":79,"tracker_id":40,"status_id":1,"priority_id":2,"assigned_to_id":23,"start_date":"2017-03-21","description":"","custom_fields":[{"id":1,"name":"Subdivision","value":"NW"},{"id":4,"name":"Milepost","value":"5.8958"},{"id":17,"name":"Train ID","value":"817-21"},{"id":16,"name":"Locomotive ID","value":"4002"},{"id":130,"name":"Impact","value":""},{"id":150,"name":"Time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3"/>
        <v>start /low /b %USERPROFILE%\Documents\GitHub\eaglep3\Utilities\DownloadLogsFromS3.py --loco 4002 --day 2017-03-21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716</v>
      </c>
      <c r="B182" s="7">
        <v>4001</v>
      </c>
      <c r="C182" s="21" t="s">
        <v>221</v>
      </c>
      <c r="D182" s="21" t="s">
        <v>982</v>
      </c>
      <c r="E182" s="13">
        <v>42815.485266203701</v>
      </c>
      <c r="F182" s="13">
        <v>42815.486817129633</v>
      </c>
      <c r="G182" s="7">
        <v>1</v>
      </c>
      <c r="H182" s="21" t="s">
        <v>992</v>
      </c>
      <c r="I182" s="13">
        <v>42815.496412037035</v>
      </c>
      <c r="J182" s="7">
        <v>0</v>
      </c>
      <c r="K182" s="98" t="str">
        <f t="shared" si="50"/>
        <v>4001/4002</v>
      </c>
      <c r="L182" s="21" t="str">
        <f>VLOOKUP(A182,'Trips&amp;Operators'!$C$1:$G$99999,5,FALSE)</f>
        <v>BROWN JACOB</v>
      </c>
      <c r="M182" s="6">
        <f t="shared" si="51"/>
        <v>9.594907402060926E-3</v>
      </c>
      <c r="N182" s="7">
        <f t="shared" si="64"/>
        <v>13.816666658967733</v>
      </c>
      <c r="O182" s="7"/>
      <c r="P182" s="7"/>
      <c r="Q182" s="22"/>
      <c r="R182" s="22"/>
      <c r="S182" s="31">
        <f t="shared" si="65"/>
        <v>1</v>
      </c>
      <c r="T182" s="46" t="str">
        <f t="shared" si="52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3"/>
        <v>https://d0f6bd738d7f1b3e5a7ca70fe4ff75f0.us-east-1.aws.found.io/app/kibana#/discover/Steve-Slow-Train-Analysis-(2080s-and-2083s)?_g=(refreshInterval:(display:Off,pause:!f,section:0,value:0),time:(from:'2017-03-21T10:38:47-0600',mode:absolute,to:'2017-03-21T12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187" t="str">
        <f t="shared" si="54"/>
        <v>N</v>
      </c>
      <c r="X182" s="187">
        <f t="shared" si="55"/>
        <v>1</v>
      </c>
      <c r="Y182" s="62">
        <f t="shared" si="67"/>
        <v>5.8639999999999999</v>
      </c>
      <c r="Z182" s="62">
        <f t="shared" si="66"/>
        <v>7.3800000000000004E-2</v>
      </c>
      <c r="AA182" s="62">
        <f t="shared" si="56"/>
        <v>5.7901999999999996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7"/>
        <v>0818-21</v>
      </c>
      <c r="AE182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82" s="82" t="str">
        <f t="shared" si="59"/>
        <v>"C:\Program Files (x86)\AstroGrep\AstroGrep.exe" /e /r /s /spath="%USERPROFILE%\AppData\Local\Temp\OnboardLogs" /stypes="app*4001*20170321*" /stext=" 17:.+((SYSTEM_STATE.+slice.+state.+changed )|(ment ac)|(multiple cpu faults)|(system.+state.+changed )|(\[timeout)|(PRM\|1\|D)|(kpr)|(kdp)|(\|lc)|(penalty))"</v>
      </c>
      <c r="AG182" s="1" t="str">
        <f t="shared" si="60"/>
        <v>NW</v>
      </c>
      <c r="AH182" s="86" t="str">
        <f t="shared" si="61"/>
        <v>"%USERPROFILE%\Documents\GitHub\eaglep3\Utilities\RefineRTDCRunTimes.py" --tripid 818-21 --locoid 4001 --swversion DE.1.0.9.0 --startMP 300:58640 --initTime 2017-03-21T11:38:47 --startdatetime 2017-03-21T11:41:01 --delay 1 --endMP 204:738 --enddatetime 2017-03-21T11:54:50 --enforcementcount 0 &gt;&gt;C:\Users\stu\Documents\GitHub\eaglep3-reporting\EC\2017-03-21-refined-times.txt</v>
      </c>
      <c r="AI182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{"issue":{"subject":"","project_id":79,"tracker_id":40,"status_id":1,"priority_id":2,"assigned_to_id":23,"start_date":"2017-03-21","description":"","custom_fields":[{"id":1,"name":"Subdivision","value":"NW"},{"id":4,"name":"Milepost","value":"0.0738"},{"id":17,"name":"Train ID","value":"818-21"},{"id":16,"name":"Locomotive ID","value":"4001"},{"id":130,"name":"Impact","value":""},{"id":150,"name":"Time of Event (Mountain Time)","value":"11:54:50"},{"id":151,"name":"Denver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3"/>
        <v>start /low /b %USERPROFILE%\Documents\GitHub\eaglep3\Utilities\DownloadLogsFromS3.py --loco 4001 --day 2017-03-21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83" spans="1:91" x14ac:dyDescent="0.25">
      <c r="A183" s="33" t="s">
        <v>722</v>
      </c>
      <c r="B183" s="7">
        <v>4002</v>
      </c>
      <c r="C183" s="21" t="s">
        <v>221</v>
      </c>
      <c r="D183" s="21" t="s">
        <v>586</v>
      </c>
      <c r="E183" s="13">
        <v>42815.510740740741</v>
      </c>
      <c r="F183" s="13">
        <v>42815.514733796299</v>
      </c>
      <c r="G183" s="7">
        <v>1</v>
      </c>
      <c r="H183" s="21" t="s">
        <v>993</v>
      </c>
      <c r="I183" s="13">
        <v>42815.52412037037</v>
      </c>
      <c r="J183" s="7">
        <v>0</v>
      </c>
      <c r="K183" s="98" t="str">
        <f t="shared" si="50"/>
        <v>4001/4002</v>
      </c>
      <c r="L183" s="21" t="str">
        <f>VLOOKUP(A183,'Trips&amp;Operators'!$C$1:$G$99999,5,FALSE)</f>
        <v>BROWN JACOB</v>
      </c>
      <c r="M183" s="6">
        <f t="shared" si="51"/>
        <v>9.3865740709588863E-3</v>
      </c>
      <c r="N183" s="7">
        <f t="shared" si="64"/>
        <v>13.516666662180796</v>
      </c>
      <c r="O183" s="7"/>
      <c r="P183" s="7"/>
      <c r="Q183" s="22"/>
      <c r="R183" s="22"/>
      <c r="S183" s="31">
        <f t="shared" si="65"/>
        <v>1</v>
      </c>
      <c r="T183" s="46" t="str">
        <f t="shared" si="52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3"/>
        <v>https://d0f6bd738d7f1b3e5a7ca70fe4ff75f0.us-east-1.aws.found.io/app/kibana#/discover/Steve-Slow-Train-Analysis-(2080s-and-2083s)?_g=(refreshInterval:(display:Off,pause:!f,section:0,value:0),time:(from:'2017-03-21T11:15:28-0600',mode:absolute,to:'2017-03-21T13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187" t="str">
        <f t="shared" si="54"/>
        <v>N</v>
      </c>
      <c r="X183" s="187">
        <f t="shared" si="55"/>
        <v>1</v>
      </c>
      <c r="Y183" s="62">
        <f t="shared" si="67"/>
        <v>0.10249999999999999</v>
      </c>
      <c r="Z183" s="62">
        <f t="shared" si="66"/>
        <v>5.8952</v>
      </c>
      <c r="AA183" s="62">
        <f t="shared" si="56"/>
        <v>5.7927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7"/>
        <v>0819-21</v>
      </c>
      <c r="AE183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83" s="82" t="str">
        <f t="shared" si="59"/>
        <v>"C:\Program Files (x86)\AstroGrep\AstroGrep.exe" /e /r /s /spath="%USERPROFILE%\AppData\Local\Temp\OnboardLogs" /stypes="app*4002*20170321*" /stext=" 18:.+((SYSTEM_STATE.+slice.+state.+changed )|(ment ac)|(multiple cpu faults)|(system.+state.+changed )|(\[timeout)|(PRM\|1\|D)|(kpr)|(kdp)|(\|lc)|(penalty))"</v>
      </c>
      <c r="AG183" s="1" t="str">
        <f t="shared" si="60"/>
        <v>NW</v>
      </c>
      <c r="AH183" s="86" t="str">
        <f t="shared" si="61"/>
        <v>"%USERPROFILE%\Documents\GitHub\eaglep3\Utilities\RefineRTDCRunTimes.py" --tripid 819-21 --locoid 4002 --swversion DE.1.0.9.0 --startMP 204:1025 --initTime 2017-03-21T12:15:28 --startdatetime 2017-03-21T12:21:13 --delay 1 --endMP 300:58952 --enddatetime 2017-03-21T12:34:44 --enforcementcount 0 &gt;&gt;C:\Users\stu\Documents\GitHub\eaglep3-reporting\EC\2017-03-21-refined-times.txt</v>
      </c>
      <c r="AI183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{"issue":{"subject":"","project_id":79,"tracker_id":40,"status_id":1,"priority_id":2,"assigned_to_id":23,"start_date":"2017-03-21","description":"","custom_fields":[{"id":1,"name":"Subdivision","value":"NW"},{"id":4,"name":"Milepost","value":"5.8952"},{"id":17,"name":"Train ID","value":"819-21"},{"id":16,"name":"Locomotive ID","value":"4002"},{"id":130,"name":"Impact","value":""},{"id":150,"name":"Time of Event (Mountain Time)","value":"12:34:44"},{"id":151,"name":"Denver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3"/>
        <v>start /low /b %USERPROFILE%\Documents\GitHub\eaglep3\Utilities\DownloadLogsFromS3.py --loco 4002 --day 2017-03-21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84" spans="1:91" s="20" customFormat="1" x14ac:dyDescent="0.25">
      <c r="A184" s="33" t="s">
        <v>727</v>
      </c>
      <c r="B184" s="7">
        <v>4001</v>
      </c>
      <c r="C184" s="21" t="s">
        <v>221</v>
      </c>
      <c r="D184" s="21" t="s">
        <v>994</v>
      </c>
      <c r="E184" s="13">
        <v>42815.524965277778</v>
      </c>
      <c r="F184" s="13">
        <v>42815.52621527778</v>
      </c>
      <c r="G184" s="7">
        <v>1</v>
      </c>
      <c r="H184" s="21" t="s">
        <v>995</v>
      </c>
      <c r="I184" s="13">
        <v>42815.538090277776</v>
      </c>
      <c r="J184" s="7">
        <v>0</v>
      </c>
      <c r="K184" s="98" t="str">
        <f t="shared" si="50"/>
        <v>4001/4002</v>
      </c>
      <c r="L184" s="21" t="str">
        <f>VLOOKUP(A184,'Trips&amp;Operators'!$C$1:$G$99999,5,FALSE)</f>
        <v>BROWN JACOB</v>
      </c>
      <c r="M184" s="6">
        <f t="shared" si="51"/>
        <v>1.187499999650754E-2</v>
      </c>
      <c r="N184" s="7">
        <f t="shared" si="64"/>
        <v>17.099999994970858</v>
      </c>
      <c r="O184" s="7"/>
      <c r="P184" s="7"/>
      <c r="Q184" s="22"/>
      <c r="R184" s="22"/>
      <c r="S184" s="31">
        <f t="shared" si="65"/>
        <v>1</v>
      </c>
      <c r="T184" s="46" t="str">
        <f t="shared" si="52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3"/>
        <v>https://d0f6bd738d7f1b3e5a7ca70fe4ff75f0.us-east-1.aws.found.io/app/kibana#/discover/Steve-Slow-Train-Analysis-(2080s-and-2083s)?_g=(refreshInterval:(display:Off,pause:!f,section:0,value:0),time:(from:'2017-03-21T11:35:57-0600',mode:absolute,to:'2017-03-21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187" t="str">
        <f t="shared" si="54"/>
        <v>N</v>
      </c>
      <c r="X184" s="187">
        <f t="shared" si="55"/>
        <v>1</v>
      </c>
      <c r="Y184" s="62">
        <f t="shared" si="67"/>
        <v>5.8651</v>
      </c>
      <c r="Z184" s="62">
        <f t="shared" si="66"/>
        <v>7.5899999999999995E-2</v>
      </c>
      <c r="AA184" s="62">
        <f t="shared" si="56"/>
        <v>5.7892000000000001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7"/>
        <v>0820-21</v>
      </c>
      <c r="AE184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84" s="82" t="str">
        <f t="shared" si="59"/>
        <v>"C:\Program Files (x86)\AstroGrep\AstroGrep.exe" /e /r /s /spath="%USERPROFILE%\AppData\Local\Temp\OnboardLogs" /stypes="app*4001*20170321*" /stext=" 18:.+((SYSTEM_STATE.+slice.+state.+changed )|(ment ac)|(multiple cpu faults)|(system.+state.+changed )|(\[timeout)|(PRM\|1\|D)|(kpr)|(kdp)|(\|lc)|(penalty))"</v>
      </c>
      <c r="AG184" s="1" t="str">
        <f t="shared" si="60"/>
        <v>NW</v>
      </c>
      <c r="AH184" s="86" t="str">
        <f t="shared" si="61"/>
        <v>"%USERPROFILE%\Documents\GitHub\eaglep3\Utilities\RefineRTDCRunTimes.py" --tripid 820-21 --locoid 4001 --swversion DE.1.0.9.0 --startMP 300:58651 --initTime 2017-03-21T12:35:57 --startdatetime 2017-03-21T12:37:45 --delay 1 --endMP 204:759 --enddatetime 2017-03-21T12:54:51 --enforcementcount 0 &gt;&gt;C:\Users\stu\Documents\GitHub\eaglep3-reporting\EC\2017-03-21-refined-times.txt</v>
      </c>
      <c r="AI184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{"issue":{"subject":"","project_id":79,"tracker_id":40,"status_id":1,"priority_id":2,"assigned_to_id":23,"start_date":"2017-03-21","description":"","custom_fields":[{"id":1,"name":"Subdivision","value":"NW"},{"id":4,"name":"Milepost","value":"0.0759"},{"id":17,"name":"Train ID","value":"820-21"},{"id":16,"name":"Locomotive ID","value":"4001"},{"id":130,"name":"Impact","value":""},{"id":150,"name":"Time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3"/>
        <v>start /low /b %USERPROFILE%\Documents\GitHub\eaglep3\Utilities\DownloadLogsFromS3.py --loco 4001 --day 2017-03-21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732</v>
      </c>
      <c r="B185" s="7">
        <v>4002</v>
      </c>
      <c r="C185" s="21" t="s">
        <v>221</v>
      </c>
      <c r="D185" s="21" t="s">
        <v>996</v>
      </c>
      <c r="E185" s="13">
        <v>42815.545844907407</v>
      </c>
      <c r="F185" s="13">
        <v>42815.556423611109</v>
      </c>
      <c r="G185" s="7">
        <v>2</v>
      </c>
      <c r="H185" s="21" t="s">
        <v>997</v>
      </c>
      <c r="I185" s="13">
        <v>42815.565844907411</v>
      </c>
      <c r="J185" s="7">
        <v>0</v>
      </c>
      <c r="K185" s="98" t="str">
        <f t="shared" si="50"/>
        <v>4001/4002</v>
      </c>
      <c r="L185" s="21" t="str">
        <f>VLOOKUP(A185,'Trips&amp;Operators'!$C$1:$G$99999,5,FALSE)</f>
        <v>FORTUNATO FRANK</v>
      </c>
      <c r="M185" s="6">
        <f t="shared" si="51"/>
        <v>9.4212963012978435E-3</v>
      </c>
      <c r="N185" s="7">
        <f t="shared" si="64"/>
        <v>13.566666673868895</v>
      </c>
      <c r="O185" s="7"/>
      <c r="P185" s="7"/>
      <c r="Q185" s="22"/>
      <c r="R185" s="22"/>
      <c r="S185" s="31">
        <f t="shared" si="65"/>
        <v>1</v>
      </c>
      <c r="T185" s="46" t="str">
        <f t="shared" si="52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3"/>
        <v>https://d0f6bd738d7f1b3e5a7ca70fe4ff75f0.us-east-1.aws.found.io/app/kibana#/discover/Steve-Slow-Train-Analysis-(2080s-and-2083s)?_g=(refreshInterval:(display:Off,pause:!f,section:0,value:0),time:(from:'2017-03-21T12:06:01-0600',mode:absolute,to:'2017-03-21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5" s="187" t="str">
        <f t="shared" si="54"/>
        <v>N</v>
      </c>
      <c r="X185" s="187">
        <f t="shared" si="55"/>
        <v>1</v>
      </c>
      <c r="Y185" s="62">
        <f t="shared" si="67"/>
        <v>0.1046</v>
      </c>
      <c r="Z185" s="62">
        <f t="shared" si="66"/>
        <v>5.8943000000000003</v>
      </c>
      <c r="AA185" s="62">
        <f t="shared" si="56"/>
        <v>5.7897000000000007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7"/>
        <v>0821-21</v>
      </c>
      <c r="AE185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85" s="82" t="str">
        <f t="shared" si="59"/>
        <v>"C:\Program Files (x86)\AstroGrep\AstroGrep.exe" /e /r /s /spath="%USERPROFILE%\AppData\Local\Temp\OnboardLogs" /stypes="app*4002*20170321*" /stext=" 19:.+((SYSTEM_STATE.+slice.+state.+changed )|(ment ac)|(multiple cpu faults)|(system.+state.+changed )|(\[timeout)|(PRM\|1\|D)|(kpr)|(kdp)|(\|lc)|(penalty))"</v>
      </c>
      <c r="AG185" s="1" t="str">
        <f t="shared" si="60"/>
        <v>NW</v>
      </c>
      <c r="AH185" s="86" t="str">
        <f t="shared" si="61"/>
        <v>"%USERPROFILE%\Documents\GitHub\eaglep3\Utilities\RefineRTDCRunTimes.py" --tripid 821-21 --locoid 4002 --swversion DE.1.0.9.0 --startMP 204:1046 --initTime 2017-03-21T13:06:01 --startdatetime 2017-03-21T13:21:15 --delay 2 --endMP 300:58943 --enddatetime 2017-03-21T13:34:49 --enforcementcount 0 &gt;&gt;C:\Users\stu\Documents\GitHub\eaglep3-reporting\EC\2017-03-21-refined-times.txt</v>
      </c>
      <c r="AI185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{"issue":{"subject":"","project_id":79,"tracker_id":40,"status_id":1,"priority_id":2,"assigned_to_id":23,"start_date":"2017-03-21","description":"","custom_fields":[{"id":1,"name":"Subdivision","value":"NW"},{"id":4,"name":"Milepost","value":"5.8943"},{"id":17,"name":"Train ID","value":"821-21"},{"id":16,"name":"Locomotive ID","value":"4002"},{"id":130,"name":"Impact","value":""},{"id":150,"name":"Time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3"/>
        <v>start /low /b %USERPROFILE%\Documents\GitHub\eaglep3\Utilities\DownloadLogsFromS3.py --loco 4002 --day 2017-03-21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86" spans="1:91" s="20" customFormat="1" x14ac:dyDescent="0.25">
      <c r="A186" s="33" t="s">
        <v>619</v>
      </c>
      <c r="B186" s="7">
        <v>4001</v>
      </c>
      <c r="C186" s="21" t="s">
        <v>221</v>
      </c>
      <c r="D186" s="21" t="s">
        <v>436</v>
      </c>
      <c r="E186" s="13">
        <v>42815.566770833335</v>
      </c>
      <c r="F186" s="13">
        <v>42815.568541666667</v>
      </c>
      <c r="G186" s="7">
        <v>1</v>
      </c>
      <c r="H186" s="21" t="s">
        <v>998</v>
      </c>
      <c r="I186" s="13">
        <v>42815.580046296294</v>
      </c>
      <c r="J186" s="7">
        <v>0</v>
      </c>
      <c r="K186" s="98" t="str">
        <f t="shared" si="50"/>
        <v>4001/4002</v>
      </c>
      <c r="L186" s="21" t="str">
        <f>VLOOKUP(A186,'Trips&amp;Operators'!$C$1:$G$99999,5,FALSE)</f>
        <v>FORTUNATO FRANK</v>
      </c>
      <c r="M186" s="6">
        <f t="shared" si="51"/>
        <v>1.1504629626870155E-2</v>
      </c>
      <c r="N186" s="7">
        <f t="shared" si="64"/>
        <v>16.566666662693024</v>
      </c>
      <c r="O186" s="7"/>
      <c r="P186" s="7"/>
      <c r="Q186" s="22"/>
      <c r="R186" s="22"/>
      <c r="S186" s="31">
        <f t="shared" si="65"/>
        <v>1</v>
      </c>
      <c r="T186" s="46" t="str">
        <f t="shared" si="52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3"/>
        <v>https://d0f6bd738d7f1b3e5a7ca70fe4ff75f0.us-east-1.aws.found.io/app/kibana#/discover/Steve-Slow-Train-Analysis-(2080s-and-2083s)?_g=(refreshInterval:(display:Off,pause:!f,section:0,value:0),time:(from:'2017-03-21T12:36:09-0600',mode:absolute,to:'2017-03-21T14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6" s="187" t="str">
        <f t="shared" si="54"/>
        <v>N</v>
      </c>
      <c r="X186" s="187">
        <f t="shared" si="55"/>
        <v>1</v>
      </c>
      <c r="Y186" s="62">
        <f t="shared" si="67"/>
        <v>5.8613</v>
      </c>
      <c r="Z186" s="62">
        <f t="shared" si="66"/>
        <v>7.3599999999999999E-2</v>
      </c>
      <c r="AA186" s="62">
        <f t="shared" si="56"/>
        <v>5.7877000000000001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7"/>
        <v>0822-21</v>
      </c>
      <c r="AE186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86" s="82" t="str">
        <f t="shared" si="59"/>
        <v>"C:\Program Files (x86)\AstroGrep\AstroGrep.exe" /e /r /s /spath="%USERPROFILE%\AppData\Local\Temp\OnboardLogs" /stypes="app*4001*20170321*" /stext=" 19:.+((SYSTEM_STATE.+slice.+state.+changed )|(ment ac)|(multiple cpu faults)|(system.+state.+changed )|(\[timeout)|(PRM\|1\|D)|(kpr)|(kdp)|(\|lc)|(penalty))"</v>
      </c>
      <c r="AG186" s="1" t="str">
        <f t="shared" si="60"/>
        <v>NW</v>
      </c>
      <c r="AH186" s="86" t="str">
        <f t="shared" si="61"/>
        <v>"%USERPROFILE%\Documents\GitHub\eaglep3\Utilities\RefineRTDCRunTimes.py" --tripid 822-21 --locoid 4001 --swversion DE.1.0.9.0 --startMP 300:58613 --initTime 2017-03-21T13:36:09 --startdatetime 2017-03-21T13:38:42 --delay 1 --endMP 204:736 --enddatetime 2017-03-21T13:55:16 --enforcementcount 0 &gt;&gt;C:\Users\stu\Documents\GitHub\eaglep3-reporting\EC\2017-03-21-refined-times.txt</v>
      </c>
      <c r="AI186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{"issue":{"subject":"","project_id":79,"tracker_id":40,"status_id":1,"priority_id":2,"assigned_to_id":23,"start_date":"2017-03-21","description":"","custom_fields":[{"id":1,"name":"Subdivision","value":"NW"},{"id":4,"name":"Milepost","value":"0.0736"},{"id":17,"name":"Train ID","value":"822-21"},{"id":16,"name":"Locomotive ID","value":"4001"},{"id":130,"name":"Impact","value":""},{"id":150,"name":"Time of Event (Mountain Time)","value":"13:55:16"},{"id":151,"name":"Denver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3"/>
        <v>start /low /b %USERPROFILE%\Documents\GitHub\eaglep3\Utilities\DownloadLogsFromS3.py --loco 4001 --day 2017-03-21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739</v>
      </c>
      <c r="B187" s="7">
        <v>4002</v>
      </c>
      <c r="C187" s="21" t="s">
        <v>221</v>
      </c>
      <c r="D187" s="21" t="s">
        <v>999</v>
      </c>
      <c r="E187" s="13">
        <v>42815.590752314813</v>
      </c>
      <c r="F187" s="13">
        <v>42815.598090277781</v>
      </c>
      <c r="G187" s="7">
        <v>2</v>
      </c>
      <c r="H187" s="21" t="s">
        <v>1000</v>
      </c>
      <c r="I187" s="13">
        <v>42815.606805555559</v>
      </c>
      <c r="J187" s="7">
        <v>0</v>
      </c>
      <c r="K187" s="98" t="str">
        <f t="shared" si="50"/>
        <v>4001/4002</v>
      </c>
      <c r="L187" s="21" t="str">
        <f>VLOOKUP(A187,'Trips&amp;Operators'!$C$1:$G$99999,5,FALSE)</f>
        <v>FORTUNATO FRANK</v>
      </c>
      <c r="M187" s="6">
        <f t="shared" si="51"/>
        <v>8.7152777778101154E-3</v>
      </c>
      <c r="N187" s="7">
        <f t="shared" si="64"/>
        <v>12.550000000046566</v>
      </c>
      <c r="O187" s="7"/>
      <c r="P187" s="7"/>
      <c r="Q187" s="22"/>
      <c r="R187" s="22"/>
      <c r="S187" s="31">
        <f t="shared" si="65"/>
        <v>1</v>
      </c>
      <c r="T187" s="46" t="str">
        <f t="shared" si="52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3"/>
        <v>https://d0f6bd738d7f1b3e5a7ca70fe4ff75f0.us-east-1.aws.found.io/app/kibana#/discover/Steve-Slow-Train-Analysis-(2080s-and-2083s)?_g=(refreshInterval:(display:Off,pause:!f,section:0,value:0),time:(from:'2017-03-21T13:10:41-0600',mode:absolute,to:'2017-03-21T15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187" t="str">
        <f t="shared" si="54"/>
        <v>N</v>
      </c>
      <c r="X187" s="187">
        <f t="shared" si="55"/>
        <v>1</v>
      </c>
      <c r="Y187" s="62">
        <f t="shared" si="67"/>
        <v>0.10299999999999999</v>
      </c>
      <c r="Z187" s="62">
        <f t="shared" si="66"/>
        <v>5.8924000000000003</v>
      </c>
      <c r="AA187" s="62">
        <f t="shared" si="56"/>
        <v>5.7894000000000005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7"/>
        <v>0823-21</v>
      </c>
      <c r="AE187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87" s="82" t="str">
        <f t="shared" si="59"/>
        <v>"C:\Program Files (x86)\AstroGrep\AstroGrep.exe" /e /r /s /spath="%USERPROFILE%\AppData\Local\Temp\OnboardLogs" /stypes="app*4002*20170321*" /stext=" 20:.+((SYSTEM_STATE.+slice.+state.+changed )|(ment ac)|(multiple cpu faults)|(system.+state.+changed )|(\[timeout)|(PRM\|1\|D)|(kpr)|(kdp)|(\|lc)|(penalty))"</v>
      </c>
      <c r="AG187" s="1" t="str">
        <f t="shared" si="60"/>
        <v>NW</v>
      </c>
      <c r="AH187" s="86" t="str">
        <f t="shared" si="61"/>
        <v>"%USERPROFILE%\Documents\GitHub\eaglep3\Utilities\RefineRTDCRunTimes.py" --tripid 823-21 --locoid 4002 --swversion DE.1.0.9.0 --startMP 204:1030 --initTime 2017-03-21T14:10:41 --startdatetime 2017-03-21T14:21:15 --delay 2 --endMP 300:58924 --enddatetime 2017-03-21T14:33:48 --enforcementcount 0 &gt;&gt;C:\Users\stu\Documents\GitHub\eaglep3-reporting\EC\2017-03-21-refined-times.txt</v>
      </c>
      <c r="AI187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{"issue":{"subject":"","project_id":79,"tracker_id":40,"status_id":1,"priority_id":2,"assigned_to_id":23,"start_date":"2017-03-21","description":"","custom_fields":[{"id":1,"name":"Subdivision","value":"NW"},{"id":4,"name":"Milepost","value":"5.8924"},{"id":17,"name":"Train ID","value":"823-21"},{"id":16,"name":"Locomotive ID","value":"4002"},{"id":130,"name":"Impact","value":""},{"id":150,"name":"Time of Event (Mountain Time)","value":"14:33:48"},{"id":151,"name":"Denver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3"/>
        <v>start /low /b %USERPROFILE%\Documents\GitHub\eaglep3\Utilities\DownloadLogsFromS3.py --loco 4002 --day 2017-03-21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88" spans="1:91" x14ac:dyDescent="0.25">
      <c r="A188" s="33" t="s">
        <v>742</v>
      </c>
      <c r="B188" s="7">
        <v>4001</v>
      </c>
      <c r="C188" s="21" t="s">
        <v>221</v>
      </c>
      <c r="D188" s="21" t="s">
        <v>585</v>
      </c>
      <c r="E188" s="13">
        <v>42815.607893518521</v>
      </c>
      <c r="F188" s="13">
        <v>42815.609594907408</v>
      </c>
      <c r="G188" s="7">
        <v>1</v>
      </c>
      <c r="H188" s="21" t="s">
        <v>584</v>
      </c>
      <c r="I188" s="13">
        <v>42815.621388888889</v>
      </c>
      <c r="J188" s="7">
        <v>0</v>
      </c>
      <c r="K188" s="98" t="str">
        <f t="shared" si="50"/>
        <v>4001/4002</v>
      </c>
      <c r="L188" s="21" t="str">
        <f>VLOOKUP(A188,'Trips&amp;Operators'!$C$1:$G$99999,5,FALSE)</f>
        <v>FORTUNATO FRANK</v>
      </c>
      <c r="M188" s="6">
        <f t="shared" si="51"/>
        <v>1.1793981480877846E-2</v>
      </c>
      <c r="N188" s="7">
        <f t="shared" si="64"/>
        <v>16.983333332464099</v>
      </c>
      <c r="O188" s="7"/>
      <c r="P188" s="7"/>
      <c r="Q188" s="22"/>
      <c r="R188" s="22"/>
      <c r="S188" s="31">
        <f t="shared" si="65"/>
        <v>1</v>
      </c>
      <c r="T188" s="46" t="str">
        <f t="shared" si="52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3"/>
        <v>https://d0f6bd738d7f1b3e5a7ca70fe4ff75f0.us-east-1.aws.found.io/app/kibana#/discover/Steve-Slow-Train-Analysis-(2080s-and-2083s)?_g=(refreshInterval:(display:Off,pause:!f,section:0,value:0),time:(from:'2017-03-21T13:35:22-0600',mode:absolute,to:'2017-03-21T15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187" t="str">
        <f t="shared" si="54"/>
        <v>N</v>
      </c>
      <c r="X188" s="187">
        <f t="shared" si="55"/>
        <v>1</v>
      </c>
      <c r="Y188" s="62">
        <f t="shared" si="67"/>
        <v>5.8620999999999999</v>
      </c>
      <c r="Z188" s="62">
        <f t="shared" si="66"/>
        <v>6.6799999999999998E-2</v>
      </c>
      <c r="AA188" s="62">
        <f t="shared" si="56"/>
        <v>5.7953000000000001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7"/>
        <v>0824-21</v>
      </c>
      <c r="AE188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88" s="82" t="str">
        <f t="shared" si="59"/>
        <v>"C:\Program Files (x86)\AstroGrep\AstroGrep.exe" /e /r /s /spath="%USERPROFILE%\AppData\Local\Temp\OnboardLogs" /stypes="app*4001*20170321*" /stext=" 20:.+((SYSTEM_STATE.+slice.+state.+changed )|(ment ac)|(multiple cpu faults)|(system.+state.+changed )|(\[timeout)|(PRM\|1\|D)|(kpr)|(kdp)|(\|lc)|(penalty))"</v>
      </c>
      <c r="AG188" s="1" t="str">
        <f t="shared" si="60"/>
        <v>NW</v>
      </c>
      <c r="AH188" s="86" t="str">
        <f t="shared" si="61"/>
        <v>"%USERPROFILE%\Documents\GitHub\eaglep3\Utilities\RefineRTDCRunTimes.py" --tripid 824-21 --locoid 4001 --swversion DE.1.0.9.0 --startMP 300:58621 --initTime 2017-03-21T14:35:22 --startdatetime 2017-03-21T14:37:49 --delay 1 --endMP 204:668 --enddatetime 2017-03-21T14:54:48 --enforcementcount 0 &gt;&gt;C:\Users\stu\Documents\GitHub\eaglep3-reporting\EC\2017-03-21-refined-times.txt</v>
      </c>
      <c r="AI188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{"issue":{"subject":"","project_id":79,"tracker_id":40,"status_id":1,"priority_id":2,"assigned_to_id":23,"start_date":"2017-03-21","description":"","custom_fields":[{"id":1,"name":"Subdivision","value":"NW"},{"id":4,"name":"Milepost","value":"0.0668"},{"id":17,"name":"Train ID","value":"824-21"},{"id":16,"name":"Locomotive ID","value":"4001"},{"id":130,"name":"Impact","value":""},{"id":150,"name":"Time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3"/>
        <v>start /low /b %USERPROFILE%\Documents\GitHub\eaglep3\Utilities\DownloadLogsFromS3.py --loco 4001 --day 2017-03-21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89" spans="1:91" x14ac:dyDescent="0.25">
      <c r="A189" s="33" t="s">
        <v>748</v>
      </c>
      <c r="B189" s="7">
        <v>4002</v>
      </c>
      <c r="C189" s="21" t="s">
        <v>221</v>
      </c>
      <c r="D189" s="21" t="s">
        <v>979</v>
      </c>
      <c r="E189" s="13">
        <v>42815.636516203704</v>
      </c>
      <c r="F189" s="13">
        <v>42815.639768518522</v>
      </c>
      <c r="G189" s="7">
        <v>1</v>
      </c>
      <c r="H189" s="21" t="s">
        <v>583</v>
      </c>
      <c r="I189" s="13">
        <v>42815.649675925924</v>
      </c>
      <c r="J189" s="7">
        <v>0</v>
      </c>
      <c r="K189" s="98" t="str">
        <f t="shared" si="50"/>
        <v>4001/4002</v>
      </c>
      <c r="L189" s="21" t="str">
        <f>VLOOKUP(A189,'Trips&amp;Operators'!$C$1:$G$99999,5,FALSE)</f>
        <v>FORTUNATO FRANK</v>
      </c>
      <c r="M189" s="6">
        <f t="shared" si="51"/>
        <v>9.9074074023519643E-3</v>
      </c>
      <c r="N189" s="7">
        <f t="shared" si="64"/>
        <v>14.266666659386829</v>
      </c>
      <c r="O189" s="7"/>
      <c r="P189" s="7"/>
      <c r="Q189" s="22"/>
      <c r="R189" s="22"/>
      <c r="S189" s="31">
        <f t="shared" si="65"/>
        <v>1</v>
      </c>
      <c r="T189" s="46" t="str">
        <f t="shared" si="52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3"/>
        <v>https://d0f6bd738d7f1b3e5a7ca70fe4ff75f0.us-east-1.aws.found.io/app/kibana#/discover/Steve-Slow-Train-Analysis-(2080s-and-2083s)?_g=(refreshInterval:(display:Off,pause:!f,section:0,value:0),time:(from:'2017-03-21T14:16:35-0600',mode:absolute,to:'2017-03-21T16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187" t="str">
        <f t="shared" si="54"/>
        <v>N</v>
      </c>
      <c r="X189" s="187">
        <f t="shared" si="55"/>
        <v>1</v>
      </c>
      <c r="Y189" s="62">
        <f t="shared" si="67"/>
        <v>9.2999999999999999E-2</v>
      </c>
      <c r="Z189" s="62">
        <f t="shared" si="66"/>
        <v>5.8921999999999999</v>
      </c>
      <c r="AA189" s="62">
        <f t="shared" si="56"/>
        <v>5.7991999999999999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7"/>
        <v>0825-21</v>
      </c>
      <c r="AE189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89" s="82" t="str">
        <f t="shared" si="59"/>
        <v>"C:\Program Files (x86)\AstroGrep\AstroGrep.exe" /e /r /s /spath="%USERPROFILE%\AppData\Local\Temp\OnboardLogs" /stypes="app*4002*20170321*" /stext=" 21:.+((SYSTEM_STATE.+slice.+state.+changed )|(ment ac)|(multiple cpu faults)|(system.+state.+changed )|(\[timeout)|(PRM\|1\|D)|(kpr)|(kdp)|(\|lc)|(penalty))"</v>
      </c>
      <c r="AG189" s="1" t="str">
        <f t="shared" si="60"/>
        <v>NW</v>
      </c>
      <c r="AH189" s="86" t="str">
        <f t="shared" si="61"/>
        <v>"%USERPROFILE%\Documents\GitHub\eaglep3\Utilities\RefineRTDCRunTimes.py" --tripid 825-21 --locoid 4002 --swversion DE.1.0.9.0 --startMP 204:930 --initTime 2017-03-21T15:16:35 --startdatetime 2017-03-21T15:21:16 --delay 1 --endMP 300:58922 --enddatetime 2017-03-21T15:35:32 --enforcementcount 0 &gt;&gt;C:\Users\stu\Documents\GitHub\eaglep3-reporting\EC\2017-03-21-refined-times.txt</v>
      </c>
      <c r="AI189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{"issue":{"subject":"","project_id":79,"tracker_id":40,"status_id":1,"priority_id":2,"assigned_to_id":23,"start_date":"2017-03-21","description":"","custom_fields":[{"id":1,"name":"Subdivision","value":"NW"},{"id":4,"name":"Milepost","value":"5.8922"},{"id":17,"name":"Train ID","value":"825-21"},{"id":16,"name":"Locomotive ID","value":"4002"},{"id":130,"name":"Impact","value":""},{"id":150,"name":"Time of Event (Mountain Time)","value":"15:35:32"},{"id":151,"name":"Denver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3"/>
        <v>start /low /b %USERPROFILE%\Documents\GitHub\eaglep3\Utilities\DownloadLogsFromS3.py --loco 4002 --day 2017-03-21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90" spans="1:91" x14ac:dyDescent="0.25">
      <c r="A190" s="33" t="s">
        <v>752</v>
      </c>
      <c r="B190" s="7">
        <v>4001</v>
      </c>
      <c r="C190" s="21" t="s">
        <v>221</v>
      </c>
      <c r="D190" s="21" t="s">
        <v>581</v>
      </c>
      <c r="E190" s="13">
        <v>42815.650740740741</v>
      </c>
      <c r="F190" s="13">
        <v>42815.652013888888</v>
      </c>
      <c r="G190" s="7">
        <v>1</v>
      </c>
      <c r="H190" s="21" t="s">
        <v>508</v>
      </c>
      <c r="I190" s="13">
        <v>42815.664039351854</v>
      </c>
      <c r="J190" s="7">
        <v>0</v>
      </c>
      <c r="K190" s="98" t="str">
        <f t="shared" si="50"/>
        <v>4001/4002</v>
      </c>
      <c r="L190" s="21" t="str">
        <f>VLOOKUP(A190,'Trips&amp;Operators'!$C$1:$G$99999,5,FALSE)</f>
        <v>FORTUNATO FRANK</v>
      </c>
      <c r="M190" s="6">
        <f t="shared" si="51"/>
        <v>1.2025462965539191E-2</v>
      </c>
      <c r="N190" s="7">
        <f t="shared" si="64"/>
        <v>17.316666670376435</v>
      </c>
      <c r="O190" s="7"/>
      <c r="P190" s="7"/>
      <c r="Q190" s="22"/>
      <c r="R190" s="22"/>
      <c r="S190" s="31">
        <f t="shared" si="65"/>
        <v>1</v>
      </c>
      <c r="T190" s="46" t="str">
        <f t="shared" si="52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3"/>
        <v>https://d0f6bd738d7f1b3e5a7ca70fe4ff75f0.us-east-1.aws.found.io/app/kibana#/discover/Steve-Slow-Train-Analysis-(2080s-and-2083s)?_g=(refreshInterval:(display:Off,pause:!f,section:0,value:0),time:(from:'2017-03-21T14:37:04-0600',mode:absolute,to:'2017-03-21T16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187" t="str">
        <f t="shared" si="54"/>
        <v>N</v>
      </c>
      <c r="X190" s="187">
        <f t="shared" si="55"/>
        <v>1</v>
      </c>
      <c r="Y190" s="62">
        <f t="shared" si="67"/>
        <v>5.8608000000000002</v>
      </c>
      <c r="Z190" s="62">
        <f t="shared" si="66"/>
        <v>6.8400000000000002E-2</v>
      </c>
      <c r="AA190" s="62">
        <f t="shared" si="56"/>
        <v>5.7924000000000007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7"/>
        <v>0826-21</v>
      </c>
      <c r="AE190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90" s="82" t="str">
        <f t="shared" si="59"/>
        <v>"C:\Program Files (x86)\AstroGrep\AstroGrep.exe" /e /r /s /spath="%USERPROFILE%\AppData\Local\Temp\OnboardLogs" /stypes="app*4001*20170321*" /stext=" 21:.+((SYSTEM_STATE.+slice.+state.+changed )|(ment ac)|(multiple cpu faults)|(system.+state.+changed )|(\[timeout)|(PRM\|1\|D)|(kpr)|(kdp)|(\|lc)|(penalty))"</v>
      </c>
      <c r="AG190" s="1" t="str">
        <f t="shared" si="60"/>
        <v>NW</v>
      </c>
      <c r="AH190" s="86" t="str">
        <f t="shared" si="61"/>
        <v>"%USERPROFILE%\Documents\GitHub\eaglep3\Utilities\RefineRTDCRunTimes.py" --tripid 826-21 --locoid 4001 --swversion DE.1.0.9.0 --startMP 300:58608 --initTime 2017-03-21T15:37:04 --startdatetime 2017-03-21T15:38:54 --delay 1 --endMP 204:684 --enddatetime 2017-03-21T15:56:13 --enforcementcount 0 &gt;&gt;C:\Users\stu\Documents\GitHub\eaglep3-reporting\EC\2017-03-21-refined-times.txt</v>
      </c>
      <c r="AI190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{"issue":{"subject":"","project_id":79,"tracker_id":40,"status_id":1,"priority_id":2,"assigned_to_id":23,"start_date":"2017-03-21","description":"","custom_fields":[{"id":1,"name":"Subdivision","value":"NW"},{"id":4,"name":"Milepost","value":"0.0684"},{"id":17,"name":"Train ID","value":"826-21"},{"id":16,"name":"Locomotive ID","value":"4001"},{"id":130,"name":"Impact","value":""},{"id":150,"name":"Time of Event (Mountain Time)","value":"15:56:13"},{"id":151,"name":"Denver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3"/>
        <v>start /low /b %USERPROFILE%\Documents\GitHub\eaglep3\Utilities\DownloadLogsFromS3.py --loco 4001 --day 2017-03-21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91" spans="1:91" x14ac:dyDescent="0.25">
      <c r="A191" s="33" t="s">
        <v>755</v>
      </c>
      <c r="B191" s="7">
        <v>4009</v>
      </c>
      <c r="C191" s="21" t="s">
        <v>221</v>
      </c>
      <c r="D191" s="21" t="s">
        <v>1001</v>
      </c>
      <c r="E191" s="13">
        <v>42815.655347222222</v>
      </c>
      <c r="F191" s="13">
        <v>42815.66070601852</v>
      </c>
      <c r="G191" s="7">
        <v>1</v>
      </c>
      <c r="H191" s="21" t="s">
        <v>1002</v>
      </c>
      <c r="I191" s="13">
        <v>42815.671527777777</v>
      </c>
      <c r="J191" s="7">
        <v>0</v>
      </c>
      <c r="K191" s="98" t="str">
        <f t="shared" si="50"/>
        <v>4009/4010</v>
      </c>
      <c r="L191" s="21" t="str">
        <f>VLOOKUP(A191,'Trips&amp;Operators'!$C$1:$G$99999,5,FALSE)</f>
        <v>SWANSON BRYCE</v>
      </c>
      <c r="M191" s="6">
        <f t="shared" si="51"/>
        <v>1.0821759256941732E-2</v>
      </c>
      <c r="N191" s="7">
        <f t="shared" si="64"/>
        <v>15.583333329996094</v>
      </c>
      <c r="O191" s="7"/>
      <c r="P191" s="7"/>
      <c r="Q191" s="22"/>
      <c r="R191" s="22"/>
      <c r="S191" s="31">
        <f t="shared" si="65"/>
        <v>1</v>
      </c>
      <c r="T191" s="46" t="str">
        <f t="shared" si="52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3"/>
        <v>https://d0f6bd738d7f1b3e5a7ca70fe4ff75f0.us-east-1.aws.found.io/app/kibana#/discover/Steve-Slow-Train-Analysis-(2080s-and-2083s)?_g=(refreshInterval:(display:Off,pause:!f,section:0,value:0),time:(from:'2017-03-21T14:43:42-0600',mode:absolute,to:'2017-03-21T17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187" t="str">
        <f t="shared" si="54"/>
        <v>N</v>
      </c>
      <c r="X191" s="187">
        <f t="shared" si="55"/>
        <v>1</v>
      </c>
      <c r="Y191" s="62">
        <f t="shared" si="67"/>
        <v>9.74E-2</v>
      </c>
      <c r="Z191" s="62">
        <f t="shared" si="66"/>
        <v>5.8930999999999996</v>
      </c>
      <c r="AA191" s="62">
        <f t="shared" si="56"/>
        <v>5.7956999999999992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7"/>
        <v>0827-21</v>
      </c>
      <c r="AE191" s="85" t="str">
        <f t="shared" si="58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191" s="82" t="str">
        <f t="shared" si="59"/>
        <v>"C:\Program Files (x86)\AstroGrep\AstroGrep.exe" /e /r /s /spath="%USERPROFILE%\AppData\Local\Temp\OnboardLogs" /stypes="app*4009*20170321*" /stext=" 22:.+((SYSTEM_STATE.+slice.+state.+changed )|(ment ac)|(multiple cpu faults)|(system.+state.+changed )|(\[timeout)|(PRM\|1\|D)|(kpr)|(kdp)|(\|lc)|(penalty))"</v>
      </c>
      <c r="AG191" s="1" t="str">
        <f t="shared" si="60"/>
        <v>NW</v>
      </c>
      <c r="AH191" s="86" t="str">
        <f t="shared" si="61"/>
        <v>"%USERPROFILE%\Documents\GitHub\eaglep3\Utilities\RefineRTDCRunTimes.py" --tripid 827-21 --locoid 4009 --swversion DE.1.0.9.0 --startMP 204:974 --initTime 2017-03-21T15:43:42 --startdatetime 2017-03-21T15:51:25 --delay 1 --endMP 300:58931 --enddatetime 2017-03-21T16:07:00 --enforcementcount 0 &gt;&gt;C:\Users\stu\Documents\GitHub\eaglep3-reporting\EC\2017-03-21-refined-times.txt</v>
      </c>
      <c r="AI191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{"issue":{"subject":"","project_id":79,"tracker_id":40,"status_id":1,"priority_id":2,"assigned_to_id":23,"start_date":"2017-03-21","description":"","custom_fields":[{"id":1,"name":"Subdivision","value":"NW"},{"id":4,"name":"Milepost","value":"5.8931"},{"id":17,"name":"Train ID","value":"827-21"},{"id":16,"name":"Locomotive ID","value":"4009"},{"id":130,"name":"Impact","value":""},{"id":150,"name":"Time of Event (Mountain Time)","value":"16:07:00"},{"id":151,"name":"Denver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3"/>
        <v>start /low /b %USERPROFILE%\Documents\GitHub\eaglep3\Utilities\DownloadLogsFromS3.py --loco 4009 --day 2017-03-21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</row>
    <row r="192" spans="1:91" x14ac:dyDescent="0.25">
      <c r="A192" s="33" t="s">
        <v>625</v>
      </c>
      <c r="B192" s="7">
        <v>4010</v>
      </c>
      <c r="C192" s="21" t="s">
        <v>221</v>
      </c>
      <c r="D192" s="21" t="s">
        <v>436</v>
      </c>
      <c r="E192" s="13">
        <v>42815.672500000001</v>
      </c>
      <c r="F192" s="13">
        <v>42815.673761574071</v>
      </c>
      <c r="G192" s="7">
        <v>1</v>
      </c>
      <c r="H192" s="21" t="s">
        <v>1003</v>
      </c>
      <c r="I192" s="13">
        <v>42815.684328703705</v>
      </c>
      <c r="J192" s="7">
        <v>0</v>
      </c>
      <c r="K192" s="98" t="str">
        <f t="shared" si="50"/>
        <v>4009/4010</v>
      </c>
      <c r="L192" s="21" t="str">
        <f>VLOOKUP(A192,'Trips&amp;Operators'!$C$1:$G$99999,5,FALSE)</f>
        <v>SWANSON BRYCE</v>
      </c>
      <c r="M192" s="6">
        <f t="shared" si="51"/>
        <v>1.0567129633272998E-2</v>
      </c>
      <c r="N192" s="7">
        <f t="shared" si="64"/>
        <v>15.216666671913117</v>
      </c>
      <c r="O192" s="7"/>
      <c r="P192" s="7"/>
      <c r="Q192" s="22"/>
      <c r="R192" s="22"/>
      <c r="S192" s="31">
        <f t="shared" si="65"/>
        <v>1</v>
      </c>
      <c r="T192" s="46" t="str">
        <f t="shared" si="52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3"/>
        <v>https://d0f6bd738d7f1b3e5a7ca70fe4ff75f0.us-east-1.aws.found.io/app/kibana#/discover/Steve-Slow-Train-Analysis-(2080s-and-2083s)?_g=(refreshInterval:(display:Off,pause:!f,section:0,value:0),time:(from:'2017-03-21T15:08:24-0600',mode:absolute,to:'2017-03-21T17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87" t="str">
        <f t="shared" si="54"/>
        <v>N</v>
      </c>
      <c r="X192" s="187">
        <f t="shared" si="55"/>
        <v>1</v>
      </c>
      <c r="Y192" s="62">
        <f t="shared" si="67"/>
        <v>5.8613</v>
      </c>
      <c r="Z192" s="62">
        <f t="shared" si="66"/>
        <v>6.8199999999999997E-2</v>
      </c>
      <c r="AA192" s="62">
        <f t="shared" si="56"/>
        <v>5.7930999999999999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7"/>
        <v>0828-21</v>
      </c>
      <c r="AE192" s="85" t="str">
        <f t="shared" si="58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192" s="82" t="str">
        <f t="shared" si="59"/>
        <v>"C:\Program Files (x86)\AstroGrep\AstroGrep.exe" /e /r /s /spath="%USERPROFILE%\AppData\Local\Temp\OnboardLogs" /stypes="app*4010*20170321*" /stext=" 22:.+((SYSTEM_STATE.+slice.+state.+changed )|(ment ac)|(multiple cpu faults)|(system.+state.+changed )|(\[timeout)|(PRM\|1\|D)|(kpr)|(kdp)|(\|lc)|(penalty))"</v>
      </c>
      <c r="AG192" s="1" t="str">
        <f t="shared" si="60"/>
        <v>NW</v>
      </c>
      <c r="AH192" s="86" t="str">
        <f t="shared" si="61"/>
        <v>"%USERPROFILE%\Documents\GitHub\eaglep3\Utilities\RefineRTDCRunTimes.py" --tripid 828-21 --locoid 4010 --swversion DE.1.0.9.0 --startMP 300:58613 --initTime 2017-03-21T16:08:24 --startdatetime 2017-03-21T16:10:13 --delay 1 --endMP 204:682 --enddatetime 2017-03-21T16:25:26 --enforcementcount 0 &gt;&gt;C:\Users\stu\Documents\GitHub\eaglep3-reporting\EC\2017-03-21-refined-times.txt</v>
      </c>
      <c r="AI192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{"issue":{"subject":"","project_id":79,"tracker_id":40,"status_id":1,"priority_id":2,"assigned_to_id":23,"start_date":"2017-03-21","description":"","custom_fields":[{"id":1,"name":"Subdivision","value":"NW"},{"id":4,"name":"Milepost","value":"0.0682"},{"id":17,"name":"Train ID","value":"828-21"},{"id":16,"name":"Locomotive ID","value":"4010"},{"id":130,"name":"Impact","value":""},{"id":150,"name":"Time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3"/>
        <v>start /low /b %USERPROFILE%\Documents\GitHub\eaglep3\Utilities\DownloadLogsFromS3.py --loco 4010 --day 2017-03-21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"%USERPROFILE%\AppData\Local\Temp\OnboardLogs"\RTDC4010\*4010*20170321* | grep -SE "(Enforcement Action)|(\[TIMEOUT)|(CHR.+\|PRM\|1\|D.+(SWITCH|SIGNAL).+UNKNOWN)" - &gt;&gt; 2017-03-21-UncaughtWiMAX.txt</v>
      </c>
    </row>
    <row r="193" spans="1:40" x14ac:dyDescent="0.25">
      <c r="A193" s="33" t="s">
        <v>759</v>
      </c>
      <c r="B193" s="7">
        <v>4002</v>
      </c>
      <c r="C193" s="21" t="s">
        <v>221</v>
      </c>
      <c r="D193" s="21" t="s">
        <v>587</v>
      </c>
      <c r="E193" s="13">
        <v>42815.677372685182</v>
      </c>
      <c r="F193" s="13">
        <v>42815.681469907409</v>
      </c>
      <c r="G193" s="7">
        <v>1</v>
      </c>
      <c r="H193" s="21" t="s">
        <v>419</v>
      </c>
      <c r="I193" s="13">
        <v>42815.691284722219</v>
      </c>
      <c r="J193" s="7">
        <v>0</v>
      </c>
      <c r="K193" s="98" t="str">
        <f t="shared" si="50"/>
        <v>4001/4002</v>
      </c>
      <c r="L193" s="21" t="str">
        <f>VLOOKUP(A193,'Trips&amp;Operators'!$C$1:$G$99999,5,FALSE)</f>
        <v>FORTUNATO FRANK</v>
      </c>
      <c r="M193" s="6">
        <f t="shared" si="51"/>
        <v>9.814814809942618E-3</v>
      </c>
      <c r="N193" s="7">
        <f t="shared" si="64"/>
        <v>14.13333332631737</v>
      </c>
      <c r="O193" s="7"/>
      <c r="P193" s="7"/>
      <c r="Q193" s="22"/>
      <c r="R193" s="22"/>
      <c r="S193" s="31">
        <f t="shared" si="65"/>
        <v>1</v>
      </c>
      <c r="T193" s="46" t="str">
        <f t="shared" si="52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3"/>
        <v>https://d0f6bd738d7f1b3e5a7ca70fe4ff75f0.us-east-1.aws.found.io/app/kibana#/discover/Steve-Slow-Train-Analysis-(2080s-and-2083s)?_g=(refreshInterval:(display:Off,pause:!f,section:0,value:0),time:(from:'2017-03-21T15:15:25-0600',mode:absolute,to:'2017-03-21T17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3" s="187" t="str">
        <f t="shared" si="54"/>
        <v>N</v>
      </c>
      <c r="X193" s="187">
        <f t="shared" si="55"/>
        <v>1</v>
      </c>
      <c r="Y193" s="62">
        <f t="shared" si="67"/>
        <v>9.5299999999999996E-2</v>
      </c>
      <c r="Z193" s="62">
        <f t="shared" si="66"/>
        <v>5.8925999999999998</v>
      </c>
      <c r="AA193" s="62">
        <f t="shared" si="56"/>
        <v>5.7972999999999999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7"/>
        <v>0829-21</v>
      </c>
      <c r="AE193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93" s="82" t="str">
        <f t="shared" si="59"/>
        <v>"C:\Program Files (x86)\AstroGrep\AstroGrep.exe" /e /r /s /spath="%USERPROFILE%\AppData\Local\Temp\OnboardLogs" /stypes="app*4002*20170321*" /stext=" 22:.+((SYSTEM_STATE.+slice.+state.+changed )|(ment ac)|(multiple cpu faults)|(system.+state.+changed )|(\[timeout)|(PRM\|1\|D)|(kpr)|(kdp)|(\|lc)|(penalty))"</v>
      </c>
      <c r="AG193" s="1" t="str">
        <f t="shared" si="60"/>
        <v>NW</v>
      </c>
      <c r="AH193" s="86" t="str">
        <f t="shared" si="61"/>
        <v>"%USERPROFILE%\Documents\GitHub\eaglep3\Utilities\RefineRTDCRunTimes.py" --tripid 829-21 --locoid 4002 --swversion DE.1.0.9.0 --startMP 204:953 --initTime 2017-03-21T16:15:25 --startdatetime 2017-03-21T16:21:19 --delay 1 --endMP 300:58926 --enddatetime 2017-03-21T16:35:27 --enforcementcount 0 &gt;&gt;C:\Users\stu\Documents\GitHub\eaglep3-reporting\EC\2017-03-21-refined-times.txt</v>
      </c>
      <c r="AI193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{"issue":{"subject":"","project_id":79,"tracker_id":40,"status_id":1,"priority_id":2,"assigned_to_id":23,"start_date":"2017-03-21","description":"","custom_fields":[{"id":1,"name":"Subdivision","value":"NW"},{"id":4,"name":"Milepost","value":"5.8926"},{"id":17,"name":"Train ID","value":"829-21"},{"id":16,"name":"Locomotive ID","value":"4002"},{"id":130,"name":"Impact","value":""},{"id":150,"name":"Time of Event (Mountain Time)","value":"16:35:27"},{"id":151,"name":"Denver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3"/>
        <v>start /low /b %USERPROFILE%\Documents\GitHub\eaglep3\Utilities\DownloadLogsFromS3.py --loco 4002 --day 2017-03-21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94" spans="1:40" x14ac:dyDescent="0.25">
      <c r="A194" s="33" t="s">
        <v>764</v>
      </c>
      <c r="B194" s="7">
        <v>4001</v>
      </c>
      <c r="C194" s="21" t="s">
        <v>221</v>
      </c>
      <c r="D194" s="21" t="s">
        <v>435</v>
      </c>
      <c r="E194" s="13">
        <v>42815.692835648151</v>
      </c>
      <c r="F194" s="13">
        <v>42815.694074074076</v>
      </c>
      <c r="G194" s="7">
        <v>1</v>
      </c>
      <c r="H194" s="21" t="s">
        <v>1004</v>
      </c>
      <c r="I194" s="13">
        <v>42815.705439814818</v>
      </c>
      <c r="J194" s="7">
        <v>0</v>
      </c>
      <c r="K194" s="98" t="str">
        <f t="shared" si="50"/>
        <v>4001/4002</v>
      </c>
      <c r="L194" s="21" t="str">
        <f>VLOOKUP(A194,'Trips&amp;Operators'!$C$1:$G$99999,5,FALSE)</f>
        <v>FORTUNATO FRANK</v>
      </c>
      <c r="M194" s="6">
        <f t="shared" si="51"/>
        <v>1.1365740741894115E-2</v>
      </c>
      <c r="N194" s="7">
        <f t="shared" si="64"/>
        <v>16.366666668327525</v>
      </c>
      <c r="O194" s="7"/>
      <c r="P194" s="7"/>
      <c r="Q194" s="22"/>
      <c r="R194" s="22"/>
      <c r="S194" s="31">
        <f t="shared" si="65"/>
        <v>1</v>
      </c>
      <c r="T194" s="46" t="str">
        <f t="shared" si="52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3"/>
        <v>https://d0f6bd738d7f1b3e5a7ca70fe4ff75f0.us-east-1.aws.found.io/app/kibana#/discover/Steve-Slow-Train-Analysis-(2080s-and-2083s)?_g=(refreshInterval:(display:Off,pause:!f,section:0,value:0),time:(from:'2017-03-21T15:37:41-0600',mode:absolute,to:'2017-03-21T17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187" t="str">
        <f t="shared" si="54"/>
        <v>N</v>
      </c>
      <c r="X194" s="187">
        <f t="shared" si="55"/>
        <v>1</v>
      </c>
      <c r="Y194" s="62">
        <f t="shared" si="67"/>
        <v>5.8615000000000004</v>
      </c>
      <c r="Z194" s="62">
        <f t="shared" si="66"/>
        <v>6.9199999999999998E-2</v>
      </c>
      <c r="AA194" s="62">
        <f t="shared" si="56"/>
        <v>5.7923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7"/>
        <v>0830-21</v>
      </c>
      <c r="AE194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94" s="82" t="str">
        <f t="shared" si="59"/>
        <v>"C:\Program Files (x86)\AstroGrep\AstroGrep.exe" /e /r /s /spath="%USERPROFILE%\AppData\Local\Temp\OnboardLogs" /stypes="app*4001*20170321*" /stext=" 22:.+((SYSTEM_STATE.+slice.+state.+changed )|(ment ac)|(multiple cpu faults)|(system.+state.+changed )|(\[timeout)|(PRM\|1\|D)|(kpr)|(kdp)|(\|lc)|(penalty))"</v>
      </c>
      <c r="AG194" s="1" t="str">
        <f t="shared" si="60"/>
        <v>NW</v>
      </c>
      <c r="AH194" s="86" t="str">
        <f t="shared" si="61"/>
        <v>"%USERPROFILE%\Documents\GitHub\eaglep3\Utilities\RefineRTDCRunTimes.py" --tripid 830-21 --locoid 4001 --swversion DE.1.0.9.0 --startMP 300:58615 --initTime 2017-03-21T16:37:41 --startdatetime 2017-03-21T16:39:28 --delay 1 --endMP 204:692 --enddatetime 2017-03-21T16:55:50 --enforcementcount 0 &gt;&gt;C:\Users\stu\Documents\GitHub\eaglep3-reporting\EC\2017-03-21-refined-times.txt</v>
      </c>
      <c r="AI194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{"issue":{"subject":"","project_id":79,"tracker_id":40,"status_id":1,"priority_id":2,"assigned_to_id":23,"start_date":"2017-03-21","description":"","custom_fields":[{"id":1,"name":"Subdivision","value":"NW"},{"id":4,"name":"Milepost","value":"0.0692"},{"id":17,"name":"Train ID","value":"830-21"},{"id":16,"name":"Locomotive ID","value":"4001"},{"id":130,"name":"Impact","value":""},{"id":150,"name":"Time of Event (Mountain Time)","value":"16:55:50"},{"id":151,"name":"Denver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3"/>
        <v>start /low /b %USERPROFILE%\Documents\GitHub\eaglep3\Utilities\DownloadLogsFromS3.py --loco 4001 --day 2017-03-21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95" spans="1:40" x14ac:dyDescent="0.25">
      <c r="A195" s="33" t="s">
        <v>763</v>
      </c>
      <c r="B195" s="7">
        <v>4009</v>
      </c>
      <c r="C195" s="21" t="s">
        <v>221</v>
      </c>
      <c r="D195" s="21" t="s">
        <v>1005</v>
      </c>
      <c r="E195" s="13">
        <v>42815.686226851853</v>
      </c>
      <c r="F195" s="13">
        <v>42815.702465277776</v>
      </c>
      <c r="G195" s="7">
        <v>1</v>
      </c>
      <c r="H195" s="21" t="s">
        <v>1006</v>
      </c>
      <c r="I195" s="13">
        <v>42815.712442129632</v>
      </c>
      <c r="J195" s="7">
        <v>0</v>
      </c>
      <c r="K195" s="98" t="str">
        <f t="shared" si="50"/>
        <v>4009/4010</v>
      </c>
      <c r="L195" s="21" t="str">
        <f>VLOOKUP(A195,'Trips&amp;Operators'!$C$1:$G$99999,5,FALSE)</f>
        <v>SWANSON BRYCE</v>
      </c>
      <c r="M195" s="6">
        <f t="shared" si="51"/>
        <v>9.976851855753921E-3</v>
      </c>
      <c r="N195" s="7">
        <f t="shared" si="64"/>
        <v>14.366666672285646</v>
      </c>
      <c r="O195" s="7"/>
      <c r="P195" s="7"/>
      <c r="Q195" s="22"/>
      <c r="R195" s="22"/>
      <c r="S195" s="31">
        <f t="shared" si="65"/>
        <v>1</v>
      </c>
      <c r="T195" s="46" t="str">
        <f t="shared" si="52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3"/>
        <v>https://d0f6bd738d7f1b3e5a7ca70fe4ff75f0.us-east-1.aws.found.io/app/kibana#/discover/Steve-Slow-Train-Analysis-(2080s-and-2083s)?_g=(refreshInterval:(display:Off,pause:!f,section:0,value:0),time:(from:'2017-03-21T15:28:10-0600',mode:absolute,to:'2017-03-21T18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87" t="str">
        <f t="shared" si="54"/>
        <v>N</v>
      </c>
      <c r="X195" s="187">
        <f t="shared" si="55"/>
        <v>1</v>
      </c>
      <c r="Y195" s="62">
        <f t="shared" si="67"/>
        <v>9.6699999999999994E-2</v>
      </c>
      <c r="Z195" s="62">
        <f t="shared" si="66"/>
        <v>5.8939000000000004</v>
      </c>
      <c r="AA195" s="62">
        <f t="shared" si="56"/>
        <v>5.7972000000000001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7"/>
        <v>0831-21</v>
      </c>
      <c r="AE195" s="85" t="str">
        <f t="shared" si="58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195" s="82" t="str">
        <f t="shared" si="59"/>
        <v>"C:\Program Files (x86)\AstroGrep\AstroGrep.exe" /e /r /s /spath="%USERPROFILE%\AppData\Local\Temp\OnboardLogs" /stypes="app*4009*20170321*" /stext=" 23:.+((SYSTEM_STATE.+slice.+state.+changed )|(ment ac)|(multiple cpu faults)|(system.+state.+changed )|(\[timeout)|(PRM\|1\|D)|(kpr)|(kdp)|(\|lc)|(penalty))"</v>
      </c>
      <c r="AG195" s="1" t="str">
        <f t="shared" si="60"/>
        <v>NW</v>
      </c>
      <c r="AH195" s="86" t="str">
        <f t="shared" si="61"/>
        <v>"%USERPROFILE%\Documents\GitHub\eaglep3\Utilities\RefineRTDCRunTimes.py" --tripid 831-21 --locoid 4009 --swversion DE.1.0.9.0 --startMP 204:967 --initTime 2017-03-21T16:28:10 --startdatetime 2017-03-21T16:51:33 --delay 1 --endMP 300:58939 --enddatetime 2017-03-21T17:05:55 --enforcementcount 0 &gt;&gt;C:\Users\stu\Documents\GitHub\eaglep3-reporting\EC\2017-03-21-refined-times.txt</v>
      </c>
      <c r="AI195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{"issue":{"subject":"","project_id":79,"tracker_id":40,"status_id":1,"priority_id":2,"assigned_to_id":23,"start_date":"2017-03-21","description":"","custom_fields":[{"id":1,"name":"Subdivision","value":"NW"},{"id":4,"name":"Milepost","value":"5.8939"},{"id":17,"name":"Train ID","value":"831-21"},{"id":16,"name":"Locomotive ID","value":"4009"},{"id":130,"name":"Impact","value":""},{"id":150,"name":"Time of Event (Mountain Time)","value":"17:05:55"},{"id":151,"name":"Denver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3"/>
        <v>start /low /b %USERPROFILE%\Documents\GitHub\eaglep3\Utilities\DownloadLogsFromS3.py --loco 4009 --day 2017-03-21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</row>
    <row r="196" spans="1:40" x14ac:dyDescent="0.25">
      <c r="A196" s="33" t="s">
        <v>768</v>
      </c>
      <c r="B196" s="7">
        <v>4010</v>
      </c>
      <c r="C196" s="21" t="s">
        <v>221</v>
      </c>
      <c r="D196" s="21" t="s">
        <v>436</v>
      </c>
      <c r="E196" s="13">
        <v>42815.713506944441</v>
      </c>
      <c r="F196" s="13">
        <v>42815.714780092596</v>
      </c>
      <c r="G196" s="7">
        <v>1</v>
      </c>
      <c r="H196" s="21" t="s">
        <v>580</v>
      </c>
      <c r="I196" s="13">
        <v>42815.726134259261</v>
      </c>
      <c r="J196" s="7">
        <v>0</v>
      </c>
      <c r="K196" s="98" t="str">
        <f t="shared" si="50"/>
        <v>4009/4010</v>
      </c>
      <c r="L196" s="21" t="str">
        <f>VLOOKUP(A196,'Trips&amp;Operators'!$C$1:$G$99999,5,FALSE)</f>
        <v>SWANSON BRYCE</v>
      </c>
      <c r="M196" s="6">
        <f t="shared" si="51"/>
        <v>1.1354166665114462E-2</v>
      </c>
      <c r="N196" s="7">
        <f t="shared" si="64"/>
        <v>16.349999997764826</v>
      </c>
      <c r="O196" s="7"/>
      <c r="P196" s="7"/>
      <c r="Q196" s="22"/>
      <c r="R196" s="22"/>
      <c r="S196" s="31">
        <f t="shared" si="65"/>
        <v>1</v>
      </c>
      <c r="T196" s="46" t="str">
        <f t="shared" si="52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3"/>
        <v>https://d0f6bd738d7f1b3e5a7ca70fe4ff75f0.us-east-1.aws.found.io/app/kibana#/discover/Steve-Slow-Train-Analysis-(2080s-and-2083s)?_g=(refreshInterval:(display:Off,pause:!f,section:0,value:0),time:(from:'2017-03-21T16:07:27-0600',mode:absolute,to:'2017-03-21T18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87" t="str">
        <f t="shared" si="54"/>
        <v>N</v>
      </c>
      <c r="X196" s="187">
        <f t="shared" si="55"/>
        <v>1</v>
      </c>
      <c r="Y196" s="62">
        <f t="shared" si="67"/>
        <v>5.8613</v>
      </c>
      <c r="Z196" s="62">
        <f t="shared" si="66"/>
        <v>6.7299999999999999E-2</v>
      </c>
      <c r="AA196" s="62">
        <f t="shared" si="56"/>
        <v>5.7939999999999996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7"/>
        <v>0832-21</v>
      </c>
      <c r="AE196" s="85" t="str">
        <f t="shared" si="58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196" s="82" t="str">
        <f t="shared" si="59"/>
        <v>"C:\Program Files (x86)\AstroGrep\AstroGrep.exe" /e /r /s /spath="%USERPROFILE%\AppData\Local\Temp\OnboardLogs" /stypes="app*4010*20170321*" /stext=" 23:.+((SYSTEM_STATE.+slice.+state.+changed )|(ment ac)|(multiple cpu faults)|(system.+state.+changed )|(\[timeout)|(PRM\|1\|D)|(kpr)|(kdp)|(\|lc)|(penalty))"</v>
      </c>
      <c r="AG196" s="1" t="str">
        <f t="shared" si="60"/>
        <v>NW</v>
      </c>
      <c r="AH196" s="86" t="str">
        <f t="shared" si="61"/>
        <v>"%USERPROFILE%\Documents\GitHub\eaglep3\Utilities\RefineRTDCRunTimes.py" --tripid 832-21 --locoid 4010 --swversion DE.1.0.9.0 --startMP 300:58613 --initTime 2017-03-21T17:07:27 --startdatetime 2017-03-21T17:09:17 --delay 1 --endMP 204:673 --enddatetime 2017-03-21T17:25:38 --enforcementcount 0 &gt;&gt;C:\Users\stu\Documents\GitHub\eaglep3-reporting\EC\2017-03-21-refined-times.txt</v>
      </c>
      <c r="AI196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{"issue":{"subject":"","project_id":79,"tracker_id":40,"status_id":1,"priority_id":2,"assigned_to_id":23,"start_date":"2017-03-21","description":"","custom_fields":[{"id":1,"name":"Subdivision","value":"NW"},{"id":4,"name":"Milepost","value":"0.0673"},{"id":17,"name":"Train ID","value":"832-21"},{"id":16,"name":"Locomotive ID","value":"4010"},{"id":130,"name":"Impact","value":""},{"id":150,"name":"Time of Event (Mountain Time)","value":"17:25:38"},{"id":151,"name":"Denver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3"/>
        <v>start /low /b %USERPROFILE%\Documents\GitHub\eaglep3\Utilities\DownloadLogsFromS3.py --loco 4010 --day 2017-03-21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"%USERPROFILE%\AppData\Local\Temp\OnboardLogs"\RTDC4010\*4010*20170321* | grep -SE "(Enforcement Action)|(\[TIMEOUT)|(CHR.+\|PRM\|1\|D.+(SWITCH|SIGNAL).+UNKNOWN)" - &gt;&gt; 2017-03-21-UncaughtWiMAX.txt</v>
      </c>
    </row>
    <row r="197" spans="1:40" x14ac:dyDescent="0.25">
      <c r="A197" s="33" t="s">
        <v>767</v>
      </c>
      <c r="B197" s="7">
        <v>4002</v>
      </c>
      <c r="C197" s="21" t="s">
        <v>221</v>
      </c>
      <c r="D197" s="21" t="s">
        <v>1007</v>
      </c>
      <c r="E197" s="13">
        <v>42815.712430555555</v>
      </c>
      <c r="F197" s="13">
        <v>42815.723078703704</v>
      </c>
      <c r="G197" s="7">
        <v>1</v>
      </c>
      <c r="H197" s="21" t="s">
        <v>1008</v>
      </c>
      <c r="I197" s="13">
        <v>42815.73269675926</v>
      </c>
      <c r="J197" s="7">
        <v>0</v>
      </c>
      <c r="K197" s="98" t="str">
        <f t="shared" si="50"/>
        <v>4001/4002</v>
      </c>
      <c r="L197" s="21" t="str">
        <f>VLOOKUP(A197,'Trips&amp;Operators'!$C$1:$G$99999,5,FALSE)</f>
        <v>FORTUNATO FRANK</v>
      </c>
      <c r="M197" s="6">
        <f t="shared" si="51"/>
        <v>9.6180555556202307E-3</v>
      </c>
      <c r="N197" s="7">
        <f t="shared" si="64"/>
        <v>13.850000000093132</v>
      </c>
      <c r="O197" s="7"/>
      <c r="P197" s="7"/>
      <c r="Q197" s="22"/>
      <c r="R197" s="22"/>
      <c r="S197" s="31">
        <f t="shared" si="65"/>
        <v>1</v>
      </c>
      <c r="T197" s="46" t="str">
        <f t="shared" si="52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3"/>
        <v>https://d0f6bd738d7f1b3e5a7ca70fe4ff75f0.us-east-1.aws.found.io/app/kibana#/discover/Steve-Slow-Train-Analysis-(2080s-and-2083s)?_g=(refreshInterval:(display:Off,pause:!f,section:0,value:0),time:(from:'2017-03-21T16:05:54-0600',mode:absolute,to:'2017-03-21T18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187" t="str">
        <f t="shared" si="54"/>
        <v>N</v>
      </c>
      <c r="X197" s="187">
        <f t="shared" si="55"/>
        <v>1</v>
      </c>
      <c r="Y197" s="62">
        <f t="shared" si="67"/>
        <v>9.7799999999999998E-2</v>
      </c>
      <c r="Z197" s="62">
        <f t="shared" si="66"/>
        <v>5.8928000000000003</v>
      </c>
      <c r="AA197" s="62">
        <f t="shared" si="56"/>
        <v>5.7949999999999999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7"/>
        <v>0833-21</v>
      </c>
      <c r="AE197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197" s="82" t="str">
        <f t="shared" si="59"/>
        <v>"C:\Program Files (x86)\AstroGrep\AstroGrep.exe" /e /r /s /spath="%USERPROFILE%\AppData\Local\Temp\OnboardLogs" /stypes="app*4002*20170321*" /stext=" 23:.+((SYSTEM_STATE.+slice.+state.+changed )|(ment ac)|(multiple cpu faults)|(system.+state.+changed )|(\[timeout)|(PRM\|1\|D)|(kpr)|(kdp)|(\|lc)|(penalty))"</v>
      </c>
      <c r="AG197" s="1" t="str">
        <f t="shared" si="60"/>
        <v>NW</v>
      </c>
      <c r="AH197" s="86" t="str">
        <f t="shared" si="61"/>
        <v>"%USERPROFILE%\Documents\GitHub\eaglep3\Utilities\RefineRTDCRunTimes.py" --tripid 833-21 --locoid 4002 --swversion DE.1.0.9.0 --startMP 204:978 --initTime 2017-03-21T17:05:54 --startdatetime 2017-03-21T17:21:14 --delay 1 --endMP 300:58928 --enddatetime 2017-03-21T17:35:05 --enforcementcount 0 &gt;&gt;C:\Users\stu\Documents\GitHub\eaglep3-reporting\EC\2017-03-21-refined-times.txt</v>
      </c>
      <c r="AI197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{"issue":{"subject":"","project_id":79,"tracker_id":40,"status_id":1,"priority_id":2,"assigned_to_id":23,"start_date":"2017-03-21","description":"","custom_fields":[{"id":1,"name":"Subdivision","value":"NW"},{"id":4,"name":"Milepost","value":"5.8928"},{"id":17,"name":"Train ID","value":"833-21"},{"id":16,"name":"Locomotive ID","value":"4002"},{"id":130,"name":"Impact","value":""},{"id":150,"name":"Time of Event (Mountain Time)","value":"17:35:05"},{"id":151,"name":"Denver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3"/>
        <v>start /low /b %USERPROFILE%\Documents\GitHub\eaglep3\Utilities\DownloadLogsFromS3.py --loco 4002 --day 2017-03-21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"%USERPROFILE%\AppData\Local\Temp\OnboardLogs"\RTDC4002\*4002*20170321* | grep -SE "(Enforcement Action)|(\[TIMEOUT)|(CHR.+\|PRM\|1\|D.+(SWITCH|SIGNAL).+UNKNOWN)" - &gt;&gt; 2017-03-21-UncaughtWiMAX.txt</v>
      </c>
    </row>
    <row r="198" spans="1:40" x14ac:dyDescent="0.25">
      <c r="A198" s="33" t="s">
        <v>773</v>
      </c>
      <c r="B198" s="7">
        <v>4001</v>
      </c>
      <c r="C198" s="21" t="s">
        <v>221</v>
      </c>
      <c r="D198" s="21" t="s">
        <v>515</v>
      </c>
      <c r="E198" s="13">
        <v>42815.733784722222</v>
      </c>
      <c r="F198" s="13">
        <v>42815.735254629632</v>
      </c>
      <c r="G198" s="7">
        <v>1</v>
      </c>
      <c r="H198" s="21" t="s">
        <v>1009</v>
      </c>
      <c r="I198" s="13">
        <v>42815.747083333335</v>
      </c>
      <c r="J198" s="7">
        <v>0</v>
      </c>
      <c r="K198" s="98" t="str">
        <f t="shared" si="50"/>
        <v>4001/4002</v>
      </c>
      <c r="L198" s="21" t="str">
        <f>VLOOKUP(A198,'Trips&amp;Operators'!$C$1:$G$99999,5,FALSE)</f>
        <v>FORTUNATO FRANK</v>
      </c>
      <c r="M198" s="6">
        <f t="shared" si="51"/>
        <v>1.1828703703940846E-2</v>
      </c>
      <c r="N198" s="7">
        <f t="shared" si="64"/>
        <v>17.033333333674818</v>
      </c>
      <c r="O198" s="7"/>
      <c r="P198" s="7"/>
      <c r="Q198" s="22"/>
      <c r="R198" s="22"/>
      <c r="S198" s="31">
        <f t="shared" si="65"/>
        <v>1</v>
      </c>
      <c r="T198" s="46" t="str">
        <f t="shared" si="52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3"/>
        <v>https://d0f6bd738d7f1b3e5a7ca70fe4ff75f0.us-east-1.aws.found.io/app/kibana#/discover/Steve-Slow-Train-Analysis-(2080s-and-2083s)?_g=(refreshInterval:(display:Off,pause:!f,section:0,value:0),time:(from:'2017-03-21T16:36:39-0600',mode:absolute,to:'2017-03-21T18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187" t="str">
        <f t="shared" si="54"/>
        <v>N</v>
      </c>
      <c r="X198" s="187">
        <f t="shared" si="55"/>
        <v>1</v>
      </c>
      <c r="Y198" s="62">
        <f t="shared" si="67"/>
        <v>5.8611000000000004</v>
      </c>
      <c r="Z198" s="62">
        <f t="shared" si="66"/>
        <v>6.8699999999999997E-2</v>
      </c>
      <c r="AA198" s="62">
        <f t="shared" si="56"/>
        <v>5.7924000000000007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7"/>
        <v>0834-21</v>
      </c>
      <c r="AE198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198" s="82" t="str">
        <f t="shared" si="59"/>
        <v>"C:\Program Files (x86)\AstroGrep\AstroGrep.exe" /e /r /s /spath="%USERPROFILE%\AppData\Local\Temp\OnboardLogs" /stypes="app*4001*20170321*" /stext=" 23:.+((SYSTEM_STATE.+slice.+state.+changed )|(ment ac)|(multiple cpu faults)|(system.+state.+changed )|(\[timeout)|(PRM\|1\|D)|(kpr)|(kdp)|(\|lc)|(penalty))"</v>
      </c>
      <c r="AG198" s="1" t="str">
        <f t="shared" si="60"/>
        <v>NW</v>
      </c>
      <c r="AH198" s="86" t="str">
        <f t="shared" si="61"/>
        <v>"%USERPROFILE%\Documents\GitHub\eaglep3\Utilities\RefineRTDCRunTimes.py" --tripid 834-21 --locoid 4001 --swversion DE.1.0.9.0 --startMP 300:58611 --initTime 2017-03-21T17:36:39 --startdatetime 2017-03-21T17:38:46 --delay 1 --endMP 204:687 --enddatetime 2017-03-21T17:55:48 --enforcementcount 0 &gt;&gt;C:\Users\stu\Documents\GitHub\eaglep3-reporting\EC\2017-03-21-refined-times.txt</v>
      </c>
      <c r="AI198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{"issue":{"subject":"","project_id":79,"tracker_id":40,"status_id":1,"priority_id":2,"assigned_to_id":23,"start_date":"2017-03-21","description":"","custom_fields":[{"id":1,"name":"Subdivision","value":"NW"},{"id":4,"name":"Milepost","value":"0.0687"},{"id":17,"name":"Train ID","value":"834-21"},{"id":16,"name":"Locomotive ID","value":"4001"},{"id":130,"name":"Impact","value":""},{"id":150,"name":"Time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3"/>
        <v>start /low /b %USERPROFILE%\Documents\GitHub\eaglep3\Utilities\DownloadLogsFromS3.py --loco 4001 --day 2017-03-21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199" spans="1:40" x14ac:dyDescent="0.25">
      <c r="A199" s="33" t="s">
        <v>771</v>
      </c>
      <c r="B199" s="7">
        <v>4009</v>
      </c>
      <c r="C199" s="21" t="s">
        <v>221</v>
      </c>
      <c r="D199" s="21" t="s">
        <v>591</v>
      </c>
      <c r="E199" s="13">
        <v>42815.727500000001</v>
      </c>
      <c r="F199" s="13">
        <v>42815.743958333333</v>
      </c>
      <c r="G199" s="7">
        <v>1</v>
      </c>
      <c r="H199" s="21" t="s">
        <v>482</v>
      </c>
      <c r="I199" s="13">
        <v>42815.75472222222</v>
      </c>
      <c r="J199" s="7">
        <v>0</v>
      </c>
      <c r="K199" s="98" t="str">
        <f t="shared" si="50"/>
        <v>4009/4010</v>
      </c>
      <c r="L199" s="21" t="str">
        <f>VLOOKUP(A199,'Trips&amp;Operators'!$C$1:$G$99999,5,FALSE)</f>
        <v>SWANSON BRYCE</v>
      </c>
      <c r="M199" s="6">
        <f t="shared" si="51"/>
        <v>1.0763888887595385E-2</v>
      </c>
      <c r="N199" s="7">
        <f t="shared" si="64"/>
        <v>15.499999998137355</v>
      </c>
      <c r="O199" s="7"/>
      <c r="P199" s="7"/>
      <c r="Q199" s="22"/>
      <c r="R199" s="22"/>
      <c r="S199" s="31">
        <f t="shared" si="65"/>
        <v>1</v>
      </c>
      <c r="T199" s="46" t="str">
        <f t="shared" si="52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3"/>
        <v>https://d0f6bd738d7f1b3e5a7ca70fe4ff75f0.us-east-1.aws.found.io/app/kibana#/discover/Steve-Slow-Train-Analysis-(2080s-and-2083s)?_g=(refreshInterval:(display:Off,pause:!f,section:0,value:0),time:(from:'2017-03-21T16:27:36-0600',mode:absolute,to:'2017-03-21T19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87" t="str">
        <f t="shared" si="54"/>
        <v>N</v>
      </c>
      <c r="X199" s="187">
        <f t="shared" si="55"/>
        <v>1</v>
      </c>
      <c r="Y199" s="62">
        <f t="shared" si="67"/>
        <v>9.64E-2</v>
      </c>
      <c r="Z199" s="62">
        <f t="shared" si="66"/>
        <v>5.8929</v>
      </c>
      <c r="AA199" s="62">
        <f t="shared" si="56"/>
        <v>5.7965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7"/>
        <v>0835-21</v>
      </c>
      <c r="AE199" s="85" t="str">
        <f t="shared" si="58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199" s="82" t="str">
        <f t="shared" si="59"/>
        <v>"C:\Program Files (x86)\AstroGrep\AstroGrep.exe" /e /r /s /spath="%USERPROFILE%\AppData\Local\Temp\OnboardLogs" /stypes="app*4009*20170322*" /stext=" 00:.+((SYSTEM_STATE.+slice.+state.+changed )|(ment ac)|(multiple cpu faults)|(system.+state.+changed )|(\[timeout)|(PRM\|1\|D)|(kpr)|(kdp)|(\|lc)|(penalty))"</v>
      </c>
      <c r="AG199" s="1" t="str">
        <f t="shared" si="60"/>
        <v>NW</v>
      </c>
      <c r="AH199" s="86" t="str">
        <f t="shared" si="61"/>
        <v>"%USERPROFILE%\Documents\GitHub\eaglep3\Utilities\RefineRTDCRunTimes.py" --tripid 835-21 --locoid 4009 --swversion DE.1.0.9.0 --startMP 204:964 --initTime 2017-03-21T17:27:36 --startdatetime 2017-03-21T17:51:18 --delay 1 --endMP 300:58929 --enddatetime 2017-03-21T18:06:48 --enforcementcount 0 &gt;&gt;C:\Users\stu\Documents\GitHub\eaglep3-reporting\EC\2017-03-21-refined-times.txt</v>
      </c>
      <c r="AI199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{"issue":{"subject":"","project_id":79,"tracker_id":40,"status_id":1,"priority_id":2,"assigned_to_id":23,"start_date":"2017-03-21","description":"","custom_fields":[{"id":1,"name":"Subdivision","value":"NW"},{"id":4,"name":"Milepost","value":"5.8929"},{"id":17,"name":"Train ID","value":"835-21"},{"id":16,"name":"Locomotive ID","value":"4009"},{"id":130,"name":"Impact","value":""},{"id":150,"name":"Time of Event (Mountain Time)","value":"18:06:48"},{"id":151,"name":"Denver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3"/>
        <v>start /low /b %USERPROFILE%\Documents\GitHub\eaglep3\Utilities\DownloadLogsFromS3.py --loco 4009 --day 2017-03-21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</row>
    <row r="200" spans="1:40" x14ac:dyDescent="0.25">
      <c r="A200" s="33" t="s">
        <v>781</v>
      </c>
      <c r="B200" s="7">
        <v>4010</v>
      </c>
      <c r="C200" s="21" t="s">
        <v>221</v>
      </c>
      <c r="D200" s="21" t="s">
        <v>436</v>
      </c>
      <c r="E200" s="13">
        <v>42815.755567129629</v>
      </c>
      <c r="F200" s="13">
        <v>42815.756990740738</v>
      </c>
      <c r="G200" s="7">
        <v>1</v>
      </c>
      <c r="H200" s="21" t="s">
        <v>508</v>
      </c>
      <c r="I200" s="13">
        <v>42815.767870370371</v>
      </c>
      <c r="J200" s="7">
        <v>0</v>
      </c>
      <c r="K200" s="98" t="str">
        <f t="shared" si="50"/>
        <v>4009/4010</v>
      </c>
      <c r="L200" s="21" t="str">
        <f>VLOOKUP(A200,'Trips&amp;Operators'!$C$1:$G$99999,5,FALSE)</f>
        <v>SWANSON BRYCE</v>
      </c>
      <c r="M200" s="6">
        <f t="shared" si="51"/>
        <v>1.0879629633564036E-2</v>
      </c>
      <c r="N200" s="7">
        <f t="shared" si="64"/>
        <v>15.666666672332212</v>
      </c>
      <c r="O200" s="7"/>
      <c r="P200" s="7"/>
      <c r="Q200" s="22"/>
      <c r="R200" s="22"/>
      <c r="S200" s="31">
        <f t="shared" si="65"/>
        <v>1</v>
      </c>
      <c r="T200" s="46" t="str">
        <f t="shared" si="52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3"/>
        <v>https://d0f6bd738d7f1b3e5a7ca70fe4ff75f0.us-east-1.aws.found.io/app/kibana#/discover/Steve-Slow-Train-Analysis-(2080s-and-2083s)?_g=(refreshInterval:(display:Off,pause:!f,section:0,value:0),time:(from:'2017-03-21T17:08:01-0600',mode:absolute,to:'2017-03-21T19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87" t="str">
        <f t="shared" si="54"/>
        <v>N</v>
      </c>
      <c r="X200" s="187">
        <f t="shared" si="55"/>
        <v>1</v>
      </c>
      <c r="Y200" s="62">
        <f t="shared" ref="Y200:Y231" si="68">RIGHT(D200,LEN(D200)-4)/10000</f>
        <v>5.8613</v>
      </c>
      <c r="Z200" s="62">
        <f t="shared" si="66"/>
        <v>6.8400000000000002E-2</v>
      </c>
      <c r="AA200" s="62">
        <f t="shared" si="56"/>
        <v>5.7929000000000004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7"/>
        <v>0836-21</v>
      </c>
      <c r="AE200" s="85" t="str">
        <f t="shared" si="58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200" s="82" t="str">
        <f t="shared" si="59"/>
        <v>"C:\Program Files (x86)\AstroGrep\AstroGrep.exe" /e /r /s /spath="%USERPROFILE%\AppData\Local\Temp\OnboardLogs" /stypes="app*4010*20170322*" /stext=" 00:.+((SYSTEM_STATE.+slice.+state.+changed )|(ment ac)|(multiple cpu faults)|(system.+state.+changed )|(\[timeout)|(PRM\|1\|D)|(kpr)|(kdp)|(\|lc)|(penalty))"</v>
      </c>
      <c r="AG200" s="1" t="str">
        <f t="shared" si="60"/>
        <v>NW</v>
      </c>
      <c r="AH200" s="86" t="str">
        <f t="shared" si="61"/>
        <v>"%USERPROFILE%\Documents\GitHub\eaglep3\Utilities\RefineRTDCRunTimes.py" --tripid 836-21 --locoid 4010 --swversion DE.1.0.9.0 --startMP 300:58613 --initTime 2017-03-21T18:08:01 --startdatetime 2017-03-21T18:10:04 --delay 1 --endMP 204:684 --enddatetime 2017-03-21T18:25:44 --enforcementcount 0 &gt;&gt;C:\Users\stu\Documents\GitHub\eaglep3-reporting\EC\2017-03-21-refined-times.txt</v>
      </c>
      <c r="AI200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{"issue":{"subject":"","project_id":79,"tracker_id":40,"status_id":1,"priority_id":2,"assigned_to_id":23,"start_date":"2017-03-21","description":"","custom_fields":[{"id":1,"name":"Subdivision","value":"NW"},{"id":4,"name":"Milepost","value":"0.0684"},{"id":17,"name":"Train ID","value":"836-21"},{"id":16,"name":"Locomotive ID","value":"4010"},{"id":130,"name":"Impact","value":""},{"id":150,"name":"Time of Event (Mountain Time)","value":"18:25:44"},{"id":151,"name":"Denver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3"/>
        <v>start /low /b %USERPROFILE%\Documents\GitHub\eaglep3\Utilities\DownloadLogsFromS3.py --loco 4010 --day 2017-03-21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"%USERPROFILE%\AppData\Local\Temp\OnboardLogs"\RTDC4010\*4010*20170322* | grep -SE "(Enforcement Action)|(\[TIMEOUT)|(CHR.+\|PRM\|1\|D.+(SWITCH|SIGNAL).+UNKNOWN)" - &gt;&gt; 2017-03-21-UncaughtWiMAX.txt</v>
      </c>
    </row>
    <row r="201" spans="1:40" x14ac:dyDescent="0.25">
      <c r="A201" s="33" t="s">
        <v>783</v>
      </c>
      <c r="B201" s="7">
        <v>4002</v>
      </c>
      <c r="C201" s="21" t="s">
        <v>221</v>
      </c>
      <c r="D201" s="21" t="s">
        <v>853</v>
      </c>
      <c r="E201" s="13">
        <v>42815.758668981478</v>
      </c>
      <c r="F201" s="13">
        <v>42815.764768518522</v>
      </c>
      <c r="G201" s="7">
        <v>1</v>
      </c>
      <c r="H201" s="21" t="s">
        <v>418</v>
      </c>
      <c r="I201" s="13">
        <v>42815.774062500001</v>
      </c>
      <c r="J201" s="7">
        <v>0</v>
      </c>
      <c r="K201" s="98" t="str">
        <f t="shared" si="50"/>
        <v>4001/4002</v>
      </c>
      <c r="L201" s="21" t="str">
        <f>VLOOKUP(A201,'Trips&amp;Operators'!$C$1:$G$99999,5,FALSE)</f>
        <v>FORTUNATO FRANK</v>
      </c>
      <c r="M201" s="6">
        <f t="shared" si="51"/>
        <v>9.29398147854954E-3</v>
      </c>
      <c r="N201" s="7">
        <f t="shared" si="64"/>
        <v>13.383333329111338</v>
      </c>
      <c r="O201" s="7"/>
      <c r="P201" s="7"/>
      <c r="Q201" s="22"/>
      <c r="R201" s="22"/>
      <c r="S201" s="31">
        <f t="shared" si="65"/>
        <v>1</v>
      </c>
      <c r="T201" s="46" t="str">
        <f t="shared" si="52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3"/>
        <v>https://d0f6bd738d7f1b3e5a7ca70fe4ff75f0.us-east-1.aws.found.io/app/kibana#/discover/Steve-Slow-Train-Analysis-(2080s-and-2083s)?_g=(refreshInterval:(display:Off,pause:!f,section:0,value:0),time:(from:'2017-03-21T17:12:29-0600',mode:absolute,to:'2017-03-21T19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87" t="str">
        <f t="shared" si="54"/>
        <v>N</v>
      </c>
      <c r="X201" s="187">
        <f t="shared" si="55"/>
        <v>1</v>
      </c>
      <c r="Y201" s="62">
        <f t="shared" si="68"/>
        <v>9.69E-2</v>
      </c>
      <c r="Z201" s="62">
        <f t="shared" si="66"/>
        <v>5.8935000000000004</v>
      </c>
      <c r="AA201" s="62">
        <f t="shared" si="56"/>
        <v>5.7966000000000006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7"/>
        <v>0837-21</v>
      </c>
      <c r="AE201" s="85" t="str">
        <f t="shared" si="58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201" s="82" t="str">
        <f t="shared" si="59"/>
        <v>"C:\Program Files (x86)\AstroGrep\AstroGrep.exe" /e /r /s /spath="%USERPROFILE%\AppData\Local\Temp\OnboardLogs" /stypes="app*4002*20170322*" /stext=" 00:.+((SYSTEM_STATE.+slice.+state.+changed )|(ment ac)|(multiple cpu faults)|(system.+state.+changed )|(\[timeout)|(PRM\|1\|D)|(kpr)|(kdp)|(\|lc)|(penalty))"</v>
      </c>
      <c r="AG201" s="1" t="str">
        <f t="shared" si="60"/>
        <v>NW</v>
      </c>
      <c r="AH201" s="86" t="str">
        <f t="shared" si="61"/>
        <v>"%USERPROFILE%\Documents\GitHub\eaglep3\Utilities\RefineRTDCRunTimes.py" --tripid 837-21 --locoid 4002 --swversion DE.1.0.9.0 --startMP 204:969 --initTime 2017-03-21T18:12:29 --startdatetime 2017-03-21T18:21:16 --delay 1 --endMP 300:58935 --enddatetime 2017-03-21T18:34:39 --enforcementcount 0 &gt;&gt;C:\Users\stu\Documents\GitHub\eaglep3-reporting\EC\2017-03-21-refined-times.txt</v>
      </c>
      <c r="AI201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{"issue":{"subject":"","project_id":79,"tracker_id":40,"status_id":1,"priority_id":2,"assigned_to_id":23,"start_date":"2017-03-21","description":"","custom_fields":[{"id":1,"name":"Subdivision","value":"NW"},{"id":4,"name":"Milepost","value":"5.8935"},{"id":17,"name":"Train ID","value":"837-21"},{"id":16,"name":"Locomotive ID","value":"4002"},{"id":130,"name":"Impact","value":""},{"id":150,"name":"Time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3"/>
        <v>start /low /b %USERPROFILE%\Documents\GitHub\eaglep3\Utilities\DownloadLogsFromS3.py --loco 4002 --day 2017-03-21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"%USERPROFILE%\AppData\Local\Temp\OnboardLogs"\RTDC4002\*4002*20170322* | grep -SE "(Enforcement Action)|(\[TIMEOUT)|(CHR.+\|PRM\|1\|D.+(SWITCH|SIGNAL).+UNKNOWN)" - &gt;&gt; 2017-03-21-UncaughtWiMAX.txt</v>
      </c>
    </row>
    <row r="202" spans="1:40" x14ac:dyDescent="0.25">
      <c r="A202" s="33" t="s">
        <v>788</v>
      </c>
      <c r="B202" s="7">
        <v>4001</v>
      </c>
      <c r="C202" s="21" t="s">
        <v>221</v>
      </c>
      <c r="D202" s="21" t="s">
        <v>1010</v>
      </c>
      <c r="E202" s="13">
        <v>42815.775081018517</v>
      </c>
      <c r="F202" s="13">
        <v>42815.776469907411</v>
      </c>
      <c r="G202" s="7">
        <v>1</v>
      </c>
      <c r="H202" s="21" t="s">
        <v>1011</v>
      </c>
      <c r="I202" s="13">
        <v>42815.7890162037</v>
      </c>
      <c r="J202" s="7">
        <v>0</v>
      </c>
      <c r="K202" s="98" t="str">
        <f t="shared" si="50"/>
        <v>4001/4002</v>
      </c>
      <c r="L202" s="21" t="str">
        <f>VLOOKUP(A202,'Trips&amp;Operators'!$C$1:$G$99999,5,FALSE)</f>
        <v>FORTUNATO FRANK</v>
      </c>
      <c r="M202" s="6">
        <f t="shared" si="51"/>
        <v>1.2546296289656311E-2</v>
      </c>
      <c r="N202" s="7">
        <f t="shared" si="64"/>
        <v>18.066666657105088</v>
      </c>
      <c r="O202" s="7"/>
      <c r="P202" s="7"/>
      <c r="Q202" s="22"/>
      <c r="R202" s="22"/>
      <c r="S202" s="31">
        <f t="shared" si="65"/>
        <v>1</v>
      </c>
      <c r="T202" s="46" t="str">
        <f t="shared" si="52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3"/>
        <v>https://d0f6bd738d7f1b3e5a7ca70fe4ff75f0.us-east-1.aws.found.io/app/kibana#/discover/Steve-Slow-Train-Analysis-(2080s-and-2083s)?_g=(refreshInterval:(display:Off,pause:!f,section:0,value:0),time:(from:'2017-03-21T17:36:07-0600',mode:absolute,to:'2017-03-21T19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187" t="str">
        <f t="shared" si="54"/>
        <v>N</v>
      </c>
      <c r="X202" s="187">
        <f t="shared" si="55"/>
        <v>1</v>
      </c>
      <c r="Y202" s="62">
        <f t="shared" si="68"/>
        <v>5.8619000000000003</v>
      </c>
      <c r="Z202" s="62">
        <f t="shared" si="66"/>
        <v>6.3600000000000004E-2</v>
      </c>
      <c r="AA202" s="62">
        <f t="shared" si="56"/>
        <v>5.7983000000000002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7"/>
        <v>0838-21</v>
      </c>
      <c r="AE202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02" s="82" t="str">
        <f t="shared" si="59"/>
        <v>"C:\Program Files (x86)\AstroGrep\AstroGrep.exe" /e /r /s /spath="%USERPROFILE%\AppData\Local\Temp\OnboardLogs" /stypes="app*4001*20170322*" /stext=" 00:.+((SYSTEM_STATE.+slice.+state.+changed )|(ment ac)|(multiple cpu faults)|(system.+state.+changed )|(\[timeout)|(PRM\|1\|D)|(kpr)|(kdp)|(\|lc)|(penalty))"</v>
      </c>
      <c r="AG202" s="1" t="str">
        <f t="shared" si="60"/>
        <v>NW</v>
      </c>
      <c r="AH202" s="86" t="str">
        <f t="shared" si="61"/>
        <v>"%USERPROFILE%\Documents\GitHub\eaglep3\Utilities\RefineRTDCRunTimes.py" --tripid 838-21 --locoid 4001 --swversion DE.1.0.9.0 --startMP 300:58619 --initTime 2017-03-21T18:36:07 --startdatetime 2017-03-21T18:38:07 --delay 1 --endMP 204:636 --enddatetime 2017-03-21T18:56:11 --enforcementcount 0 &gt;&gt;C:\Users\stu\Documents\GitHub\eaglep3-reporting\EC\2017-03-21-refined-times.txt</v>
      </c>
      <c r="AI202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{"issue":{"subject":"","project_id":79,"tracker_id":40,"status_id":1,"priority_id":2,"assigned_to_id":23,"start_date":"2017-03-21","description":"","custom_fields":[{"id":1,"name":"Subdivision","value":"NW"},{"id":4,"name":"Milepost","value":"0.0636"},{"id":17,"name":"Train ID","value":"838-21"},{"id":16,"name":"Locomotive ID","value":"4001"},{"id":130,"name":"Impact","value":""},{"id":150,"name":"Time of Event (Mountain Time)","value":"18:56:11"},{"id":151,"name":"Denver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3"/>
        <v>start /low /b %USERPROFILE%\Documents\GitHub\eaglep3\Utilities\DownloadLogsFromS3.py --loco 4001 --day 2017-03-21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"%USERPROFILE%\AppData\Local\Temp\OnboardLogs"\RTDC4001\*4001*20170322* | grep -SE "(Enforcement Action)|(\[TIMEOUT)|(CHR.+\|PRM\|1\|D.+(SWITCH|SIGNAL).+UNKNOWN)" - &gt;&gt; 2017-03-21-UncaughtWiMAX.txt</v>
      </c>
    </row>
    <row r="203" spans="1:40" x14ac:dyDescent="0.25">
      <c r="A203" s="33" t="s">
        <v>787</v>
      </c>
      <c r="B203" s="7">
        <v>4009</v>
      </c>
      <c r="C203" s="21" t="s">
        <v>221</v>
      </c>
      <c r="D203" s="21" t="s">
        <v>1012</v>
      </c>
      <c r="E203" s="13">
        <v>42815.769537037035</v>
      </c>
      <c r="F203" s="13">
        <v>42815.785613425927</v>
      </c>
      <c r="G203" s="7">
        <v>1</v>
      </c>
      <c r="H203" s="21" t="s">
        <v>482</v>
      </c>
      <c r="I203" s="13">
        <v>42815.795358796298</v>
      </c>
      <c r="J203" s="7">
        <v>0</v>
      </c>
      <c r="K203" s="98" t="str">
        <f t="shared" si="50"/>
        <v>4009/4010</v>
      </c>
      <c r="L203" s="21" t="str">
        <f>VLOOKUP(A203,'Trips&amp;Operators'!$C$1:$G$99999,5,FALSE)</f>
        <v>SWANSON BRYCE</v>
      </c>
      <c r="M203" s="6">
        <f t="shared" si="51"/>
        <v>9.7453703710925765E-3</v>
      </c>
      <c r="N203" s="7">
        <f t="shared" si="64"/>
        <v>14.03333333437331</v>
      </c>
      <c r="O203" s="7"/>
      <c r="P203" s="7"/>
      <c r="Q203" s="22"/>
      <c r="R203" s="22"/>
      <c r="S203" s="31">
        <f t="shared" si="65"/>
        <v>1</v>
      </c>
      <c r="T203" s="46" t="str">
        <f t="shared" si="52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3"/>
        <v>https://d0f6bd738d7f1b3e5a7ca70fe4ff75f0.us-east-1.aws.found.io/app/kibana#/discover/Steve-Slow-Train-Analysis-(2080s-and-2083s)?_g=(refreshInterval:(display:Off,pause:!f,section:0,value:0),time:(from:'2017-03-21T17:28:08-0600',mode:absolute,to:'2017-03-21T20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87" t="str">
        <f t="shared" si="54"/>
        <v>N</v>
      </c>
      <c r="X203" s="187">
        <f t="shared" si="55"/>
        <v>1</v>
      </c>
      <c r="Y203" s="62">
        <f t="shared" si="68"/>
        <v>9.8500000000000004E-2</v>
      </c>
      <c r="Z203" s="62">
        <f t="shared" si="66"/>
        <v>5.8929</v>
      </c>
      <c r="AA203" s="62">
        <f t="shared" si="56"/>
        <v>5.7944000000000004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7"/>
        <v>0839-21</v>
      </c>
      <c r="AE203" s="85" t="str">
        <f t="shared" si="58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203" s="82" t="str">
        <f t="shared" si="59"/>
        <v>"C:\Program Files (x86)\AstroGrep\AstroGrep.exe" /e /r /s /spath="%USERPROFILE%\AppData\Local\Temp\OnboardLogs" /stypes="app*4009*20170322*" /stext=" 01:.+((SYSTEM_STATE.+slice.+state.+changed )|(ment ac)|(multiple cpu faults)|(system.+state.+changed )|(\[timeout)|(PRM\|1\|D)|(kpr)|(kdp)|(\|lc)|(penalty))"</v>
      </c>
      <c r="AG203" s="1" t="str">
        <f t="shared" si="60"/>
        <v>NW</v>
      </c>
      <c r="AH203" s="86" t="str">
        <f t="shared" si="61"/>
        <v>"%USERPROFILE%\Documents\GitHub\eaglep3\Utilities\RefineRTDCRunTimes.py" --tripid 839-21 --locoid 4009 --swversion DE.1.0.9.0 --startMP 204:985 --initTime 2017-03-21T18:28:08 --startdatetime 2017-03-21T18:51:17 --delay 1 --endMP 300:58929 --enddatetime 2017-03-21T19:05:19 --enforcementcount 0 &gt;&gt;C:\Users\stu\Documents\GitHub\eaglep3-reporting\EC\2017-03-21-refined-times.txt</v>
      </c>
      <c r="AI203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{"issue":{"subject":"","project_id":79,"tracker_id":40,"status_id":1,"priority_id":2,"assigned_to_id":23,"start_date":"2017-03-21","description":"","custom_fields":[{"id":1,"name":"Subdivision","value":"NW"},{"id":4,"name":"Milepost","value":"5.8929"},{"id":17,"name":"Train ID","value":"839-21"},{"id":16,"name":"Locomotive ID","value":"4009"},{"id":130,"name":"Impact","value":""},{"id":150,"name":"Time of Event (Mountain Time)","value":"19:05:19"},{"id":151,"name":"Denver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3"/>
        <v>start /low /b %USERPROFILE%\Documents\GitHub\eaglep3\Utilities\DownloadLogsFromS3.py --loco 4009 --day 2017-03-21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"%USERPROFILE%\AppData\Local\Temp\OnboardLogs"\RTDC4009\*4009*20170322* | grep -SE "(Enforcement Action)|(\[TIMEOUT)|(CHR.+\|PRM\|1\|D.+(SWITCH|SIGNAL).+UNKNOWN)" - &gt;&gt; 2017-03-21-UncaughtWiMAX.txt</v>
      </c>
    </row>
    <row r="204" spans="1:40" x14ac:dyDescent="0.25">
      <c r="A204" s="33" t="s">
        <v>635</v>
      </c>
      <c r="B204" s="7">
        <v>4001</v>
      </c>
      <c r="C204" s="21" t="s">
        <v>221</v>
      </c>
      <c r="D204" s="21" t="s">
        <v>1013</v>
      </c>
      <c r="E204" s="13">
        <v>42815.820289351854</v>
      </c>
      <c r="F204" s="13">
        <v>42815.822002314817</v>
      </c>
      <c r="G204" s="7">
        <v>1</v>
      </c>
      <c r="H204" s="21" t="s">
        <v>590</v>
      </c>
      <c r="I204" s="13">
        <v>42815.833969907406</v>
      </c>
      <c r="J204" s="7">
        <v>0</v>
      </c>
      <c r="K204" s="98" t="str">
        <f t="shared" si="50"/>
        <v>4001/4002</v>
      </c>
      <c r="L204" s="21" t="str">
        <f>VLOOKUP(A204,'Trips&amp;Operators'!$C$1:$G$99999,5,FALSE)</f>
        <v>FORTUNATO FRANK</v>
      </c>
      <c r="M204" s="6">
        <f t="shared" si="51"/>
        <v>1.1967592588916887E-2</v>
      </c>
      <c r="N204" s="7">
        <f t="shared" si="64"/>
        <v>17.233333328040317</v>
      </c>
      <c r="O204" s="7"/>
      <c r="P204" s="7"/>
      <c r="Q204" s="22"/>
      <c r="R204" s="22" t="s">
        <v>1060</v>
      </c>
      <c r="S204" s="31">
        <f t="shared" si="65"/>
        <v>1</v>
      </c>
      <c r="T204" s="46" t="str">
        <f t="shared" si="52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3"/>
        <v>https://d0f6bd738d7f1b3e5a7ca70fe4ff75f0.us-east-1.aws.found.io/app/kibana#/discover/Steve-Slow-Train-Analysis-(2080s-and-2083s)?_g=(refreshInterval:(display:Off,pause:!f,section:0,value:0),time:(from:'2017-03-21T18:41:13-0600',mode:absolute,to:'2017-03-21T21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4" s="187" t="str">
        <f t="shared" si="54"/>
        <v>N</v>
      </c>
      <c r="X204" s="187">
        <f t="shared" si="55"/>
        <v>1</v>
      </c>
      <c r="Y204" s="62">
        <f t="shared" si="68"/>
        <v>5.7327000000000004</v>
      </c>
      <c r="Z204" s="62">
        <f t="shared" si="66"/>
        <v>6.7500000000000004E-2</v>
      </c>
      <c r="AA204" s="62">
        <f t="shared" si="56"/>
        <v>5.6652000000000005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7"/>
        <v>0840-21</v>
      </c>
      <c r="AE204" s="85" t="str">
        <f t="shared" si="58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04" s="82" t="str">
        <f t="shared" si="59"/>
        <v>"C:\Program Files (x86)\AstroGrep\AstroGrep.exe" /e /r /s /spath="%USERPROFILE%\AppData\Local\Temp\OnboardLogs" /stypes="app*4001*20170322*" /stext=" 02:.+((SYSTEM_STATE.+slice.+state.+changed )|(ment ac)|(multiple cpu faults)|(system.+state.+changed )|(\[timeout)|(PRM\|1\|D)|(kpr)|(kdp)|(\|lc)|(penalty))"</v>
      </c>
      <c r="AG204" s="1" t="str">
        <f t="shared" si="60"/>
        <v>NW</v>
      </c>
      <c r="AH204" s="86" t="str">
        <f t="shared" si="61"/>
        <v>"%USERPROFILE%\Documents\GitHub\eaglep3\Utilities\RefineRTDCRunTimes.py" --tripid 840-21 --locoid 4001 --swversion DE.1.0.9.0 --startMP 300:57327 --initTime 2017-03-21T19:41:13 --startdatetime 2017-03-21T19:43:41 --delay 1 --endMP 204:675 --enddatetime 2017-03-21T20:00:55 --enforcementcount 0 &gt;&gt;C:\Users\stu\Documents\GitHub\eaglep3-reporting\EC\2017-03-21-refined-times.txt</v>
      </c>
      <c r="AI204" s="108" t="str">
        <f t="shared" si="62"/>
        <v>echo {"issue":{"subject":"Went active too close to Westminster 2S","project_id":79,"tracker_id":40,"status_id":1,"priority_id":2,"assigned_to_id":23,"start_date":"2017-03-21","description":"","custom_fields":[{"id":1,"name":"Subdivision","value":"NW"},{"id":4,"name":"Milepost","value":"0.0675"},{"id":17,"name":"Train ID","value":"840-21"},{"id":16,"name":"Locomotive ID","value":"4001"},{"id":130,"name":"Impact","value":""},{"id":150,"name":"Time of Event (Mountain Time)","value":"20:00:55"},{"id":151,"name":"Denver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3"/>
        <v>start /low /b %USERPROFILE%\Documents\GitHub\eaglep3\Utilities\DownloadLogsFromS3.py --loco 4001 --day 2017-03-21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"%USERPROFILE%\AppData\Local\Temp\OnboardLogs"\RTDC4001\*4001*20170322* | grep -SE "(Enforcement Action)|(\[TIMEOUT)|(CHR.+\|PRM\|1\|D.+(SWITCH|SIGNAL).+UNKNOWN)" - &gt;&gt; 2017-03-21-UncaughtWiMAX.txt</v>
      </c>
    </row>
    <row r="205" spans="1:40" x14ac:dyDescent="0.25">
      <c r="A205" s="33" t="s">
        <v>635</v>
      </c>
      <c r="B205" s="7">
        <v>4001</v>
      </c>
      <c r="C205" s="21" t="s">
        <v>221</v>
      </c>
      <c r="D205" s="21" t="s">
        <v>1014</v>
      </c>
      <c r="E205" s="13">
        <v>42815.817199074074</v>
      </c>
      <c r="F205" s="13">
        <v>42815.822002314817</v>
      </c>
      <c r="G205" s="7">
        <v>1</v>
      </c>
      <c r="H205" s="21" t="s">
        <v>1015</v>
      </c>
      <c r="I205" s="13">
        <v>42815.833969907406</v>
      </c>
      <c r="J205" s="7">
        <v>0</v>
      </c>
      <c r="K205" s="98" t="str">
        <f t="shared" ref="K205:K243" si="69">IF(ISEVEN(B205),(B205-1)&amp;"/"&amp;B205,B205&amp;"/"&amp;(B205+1))</f>
        <v>4001/4002</v>
      </c>
      <c r="L205" s="21" t="str">
        <f>VLOOKUP(A205,'Trips&amp;Operators'!$C$1:$G$99999,5,FALSE)</f>
        <v>FORTUNATO FRANK</v>
      </c>
      <c r="M205" s="6">
        <f t="shared" ref="M205:M243" si="70">I205-F205</f>
        <v>1.1967592588916887E-2</v>
      </c>
      <c r="N205" s="7"/>
      <c r="O205" s="7"/>
      <c r="P205" s="7"/>
      <c r="Q205" s="22"/>
      <c r="R205" s="22"/>
      <c r="S205" s="31"/>
      <c r="T205" s="46" t="str">
        <f t="shared" ref="T205:T243" si="71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ref="V205:V243" si="7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-21T18:36:46-0600',mode:absolute,to:'2017-03-21T21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5" s="187" t="str">
        <f t="shared" ref="W205:W243" si="73">IF(AA205&lt;IF(AG205="EC",23,5.65),"Y","N")</f>
        <v>Y</v>
      </c>
      <c r="X205" s="187">
        <f t="shared" ref="X205:X214" si="74">VALUE(LEFT(AD205,4))-VALUE(LEFT(AD204,4))</f>
        <v>0</v>
      </c>
      <c r="Y205" s="62">
        <f t="shared" si="68"/>
        <v>5.8604000000000003</v>
      </c>
      <c r="Z205" s="62">
        <f t="shared" si="66"/>
        <v>5.7895000000000003</v>
      </c>
      <c r="AA205" s="62">
        <f t="shared" ref="AA205:AA268" si="75">ABS(Z205-Y205)</f>
        <v>7.0899999999999963E-2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3" si="76">IF(LEN(A205)=6,"0"&amp;A205,A205)</f>
        <v>0840-21</v>
      </c>
      <c r="AE205" s="85" t="str">
        <f t="shared" ref="AE205:AE243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05" s="82" t="str">
        <f t="shared" ref="AF205:AF243" si="7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/stypes="app*4001*20170322*" /stext=" 02:.+((SYSTEM_STATE.+slice.+state.+changed )|(ment ac)|(multiple cpu faults)|(system.+state.+changed )|(\[timeout)|(PRM\|1\|D)|(kpr)|(kdp)|(\|lc)|(penalty))"</v>
      </c>
      <c r="AG205" s="1" t="str">
        <f t="shared" ref="AG205:AG243" si="79">IFERROR(IF(VALUE(LEFT(AD205,2))&lt;=2,"EC",IF(OR(VALUE(LEFT(AD205,2))=8,VALUE(LEFT(AD205,2))=18),"NW","Other")),"Other")</f>
        <v>NW</v>
      </c>
      <c r="AH205" s="86" t="str">
        <f t="shared" si="61"/>
        <v>"%USERPROFILE%\Documents\GitHub\eaglep3\Utilities\RefineRTDCRunTimes.py" --tripid 840-21 --locoid 4001 --swversion DE.1.0.9.0 --startMP 300:58604 --initTime 2017-03-21T19:36:46 --startdatetime 2017-03-21T19:43:41 --delay 1 --endMP 300:57895 --enddatetime 2017-03-21T20:00:55 --enforcementcount 0 &gt;&gt;C:\Users\stu\Documents\GitHub\eaglep3-reporting\EC\2017-03-21-refined-times.txt</v>
      </c>
      <c r="AI205" s="108" t="str">
        <f t="shared" si="62"/>
        <v>echo {"issue":{"subject":"","project_id":79,"tracker_id":40,"status_id":1,"priority_id":2,"assigned_to_id":23,"start_date":"2017-03-21","description":"","custom_fields":[{"id":1,"name":"Subdivision","value":"NW"},{"id":4,"name":"Milepost","value":"5.7895"},{"id":17,"name":"Train ID","value":"840-21"},{"id":16,"name":"Locomotive ID","value":"4001"},{"id":130,"name":"Impact","value":""},{"id":150,"name":"Time of Event (Mountain Time)","value":"20:00:55"},{"id":151,"name":"Denver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3"/>
        <v>start /low /b %USERPROFILE%\Documents\GitHub\eaglep3\Utilities\DownloadLogsFromS3.py --loco 4001 --day 2017-03-21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"%USERPROFILE%\AppData\Local\Temp\OnboardLogs"\RTDC4001\*4001*20170322* | grep -SE "(Enforcement Action)|(\[TIMEOUT)|(CHR.+\|PRM\|1\|D.+(SWITCH|SIGNAL).+UNKNOWN)" - &gt;&gt; 2017-03-21-UncaughtWiMAX.txt</v>
      </c>
    </row>
    <row r="206" spans="1:40" x14ac:dyDescent="0.25">
      <c r="A206" s="33" t="s">
        <v>794</v>
      </c>
      <c r="B206" s="7">
        <v>4002</v>
      </c>
      <c r="C206" s="21" t="s">
        <v>221</v>
      </c>
      <c r="D206" s="21" t="s">
        <v>1016</v>
      </c>
      <c r="E206" s="13">
        <v>42815.804212962961</v>
      </c>
      <c r="F206" s="13">
        <v>42815.806377314817</v>
      </c>
      <c r="G206" s="7">
        <v>1</v>
      </c>
      <c r="H206" s="21" t="s">
        <v>418</v>
      </c>
      <c r="I206" s="13">
        <v>42815.816111111111</v>
      </c>
      <c r="J206" s="7">
        <v>0</v>
      </c>
      <c r="K206" s="98" t="str">
        <f t="shared" si="69"/>
        <v>4001/4002</v>
      </c>
      <c r="L206" s="21" t="str">
        <f>VLOOKUP(A206,'Trips&amp;Operators'!$C$1:$G$99999,5,FALSE)</f>
        <v>FORTUNATO FRANK</v>
      </c>
      <c r="M206" s="6">
        <f t="shared" si="70"/>
        <v>9.7337962943129241E-3</v>
      </c>
      <c r="N206" s="7">
        <f t="shared" ref="N206:N243" si="80">24*60*SUM($M206:$M206)</f>
        <v>14.016666663810611</v>
      </c>
      <c r="O206" s="7"/>
      <c r="P206" s="7"/>
      <c r="Q206" s="22"/>
      <c r="R206" s="22"/>
      <c r="S206" s="31">
        <f t="shared" ref="S206:S243" si="81">SUM(U206:U206)/IF(AG206="EC",12,1)</f>
        <v>1</v>
      </c>
      <c r="T206" s="46" t="str">
        <f t="shared" si="71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2"/>
        <v>https://d0f6bd738d7f1b3e5a7ca70fe4ff75f0.us-east-1.aws.found.io/app/kibana#/discover/Steve-Slow-Train-Analysis-(2080s-and-2083s)?_g=(refreshInterval:(display:Off,pause:!f,section:0,value:0),time:(from:'2017-03-21T18:18:04-0600',mode:absolute,to:'2017-03-21T20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6" s="187" t="str">
        <f t="shared" si="73"/>
        <v>N</v>
      </c>
      <c r="X206" s="187">
        <f t="shared" si="74"/>
        <v>1</v>
      </c>
      <c r="Y206" s="62">
        <f t="shared" si="68"/>
        <v>9.4299999999999995E-2</v>
      </c>
      <c r="Z206" s="62">
        <f t="shared" si="66"/>
        <v>5.8935000000000004</v>
      </c>
      <c r="AA206" s="62">
        <f t="shared" si="75"/>
        <v>5.7992000000000008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6"/>
        <v>0841-21</v>
      </c>
      <c r="AE206" s="85" t="str">
        <f t="shared" si="77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206" s="82" t="str">
        <f t="shared" si="78"/>
        <v>"C:\Program Files (x86)\AstroGrep\AstroGrep.exe" /e /r /s /spath="%USERPROFILE%\AppData\Local\Temp\OnboardLogs" /stypes="app*4002*20170322*" /stext=" 01:.+((SYSTEM_STATE.+slice.+state.+changed )|(ment ac)|(multiple cpu faults)|(system.+state.+changed )|(\[timeout)|(PRM\|1\|D)|(kpr)|(kdp)|(\|lc)|(penalty))"</v>
      </c>
      <c r="AG206" s="1" t="str">
        <f t="shared" si="79"/>
        <v>NW</v>
      </c>
      <c r="AH206" s="86" t="str">
        <f t="shared" ref="AH206:AH243" si="8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841-21 --locoid 4002 --swversion DE.1.0.9.0 --startMP 204:943 --initTime 2017-03-21T19:18:04 --startdatetime 2017-03-21T19:21:11 --delay 1 --endMP 300:58935 --enddatetime 2017-03-21T19:35:12 --enforcementcount 0 &gt;&gt;C:\Users\stu\Documents\GitHub\eaglep3-reporting\EC\2017-03-21-refined-times.txt</v>
      </c>
      <c r="AI206" s="108" t="str">
        <f t="shared" ref="AI206:AI243" si="8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{"issue":{"subject":"","project_id":79,"tracker_id":40,"status_id":1,"priority_id":2,"assigned_to_id":23,"start_date":"2017-03-21","description":"","custom_fields":[{"id":1,"name":"Subdivision","value":"NW"},{"id":4,"name":"Milepost","value":"5.8935"},{"id":17,"name":"Train ID","value":"841-21"},{"id":16,"name":"Locomotive ID","value":"4002"},{"id":130,"name":"Impact","value":""},{"id":150,"name":"Time of Event (Mountain Time)","value":"19:35:12"},{"id":151,"name":"Denver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43" si="84">"start /low /b "&amp;dls3logs&amp;" --loco "&amp;B206&amp;" --day "&amp;TEXT(F206,"YYYY-MM-DD")</f>
        <v>start /low /b %USERPROFILE%\Documents\GitHub\eaglep3\Utilities\DownloadLogsFromS3.py --loco 4002 --day 2017-03-21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"%USERPROFILE%\AppData\Local\Temp\OnboardLogs"\RTDC4002\*4002*20170322* | grep -SE "(Enforcement Action)|(\[TIMEOUT)|(CHR.+\|PRM\|1\|D.+(SWITCH|SIGNAL).+UNKNOWN)" - &gt;&gt; 2017-03-21-UncaughtWiMAX.txt</v>
      </c>
    </row>
    <row r="207" spans="1:40" x14ac:dyDescent="0.25">
      <c r="A207" s="33" t="s">
        <v>637</v>
      </c>
      <c r="B207" s="7">
        <v>4001</v>
      </c>
      <c r="C207" s="21" t="s">
        <v>221</v>
      </c>
      <c r="D207" s="21" t="s">
        <v>1017</v>
      </c>
      <c r="E207" s="13">
        <v>42815.859375</v>
      </c>
      <c r="F207" s="13">
        <v>42815.86074074074</v>
      </c>
      <c r="G207" s="7">
        <v>1</v>
      </c>
      <c r="H207" s="21" t="s">
        <v>1004</v>
      </c>
      <c r="I207" s="13">
        <v>42815.871782407405</v>
      </c>
      <c r="J207" s="7">
        <v>0</v>
      </c>
      <c r="K207" s="98" t="str">
        <f t="shared" si="69"/>
        <v>4001/4002</v>
      </c>
      <c r="L207" s="21" t="str">
        <f>VLOOKUP(A207,'Trips&amp;Operators'!$C$1:$G$99999,5,FALSE)</f>
        <v>FORTUNATO FRANK</v>
      </c>
      <c r="M207" s="6">
        <f t="shared" si="70"/>
        <v>1.1041666664823424E-2</v>
      </c>
      <c r="N207" s="7">
        <f t="shared" si="80"/>
        <v>15.899999997345731</v>
      </c>
      <c r="O207" s="7"/>
      <c r="P207" s="7"/>
      <c r="Q207" s="22"/>
      <c r="R207" s="22"/>
      <c r="S207" s="31">
        <f t="shared" si="81"/>
        <v>1</v>
      </c>
      <c r="T207" s="46" t="str">
        <f t="shared" si="71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2"/>
        <v>https://d0f6bd738d7f1b3e5a7ca70fe4ff75f0.us-east-1.aws.found.io/app/kibana#/discover/Steve-Slow-Train-Analysis-(2080s-and-2083s)?_g=(refreshInterval:(display:Off,pause:!f,section:0,value:0),time:(from:'2017-03-21T19:37:30-0600',mode:absolute,to:'2017-03-21T21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7" s="187" t="str">
        <f t="shared" si="73"/>
        <v>N</v>
      </c>
      <c r="X207" s="187">
        <f t="shared" si="74"/>
        <v>1</v>
      </c>
      <c r="Y207" s="62">
        <f t="shared" si="68"/>
        <v>5.8635999999999999</v>
      </c>
      <c r="Z207" s="62">
        <f t="shared" si="66"/>
        <v>6.9199999999999998E-2</v>
      </c>
      <c r="AA207" s="62">
        <f t="shared" si="75"/>
        <v>5.7943999999999996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6"/>
        <v>0842-21</v>
      </c>
      <c r="AE207" s="85" t="str">
        <f t="shared" si="77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07" s="82" t="str">
        <f t="shared" si="78"/>
        <v>"C:\Program Files (x86)\AstroGrep\AstroGrep.exe" /e /r /s /spath="%USERPROFILE%\AppData\Local\Temp\OnboardLogs" /stypes="app*4001*20170322*" /stext=" 02:.+((SYSTEM_STATE.+slice.+state.+changed )|(ment ac)|(multiple cpu faults)|(system.+state.+changed )|(\[timeout)|(PRM\|1\|D)|(kpr)|(kdp)|(\|lc)|(penalty))"</v>
      </c>
      <c r="AG207" s="1" t="str">
        <f t="shared" si="79"/>
        <v>NW</v>
      </c>
      <c r="AH207" s="86" t="str">
        <f t="shared" si="82"/>
        <v>"%USERPROFILE%\Documents\GitHub\eaglep3\Utilities\RefineRTDCRunTimes.py" --tripid 842-21 --locoid 4001 --swversion DE.1.0.9.0 --startMP 300:58636 --initTime 2017-03-21T20:37:30 --startdatetime 2017-03-21T20:39:28 --delay 1 --endMP 204:692 --enddatetime 2017-03-21T20:55:22 --enforcementcount 0 &gt;&gt;C:\Users\stu\Documents\GitHub\eaglep3-reporting\EC\2017-03-21-refined-times.txt</v>
      </c>
      <c r="AI207" s="108" t="str">
        <f t="shared" si="83"/>
        <v>echo {"issue":{"subject":"","project_id":79,"tracker_id":40,"status_id":1,"priority_id":2,"assigned_to_id":23,"start_date":"2017-03-21","description":"","custom_fields":[{"id":1,"name":"Subdivision","value":"NW"},{"id":4,"name":"Milepost","value":"0.0692"},{"id":17,"name":"Train ID","value":"842-21"},{"id":16,"name":"Locomotive ID","value":"4001"},{"id":130,"name":"Impact","value":""},{"id":150,"name":"Time of Event (Mountain Time)","value":"20:55:22"},{"id":151,"name":"Denver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4"/>
        <v>start /low /b %USERPROFILE%\Documents\GitHub\eaglep3\Utilities\DownloadLogsFromS3.py --loco 4001 --day 2017-03-21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"%USERPROFILE%\AppData\Local\Temp\OnboardLogs"\RTDC4001\*4001*20170322* | grep -SE "(Enforcement Action)|(\[TIMEOUT)|(CHR.+\|PRM\|1\|D.+(SWITCH|SIGNAL).+UNKNOWN)" - &gt;&gt; 2017-03-21-UncaughtWiMAX.txt</v>
      </c>
    </row>
    <row r="208" spans="1:40" x14ac:dyDescent="0.25">
      <c r="A208" s="33" t="s">
        <v>799</v>
      </c>
      <c r="B208" s="7">
        <v>4002</v>
      </c>
      <c r="C208" s="21" t="s">
        <v>221</v>
      </c>
      <c r="D208" s="21" t="s">
        <v>1005</v>
      </c>
      <c r="E208" s="13">
        <v>42815.845231481479</v>
      </c>
      <c r="F208" s="13">
        <v>42815.848078703704</v>
      </c>
      <c r="G208" s="7">
        <v>1</v>
      </c>
      <c r="H208" s="21" t="s">
        <v>1018</v>
      </c>
      <c r="I208" s="13">
        <v>42815.85837962963</v>
      </c>
      <c r="J208" s="7">
        <v>0</v>
      </c>
      <c r="K208" s="98" t="str">
        <f t="shared" si="69"/>
        <v>4001/4002</v>
      </c>
      <c r="L208" s="21" t="str">
        <f>VLOOKUP(A208,'Trips&amp;Operators'!$C$1:$G$99999,5,FALSE)</f>
        <v>FORTUNATO FRANK</v>
      </c>
      <c r="M208" s="6">
        <f t="shared" si="70"/>
        <v>1.0300925925548654E-2</v>
      </c>
      <c r="N208" s="7">
        <f t="shared" si="80"/>
        <v>14.833333332790062</v>
      </c>
      <c r="O208" s="7"/>
      <c r="P208" s="7"/>
      <c r="Q208" s="22"/>
      <c r="R208" s="22"/>
      <c r="S208" s="31">
        <f t="shared" si="81"/>
        <v>1</v>
      </c>
      <c r="T208" s="46" t="str">
        <f t="shared" si="71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2"/>
        <v>https://d0f6bd738d7f1b3e5a7ca70fe4ff75f0.us-east-1.aws.found.io/app/kibana#/discover/Steve-Slow-Train-Analysis-(2080s-and-2083s)?_g=(refreshInterval:(display:Off,pause:!f,section:0,value:0),time:(from:'2017-03-21T19:17:08-0600',mode:absolute,to:'2017-03-21T21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187" t="str">
        <f t="shared" si="73"/>
        <v>N</v>
      </c>
      <c r="X208" s="187">
        <f t="shared" si="74"/>
        <v>1</v>
      </c>
      <c r="Y208" s="62">
        <f t="shared" si="68"/>
        <v>9.6699999999999994E-2</v>
      </c>
      <c r="Z208" s="62">
        <f t="shared" si="66"/>
        <v>5.8954000000000004</v>
      </c>
      <c r="AA208" s="62">
        <f t="shared" si="75"/>
        <v>5.7987000000000002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6"/>
        <v>0843-21</v>
      </c>
      <c r="AE208" s="85" t="str">
        <f t="shared" si="77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208" s="82" t="str">
        <f t="shared" si="78"/>
        <v>"C:\Program Files (x86)\AstroGrep\AstroGrep.exe" /e /r /s /spath="%USERPROFILE%\AppData\Local\Temp\OnboardLogs" /stypes="app*4002*20170322*" /stext=" 02:.+((SYSTEM_STATE.+slice.+state.+changed )|(ment ac)|(multiple cpu faults)|(system.+state.+changed )|(\[timeout)|(PRM\|1\|D)|(kpr)|(kdp)|(\|lc)|(penalty))"</v>
      </c>
      <c r="AG208" s="1" t="str">
        <f t="shared" si="79"/>
        <v>NW</v>
      </c>
      <c r="AH208" s="86" t="str">
        <f t="shared" si="82"/>
        <v>"%USERPROFILE%\Documents\GitHub\eaglep3\Utilities\RefineRTDCRunTimes.py" --tripid 843-21 --locoid 4002 --swversion DE.1.0.9.0 --startMP 204:967 --initTime 2017-03-21T20:17:08 --startdatetime 2017-03-21T20:21:14 --delay 1 --endMP 300:58954 --enddatetime 2017-03-21T20:36:04 --enforcementcount 0 &gt;&gt;C:\Users\stu\Documents\GitHub\eaglep3-reporting\EC\2017-03-21-refined-times.txt</v>
      </c>
      <c r="AI208" s="108" t="str">
        <f t="shared" si="83"/>
        <v>echo {"issue":{"subject":"","project_id":79,"tracker_id":40,"status_id":1,"priority_id":2,"assigned_to_id":23,"start_date":"2017-03-21","description":"","custom_fields":[{"id":1,"name":"Subdivision","value":"NW"},{"id":4,"name":"Milepost","value":"5.8954"},{"id":17,"name":"Train ID","value":"843-21"},{"id":16,"name":"Locomotive ID","value":"4002"},{"id":130,"name":"Impact","value":""},{"id":150,"name":"Time of Event (Mountain Time)","value":"20:36:04"},{"id":151,"name":"Denver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4"/>
        <v>start /low /b %USERPROFILE%\Documents\GitHub\eaglep3\Utilities\DownloadLogsFromS3.py --loco 4002 --day 2017-03-21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"%USERPROFILE%\AppData\Local\Temp\OnboardLogs"\RTDC4002\*4002*20170322* | grep -SE "(Enforcement Action)|(\[TIMEOUT)|(CHR.+\|PRM\|1\|D.+(SWITCH|SIGNAL).+UNKNOWN)" - &gt;&gt; 2017-03-21-UncaughtWiMAX.txt</v>
      </c>
    </row>
    <row r="209" spans="1:40" x14ac:dyDescent="0.25">
      <c r="A209" s="33" t="s">
        <v>806</v>
      </c>
      <c r="B209" s="7">
        <v>4001</v>
      </c>
      <c r="C209" s="21" t="s">
        <v>221</v>
      </c>
      <c r="D209" s="21" t="s">
        <v>1019</v>
      </c>
      <c r="E209" s="13">
        <v>42815.900740740741</v>
      </c>
      <c r="F209" s="13">
        <v>42815.902268518519</v>
      </c>
      <c r="G209" s="7">
        <v>1</v>
      </c>
      <c r="H209" s="21" t="s">
        <v>1020</v>
      </c>
      <c r="I209" s="13">
        <v>42815.915358796294</v>
      </c>
      <c r="J209" s="7">
        <v>0</v>
      </c>
      <c r="K209" s="98" t="str">
        <f t="shared" si="69"/>
        <v>4001/4002</v>
      </c>
      <c r="L209" s="21" t="str">
        <f>VLOOKUP(A209,'Trips&amp;Operators'!$C$1:$G$99999,5,FALSE)</f>
        <v>SWANSON BRYCE</v>
      </c>
      <c r="M209" s="6">
        <f t="shared" si="70"/>
        <v>1.3090277774608694E-2</v>
      </c>
      <c r="N209" s="7">
        <f t="shared" si="80"/>
        <v>18.849999995436519</v>
      </c>
      <c r="O209" s="7"/>
      <c r="P209" s="7"/>
      <c r="Q209" s="22"/>
      <c r="R209" s="22"/>
      <c r="S209" s="31">
        <f t="shared" si="81"/>
        <v>1</v>
      </c>
      <c r="T209" s="46" t="str">
        <f t="shared" si="71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2"/>
        <v>https://d0f6bd738d7f1b3e5a7ca70fe4ff75f0.us-east-1.aws.found.io/app/kibana#/discover/Steve-Slow-Train-Analysis-(2080s-and-2083s)?_g=(refreshInterval:(display:Off,pause:!f,section:0,value:0),time:(from:'2017-03-21T20:37:04-0600',mode:absolute,to:'2017-03-21T22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87" t="str">
        <f t="shared" si="73"/>
        <v>N</v>
      </c>
      <c r="X209" s="187">
        <f t="shared" si="74"/>
        <v>1</v>
      </c>
      <c r="Y209" s="62">
        <f t="shared" si="68"/>
        <v>5.8625999999999996</v>
      </c>
      <c r="Z209" s="62">
        <f t="shared" si="66"/>
        <v>7.0999999999999994E-2</v>
      </c>
      <c r="AA209" s="62">
        <f t="shared" si="75"/>
        <v>5.7915999999999999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6"/>
        <v>0844-21</v>
      </c>
      <c r="AE209" s="85" t="str">
        <f t="shared" si="77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09" s="82" t="str">
        <f t="shared" si="78"/>
        <v>"C:\Program Files (x86)\AstroGrep\AstroGrep.exe" /e /r /s /spath="%USERPROFILE%\AppData\Local\Temp\OnboardLogs" /stypes="app*4001*20170322*" /stext=" 03:.+((SYSTEM_STATE.+slice.+state.+changed )|(ment ac)|(multiple cpu faults)|(system.+state.+changed )|(\[timeout)|(PRM\|1\|D)|(kpr)|(kdp)|(\|lc)|(penalty))"</v>
      </c>
      <c r="AG209" s="1" t="str">
        <f t="shared" si="79"/>
        <v>NW</v>
      </c>
      <c r="AH209" s="86" t="str">
        <f t="shared" si="82"/>
        <v>"%USERPROFILE%\Documents\GitHub\eaglep3\Utilities\RefineRTDCRunTimes.py" --tripid 844-21 --locoid 4001 --swversion DE.1.0.9.0 --startMP 300:58626 --initTime 2017-03-21T21:37:04 --startdatetime 2017-03-21T21:39:16 --delay 1 --endMP 204:710 --enddatetime 2017-03-21T21:58:07 --enforcementcount 0 &gt;&gt;C:\Users\stu\Documents\GitHub\eaglep3-reporting\EC\2017-03-21-refined-times.txt</v>
      </c>
      <c r="AI209" s="108" t="str">
        <f t="shared" si="83"/>
        <v>echo {"issue":{"subject":"","project_id":79,"tracker_id":40,"status_id":1,"priority_id":2,"assigned_to_id":23,"start_date":"2017-03-21","description":"","custom_fields":[{"id":1,"name":"Subdivision","value":"NW"},{"id":4,"name":"Milepost","value":"0.071"},{"id":17,"name":"Train ID","value":"844-21"},{"id":16,"name":"Locomotive ID","value":"4001"},{"id":130,"name":"Impact","value":""},{"id":150,"name":"Time of Event (Mountain Time)","value":"21:58:07"},{"id":151,"name":"Denver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4"/>
        <v>start /low /b %USERPROFILE%\Documents\GitHub\eaglep3\Utilities\DownloadLogsFromS3.py --loco 4001 --day 2017-03-21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"%USERPROFILE%\AppData\Local\Temp\OnboardLogs"\RTDC4001\*4001*20170322* | grep -SE "(Enforcement Action)|(\[TIMEOUT)|(CHR.+\|PRM\|1\|D.+(SWITCH|SIGNAL).+UNKNOWN)" - &gt;&gt; 2017-03-21-UncaughtWiMAX.txt</v>
      </c>
    </row>
    <row r="210" spans="1:40" x14ac:dyDescent="0.25">
      <c r="A210" s="33" t="s">
        <v>803</v>
      </c>
      <c r="B210" s="7">
        <v>4002</v>
      </c>
      <c r="C210" s="21" t="s">
        <v>221</v>
      </c>
      <c r="D210" s="21" t="s">
        <v>1021</v>
      </c>
      <c r="E210" s="13">
        <v>42815.875115740739</v>
      </c>
      <c r="F210" s="13">
        <v>42815.889884259261</v>
      </c>
      <c r="G210" s="7">
        <v>1</v>
      </c>
      <c r="H210" s="21" t="s">
        <v>419</v>
      </c>
      <c r="I210" s="13">
        <v>42815.899537037039</v>
      </c>
      <c r="J210" s="7">
        <v>0</v>
      </c>
      <c r="K210" s="98" t="str">
        <f t="shared" si="69"/>
        <v>4001/4002</v>
      </c>
      <c r="L210" s="21" t="str">
        <f>VLOOKUP(A210,'Trips&amp;Operators'!$C$1:$G$99999,5,FALSE)</f>
        <v>SWANSON BRYCE</v>
      </c>
      <c r="M210" s="6">
        <f t="shared" si="70"/>
        <v>9.6527777786832303E-3</v>
      </c>
      <c r="N210" s="7">
        <f t="shared" si="80"/>
        <v>13.900000001303852</v>
      </c>
      <c r="O210" s="7"/>
      <c r="P210" s="7"/>
      <c r="Q210" s="22"/>
      <c r="R210" s="22"/>
      <c r="S210" s="31">
        <f t="shared" si="81"/>
        <v>1</v>
      </c>
      <c r="T210" s="46" t="str">
        <f t="shared" si="71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2"/>
        <v>https://d0f6bd738d7f1b3e5a7ca70fe4ff75f0.us-east-1.aws.found.io/app/kibana#/discover/Steve-Slow-Train-Analysis-(2080s-and-2083s)?_g=(refreshInterval:(display:Off,pause:!f,section:0,value:0),time:(from:'2017-03-21T20:00:10-0600',mode:absolute,to:'2017-03-21T22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0" s="187" t="str">
        <f t="shared" si="73"/>
        <v>N</v>
      </c>
      <c r="X210" s="187">
        <f t="shared" si="74"/>
        <v>1</v>
      </c>
      <c r="Y210" s="62">
        <f t="shared" si="68"/>
        <v>9.8100000000000007E-2</v>
      </c>
      <c r="Z210" s="62">
        <f t="shared" si="66"/>
        <v>5.8925999999999998</v>
      </c>
      <c r="AA210" s="62">
        <f t="shared" si="75"/>
        <v>5.7945000000000002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6"/>
        <v>0845-21</v>
      </c>
      <c r="AE210" s="85" t="str">
        <f t="shared" si="77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210" s="82" t="str">
        <f t="shared" si="78"/>
        <v>"C:\Program Files (x86)\AstroGrep\AstroGrep.exe" /e /r /s /spath="%USERPROFILE%\AppData\Local\Temp\OnboardLogs" /stypes="app*4002*20170322*" /stext=" 03:.+((SYSTEM_STATE.+slice.+state.+changed )|(ment ac)|(multiple cpu faults)|(system.+state.+changed )|(\[timeout)|(PRM\|1\|D)|(kpr)|(kdp)|(\|lc)|(penalty))"</v>
      </c>
      <c r="AG210" s="1" t="str">
        <f t="shared" si="79"/>
        <v>NW</v>
      </c>
      <c r="AH210" s="86" t="str">
        <f t="shared" si="82"/>
        <v>"%USERPROFILE%\Documents\GitHub\eaglep3\Utilities\RefineRTDCRunTimes.py" --tripid 845-21 --locoid 4002 --swversion DE.1.0.9.0 --startMP 204:981 --initTime 2017-03-21T21:00:10 --startdatetime 2017-03-21T21:21:26 --delay 1 --endMP 300:58926 --enddatetime 2017-03-21T21:35:20 --enforcementcount 0 &gt;&gt;C:\Users\stu\Documents\GitHub\eaglep3-reporting\EC\2017-03-21-refined-times.txt</v>
      </c>
      <c r="AI210" s="108" t="str">
        <f t="shared" si="83"/>
        <v>echo {"issue":{"subject":"","project_id":79,"tracker_id":40,"status_id":1,"priority_id":2,"assigned_to_id":23,"start_date":"2017-03-21","description":"","custom_fields":[{"id":1,"name":"Subdivision","value":"NW"},{"id":4,"name":"Milepost","value":"5.8926"},{"id":17,"name":"Train ID","value":"845-21"},{"id":16,"name":"Locomotive ID","value":"4002"},{"id":130,"name":"Impact","value":""},{"id":150,"name":"Time of Event (Mountain Time)","value":"21:35:20"},{"id":151,"name":"Denver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4"/>
        <v>start /low /b %USERPROFILE%\Documents\GitHub\eaglep3\Utilities\DownloadLogsFromS3.py --loco 4002 --day 2017-03-21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"%USERPROFILE%\AppData\Local\Temp\OnboardLogs"\RTDC4002\*4002*20170322* | grep -SE "(Enforcement Action)|(\[TIMEOUT)|(CHR.+\|PRM\|1\|D.+(SWITCH|SIGNAL).+UNKNOWN)" - &gt;&gt; 2017-03-21-UncaughtWiMAX.txt</v>
      </c>
    </row>
    <row r="211" spans="1:40" x14ac:dyDescent="0.25">
      <c r="A211" s="33" t="s">
        <v>810</v>
      </c>
      <c r="B211" s="7">
        <v>4002</v>
      </c>
      <c r="C211" s="21" t="s">
        <v>221</v>
      </c>
      <c r="D211" s="21" t="s">
        <v>1022</v>
      </c>
      <c r="E211" s="13">
        <v>42815.920624999999</v>
      </c>
      <c r="F211" s="13">
        <v>42815.931493055556</v>
      </c>
      <c r="G211" s="7">
        <v>11</v>
      </c>
      <c r="H211" s="21" t="s">
        <v>1023</v>
      </c>
      <c r="I211" s="13">
        <v>42815.941817129627</v>
      </c>
      <c r="J211" s="7">
        <v>0</v>
      </c>
      <c r="K211" s="98" t="str">
        <f t="shared" si="69"/>
        <v>4001/4002</v>
      </c>
      <c r="L211" s="21" t="str">
        <f>VLOOKUP(A211,'Trips&amp;Operators'!$C$1:$G$99999,5,FALSE)</f>
        <v>SWANSON BRYCE</v>
      </c>
      <c r="M211" s="6">
        <f t="shared" si="70"/>
        <v>1.0324074071832001E-2</v>
      </c>
      <c r="N211" s="7">
        <f t="shared" si="80"/>
        <v>14.866666663438082</v>
      </c>
      <c r="O211" s="7"/>
      <c r="P211" s="7"/>
      <c r="Q211" s="22"/>
      <c r="R211" s="22"/>
      <c r="S211" s="31">
        <f t="shared" si="81"/>
        <v>1</v>
      </c>
      <c r="T211" s="46" t="str">
        <f t="shared" si="71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2"/>
        <v>https://d0f6bd738d7f1b3e5a7ca70fe4ff75f0.us-east-1.aws.found.io/app/kibana#/discover/Steve-Slow-Train-Analysis-(2080s-and-2083s)?_g=(refreshInterval:(display:Off,pause:!f,section:0,value:0),time:(from:'2017-03-21T21:05:42-0600',mode:absolute,to:'2017-03-21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87" t="str">
        <f t="shared" si="73"/>
        <v>N</v>
      </c>
      <c r="X211" s="187">
        <f t="shared" si="74"/>
        <v>2</v>
      </c>
      <c r="Y211" s="62">
        <f t="shared" si="68"/>
        <v>9.8599999999999993E-2</v>
      </c>
      <c r="Z211" s="62">
        <f t="shared" si="66"/>
        <v>5.8926999999999996</v>
      </c>
      <c r="AA211" s="62">
        <f t="shared" si="75"/>
        <v>5.7940999999999994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6"/>
        <v>0847-21</v>
      </c>
      <c r="AE211" s="85" t="str">
        <f t="shared" si="77"/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AF211" s="82" t="str">
        <f t="shared" si="78"/>
        <v>"C:\Program Files (x86)\AstroGrep\AstroGrep.exe" /e /r /s /spath="%USERPROFILE%\AppData\Local\Temp\OnboardLogs" /stypes="app*4002*20170322*" /stext=" 04:.+((SYSTEM_STATE.+slice.+state.+changed )|(ment ac)|(multiple cpu faults)|(system.+state.+changed )|(\[timeout)|(PRM\|1\|D)|(kpr)|(kdp)|(\|lc)|(penalty))"</v>
      </c>
      <c r="AG211" s="1" t="str">
        <f t="shared" si="79"/>
        <v>NW</v>
      </c>
      <c r="AH211" s="86" t="str">
        <f t="shared" si="82"/>
        <v>"%USERPROFILE%\Documents\GitHub\eaglep3\Utilities\RefineRTDCRunTimes.py" --tripid 847-21 --locoid 4002 --swversion DE.1.0.9.0 --startMP 204:986 --initTime 2017-03-21T22:05:42 --startdatetime 2017-03-21T22:21:21 --delay 11 --endMP 300:58927 --enddatetime 2017-03-21T22:36:13 --enforcementcount 0 &gt;&gt;C:\Users\stu\Documents\GitHub\eaglep3-reporting\EC\2017-03-21-refined-times.txt</v>
      </c>
      <c r="AI211" s="108" t="str">
        <f t="shared" si="83"/>
        <v>echo {"issue":{"subject":"","project_id":79,"tracker_id":40,"status_id":1,"priority_id":2,"assigned_to_id":23,"start_date":"2017-03-21","description":"","custom_fields":[{"id":1,"name":"Subdivision","value":"NW"},{"id":4,"name":"Milepost","value":"5.8927"},{"id":17,"name":"Train ID","value":"847-21"},{"id":16,"name":"Locomotive ID","value":"4002"},{"id":130,"name":"Impact","value":""},{"id":150,"name":"Time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4"/>
        <v>start /low /b %USERPROFILE%\Documents\GitHub\eaglep3\Utilities\DownloadLogsFromS3.py --loco 4002 --day 2017-03-21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"%USERPROFILE%\AppData\Local\Temp\OnboardLogs"\RTDC4002\*4002*20170322* | grep -SE "(Enforcement Action)|(\[TIMEOUT)|(CHR.+\|PRM\|1\|D.+(SWITCH|SIGNAL).+UNKNOWN)" - &gt;&gt; 2017-03-21-UncaughtWiMAX.txt</v>
      </c>
    </row>
    <row r="212" spans="1:40" x14ac:dyDescent="0.25">
      <c r="A212" s="33" t="s">
        <v>640</v>
      </c>
      <c r="B212" s="7">
        <v>4023</v>
      </c>
      <c r="C212" s="21" t="s">
        <v>221</v>
      </c>
      <c r="D212" s="21" t="s">
        <v>941</v>
      </c>
      <c r="E212" s="13">
        <v>42815.116342592592</v>
      </c>
      <c r="F212" s="13">
        <v>42815.119722222225</v>
      </c>
      <c r="G212" s="7">
        <v>4</v>
      </c>
      <c r="H212" s="21" t="s">
        <v>577</v>
      </c>
      <c r="I212" s="13">
        <v>42815.124571759261</v>
      </c>
      <c r="J212" s="7">
        <v>0</v>
      </c>
      <c r="K212" s="98" t="str">
        <f t="shared" si="69"/>
        <v>4023/4024</v>
      </c>
      <c r="L212" s="21" t="str">
        <f>VLOOKUP(A212,'Trips&amp;Operators'!$C$1:$G$99999,5,FALSE)</f>
        <v>SANTIZO D. EDY</v>
      </c>
      <c r="M212" s="6">
        <f t="shared" si="70"/>
        <v>4.8495370356249623E-3</v>
      </c>
      <c r="N212" s="7">
        <f t="shared" si="80"/>
        <v>6.9833333312999457</v>
      </c>
      <c r="O212" s="7"/>
      <c r="P212" s="7"/>
      <c r="Q212" s="22"/>
      <c r="R212" s="22"/>
      <c r="S212" s="31">
        <f t="shared" si="81"/>
        <v>1</v>
      </c>
      <c r="T212" s="46" t="str">
        <f t="shared" si="71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2"/>
        <v>https://d0f6bd738d7f1b3e5a7ca70fe4ff75f0.us-east-1.aws.found.io/app/kibana#/discover/Steve-Slow-Train-Analysis-(2080s-and-2083s)?_g=(refreshInterval:(display:Off,pause:!f,section:0,value:0),time:(from:'2017-03-21T01:47:32-0600',mode:absolute,to:'2017-03-21T03:59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2" s="187" t="str">
        <f t="shared" si="73"/>
        <v>Y</v>
      </c>
      <c r="X212" s="187">
        <f t="shared" si="74"/>
        <v>-545</v>
      </c>
      <c r="Y212" s="62">
        <f t="shared" si="68"/>
        <v>1.9648000000000001</v>
      </c>
      <c r="Z212" s="62">
        <f t="shared" si="66"/>
        <v>1.2500000000000001E-2</v>
      </c>
      <c r="AA212" s="62">
        <f t="shared" si="75"/>
        <v>1.9523000000000001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6"/>
        <v>0302-21</v>
      </c>
      <c r="AE212" s="85" t="str">
        <f t="shared" si="77"/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AF212" s="82" t="str">
        <f t="shared" si="78"/>
        <v>"C:\Program Files (x86)\AstroGrep\AstroGrep.exe" /e /r /s /spath="%USERPROFILE%\AppData\Local\Temp\OnboardLogs" /stypes="app*4023*20170321*" /stext=" 08:.+((SYSTEM_STATE.+slice.+state.+changed )|(ment ac)|(multiple cpu faults)|(system.+state.+changed )|(\[timeout)|(PRM\|1\|D)|(kpr)|(kdp)|(\|lc)|(penalty))"</v>
      </c>
      <c r="AG212" s="1" t="str">
        <f t="shared" si="79"/>
        <v>Other</v>
      </c>
      <c r="AH212" s="86" t="str">
        <f t="shared" si="82"/>
        <v>"%USERPROFILE%\Documents\GitHub\eaglep3\Utilities\RefineRTDCRunTimes.py" --tripid 302-21 --locoid 4023 --swversion DE.1.0.9.0 --startMP 300:19648 --initTime 2017-03-21T02:47:32 --startdatetime 2017-03-21T02:52:24 --delay 4 --endMP 204:125 --enddatetime 2017-03-21T02:59:23 --enforcementcount 0 &gt;&gt;C:\Users\stu\Documents\GitHub\eaglep3-reporting\EC\2017-03-21-refined-times.txt</v>
      </c>
      <c r="AI212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{"issue":{"subject":"","project_id":79,"tracker_id":40,"status_id":1,"priority_id":2,"assigned_to_id":23,"start_date":"2017-03-21","description":"","custom_fields":[{"id":1,"name":"Subdivision","value":"Other"},{"id":4,"name":"Milepost","value":"0.0125"},{"id":17,"name":"Train ID","value":"302-21"},{"id":16,"name":"Locomotive ID","value":"4023"},{"id":130,"name":"Impact","value":""},{"id":150,"name":"Time of Event (Mountain Time)","value":"02:59:23"},{"id":151,"name":"Denver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4"/>
        <v>start /low /b %USERPROFILE%\Documents\GitHub\eaglep3\Utilities\DownloadLogsFromS3.py --loco 4023 --day 2017-03-21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"%USERPROFILE%\AppData\Local\Temp\OnboardLogs"\RTDC4023\*4023*20170321* | grep -SE "(Enforcement Action)|(\[TIMEOUT)|(CHR.+\|PRM\|1\|D.+(SWITCH|SIGNAL).+UNKNOWN)" - &gt;&gt; 2017-03-21-UncaughtWiMAX.txt</v>
      </c>
    </row>
    <row r="213" spans="1:40" x14ac:dyDescent="0.25">
      <c r="A213" s="33" t="s">
        <v>789</v>
      </c>
      <c r="B213" s="7">
        <v>4025</v>
      </c>
      <c r="C213" s="21" t="s">
        <v>221</v>
      </c>
      <c r="D213" s="21" t="s">
        <v>942</v>
      </c>
      <c r="E213" s="13">
        <v>42815.778449074074</v>
      </c>
      <c r="F213" s="13">
        <v>42815.790532407409</v>
      </c>
      <c r="G213" s="7">
        <v>1</v>
      </c>
      <c r="H213" s="21" t="s">
        <v>943</v>
      </c>
      <c r="I213" s="13">
        <v>42815.800706018519</v>
      </c>
      <c r="J213" s="7">
        <v>0</v>
      </c>
      <c r="K213" s="98" t="str">
        <f t="shared" si="69"/>
        <v>4025/4026</v>
      </c>
      <c r="L213" s="21" t="str">
        <f>VLOOKUP(A213,'Trips&amp;Operators'!$C$1:$G$99999,5,FALSE)</f>
        <v>CLARK KATHLEEN</v>
      </c>
      <c r="M213" s="6">
        <f t="shared" si="70"/>
        <v>1.0173611110076308E-2</v>
      </c>
      <c r="N213" s="7">
        <f t="shared" si="80"/>
        <v>14.649999998509884</v>
      </c>
      <c r="O213" s="7"/>
      <c r="P213" s="7"/>
      <c r="Q213" s="22"/>
      <c r="R213" s="22"/>
      <c r="S213" s="31">
        <f t="shared" si="81"/>
        <v>1</v>
      </c>
      <c r="T213" s="46" t="str">
        <f t="shared" si="71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2"/>
        <v>https://d0f6bd738d7f1b3e5a7ca70fe4ff75f0.us-east-1.aws.found.io/app/kibana#/discover/Steve-Slow-Train-Analysis-(2080s-and-2083s)?_g=(refreshInterval:(display:Off,pause:!f,section:0,value:0),time:(from:'2017-03-21T17:40:58-0600',mode:absolute,to:'2017-03-21T20:13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187" t="str">
        <f t="shared" si="73"/>
        <v>Y</v>
      </c>
      <c r="X213" s="187">
        <f t="shared" si="74"/>
        <v>1</v>
      </c>
      <c r="Y213" s="62">
        <f t="shared" si="68"/>
        <v>5.33E-2</v>
      </c>
      <c r="Z213" s="62">
        <f t="shared" si="66"/>
        <v>2.3346</v>
      </c>
      <c r="AA213" s="62">
        <f t="shared" si="75"/>
        <v>2.2812999999999999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6"/>
        <v>0303-21</v>
      </c>
      <c r="AE213" s="85" t="str">
        <f t="shared" si="77"/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AF213" s="82" t="str">
        <f t="shared" si="78"/>
        <v>"C:\Program Files (x86)\AstroGrep\AstroGrep.exe" /e /r /s /spath="%USERPROFILE%\AppData\Local\Temp\OnboardLogs" /stypes="app*4025*20170322*" /stext=" 01:.+((SYSTEM_STATE.+slice.+state.+changed )|(ment ac)|(multiple cpu faults)|(system.+state.+changed )|(\[timeout)|(PRM\|1\|D)|(kpr)|(kdp)|(\|lc)|(penalty))"</v>
      </c>
      <c r="AG213" s="1" t="str">
        <f t="shared" si="79"/>
        <v>Other</v>
      </c>
      <c r="AH213" s="86" t="str">
        <f t="shared" si="82"/>
        <v>"%USERPROFILE%\Documents\GitHub\eaglep3\Utilities\RefineRTDCRunTimes.py" --tripid 303-21 --locoid 4025 --swversion DE.1.0.9.0 --startMP 204:533 --initTime 2017-03-21T18:40:58 --startdatetime 2017-03-21T18:58:22 --delay 1 --endMP 300:23346 --enddatetime 2017-03-21T19:13:01 --enforcementcount 0 &gt;&gt;C:\Users\stu\Documents\GitHub\eaglep3-reporting\EC\2017-03-21-refined-times.txt</v>
      </c>
      <c r="AI213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{"issue":{"subject":"","project_id":79,"tracker_id":40,"status_id":1,"priority_id":2,"assigned_to_id":23,"start_date":"2017-03-21","description":"","custom_fields":[{"id":1,"name":"Subdivision","value":"Other"},{"id":4,"name":"Milepost","value":"2.3346"},{"id":17,"name":"Train ID","value":"303-21"},{"id":16,"name":"Locomotive ID","value":"4025"},{"id":130,"name":"Impact","value":""},{"id":150,"name":"Time of Event (Mountain Time)","value":"19:13:01"},{"id":151,"name":"Denver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4"/>
        <v>start /low /b %USERPROFILE%\Documents\GitHub\eaglep3\Utilities\DownloadLogsFromS3.py --loco 4025 --day 2017-03-21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"%USERPROFILE%\AppData\Local\Temp\OnboardLogs"\RTDC4025\*4025*20170322* | grep -SE "(Enforcement Action)|(\[TIMEOUT)|(CHR.+\|PRM\|1\|D.+(SWITCH|SIGNAL).+UNKNOWN)" - &gt;&gt; 2017-03-21-UncaughtWiMAX.txt</v>
      </c>
    </row>
    <row r="214" spans="1:40" s="20" customFormat="1" x14ac:dyDescent="0.25">
      <c r="A214" s="33" t="s">
        <v>1063</v>
      </c>
      <c r="B214" s="7">
        <v>4041</v>
      </c>
      <c r="C214" s="21" t="s">
        <v>221</v>
      </c>
      <c r="D214" s="21" t="s">
        <v>942</v>
      </c>
      <c r="E214" s="13">
        <v>42815.778449074074</v>
      </c>
      <c r="F214" s="13">
        <v>42815.147916666669</v>
      </c>
      <c r="G214" s="7">
        <v>1</v>
      </c>
      <c r="H214" s="21" t="s">
        <v>943</v>
      </c>
      <c r="I214" s="13">
        <v>42815.147916666669</v>
      </c>
      <c r="J214" s="7">
        <v>0</v>
      </c>
      <c r="K214" s="98" t="str">
        <f t="shared" si="69"/>
        <v>4041/4042</v>
      </c>
      <c r="L214" s="21" t="e">
        <f>VLOOKUP(A214,'Trips&amp;Operators'!$C$1:$G$99999,5,FALSE)</f>
        <v>#N/A</v>
      </c>
      <c r="M214" s="6">
        <f t="shared" si="70"/>
        <v>0</v>
      </c>
      <c r="N214" s="7">
        <f t="shared" si="80"/>
        <v>0</v>
      </c>
      <c r="O214" s="7"/>
      <c r="P214" s="7"/>
      <c r="Q214" s="22"/>
      <c r="R214" s="22" t="s">
        <v>1064</v>
      </c>
      <c r="S214" s="31">
        <f t="shared" si="81"/>
        <v>0</v>
      </c>
      <c r="T214" s="46" t="str">
        <f t="shared" si="71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72"/>
        <v>https://d0f6bd738d7f1b3e5a7ca70fe4ff75f0.us-east-1.aws.found.io/app/kibana#/discover/Steve-Slow-Train-Analysis-(2080s-and-2083s)?_g=(refreshInterval:(display:Off,pause:!f,section:0,value:0),time:(from:'2017-03-21T17:40:58-0600',mode:absolute,to:'2017-03-21T04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187" t="str">
        <f t="shared" si="73"/>
        <v>Y</v>
      </c>
      <c r="X214" s="187">
        <f t="shared" si="74"/>
        <v>1</v>
      </c>
      <c r="Y214" s="62">
        <f t="shared" si="68"/>
        <v>5.33E-2</v>
      </c>
      <c r="Z214" s="62">
        <f t="shared" si="66"/>
        <v>2.3346</v>
      </c>
      <c r="AA214" s="62">
        <f t="shared" si="75"/>
        <v>2.2812999999999999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6"/>
        <v>0304-21</v>
      </c>
      <c r="AE214" s="85" t="str">
        <f t="shared" si="77"/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AF214" s="82" t="str">
        <f t="shared" si="78"/>
        <v>"C:\Program Files (x86)\AstroGrep\AstroGrep.exe" /e /r /s /spath="%USERPROFILE%\AppData\Local\Temp\OnboardLogs" /stypes="app*4041*20170321*" /stext=" 09:.+((SYSTEM_STATE.+slice.+state.+changed )|(ment ac)|(multiple cpu faults)|(system.+state.+changed )|(\[timeout)|(PRM\|1\|D)|(kpr)|(kdp)|(\|lc)|(penalty))"</v>
      </c>
      <c r="AG214" s="1" t="str">
        <f t="shared" si="79"/>
        <v>Other</v>
      </c>
      <c r="AH214" s="86" t="str">
        <f t="shared" ref="AH214" si="85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304-21 --locoid 4041 --swversion DE.1.0.9.0 --startMP 204:533 --initTime 2017-03-21T18:40:58 --startdatetime 2017-03-21T03:33:00 --delay 1 --endMP 300:23346 --enddatetime 2017-03-21T03:33:00 --enforcementcount 0 &gt;&gt;C:\Users\stu\Documents\GitHub\eaglep3-reporting\EC\2017-03-21-refined-times.txt</v>
      </c>
      <c r="AI214" s="108" t="str">
        <f t="shared" ref="AI214" si="86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outage","project_id":79,"tracker_id":40,"status_id":1,"priority_id":2,"assigned_to_id":23,"start_date":"2017-03-21","description":"","custom_fields":[{"id":1,"name":"Subdivision","value":"Other"},{"id":4,"name":"Milepost","value":"2.3346"},{"id":17,"name":"Train ID","value":"304-21"},{"id":16,"name":"Locomotive ID","value":"4041"},{"id":130,"name":"Impact","value":""},{"id":150,"name":"Time of Event (Mountain Time)","value":"03:33:00"},{"id":151,"name":"Denver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ref="AM214" si="87">"start /low /b "&amp;dls3logs&amp;" --loco "&amp;B214&amp;" --day "&amp;TEXT(F214,"YYYY-MM-DD")</f>
        <v>start /low /b %USERPROFILE%\Documents\GitHub\eaglep3\Utilities\DownloadLogsFromS3.py --loco 4041 --day 2017-03-21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2017-03-21-UncaughtWiMAX.txt</v>
      </c>
    </row>
    <row r="215" spans="1:40" x14ac:dyDescent="0.25">
      <c r="A215" s="33" t="s">
        <v>793</v>
      </c>
      <c r="B215" s="7">
        <v>4024</v>
      </c>
      <c r="C215" s="21" t="s">
        <v>221</v>
      </c>
      <c r="D215" s="21" t="s">
        <v>518</v>
      </c>
      <c r="E215" s="13">
        <v>42815.79724537037</v>
      </c>
      <c r="F215" s="13">
        <v>42815.798229166663</v>
      </c>
      <c r="G215" s="7">
        <v>1</v>
      </c>
      <c r="H215" s="21" t="s">
        <v>944</v>
      </c>
      <c r="I215" s="13">
        <v>42815.802858796298</v>
      </c>
      <c r="J215" s="7">
        <v>0</v>
      </c>
      <c r="K215" s="98" t="str">
        <f t="shared" si="69"/>
        <v>4023/4024</v>
      </c>
      <c r="L215" s="21" t="str">
        <f>VLOOKUP(A215,'Trips&amp;Operators'!$C$1:$G$99999,5,FALSE)</f>
        <v>LOCKLEAR TRAVIS</v>
      </c>
      <c r="M215" s="6">
        <f t="shared" si="70"/>
        <v>4.6296296350192279E-3</v>
      </c>
      <c r="N215" s="7">
        <f t="shared" si="80"/>
        <v>6.6666666744276881</v>
      </c>
      <c r="O215" s="7"/>
      <c r="P215" s="7"/>
      <c r="Q215" s="22"/>
      <c r="R215" s="22"/>
      <c r="S215" s="31">
        <f t="shared" si="81"/>
        <v>1</v>
      </c>
      <c r="T215" s="46" t="str">
        <f t="shared" si="71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2"/>
        <v>https://d0f6bd738d7f1b3e5a7ca70fe4ff75f0.us-east-1.aws.found.io/app/kibana#/discover/Steve-Slow-Train-Analysis-(2080s-and-2083s)?_g=(refreshInterval:(display:Off,pause:!f,section:0,value:0),time:(from:'2017-03-21T18:08:02-0600',mode:absolute,to:'2017-03-21T20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5" s="187" t="str">
        <f t="shared" si="73"/>
        <v>Y</v>
      </c>
      <c r="X215" s="187">
        <f t="shared" ref="X215:X217" si="88">VALUE(LEFT(AD215,4))-VALUE(LEFT(AD214,4))</f>
        <v>1</v>
      </c>
      <c r="Y215" s="62">
        <f t="shared" si="68"/>
        <v>4.7500000000000001E-2</v>
      </c>
      <c r="Z215" s="62">
        <f t="shared" si="66"/>
        <v>2.3136000000000001</v>
      </c>
      <c r="AA215" s="62">
        <f t="shared" si="75"/>
        <v>2.2661000000000002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6"/>
        <v>0305-21</v>
      </c>
      <c r="AE215" s="85" t="str">
        <f t="shared" si="77"/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AF215" s="82" t="str">
        <f t="shared" si="78"/>
        <v>"C:\Program Files (x86)\AstroGrep\AstroGrep.exe" /e /r /s /spath="%USERPROFILE%\AppData\Local\Temp\OnboardLogs" /stypes="app*4024*20170322*" /stext=" 01:.+((SYSTEM_STATE.+slice.+state.+changed )|(ment ac)|(multiple cpu faults)|(system.+state.+changed )|(\[timeout)|(PRM\|1\|D)|(kpr)|(kdp)|(\|lc)|(penalty))"</v>
      </c>
      <c r="AG215" s="1" t="str">
        <f t="shared" si="79"/>
        <v>Other</v>
      </c>
      <c r="AH215" s="86" t="str">
        <f t="shared" si="82"/>
        <v>"%USERPROFILE%\Documents\GitHub\eaglep3\Utilities\RefineRTDCRunTimes.py" --tripid 305-21 --locoid 4024 --swversion DE.1.0.9.0 --startMP 204:475 --initTime 2017-03-21T19:08:02 --startdatetime 2017-03-21T19:09:27 --delay 1 --endMP 300:23136 --enddatetime 2017-03-21T19:16:07 --enforcementcount 0 &gt;&gt;C:\Users\stu\Documents\GitHub\eaglep3-reporting\EC\2017-03-21-refined-times.txt</v>
      </c>
      <c r="AI215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{"issue":{"subject":"","project_id":79,"tracker_id":40,"status_id":1,"priority_id":2,"assigned_to_id":23,"start_date":"2017-03-21","description":"","custom_fields":[{"id":1,"name":"Subdivision","value":"Other"},{"id":4,"name":"Milepost","value":"2.3136"},{"id":17,"name":"Train ID","value":"305-21"},{"id":16,"name":"Locomotive ID","value":"4024"},{"id":130,"name":"Impact","value":""},{"id":150,"name":"Time of Event (Mountain Time)","value":"19:16:07"},{"id":151,"name":"Denver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4"/>
        <v>start /low /b %USERPROFILE%\Documents\GitHub\eaglep3\Utilities\DownloadLogsFromS3.py --loco 4024 --day 2017-03-21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"%USERPROFILE%\AppData\Local\Temp\OnboardLogs"\RTDC4024\*4024*20170322* | grep -SE "(Enforcement Action)|(\[TIMEOUT)|(CHR.+\|PRM\|1\|D.+(SWITCH|SIGNAL).+UNKNOWN)" - &gt;&gt; 2017-03-21-UncaughtWiMAX.txt</v>
      </c>
    </row>
    <row r="216" spans="1:40" x14ac:dyDescent="0.25">
      <c r="A216" s="33" t="s">
        <v>643</v>
      </c>
      <c r="B216" s="7">
        <v>4013</v>
      </c>
      <c r="C216" s="21" t="s">
        <v>221</v>
      </c>
      <c r="D216" s="21" t="s">
        <v>945</v>
      </c>
      <c r="E216" s="13">
        <v>42815.162233796298</v>
      </c>
      <c r="F216" s="13">
        <v>42815.16547453704</v>
      </c>
      <c r="G216" s="7">
        <v>1</v>
      </c>
      <c r="H216" s="21" t="s">
        <v>214</v>
      </c>
      <c r="I216" s="13">
        <v>42815.171203703707</v>
      </c>
      <c r="J216" s="7">
        <v>0</v>
      </c>
      <c r="K216" s="98" t="str">
        <f t="shared" si="69"/>
        <v>4013/4014</v>
      </c>
      <c r="L216" s="21" t="str">
        <f>VLOOKUP(A216,'Trips&amp;Operators'!$C$1:$G$99999,5,FALSE)</f>
        <v>STARKS ANGELINA</v>
      </c>
      <c r="M216" s="6">
        <f t="shared" si="70"/>
        <v>5.7291666671517305E-3</v>
      </c>
      <c r="N216" s="7">
        <f t="shared" si="80"/>
        <v>8.2500000006984919</v>
      </c>
      <c r="O216" s="7"/>
      <c r="P216" s="7"/>
      <c r="Q216" s="22"/>
      <c r="R216" s="22"/>
      <c r="S216" s="31">
        <f t="shared" si="81"/>
        <v>1</v>
      </c>
      <c r="T216" s="46" t="str">
        <f t="shared" si="71"/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2"/>
        <v>https://d0f6bd738d7f1b3e5a7ca70fe4ff75f0.us-east-1.aws.found.io/app/kibana#/discover/Steve-Slow-Train-Analysis-(2080s-and-2083s)?_g=(refreshInterval:(display:Off,pause:!f,section:0,value:0),time:(from:'2017-03-21T02:53:37-0600',mode:absolute,to:'2017-03-21T05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6" s="187" t="str">
        <f t="shared" si="73"/>
        <v>Y</v>
      </c>
      <c r="X216" s="187">
        <f t="shared" si="88"/>
        <v>1</v>
      </c>
      <c r="Y216" s="62">
        <f t="shared" si="68"/>
        <v>2.5124</v>
      </c>
      <c r="Z216" s="62">
        <f t="shared" si="66"/>
        <v>1.41E-2</v>
      </c>
      <c r="AA216" s="62">
        <f t="shared" si="75"/>
        <v>2.4983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6"/>
        <v>0306-21</v>
      </c>
      <c r="AE216" s="85" t="str">
        <f t="shared" si="77"/>
        <v>aws s3 cp s3://rtdc.mdm.uploadarchive.raw/RTDC4013/ "%USERPROFILE%\AppData\Local\Temp\OnboardLogs"\RTDC4013\2017-03-21 --exclude "*" --recursive --include "*20170321*" &amp; "%USERPROFILE%\Documents\GitHub\mrs-test-scripts\Headless Mode &amp; Sideloading\WalkAndUnGZ.bat" "%USERPROFILE%\AppData\Local\Temp\OnboardLogs"\RTDC4013\2017-03-21 &amp; aws s3 cp s3://rtdc.mdm.uploadarchive.raw/RTDC4013/ "%USERPROFILE%\AppData\Local\Temp\OnboardLogs"\RTDC4013\2017-03-22 --exclude "*" --recursive --include "*20170322*" &amp; "%USERPROFILE%\Documents\GitHub\mrs-test-scripts\Headless Mode &amp; Sideloading\WalkAndUnGZ.bat" "%USERPROFILE%\AppData\Local\Temp\OnboardLogs"\RTDC4013\2017-03-22</v>
      </c>
      <c r="AF216" s="82" t="str">
        <f t="shared" si="78"/>
        <v>"C:\Program Files (x86)\AstroGrep\AstroGrep.exe" /e /r /s /spath="%USERPROFILE%\AppData\Local\Temp\OnboardLogs" /stypes="app*4013*20170321*" /stext=" 10:.+((SYSTEM_STATE.+slice.+state.+changed )|(ment ac)|(multiple cpu faults)|(system.+state.+changed )|(\[timeout)|(PRM\|1\|D)|(kpr)|(kdp)|(\|lc)|(penalty))"</v>
      </c>
      <c r="AG216" s="1" t="str">
        <f t="shared" si="79"/>
        <v>Other</v>
      </c>
      <c r="AH216" s="86" t="str">
        <f t="shared" si="82"/>
        <v>"%USERPROFILE%\Documents\GitHub\eaglep3\Utilities\RefineRTDCRunTimes.py" --tripid 306-21 --locoid 4013 --swversion DE.1.0.9.0 --startMP 300:25124 --initTime 2017-03-21T03:53:37 --startdatetime 2017-03-21T03:58:17 --delay 1 --endMP 204:141 --enddatetime 2017-03-21T04:06:32 --enforcementcount 0 &gt;&gt;C:\Users\stu\Documents\GitHub\eaglep3-reporting\EC\2017-03-21-refined-times.txt</v>
      </c>
      <c r="AI216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{"issue":{"subject":"","project_id":79,"tracker_id":40,"status_id":1,"priority_id":2,"assigned_to_id":23,"start_date":"2017-03-21","description":"","custom_fields":[{"id":1,"name":"Subdivision","value":"Other"},{"id":4,"name":"Milepost","value":"0.0141"},{"id":17,"name":"Train ID","value":"306-21"},{"id":16,"name":"Locomotive ID","value":"4013"},{"id":130,"name":"Impact","value":""},{"id":150,"name":"Time of Event (Mountain Time)","value":"04:06:32"},{"id":151,"name":"Denver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4"/>
        <v>start /low /b %USERPROFILE%\Documents\GitHub\eaglep3\Utilities\DownloadLogsFromS3.py --loco 4013 --day 2017-03-21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"%USERPROFILE%\AppData\Local\Temp\OnboardLogs"\RTDC4013\*4013*20170321* | grep -SE "(Enforcement Action)|(\[TIMEOUT)|(CHR.+\|PRM\|1\|D.+(SWITCH|SIGNAL).+UNKNOWN)" - &gt;&gt; 2017-03-21-UncaughtWiMAX.txt</v>
      </c>
    </row>
    <row r="217" spans="1:40" x14ac:dyDescent="0.25">
      <c r="A217" s="33" t="s">
        <v>796</v>
      </c>
      <c r="B217" s="7">
        <v>4042</v>
      </c>
      <c r="C217" s="21" t="s">
        <v>221</v>
      </c>
      <c r="D217" s="21" t="s">
        <v>226</v>
      </c>
      <c r="E217" s="13">
        <v>42815.818680555552</v>
      </c>
      <c r="F217" s="13">
        <v>42815.904733796298</v>
      </c>
      <c r="G217" s="7">
        <v>1</v>
      </c>
      <c r="H217" s="21" t="s">
        <v>398</v>
      </c>
      <c r="I217" s="13">
        <v>42815.913287037038</v>
      </c>
      <c r="J217" s="7">
        <v>0</v>
      </c>
      <c r="K217" s="98" t="str">
        <f t="shared" si="69"/>
        <v>4041/4042</v>
      </c>
      <c r="L217" s="21" t="str">
        <f>VLOOKUP(A217,'Trips&amp;Operators'!$C$1:$G$99999,5,FALSE)</f>
        <v>STRICKLAND EVAN</v>
      </c>
      <c r="M217" s="6">
        <f t="shared" si="70"/>
        <v>8.55324073927477E-3</v>
      </c>
      <c r="N217" s="7">
        <f t="shared" si="80"/>
        <v>12.316666664555669</v>
      </c>
      <c r="O217" s="7"/>
      <c r="P217" s="7"/>
      <c r="Q217" s="22"/>
      <c r="R217" s="22"/>
      <c r="S217" s="31">
        <f t="shared" si="81"/>
        <v>0</v>
      </c>
      <c r="T217" s="46" t="str">
        <f t="shared" si="71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72"/>
        <v>https://d0f6bd738d7f1b3e5a7ca70fe4ff75f0.us-east-1.aws.found.io/app/kibana#/discover/Steve-Slow-Train-Analysis-(2080s-and-2083s)?_g=(refreshInterval:(display:Off,pause:!f,section:0,value:0),time:(from:'2017-03-21T18:38:54-0600',mode:absolute,to:'2017-03-21T22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187" t="str">
        <f t="shared" si="73"/>
        <v>Y</v>
      </c>
      <c r="X217" s="187">
        <f t="shared" si="88"/>
        <v>1</v>
      </c>
      <c r="Y217" s="62">
        <f t="shared" si="68"/>
        <v>4.6899999999999997E-2</v>
      </c>
      <c r="Z217" s="62">
        <f t="shared" si="66"/>
        <v>4.7100000000000003E-2</v>
      </c>
      <c r="AA217" s="62">
        <f t="shared" si="75"/>
        <v>2.0000000000000573E-4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6"/>
        <v>0307-21</v>
      </c>
      <c r="AE217" s="85" t="str">
        <f t="shared" si="77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217" s="82" t="str">
        <f t="shared" si="78"/>
        <v>"C:\Program Files (x86)\AstroGrep\AstroGrep.exe" /e /r /s /spath="%USERPROFILE%\AppData\Local\Temp\OnboardLogs" /stypes="app*4042*20170322*" /stext=" 03:.+((SYSTEM_STATE.+slice.+state.+changed )|(ment ac)|(multiple cpu faults)|(system.+state.+changed )|(\[timeout)|(PRM\|1\|D)|(kpr)|(kdp)|(\|lc)|(penalty))"</v>
      </c>
      <c r="AG217" s="1" t="str">
        <f t="shared" si="79"/>
        <v>Other</v>
      </c>
      <c r="AH217" s="86" t="str">
        <f t="shared" si="82"/>
        <v>"%USERPROFILE%\Documents\GitHub\eaglep3\Utilities\RefineRTDCRunTimes.py" --tripid 307-21 --locoid 4042 --swversion DE.1.0.9.0 --startMP 204:469 --initTime 2017-03-21T19:38:54 --startdatetime 2017-03-21T21:42:49 --delay 1 --endMP 204:471 --enddatetime 2017-03-21T21:55:08 --enforcementcount 0 &gt;&gt;C:\Users\stu\Documents\GitHub\eaglep3-reporting\EC\2017-03-21-refined-times.txt</v>
      </c>
      <c r="AI217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{"issue":{"subject":"","project_id":79,"tracker_id":40,"status_id":1,"priority_id":2,"assigned_to_id":23,"start_date":"2017-03-21","description":"","custom_fields":[{"id":1,"name":"Subdivision","value":"Other"},{"id":4,"name":"Milepost","value":"0.0471"},{"id":17,"name":"Train ID","value":"307-21"},{"id":16,"name":"Locomotive ID","value":"4042"},{"id":130,"name":"Impact","value":""},{"id":150,"name":"Time of Event (Mountain Time)","value":"21:55:08"},{"id":151,"name":"Denver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4"/>
        <v>start /low /b %USERPROFILE%\Documents\GitHub\eaglep3\Utilities\DownloadLogsFromS3.py --loco 4042 --day 2017-03-21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2017-03-21-UncaughtWiMAX.txt</v>
      </c>
    </row>
    <row r="218" spans="1:40" x14ac:dyDescent="0.25">
      <c r="A218" s="33" t="s">
        <v>645</v>
      </c>
      <c r="B218" s="7">
        <v>4052</v>
      </c>
      <c r="C218" s="21" t="s">
        <v>221</v>
      </c>
      <c r="D218" s="21" t="s">
        <v>946</v>
      </c>
      <c r="E218" s="13">
        <v>42815.166701388887</v>
      </c>
      <c r="F218" s="13">
        <v>42815.168738425928</v>
      </c>
      <c r="G218" s="7">
        <v>2</v>
      </c>
      <c r="H218" s="21" t="s">
        <v>401</v>
      </c>
      <c r="I218" s="13">
        <v>42815.174699074072</v>
      </c>
      <c r="J218" s="7">
        <v>0</v>
      </c>
      <c r="K218" s="98" t="str">
        <f t="shared" si="69"/>
        <v>4051/4052</v>
      </c>
      <c r="L218" s="21" t="str">
        <f>VLOOKUP(A218,'Trips&amp;Operators'!$C$1:$G$99999,5,FALSE)</f>
        <v>GUZMAN DANNY</v>
      </c>
      <c r="M218" s="6">
        <f t="shared" si="70"/>
        <v>5.9606481445371173E-3</v>
      </c>
      <c r="N218" s="7">
        <f t="shared" si="80"/>
        <v>8.583333328133449</v>
      </c>
      <c r="O218" s="7"/>
      <c r="P218" s="7"/>
      <c r="Q218" s="22"/>
      <c r="R218" s="22"/>
      <c r="S218" s="31">
        <f t="shared" si="81"/>
        <v>1</v>
      </c>
      <c r="T218" s="46" t="str">
        <f t="shared" si="71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2"/>
        <v>https://d0f6bd738d7f1b3e5a7ca70fe4ff75f0.us-east-1.aws.found.io/app/kibana#/discover/Steve-Slow-Train-Analysis-(2080s-and-2083s)?_g=(refreshInterval:(display:Off,pause:!f,section:0,value:0),time:(from:'2017-03-21T03:00:03-0600',mode:absolute,to:'2017-03-21T05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8" s="187" t="str">
        <f t="shared" si="73"/>
        <v>Y</v>
      </c>
      <c r="X218" s="187">
        <f t="shared" ref="X218:X243" si="89">VALUE(LEFT(AD218,4))-VALUE(LEFT(AD217,4))</f>
        <v>1</v>
      </c>
      <c r="Y218" s="62">
        <f t="shared" si="68"/>
        <v>2.3536000000000001</v>
      </c>
      <c r="Z218" s="62">
        <f t="shared" si="66"/>
        <v>1.4500000000000001E-2</v>
      </c>
      <c r="AA218" s="62">
        <f t="shared" si="75"/>
        <v>2.3391000000000002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6"/>
        <v>0308-21</v>
      </c>
      <c r="AE218" s="85" t="str">
        <f t="shared" si="77"/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AF218" s="82" t="str">
        <f t="shared" si="78"/>
        <v>"C:\Program Files (x86)\AstroGrep\AstroGrep.exe" /e /r /s /spath="%USERPROFILE%\AppData\Local\Temp\OnboardLogs" /stypes="app*4052*20170321*" /stext=" 10:.+((SYSTEM_STATE.+slice.+state.+changed )|(ment ac)|(multiple cpu faults)|(system.+state.+changed )|(\[timeout)|(PRM\|1\|D)|(kpr)|(kdp)|(\|lc)|(penalty))"</v>
      </c>
      <c r="AG218" s="1" t="str">
        <f t="shared" si="79"/>
        <v>Other</v>
      </c>
      <c r="AH218" s="86" t="str">
        <f t="shared" si="82"/>
        <v>"%USERPROFILE%\Documents\GitHub\eaglep3\Utilities\RefineRTDCRunTimes.py" --tripid 308-21 --locoid 4052 --swversion DE.1.0.9.0 --startMP 300:23536 --initTime 2017-03-21T04:00:03 --startdatetime 2017-03-21T04:02:59 --delay 2 --endMP 204:145 --enddatetime 2017-03-21T04:11:34 --enforcementcount 0 &gt;&gt;C:\Users\stu\Documents\GitHub\eaglep3-reporting\EC\2017-03-21-refined-times.txt</v>
      </c>
      <c r="AI218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{"issue":{"subject":"","project_id":79,"tracker_id":40,"status_id":1,"priority_id":2,"assigned_to_id":23,"start_date":"2017-03-21","description":"","custom_fields":[{"id":1,"name":"Subdivision","value":"Other"},{"id":4,"name":"Milepost","value":"0.0145"},{"id":17,"name":"Train ID","value":"308-21"},{"id":16,"name":"Locomotive ID","value":"4052"},{"id":130,"name":"Impact","value":""},{"id":150,"name":"Time of Event (Mountain Time)","value":"04:11:34"},{"id":151,"name":"Denver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4"/>
        <v>start /low /b %USERPROFILE%\Documents\GitHub\eaglep3\Utilities\DownloadLogsFromS3.py --loco 4052 --day 2017-03-21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"%USERPROFILE%\AppData\Local\Temp\OnboardLogs"\RTDC4052\*4052*20170321* | grep -SE "(Enforcement Action)|(\[TIMEOUT)|(CHR.+\|PRM\|1\|D.+(SWITCH|SIGNAL).+UNKNOWN)" - &gt;&gt; 2017-03-21-UncaughtWiMAX.txt</v>
      </c>
    </row>
    <row r="219" spans="1:40" x14ac:dyDescent="0.25">
      <c r="A219" s="33" t="s">
        <v>822</v>
      </c>
      <c r="B219" s="7">
        <v>4016</v>
      </c>
      <c r="C219" s="21" t="s">
        <v>221</v>
      </c>
      <c r="D219" s="21" t="s">
        <v>212</v>
      </c>
      <c r="E219" s="13">
        <v>42816.048414351855</v>
      </c>
      <c r="F219" s="13">
        <v>42816.050486111111</v>
      </c>
      <c r="G219" s="7">
        <v>1</v>
      </c>
      <c r="H219" s="21" t="s">
        <v>947</v>
      </c>
      <c r="I219" s="13">
        <v>42816.059918981482</v>
      </c>
      <c r="J219" s="7">
        <v>0</v>
      </c>
      <c r="K219" s="98" t="str">
        <f t="shared" si="69"/>
        <v>4015/4016</v>
      </c>
      <c r="L219" s="21" t="str">
        <f>VLOOKUP(A219,'Trips&amp;Operators'!$C$1:$G$99999,5,FALSE)</f>
        <v>NEWELL JAMES</v>
      </c>
      <c r="M219" s="6">
        <f t="shared" si="70"/>
        <v>9.4328703708015382E-3</v>
      </c>
      <c r="N219" s="7">
        <f t="shared" si="80"/>
        <v>13.583333333954215</v>
      </c>
      <c r="O219" s="7"/>
      <c r="P219" s="7"/>
      <c r="Q219" s="22"/>
      <c r="R219" s="22"/>
      <c r="S219" s="31">
        <f t="shared" si="81"/>
        <v>1</v>
      </c>
      <c r="T219" s="46" t="str">
        <f t="shared" si="71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2"/>
        <v>https://d0f6bd738d7f1b3e5a7ca70fe4ff75f0.us-east-1.aws.found.io/app/kibana#/discover/Steve-Slow-Train-Analysis-(2080s-and-2083s)?_g=(refreshInterval:(display:Off,pause:!f,section:0,value:0),time:(from:'2017-03-22T00:09:43-0600',mode:absolute,to:'2017-03-22T02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187" t="str">
        <f t="shared" si="73"/>
        <v>Y</v>
      </c>
      <c r="X219" s="187">
        <f t="shared" si="89"/>
        <v>1</v>
      </c>
      <c r="Y219" s="62">
        <f t="shared" si="68"/>
        <v>4.53E-2</v>
      </c>
      <c r="Z219" s="62">
        <f t="shared" si="66"/>
        <v>2.3304</v>
      </c>
      <c r="AA219" s="62">
        <f t="shared" si="75"/>
        <v>2.2850999999999999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6"/>
        <v>0309-21</v>
      </c>
      <c r="AE219" s="85" t="str">
        <f t="shared" si="77"/>
        <v>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 &amp; aws s3 cp s3://rtdc.mdm.uploadarchive.raw/RTDC4016/ "%USERPROFILE%\AppData\Local\Temp\OnboardLogs"\RTDC4016\2017-03-23 --exclude "*" --recursive --include "*20170323*" &amp; "%USERPROFILE%\Documents\GitHub\mrs-test-scripts\Headless Mode &amp; Sideloading\WalkAndUnGZ.bat" "%USERPROFILE%\AppData\Local\Temp\OnboardLogs"\RTDC4016\2017-03-23</v>
      </c>
      <c r="AF219" s="82" t="str">
        <f t="shared" si="78"/>
        <v>"C:\Program Files (x86)\AstroGrep\AstroGrep.exe" /e /r /s /spath="%USERPROFILE%\AppData\Local\Temp\OnboardLogs" /stypes="app*4016*20170322*" /stext=" 07:.+((SYSTEM_STATE.+slice.+state.+changed )|(ment ac)|(multiple cpu faults)|(system.+state.+changed )|(\[timeout)|(PRM\|1\|D)|(kpr)|(kdp)|(\|lc)|(penalty))"</v>
      </c>
      <c r="AG219" s="1" t="str">
        <f t="shared" si="79"/>
        <v>Other</v>
      </c>
      <c r="AH219" s="86" t="str">
        <f t="shared" si="82"/>
        <v>"%USERPROFILE%\Documents\GitHub\eaglep3\Utilities\RefineRTDCRunTimes.py" --tripid 309-21 --locoid 4016 --swversion DE.1.0.9.0 --startMP 204:453 --initTime 2017-03-22T01:09:43 --startdatetime 2017-03-22T01:12:42 --delay 1 --endMP 300:23304 --enddatetime 2017-03-22T01:26:17 --enforcementcount 0 &gt;&gt;C:\Users\stu\Documents\GitHub\eaglep3-reporting\EC\2017-03-21-refined-times.txt</v>
      </c>
      <c r="AI219" s="108" t="str">
        <f t="shared" si="83"/>
        <v>echo {"issue":{"subject":"","project_id":79,"tracker_id":40,"status_id":1,"priority_id":2,"assigned_to_id":23,"start_date":"2017-03-22","description":"","custom_fields":[{"id":1,"name":"Subdivision","value":"Other"},{"id":4,"name":"Milepost","value":"2.3304"},{"id":17,"name":"Train ID","value":"309-21"},{"id":16,"name":"Locomotive ID","value":"4016"},{"id":130,"name":"Impact","value":""},{"id":150,"name":"Time of Event (Mountain Time)","value":"01:26:17"},{"id":151,"name":"Denver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4"/>
        <v>start /low /b %USERPROFILE%\Documents\GitHub\eaglep3\Utilities\DownloadLogsFromS3.py --loco 4016 --day 2017-03-22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"%USERPROFILE%\AppData\Local\Temp\OnboardLogs"\RTDC4016\*4016*20170322* | grep -SE "(Enforcement Action)|(\[TIMEOUT)|(CHR.+\|PRM\|1\|D.+(SWITCH|SIGNAL).+UNKNOWN)" - &gt;&gt; 2017-03-21-UncaughtWiMAX.txt</v>
      </c>
    </row>
    <row r="220" spans="1:40" x14ac:dyDescent="0.25">
      <c r="A220" s="33" t="s">
        <v>648</v>
      </c>
      <c r="B220" s="7">
        <v>4026</v>
      </c>
      <c r="C220" s="21" t="s">
        <v>221</v>
      </c>
      <c r="D220" s="21" t="s">
        <v>948</v>
      </c>
      <c r="E220" s="13">
        <v>42815.181909722225</v>
      </c>
      <c r="F220" s="13">
        <v>42815.184652777774</v>
      </c>
      <c r="G220" s="7">
        <v>3</v>
      </c>
      <c r="H220" s="21" t="s">
        <v>520</v>
      </c>
      <c r="I220" s="13">
        <v>42815.190567129626</v>
      </c>
      <c r="J220" s="7">
        <v>0</v>
      </c>
      <c r="K220" s="98" t="str">
        <f t="shared" si="69"/>
        <v>4025/4026</v>
      </c>
      <c r="L220" s="21" t="str">
        <f>VLOOKUP(A220,'Trips&amp;Operators'!$C$1:$G$99999,5,FALSE)</f>
        <v>DAVIS WENDY</v>
      </c>
      <c r="M220" s="6">
        <f t="shared" si="70"/>
        <v>5.914351851970423E-3</v>
      </c>
      <c r="N220" s="7">
        <f t="shared" si="80"/>
        <v>8.5166666668374091</v>
      </c>
      <c r="O220" s="7"/>
      <c r="P220" s="7"/>
      <c r="Q220" s="22"/>
      <c r="R220" s="22"/>
      <c r="S220" s="31">
        <f t="shared" si="81"/>
        <v>1</v>
      </c>
      <c r="T220" s="46" t="str">
        <f t="shared" si="71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2"/>
        <v>https://d0f6bd738d7f1b3e5a7ca70fe4ff75f0.us-east-1.aws.found.io/app/kibana#/discover/Steve-Slow-Train-Analysis-(2080s-and-2083s)?_g=(refreshInterval:(display:Off,pause:!f,section:0,value:0),time:(from:'2017-03-21T03:21:57-0600',mode:absolute,to:'2017-03-21T05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187" t="str">
        <f t="shared" si="73"/>
        <v>Y</v>
      </c>
      <c r="X220" s="187">
        <f t="shared" si="89"/>
        <v>1</v>
      </c>
      <c r="Y220" s="62">
        <f t="shared" si="68"/>
        <v>2.3725999999999998</v>
      </c>
      <c r="Z220" s="62">
        <f t="shared" si="66"/>
        <v>1.67E-2</v>
      </c>
      <c r="AA220" s="62">
        <f t="shared" si="75"/>
        <v>2.3558999999999997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6"/>
        <v>0310-21</v>
      </c>
      <c r="AE220" s="85" t="str">
        <f t="shared" si="77"/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AF220" s="82" t="str">
        <f t="shared" si="78"/>
        <v>"C:\Program Files (x86)\AstroGrep\AstroGrep.exe" /e /r /s /spath="%USERPROFILE%\AppData\Local\Temp\OnboardLogs" /stypes="app*4026*20170321*" /stext=" 10:.+((SYSTEM_STATE.+slice.+state.+changed )|(ment ac)|(multiple cpu faults)|(system.+state.+changed )|(\[timeout)|(PRM\|1\|D)|(kpr)|(kdp)|(\|lc)|(penalty))"</v>
      </c>
      <c r="AG220" s="1" t="str">
        <f t="shared" si="79"/>
        <v>Other</v>
      </c>
      <c r="AH220" s="86" t="str">
        <f t="shared" si="82"/>
        <v>"%USERPROFILE%\Documents\GitHub\eaglep3\Utilities\RefineRTDCRunTimes.py" --tripid 310-21 --locoid 4026 --swversion DE.1.0.9.0 --startMP 300:23726 --initTime 2017-03-21T04:21:57 --startdatetime 2017-03-21T04:25:54 --delay 3 --endMP 204:167 --enddatetime 2017-03-21T04:34:25 --enforcementcount 0 &gt;&gt;C:\Users\stu\Documents\GitHub\eaglep3-reporting\EC\2017-03-21-refined-times.txt</v>
      </c>
      <c r="AI220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{"issue":{"subject":"","project_id":79,"tracker_id":40,"status_id":1,"priority_id":2,"assigned_to_id":23,"start_date":"2017-03-21","description":"","custom_fields":[{"id":1,"name":"Subdivision","value":"Other"},{"id":4,"name":"Milepost","value":"0.0167"},{"id":17,"name":"Train ID","value":"310-21"},{"id":16,"name":"Locomotive ID","value":"4026"},{"id":130,"name":"Impact","value":""},{"id":150,"name":"Time of Event (Mountain Time)","value":"04:34:25"},{"id":151,"name":"Denver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4"/>
        <v>start /low /b %USERPROFILE%\Documents\GitHub\eaglep3\Utilities\DownloadLogsFromS3.py --loco 4026 --day 2017-03-21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2017-03-21-UncaughtWiMAX.txt</v>
      </c>
    </row>
    <row r="221" spans="1:40" x14ac:dyDescent="0.25">
      <c r="A221" s="33" t="s">
        <v>824</v>
      </c>
      <c r="B221" s="7">
        <v>4031</v>
      </c>
      <c r="C221" s="21" t="s">
        <v>221</v>
      </c>
      <c r="D221" s="21" t="s">
        <v>877</v>
      </c>
      <c r="E221" s="13">
        <v>42816.072210648148</v>
      </c>
      <c r="F221" s="13">
        <v>42816.073414351849</v>
      </c>
      <c r="G221" s="7">
        <v>1</v>
      </c>
      <c r="H221" s="21" t="s">
        <v>949</v>
      </c>
      <c r="I221" s="13">
        <v>42816.082766203705</v>
      </c>
      <c r="J221" s="7">
        <v>0</v>
      </c>
      <c r="K221" s="98" t="str">
        <f t="shared" si="69"/>
        <v>4031/4032</v>
      </c>
      <c r="L221" s="21" t="str">
        <f>VLOOKUP(A221,'Trips&amp;Operators'!$C$1:$G$99999,5,FALSE)</f>
        <v>STORY SAMANTHA</v>
      </c>
      <c r="M221" s="6">
        <f t="shared" si="70"/>
        <v>9.3518518551718444E-3</v>
      </c>
      <c r="N221" s="7">
        <f t="shared" si="80"/>
        <v>13.466666671447456</v>
      </c>
      <c r="O221" s="7"/>
      <c r="P221" s="7"/>
      <c r="Q221" s="22"/>
      <c r="R221" s="22"/>
      <c r="S221" s="31">
        <f t="shared" si="81"/>
        <v>1</v>
      </c>
      <c r="T221" s="46" t="str">
        <f t="shared" si="71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2"/>
        <v>https://d0f6bd738d7f1b3e5a7ca70fe4ff75f0.us-east-1.aws.found.io/app/kibana#/discover/Steve-Slow-Train-Analysis-(2080s-and-2083s)?_g=(refreshInterval:(display:Off,pause:!f,section:0,value:0),time:(from:'2017-03-22T00:43:59-0600',mode:absolute,to:'2017-03-22T02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1" s="187" t="str">
        <f t="shared" si="73"/>
        <v>Y</v>
      </c>
      <c r="X221" s="187">
        <f t="shared" si="89"/>
        <v>1</v>
      </c>
      <c r="Y221" s="62">
        <f t="shared" si="68"/>
        <v>4.7800000000000002E-2</v>
      </c>
      <c r="Z221" s="62">
        <f t="shared" si="66"/>
        <v>2.3302</v>
      </c>
      <c r="AA221" s="62">
        <f t="shared" si="75"/>
        <v>2.2824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6"/>
        <v>0311-21</v>
      </c>
      <c r="AE221" s="85" t="str">
        <f t="shared" si="77"/>
        <v>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 &amp; aws s3 cp s3://rtdc.mdm.uploadarchive.raw/RTDC4031/ "%USERPROFILE%\AppData\Local\Temp\OnboardLogs"\RTDC4031\2017-03-23 --exclude "*" --recursive --include "*20170323*" &amp; "%USERPROFILE%\Documents\GitHub\mrs-test-scripts\Headless Mode &amp; Sideloading\WalkAndUnGZ.bat" "%USERPROFILE%\AppData\Local\Temp\OnboardLogs"\RTDC4031\2017-03-23</v>
      </c>
      <c r="AF221" s="82" t="str">
        <f t="shared" si="78"/>
        <v>"C:\Program Files (x86)\AstroGrep\AstroGrep.exe" /e /r /s /spath="%USERPROFILE%\AppData\Local\Temp\OnboardLogs" /stypes="app*4031*20170322*" /stext=" 07:.+((SYSTEM_STATE.+slice.+state.+changed )|(ment ac)|(multiple cpu faults)|(system.+state.+changed )|(\[timeout)|(PRM\|1\|D)|(kpr)|(kdp)|(\|lc)|(penalty))"</v>
      </c>
      <c r="AG221" s="1" t="str">
        <f t="shared" si="79"/>
        <v>Other</v>
      </c>
      <c r="AH221" s="86" t="str">
        <f t="shared" si="82"/>
        <v>"%USERPROFILE%\Documents\GitHub\eaglep3\Utilities\RefineRTDCRunTimes.py" --tripid 311-21 --locoid 4031 --swversion DE.1.0.9.0 --startMP 204:478 --initTime 2017-03-22T01:43:59 --startdatetime 2017-03-22T01:45:43 --delay 1 --endMP 300:23302 --enddatetime 2017-03-22T01:59:11 --enforcementcount 0 &gt;&gt;C:\Users\stu\Documents\GitHub\eaglep3-reporting\EC\2017-03-21-refined-times.txt</v>
      </c>
      <c r="AI221" s="108" t="str">
        <f t="shared" si="83"/>
        <v>echo {"issue":{"subject":"","project_id":79,"tracker_id":40,"status_id":1,"priority_id":2,"assigned_to_id":23,"start_date":"2017-03-22","description":"","custom_fields":[{"id":1,"name":"Subdivision","value":"Other"},{"id":4,"name":"Milepost","value":"2.3302"},{"id":17,"name":"Train ID","value":"311-21"},{"id":16,"name":"Locomotive ID","value":"4031"},{"id":130,"name":"Impact","value":""},{"id":150,"name":"Time of Event (Mountain Time)","value":"01:59:11"},{"id":151,"name":"Denver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4"/>
        <v>start /low /b %USERPROFILE%\Documents\GitHub\eaglep3\Utilities\DownloadLogsFromS3.py --loco 4031 --day 2017-03-22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"%USERPROFILE%\AppData\Local\Temp\OnboardLogs"\RTDC4031\*4031*20170322* | grep -SE "(Enforcement Action)|(\[TIMEOUT)|(CHR.+\|PRM\|1\|D.+(SWITCH|SIGNAL).+UNKNOWN)" - &gt;&gt; 2017-03-21-UncaughtWiMAX.txt</v>
      </c>
    </row>
    <row r="222" spans="1:40" x14ac:dyDescent="0.25">
      <c r="A222" s="33" t="s">
        <v>562</v>
      </c>
      <c r="B222" s="7">
        <v>4003</v>
      </c>
      <c r="C222" s="21" t="s">
        <v>221</v>
      </c>
      <c r="D222" s="21" t="s">
        <v>525</v>
      </c>
      <c r="E222" s="13">
        <v>42815.089131944442</v>
      </c>
      <c r="F222" s="13">
        <v>42815.090902777774</v>
      </c>
      <c r="G222" s="7">
        <v>1</v>
      </c>
      <c r="H222" s="21" t="s">
        <v>579</v>
      </c>
      <c r="I222" s="13">
        <v>42815.098611111112</v>
      </c>
      <c r="J222" s="7">
        <v>0</v>
      </c>
      <c r="K222" s="98" t="str">
        <f t="shared" si="69"/>
        <v>4003/4004</v>
      </c>
      <c r="L222" s="21" t="str">
        <f>VLOOKUP(A222,'Trips&amp;Operators'!$C$1:$G$99999,5,FALSE)</f>
        <v>STORY SAMANTHA</v>
      </c>
      <c r="M222" s="6">
        <f t="shared" si="70"/>
        <v>7.708333338086959E-3</v>
      </c>
      <c r="N222" s="7">
        <f t="shared" si="80"/>
        <v>11.100000006845221</v>
      </c>
      <c r="O222" s="7"/>
      <c r="P222" s="7"/>
      <c r="Q222" s="22"/>
      <c r="R222" s="22"/>
      <c r="S222" s="31">
        <f t="shared" si="81"/>
        <v>1</v>
      </c>
      <c r="T222" s="46" t="str">
        <f t="shared" si="71"/>
        <v>NorthBound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72"/>
        <v>https://d0f6bd738d7f1b3e5a7ca70fe4ff75f0.us-east-1.aws.found.io/app/kibana#/discover/Steve-Slow-Train-Analysis-(2080s-and-2083s)?_g=(refreshInterval:(display:Off,pause:!f,section:0,value:0),time:(from:'2017-03-21T01:08:21-0600',mode:absolute,to:'2017-03-21T03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2" s="187" t="str">
        <f t="shared" si="73"/>
        <v>Y</v>
      </c>
      <c r="X222" s="187">
        <f t="shared" si="89"/>
        <v>2</v>
      </c>
      <c r="Y222" s="62">
        <f t="shared" si="68"/>
        <v>4.6399999999999997E-2</v>
      </c>
      <c r="Z222" s="62">
        <f t="shared" si="66"/>
        <v>2.3289</v>
      </c>
      <c r="AA222" s="62">
        <f t="shared" si="75"/>
        <v>2.2824999999999998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6"/>
        <v>0313-20</v>
      </c>
      <c r="AE222" s="85" t="str">
        <f t="shared" si="77"/>
        <v>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 &amp; 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</v>
      </c>
      <c r="AF222" s="82" t="str">
        <f t="shared" si="78"/>
        <v>"C:\Program Files (x86)\AstroGrep\AstroGrep.exe" /e /r /s /spath="%USERPROFILE%\AppData\Local\Temp\OnboardLogs" /stypes="app*4003*20170321*" /stext=" 08:.+((SYSTEM_STATE.+slice.+state.+changed )|(ment ac)|(multiple cpu faults)|(system.+state.+changed )|(\[timeout)|(PRM\|1\|D)|(kpr)|(kdp)|(\|lc)|(penalty))"</v>
      </c>
      <c r="AG222" s="1" t="str">
        <f t="shared" si="79"/>
        <v>Other</v>
      </c>
      <c r="AH222" s="86" t="str">
        <f t="shared" si="82"/>
        <v>"%USERPROFILE%\Documents\GitHub\eaglep3\Utilities\RefineRTDCRunTimes.py" --tripid 313-20 --locoid 4003 --swversion DE.1.0.9.0 --startMP 204:464 --initTime 2017-03-21T02:08:21 --startdatetime 2017-03-21T02:10:54 --delay 1 --endMP 300:23289 --enddatetime 2017-03-21T02:22:00 --enforcementcount 0 &gt;&gt;C:\Users\stu\Documents\GitHub\eaglep3-reporting\EC\2017-03-21-refined-times.txt</v>
      </c>
      <c r="AI222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{"issue":{"subject":"","project_id":79,"tracker_id":40,"status_id":1,"priority_id":2,"assigned_to_id":23,"start_date":"2017-03-21","description":"","custom_fields":[{"id":1,"name":"Subdivision","value":"Other"},{"id":4,"name":"Milepost","value":"2.3289"},{"id":17,"name":"Train ID","value":"313-20"},{"id":16,"name":"Locomotive ID","value":"4003"},{"id":130,"name":"Impact","value":""},{"id":150,"name":"Time of Event (Mountain Time)","value":"02:22:00"},{"id":151,"name":"Denver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4"/>
        <v>start /low /b %USERPROFILE%\Documents\GitHub\eaglep3\Utilities\DownloadLogsFromS3.py --loco 4003 --day 2017-03-21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2017-03-21-UncaughtWiMAX.txt</v>
      </c>
    </row>
    <row r="223" spans="1:40" x14ac:dyDescent="0.25">
      <c r="A223" s="33" t="s">
        <v>821</v>
      </c>
      <c r="B223" s="7">
        <v>4044</v>
      </c>
      <c r="C223" s="21" t="s">
        <v>221</v>
      </c>
      <c r="D223" s="21" t="s">
        <v>904</v>
      </c>
      <c r="E223" s="13">
        <v>42816.028657407405</v>
      </c>
      <c r="F223" s="13">
        <v>42816.03</v>
      </c>
      <c r="G223" s="7">
        <v>1</v>
      </c>
      <c r="H223" s="21" t="s">
        <v>527</v>
      </c>
      <c r="I223" s="13">
        <v>42816.035254629627</v>
      </c>
      <c r="J223" s="7">
        <v>0</v>
      </c>
      <c r="K223" s="98" t="str">
        <f t="shared" si="69"/>
        <v>4043/4044</v>
      </c>
      <c r="L223" s="21" t="str">
        <f>VLOOKUP(A223,'Trips&amp;Operators'!$C$1:$G$99999,5,FALSE)</f>
        <v>CHANDLER KELVIN</v>
      </c>
      <c r="M223" s="6">
        <f t="shared" si="70"/>
        <v>5.2546296283253469E-3</v>
      </c>
      <c r="N223" s="7">
        <f t="shared" si="80"/>
        <v>7.5666666647884995</v>
      </c>
      <c r="O223" s="7"/>
      <c r="P223" s="7"/>
      <c r="Q223" s="22"/>
      <c r="R223" s="22"/>
      <c r="S223" s="31">
        <f t="shared" si="81"/>
        <v>1</v>
      </c>
      <c r="T223" s="46" t="str">
        <f t="shared" si="71"/>
        <v>NorthBound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6" t="str">
        <f t="shared" si="72"/>
        <v>https://d0f6bd738d7f1b3e5a7ca70fe4ff75f0.us-east-1.aws.found.io/app/kibana#/discover/Steve-Slow-Train-Analysis-(2080s-and-2083s)?_g=(refreshInterval:(display:Off,pause:!f,section:0,value:0),time:(from:'2017-03-21T23:41:16-0600',mode:absolute,to:'2017-03-22T01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3" s="187" t="str">
        <f t="shared" si="73"/>
        <v>Y</v>
      </c>
      <c r="X223" s="187">
        <f t="shared" si="89"/>
        <v>2</v>
      </c>
      <c r="Y223" s="62">
        <f t="shared" si="68"/>
        <v>5.1299999999999998E-2</v>
      </c>
      <c r="Z223" s="62">
        <f t="shared" si="66"/>
        <v>2.3298999999999999</v>
      </c>
      <c r="AA223" s="62">
        <f t="shared" si="75"/>
        <v>2.2786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6"/>
        <v>0315-21</v>
      </c>
      <c r="AE223" s="85" t="str">
        <f t="shared" si="77"/>
        <v>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 &amp; 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</v>
      </c>
      <c r="AF223" s="82" t="str">
        <f t="shared" si="78"/>
        <v>"C:\Program Files (x86)\AstroGrep\AstroGrep.exe" /e /r /s /spath="%USERPROFILE%\AppData\Local\Temp\OnboardLogs" /stypes="app*4044*20170322*" /stext=" 06:.+((SYSTEM_STATE.+slice.+state.+changed )|(ment ac)|(multiple cpu faults)|(system.+state.+changed )|(\[timeout)|(PRM\|1\|D)|(kpr)|(kdp)|(\|lc)|(penalty))"</v>
      </c>
      <c r="AG223" s="1" t="str">
        <f t="shared" si="79"/>
        <v>Other</v>
      </c>
      <c r="AH223" s="86" t="str">
        <f t="shared" si="82"/>
        <v>"%USERPROFILE%\Documents\GitHub\eaglep3\Utilities\RefineRTDCRunTimes.py" --tripid 315-21 --locoid 4044 --swversion DE.1.0.9.0 --startMP 204:513 --initTime 2017-03-22T00:41:16 --startdatetime 2017-03-22T00:43:12 --delay 1 --endMP 300:23299 --enddatetime 2017-03-22T00:50:46 --enforcementcount 0 &gt;&gt;C:\Users\stu\Documents\GitHub\eaglep3-reporting\EC\2017-03-21-refined-times.txt</v>
      </c>
      <c r="AI223" s="108" t="str">
        <f t="shared" si="83"/>
        <v>echo {"issue":{"subject":"","project_id":79,"tracker_id":40,"status_id":1,"priority_id":2,"assigned_to_id":23,"start_date":"2017-03-22","description":"","custom_fields":[{"id":1,"name":"Subdivision","value":"Other"},{"id":4,"name":"Milepost","value":"2.3299"},{"id":17,"name":"Train ID","value":"315-21"},{"id":16,"name":"Locomotive ID","value":"4044"},{"id":130,"name":"Impact","value":""},{"id":150,"name":"Time of Event (Mountain Time)","value":"00:50:46"},{"id":151,"name":"Denver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4"/>
        <v>start /low /b %USERPROFILE%\Documents\GitHub\eaglep3\Utilities\DownloadLogsFromS3.py --loco 4044 --day 2017-03-22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"%USERPROFILE%\AppData\Local\Temp\OnboardLogs"\RTDC4044\*4044*20170322* | grep -SE "(Enforcement Action)|(\[TIMEOUT)|(CHR.+\|PRM\|1\|D.+(SWITCH|SIGNAL).+UNKNOWN)" - &gt;&gt; 2017-03-21-UncaughtWiMAX.txt</v>
      </c>
    </row>
    <row r="224" spans="1:40" x14ac:dyDescent="0.25">
      <c r="A224" s="33" t="s">
        <v>651</v>
      </c>
      <c r="B224" s="7">
        <v>4009</v>
      </c>
      <c r="C224" s="21" t="s">
        <v>221</v>
      </c>
      <c r="D224" s="21" t="s">
        <v>1024</v>
      </c>
      <c r="E224" s="13">
        <v>42815.197384259256</v>
      </c>
      <c r="F224" s="13">
        <v>42815.201689814814</v>
      </c>
      <c r="G224" s="7">
        <v>6</v>
      </c>
      <c r="H224" s="21" t="s">
        <v>514</v>
      </c>
      <c r="I224" s="13">
        <v>42815.207152777781</v>
      </c>
      <c r="J224" s="7">
        <v>0</v>
      </c>
      <c r="K224" s="98" t="str">
        <f t="shared" si="69"/>
        <v>4009/4010</v>
      </c>
      <c r="L224" s="21" t="str">
        <f>VLOOKUP(A224,'Trips&amp;Operators'!$C$1:$G$99999,5,FALSE)</f>
        <v>YORK EDGAR</v>
      </c>
      <c r="M224" s="6">
        <f t="shared" si="70"/>
        <v>5.4629629667033441E-3</v>
      </c>
      <c r="N224" s="7">
        <f t="shared" si="80"/>
        <v>7.8666666720528156</v>
      </c>
      <c r="O224" s="7"/>
      <c r="P224" s="7"/>
      <c r="Q224" s="22"/>
      <c r="R224" s="22"/>
      <c r="S224" s="31">
        <f t="shared" si="81"/>
        <v>0</v>
      </c>
      <c r="T224" s="46" t="str">
        <f t="shared" si="71"/>
        <v>NorthBound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2"/>
        <v>https://d0f6bd738d7f1b3e5a7ca70fe4ff75f0.us-east-1.aws.found.io/app/kibana#/discover/Steve-Slow-Train-Analysis-(2080s-and-2083s)?_g=(refreshInterval:(display:Off,pause:!f,section:0,value:0),time:(from:'2017-03-21T03:44:14-0600',mode:absolute,to:'2017-03-21T05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4" s="187" t="str">
        <f t="shared" si="73"/>
        <v>Y</v>
      </c>
      <c r="X224" s="187">
        <f t="shared" si="89"/>
        <v>586</v>
      </c>
      <c r="Y224" s="62">
        <f t="shared" si="68"/>
        <v>3.0192000000000001</v>
      </c>
      <c r="Z224" s="62">
        <f t="shared" si="66"/>
        <v>5.8936999999999999</v>
      </c>
      <c r="AA224" s="62">
        <f t="shared" si="75"/>
        <v>2.8744999999999998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6"/>
        <v>0901-21</v>
      </c>
      <c r="AE224" s="85" t="str">
        <f t="shared" si="77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224" s="82" t="str">
        <f t="shared" si="78"/>
        <v>"C:\Program Files (x86)\AstroGrep\AstroGrep.exe" /e /r /s /spath="%USERPROFILE%\AppData\Local\Temp\OnboardLogs" /stypes="app*4009*20170321*" /stext=" 10:.+((SYSTEM_STATE.+slice.+state.+changed )|(ment ac)|(multiple cpu faults)|(system.+state.+changed )|(\[timeout)|(PRM\|1\|D)|(kpr)|(kdp)|(\|lc)|(penalty))"</v>
      </c>
      <c r="AG224" s="1" t="str">
        <f t="shared" si="79"/>
        <v>Other</v>
      </c>
      <c r="AH224" s="86" t="str">
        <f t="shared" si="82"/>
        <v>"%USERPROFILE%\Documents\GitHub\eaglep3\Utilities\RefineRTDCRunTimes.py" --tripid 901-21 --locoid 4009 --swversion DE.1.0.9.0 --startMP 300:30192 --initTime 2017-03-21T04:44:14 --startdatetime 2017-03-21T04:50:26 --delay 6 --endMP 300:58937 --enddatetime 2017-03-21T04:58:18 --enforcementcount 0 &gt;&gt;C:\Users\stu\Documents\GitHub\eaglep3-reporting\EC\2017-03-21-refined-times.txt</v>
      </c>
      <c r="AI224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{"issue":{"subject":"","project_id":79,"tracker_id":40,"status_id":1,"priority_id":2,"assigned_to_id":23,"start_date":"2017-03-21","description":"","custom_fields":[{"id":1,"name":"Subdivision","value":"Other"},{"id":4,"name":"Milepost","value":"5.8937"},{"id":17,"name":"Train ID","value":"901-21"},{"id":16,"name":"Locomotive ID","value":"4009"},{"id":130,"name":"Impact","value":""},{"id":150,"name":"Time of Event (Mountain Time)","value":"04:58:18"},{"id":151,"name":"Denver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4"/>
        <v>start /low /b %USERPROFILE%\Documents\GitHub\eaglep3\Utilities\DownloadLogsFromS3.py --loco 4009 --day 2017-03-21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</row>
    <row r="225" spans="1:40" x14ac:dyDescent="0.25">
      <c r="A225" s="33" t="s">
        <v>594</v>
      </c>
      <c r="B225" s="7">
        <v>4001</v>
      </c>
      <c r="C225" s="21" t="s">
        <v>221</v>
      </c>
      <c r="D225" s="21" t="s">
        <v>1025</v>
      </c>
      <c r="E225" s="13">
        <v>42815.245740740742</v>
      </c>
      <c r="F225" s="13">
        <v>42815.246516203704</v>
      </c>
      <c r="G225" s="7">
        <v>0</v>
      </c>
      <c r="H225" s="21" t="s">
        <v>1026</v>
      </c>
      <c r="I225" s="13">
        <v>42815.252164351848</v>
      </c>
      <c r="J225" s="7">
        <v>0</v>
      </c>
      <c r="K225" s="98" t="str">
        <f t="shared" si="69"/>
        <v>4001/4002</v>
      </c>
      <c r="L225" s="21" t="str">
        <f>VLOOKUP(A225,'Trips&amp;Operators'!$C$1:$G$99999,5,FALSE)</f>
        <v>BROWN JACOB</v>
      </c>
      <c r="M225" s="6">
        <f t="shared" si="70"/>
        <v>5.648148144246079E-3</v>
      </c>
      <c r="N225" s="7">
        <f t="shared" si="80"/>
        <v>8.1333333277143538</v>
      </c>
      <c r="O225" s="7"/>
      <c r="P225" s="7"/>
      <c r="Q225" s="22"/>
      <c r="R225" s="22"/>
      <c r="S225" s="31">
        <f t="shared" si="81"/>
        <v>1</v>
      </c>
      <c r="T225" s="46" t="str">
        <f t="shared" si="71"/>
        <v>Southbound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86" t="str">
        <f t="shared" si="72"/>
        <v>https://d0f6bd738d7f1b3e5a7ca70fe4ff75f0.us-east-1.aws.found.io/app/kibana#/discover/Steve-Slow-Train-Analysis-(2080s-and-2083s)?_g=(refreshInterval:(display:Off,pause:!f,section:0,value:0),time:(from:'2017-03-21T04:53:52-0600',mode:absolute,to:'2017-03-21T07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5" s="187" t="str">
        <f t="shared" si="73"/>
        <v>Y</v>
      </c>
      <c r="X225" s="187">
        <f t="shared" si="89"/>
        <v>1</v>
      </c>
      <c r="Y225" s="62">
        <f t="shared" si="68"/>
        <v>2.3298000000000001</v>
      </c>
      <c r="Z225" s="62">
        <f t="shared" si="66"/>
        <v>7.4499999999999997E-2</v>
      </c>
      <c r="AA225" s="62">
        <f t="shared" si="75"/>
        <v>2.2553000000000001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6"/>
        <v>0902-21</v>
      </c>
      <c r="AE225" s="85" t="str">
        <f t="shared" si="77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25" s="82" t="str">
        <f t="shared" si="78"/>
        <v>"C:\Program Files (x86)\AstroGrep\AstroGrep.exe" /e /r /s /spath="%USERPROFILE%\AppData\Local\Temp\OnboardLogs" /stypes="app*4001*20170321*" /stext=" 12:.+((SYSTEM_STATE.+slice.+state.+changed )|(ment ac)|(multiple cpu faults)|(system.+state.+changed )|(\[timeout)|(PRM\|1\|D)|(kpr)|(kdp)|(\|lc)|(penalty))"</v>
      </c>
      <c r="AG225" s="1" t="str">
        <f t="shared" si="79"/>
        <v>Other</v>
      </c>
      <c r="AH225" s="86" t="str">
        <f t="shared" si="82"/>
        <v>"%USERPROFILE%\Documents\GitHub\eaglep3\Utilities\RefineRTDCRunTimes.py" --tripid 902-21 --locoid 4001 --swversion DE.1.0.9.0 --startMP 300:23298 --initTime 2017-03-21T05:53:52 --startdatetime 2017-03-21T05:54:59 --delay 0 --endMP 204:745 --enddatetime 2017-03-21T06:03:07 --enforcementcount 0 &gt;&gt;C:\Users\stu\Documents\GitHub\eaglep3-reporting\EC\2017-03-21-refined-times.txt</v>
      </c>
      <c r="AI225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{"issue":{"subject":"","project_id":79,"tracker_id":40,"status_id":1,"priority_id":2,"assigned_to_id":23,"start_date":"2017-03-21","description":"","custom_fields":[{"id":1,"name":"Subdivision","value":"Other"},{"id":4,"name":"Milepost","value":"0.0745"},{"id":17,"name":"Train ID","value":"902-21"},{"id":16,"name":"Locomotive ID","value":"4001"},{"id":130,"name":"Impact","value":""},{"id":150,"name":"Time of Event (Mountain Time)","value":"06:03:07"},{"id":151,"name":"Denver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4"/>
        <v>start /low /b %USERPROFILE%\Documents\GitHub\eaglep3\Utilities\DownloadLogsFromS3.py --loco 4001 --day 2017-03-21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226" spans="1:40" x14ac:dyDescent="0.25">
      <c r="A226" s="33" t="s">
        <v>594</v>
      </c>
      <c r="B226" s="7">
        <v>4001</v>
      </c>
      <c r="C226" s="21" t="s">
        <v>221</v>
      </c>
      <c r="D226" s="21" t="s">
        <v>1027</v>
      </c>
      <c r="E226" s="13">
        <v>42815.241435185184</v>
      </c>
      <c r="F226" s="13">
        <v>42815.246516203704</v>
      </c>
      <c r="G226" s="7">
        <v>3</v>
      </c>
      <c r="H226" s="21" t="s">
        <v>1028</v>
      </c>
      <c r="I226" s="13">
        <v>42815.252164351848</v>
      </c>
      <c r="J226" s="7">
        <v>0</v>
      </c>
      <c r="K226" s="98" t="str">
        <f t="shared" si="69"/>
        <v>4001/4002</v>
      </c>
      <c r="L226" s="21" t="str">
        <f>VLOOKUP(A226,'Trips&amp;Operators'!$C$1:$G$99999,5,FALSE)</f>
        <v>BROWN JACOB</v>
      </c>
      <c r="M226" s="6">
        <f t="shared" si="70"/>
        <v>5.648148144246079E-3</v>
      </c>
      <c r="N226" s="7">
        <f t="shared" si="80"/>
        <v>8.1333333277143538</v>
      </c>
      <c r="O226" s="7"/>
      <c r="P226" s="7"/>
      <c r="Q226" s="22"/>
      <c r="R226" s="22"/>
      <c r="S226" s="31">
        <f t="shared" si="81"/>
        <v>0</v>
      </c>
      <c r="T226" s="46" t="str">
        <f t="shared" si="71"/>
        <v>Southbound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2"/>
        <v>https://d0f6bd738d7f1b3e5a7ca70fe4ff75f0.us-east-1.aws.found.io/app/kibana#/discover/Steve-Slow-Train-Analysis-(2080s-and-2083s)?_g=(refreshInterval:(display:Off,pause:!f,section:0,value:0),time:(from:'2017-03-21T04:47:40-0600',mode:absolute,to:'2017-03-21T07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6" s="187" t="str">
        <f t="shared" si="73"/>
        <v>Y</v>
      </c>
      <c r="X226" s="187">
        <f t="shared" si="89"/>
        <v>0</v>
      </c>
      <c r="Y226" s="62">
        <f t="shared" si="68"/>
        <v>2.4569999999999999</v>
      </c>
      <c r="Z226" s="62">
        <f t="shared" si="66"/>
        <v>2.4076</v>
      </c>
      <c r="AA226" s="62">
        <f t="shared" si="75"/>
        <v>4.9399999999999888E-2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6"/>
        <v>0902-21</v>
      </c>
      <c r="AE226" s="85" t="str">
        <f t="shared" si="77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26" s="82" t="str">
        <f t="shared" si="78"/>
        <v>"C:\Program Files (x86)\AstroGrep\AstroGrep.exe" /e /r /s /spath="%USERPROFILE%\AppData\Local\Temp\OnboardLogs" /stypes="app*4001*20170321*" /stext=" 12:.+((SYSTEM_STATE.+slice.+state.+changed )|(ment ac)|(multiple cpu faults)|(system.+state.+changed )|(\[timeout)|(PRM\|1\|D)|(kpr)|(kdp)|(\|lc)|(penalty))"</v>
      </c>
      <c r="AG226" s="1" t="str">
        <f t="shared" si="79"/>
        <v>Other</v>
      </c>
      <c r="AH226" s="86" t="str">
        <f t="shared" si="82"/>
        <v>"%USERPROFILE%\Documents\GitHub\eaglep3\Utilities\RefineRTDCRunTimes.py" --tripid 902-21 --locoid 4001 --swversion DE.1.0.9.0 --startMP 300:24570 --initTime 2017-03-21T05:47:40 --startdatetime 2017-03-21T05:54:59 --delay 3 --endMP 300:24076 --enddatetime 2017-03-21T06:03:07 --enforcementcount 0 &gt;&gt;C:\Users\stu\Documents\GitHub\eaglep3-reporting\EC\2017-03-21-refined-times.txt</v>
      </c>
      <c r="AI226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{"issue":{"subject":"","project_id":79,"tracker_id":40,"status_id":1,"priority_id":2,"assigned_to_id":23,"start_date":"2017-03-21","description":"","custom_fields":[{"id":1,"name":"Subdivision","value":"Other"},{"id":4,"name":"Milepost","value":"2.4076"},{"id":17,"name":"Train ID","value":"902-21"},{"id":16,"name":"Locomotive ID","value":"4001"},{"id":130,"name":"Impact","value":""},{"id":150,"name":"Time of Event (Mountain Time)","value":"06:03:07"},{"id":151,"name":"Denver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4"/>
        <v>start /low /b %USERPROFILE%\Documents\GitHub\eaglep3\Utilities\DownloadLogsFromS3.py --loco 4001 --day 2017-03-21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"%USERPROFILE%\AppData\Local\Temp\OnboardLogs"\RTDC4001\*4001*20170321* | grep -SE "(Enforcement Action)|(\[TIMEOUT)|(CHR.+\|PRM\|1\|D.+(SWITCH|SIGNAL).+UNKNOWN)" - &gt;&gt; 2017-03-21-UncaughtWiMAX.txt</v>
      </c>
    </row>
    <row r="227" spans="1:40" x14ac:dyDescent="0.25">
      <c r="A227" s="33" t="s">
        <v>691</v>
      </c>
      <c r="B227" s="7">
        <v>4009</v>
      </c>
      <c r="C227" s="21" t="s">
        <v>221</v>
      </c>
      <c r="D227" s="21" t="s">
        <v>1029</v>
      </c>
      <c r="E227" s="13">
        <v>42815.355057870373</v>
      </c>
      <c r="F227" s="13">
        <v>42815.356215277781</v>
      </c>
      <c r="G227" s="7">
        <v>1</v>
      </c>
      <c r="H227" s="21" t="s">
        <v>1030</v>
      </c>
      <c r="I227" s="13">
        <v>42815.360578703701</v>
      </c>
      <c r="J227" s="7">
        <v>0</v>
      </c>
      <c r="K227" s="98" t="str">
        <f t="shared" si="69"/>
        <v>4009/4010</v>
      </c>
      <c r="L227" s="21" t="str">
        <f>VLOOKUP(A227,'Trips&amp;Operators'!$C$1:$G$99999,5,FALSE)</f>
        <v>YORK EDGAR</v>
      </c>
      <c r="M227" s="6">
        <f t="shared" si="70"/>
        <v>4.3634259200189263E-3</v>
      </c>
      <c r="N227" s="7">
        <f t="shared" si="80"/>
        <v>6.2833333248272538</v>
      </c>
      <c r="O227" s="7"/>
      <c r="P227" s="7"/>
      <c r="Q227" s="22"/>
      <c r="R227" s="22"/>
      <c r="S227" s="31">
        <f t="shared" si="81"/>
        <v>1</v>
      </c>
      <c r="T227" s="46" t="str">
        <f t="shared" si="71"/>
        <v>NorthBound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86" t="str">
        <f t="shared" si="72"/>
        <v>https://d0f6bd738d7f1b3e5a7ca70fe4ff75f0.us-east-1.aws.found.io/app/kibana#/discover/Steve-Slow-Train-Analysis-(2080s-and-2083s)?_g=(refreshInterval:(display:Off,pause:!f,section:0,value:0),time:(from:'2017-03-21T07:31:17-0600',mode:absolute,to:'2017-03-21T09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7" s="187" t="str">
        <f t="shared" si="73"/>
        <v>Y</v>
      </c>
      <c r="X227" s="187">
        <f t="shared" si="89"/>
        <v>1</v>
      </c>
      <c r="Y227" s="62">
        <f t="shared" si="68"/>
        <v>0.11890000000000001</v>
      </c>
      <c r="Z227" s="62">
        <f t="shared" ref="Z227:Z243" si="90">RIGHT(H227,LEN(H227)-4)/10000</f>
        <v>2.4245999999999999</v>
      </c>
      <c r="AA227" s="62">
        <f t="shared" si="75"/>
        <v>2.3056999999999999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6"/>
        <v>0903-21</v>
      </c>
      <c r="AE227" s="85" t="str">
        <f t="shared" si="77"/>
        <v>aws s3 cp s3://rtdc.mdm.uploadarchive.raw/RTDC4009/ "%USERPROFILE%\AppData\Local\Temp\OnboardLogs"\RTDC4009\2017-03-21 --exclude "*" --recursive --include "*20170321*" &amp; "%USERPROFILE%\Documents\GitHub\mrs-test-scripts\Headless Mode &amp; Sideloading\WalkAndUnGZ.bat" "%USERPROFILE%\AppData\Local\Temp\OnboardLogs"\RTDC4009\2017-03-21 &amp; aws s3 cp s3://rtdc.mdm.uploadarchive.raw/RTDC4009/ "%USERPROFILE%\AppData\Local\Temp\OnboardLogs"\RTDC4009\2017-03-22 --exclude "*" --recursive --include "*20170322*" &amp; "%USERPROFILE%\Documents\GitHub\mrs-test-scripts\Headless Mode &amp; Sideloading\WalkAndUnGZ.bat" "%USERPROFILE%\AppData\Local\Temp\OnboardLogs"\RTDC4009\2017-03-22</v>
      </c>
      <c r="AF227" s="82" t="str">
        <f t="shared" si="78"/>
        <v>"C:\Program Files (x86)\AstroGrep\AstroGrep.exe" /e /r /s /spath="%USERPROFILE%\AppData\Local\Temp\OnboardLogs" /stypes="app*4009*20170321*" /stext=" 14:.+((SYSTEM_STATE.+slice.+state.+changed )|(ment ac)|(multiple cpu faults)|(system.+state.+changed )|(\[timeout)|(PRM\|1\|D)|(kpr)|(kdp)|(\|lc)|(penalty))"</v>
      </c>
      <c r="AG227" s="1" t="str">
        <f t="shared" si="79"/>
        <v>Other</v>
      </c>
      <c r="AH227" s="86" t="str">
        <f t="shared" si="82"/>
        <v>"%USERPROFILE%\Documents\GitHub\eaglep3\Utilities\RefineRTDCRunTimes.py" --tripid 903-21 --locoid 4009 --swversion DE.1.0.9.0 --startMP 204:1189 --initTime 2017-03-21T08:31:17 --startdatetime 2017-03-21T08:32:57 --delay 1 --endMP 300:24246 --enddatetime 2017-03-21T08:39:14 --enforcementcount 0 &gt;&gt;C:\Users\stu\Documents\GitHub\eaglep3-reporting\EC\2017-03-21-refined-times.txt</v>
      </c>
      <c r="AI227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{"issue":{"subject":"","project_id":79,"tracker_id":40,"status_id":1,"priority_id":2,"assigned_to_id":23,"start_date":"2017-03-21","description":"","custom_fields":[{"id":1,"name":"Subdivision","value":"Other"},{"id":4,"name":"Milepost","value":"2.4246"},{"id":17,"name":"Train ID","value":"903-21"},{"id":16,"name":"Locomotive ID","value":"4009"},{"id":130,"name":"Impact","value":""},{"id":150,"name":"Time of Event (Mountain Time)","value":"08:39:14"},{"id":151,"name":"Denver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4"/>
        <v>start /low /b %USERPROFILE%\Documents\GitHub\eaglep3\Utilities\DownloadLogsFromS3.py --loco 4009 --day 2017-03-21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"%USERPROFILE%\AppData\Local\Temp\OnboardLogs"\RTDC4009\*4009*20170321* | grep -SE "(Enforcement Action)|(\[TIMEOUT)|(CHR.+\|PRM\|1\|D.+(SWITCH|SIGNAL).+UNKNOWN)" - &gt;&gt; 2017-03-21-UncaughtWiMAX.txt</v>
      </c>
    </row>
    <row r="228" spans="1:40" x14ac:dyDescent="0.25">
      <c r="A228" s="33" t="s">
        <v>751</v>
      </c>
      <c r="B228" s="7">
        <v>4010</v>
      </c>
      <c r="C228" s="21" t="s">
        <v>221</v>
      </c>
      <c r="D228" s="21" t="s">
        <v>1025</v>
      </c>
      <c r="E228" s="13">
        <v>42815.645300925928</v>
      </c>
      <c r="F228" s="13">
        <v>42815.648252314815</v>
      </c>
      <c r="G228" s="7">
        <v>4</v>
      </c>
      <c r="H228" s="21" t="s">
        <v>1031</v>
      </c>
      <c r="I228" s="13">
        <v>42815.653784722221</v>
      </c>
      <c r="J228" s="7">
        <v>0</v>
      </c>
      <c r="K228" s="98" t="str">
        <f t="shared" si="69"/>
        <v>4009/4010</v>
      </c>
      <c r="L228" s="21" t="str">
        <f>VLOOKUP(A228,'Trips&amp;Operators'!$C$1:$G$99999,5,FALSE)</f>
        <v>SWANSON BRYCE</v>
      </c>
      <c r="M228" s="6">
        <f t="shared" si="70"/>
        <v>5.5324074055533856E-3</v>
      </c>
      <c r="N228" s="7">
        <f t="shared" si="80"/>
        <v>7.9666666639968753</v>
      </c>
      <c r="O228" s="7"/>
      <c r="P228" s="7"/>
      <c r="Q228" s="22"/>
      <c r="R228" s="22"/>
      <c r="S228" s="31">
        <f t="shared" si="81"/>
        <v>1</v>
      </c>
      <c r="T228" s="46" t="str">
        <f t="shared" si="71"/>
        <v>Southbound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86" t="str">
        <f t="shared" si="72"/>
        <v>https://d0f6bd738d7f1b3e5a7ca70fe4ff75f0.us-east-1.aws.found.io/app/kibana#/discover/Steve-Slow-Train-Analysis-(2080s-and-2083s)?_g=(refreshInterval:(display:Off,pause:!f,section:0,value:0),time:(from:'2017-03-21T14:29:14-0600',mode:absolute,to:'2017-03-21T16:41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8" s="187" t="str">
        <f t="shared" si="73"/>
        <v>Y</v>
      </c>
      <c r="X228" s="187">
        <f t="shared" si="89"/>
        <v>1</v>
      </c>
      <c r="Y228" s="62">
        <f t="shared" si="68"/>
        <v>2.3298000000000001</v>
      </c>
      <c r="Z228" s="62">
        <f t="shared" si="90"/>
        <v>6.9599999999999995E-2</v>
      </c>
      <c r="AA228" s="62">
        <f t="shared" si="75"/>
        <v>2.2602000000000002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6"/>
        <v>0904-21</v>
      </c>
      <c r="AE228" s="85" t="str">
        <f t="shared" si="77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228" s="82" t="str">
        <f t="shared" si="78"/>
        <v>"C:\Program Files (x86)\AstroGrep\AstroGrep.exe" /e /r /s /spath="%USERPROFILE%\AppData\Local\Temp\OnboardLogs" /stypes="app*4010*20170321*" /stext=" 21:.+((SYSTEM_STATE.+slice.+state.+changed )|(ment ac)|(multiple cpu faults)|(system.+state.+changed )|(\[timeout)|(PRM\|1\|D)|(kpr)|(kdp)|(\|lc)|(penalty))"</v>
      </c>
      <c r="AG228" s="1" t="str">
        <f t="shared" si="79"/>
        <v>Other</v>
      </c>
      <c r="AH228" s="86" t="str">
        <f t="shared" si="82"/>
        <v>"%USERPROFILE%\Documents\GitHub\eaglep3\Utilities\RefineRTDCRunTimes.py" --tripid 904-21 --locoid 4010 --swversion DE.1.0.9.0 --startMP 300:23298 --initTime 2017-03-21T15:29:14 --startdatetime 2017-03-21T15:33:29 --delay 4 --endMP 204:696 --enddatetime 2017-03-21T15:41:27 --enforcementcount 0 &gt;&gt;C:\Users\stu\Documents\GitHub\eaglep3-reporting\EC\2017-03-21-refined-times.txt</v>
      </c>
      <c r="AI228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{"issue":{"subject":"","project_id":79,"tracker_id":40,"status_id":1,"priority_id":2,"assigned_to_id":23,"start_date":"2017-03-21","description":"","custom_fields":[{"id":1,"name":"Subdivision","value":"Other"},{"id":4,"name":"Milepost","value":"0.0696"},{"id":17,"name":"Train ID","value":"904-21"},{"id":16,"name":"Locomotive ID","value":"4010"},{"id":130,"name":"Impact","value":""},{"id":150,"name":"Time of Event (Mountain Time)","value":"15:41:27"},{"id":151,"name":"Denver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4"/>
        <v>start /low /b %USERPROFILE%\Documents\GitHub\eaglep3\Utilities\DownloadLogsFromS3.py --loco 4010 --day 2017-03-21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"%USERPROFILE%\AppData\Local\Temp\OnboardLogs"\RTDC4010\*4010*20170321* | grep -SE "(Enforcement Action)|(\[TIMEOUT)|(CHR.+\|PRM\|1\|D.+(SWITCH|SIGNAL).+UNKNOWN)" - &gt;&gt; 2017-03-21-UncaughtWiMAX.txt</v>
      </c>
    </row>
    <row r="229" spans="1:40" x14ac:dyDescent="0.25">
      <c r="A229" s="33" t="s">
        <v>792</v>
      </c>
      <c r="B229" s="7">
        <v>4010</v>
      </c>
      <c r="C229" s="21" t="s">
        <v>221</v>
      </c>
      <c r="D229" s="21" t="s">
        <v>970</v>
      </c>
      <c r="E229" s="13">
        <v>42815.796759259261</v>
      </c>
      <c r="F229" s="13">
        <v>42815.798182870371</v>
      </c>
      <c r="G229" s="7">
        <v>1</v>
      </c>
      <c r="H229" s="21" t="s">
        <v>1032</v>
      </c>
      <c r="I229" s="13">
        <v>42815.807500000003</v>
      </c>
      <c r="J229" s="7">
        <v>0</v>
      </c>
      <c r="K229" s="98" t="str">
        <f t="shared" si="69"/>
        <v>4009/4010</v>
      </c>
      <c r="L229" s="21" t="str">
        <f>VLOOKUP(A229,'Trips&amp;Operators'!$C$1:$G$99999,5,FALSE)</f>
        <v>SWANSON BRYCE</v>
      </c>
      <c r="M229" s="6">
        <f t="shared" si="70"/>
        <v>9.3171296321088448E-3</v>
      </c>
      <c r="N229" s="7">
        <f t="shared" si="80"/>
        <v>13.416666670236737</v>
      </c>
      <c r="O229" s="7"/>
      <c r="P229" s="7"/>
      <c r="Q229" s="22"/>
      <c r="R229" s="22"/>
      <c r="S229" s="31">
        <f t="shared" si="81"/>
        <v>0</v>
      </c>
      <c r="T229" s="46" t="str">
        <f t="shared" si="71"/>
        <v>Southbound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2"/>
        <v>https://d0f6bd738d7f1b3e5a7ca70fe4ff75f0.us-east-1.aws.found.io/app/kibana#/discover/Steve-Slow-Train-Analysis-(2080s-and-2083s)?_g=(refreshInterval:(display:Off,pause:!f,section:0,value:0),time:(from:'2017-03-21T18:07:20-0600',mode:absolute,to:'2017-03-21T20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9" s="187" t="str">
        <f t="shared" si="73"/>
        <v>Y</v>
      </c>
      <c r="X229" s="187">
        <f t="shared" si="89"/>
        <v>2</v>
      </c>
      <c r="Y229" s="62">
        <f t="shared" si="68"/>
        <v>5.8609</v>
      </c>
      <c r="Z229" s="62">
        <f t="shared" si="90"/>
        <v>2.8786</v>
      </c>
      <c r="AA229" s="62">
        <f t="shared" si="75"/>
        <v>2.9823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6"/>
        <v>0906-21</v>
      </c>
      <c r="AE229" s="85" t="str">
        <f t="shared" si="77"/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AF229" s="82" t="str">
        <f t="shared" si="78"/>
        <v>"C:\Program Files (x86)\AstroGrep\AstroGrep.exe" /e /r /s /spath="%USERPROFILE%\AppData\Local\Temp\OnboardLogs" /stypes="app*4010*20170322*" /stext=" 01:.+((SYSTEM_STATE.+slice.+state.+changed )|(ment ac)|(multiple cpu faults)|(system.+state.+changed )|(\[timeout)|(PRM\|1\|D)|(kpr)|(kdp)|(\|lc)|(penalty))"</v>
      </c>
      <c r="AG229" s="1" t="str">
        <f t="shared" si="79"/>
        <v>Other</v>
      </c>
      <c r="AH229" s="86" t="str">
        <f t="shared" si="82"/>
        <v>"%USERPROFILE%\Documents\GitHub\eaglep3\Utilities\RefineRTDCRunTimes.py" --tripid 906-21 --locoid 4010 --swversion DE.1.0.9.0 --startMP 300:58609 --initTime 2017-03-21T19:07:20 --startdatetime 2017-03-21T19:09:23 --delay 1 --endMP 300:28786 --enddatetime 2017-03-21T19:22:48 --enforcementcount 0 &gt;&gt;C:\Users\stu\Documents\GitHub\eaglep3-reporting\EC\2017-03-21-refined-times.txt</v>
      </c>
      <c r="AI229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{"issue":{"subject":"","project_id":79,"tracker_id":40,"status_id":1,"priority_id":2,"assigned_to_id":23,"start_date":"2017-03-21","description":"","custom_fields":[{"id":1,"name":"Subdivision","value":"Other"},{"id":4,"name":"Milepost","value":"2.8786"},{"id":17,"name":"Train ID","value":"906-21"},{"id":16,"name":"Locomotive ID","value":"4010"},{"id":130,"name":"Impact","value":""},{"id":150,"name":"Time of Event (Mountain Time)","value":"19:22:48"},{"id":151,"name":"Denver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4"/>
        <v>start /low /b %USERPROFILE%\Documents\GitHub\eaglep3\Utilities\DownloadLogsFromS3.py --loco 4010 --day 2017-03-21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"%USERPROFILE%\AppData\Local\Temp\OnboardLogs"\RTDC4010\*4010*20170322* | grep -SE "(Enforcement Action)|(\[TIMEOUT)|(CHR.+\|PRM\|1\|D.+(SWITCH|SIGNAL).+UNKNOWN)" - &gt;&gt; 2017-03-21-UncaughtWiMAX.txt</v>
      </c>
    </row>
    <row r="230" spans="1:40" x14ac:dyDescent="0.25">
      <c r="A230" s="33" t="s">
        <v>812</v>
      </c>
      <c r="B230" s="7">
        <v>4001</v>
      </c>
      <c r="C230" s="21" t="s">
        <v>221</v>
      </c>
      <c r="D230" s="21" t="s">
        <v>970</v>
      </c>
      <c r="E230" s="13">
        <v>42815.943449074075</v>
      </c>
      <c r="F230" s="13">
        <v>42815.944675925923</v>
      </c>
      <c r="G230" s="7">
        <v>1</v>
      </c>
      <c r="H230" s="21" t="s">
        <v>1033</v>
      </c>
      <c r="I230" s="13">
        <v>42815.949305555558</v>
      </c>
      <c r="J230" s="7">
        <v>0</v>
      </c>
      <c r="K230" s="98" t="str">
        <f t="shared" si="69"/>
        <v>4001/4002</v>
      </c>
      <c r="L230" s="21" t="str">
        <f>VLOOKUP(A230,'Trips&amp;Operators'!$C$1:$G$99999,5,FALSE)</f>
        <v>SWANSON BRYCE</v>
      </c>
      <c r="M230" s="6">
        <f t="shared" si="70"/>
        <v>4.6296296350192279E-3</v>
      </c>
      <c r="N230" s="7">
        <f t="shared" si="80"/>
        <v>6.6666666744276881</v>
      </c>
      <c r="O230" s="7"/>
      <c r="P230" s="7"/>
      <c r="Q230" s="22"/>
      <c r="R230" s="22"/>
      <c r="S230" s="31">
        <f t="shared" si="81"/>
        <v>0</v>
      </c>
      <c r="T230" s="46" t="str">
        <f t="shared" si="71"/>
        <v>Southbound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2"/>
        <v>https://d0f6bd738d7f1b3e5a7ca70fe4ff75f0.us-east-1.aws.found.io/app/kibana#/discover/Steve-Slow-Train-Analysis-(2080s-and-2083s)?_g=(refreshInterval:(display:Off,pause:!f,section:0,value:0),time:(from:'2017-03-21T21:38:34-0600',mode:absolute,to:'2017-03-21T23:47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187" t="str">
        <f t="shared" si="73"/>
        <v>Y</v>
      </c>
      <c r="X230" s="187">
        <f t="shared" si="89"/>
        <v>2</v>
      </c>
      <c r="Y230" s="62">
        <f t="shared" si="68"/>
        <v>5.8609</v>
      </c>
      <c r="Z230" s="62">
        <f t="shared" si="90"/>
        <v>2.1337000000000002</v>
      </c>
      <c r="AA230" s="62">
        <f t="shared" si="75"/>
        <v>3.7271999999999998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6"/>
        <v>0908-21</v>
      </c>
      <c r="AE230" s="85" t="str">
        <f t="shared" si="77"/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AF230" s="82" t="str">
        <f t="shared" si="78"/>
        <v>"C:\Program Files (x86)\AstroGrep\AstroGrep.exe" /e /r /s /spath="%USERPROFILE%\AppData\Local\Temp\OnboardLogs" /stypes="app*4001*20170322*" /stext=" 04:.+((SYSTEM_STATE.+slice.+state.+changed )|(ment ac)|(multiple cpu faults)|(system.+state.+changed )|(\[timeout)|(PRM\|1\|D)|(kpr)|(kdp)|(\|lc)|(penalty))"</v>
      </c>
      <c r="AG230" s="1" t="str">
        <f t="shared" si="79"/>
        <v>Other</v>
      </c>
      <c r="AH230" s="86" t="str">
        <f t="shared" si="82"/>
        <v>"%USERPROFILE%\Documents\GitHub\eaglep3\Utilities\RefineRTDCRunTimes.py" --tripid 908-21 --locoid 4001 --swversion DE.1.0.9.0 --startMP 300:58609 --initTime 2017-03-21T22:38:34 --startdatetime 2017-03-21T22:40:20 --delay 1 --endMP 300:21337 --enddatetime 2017-03-21T22:47:00 --enforcementcount 0 &gt;&gt;C:\Users\stu\Documents\GitHub\eaglep3-reporting\EC\2017-03-21-refined-times.txt</v>
      </c>
      <c r="AI230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{"issue":{"subject":"","project_id":79,"tracker_id":40,"status_id":1,"priority_id":2,"assigned_to_id":23,"start_date":"2017-03-21","description":"","custom_fields":[{"id":1,"name":"Subdivision","value":"Other"},{"id":4,"name":"Milepost","value":"2.1337"},{"id":17,"name":"Train ID","value":"908-21"},{"id":16,"name":"Locomotive ID","value":"4001"},{"id":130,"name":"Impact","value":""},{"id":150,"name":"Time of Event (Mountain Time)","value":"22:47:00"},{"id":151,"name":"Denver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4"/>
        <v>start /low /b %USERPROFILE%\Documents\GitHub\eaglep3\Utilities\DownloadLogsFromS3.py --loco 4001 --day 2017-03-21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"%USERPROFILE%\AppData\Local\Temp\OnboardLogs"\RTDC4001\*4001*20170322* | grep -SE "(Enforcement Action)|(\[TIMEOUT)|(CHR.+\|PRM\|1\|D.+(SWITCH|SIGNAL).+UNKNOWN)" - &gt;&gt; 2017-03-21-UncaughtWiMAX.txt</v>
      </c>
    </row>
    <row r="231" spans="1:40" x14ac:dyDescent="0.25">
      <c r="A231" s="33" t="s">
        <v>610</v>
      </c>
      <c r="B231" s="7">
        <v>4008</v>
      </c>
      <c r="C231" s="21" t="s">
        <v>221</v>
      </c>
      <c r="D231" s="21" t="s">
        <v>950</v>
      </c>
      <c r="E231" s="13">
        <v>42815.432696759257</v>
      </c>
      <c r="F231" s="13">
        <v>42815.436944444446</v>
      </c>
      <c r="G231" s="7">
        <v>6</v>
      </c>
      <c r="H231" s="21" t="s">
        <v>951</v>
      </c>
      <c r="I231" s="13">
        <v>42815.441666666666</v>
      </c>
      <c r="J231" s="7">
        <v>0</v>
      </c>
      <c r="K231" s="98" t="str">
        <f t="shared" si="69"/>
        <v>4007/4008</v>
      </c>
      <c r="L231" s="21" t="str">
        <f>VLOOKUP(A231,'Trips&amp;Operators'!$C$1:$G$99999,5,FALSE)</f>
        <v>BEAM ROSS</v>
      </c>
      <c r="M231" s="6">
        <f t="shared" si="70"/>
        <v>4.7222222201526165E-3</v>
      </c>
      <c r="N231" s="7">
        <f t="shared" si="80"/>
        <v>6.7999999970197678</v>
      </c>
      <c r="O231" s="7"/>
      <c r="P231" s="7"/>
      <c r="Q231" s="22"/>
      <c r="R231" s="22"/>
      <c r="S231" s="31">
        <f t="shared" si="81"/>
        <v>0</v>
      </c>
      <c r="T231" s="46" t="e">
        <f t="shared" si="71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2"/>
        <v>https://d0f6bd738d7f1b3e5a7ca70fe4ff75f0.us-east-1.aws.found.io/app/kibana#/discover/Steve-Slow-Train-Analysis-(2080s-and-2083s)?_g=(refreshInterval:(display:Off,pause:!f,section:0,value:0),time:(from:'2017-03-21T09:23:05-0600',mode:absolute,to:'2017-03-21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1" s="187" t="str">
        <f t="shared" si="73"/>
        <v>Y</v>
      </c>
      <c r="X231" s="187" t="e">
        <f t="shared" si="89"/>
        <v>#VALUE!</v>
      </c>
      <c r="Y231" s="62">
        <f t="shared" si="68"/>
        <v>2.2121</v>
      </c>
      <c r="Z231" s="62">
        <f t="shared" si="90"/>
        <v>9.5200000000000007E-2</v>
      </c>
      <c r="AA231" s="62">
        <f t="shared" si="75"/>
        <v>2.1168999999999998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6"/>
        <v>50-21</v>
      </c>
      <c r="AE231" s="85" t="str">
        <f t="shared" si="77"/>
        <v>aws s3 cp s3://rtdc.mdm.uploadarchive.raw/RTDC4008/ "%USERPROFILE%\AppData\Local\Temp\OnboardLogs"\RTDC4008\2017-03-21 --exclude "*" --recursive --include "*20170321*" &amp; "%USERPROFILE%\Documents\GitHub\mrs-test-scripts\Headless Mode &amp; Sideloading\WalkAndUnGZ.bat" "%USERPROFILE%\AppData\Local\Temp\OnboardLogs"\RTDC4008\2017-03-21 &amp; 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</v>
      </c>
      <c r="AF231" s="82" t="str">
        <f t="shared" si="78"/>
        <v>"C:\Program Files (x86)\AstroGrep\AstroGrep.exe" /e /r /s /spath="%USERPROFILE%\AppData\Local\Temp\OnboardLogs" /stypes="app*4008*20170321*" /stext=" 16:.+((SYSTEM_STATE.+slice.+state.+changed )|(ment ac)|(multiple cpu faults)|(system.+state.+changed )|(\[timeout)|(PRM\|1\|D)|(kpr)|(kdp)|(\|lc)|(penalty))"</v>
      </c>
      <c r="AG231" s="1" t="str">
        <f t="shared" si="79"/>
        <v>Other</v>
      </c>
      <c r="AH231" s="86" t="str">
        <f t="shared" si="82"/>
        <v>"%USERPROFILE%\Documents\GitHub\eaglep3\Utilities\RefineRTDCRunTimes.py" --tripid 50-21 --locoid 4008 --swversion DE.1.0.9.0 --startMP 300:22121 --initTime 2017-03-21T10:23:05 --startdatetime 2017-03-21T10:29:12 --delay 6 --endMP 204:952 --enddatetime 2017-03-21T10:36:00 --enforcementcount 0 &gt;&gt;C:\Users\stu\Documents\GitHub\eaglep3-reporting\EC\2017-03-21-refined-times.txt</v>
      </c>
      <c r="AI231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{"issue":{"subject":"","project_id":79,"tracker_id":40,"status_id":1,"priority_id":2,"assigned_to_id":23,"start_date":"2017-03-21","description":"","custom_fields":[{"id":1,"name":"Subdivision","value":"Other"},{"id":4,"name":"Milepost","value":"0.0952"},{"id":17,"name":"Train ID","value":"50-21"},{"id":16,"name":"Locomotive ID","value":"4008"},{"id":130,"name":"Impact","value":""},{"id":150,"name":"Time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4"/>
        <v>start /low /b %USERPROFILE%\Documents\GitHub\eaglep3\Utilities\DownloadLogsFromS3.py --loco 4008 --day 2017-03-21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"%USERPROFILE%\AppData\Local\Temp\OnboardLogs"\RTDC4008\*4008*20170321* | grep -SE "(Enforcement Action)|(\[TIMEOUT)|(CHR.+\|PRM\|1\|D.+(SWITCH|SIGNAL).+UNKNOWN)" - &gt;&gt; 2017-03-21-UncaughtWiMAX.txt</v>
      </c>
    </row>
    <row r="232" spans="1:40" x14ac:dyDescent="0.25">
      <c r="A232" s="33" t="s">
        <v>712</v>
      </c>
      <c r="B232" s="7">
        <v>4007</v>
      </c>
      <c r="C232" s="21" t="s">
        <v>221</v>
      </c>
      <c r="D232" s="21" t="s">
        <v>952</v>
      </c>
      <c r="E232" s="13">
        <v>42815.459826388891</v>
      </c>
      <c r="F232" s="13">
        <v>42815.46806712963</v>
      </c>
      <c r="G232" s="7">
        <v>1</v>
      </c>
      <c r="H232" s="21" t="s">
        <v>953</v>
      </c>
      <c r="I232" s="13">
        <v>42815.474664351852</v>
      </c>
      <c r="J232" s="7">
        <v>0</v>
      </c>
      <c r="K232" s="98" t="str">
        <f t="shared" si="69"/>
        <v>4007/4008</v>
      </c>
      <c r="L232" s="21" t="str">
        <f>VLOOKUP(A232,'Trips&amp;Operators'!$C$1:$G$99999,5,FALSE)</f>
        <v>YANAI IAN</v>
      </c>
      <c r="M232" s="6">
        <f t="shared" si="70"/>
        <v>6.5972222218988463E-3</v>
      </c>
      <c r="N232" s="7">
        <f t="shared" si="80"/>
        <v>9.4999999995343387</v>
      </c>
      <c r="O232" s="7"/>
      <c r="P232" s="7"/>
      <c r="Q232" s="22"/>
      <c r="R232" s="22"/>
      <c r="S232" s="31">
        <f t="shared" si="81"/>
        <v>0</v>
      </c>
      <c r="T232" s="46" t="e">
        <f t="shared" si="71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2"/>
        <v>https://d0f6bd738d7f1b3e5a7ca70fe4ff75f0.us-east-1.aws.found.io/app/kibana#/discover/Steve-Slow-Train-Analysis-(2080s-and-2083s)?_g=(refreshInterval:(display:Off,pause:!f,section:0,value:0),time:(from:'2017-03-21T10:02:09-0600',mode:absolute,to:'2017-03-21T12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2" s="187" t="str">
        <f t="shared" si="73"/>
        <v>Y</v>
      </c>
      <c r="X232" s="187" t="e">
        <f t="shared" si="89"/>
        <v>#VALUE!</v>
      </c>
      <c r="Y232" s="62">
        <f t="shared" ref="Y232:Y243" si="91">RIGHT(D232,LEN(D232)-4)/10000</f>
        <v>0.12620000000000001</v>
      </c>
      <c r="Z232" s="62">
        <f t="shared" si="90"/>
        <v>2.4226999999999999</v>
      </c>
      <c r="AA232" s="62">
        <f t="shared" si="75"/>
        <v>2.2965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6"/>
        <v>51-21</v>
      </c>
      <c r="AE232" s="85" t="str">
        <f t="shared" si="77"/>
        <v>aws s3 cp s3://rtdc.mdm.uploadarchive.raw/RTDC4007/ "%USERPROFILE%\AppData\Local\Temp\OnboardLogs"\RTDC4007\2017-03-21 --exclude "*" --recursive --include "*20170321*" &amp; "%USERPROFILE%\Documents\GitHub\mrs-test-scripts\Headless Mode &amp; Sideloading\WalkAndUnGZ.bat" "%USERPROFILE%\AppData\Local\Temp\OnboardLogs"\RTDC4007\2017-03-21 &amp; 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</v>
      </c>
      <c r="AF232" s="82" t="str">
        <f t="shared" si="78"/>
        <v>"C:\Program Files (x86)\AstroGrep\AstroGrep.exe" /e /r /s /spath="%USERPROFILE%\AppData\Local\Temp\OnboardLogs" /stypes="app*4007*20170321*" /stext=" 17:.+((SYSTEM_STATE.+slice.+state.+changed )|(ment ac)|(multiple cpu faults)|(system.+state.+changed )|(\[timeout)|(PRM\|1\|D)|(kpr)|(kdp)|(\|lc)|(penalty))"</v>
      </c>
      <c r="AG232" s="1" t="str">
        <f t="shared" si="79"/>
        <v>Other</v>
      </c>
      <c r="AH232" s="86" t="str">
        <f t="shared" si="82"/>
        <v>"%USERPROFILE%\Documents\GitHub\eaglep3\Utilities\RefineRTDCRunTimes.py" --tripid 51-21 --locoid 4007 --swversion DE.1.0.9.0 --startMP 204:1262 --initTime 2017-03-21T11:02:09 --startdatetime 2017-03-21T11:14:01 --delay 1 --endMP 300:24227 --enddatetime 2017-03-21T11:23:31 --enforcementcount 0 &gt;&gt;C:\Users\stu\Documents\GitHub\eaglep3-reporting\EC\2017-03-21-refined-times.txt</v>
      </c>
      <c r="AI232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{"issue":{"subject":"","project_id":79,"tracker_id":40,"status_id":1,"priority_id":2,"assigned_to_id":23,"start_date":"2017-03-21","description":"","custom_fields":[{"id":1,"name":"Subdivision","value":"Other"},{"id":4,"name":"Milepost","value":"2.4227"},{"id":17,"name":"Train ID","value":"51-21"},{"id":16,"name":"Locomotive ID","value":"4007"},{"id":130,"name":"Impact","value":""},{"id":150,"name":"Time of Event (Mountain Time)","value":"11:23:31"},{"id":151,"name":"Denver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4"/>
        <v>start /low /b %USERPROFILE%\Documents\GitHub\eaglep3\Utilities\DownloadLogsFromS3.py --loco 4007 --day 2017-03-21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"%USERPROFILE%\AppData\Local\Temp\OnboardLogs"\RTDC4007\*4007*20170321* | grep -SE "(Enforcement Action)|(\[TIMEOUT)|(CHR.+\|PRM\|1\|D.+(SWITCH|SIGNAL).+UNKNOWN)" - &gt;&gt; 2017-03-21-UncaughtWiMAX.txt</v>
      </c>
    </row>
    <row r="233" spans="1:40" x14ac:dyDescent="0.25">
      <c r="A233" s="33" t="s">
        <v>784</v>
      </c>
      <c r="B233" s="7">
        <v>4007</v>
      </c>
      <c r="C233" s="21" t="s">
        <v>221</v>
      </c>
      <c r="D233" s="21" t="s">
        <v>954</v>
      </c>
      <c r="E233" s="13">
        <v>42815.760821759257</v>
      </c>
      <c r="F233" s="13">
        <v>42815.767951388887</v>
      </c>
      <c r="G233" s="7">
        <v>2</v>
      </c>
      <c r="H233" s="21" t="s">
        <v>955</v>
      </c>
      <c r="I233" s="13">
        <v>42815.773113425923</v>
      </c>
      <c r="J233" s="7">
        <v>0</v>
      </c>
      <c r="K233" s="98" t="str">
        <f t="shared" si="69"/>
        <v>4007/4008</v>
      </c>
      <c r="L233" s="21" t="str">
        <f>VLOOKUP(A233,'Trips&amp;Operators'!$C$1:$G$99999,5,FALSE)</f>
        <v>STEWART MICHAEL</v>
      </c>
      <c r="M233" s="6">
        <f t="shared" si="70"/>
        <v>5.1620370359160006E-3</v>
      </c>
      <c r="N233" s="7">
        <f t="shared" si="80"/>
        <v>7.4333333317190409</v>
      </c>
      <c r="O233" s="7"/>
      <c r="P233" s="7"/>
      <c r="Q233" s="22"/>
      <c r="R233" s="22"/>
      <c r="S233" s="31">
        <f t="shared" si="81"/>
        <v>0</v>
      </c>
      <c r="T233" s="46" t="e">
        <f t="shared" si="71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2"/>
        <v>https://d0f6bd738d7f1b3e5a7ca70fe4ff75f0.us-east-1.aws.found.io/app/kibana#/discover/Steve-Slow-Train-Analysis-(2080s-and-2083s)?_g=(refreshInterval:(display:Off,pause:!f,section:0,value:0),time:(from:'2017-03-21T17:15:35-0600',mode:absolute,to:'2017-03-21T19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3" s="187" t="str">
        <f t="shared" si="73"/>
        <v>Y</v>
      </c>
      <c r="X233" s="187" t="e">
        <f t="shared" si="89"/>
        <v>#VALUE!</v>
      </c>
      <c r="Y233" s="62">
        <f t="shared" si="91"/>
        <v>3.5900000000000001E-2</v>
      </c>
      <c r="Z233" s="62">
        <f t="shared" si="90"/>
        <v>2.3311999999999999</v>
      </c>
      <c r="AA233" s="62">
        <f t="shared" si="75"/>
        <v>2.2953000000000001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6"/>
        <v>53-21</v>
      </c>
      <c r="AE233" s="85" t="str">
        <f t="shared" si="77"/>
        <v>aws s3 cp s3://rtdc.mdm.uploadarchive.raw/RTDC4007/ "%USERPROFILE%\AppData\Local\Temp\OnboardLogs"\RTDC4007\2017-03-21 --exclude "*" --recursive --include "*20170321*" &amp; "%USERPROFILE%\Documents\GitHub\mrs-test-scripts\Headless Mode &amp; Sideloading\WalkAndUnGZ.bat" "%USERPROFILE%\AppData\Local\Temp\OnboardLogs"\RTDC4007\2017-03-21 &amp; 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</v>
      </c>
      <c r="AF233" s="82" t="str">
        <f t="shared" si="78"/>
        <v>"C:\Program Files (x86)\AstroGrep\AstroGrep.exe" /e /r /s /spath="%USERPROFILE%\AppData\Local\Temp\OnboardLogs" /stypes="app*4007*20170322*" /stext=" 00:.+((SYSTEM_STATE.+slice.+state.+changed )|(ment ac)|(multiple cpu faults)|(system.+state.+changed )|(\[timeout)|(PRM\|1\|D)|(kpr)|(kdp)|(\|lc)|(penalty))"</v>
      </c>
      <c r="AG233" s="1" t="str">
        <f t="shared" si="79"/>
        <v>Other</v>
      </c>
      <c r="AH233" s="86" t="str">
        <f t="shared" si="82"/>
        <v>"%USERPROFILE%\Documents\GitHub\eaglep3\Utilities\RefineRTDCRunTimes.py" --tripid 53-21 --locoid 4007 --swversion DE.1.0.9.0 --startMP 204:359 --initTime 2017-03-21T18:15:35 --startdatetime 2017-03-21T18:25:51 --delay 2 --endMP 300:23312 --enddatetime 2017-03-21T18:33:17 --enforcementcount 0 &gt;&gt;C:\Users\stu\Documents\GitHub\eaglep3-reporting\EC\2017-03-21-refined-times.txt</v>
      </c>
      <c r="AI233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{"issue":{"subject":"","project_id":79,"tracker_id":40,"status_id":1,"priority_id":2,"assigned_to_id":23,"start_date":"2017-03-21","description":"","custom_fields":[{"id":1,"name":"Subdivision","value":"Other"},{"id":4,"name":"Milepost","value":"2.3312"},{"id":17,"name":"Train ID","value":"53-21"},{"id":16,"name":"Locomotive ID","value":"4007"},{"id":130,"name":"Impact","value":""},{"id":150,"name":"Time of Event (Mountain Time)","value":"18:33:17"},{"id":151,"name":"Denver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4"/>
        <v>start /low /b %USERPROFILE%\Documents\GitHub\eaglep3\Utilities\DownloadLogsFromS3.py --loco 4007 --day 2017-03-21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2017-03-21-UncaughtWiMAX.txt</v>
      </c>
    </row>
    <row r="234" spans="1:40" x14ac:dyDescent="0.25">
      <c r="A234" s="33" t="s">
        <v>784</v>
      </c>
      <c r="B234" s="7">
        <v>4007</v>
      </c>
      <c r="C234" s="21" t="s">
        <v>221</v>
      </c>
      <c r="D234" s="21" t="s">
        <v>956</v>
      </c>
      <c r="E234" s="13">
        <v>42815.760821759257</v>
      </c>
      <c r="F234" s="13">
        <v>42815.767951388887</v>
      </c>
      <c r="G234" s="7">
        <v>18</v>
      </c>
      <c r="H234" s="21" t="s">
        <v>955</v>
      </c>
      <c r="I234" s="13">
        <v>42815.773113425923</v>
      </c>
      <c r="J234" s="7">
        <v>0</v>
      </c>
      <c r="K234" s="98" t="str">
        <f t="shared" si="69"/>
        <v>4007/4008</v>
      </c>
      <c r="L234" s="21" t="str">
        <f>VLOOKUP(A234,'Trips&amp;Operators'!$C$1:$G$99999,5,FALSE)</f>
        <v>STEWART MICHAEL</v>
      </c>
      <c r="M234" s="6">
        <f t="shared" si="70"/>
        <v>5.1620370359160006E-3</v>
      </c>
      <c r="N234" s="7">
        <f t="shared" si="80"/>
        <v>7.4333333317190409</v>
      </c>
      <c r="O234" s="7"/>
      <c r="P234" s="7"/>
      <c r="Q234" s="22"/>
      <c r="R234" s="22"/>
      <c r="S234" s="31">
        <f t="shared" si="81"/>
        <v>0</v>
      </c>
      <c r="T234" s="46" t="e">
        <f t="shared" si="71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2"/>
        <v>https://d0f6bd738d7f1b3e5a7ca70fe4ff75f0.us-east-1.aws.found.io/app/kibana#/discover/Steve-Slow-Train-Analysis-(2080s-and-2083s)?_g=(refreshInterval:(display:Off,pause:!f,section:0,value:0),time:(from:'2017-03-21T17:15:35-0600',mode:absolute,to:'2017-03-21T19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4" s="187" t="str">
        <f t="shared" si="73"/>
        <v>Y</v>
      </c>
      <c r="X234" s="187" t="e">
        <f t="shared" si="89"/>
        <v>#VALUE!</v>
      </c>
      <c r="Y234" s="62">
        <f t="shared" si="91"/>
        <v>2.3281999999999998</v>
      </c>
      <c r="Z234" s="62">
        <f t="shared" si="90"/>
        <v>2.3311999999999999</v>
      </c>
      <c r="AA234" s="62">
        <f t="shared" si="75"/>
        <v>3.0000000000001137E-3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6"/>
        <v>53-21</v>
      </c>
      <c r="AE234" s="85" t="str">
        <f t="shared" si="77"/>
        <v>aws s3 cp s3://rtdc.mdm.uploadarchive.raw/RTDC4007/ "%USERPROFILE%\AppData\Local\Temp\OnboardLogs"\RTDC4007\2017-03-21 --exclude "*" --recursive --include "*20170321*" &amp; "%USERPROFILE%\Documents\GitHub\mrs-test-scripts\Headless Mode &amp; Sideloading\WalkAndUnGZ.bat" "%USERPROFILE%\AppData\Local\Temp\OnboardLogs"\RTDC4007\2017-03-21 &amp; aws s3 cp s3://rtdc.mdm.uploadarchive.raw/RTDC4007/ "%USERPROFILE%\AppData\Local\Temp\OnboardLogs"\RTDC4007\2017-03-22 --exclude "*" --recursive --include "*20170322*" &amp; "%USERPROFILE%\Documents\GitHub\mrs-test-scripts\Headless Mode &amp; Sideloading\WalkAndUnGZ.bat" "%USERPROFILE%\AppData\Local\Temp\OnboardLogs"\RTDC4007\2017-03-22</v>
      </c>
      <c r="AF234" s="82" t="str">
        <f t="shared" si="78"/>
        <v>"C:\Program Files (x86)\AstroGrep\AstroGrep.exe" /e /r /s /spath="%USERPROFILE%\AppData\Local\Temp\OnboardLogs" /stypes="app*4007*20170322*" /stext=" 00:.+((SYSTEM_STATE.+slice.+state.+changed )|(ment ac)|(multiple cpu faults)|(system.+state.+changed )|(\[timeout)|(PRM\|1\|D)|(kpr)|(kdp)|(\|lc)|(penalty))"</v>
      </c>
      <c r="AG234" s="1" t="str">
        <f t="shared" si="79"/>
        <v>Other</v>
      </c>
      <c r="AH234" s="86" t="str">
        <f t="shared" si="82"/>
        <v>"%USERPROFILE%\Documents\GitHub\eaglep3\Utilities\RefineRTDCRunTimes.py" --tripid 53-21 --locoid 4007 --swversion DE.1.0.9.0 --startMP 300:23282 --initTime 2017-03-21T18:15:35 --startdatetime 2017-03-21T18:25:51 --delay 18 --endMP 300:23312 --enddatetime 2017-03-21T18:33:17 --enforcementcount 0 &gt;&gt;C:\Users\stu\Documents\GitHub\eaglep3-reporting\EC\2017-03-21-refined-times.txt</v>
      </c>
      <c r="AI234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{"issue":{"subject":"","project_id":79,"tracker_id":40,"status_id":1,"priority_id":2,"assigned_to_id":23,"start_date":"2017-03-21","description":"","custom_fields":[{"id":1,"name":"Subdivision","value":"Other"},{"id":4,"name":"Milepost","value":"2.3312"},{"id":17,"name":"Train ID","value":"53-21"},{"id":16,"name":"Locomotive ID","value":"4007"},{"id":130,"name":"Impact","value":""},{"id":150,"name":"Time of Event (Mountain Time)","value":"18:33:17"},{"id":151,"name":"Denver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4"/>
        <v>start /low /b %USERPROFILE%\Documents\GitHub\eaglep3\Utilities\DownloadLogsFromS3.py --loco 4007 --day 2017-03-21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"%USERPROFILE%\AppData\Local\Temp\OnboardLogs"\RTDC4007\*4007*20170322* | grep -SE "(Enforcement Action)|(\[TIMEOUT)|(CHR.+\|PRM\|1\|D.+(SWITCH|SIGNAL).+UNKNOWN)" - &gt;&gt; 2017-03-21-UncaughtWiMAX.txt</v>
      </c>
    </row>
    <row r="235" spans="1:40" x14ac:dyDescent="0.25">
      <c r="A235" s="33" t="s">
        <v>627</v>
      </c>
      <c r="B235" s="7">
        <v>4008</v>
      </c>
      <c r="C235" s="21" t="s">
        <v>221</v>
      </c>
      <c r="D235" s="21" t="s">
        <v>957</v>
      </c>
      <c r="E235" s="13">
        <v>42815.730740740742</v>
      </c>
      <c r="F235" s="13">
        <v>42815.734467592592</v>
      </c>
      <c r="G235" s="7">
        <v>5</v>
      </c>
      <c r="H235" s="21">
        <v>8.5347222222222232</v>
      </c>
      <c r="I235" s="13">
        <v>42815.740254629629</v>
      </c>
      <c r="J235" s="7">
        <v>0</v>
      </c>
      <c r="K235" s="98" t="str">
        <f t="shared" si="69"/>
        <v>4007/4008</v>
      </c>
      <c r="L235" s="21" t="str">
        <f>VLOOKUP(A235,'Trips&amp;Operators'!$C$1:$G$99999,5,FALSE)</f>
        <v>STORY SAMANTHA</v>
      </c>
      <c r="M235" s="6">
        <f t="shared" si="70"/>
        <v>5.7870370364980772E-3</v>
      </c>
      <c r="N235" s="7">
        <f t="shared" si="80"/>
        <v>8.3333333325572312</v>
      </c>
      <c r="O235" s="7"/>
      <c r="P235" s="7"/>
      <c r="Q235" s="22"/>
      <c r="R235" s="22"/>
      <c r="S235" s="31">
        <f t="shared" si="81"/>
        <v>0</v>
      </c>
      <c r="T235" s="46" t="e">
        <f t="shared" si="71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2"/>
        <v>https://d0f6bd738d7f1b3e5a7ca70fe4ff75f0.us-east-1.aws.found.io/app/kibana#/discover/Steve-Slow-Train-Analysis-(2080s-and-2083s)?_g=(refreshInterval:(display:Off,pause:!f,section:0,value:0),time:(from:'2017-03-21T16:32:16-0600',mode:absolute,to:'2017-03-21T18:45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5" s="187" t="str">
        <f t="shared" si="73"/>
        <v>N</v>
      </c>
      <c r="X235" s="187" t="e">
        <f t="shared" si="89"/>
        <v>#VALUE!</v>
      </c>
      <c r="Y235" s="62">
        <f t="shared" si="91"/>
        <v>2.3281000000000001</v>
      </c>
      <c r="Z235" s="62">
        <f t="shared" si="90"/>
        <v>47222222.222199999</v>
      </c>
      <c r="AA235" s="62">
        <f t="shared" si="75"/>
        <v>47222219.894099995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6"/>
        <v>54-21</v>
      </c>
      <c r="AE235" s="85" t="str">
        <f t="shared" si="77"/>
        <v>aws s3 cp s3://rtdc.mdm.uploadarchive.raw/RTDC4008/ "%USERPROFILE%\AppData\Local\Temp\OnboardLogs"\RTDC4008\2017-03-21 --exclude "*" --recursive --include "*20170321*" &amp; "%USERPROFILE%\Documents\GitHub\mrs-test-scripts\Headless Mode &amp; Sideloading\WalkAndUnGZ.bat" "%USERPROFILE%\AppData\Local\Temp\OnboardLogs"\RTDC4008\2017-03-21 &amp; aws s3 cp s3://rtdc.mdm.uploadarchive.raw/RTDC4008/ "%USERPROFILE%\AppData\Local\Temp\OnboardLogs"\RTDC4008\2017-03-22 --exclude "*" --recursive --include "*20170322*" &amp; "%USERPROFILE%\Documents\GitHub\mrs-test-scripts\Headless Mode &amp; Sideloading\WalkAndUnGZ.bat" "%USERPROFILE%\AppData\Local\Temp\OnboardLogs"\RTDC4008\2017-03-22</v>
      </c>
      <c r="AF235" s="82" t="str">
        <f t="shared" si="78"/>
        <v>"C:\Program Files (x86)\AstroGrep\AstroGrep.exe" /e /r /s /spath="%USERPROFILE%\AppData\Local\Temp\OnboardLogs" /stypes="app*4008*20170321*" /stext=" 23:.+((SYSTEM_STATE.+slice.+state.+changed )|(ment ac)|(multiple cpu faults)|(system.+state.+changed )|(\[timeout)|(PRM\|1\|D)|(kpr)|(kdp)|(\|lc)|(penalty))"</v>
      </c>
      <c r="AG235" s="1" t="str">
        <f t="shared" si="79"/>
        <v>Other</v>
      </c>
      <c r="AH235" s="86" t="str">
        <f t="shared" si="82"/>
        <v>"%USERPROFILE%\Documents\GitHub\eaglep3\Utilities\RefineRTDCRunTimes.py" --tripid 54-21 --locoid 4008 --swversion DE.1.0.9.0 --startMP 300:23281 --initTime 2017-03-21T17:32:16 --startdatetime 2017-03-21T17:37:38 --delay 5 --endMP 8.53472222222222 --enddatetime 2017-03-21T17:45:58 --enforcementcount 0 &gt;&gt;C:\Users\stu\Documents\GitHub\eaglep3-reporting\EC\2017-03-21-refined-times.txt</v>
      </c>
      <c r="AI235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47222222.2222"},{"id":17,"name":"Train ID","value":"54-21"},{"id":16,"name":"Locomotive ID","value":"4008"},{"id":130,"name":"Impact","value":""},{"id":150,"name":"Time of Event (Mountain Time)","value":"17:45:58"},{"id":151,"name":"Denver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4"/>
        <v>start /low /b %USERPROFILE%\Documents\GitHub\eaglep3\Utilities\DownloadLogsFromS3.py --loco 4008 --day 2017-03-21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"%USERPROFILE%\AppData\Local\Temp\OnboardLogs"\RTDC4008\*4008*20170321* | grep -SE "(Enforcement Action)|(\[TIMEOUT)|(CHR.+\|PRM\|1\|D.+(SWITCH|SIGNAL).+UNKNOWN)" - &gt;&gt; 2017-03-21-UncaughtWiMAX.txt</v>
      </c>
    </row>
    <row r="236" spans="1:40" x14ac:dyDescent="0.25">
      <c r="A236" s="33" t="s">
        <v>629</v>
      </c>
      <c r="B236" s="7">
        <v>4017</v>
      </c>
      <c r="C236" s="21" t="s">
        <v>221</v>
      </c>
      <c r="D236" s="21" t="s">
        <v>958</v>
      </c>
      <c r="E236" s="13">
        <v>42815.742604166669</v>
      </c>
      <c r="F236" s="13">
        <v>42815.745023148149</v>
      </c>
      <c r="G236" s="7">
        <v>3</v>
      </c>
      <c r="H236" s="21" t="s">
        <v>959</v>
      </c>
      <c r="I236" s="13">
        <v>42815.750694444447</v>
      </c>
      <c r="J236" s="7">
        <v>0</v>
      </c>
      <c r="K236" s="98" t="str">
        <f t="shared" si="69"/>
        <v>4017/4018</v>
      </c>
      <c r="L236" s="21" t="str">
        <f>VLOOKUP(A236,'Trips&amp;Operators'!$C$1:$G$99999,5,FALSE)</f>
        <v>MAGEE KENYA</v>
      </c>
      <c r="M236" s="6">
        <f t="shared" si="70"/>
        <v>5.6712962978053838E-3</v>
      </c>
      <c r="N236" s="7">
        <f t="shared" si="80"/>
        <v>8.1666666688397527</v>
      </c>
      <c r="O236" s="7"/>
      <c r="P236" s="7"/>
      <c r="Q236" s="22"/>
      <c r="R236" s="22"/>
      <c r="S236" s="31">
        <f t="shared" si="81"/>
        <v>0</v>
      </c>
      <c r="T236" s="46" t="e">
        <f t="shared" si="71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2"/>
        <v>https://d0f6bd738d7f1b3e5a7ca70fe4ff75f0.us-east-1.aws.found.io/app/kibana#/discover/Steve-Slow-Train-Analysis-(2080s-and-2083s)?_g=(refreshInterval:(display:Off,pause:!f,section:0,value:0),time:(from:'2017-03-21T16:49:21-0600',mode:absolute,to:'2017-03-21T19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187" t="str">
        <f t="shared" si="73"/>
        <v>Y</v>
      </c>
      <c r="X236" s="187" t="e">
        <f t="shared" si="89"/>
        <v>#VALUE!</v>
      </c>
      <c r="Y236" s="62">
        <f t="shared" si="91"/>
        <v>2.1972999999999998</v>
      </c>
      <c r="Z236" s="62">
        <f t="shared" si="90"/>
        <v>8.7599999999999997E-2</v>
      </c>
      <c r="AA236" s="62">
        <f t="shared" si="75"/>
        <v>2.1096999999999997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6"/>
        <v>56-21</v>
      </c>
      <c r="AE236" s="85" t="str">
        <f t="shared" si="77"/>
        <v>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 &amp; 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</v>
      </c>
      <c r="AF236" s="82" t="str">
        <f t="shared" si="78"/>
        <v>"C:\Program Files (x86)\AstroGrep\AstroGrep.exe" /e /r /s /spath="%USERPROFILE%\AppData\Local\Temp\OnboardLogs" /stypes="app*4017*20170322*" /stext=" 00:.+((SYSTEM_STATE.+slice.+state.+changed )|(ment ac)|(multiple cpu faults)|(system.+state.+changed )|(\[timeout)|(PRM\|1\|D)|(kpr)|(kdp)|(\|lc)|(penalty))"</v>
      </c>
      <c r="AG236" s="1" t="str">
        <f t="shared" si="79"/>
        <v>Other</v>
      </c>
      <c r="AH236" s="86" t="str">
        <f t="shared" si="82"/>
        <v>"%USERPROFILE%\Documents\GitHub\eaglep3\Utilities\RefineRTDCRunTimes.py" --tripid 56-21 --locoid 4017 --swversion DE.1.0.9.0 --startMP 300:21973 --initTime 2017-03-21T17:49:21 --startdatetime 2017-03-21T17:52:50 --delay 3 --endMP 204:876 --enddatetime 2017-03-21T18:01:00 --enforcementcount 0 &gt;&gt;C:\Users\stu\Documents\GitHub\eaglep3-reporting\EC\2017-03-21-refined-times.txt</v>
      </c>
      <c r="AI236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{"issue":{"subject":"","project_id":79,"tracker_id":40,"status_id":1,"priority_id":2,"assigned_to_id":23,"start_date":"2017-03-21","description":"","custom_fields":[{"id":1,"name":"Subdivision","value":"Other"},{"id":4,"name":"Milepost","value":"0.0876"},{"id":17,"name":"Train ID","value":"56-21"},{"id":16,"name":"Locomotive ID","value":"4017"},{"id":130,"name":"Impact","value":""},{"id":150,"name":"Time of Event (Mountain Time)","value":"18:01:00"},{"id":151,"name":"Denver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4"/>
        <v>start /low /b %USERPROFILE%\Documents\GitHub\eaglep3\Utilities\DownloadLogsFromS3.py --loco 4017 --day 2017-03-21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"%USERPROFILE%\AppData\Local\Temp\OnboardLogs"\RTDC4017\*4017*20170321* | grep -SE "(Enforcement Action)|(\[TIMEOUT)|(CHR.+\|PRM\|1\|D.+(SWITCH|SIGNAL).+UNKNOWN)" - &gt;&gt; 2017-03-21-UncaughtWiMAX.txt</v>
      </c>
    </row>
    <row r="237" spans="1:40" x14ac:dyDescent="0.25">
      <c r="A237" s="33" t="s">
        <v>629</v>
      </c>
      <c r="B237" s="7">
        <v>4017</v>
      </c>
      <c r="C237" s="21" t="s">
        <v>221</v>
      </c>
      <c r="D237" s="21" t="s">
        <v>960</v>
      </c>
      <c r="E237" s="13">
        <v>42815.948136574072</v>
      </c>
      <c r="F237" s="13">
        <v>42815.950138888889</v>
      </c>
      <c r="G237" s="7">
        <v>1</v>
      </c>
      <c r="H237" s="21" t="s">
        <v>961</v>
      </c>
      <c r="I237" s="13">
        <v>42815.951527777775</v>
      </c>
      <c r="J237" s="7">
        <v>0</v>
      </c>
      <c r="K237" s="98" t="str">
        <f t="shared" si="69"/>
        <v>4017/4018</v>
      </c>
      <c r="L237" s="21" t="str">
        <f>VLOOKUP(A237,'Trips&amp;Operators'!$C$1:$G$99999,5,FALSE)</f>
        <v>MAGEE KENYA</v>
      </c>
      <c r="M237" s="6">
        <f t="shared" si="70"/>
        <v>1.3888888861401938E-3</v>
      </c>
      <c r="N237" s="7">
        <f t="shared" si="80"/>
        <v>1.9999999960418791</v>
      </c>
      <c r="O237" s="7"/>
      <c r="P237" s="7"/>
      <c r="Q237" s="22"/>
      <c r="R237" s="22"/>
      <c r="S237" s="31">
        <f t="shared" si="81"/>
        <v>0</v>
      </c>
      <c r="T237" s="46" t="e">
        <f t="shared" si="71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72"/>
        <v>https://d0f6bd738d7f1b3e5a7ca70fe4ff75f0.us-east-1.aws.found.io/app/kibana#/discover/Steve-Slow-Train-Analysis-(2080s-and-2083s)?_g=(refreshInterval:(display:Off,pause:!f,section:0,value:0),time:(from:'2017-03-21T21:45:19-0600',mode:absolute,to:'2017-03-21T23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7" s="187" t="str">
        <f t="shared" si="73"/>
        <v>Y</v>
      </c>
      <c r="X237" s="187" t="e">
        <f t="shared" si="89"/>
        <v>#VALUE!</v>
      </c>
      <c r="Y237" s="62">
        <f t="shared" si="91"/>
        <v>0.52729999999999999</v>
      </c>
      <c r="Z237" s="62">
        <f t="shared" si="90"/>
        <v>0.19450000000000001</v>
      </c>
      <c r="AA237" s="62">
        <f t="shared" si="75"/>
        <v>0.33279999999999998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6"/>
        <v>56-21</v>
      </c>
      <c r="AE237" s="85" t="str">
        <f t="shared" si="77"/>
        <v>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 &amp; aws s3 cp s3://rtdc.mdm.uploadarchive.raw/RTDC4017/ "%USERPROFILE%\AppData\Local\Temp\OnboardLogs"\RTDC4017\2017-03-22 --exclude "*" --recursive --include "*20170322*" &amp; "%USERPROFILE%\Documents\GitHub\mrs-test-scripts\Headless Mode &amp; Sideloading\WalkAndUnGZ.bat" "%USERPROFILE%\AppData\Local\Temp\OnboardLogs"\RTDC4017\2017-03-22</v>
      </c>
      <c r="AF237" s="82" t="str">
        <f t="shared" si="78"/>
        <v>"C:\Program Files (x86)\AstroGrep\AstroGrep.exe" /e /r /s /spath="%USERPROFILE%\AppData\Local\Temp\OnboardLogs" /stypes="app*4017*20170322*" /stext=" 04:.+((SYSTEM_STATE.+slice.+state.+changed )|(ment ac)|(multiple cpu faults)|(system.+state.+changed )|(\[timeout)|(PRM\|1\|D)|(kpr)|(kdp)|(\|lc)|(penalty))"</v>
      </c>
      <c r="AG237" s="1" t="str">
        <f t="shared" si="79"/>
        <v>Other</v>
      </c>
      <c r="AH237" s="86" t="str">
        <f t="shared" si="82"/>
        <v>"%USERPROFILE%\Documents\GitHub\eaglep3\Utilities\RefineRTDCRunTimes.py" --tripid 56-21 --locoid 4017 --swversion DE.1.0.9.0 --startMP 300:5273 --initTime 2017-03-21T22:45:19 --startdatetime 2017-03-21T22:48:12 --delay 1 --endMP 204:1945 --enddatetime 2017-03-21T22:50:12 --enforcementcount 0 &gt;&gt;C:\Users\stu\Documents\GitHub\eaglep3-reporting\EC\2017-03-21-refined-times.txt</v>
      </c>
      <c r="AI237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{"issue":{"subject":"","project_id":79,"tracker_id":40,"status_id":1,"priority_id":2,"assigned_to_id":23,"start_date":"2017-03-21","description":"","custom_fields":[{"id":1,"name":"Subdivision","value":"Other"},{"id":4,"name":"Milepost","value":"0.1945"},{"id":17,"name":"Train ID","value":"56-21"},{"id":16,"name":"Locomotive ID","value":"4017"},{"id":130,"name":"Impact","value":""},{"id":150,"name":"Time of Event (Mountain Time)","value":"22:50:12"},{"id":151,"name":"Denver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4"/>
        <v>start /low /b %USERPROFILE%\Documents\GitHub\eaglep3\Utilities\DownloadLogsFromS3.py --loco 4017 --day 2017-03-21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"%USERPROFILE%\AppData\Local\Temp\OnboardLogs"\RTDC4017\*4017*20170322* | grep -SE "(Enforcement Action)|(\[TIMEOUT)|(CHR.+\|PRM\|1\|D.+(SWITCH|SIGNAL).+UNKNOWN)" - &gt;&gt; 2017-03-21-UncaughtWiMAX.txt</v>
      </c>
    </row>
    <row r="238" spans="1:40" x14ac:dyDescent="0.25">
      <c r="A238" s="33" t="s">
        <v>629</v>
      </c>
      <c r="B238" s="7">
        <v>4018</v>
      </c>
      <c r="C238" s="21" t="s">
        <v>221</v>
      </c>
      <c r="D238" s="21" t="s">
        <v>962</v>
      </c>
      <c r="E238" s="13">
        <v>42815.943564814814</v>
      </c>
      <c r="F238" s="13">
        <v>42815.950138888889</v>
      </c>
      <c r="G238" s="7">
        <v>1</v>
      </c>
      <c r="H238" s="21" t="s">
        <v>963</v>
      </c>
      <c r="I238" s="13">
        <v>42815.951527777775</v>
      </c>
      <c r="J238" s="7">
        <v>0</v>
      </c>
      <c r="K238" s="98" t="str">
        <f t="shared" si="69"/>
        <v>4017/4018</v>
      </c>
      <c r="L238" s="21" t="str">
        <f>VLOOKUP(A238,'Trips&amp;Operators'!$C$1:$G$99999,5,FALSE)</f>
        <v>MAGEE KENYA</v>
      </c>
      <c r="M238" s="6">
        <f t="shared" si="70"/>
        <v>1.3888888861401938E-3</v>
      </c>
      <c r="N238" s="7">
        <f t="shared" si="80"/>
        <v>1.9999999960418791</v>
      </c>
      <c r="O238" s="7"/>
      <c r="P238" s="7"/>
      <c r="Q238" s="22"/>
      <c r="R238" s="22"/>
      <c r="S238" s="31">
        <f t="shared" si="81"/>
        <v>0</v>
      </c>
      <c r="T238" s="46" t="e">
        <f t="shared" si="71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72"/>
        <v>https://d0f6bd738d7f1b3e5a7ca70fe4ff75f0.us-east-1.aws.found.io/app/kibana#/discover/Steve-Slow-Train-Analysis-(2080s-and-2083s)?_g=(refreshInterval:(display:Off,pause:!f,section:0,value:0),time:(from:'2017-03-21T21:38:44-0600',mode:absolute,to:'2017-03-21T23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8" s="187" t="str">
        <f t="shared" si="73"/>
        <v>Y</v>
      </c>
      <c r="X238" s="187" t="e">
        <f t="shared" si="89"/>
        <v>#VALUE!</v>
      </c>
      <c r="Y238" s="62">
        <f t="shared" si="91"/>
        <v>0.1197</v>
      </c>
      <c r="Z238" s="62">
        <f t="shared" si="90"/>
        <v>0.55789999999999995</v>
      </c>
      <c r="AA238" s="62">
        <f t="shared" si="75"/>
        <v>0.43819999999999992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6"/>
        <v>56-21</v>
      </c>
      <c r="AE238" s="85" t="str">
        <f t="shared" si="77"/>
        <v>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 &amp; aws s3 cp s3://rtdc.mdm.uploadarchive.raw/RTDC4018/ "%USERPROFILE%\AppData\Local\Temp\OnboardLogs"\RTDC4018\2017-03-22 --exclude "*" --recursive --include "*20170322*" &amp; "%USERPROFILE%\Documents\GitHub\mrs-test-scripts\Headless Mode &amp; Sideloading\WalkAndUnGZ.bat" "%USERPROFILE%\AppData\Local\Temp\OnboardLogs"\RTDC4018\2017-03-22</v>
      </c>
      <c r="AF238" s="82" t="str">
        <f t="shared" si="78"/>
        <v>"C:\Program Files (x86)\AstroGrep\AstroGrep.exe" /e /r /s /spath="%USERPROFILE%\AppData\Local\Temp\OnboardLogs" /stypes="app*4018*20170322*" /stext=" 04:.+((SYSTEM_STATE.+slice.+state.+changed )|(ment ac)|(multiple cpu faults)|(system.+state.+changed )|(\[timeout)|(PRM\|1\|D)|(kpr)|(kdp)|(\|lc)|(penalty))"</v>
      </c>
      <c r="AG238" s="1" t="str">
        <f t="shared" si="79"/>
        <v>Other</v>
      </c>
      <c r="AH238" s="86" t="str">
        <f t="shared" si="82"/>
        <v>"%USERPROFILE%\Documents\GitHub\eaglep3\Utilities\RefineRTDCRunTimes.py" --tripid 56-21 --locoid 4018 --swversion DE.1.0.9.0 --startMP 204:1197 --initTime 2017-03-21T22:38:44 --startdatetime 2017-03-21T22:48:12 --delay 1 --endMP 300:5579 --enddatetime 2017-03-21T22:50:12 --enforcementcount 0 &gt;&gt;C:\Users\stu\Documents\GitHub\eaglep3-reporting\EC\2017-03-21-refined-times.txt</v>
      </c>
      <c r="AI238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{"issue":{"subject":"","project_id":79,"tracker_id":40,"status_id":1,"priority_id":2,"assigned_to_id":23,"start_date":"2017-03-21","description":"","custom_fields":[{"id":1,"name":"Subdivision","value":"Other"},{"id":4,"name":"Milepost","value":"0.5579"},{"id":17,"name":"Train ID","value":"56-21"},{"id":16,"name":"Locomotive ID","value":"4018"},{"id":130,"name":"Impact","value":""},{"id":150,"name":"Time of Event (Mountain Time)","value":"22:50:12"},{"id":151,"name":"Denver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4"/>
        <v>start /low /b %USERPROFILE%\Documents\GitHub\eaglep3\Utilities\DownloadLogsFromS3.py --loco 4018 --day 2017-03-21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"%USERPROFILE%\AppData\Local\Temp\OnboardLogs"\RTDC4018\*4018*20170322* | grep -SE "(Enforcement Action)|(\[TIMEOUT)|(CHR.+\|PRM\|1\|D.+(SWITCH|SIGNAL).+UNKNOWN)" - &gt;&gt; 2017-03-21-UncaughtWiMAX.txt</v>
      </c>
    </row>
    <row r="239" spans="1:40" x14ac:dyDescent="0.25">
      <c r="A239" s="33" t="s">
        <v>801</v>
      </c>
      <c r="B239" s="7">
        <v>4042</v>
      </c>
      <c r="C239" s="21" t="s">
        <v>221</v>
      </c>
      <c r="D239" s="21" t="s">
        <v>226</v>
      </c>
      <c r="E239" s="13">
        <v>42815.866111111114</v>
      </c>
      <c r="F239" s="13">
        <v>42815.904733796298</v>
      </c>
      <c r="G239" s="7">
        <v>1</v>
      </c>
      <c r="H239" s="21" t="s">
        <v>964</v>
      </c>
      <c r="I239" s="13">
        <v>42815.913287037038</v>
      </c>
      <c r="J239" s="7">
        <v>0</v>
      </c>
      <c r="K239" s="98" t="str">
        <f t="shared" si="69"/>
        <v>4041/4042</v>
      </c>
      <c r="L239" s="21" t="str">
        <f>VLOOKUP(A239,'Trips&amp;Operators'!$C$1:$G$99999,5,FALSE)</f>
        <v>DAVIDSON DAVID</v>
      </c>
      <c r="M239" s="6">
        <f t="shared" si="70"/>
        <v>8.55324073927477E-3</v>
      </c>
      <c r="N239" s="7">
        <f t="shared" si="80"/>
        <v>12.316666664555669</v>
      </c>
      <c r="O239" s="7"/>
      <c r="P239" s="7"/>
      <c r="Q239" s="22"/>
      <c r="R239" s="22"/>
      <c r="S239" s="31">
        <f t="shared" si="81"/>
        <v>0</v>
      </c>
      <c r="T239" s="46" t="e">
        <f t="shared" si="71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72"/>
        <v>https://d0f6bd738d7f1b3e5a7ca70fe4ff75f0.us-east-1.aws.found.io/app/kibana#/discover/Steve-Slow-Train-Analysis-(2080s-and-2083s)?_g=(refreshInterval:(display:Off,pause:!f,section:0,value:0),time:(from:'2017-03-21T19:47:12-0600',mode:absolute,to:'2017-03-21T22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9" s="187" t="str">
        <f t="shared" si="73"/>
        <v>Y</v>
      </c>
      <c r="X239" s="187" t="e">
        <f t="shared" si="89"/>
        <v>#VALUE!</v>
      </c>
      <c r="Y239" s="62">
        <f t="shared" si="91"/>
        <v>4.6899999999999997E-2</v>
      </c>
      <c r="Z239" s="62">
        <f t="shared" si="90"/>
        <v>2.3313999999999999</v>
      </c>
      <c r="AA239" s="62">
        <f t="shared" si="75"/>
        <v>2.2845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6"/>
        <v>77-21</v>
      </c>
      <c r="AE239" s="85" t="str">
        <f t="shared" si="77"/>
        <v>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 &amp; aws s3 cp s3://rtdc.mdm.uploadarchive.raw/RTDC4042/ "%USERPROFILE%\AppData\Local\Temp\OnboardLogs"\RTDC4042\2017-03-22 --exclude "*" --recursive --include "*20170322*" &amp; "%USERPROFILE%\Documents\GitHub\mrs-test-scripts\Headless Mode &amp; Sideloading\WalkAndUnGZ.bat" "%USERPROFILE%\AppData\Local\Temp\OnboardLogs"\RTDC4042\2017-03-22</v>
      </c>
      <c r="AF239" s="82" t="str">
        <f t="shared" si="78"/>
        <v>"C:\Program Files (x86)\AstroGrep\AstroGrep.exe" /e /r /s /spath="%USERPROFILE%\AppData\Local\Temp\OnboardLogs" /stypes="app*4042*20170322*" /stext=" 03:.+((SYSTEM_STATE.+slice.+state.+changed )|(ment ac)|(multiple cpu faults)|(system.+state.+changed )|(\[timeout)|(PRM\|1\|D)|(kpr)|(kdp)|(\|lc)|(penalty))"</v>
      </c>
      <c r="AG239" s="1" t="str">
        <f t="shared" si="79"/>
        <v>Other</v>
      </c>
      <c r="AH239" s="86" t="str">
        <f t="shared" si="82"/>
        <v>"%USERPROFILE%\Documents\GitHub\eaglep3\Utilities\RefineRTDCRunTimes.py" --tripid 77-21 --locoid 4042 --swversion DE.1.0.9.0 --startMP 204:469 --initTime 2017-03-21T20:47:12 --startdatetime 2017-03-21T21:42:49 --delay 1 --endMP 300:23314 --enddatetime 2017-03-21T21:55:08 --enforcementcount 0 &gt;&gt;C:\Users\stu\Documents\GitHub\eaglep3-reporting\EC\2017-03-21-refined-times.txt</v>
      </c>
      <c r="AI239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{"issue":{"subject":"","project_id":79,"tracker_id":40,"status_id":1,"priority_id":2,"assigned_to_id":23,"start_date":"2017-03-21","description":"","custom_fields":[{"id":1,"name":"Subdivision","value":"Other"},{"id":4,"name":"Milepost","value":"2.3314"},{"id":17,"name":"Train ID","value":"77-21"},{"id":16,"name":"Locomotive ID","value":"4042"},{"id":130,"name":"Impact","value":""},{"id":150,"name":"Time of Event (Mountain Time)","value":"21:55:08"},{"id":151,"name":"Denver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84"/>
        <v>start /low /b %USERPROFILE%\Documents\GitHub\eaglep3\Utilities\DownloadLogsFromS3.py --loco 4042 --day 2017-03-21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"%USERPROFILE%\AppData\Local\Temp\OnboardLogs"\RTDC4042\*4042*20170322* | grep -SE "(Enforcement Action)|(\[TIMEOUT)|(CHR.+\|PRM\|1\|D.+(SWITCH|SIGNAL).+UNKNOWN)" - &gt;&gt; 2017-03-21-UncaughtWiMAX.txt</v>
      </c>
    </row>
    <row r="240" spans="1:40" x14ac:dyDescent="0.25">
      <c r="A240" s="33" t="s">
        <v>558</v>
      </c>
      <c r="B240" s="7">
        <v>4063</v>
      </c>
      <c r="C240" s="21" t="s">
        <v>221</v>
      </c>
      <c r="D240" s="21" t="s">
        <v>974</v>
      </c>
      <c r="E240" s="13">
        <v>42815.173738425925</v>
      </c>
      <c r="F240" s="13">
        <v>42815.193043981482</v>
      </c>
      <c r="G240" s="7">
        <v>0</v>
      </c>
      <c r="H240" s="21" t="s">
        <v>975</v>
      </c>
      <c r="I240" s="13">
        <v>42815.212060185186</v>
      </c>
      <c r="J240" s="7">
        <v>0</v>
      </c>
      <c r="K240" s="98" t="str">
        <f t="shared" si="69"/>
        <v>4063/4064</v>
      </c>
      <c r="L240" s="21" t="str">
        <f>VLOOKUP(A240,'Trips&amp;Operators'!$C$1:$G$99999,5,FALSE)</f>
        <v>YANG JAN</v>
      </c>
      <c r="M240" s="6">
        <f t="shared" si="70"/>
        <v>1.9016203703358769E-2</v>
      </c>
      <c r="N240" s="7">
        <f t="shared" si="80"/>
        <v>27.383333332836628</v>
      </c>
      <c r="O240" s="7"/>
      <c r="P240" s="7"/>
      <c r="Q240" s="22"/>
      <c r="R240" s="22"/>
      <c r="S240" s="31">
        <f t="shared" si="81"/>
        <v>0</v>
      </c>
      <c r="T240" s="46" t="e">
        <f t="shared" si="71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72"/>
        <v>https://d0f6bd738d7f1b3e5a7ca70fe4ff75f0.us-east-1.aws.found.io/app/kibana#/discover/Steve-Slow-Train-Analysis-(2080s-and-2083s)?_g=(refreshInterval:(display:Off,pause:!f,section:0,value:0),time:(from:'2017-03-21T03:10:11-0600',mode:absolute,to:'2017-03-21T06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0" s="187" t="str">
        <f t="shared" si="73"/>
        <v>N</v>
      </c>
      <c r="X240" s="187" t="e">
        <f t="shared" si="89"/>
        <v>#VALUE!</v>
      </c>
      <c r="Y240" s="62">
        <f t="shared" si="91"/>
        <v>1.0515000000000001</v>
      </c>
      <c r="Z240" s="62">
        <f t="shared" si="90"/>
        <v>10.732200000000001</v>
      </c>
      <c r="AA240" s="62">
        <f t="shared" si="75"/>
        <v>9.6806999999999999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6"/>
        <v>81-20</v>
      </c>
      <c r="AE240" s="85" t="str">
        <f t="shared" si="77"/>
        <v>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 &amp; aws s3 cp s3://rtdc.mdm.uploadarchive.raw/RTDC4063/ "%USERPROFILE%\AppData\Local\Temp\OnboardLogs"\RTDC4063\2017-03-22 --exclude "*" --recursive --include "*20170322*" &amp; "%USERPROFILE%\Documents\GitHub\mrs-test-scripts\Headless Mode &amp; Sideloading\WalkAndUnGZ.bat" "%USERPROFILE%\AppData\Local\Temp\OnboardLogs"\RTDC4063\2017-03-22</v>
      </c>
      <c r="AF240" s="82" t="str">
        <f t="shared" si="78"/>
        <v>"C:\Program Files (x86)\AstroGrep\AstroGrep.exe" /e /r /s /spath="%USERPROFILE%\AppData\Local\Temp\OnboardLogs" /stypes="app*4063*20170321*" /stext=" 11:.+((SYSTEM_STATE.+slice.+state.+changed )|(ment ac)|(multiple cpu faults)|(system.+state.+changed )|(\[timeout)|(PRM\|1\|D)|(kpr)|(kdp)|(\|lc)|(penalty))"</v>
      </c>
      <c r="AG240" s="1" t="str">
        <f t="shared" si="79"/>
        <v>Other</v>
      </c>
      <c r="AH240" s="86" t="str">
        <f t="shared" si="82"/>
        <v>"%USERPROFILE%\Documents\GitHub\eaglep3\Utilities\RefineRTDCRunTimes.py" --tripid 81-20 --locoid 4063 --swversion DE.1.0.9.0 --startMP 204:10515 --initTime 2017-03-21T04:10:11 --startdatetime 2017-03-21T04:37:59 --delay 0 --endMP 204:107322 --enddatetime 2017-03-21T05:05:22 --enforcementcount 0 &gt;&gt;C:\Users\stu\Documents\GitHub\eaglep3-reporting\EC\2017-03-21-refined-times.txt</v>
      </c>
      <c r="AI240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{"issue":{"subject":"","project_id":79,"tracker_id":40,"status_id":1,"priority_id":2,"assigned_to_id":23,"start_date":"2017-03-21","description":"","custom_fields":[{"id":1,"name":"Subdivision","value":"Other"},{"id":4,"name":"Milepost","value":"10.7322"},{"id":17,"name":"Train ID","value":"81-20"},{"id":16,"name":"Locomotive ID","value":"4063"},{"id":130,"name":"Impact","value":""},{"id":150,"name":"Time of Event (Mountain Time)","value":"05:05:22"},{"id":151,"name":"Denver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84"/>
        <v>start /low /b %USERPROFILE%\Documents\GitHub\eaglep3\Utilities\DownloadLogsFromS3.py --loco 4063 --day 2017-03-21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2017-03-21-UncaughtWiMAX.txt</v>
      </c>
    </row>
    <row r="241" spans="1:40" x14ac:dyDescent="0.25">
      <c r="A241" s="33" t="s">
        <v>558</v>
      </c>
      <c r="B241" s="7">
        <v>4063</v>
      </c>
      <c r="C241" s="21" t="s">
        <v>221</v>
      </c>
      <c r="D241" s="21" t="s">
        <v>209</v>
      </c>
      <c r="E241" s="13">
        <v>42815.108796296299</v>
      </c>
      <c r="F241" s="13">
        <v>42815.157581018517</v>
      </c>
      <c r="G241" s="7">
        <v>1</v>
      </c>
      <c r="H241" s="21" t="s">
        <v>582</v>
      </c>
      <c r="I241" s="13">
        <v>42815.17260416667</v>
      </c>
      <c r="J241" s="7">
        <v>0</v>
      </c>
      <c r="K241" s="98" t="str">
        <f t="shared" si="69"/>
        <v>4063/4064</v>
      </c>
      <c r="L241" s="21" t="str">
        <f>VLOOKUP(A241,'Trips&amp;Operators'!$C$1:$G$99999,5,FALSE)</f>
        <v>YANG JAN</v>
      </c>
      <c r="M241" s="6">
        <f t="shared" si="70"/>
        <v>1.5023148152977228E-2</v>
      </c>
      <c r="N241" s="7">
        <f t="shared" si="80"/>
        <v>21.633333340287209</v>
      </c>
      <c r="O241" s="7"/>
      <c r="P241" s="7"/>
      <c r="Q241" s="22"/>
      <c r="R241" s="22"/>
      <c r="S241" s="31">
        <f t="shared" si="81"/>
        <v>0</v>
      </c>
      <c r="T241" s="46" t="e">
        <f t="shared" si="71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72"/>
        <v>https://d0f6bd738d7f1b3e5a7ca70fe4ff75f0.us-east-1.aws.found.io/app/kibana#/discover/Steve-Slow-Train-Analysis-(2080s-and-2083s)?_g=(refreshInterval:(display:Off,pause:!f,section:0,value:0),time:(from:'2017-03-21T01:36:40-0600',mode:absolute,to:'2017-03-21T05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1" s="187" t="str">
        <f t="shared" si="73"/>
        <v>N</v>
      </c>
      <c r="X241" s="187" t="e">
        <f t="shared" si="89"/>
        <v>#VALUE!</v>
      </c>
      <c r="Y241" s="62">
        <f t="shared" si="91"/>
        <v>4.5999999999999999E-2</v>
      </c>
      <c r="Z241" s="62">
        <f t="shared" si="90"/>
        <v>10.729900000000001</v>
      </c>
      <c r="AA241" s="62">
        <f t="shared" si="75"/>
        <v>10.683900000000001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6"/>
        <v>81-20</v>
      </c>
      <c r="AE241" s="85" t="str">
        <f t="shared" si="77"/>
        <v>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 &amp; aws s3 cp s3://rtdc.mdm.uploadarchive.raw/RTDC4063/ "%USERPROFILE%\AppData\Local\Temp\OnboardLogs"\RTDC4063\2017-03-22 --exclude "*" --recursive --include "*20170322*" &amp; "%USERPROFILE%\Documents\GitHub\mrs-test-scripts\Headless Mode &amp; Sideloading\WalkAndUnGZ.bat" "%USERPROFILE%\AppData\Local\Temp\OnboardLogs"\RTDC4063\2017-03-22</v>
      </c>
      <c r="AF241" s="82" t="str">
        <f t="shared" si="78"/>
        <v>"C:\Program Files (x86)\AstroGrep\AstroGrep.exe" /e /r /s /spath="%USERPROFILE%\AppData\Local\Temp\OnboardLogs" /stypes="app*4063*20170321*" /stext=" 10:.+((SYSTEM_STATE.+slice.+state.+changed )|(ment ac)|(multiple cpu faults)|(system.+state.+changed )|(\[timeout)|(PRM\|1\|D)|(kpr)|(kdp)|(\|lc)|(penalty))"</v>
      </c>
      <c r="AG241" s="1" t="str">
        <f t="shared" si="79"/>
        <v>Other</v>
      </c>
      <c r="AH241" s="86" t="str">
        <f t="shared" si="82"/>
        <v>"%USERPROFILE%\Documents\GitHub\eaglep3\Utilities\RefineRTDCRunTimes.py" --tripid 81-20 --locoid 4063 --swversion DE.1.0.9.0 --startMP 204:460 --initTime 2017-03-21T02:36:40 --startdatetime 2017-03-21T03:46:55 --delay 1 --endMP 204:107299 --enddatetime 2017-03-21T04:08:33 --enforcementcount 0 &gt;&gt;C:\Users\stu\Documents\GitHub\eaglep3-reporting\EC\2017-03-21-refined-times.txt</v>
      </c>
      <c r="AI241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{"issue":{"subject":"","project_id":79,"tracker_id":40,"status_id":1,"priority_id":2,"assigned_to_id":23,"start_date":"2017-03-21","description":"","custom_fields":[{"id":1,"name":"Subdivision","value":"Other"},{"id":4,"name":"Milepost","value":"10.7299"},{"id":17,"name":"Train ID","value":"81-20"},{"id":16,"name":"Locomotive ID","value":"4063"},{"id":130,"name":"Impact","value":""},{"id":150,"name":"Time of Event (Mountain Time)","value":"04:08:33"},{"id":151,"name":"Denver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84"/>
        <v>start /low /b %USERPROFILE%\Documents\GitHub\eaglep3\Utilities\DownloadLogsFromS3.py --loco 4063 --day 2017-03-21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2017-03-21-UncaughtWiMAX.txt</v>
      </c>
    </row>
    <row r="242" spans="1:40" x14ac:dyDescent="0.25">
      <c r="A242" s="33" t="s">
        <v>558</v>
      </c>
      <c r="B242" s="7">
        <v>4064</v>
      </c>
      <c r="C242" s="21" t="s">
        <v>221</v>
      </c>
      <c r="D242" s="21" t="s">
        <v>976</v>
      </c>
      <c r="E242" s="13">
        <v>42815.146666666667</v>
      </c>
      <c r="F242" s="13">
        <v>42815.193043981482</v>
      </c>
      <c r="G242" s="7">
        <v>1</v>
      </c>
      <c r="H242" s="21" t="s">
        <v>977</v>
      </c>
      <c r="I242" s="13">
        <v>42815.212060185186</v>
      </c>
      <c r="J242" s="7">
        <v>0</v>
      </c>
      <c r="K242" s="98" t="str">
        <f t="shared" si="69"/>
        <v>4063/4064</v>
      </c>
      <c r="L242" s="21" t="str">
        <f>VLOOKUP(A242,'Trips&amp;Operators'!$C$1:$G$99999,5,FALSE)</f>
        <v>YANG JAN</v>
      </c>
      <c r="M242" s="6">
        <f t="shared" si="70"/>
        <v>1.9016203703358769E-2</v>
      </c>
      <c r="N242" s="7">
        <f t="shared" si="80"/>
        <v>27.383333332836628</v>
      </c>
      <c r="O242" s="7"/>
      <c r="P242" s="7"/>
      <c r="Q242" s="22"/>
      <c r="R242" s="22"/>
      <c r="S242" s="31">
        <f t="shared" si="81"/>
        <v>0</v>
      </c>
      <c r="T242" s="46" t="e">
        <f t="shared" si="71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72"/>
        <v>https://d0f6bd738d7f1b3e5a7ca70fe4ff75f0.us-east-1.aws.found.io/app/kibana#/discover/Steve-Slow-Train-Analysis-(2080s-and-2083s)?_g=(refreshInterval:(display:Off,pause:!f,section:0,value:0),time:(from:'2017-03-21T02:31:12-0600',mode:absolute,to:'2017-03-21T06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2" s="187" t="str">
        <f t="shared" si="73"/>
        <v>N</v>
      </c>
      <c r="X242" s="187" t="e">
        <f t="shared" si="89"/>
        <v>#VALUE!</v>
      </c>
      <c r="Y242" s="62">
        <f t="shared" si="91"/>
        <v>10.6965</v>
      </c>
      <c r="Z242" s="62">
        <f t="shared" si="90"/>
        <v>1.0275000000000001</v>
      </c>
      <c r="AA242" s="62">
        <f t="shared" si="75"/>
        <v>9.6690000000000005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76"/>
        <v>81-20</v>
      </c>
      <c r="AE242" s="85" t="str">
        <f t="shared" si="77"/>
        <v>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 &amp; aws s3 cp s3://rtdc.mdm.uploadarchive.raw/RTDC4064/ "%USERPROFILE%\AppData\Local\Temp\OnboardLogs"\RTDC4064\2017-03-22 --exclude "*" --recursive --include "*20170322*" &amp; "%USERPROFILE%\Documents\GitHub\mrs-test-scripts\Headless Mode &amp; Sideloading\WalkAndUnGZ.bat" "%USERPROFILE%\AppData\Local\Temp\OnboardLogs"\RTDC4064\2017-03-22</v>
      </c>
      <c r="AF242" s="82" t="str">
        <f t="shared" si="78"/>
        <v>"C:\Program Files (x86)\AstroGrep\AstroGrep.exe" /e /r /s /spath="%USERPROFILE%\AppData\Local\Temp\OnboardLogs" /stypes="app*4064*20170321*" /stext=" 11:.+((SYSTEM_STATE.+slice.+state.+changed )|(ment ac)|(multiple cpu faults)|(system.+state.+changed )|(\[timeout)|(PRM\|1\|D)|(kpr)|(kdp)|(\|lc)|(penalty))"</v>
      </c>
      <c r="AG242" s="1" t="str">
        <f t="shared" si="79"/>
        <v>Other</v>
      </c>
      <c r="AH242" s="86" t="str">
        <f t="shared" si="82"/>
        <v>"%USERPROFILE%\Documents\GitHub\eaglep3\Utilities\RefineRTDCRunTimes.py" --tripid 81-20 --locoid 4064 --swversion DE.1.0.9.0 --startMP 204:106965 --initTime 2017-03-21T03:31:12 --startdatetime 2017-03-21T04:37:59 --delay 1 --endMP 204:10275 --enddatetime 2017-03-21T05:05:22 --enforcementcount 0 &gt;&gt;C:\Users\stu\Documents\GitHub\eaglep3-reporting\EC\2017-03-21-refined-times.txt</v>
      </c>
      <c r="AI242" s="108" t="str">
        <f t="shared" si="83"/>
        <v>echo {"issue":{"subject":"","project_id":79,"tracker_id":40,"status_id":1,"priority_id":2,"assigned_to_id":23,"start_date":"2017-03-21","description":"","custom_fields":[{"id":1,"name":"Subdivision","value":"Other"},{"id":4,"name":"Milepost","value":"1.0275"},{"id":17,"name":"Train ID","value":"81-20"},{"id":16,"name":"Locomotive ID","value":"4064"},{"id":130,"name":"Impact","value":""},{"id":150,"name":"Time of Event (Mountain Time)","value":"05:05:22"},{"id":151,"name":"Denver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84"/>
        <v>start /low /b %USERPROFILE%\Documents\GitHub\eaglep3\Utilities\DownloadLogsFromS3.py --loco 4064 --day 2017-03-21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2017-03-21-UncaughtWiMAX.txt</v>
      </c>
    </row>
    <row r="243" spans="1:40" x14ac:dyDescent="0.25">
      <c r="A243" s="33" t="s">
        <v>558</v>
      </c>
      <c r="B243" s="7">
        <v>4064</v>
      </c>
      <c r="C243" s="21" t="s">
        <v>221</v>
      </c>
      <c r="D243" s="21" t="s">
        <v>978</v>
      </c>
      <c r="E243" s="13">
        <v>42815.191284722219</v>
      </c>
      <c r="F243" s="13">
        <v>25568.708333333332</v>
      </c>
      <c r="G243" s="7">
        <v>1</v>
      </c>
      <c r="H243" s="21" t="s">
        <v>979</v>
      </c>
      <c r="I243" s="13">
        <v>25568.708333333332</v>
      </c>
      <c r="J243" s="7">
        <v>0</v>
      </c>
      <c r="K243" s="98" t="str">
        <f t="shared" si="69"/>
        <v>4063/4064</v>
      </c>
      <c r="L243" s="21" t="str">
        <f>VLOOKUP(A243,'Trips&amp;Operators'!$C$1:$G$99999,5,FALSE)</f>
        <v>YANG JAN</v>
      </c>
      <c r="M243" s="6">
        <f t="shared" si="70"/>
        <v>0</v>
      </c>
      <c r="N243" s="7">
        <f t="shared" si="80"/>
        <v>0</v>
      </c>
      <c r="O243" s="7"/>
      <c r="P243" s="7"/>
      <c r="Q243" s="22"/>
      <c r="R243" s="22"/>
      <c r="S243" s="31">
        <f t="shared" si="81"/>
        <v>0</v>
      </c>
      <c r="T243" s="46" t="e">
        <f t="shared" si="71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72"/>
        <v>https://d0f6bd738d7f1b3e5a7ca70fe4ff75f0.us-east-1.aws.found.io/app/kibana#/discover/Steve-Slow-Train-Analysis-(2080s-and-2083s)?_g=(refreshInterval:(display:Off,pause:!f,section:0,value:0),time:(from:'2017-03-21T03:35:27-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3" s="187" t="str">
        <f t="shared" si="73"/>
        <v>N</v>
      </c>
      <c r="X243" s="187" t="e">
        <f t="shared" si="89"/>
        <v>#VALUE!</v>
      </c>
      <c r="Y243" s="62">
        <f t="shared" si="91"/>
        <v>10.6999</v>
      </c>
      <c r="Z243" s="62">
        <f t="shared" si="90"/>
        <v>9.2999999999999999E-2</v>
      </c>
      <c r="AA243" s="62">
        <f t="shared" si="75"/>
        <v>10.6069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76"/>
        <v>81-20</v>
      </c>
      <c r="AE243" s="85" t="str">
        <f t="shared" si="77"/>
        <v>aws s3 cp s3://rtdc.mdm.uploadarchive.raw/RTDC4064/ "%USERPROFILE%\AppData\Local\Temp\OnboardLogs"\RTDC4064\1969-12-31 --exclude "*" --recursive --include "*19691231*" &amp; "%USERPROFILE%\Documents\GitHub\mrs-test-scripts\Headless Mode &amp; Sideloading\WalkAndUnGZ.bat" "%USERPROFILE%\AppData\Local\Temp\OnboardLogs"\RTDC4064\1969-12-31 &amp; aws s3 cp s3://rtdc.mdm.uploadarchive.raw/RTDC4064/ "%USERPROFILE%\AppData\Local\Temp\OnboardLogs"\RTDC4064\1970-01-01 --exclude "*" --recursive --include "*19700101*" &amp; "%USERPROFILE%\Documents\GitHub\mrs-test-scripts\Headless Mode &amp; Sideloading\WalkAndUnGZ.bat" "%USERPROFILE%\AppData\Local\Temp\OnboardLogs"\RTDC4064\1970-01-01</v>
      </c>
      <c r="AF243" s="82" t="str">
        <f t="shared" si="78"/>
        <v>"C:\Program Files (x86)\AstroGrep\AstroGrep.exe" /e /r /s /spath="%USERPROFILE%\AppData\Local\Temp\OnboardLogs" /stypes="app*4064*19691231*" /stext=" 23:.+((SYSTEM_STATE.+slice.+state.+changed )|(ment ac)|(multiple cpu faults)|(system.+state.+changed )|(\[timeout)|(PRM\|1\|D)|(kpr)|(kdp)|(\|lc)|(penalty))"</v>
      </c>
      <c r="AG243" s="1" t="str">
        <f t="shared" si="79"/>
        <v>Other</v>
      </c>
      <c r="AH243" s="86" t="str">
        <f t="shared" si="82"/>
        <v>"%USERPROFILE%\Documents\GitHub\eaglep3\Utilities\RefineRTDCRunTimes.py" --tripid 81-20 --locoid 4064 --swversion DE.1.0.9.0 --startMP 204:106999 --initTime 2017-03-21T04:35:27 --startdatetime 1969-12-31T17:00:00 --delay 1 --endMP 204:930 --enddatetime 1969-12-31T17:00:00 --enforcementcount 0 &gt;&gt;C:\Users\stu\Documents\GitHub\eaglep3-reporting\EC\2017-03-21-refined-times.txt</v>
      </c>
      <c r="AI243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{"issue":{"subject":"","project_id":79,"tracker_id":40,"status_id":1,"priority_id":2,"assigned_to_id":23,"start_date":"1969-12-31","description":"","custom_fields":[{"id":1,"name":"Subdivision","value":"Other"},{"id":4,"name":"Milepost","value":"0.093"},{"id":17,"name":"Train ID","value":"81-20"},{"id":16,"name":"Locomotive ID","value":"4064"},{"id":130,"name":"Impact","value":""},{"id":150,"name":"Time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84"/>
        <v>start /low /b %USERPROFILE%\Documents\GitHub\eaglep3\Utilities\DownloadLogsFromS3.py --loco 4064 --day 1969-12-31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"%USERPROFILE%\AppData\Local\Temp\OnboardLogs"\RTDC4064\*4064*19691231* | grep -SE "(Enforcement Action)|(\[TIMEOUT)|(CHR.+\|PRM\|1\|D.+(SWITCH|SIGNAL).+UNKNOWN)" - &gt;&gt; 2017-03-21-UncaughtWiMAX.txt</v>
      </c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69"/>
  <sortState ref="A13:AH200">
    <sortCondition ref="AG13:AG200"/>
    <sortCondition ref="AD13:AD200"/>
  </sortState>
  <mergeCells count="1">
    <mergeCell ref="A11:P11"/>
  </mergeCells>
  <conditionalFormatting sqref="W11:W12 W276:X1048576 W13:X243">
    <cfRule type="cellIs" dxfId="10" priority="370" operator="equal">
      <formula>"Y"</formula>
    </cfRule>
  </conditionalFormatting>
  <conditionalFormatting sqref="X276:X1048576 X13:X243">
    <cfRule type="cellIs" dxfId="9" priority="353" operator="greaterThan">
      <formula>1</formula>
    </cfRule>
  </conditionalFormatting>
  <conditionalFormatting sqref="X276:X1048576 X12:X243">
    <cfRule type="cellIs" dxfId="8" priority="350" operator="equal">
      <formula>0</formula>
    </cfRule>
  </conditionalFormatting>
  <conditionalFormatting sqref="A13:S243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8"/>
  <sheetViews>
    <sheetView tabSelected="1" topLeftCell="A23" workbookViewId="0">
      <selection activeCell="P30" sqref="A30:P4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>
        <v>2</v>
      </c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COUNTIF($O$7:$O$308,"=Y")</f>
        <v>4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COUNTA($O$7:$O$308)-O2</f>
        <v>46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- 2017-03-21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42815.400972222225</v>
      </c>
      <c r="B7" s="30" t="s">
        <v>400</v>
      </c>
      <c r="C7" s="30" t="s">
        <v>607</v>
      </c>
      <c r="D7" s="30" t="s">
        <v>49</v>
      </c>
      <c r="E7" s="30" t="s">
        <v>193</v>
      </c>
      <c r="F7" s="43">
        <v>0</v>
      </c>
      <c r="G7" s="43">
        <v>196</v>
      </c>
      <c r="H7" s="43">
        <v>26889</v>
      </c>
      <c r="I7" s="43">
        <v>27069</v>
      </c>
      <c r="J7" s="30" t="s">
        <v>194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-8.4480000000000004</v>
      </c>
      <c r="N7" s="145" t="str">
        <f>VLOOKUP(C7,'Trips&amp;Operators'!$C$1:$G$99999,5,FALSE)</f>
        <v>STARKS ANGELINA</v>
      </c>
      <c r="O7" s="194" t="s">
        <v>185</v>
      </c>
      <c r="P7" s="146" t="s">
        <v>533</v>
      </c>
      <c r="Q7" s="30"/>
      <c r="R7" s="89" t="str">
        <f>IF(VLOOKUP(C7,'Train Runs'!$A$13:$AE$9945,1,1)=C7,VLOOKUP(C7,'Train Runs'!$A$13:$AE$9945,31,1),NA())</f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S7" s="92" t="str">
        <f>VLOOKUP(C7,'Train Runs'!$A$13:$AE$9945,22,0)</f>
        <v>https://d0f6bd738d7f1b3e5a7ca70fe4ff75f0.us-east-1.aws.found.io/app/kibana#/discover/Steve-Slow-Train-Analysis-(2080s-and-2083s)?_g=(refreshInterval:(display:Off,pause:!f,section:0,value:0),time:(from:'2017-03-21T08:26:02-0600',mode:absolute,to:'2017-03-21T12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/stypes="*4031*201703211*" /stext=" 15:.+((SYSTEM_STATE.+slice.+state.+changed )|(ment ac)|(multiple cpu faults)|(system.+state.+changed )|(\[timeout)|(PRM\|1\|D)|(kpr)|(kdp)|(\|lc)|(penalty))"</v>
      </c>
      <c r="U7" s="9" t="str">
        <f t="shared" ref="U7:U38" si="2">MID(B7,13,4)</f>
        <v>4031</v>
      </c>
      <c r="V7" s="32">
        <f t="shared" ref="V7:V38" si="3">A7-utc_offset/24</f>
        <v>42815.650972222225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arrival","project_id":79,"tracker_id":40,"status_id":1,"priority_id":2,"assigned_to_id":23,"start_date":"2017-03-21","description":"","custom_fields":[{"id":1,"name":"Subdivision","value":"EC"},{"id":4,"name":"Milepost","value":"2.7053"},{"id":17,"name":"Train ID","value":"147-21"},{"id":16,"name":"Locomotive ID","value":"4031"},{"id":130,"name":"Impact","value":""},{"id":150,"name":"Time of Event (Mountain Time)","value":"09:37:24"},{"id":151,"name":"Denver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"%USERPROFILE%\AppData\Local\Temp\OnboardLogs"\RTDC4031\*4031*201703211*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"%USERPROFILE%\AppData\Local\Temp\OnboardLogs"\RTDC4031\*4031*201703211* &gt;&gt; 2017-03-21-SliceDisagreementCheck.txt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4031 --day 2017-03-21</v>
      </c>
    </row>
    <row r="8" spans="1:32" s="1" customFormat="1" x14ac:dyDescent="0.25">
      <c r="A8" s="32">
        <v>42815.442627314813</v>
      </c>
      <c r="B8" s="30" t="s">
        <v>602</v>
      </c>
      <c r="C8" s="30" t="s">
        <v>611</v>
      </c>
      <c r="D8" s="30" t="s">
        <v>49</v>
      </c>
      <c r="E8" s="30" t="s">
        <v>193</v>
      </c>
      <c r="F8" s="43">
        <v>0</v>
      </c>
      <c r="G8" s="43">
        <v>199</v>
      </c>
      <c r="H8" s="43">
        <v>26954</v>
      </c>
      <c r="I8" s="43">
        <v>27221</v>
      </c>
      <c r="J8" s="30" t="s">
        <v>194</v>
      </c>
      <c r="K8" s="43">
        <v>27053</v>
      </c>
      <c r="L8" s="143" t="s">
        <v>50</v>
      </c>
      <c r="M8" s="144">
        <f t="shared" si="0"/>
        <v>-88.703999999999994</v>
      </c>
      <c r="N8" s="145" t="str">
        <f>VLOOKUP(C8,'Trips&amp;Operators'!$C$1:$G$99999,5,FALSE)</f>
        <v>YORK EDGAR</v>
      </c>
      <c r="O8" s="194" t="s">
        <v>185</v>
      </c>
      <c r="P8" s="146" t="s">
        <v>533</v>
      </c>
      <c r="Q8" s="30"/>
      <c r="R8" s="89" t="str">
        <f>IF(VLOOKUP(C8,'Train Runs'!$A$13:$AE$9945,1,1)=C8,VLOOKUP(C8,'Train Runs'!$A$13:$AE$9945,31,1),NA())</f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S8" s="92" t="str">
        <f>VLOOKUP(C8,'Train Runs'!$A$13:$AE$9945,22,0)</f>
        <v>https://d0f6bd738d7f1b3e5a7ca70fe4ff75f0.us-east-1.aws.found.io/app/kibana#/discover/Steve-Slow-Train-Analysis-(2080s-and-2083s)?_g=(refreshInterval:(display:Off,pause:!f,section:0,value:0),time:(from:'2017-03-21T09:26:43-0600',mode:absolute,to:'2017-03-21T12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8" s="94" t="str">
        <f t="shared" si="1"/>
        <v>"C:\Program Files (x86)\AstroGrep\AstroGrep.exe" /e /r /s /spath="%USERPROFILE%\AppData\Local\Temp\OnboardLogs" /stypes="*4024*201703211*" /stext=" 16:.+((SYSTEM_STATE.+slice.+state.+changed )|(ment ac)|(multiple cpu faults)|(system.+state.+changed )|(\[timeout)|(PRM\|1\|D)|(kpr)|(kdp)|(\|lc)|(penalty))"</v>
      </c>
      <c r="U8" s="9" t="str">
        <f t="shared" si="2"/>
        <v>4024</v>
      </c>
      <c r="V8" s="32">
        <f t="shared" si="3"/>
        <v>42815.692627314813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arrival","project_id":79,"tracker_id":40,"status_id":1,"priority_id":2,"assigned_to_id":23,"start_date":"2017-03-21","description":"","custom_fields":[{"id":1,"name":"Subdivision","value":"EC"},{"id":4,"name":"Milepost","value":"2.7053"},{"id":17,"name":"Train ID","value":"155-21"},{"id":16,"name":"Locomotive ID","value":"4024"},{"id":130,"name":"Impact","value":""},{"id":150,"name":"Time of Event (Mountain Time)","value":"10:37:23"},{"id":151,"name":"Denver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"%USERPROFILE%\AppData\Local\Temp\OnboardLogs"\RTDC4024\*4024*201703211*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"%USERPROFILE%\AppData\Local\Temp\OnboardLogs"\RTDC4024\*4024*201703211* &gt;&gt; 2017-03-21-SliceDisagreementCheck.txt</v>
      </c>
      <c r="AE8" s="157" t="str">
        <f t="shared" ref="AE8:AE56" si="9">"start /low /b "&amp;dls3logs&amp;" --loco "&amp;U8&amp;" --day "&amp;TEXT(V8,"YYYY-MM-DD")</f>
        <v>start /low /b %USERPROFILE%\Documents\GitHub\eaglep3\Utilities\DownloadLogsFromS3.py --loco 4024 --day 2017-03-21</v>
      </c>
    </row>
    <row r="9" spans="1:32" s="1" customFormat="1" x14ac:dyDescent="0.25">
      <c r="A9" s="32">
        <v>42815.473495370374</v>
      </c>
      <c r="B9" s="30" t="s">
        <v>400</v>
      </c>
      <c r="C9" s="30" t="s">
        <v>613</v>
      </c>
      <c r="D9" s="30" t="s">
        <v>49</v>
      </c>
      <c r="E9" s="30" t="s">
        <v>193</v>
      </c>
      <c r="F9" s="43">
        <v>0</v>
      </c>
      <c r="G9" s="43">
        <v>216</v>
      </c>
      <c r="H9" s="43">
        <v>26803</v>
      </c>
      <c r="I9" s="43">
        <v>27101</v>
      </c>
      <c r="J9" s="30" t="s">
        <v>194</v>
      </c>
      <c r="K9" s="43">
        <v>27053</v>
      </c>
      <c r="L9" s="143" t="s">
        <v>50</v>
      </c>
      <c r="M9" s="144">
        <f t="shared" si="0"/>
        <v>-25.344000000000001</v>
      </c>
      <c r="N9" s="145" t="str">
        <f>VLOOKUP(C9,'Trips&amp;Operators'!$C$1:$G$99999,5,FALSE)</f>
        <v>STEWART MICHAEL</v>
      </c>
      <c r="O9" s="194" t="s">
        <v>185</v>
      </c>
      <c r="P9" s="146" t="s">
        <v>533</v>
      </c>
      <c r="Q9" s="30"/>
      <c r="R9" s="89" t="str">
        <f>IF(VLOOKUP(C9,'Train Runs'!$A$13:$AE$9945,1,1)=C9,VLOOKUP(C9,'Train Runs'!$A$13:$AE$9945,31,1),NA())</f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S9" s="92" t="str">
        <f>VLOOKUP(C9,'Train Runs'!$A$13:$AE$9945,22,0)</f>
        <v>https://d0f6bd738d7f1b3e5a7ca70fe4ff75f0.us-east-1.aws.found.io/app/kibana#/discover/Steve-Slow-Train-Analysis-(2080s-and-2083s)?_g=(refreshInterval:(display:Off,pause:!f,section:0,value:0),time:(from:'2017-03-21T10:11:23-0600',mode:absolute,to:'2017-03-21T12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94" t="str">
        <f t="shared" si="1"/>
        <v>"C:\Program Files (x86)\AstroGrep\AstroGrep.exe" /e /r /s /spath="%USERPROFILE%\AppData\Local\Temp\OnboardLogs" /stypes="*4031*201703211*" /stext=" 17:.+((SYSTEM_STATE.+slice.+state.+changed )|(ment ac)|(multiple cpu faults)|(system.+state.+changed )|(\[timeout)|(PRM\|1\|D)|(kpr)|(kdp)|(\|lc)|(penalty))"</v>
      </c>
      <c r="U9" s="9" t="str">
        <f t="shared" si="2"/>
        <v>4031</v>
      </c>
      <c r="V9" s="32">
        <f t="shared" si="3"/>
        <v>42815.723495370374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arrival","project_id":79,"tracker_id":40,"status_id":1,"priority_id":2,"assigned_to_id":23,"start_date":"2017-03-21","description":"","custom_fields":[{"id":1,"name":"Subdivision","value":"EC"},{"id":4,"name":"Milepost","value":"2.7053"},{"id":17,"name":"Train ID","value":"161-21"},{"id":16,"name":"Locomotive ID","value":"4031"},{"id":130,"name":"Impact","value":""},{"id":150,"name":"Time of Event (Mountain Time)","value":"11:21:50"},{"id":151,"name":"Denver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"%USERPROFILE%\AppData\Local\Temp\OnboardLogs"\RTDC4031\*4031*201703211*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"%USERPROFILE%\AppData\Local\Temp\OnboardLogs"\RTDC4031\*4031*201703211* &gt;&gt; 2017-03-21-SliceDisagreementCheck.txt</v>
      </c>
      <c r="AE9" s="157" t="str">
        <f t="shared" si="9"/>
        <v>start /low /b %USERPROFILE%\Documents\GitHub\eaglep3\Utilities\DownloadLogsFromS3.py --loco 4031 --day 2017-03-21</v>
      </c>
    </row>
    <row r="10" spans="1:32" s="1" customFormat="1" x14ac:dyDescent="0.25">
      <c r="A10" s="32">
        <v>42815.817118055558</v>
      </c>
      <c r="B10" s="30" t="s">
        <v>425</v>
      </c>
      <c r="C10" s="30" t="s">
        <v>634</v>
      </c>
      <c r="D10" s="30" t="s">
        <v>49</v>
      </c>
      <c r="E10" s="30" t="s">
        <v>193</v>
      </c>
      <c r="F10" s="43">
        <v>0</v>
      </c>
      <c r="G10" s="43">
        <v>157</v>
      </c>
      <c r="H10" s="43">
        <v>26989</v>
      </c>
      <c r="I10" s="43">
        <v>27191</v>
      </c>
      <c r="J10" s="30" t="s">
        <v>194</v>
      </c>
      <c r="K10" s="43">
        <v>27053</v>
      </c>
      <c r="L10" s="143" t="s">
        <v>50</v>
      </c>
      <c r="M10" s="144">
        <f t="shared" si="0"/>
        <v>-72.864000000000004</v>
      </c>
      <c r="N10" s="145" t="str">
        <f>VLOOKUP(C10,'Trips&amp;Operators'!$C$1:$G$99999,5,FALSE)</f>
        <v>LALONDE GREGORY</v>
      </c>
      <c r="O10" s="194" t="s">
        <v>185</v>
      </c>
      <c r="P10" s="146" t="s">
        <v>533</v>
      </c>
      <c r="Q10" s="30"/>
      <c r="R10" s="89" t="str">
        <f>IF(VLOOKUP(C10,'Train Runs'!$A$13:$AE$9945,1,1)=C10,VLOOKUP(C10,'Train Runs'!$A$13:$AE$9945,31,1),NA())</f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S10" s="92" t="str">
        <f>VLOOKUP(C10,'Train Runs'!$A$13:$AE$9945,22,0)</f>
        <v>https://d0f6bd738d7f1b3e5a7ca70fe4ff75f0.us-east-1.aws.found.io/app/kibana#/discover/Steve-Slow-Train-Analysis-(2080s-and-2083s)?_g=(refreshInterval:(display:Off,pause:!f,section:0,value:0),time:(from:'2017-03-21T18:22:01-0600',mode:absolute,to:'2017-03-21T21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94" t="str">
        <f t="shared" si="1"/>
        <v>"C:\Program Files (x86)\AstroGrep\AstroGrep.exe" /e /r /s /spath="%USERPROFILE%\AppData\Local\Temp\OnboardLogs" /stypes="*4016*201703220*" /stext=" 01:.+((SYSTEM_STATE.+slice.+state.+changed )|(ment ac)|(multiple cpu faults)|(system.+state.+changed )|(\[timeout)|(PRM\|1\|D)|(kpr)|(kdp)|(\|lc)|(penalty))"</v>
      </c>
      <c r="U10" s="9" t="str">
        <f t="shared" si="2"/>
        <v>4016</v>
      </c>
      <c r="V10" s="32">
        <f t="shared" si="3"/>
        <v>42816.067118055558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arrival","project_id":79,"tracker_id":40,"status_id":1,"priority_id":2,"assigned_to_id":23,"start_date":"2017-03-21","description":"","custom_fields":[{"id":1,"name":"Subdivision","value":"EC"},{"id":4,"name":"Milepost","value":"2.7053"},{"id":17,"name":"Train ID","value":"223-21"},{"id":16,"name":"Locomotive ID","value":"4016"},{"id":130,"name":"Impact","value":""},{"id":150,"name":"Time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"%USERPROFILE%\AppData\Local\Temp\OnboardLogs"\RTDC4016\*4016*201703220*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"%USERPROFILE%\AppData\Local\Temp\OnboardLogs"\RTDC4016\*4016*201703220* &gt;&gt; 2017-03-21-SliceDisagreementCheck.txt</v>
      </c>
      <c r="AE10" s="157" t="str">
        <f t="shared" si="9"/>
        <v>start /low /b %USERPROFILE%\Documents\GitHub\eaglep3\Utilities\DownloadLogsFromS3.py --loco 4016 --day 2017-03-22</v>
      </c>
    </row>
    <row r="11" spans="1:32" s="1" customFormat="1" x14ac:dyDescent="0.25">
      <c r="A11" s="32">
        <v>42815.656111111108</v>
      </c>
      <c r="B11" s="30" t="s">
        <v>421</v>
      </c>
      <c r="C11" s="30" t="s">
        <v>622</v>
      </c>
      <c r="D11" s="30" t="s">
        <v>98</v>
      </c>
      <c r="E11" s="30" t="s">
        <v>193</v>
      </c>
      <c r="F11" s="43">
        <v>160</v>
      </c>
      <c r="G11" s="43">
        <v>225</v>
      </c>
      <c r="H11" s="43">
        <v>27100</v>
      </c>
      <c r="I11" s="43">
        <v>26528</v>
      </c>
      <c r="J11" s="30" t="s">
        <v>194</v>
      </c>
      <c r="K11" s="43">
        <v>27350</v>
      </c>
      <c r="L11" s="143" t="s">
        <v>51</v>
      </c>
      <c r="M11" s="144">
        <f t="shared" si="0"/>
        <v>-434.01600000000002</v>
      </c>
      <c r="N11" s="145" t="str">
        <f>VLOOKUP(C11,'Trips&amp;Operators'!$C$1:$G$99999,5,FALSE)</f>
        <v>STRICKLAND EVAN</v>
      </c>
      <c r="O11" s="194" t="s">
        <v>185</v>
      </c>
      <c r="P11" s="146" t="s">
        <v>533</v>
      </c>
      <c r="Q11" s="30"/>
      <c r="R11" s="89" t="str">
        <f>IF(VLOOKUP(C11,'Train Runs'!$A$13:$AE$9945,1,1)=C11,VLOOKUP(C11,'Train Runs'!$A$13:$AE$9945,31,1),NA())</f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S11" s="92" t="str">
        <f>VLOOKUP(C11,'Train Runs'!$A$13:$AE$9945,22,0)</f>
        <v>https://d0f6bd738d7f1b3e5a7ca70fe4ff75f0.us-east-1.aws.found.io/app/kibana#/discover/Steve-Slow-Train-Analysis-(2080s-and-2083s)?_g=(refreshInterval:(display:Off,pause:!f,section:0,value:0),time:(from:'2017-03-21T13:57:43-0600',mode:absolute,to:'2017-03-21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94" t="str">
        <f t="shared" si="1"/>
        <v>"C:\Program Files (x86)\AstroGrep\AstroGrep.exe" /e /r /s /spath="%USERPROFILE%\AppData\Local\Temp\OnboardLogs" /stypes="*4015*201703212*" /stext=" 21:.+((SYSTEM_STATE.+slice.+state.+changed )|(ment ac)|(multiple cpu faults)|(system.+state.+changed )|(\[timeout)|(PRM\|1\|D)|(kpr)|(kdp)|(\|lc)|(penalty))"</v>
      </c>
      <c r="U11" s="9" t="str">
        <f t="shared" si="2"/>
        <v>4015</v>
      </c>
      <c r="V11" s="32">
        <f t="shared" si="3"/>
        <v>42815.906111111108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arrival","project_id":79,"tracker_id":40,"status_id":1,"priority_id":2,"assigned_to_id":23,"start_date":"2017-03-21","description":"","custom_fields":[{"id":1,"name":"Subdivision","value":"EC"},{"id":4,"name":"Milepost","value":"2.735"},{"id":17,"name":"Train ID","value":"186-21"},{"id":16,"name":"Locomotive ID","value":"4015"},{"id":130,"name":"Impact","value":""},{"id":150,"name":"Time of Event (Mountain Time)","value":"15:44:48"},{"id":151,"name":"Denver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"%USERPROFILE%\AppData\Local\Temp\OnboardLogs"\RTDC4015\*4015*201703212*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"%USERPROFILE%\AppData\Local\Temp\OnboardLogs"\RTDC4015\*4015*201703212* &gt;&gt; 2017-03-21-SliceDisagreementCheck.txt</v>
      </c>
      <c r="AE11" s="157" t="str">
        <f t="shared" si="9"/>
        <v>start /low /b %USERPROFILE%\Documents\GitHub\eaglep3\Utilities\DownloadLogsFromS3.py --loco 4015 --day 2017-03-21</v>
      </c>
    </row>
    <row r="12" spans="1:32" s="1" customFormat="1" x14ac:dyDescent="0.25">
      <c r="A12" s="32">
        <v>42815.25917824074</v>
      </c>
      <c r="B12" s="30" t="s">
        <v>400</v>
      </c>
      <c r="C12" s="30" t="s">
        <v>595</v>
      </c>
      <c r="D12" s="30" t="s">
        <v>49</v>
      </c>
      <c r="E12" s="30" t="s">
        <v>193</v>
      </c>
      <c r="F12" s="43">
        <v>0</v>
      </c>
      <c r="G12" s="43">
        <v>366</v>
      </c>
      <c r="H12" s="43">
        <v>42320</v>
      </c>
      <c r="I12" s="43">
        <v>42943</v>
      </c>
      <c r="J12" s="30" t="s">
        <v>194</v>
      </c>
      <c r="K12" s="43">
        <v>42779</v>
      </c>
      <c r="L12" s="143" t="s">
        <v>50</v>
      </c>
      <c r="M12" s="144">
        <f t="shared" si="0"/>
        <v>-86.592000000000013</v>
      </c>
      <c r="N12" s="145" t="str">
        <f>VLOOKUP(C12,'Trips&amp;Operators'!$C$1:$G$99999,5,FALSE)</f>
        <v>YANAI IAN</v>
      </c>
      <c r="O12" s="194" t="s">
        <v>185</v>
      </c>
      <c r="P12" s="146" t="s">
        <v>533</v>
      </c>
      <c r="Q12" s="30"/>
      <c r="R12" s="89" t="str">
        <f>IF(VLOOKUP(C12,'Train Runs'!$A$13:$AE$9945,1,1)=C12,VLOOKUP(C12,'Train Runs'!$A$13:$AE$9945,31,1),NA())</f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S12" s="92" t="str">
        <f>VLOOKUP(C12,'Train Runs'!$A$13:$AE$9945,22,0)</f>
        <v>https://d0f6bd738d7f1b3e5a7ca70fe4ff75f0.us-east-1.aws.found.io/app/kibana#/discover/Steve-Slow-Train-Analysis-(2080s-and-2083s)?_g=(refreshInterval:(display:Off,pause:!f,section:0,value:0),time:(from:'2017-03-21T05:05:28-0600',mode:absolute,to:'2017-03-21T07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94" t="str">
        <f t="shared" si="1"/>
        <v>"C:\Program Files (x86)\AstroGrep\AstroGrep.exe" /e /r /s /spath="%USERPROFILE%\AppData\Local\Temp\OnboardLogs" /stypes="*4031*201703211*" /stext=" 12:.+((SYSTEM_STATE.+slice.+state.+changed )|(ment ac)|(multiple cpu faults)|(system.+state.+changed )|(\[timeout)|(PRM\|1\|D)|(kpr)|(kdp)|(\|lc)|(penalty))"</v>
      </c>
      <c r="U12" s="9" t="str">
        <f t="shared" si="2"/>
        <v>4031</v>
      </c>
      <c r="V12" s="32">
        <f t="shared" si="3"/>
        <v>42815.50917824074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arrival","project_id":79,"tracker_id":40,"status_id":1,"priority_id":2,"assigned_to_id":23,"start_date":"2017-03-21","description":"","custom_fields":[{"id":1,"name":"Subdivision","value":"EC"},{"id":4,"name":"Milepost","value":"4.2779"},{"id":17,"name":"Train ID","value":"119-21"},{"id":16,"name":"Locomotive ID","value":"4031"},{"id":130,"name":"Impact","value":""},{"id":150,"name":"Time of Event (Mountain Time)","value":"06:13:13"},{"id":151,"name":"Denver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"%USERPROFILE%\AppData\Local\Temp\OnboardLogs"\RTDC4031\*4031*201703211*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"%USERPROFILE%\AppData\Local\Temp\OnboardLogs"\RTDC4031\*4031*201703211* &gt;&gt; 2017-03-21-SliceDisagreementCheck.txt</v>
      </c>
      <c r="AE12" s="157" t="str">
        <f t="shared" si="9"/>
        <v>start /low /b %USERPROFILE%\Documents\GitHub\eaglep3\Utilities\DownloadLogsFromS3.py --loco 4031 --day 2017-03-21</v>
      </c>
    </row>
    <row r="13" spans="1:32" s="1" customFormat="1" x14ac:dyDescent="0.25">
      <c r="A13" s="32">
        <v>42815.677268518521</v>
      </c>
      <c r="B13" s="30" t="s">
        <v>425</v>
      </c>
      <c r="C13" s="30" t="s">
        <v>623</v>
      </c>
      <c r="D13" s="30" t="s">
        <v>49</v>
      </c>
      <c r="E13" s="30" t="s">
        <v>193</v>
      </c>
      <c r="F13" s="43">
        <v>0</v>
      </c>
      <c r="G13" s="43">
        <v>447</v>
      </c>
      <c r="H13" s="43">
        <v>42350</v>
      </c>
      <c r="I13" s="43">
        <v>43532</v>
      </c>
      <c r="J13" s="30" t="s">
        <v>194</v>
      </c>
      <c r="K13" s="43">
        <v>42779</v>
      </c>
      <c r="L13" s="143" t="s">
        <v>50</v>
      </c>
      <c r="M13" s="144">
        <f t="shared" si="0"/>
        <v>-397.584</v>
      </c>
      <c r="N13" s="145" t="str">
        <f>VLOOKUP(C13,'Trips&amp;Operators'!$C$1:$G$99999,5,FALSE)</f>
        <v>STRICKLAND EVAN</v>
      </c>
      <c r="O13" s="194" t="s">
        <v>185</v>
      </c>
      <c r="P13" s="146" t="s">
        <v>533</v>
      </c>
      <c r="Q13" s="30"/>
      <c r="R13" s="89" t="str">
        <f>IF(VLOOKUP(C13,'Train Runs'!$A$13:$AE$9945,1,1)=C13,VLOOKUP(C13,'Train Runs'!$A$13:$AE$9945,31,1),NA())</f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S13" s="92" t="str">
        <f>VLOOKUP(C13,'Train Runs'!$A$13:$AE$9945,22,0)</f>
        <v>https://d0f6bd738d7f1b3e5a7ca70fe4ff75f0.us-east-1.aws.found.io/app/kibana#/discover/Steve-Slow-Train-Analysis-(2080s-and-2083s)?_g=(refreshInterval:(display:Off,pause:!f,section:0,value:0),time:(from:'2017-03-21T14:54:26-0600',mode:absolute,to:'2017-03-21T17:46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94" t="str">
        <f t="shared" si="1"/>
        <v>"C:\Program Files (x86)\AstroGrep\AstroGrep.exe" /e /r /s /spath="%USERPROFILE%\AppData\Local\Temp\OnboardLogs" /stypes="*4016*201703212*" /stext=" 22:.+((SYSTEM_STATE.+slice.+state.+changed )|(ment ac)|(multiple cpu faults)|(system.+state.+changed )|(\[timeout)|(PRM\|1\|D)|(kpr)|(kdp)|(\|lc)|(penalty))"</v>
      </c>
      <c r="U13" s="9" t="str">
        <f t="shared" si="2"/>
        <v>4016</v>
      </c>
      <c r="V13" s="32">
        <f t="shared" si="3"/>
        <v>42815.927268518521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arrival","project_id":79,"tracker_id":40,"status_id":1,"priority_id":2,"assigned_to_id":23,"start_date":"2017-03-21","description":"","custom_fields":[{"id":1,"name":"Subdivision","value":"EC"},{"id":4,"name":"Milepost","value":"4.2779"},{"id":17,"name":"Train ID","value":"199-21"},{"id":16,"name":"Locomotive ID","value":"4016"},{"id":130,"name":"Impact","value":""},{"id":150,"name":"Time of Event (Mountain Time)","value":"16:15:16"},{"id":151,"name":"Denver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"%USERPROFILE%\AppData\Local\Temp\OnboardLogs"\RTDC4016\*4016*201703212*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"%USERPROFILE%\AppData\Local\Temp\OnboardLogs"\RTDC4016\*4016*201703212* &gt;&gt; 2017-03-21-SliceDisagreementCheck.txt</v>
      </c>
      <c r="AE13" s="157" t="str">
        <f t="shared" si="9"/>
        <v>start /low /b %USERPROFILE%\Documents\GitHub\eaglep3\Utilities\DownloadLogsFromS3.py --loco 4016 --day 2017-03-21</v>
      </c>
    </row>
    <row r="14" spans="1:32" x14ac:dyDescent="0.25">
      <c r="A14" s="32">
        <v>42815.778726851851</v>
      </c>
      <c r="B14" s="30" t="s">
        <v>631</v>
      </c>
      <c r="C14" s="30" t="s">
        <v>632</v>
      </c>
      <c r="D14" s="30" t="s">
        <v>49</v>
      </c>
      <c r="E14" s="30" t="s">
        <v>193</v>
      </c>
      <c r="F14" s="43">
        <v>0</v>
      </c>
      <c r="G14" s="43">
        <v>275</v>
      </c>
      <c r="H14" s="43">
        <v>42612</v>
      </c>
      <c r="I14" s="43">
        <v>43039</v>
      </c>
      <c r="J14" s="30" t="s">
        <v>194</v>
      </c>
      <c r="K14" s="43">
        <v>42779</v>
      </c>
      <c r="L14" s="143" t="s">
        <v>50</v>
      </c>
      <c r="M14" s="144">
        <f t="shared" si="0"/>
        <v>-137.28</v>
      </c>
      <c r="N14" s="145" t="str">
        <f>VLOOKUP(C14,'Trips&amp;Operators'!$C$1:$G$99999,5,FALSE)</f>
        <v>STAMBAUGH JAMES</v>
      </c>
      <c r="O14" s="194" t="s">
        <v>185</v>
      </c>
      <c r="P14" s="146" t="s">
        <v>533</v>
      </c>
      <c r="Q14" s="30"/>
      <c r="R14" s="89" t="str">
        <f>IF(VLOOKUP(C14,'Train Runs'!$A$13:$AE$9945,1,1)=C14,VLOOKUP(C14,'Train Runs'!$A$13:$AE$9945,31,1),NA())</f>
        <v>aws s3 cp s3://rtdc.mdm.uploadarchive.raw/RTDC4014/ "%USERPROFILE%\AppData\Local\Temp\OnboardLogs"\RTDC4014\2017-03-21 --exclude "*" --recursive --include "*20170321*" &amp; "%USERPROFILE%\Documents\GitHub\mrs-test-scripts\Headless Mode &amp; Sideloading\WalkAndUnGZ.bat" "%USERPROFILE%\AppData\Local\Temp\OnboardLogs"\RTDC4014\2017-03-21 &amp; 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</v>
      </c>
      <c r="S14" s="92" t="str">
        <f>VLOOKUP(C14,'Train Runs'!$A$13:$AE$9945,22,0)</f>
        <v>https://d0f6bd738d7f1b3e5a7ca70fe4ff75f0.us-east-1.aws.found.io/app/kibana#/discover/Steve-Slow-Train-Analysis-(2080s-and-2083s)?_g=(refreshInterval:(display:Off,pause:!f,section:0,value:0),time:(from:'2017-03-21T17:27:58-0600',mode:absolute,to:'2017-03-21T20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94" t="str">
        <f t="shared" si="1"/>
        <v>"C:\Program Files (x86)\AstroGrep\AstroGrep.exe" /e /r /s /spath="%USERPROFILE%\AppData\Local\Temp\OnboardLogs" /stypes="*4014*201703220*" /stext=" 00:.+((SYSTEM_STATE.+slice.+state.+changed )|(ment ac)|(multiple cpu faults)|(system.+state.+changed )|(\[timeout)|(PRM\|1\|D)|(kpr)|(kdp)|(\|lc)|(penalty))"</v>
      </c>
      <c r="U14" s="9" t="str">
        <f t="shared" si="2"/>
        <v>4014</v>
      </c>
      <c r="V14" s="32">
        <f t="shared" si="3"/>
        <v>42816.028726851851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arrival","project_id":79,"tracker_id":40,"status_id":1,"priority_id":2,"assigned_to_id":23,"start_date":"2017-03-21","description":"","custom_fields":[{"id":1,"name":"Subdivision","value":"EC"},{"id":4,"name":"Milepost","value":"4.2779"},{"id":17,"name":"Train ID","value":"219-21"},{"id":16,"name":"Locomotive ID","value":"4014"},{"id":130,"name":"Impact","value":""},{"id":150,"name":"Time of Event (Mountain Time)","value":"18:41:22"},{"id":151,"name":"Denver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"%USERPROFILE%\AppData\Local\Temp\OnboardLogs"\RTDC4014\*4014*201703220*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"%USERPROFILE%\AppData\Local\Temp\OnboardLogs"\RTDC4014\*4014*201703220* &gt;&gt; 2017-03-21-SliceDisagreementCheck.txt</v>
      </c>
      <c r="AE14" s="157" t="str">
        <f t="shared" si="9"/>
        <v>start /low /b %USERPROFILE%\Documents\GitHub\eaglep3\Utilities\DownloadLogsFromS3.py --loco 4014 --day 2017-03-22</v>
      </c>
      <c r="AF14" s="1"/>
    </row>
    <row r="15" spans="1:32" x14ac:dyDescent="0.25">
      <c r="A15" s="32">
        <v>42815.560057870367</v>
      </c>
      <c r="B15" s="30" t="s">
        <v>423</v>
      </c>
      <c r="C15" s="30" t="s">
        <v>617</v>
      </c>
      <c r="D15" s="30" t="s">
        <v>49</v>
      </c>
      <c r="E15" s="30" t="s">
        <v>193</v>
      </c>
      <c r="F15" s="43">
        <v>0</v>
      </c>
      <c r="G15" s="43">
        <v>240</v>
      </c>
      <c r="H15" s="43">
        <v>48946</v>
      </c>
      <c r="I15" s="43">
        <v>48567</v>
      </c>
      <c r="J15" s="30" t="s">
        <v>194</v>
      </c>
      <c r="K15" s="43">
        <v>48048</v>
      </c>
      <c r="L15" s="143" t="s">
        <v>51</v>
      </c>
      <c r="M15" s="144">
        <f t="shared" si="0"/>
        <v>274.03199999999998</v>
      </c>
      <c r="N15" s="145" t="str">
        <f>VLOOKUP(C15,'Trips&amp;Operators'!$C$1:$G$99999,5,FALSE)</f>
        <v>LOCKLEAR TRAVIS</v>
      </c>
      <c r="O15" s="194" t="s">
        <v>185</v>
      </c>
      <c r="P15" s="146" t="s">
        <v>1061</v>
      </c>
      <c r="Q15" s="30"/>
      <c r="R15" s="89" t="str">
        <f>IF(VLOOKUP(C15,'Train Runs'!$A$13:$AE$9945,1,1)=C15,VLOOKUP(C15,'Train Runs'!$A$13:$AE$9945,31,1),NA())</f>
        <v>aws s3 cp s3://rtdc.mdm.uploadarchive.raw/RTDC4043/ "%USERPROFILE%\AppData\Local\Temp\OnboardLogs"\RTDC4043\2017-03-21 --exclude "*" --recursive --include "*20170321*" &amp; "%USERPROFILE%\Documents\GitHub\mrs-test-scripts\Headless Mode &amp; Sideloading\WalkAndUnGZ.bat" "%USERPROFILE%\AppData\Local\Temp\OnboardLogs"\RTDC4043\2017-03-21 &amp; aws s3 cp s3://rtdc.mdm.uploadarchive.raw/RTDC4043/ "%USERPROFILE%\AppData\Local\Temp\OnboardLogs"\RTDC4043\2017-03-22 --exclude "*" --recursive --include "*20170322*" &amp; "%USERPROFILE%\Documents\GitHub\mrs-test-scripts\Headless Mode &amp; Sideloading\WalkAndUnGZ.bat" "%USERPROFILE%\AppData\Local\Temp\OnboardLogs"\RTDC4043\2017-03-22</v>
      </c>
      <c r="S15" s="92" t="str">
        <f>VLOOKUP(C15,'Train Runs'!$A$13:$AE$9945,22,0)</f>
        <v>https://d0f6bd738d7f1b3e5a7ca70fe4ff75f0.us-east-1.aws.found.io/app/kibana#/discover/Steve-Slow-Train-Analysis-(2080s-and-2083s)?_g=(refreshInterval:(display:Off,pause:!f,section:0,value:0),time:(from:'2017-03-21T11:52:37-0600',mode:absolute,to:'2017-03-21T14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94" t="str">
        <f t="shared" si="1"/>
        <v>"C:\Program Files (x86)\AstroGrep\AstroGrep.exe" /e /r /s /spath="%USERPROFILE%\AppData\Local\Temp\OnboardLogs" /stypes="*4043*201703211*" /stext=" 19:.+((SYSTEM_STATE.+slice.+state.+changed )|(ment ac)|(multiple cpu faults)|(system.+state.+changed )|(\[timeout)|(PRM\|1\|D)|(kpr)|(kdp)|(\|lc)|(penalty))"</v>
      </c>
      <c r="U15" s="9" t="str">
        <f t="shared" si="2"/>
        <v>4043</v>
      </c>
      <c r="V15" s="32">
        <f t="shared" si="3"/>
        <v>42815.810057870367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{"issue":{"subject":"Form C","project_id":79,"tracker_id":40,"status_id":1,"priority_id":2,"assigned_to_id":23,"start_date":"2017-03-21","description":"","custom_fields":[{"id":1,"name":"Subdivision","value":"EC"},{"id":4,"name":"Milepost","value":"4.8048"},{"id":17,"name":"Train ID","value":"168-21"},{"id":16,"name":"Locomotive ID","value":"4043"},{"id":130,"name":"Impact","value":""},{"id":150,"name":"Time of Event (Mountain Time)","value":"13:26:29"},{"id":151,"name":"Denver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"%USERPROFILE%\AppData\Local\Temp\OnboardLogs"\RTDC4043\*4043*201703211*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"%USERPROFILE%\AppData\Local\Temp\OnboardLogs"\RTDC4043\*4043*201703211* &gt;&gt; 2017-03-21-SliceDisagreementCheck.txt</v>
      </c>
      <c r="AE15" s="157" t="str">
        <f t="shared" si="9"/>
        <v>start /low /b %USERPROFILE%\Documents\GitHub\eaglep3\Utilities\DownloadLogsFromS3.py --loco 4043 --day 2017-03-21</v>
      </c>
      <c r="AF15" s="1"/>
    </row>
    <row r="16" spans="1:32" x14ac:dyDescent="0.25">
      <c r="A16" s="32">
        <v>42815.375243055554</v>
      </c>
      <c r="B16" s="30" t="s">
        <v>602</v>
      </c>
      <c r="C16" s="30" t="s">
        <v>603</v>
      </c>
      <c r="D16" s="30" t="s">
        <v>49</v>
      </c>
      <c r="E16" s="30" t="s">
        <v>193</v>
      </c>
      <c r="F16" s="43">
        <v>0</v>
      </c>
      <c r="G16" s="43">
        <v>208</v>
      </c>
      <c r="H16" s="43">
        <v>57298</v>
      </c>
      <c r="I16" s="43">
        <v>57621</v>
      </c>
      <c r="J16" s="30" t="s">
        <v>194</v>
      </c>
      <c r="K16" s="43">
        <v>58117</v>
      </c>
      <c r="L16" s="143" t="s">
        <v>50</v>
      </c>
      <c r="M16" s="144">
        <f t="shared" si="0"/>
        <v>261.88799999999998</v>
      </c>
      <c r="N16" s="145" t="str">
        <f>VLOOKUP(C16,'Trips&amp;Operators'!$C$1:$G$99999,5,FALSE)</f>
        <v>SANTIZO D. EDY</v>
      </c>
      <c r="O16" s="194" t="s">
        <v>185</v>
      </c>
      <c r="P16" s="146" t="s">
        <v>1061</v>
      </c>
      <c r="Q16" s="30"/>
      <c r="R16" s="89" t="str">
        <f>IF(VLOOKUP(C16,'Train Runs'!$A$13:$AE$9945,1,1)=C16,VLOOKUP(C16,'Train Runs'!$A$13:$AE$9945,31,1),NA())</f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S16" s="92" t="str">
        <f>VLOOKUP(C16,'Train Runs'!$A$13:$AE$9945,22,0)</f>
        <v>https://d0f6bd738d7f1b3e5a7ca70fe4ff75f0.us-east-1.aws.found.io/app/kibana#/discover/Steve-Slow-Train-Analysis-(2080s-and-2083s)?_g=(refreshInterval:(display:Off,pause:!f,section:0,value:0),time:(from:'2017-03-21T07:39:34-0600',mode:absolute,to:'2017-03-21T10:31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6" s="94" t="str">
        <f t="shared" si="1"/>
        <v>"C:\Program Files (x86)\AstroGrep\AstroGrep.exe" /e /r /s /spath="%USERPROFILE%\AppData\Local\Temp\OnboardLogs" /stypes="*4024*201703211*" /stext=" 15:.+((SYSTEM_STATE.+slice.+state.+changed )|(ment ac)|(multiple cpu faults)|(system.+state.+changed )|(\[timeout)|(PRM\|1\|D)|(kpr)|(kdp)|(\|lc)|(penalty))"</v>
      </c>
      <c r="U16" s="9" t="str">
        <f t="shared" si="2"/>
        <v>4024</v>
      </c>
      <c r="V16" s="32">
        <f t="shared" si="3"/>
        <v>42815.625243055554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{"issue":{"subject":"Form C","project_id":79,"tracker_id":40,"status_id":1,"priority_id":2,"assigned_to_id":23,"start_date":"2017-03-21","description":"","custom_fields":[{"id":1,"name":"Subdivision","value":"EC"},{"id":4,"name":"Milepost","value":"5.8117"},{"id":17,"name":"Train ID","value":"141-21"},{"id":16,"name":"Locomotive ID","value":"4024"},{"id":130,"name":"Impact","value":""},{"id":150,"name":"Time of Event (Mountain Time)","value":"09:00:21"},{"id":151,"name":"Denver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"%USERPROFILE%\AppData\Local\Temp\OnboardLogs"\RTDC4024\*4024*201703211*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"%USERPROFILE%\AppData\Local\Temp\OnboardLogs"\RTDC4024\*4024*201703211* &gt;&gt; 2017-03-21-SliceDisagreementCheck.txt</v>
      </c>
      <c r="AE16" s="157" t="str">
        <f t="shared" si="9"/>
        <v>start /low /b %USERPROFILE%\Documents\GitHub\eaglep3\Utilities\DownloadLogsFromS3.py --loco 4024 --day 2017-03-21</v>
      </c>
      <c r="AF16" s="1"/>
    </row>
    <row r="17" spans="1:32" x14ac:dyDescent="0.25">
      <c r="A17" s="32">
        <v>42815.40724537037</v>
      </c>
      <c r="B17" s="30" t="s">
        <v>400</v>
      </c>
      <c r="C17" s="30" t="s">
        <v>607</v>
      </c>
      <c r="D17" s="30" t="s">
        <v>49</v>
      </c>
      <c r="E17" s="30" t="s">
        <v>193</v>
      </c>
      <c r="F17" s="43">
        <v>0</v>
      </c>
      <c r="G17" s="43">
        <v>110</v>
      </c>
      <c r="H17" s="43">
        <v>57656</v>
      </c>
      <c r="I17" s="43">
        <v>57827</v>
      </c>
      <c r="J17" s="30" t="s">
        <v>194</v>
      </c>
      <c r="K17" s="43">
        <v>58117</v>
      </c>
      <c r="L17" s="143" t="s">
        <v>50</v>
      </c>
      <c r="M17" s="144">
        <f t="shared" si="0"/>
        <v>153.12</v>
      </c>
      <c r="N17" s="145" t="str">
        <f>VLOOKUP(C17,'Trips&amp;Operators'!$C$1:$G$99999,5,FALSE)</f>
        <v>STARKS ANGELINA</v>
      </c>
      <c r="O17" s="194" t="s">
        <v>185</v>
      </c>
      <c r="P17" s="146" t="s">
        <v>1061</v>
      </c>
      <c r="Q17" s="30"/>
      <c r="R17" s="89" t="str">
        <f>IF(VLOOKUP(C17,'Train Runs'!$A$13:$AE$9945,1,1)=C17,VLOOKUP(C17,'Train Runs'!$A$13:$AE$9945,31,1),NA())</f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S17" s="92" t="str">
        <f>VLOOKUP(C17,'Train Runs'!$A$13:$AE$9945,22,0)</f>
        <v>https://d0f6bd738d7f1b3e5a7ca70fe4ff75f0.us-east-1.aws.found.io/app/kibana#/discover/Steve-Slow-Train-Analysis-(2080s-and-2083s)?_g=(refreshInterval:(display:Off,pause:!f,section:0,value:0),time:(from:'2017-03-21T08:26:02-0600',mode:absolute,to:'2017-03-21T12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7" s="94" t="str">
        <f t="shared" si="1"/>
        <v>"C:\Program Files (x86)\AstroGrep\AstroGrep.exe" /e /r /s /spath="%USERPROFILE%\AppData\Local\Temp\OnboardLogs" /stypes="*4031*201703211*" /stext=" 15:.+((SYSTEM_STATE.+slice.+state.+changed )|(ment ac)|(multiple cpu faults)|(system.+state.+changed )|(\[timeout)|(PRM\|1\|D)|(kpr)|(kdp)|(\|lc)|(penalty))"</v>
      </c>
      <c r="U17" s="9" t="str">
        <f t="shared" si="2"/>
        <v>4031</v>
      </c>
      <c r="V17" s="32">
        <f t="shared" si="3"/>
        <v>42815.65724537037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{"issue":{"subject":"Form C","project_id":79,"tracker_id":40,"status_id":1,"priority_id":2,"assigned_to_id":23,"start_date":"2017-03-21","description":"","custom_fields":[{"id":1,"name":"Subdivision","value":"EC"},{"id":4,"name":"Milepost","value":"5.8117"},{"id":17,"name":"Train ID","value":"147-21"},{"id":16,"name":"Locomotive ID","value":"4031"},{"id":130,"name":"Impact","value":""},{"id":150,"name":"Time of Event (Mountain Time)","value":"09:46:26"},{"id":151,"name":"Denver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"%USERPROFILE%\AppData\Local\Temp\OnboardLogs"\RTDC4031\*4031*201703211*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"%USERPROFILE%\AppData\Local\Temp\OnboardLogs"\RTDC4031\*4031*201703211* &gt;&gt; 2017-03-21-SliceDisagreementCheck.txt</v>
      </c>
      <c r="AE17" s="157" t="str">
        <f t="shared" si="9"/>
        <v>start /low /b %USERPROFILE%\Documents\GitHub\eaglep3\Utilities\DownloadLogsFromS3.py --loco 4031 --day 2017-03-21</v>
      </c>
      <c r="AF17" s="1"/>
    </row>
    <row r="18" spans="1:32" ht="15" customHeight="1" x14ac:dyDescent="0.25">
      <c r="A18" s="32">
        <v>42815.381331018521</v>
      </c>
      <c r="B18" s="30" t="s">
        <v>399</v>
      </c>
      <c r="C18" s="30" t="s">
        <v>604</v>
      </c>
      <c r="D18" s="30" t="s">
        <v>49</v>
      </c>
      <c r="E18" s="30" t="s">
        <v>193</v>
      </c>
      <c r="F18" s="43">
        <v>0</v>
      </c>
      <c r="G18" s="43">
        <v>81</v>
      </c>
      <c r="H18" s="43">
        <v>58791</v>
      </c>
      <c r="I18" s="43">
        <v>58632</v>
      </c>
      <c r="J18" s="30" t="s">
        <v>194</v>
      </c>
      <c r="K18" s="43">
        <v>58301</v>
      </c>
      <c r="L18" s="143" t="s">
        <v>51</v>
      </c>
      <c r="M18" s="144">
        <f t="shared" si="0"/>
        <v>174.76799999999997</v>
      </c>
      <c r="N18" s="145" t="str">
        <f>VLOOKUP(C18,'Trips&amp;Operators'!$C$1:$G$99999,5,FALSE)</f>
        <v>STARKS ANGELINA</v>
      </c>
      <c r="O18" s="194" t="s">
        <v>185</v>
      </c>
      <c r="P18" s="146" t="s">
        <v>1061</v>
      </c>
      <c r="Q18" s="30"/>
      <c r="R18" s="89" t="str">
        <f>IF(VLOOKUP(C18,'Train Runs'!$A$13:$AE$9945,1,1)=C18,VLOOKUP(C18,'Train Runs'!$A$13:$AE$9945,31,1),NA())</f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S18" s="92" t="str">
        <f>VLOOKUP(C18,'Train Runs'!$A$13:$AE$9945,22,0)</f>
        <v>https://d0f6bd738d7f1b3e5a7ca70fe4ff75f0.us-east-1.aws.found.io/app/kibana#/discover/Steve-Slow-Train-Analysis-(2080s-and-2083s)?_g=(refreshInterval:(display:Off,pause:!f,section:0,value:0),time:(from:'2017-03-21T07:38:28-0600',mode:absolute,to:'2017-03-21T10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8" s="94" t="str">
        <f t="shared" si="1"/>
        <v>"C:\Program Files (x86)\AstroGrep\AstroGrep.exe" /e /r /s /spath="%USERPROFILE%\AppData\Local\Temp\OnboardLogs" /stypes="*4032*201703211*" /stext=" 15:.+((SYSTEM_STATE.+slice.+state.+changed )|(ment ac)|(multiple cpu faults)|(system.+state.+changed )|(\[timeout)|(PRM\|1\|D)|(kpr)|(kdp)|(\|lc)|(penalty))"</v>
      </c>
      <c r="U18" s="9" t="str">
        <f t="shared" si="2"/>
        <v>4032</v>
      </c>
      <c r="V18" s="32">
        <f t="shared" si="3"/>
        <v>42815.631331018521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{"issue":{"subject":"Form C","project_id":79,"tracker_id":40,"status_id":1,"priority_id":2,"assigned_to_id":23,"start_date":"2017-03-21","description":"","custom_fields":[{"id":1,"name":"Subdivision","value":"EC"},{"id":4,"name":"Milepost","value":"5.8301"},{"id":17,"name":"Train ID","value":"134-21"},{"id":16,"name":"Locomotive ID","value":"4032"},{"id":130,"name":"Impact","value":""},{"id":150,"name":"Time of Event (Mountain Time)","value":"09:09:07"},{"id":151,"name":"Denver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"%USERPROFILE%\AppData\Local\Temp\OnboardLogs"\RTDC4032\*4032*201703211*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"%USERPROFILE%\AppData\Local\Temp\OnboardLogs"\RTDC4032\*4032*201703211* &gt;&gt; 2017-03-21-SliceDisagreementCheck.txt</v>
      </c>
      <c r="AE18" s="157" t="str">
        <f t="shared" si="9"/>
        <v>start /low /b %USERPROFILE%\Documents\GitHub\eaglep3\Utilities\DownloadLogsFromS3.py --loco 4032 --day 2017-03-21</v>
      </c>
      <c r="AF18" s="1"/>
    </row>
    <row r="19" spans="1:32" x14ac:dyDescent="0.25">
      <c r="A19" s="32">
        <v>42815.391550925924</v>
      </c>
      <c r="B19" s="30" t="s">
        <v>605</v>
      </c>
      <c r="C19" s="30" t="s">
        <v>606</v>
      </c>
      <c r="D19" s="30" t="s">
        <v>49</v>
      </c>
      <c r="E19" s="30" t="s">
        <v>193</v>
      </c>
      <c r="F19" s="43">
        <v>0</v>
      </c>
      <c r="G19" s="43">
        <v>39</v>
      </c>
      <c r="H19" s="43">
        <v>58506</v>
      </c>
      <c r="I19" s="43">
        <v>58458</v>
      </c>
      <c r="J19" s="30" t="s">
        <v>194</v>
      </c>
      <c r="K19" s="43">
        <v>58301</v>
      </c>
      <c r="L19" s="143" t="s">
        <v>51</v>
      </c>
      <c r="M19" s="144">
        <f t="shared" si="0"/>
        <v>82.895999999999987</v>
      </c>
      <c r="N19" s="145" t="str">
        <f>VLOOKUP(C19,'Trips&amp;Operators'!$C$1:$G$99999,5,FALSE)</f>
        <v>GUZMAN DANNY</v>
      </c>
      <c r="O19" s="194" t="s">
        <v>185</v>
      </c>
      <c r="P19" s="146" t="s">
        <v>1061</v>
      </c>
      <c r="Q19" s="30"/>
      <c r="R19" s="89" t="str">
        <f>IF(VLOOKUP(C19,'Train Runs'!$A$13:$AE$9945,1,1)=C19,VLOOKUP(C19,'Train Runs'!$A$13:$AE$9945,31,1),NA())</f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S19" s="92" t="str">
        <f>VLOOKUP(C19,'Train Runs'!$A$13:$AE$9945,22,0)</f>
        <v>https://d0f6bd738d7f1b3e5a7ca70fe4ff75f0.us-east-1.aws.found.io/app/kibana#/discover/Steve-Slow-Train-Analysis-(2080s-and-2083s)?_g=(refreshInterval:(display:Off,pause:!f,section:0,value:0),time:(from:'2017-03-21T07:49:59-0600',mode:absolute,to:'2017-03-21T10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9" s="94" t="str">
        <f t="shared" si="1"/>
        <v>"C:\Program Files (x86)\AstroGrep\AstroGrep.exe" /e /r /s /spath="%USERPROFILE%\AppData\Local\Temp\OnboardLogs" /stypes="*4052*201703211*" /stext=" 15:.+((SYSTEM_STATE.+slice.+state.+changed )|(ment ac)|(multiple cpu faults)|(system.+state.+changed )|(\[timeout)|(PRM\|1\|D)|(kpr)|(kdp)|(\|lc)|(penalty))"</v>
      </c>
      <c r="U19" s="9" t="str">
        <f t="shared" si="2"/>
        <v>4052</v>
      </c>
      <c r="V19" s="32">
        <f t="shared" si="3"/>
        <v>42815.641550925924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{"issue":{"subject":"Form C","project_id":79,"tracker_id":40,"status_id":1,"priority_id":2,"assigned_to_id":23,"start_date":"2017-03-21","description":"","custom_fields":[{"id":1,"name":"Subdivision","value":"EC"},{"id":4,"name":"Milepost","value":"5.8301"},{"id":17,"name":"Train ID","value":"136-21"},{"id":16,"name":"Locomotive ID","value":"4052"},{"id":130,"name":"Impact","value":""},{"id":150,"name":"Time of Event (Mountain Time)","value":"09:23:50"},{"id":151,"name":"Denver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"%USERPROFILE%\AppData\Local\Temp\OnboardLogs"\RTDC4052\*4052*201703211*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"%USERPROFILE%\AppData\Local\Temp\OnboardLogs"\RTDC4052\*4052*201703211* &gt;&gt; 2017-03-21-SliceDisagreementCheck.txt</v>
      </c>
      <c r="AE19" s="157" t="str">
        <f t="shared" si="9"/>
        <v>start /low /b %USERPROFILE%\Documents\GitHub\eaglep3\Utilities\DownloadLogsFromS3.py --loco 4052 --day 2017-03-21</v>
      </c>
      <c r="AF19" s="1"/>
    </row>
    <row r="20" spans="1:32" x14ac:dyDescent="0.25">
      <c r="A20" s="32">
        <v>42815.2965625</v>
      </c>
      <c r="B20" s="30" t="s">
        <v>422</v>
      </c>
      <c r="C20" s="30" t="s">
        <v>598</v>
      </c>
      <c r="D20" s="30" t="s">
        <v>49</v>
      </c>
      <c r="E20" s="30" t="s">
        <v>193</v>
      </c>
      <c r="F20" s="43">
        <v>460</v>
      </c>
      <c r="G20" s="43">
        <v>525</v>
      </c>
      <c r="H20" s="43">
        <v>62078</v>
      </c>
      <c r="I20" s="43">
        <v>63829</v>
      </c>
      <c r="J20" s="30" t="s">
        <v>194</v>
      </c>
      <c r="K20" s="43">
        <v>63069</v>
      </c>
      <c r="L20" s="143" t="s">
        <v>50</v>
      </c>
      <c r="M20" s="144">
        <f t="shared" si="0"/>
        <v>-401.28</v>
      </c>
      <c r="N20" s="145" t="str">
        <f>VLOOKUP(C20,'Trips&amp;Operators'!$C$1:$G$99999,5,FALSE)</f>
        <v>WILLIAMS DONTE</v>
      </c>
      <c r="O20" s="194" t="s">
        <v>185</v>
      </c>
      <c r="P20" s="146" t="s">
        <v>533</v>
      </c>
      <c r="Q20" s="30"/>
      <c r="R20" s="89" t="str">
        <f>IF(VLOOKUP(C20,'Train Runs'!$A$13:$AE$9945,1,1)=C20,VLOOKUP(C20,'Train Runs'!$A$13:$AE$9945,31,1),NA())</f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S20" s="92" t="str">
        <f>VLOOKUP(C20,'Train Runs'!$A$13:$AE$9945,22,0)</f>
        <v>https://d0f6bd738d7f1b3e5a7ca70fe4ff75f0.us-east-1.aws.found.io/app/kibana#/discover/Steve-Slow-Train-Analysis-(2080s-and-2083s)?_g=(refreshInterval:(display:Off,pause:!f,section:0,value:0),time:(from:'2017-03-21T05:56:00-0600',mode:absolute,to:'2017-03-21T08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0" s="94" t="str">
        <f t="shared" si="1"/>
        <v>"C:\Program Files (x86)\AstroGrep\AstroGrep.exe" /e /r /s /spath="%USERPROFILE%\AppData\Local\Temp\OnboardLogs" /stypes="*4044*201703211*" /stext=" 13:.+((SYSTEM_STATE.+slice.+state.+changed )|(ment ac)|(multiple cpu faults)|(system.+state.+changed )|(\[timeout)|(PRM\|1\|D)|(kpr)|(kdp)|(\|lc)|(penalty))"</v>
      </c>
      <c r="U20" s="9" t="str">
        <f t="shared" si="2"/>
        <v>4044</v>
      </c>
      <c r="V20" s="32">
        <f t="shared" si="3"/>
        <v>42815.5465625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arrival","project_id":79,"tracker_id":40,"status_id":1,"priority_id":2,"assigned_to_id":23,"start_date":"2017-03-21","description":"","custom_fields":[{"id":1,"name":"Subdivision","value":"EC"},{"id":4,"name":"Milepost","value":"6.3069"},{"id":17,"name":"Train ID","value":"125-21"},{"id":16,"name":"Locomotive ID","value":"4044"},{"id":130,"name":"Impact","value":""},{"id":150,"name":"Time of Event (Mountain Time)","value":"07:07:03"},{"id":151,"name":"Denver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"%USERPROFILE%\AppData\Local\Temp\OnboardLogs"\RTDC4044\*4044*201703211*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"%USERPROFILE%\AppData\Local\Temp\OnboardLogs"\RTDC4044\*4044*201703211* &gt;&gt; 2017-03-21-SliceDisagreementCheck.txt</v>
      </c>
      <c r="AE20" s="157" t="str">
        <f t="shared" si="9"/>
        <v>start /low /b %USERPROFILE%\Documents\GitHub\eaglep3\Utilities\DownloadLogsFromS3.py --loco 4044 --day 2017-03-21</v>
      </c>
      <c r="AF20" s="1"/>
    </row>
    <row r="21" spans="1:32" x14ac:dyDescent="0.25">
      <c r="A21" s="32">
        <v>42815.458784722221</v>
      </c>
      <c r="B21" s="30" t="s">
        <v>605</v>
      </c>
      <c r="C21" s="30" t="s">
        <v>612</v>
      </c>
      <c r="D21" s="30" t="s">
        <v>49</v>
      </c>
      <c r="E21" s="30" t="s">
        <v>193</v>
      </c>
      <c r="F21" s="43">
        <v>0</v>
      </c>
      <c r="G21" s="43">
        <v>414</v>
      </c>
      <c r="H21" s="43">
        <v>109413</v>
      </c>
      <c r="I21" s="43">
        <v>108529</v>
      </c>
      <c r="J21" s="30" t="s">
        <v>194</v>
      </c>
      <c r="K21" s="43">
        <v>109135</v>
      </c>
      <c r="L21" s="143" t="s">
        <v>51</v>
      </c>
      <c r="M21" s="144">
        <f t="shared" si="0"/>
        <v>-319.96800000000002</v>
      </c>
      <c r="N21" s="145" t="str">
        <f>VLOOKUP(C21,'Trips&amp;Operators'!$C$1:$G$99999,5,FALSE)</f>
        <v>GUZMAN DANNY</v>
      </c>
      <c r="O21" s="194" t="s">
        <v>185</v>
      </c>
      <c r="P21" s="146" t="s">
        <v>533</v>
      </c>
      <c r="Q21" s="30"/>
      <c r="R21" s="89" t="str">
        <f>IF(VLOOKUP(C21,'Train Runs'!$A$13:$AE$9945,1,1)=C21,VLOOKUP(C21,'Train Runs'!$A$13:$AE$9945,31,1),NA())</f>
        <v>aws s3 cp s3://rtdc.mdm.uploadarchive.raw/RTDC4052/ "%USERPROFILE%\AppData\Local\Temp\OnboardLogs"\RTDC4052\2017-03-21 --exclude "*" --recursive --include "*20170321*" &amp; "%USERPROFILE%\Documents\GitHub\mrs-test-scripts\Headless Mode &amp; Sideloading\WalkAndUnGZ.bat" "%USERPROFILE%\AppData\Local\Temp\OnboardLogs"\RTDC4052\2017-03-21 &amp; aws s3 cp s3://rtdc.mdm.uploadarchive.raw/RTDC4052/ "%USERPROFILE%\AppData\Local\Temp\OnboardLogs"\RTDC4052\2017-03-22 --exclude "*" --recursive --include "*20170322*" &amp; "%USERPROFILE%\Documents\GitHub\mrs-test-scripts\Headless Mode &amp; Sideloading\WalkAndUnGZ.bat" "%USERPROFILE%\AppData\Local\Temp\OnboardLogs"\RTDC4052\2017-03-22</v>
      </c>
      <c r="S21" s="92" t="str">
        <f>VLOOKUP(C21,'Train Runs'!$A$13:$AE$9945,22,0)</f>
        <v>https://d0f6bd738d7f1b3e5a7ca70fe4ff75f0.us-east-1.aws.found.io/app/kibana#/discover/Steve-Slow-Train-Analysis-(2080s-and-2083s)?_g=(refreshInterval:(display:Off,pause:!f,section:0,value:0),time:(from:'2017-03-21T09:33:24-0600',mode:absolute,to:'2017-03-21T12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94" t="str">
        <f t="shared" si="1"/>
        <v>"C:\Program Files (x86)\AstroGrep\AstroGrep.exe" /e /r /s /spath="%USERPROFILE%\AppData\Local\Temp\OnboardLogs" /stypes="*4052*201703211*" /stext=" 17:.+((SYSTEM_STATE.+slice.+state.+changed )|(ment ac)|(multiple cpu faults)|(system.+state.+changed )|(\[timeout)|(PRM\|1\|D)|(kpr)|(kdp)|(\|lc)|(penalty))"</v>
      </c>
      <c r="U21" s="9" t="str">
        <f t="shared" si="2"/>
        <v>4052</v>
      </c>
      <c r="V21" s="32">
        <f t="shared" si="3"/>
        <v>42815.708784722221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arrival","project_id":79,"tracker_id":40,"status_id":1,"priority_id":2,"assigned_to_id":23,"start_date":"2017-03-21","description":"","custom_fields":[{"id":1,"name":"Subdivision","value":"EC"},{"id":4,"name":"Milepost","value":"10.9135"},{"id":17,"name":"Train ID","value":"150-21"},{"id":16,"name":"Locomotive ID","value":"4052"},{"id":130,"name":"Impact","value":""},{"id":150,"name":"Time of Event (Mountain Time)","value":"11:00:39"},{"id":151,"name":"Denver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7"/>
        <v>grep -hSE -A400 "Enforcement Action" "%USERPROFILE%\AppData\Local\Temp\OnboardLogs"\RTDC4052\*4052*201703211*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"%USERPROFILE%\AppData\Local\Temp\OnboardLogs"\RTDC4052\*4052*201703211* &gt;&gt; 2017-03-21-SliceDisagreementCheck.txt</v>
      </c>
      <c r="AE21" s="157" t="str">
        <f t="shared" si="9"/>
        <v>start /low /b %USERPROFILE%\Documents\GitHub\eaglep3\Utilities\DownloadLogsFromS3.py --loco 4052 --day 2017-03-21</v>
      </c>
      <c r="AF21" s="1"/>
    </row>
    <row r="22" spans="1:32" x14ac:dyDescent="0.25">
      <c r="A22" s="32">
        <v>42815.71912037037</v>
      </c>
      <c r="B22" s="30" t="s">
        <v>421</v>
      </c>
      <c r="C22" s="30" t="s">
        <v>626</v>
      </c>
      <c r="D22" s="30" t="s">
        <v>98</v>
      </c>
      <c r="E22" s="30" t="s">
        <v>193</v>
      </c>
      <c r="F22" s="43">
        <v>420</v>
      </c>
      <c r="G22" s="43">
        <v>470</v>
      </c>
      <c r="H22" s="43">
        <v>109069</v>
      </c>
      <c r="I22" s="43">
        <v>107479</v>
      </c>
      <c r="J22" s="30" t="s">
        <v>194</v>
      </c>
      <c r="K22" s="43">
        <v>109135</v>
      </c>
      <c r="L22" s="143" t="s">
        <v>51</v>
      </c>
      <c r="M22" s="144">
        <f t="shared" si="0"/>
        <v>-874.36800000000005</v>
      </c>
      <c r="N22" s="145" t="str">
        <f>VLOOKUP(C22,'Trips&amp;Operators'!$C$1:$G$99999,5,FALSE)</f>
        <v>STRICKLAND EVAN</v>
      </c>
      <c r="O22" s="194" t="s">
        <v>185</v>
      </c>
      <c r="P22" s="146" t="s">
        <v>533</v>
      </c>
      <c r="Q22" s="30"/>
      <c r="R22" s="89" t="str">
        <f>IF(VLOOKUP(C22,'Train Runs'!$A$13:$AE$9945,1,1)=C22,VLOOKUP(C22,'Train Runs'!$A$13:$AE$9945,31,1),NA())</f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S22" s="92" t="str">
        <f>VLOOKUP(C22,'Train Runs'!$A$13:$AE$9945,22,0)</f>
        <v>https://d0f6bd738d7f1b3e5a7ca70fe4ff75f0.us-east-1.aws.found.io/app/kibana#/discover/Steve-Slow-Train-Analysis-(2080s-and-2083s)?_g=(refreshInterval:(display:Off,pause:!f,section:0,value:0),time:(from:'2017-03-21T15:48:35-0600',mode:absolute,to:'2017-03-21T18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94" t="str">
        <f t="shared" si="1"/>
        <v>"C:\Program Files (x86)\AstroGrep\AstroGrep.exe" /e /r /s /spath="%USERPROFILE%\AppData\Local\Temp\OnboardLogs" /stypes="*4015*201703212*" /stext=" 23:.+((SYSTEM_STATE.+slice.+state.+changed )|(ment ac)|(multiple cpu faults)|(system.+state.+changed )|(\[timeout)|(PRM\|1\|D)|(kpr)|(kdp)|(\|lc)|(penalty))"</v>
      </c>
      <c r="U22" s="9" t="str">
        <f t="shared" si="2"/>
        <v>4015</v>
      </c>
      <c r="V22" s="32">
        <f t="shared" si="3"/>
        <v>42815.96912037037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arrival","project_id":79,"tracker_id":40,"status_id":1,"priority_id":2,"assigned_to_id":23,"start_date":"2017-03-21","description":"","custom_fields":[{"id":1,"name":"Subdivision","value":"EC"},{"id":4,"name":"Milepost","value":"10.9135"},{"id":17,"name":"Train ID","value":"200-21"},{"id":16,"name":"Locomotive ID","value":"4015"},{"id":130,"name":"Impact","value":""},{"id":150,"name":"Time of Event (Mountain Time)","value":"17:15:32"},{"id":151,"name":"Denver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 t="shared" si="7"/>
        <v>grep -hSE -A400 "Enforcement Action" "%USERPROFILE%\AppData\Local\Temp\OnboardLogs"\RTDC4015\*4015*201703212*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"%USERPROFILE%\AppData\Local\Temp\OnboardLogs"\RTDC4015\*4015*201703212* &gt;&gt; 2017-03-21-SliceDisagreementCheck.txt</v>
      </c>
      <c r="AE22" s="157" t="str">
        <f t="shared" si="9"/>
        <v>start /low /b %USERPROFILE%\Documents\GitHub\eaglep3\Utilities\DownloadLogsFromS3.py --loco 4015 --day 2017-03-21</v>
      </c>
      <c r="AF22" s="1"/>
    </row>
    <row r="23" spans="1:32" x14ac:dyDescent="0.25">
      <c r="A23" s="32">
        <v>42815.219201388885</v>
      </c>
      <c r="B23" s="30" t="s">
        <v>492</v>
      </c>
      <c r="C23" s="30" t="s">
        <v>593</v>
      </c>
      <c r="D23" s="30" t="s">
        <v>49</v>
      </c>
      <c r="E23" s="30" t="s">
        <v>219</v>
      </c>
      <c r="F23" s="43">
        <v>300</v>
      </c>
      <c r="G23" s="43">
        <v>423</v>
      </c>
      <c r="H23" s="43">
        <v>23636</v>
      </c>
      <c r="I23" s="43">
        <v>22090</v>
      </c>
      <c r="J23" s="30" t="s">
        <v>220</v>
      </c>
      <c r="K23" s="43">
        <v>21848</v>
      </c>
      <c r="L23" s="143" t="s">
        <v>51</v>
      </c>
      <c r="M23" s="144">
        <f t="shared" si="0"/>
        <v>127.776</v>
      </c>
      <c r="N23" s="145" t="str">
        <f>VLOOKUP(C23,'Trips&amp;Operators'!$C$1:$G$99999,5,FALSE)</f>
        <v>MAELZER KURT</v>
      </c>
      <c r="O23" s="194" t="s">
        <v>185</v>
      </c>
      <c r="P23" s="146"/>
      <c r="Q23" s="30"/>
      <c r="R23" s="89" t="str">
        <f>IF(VLOOKUP(C23,'Train Runs'!$A$13:$AE$9945,1,1)=C23,VLOOKUP(C23,'Train Runs'!$A$13:$AE$9945,31,1),NA())</f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S23" s="92" t="str">
        <f>VLOOKUP(C23,'Train Runs'!$A$13:$AE$9945,22,0)</f>
        <v>https://d0f6bd738d7f1b3e5a7ca70fe4ff75f0.us-east-1.aws.found.io/app/kibana#/discover/Steve-Slow-Train-Analysis-(2080s-and-2083s)?_g=(refreshInterval:(display:Off,pause:!f,section:0,value:0),time:(from:'2017-03-21T03:32:42-0600',mode:absolute,to:'2017-03-21T06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94" t="str">
        <f t="shared" si="1"/>
        <v>"C:\Program Files (x86)\AstroGrep\AstroGrep.exe" /e /r /s /spath="%USERPROFILE%\AppData\Local\Temp\OnboardLogs" /stypes="*4041*201703211*" /stext=" 11:.+((SYSTEM_STATE.+slice.+state.+changed )|(ment ac)|(multiple cpu faults)|(system.+state.+changed )|(\[timeout)|(PRM\|1\|D)|(kpr)|(kdp)|(\|lc)|(penalty))"</v>
      </c>
      <c r="U23" s="9" t="str">
        <f t="shared" si="2"/>
        <v>4041</v>
      </c>
      <c r="V23" s="32">
        <f t="shared" si="3"/>
        <v>42815.469201388885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{"issue":{"subject":"","project_id":79,"tracker_id":40,"status_id":1,"priority_id":2,"assigned_to_id":23,"start_date":"2017-03-21","description":"","custom_fields":[{"id":1,"name":"Subdivision","value":"EC"},{"id":4,"name":"Milepost","value":"2.1848"},{"id":17,"name":"Train ID","value":"104-21"},{"id":16,"name":"Locomotive ID","value":"4041"},{"id":130,"name":"Impact","value":""},{"id":150,"name":"Time of Event (Mountain Time)","value":"05:15:39"},{"id":151,"name":"Denver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22"/>
      <c r="AA23" s="48"/>
      <c r="AB23" s="48"/>
      <c r="AC23" s="127" t="str">
        <f t="shared" si="7"/>
        <v>grep -hSE -A400 "Enforcement Action" "%USERPROFILE%\AppData\Local\Temp\OnboardLogs"\RTDC4041\*4041*201703211*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"%USERPROFILE%\AppData\Local\Temp\OnboardLogs"\RTDC4041\*4041*201703211* &gt;&gt; 2017-03-21-SliceDisagreementCheck.txt</v>
      </c>
      <c r="AE23" s="157" t="str">
        <f t="shared" si="9"/>
        <v>start /low /b %USERPROFILE%\Documents\GitHub\eaglep3\Utilities\DownloadLogsFromS3.py --loco 4041 --day 2017-03-21</v>
      </c>
      <c r="AF23" s="1"/>
    </row>
    <row r="24" spans="1:32" x14ac:dyDescent="0.25">
      <c r="A24" s="32">
        <v>42816.039895833332</v>
      </c>
      <c r="B24" s="30" t="s">
        <v>421</v>
      </c>
      <c r="C24" s="30" t="s">
        <v>639</v>
      </c>
      <c r="D24" s="30" t="s">
        <v>49</v>
      </c>
      <c r="E24" s="30" t="s">
        <v>219</v>
      </c>
      <c r="F24" s="43">
        <v>300</v>
      </c>
      <c r="G24" s="43">
        <v>494</v>
      </c>
      <c r="H24" s="43">
        <v>24729</v>
      </c>
      <c r="I24" s="43">
        <v>23193</v>
      </c>
      <c r="J24" s="30" t="s">
        <v>220</v>
      </c>
      <c r="K24" s="43">
        <v>21848</v>
      </c>
      <c r="L24" s="143" t="s">
        <v>51</v>
      </c>
      <c r="M24" s="144">
        <f t="shared" si="0"/>
        <v>710.16000000000008</v>
      </c>
      <c r="N24" s="145" t="str">
        <f>VLOOKUP(C24,'Trips&amp;Operators'!$C$1:$G$99999,5,FALSE)</f>
        <v>NEWELL JAMES</v>
      </c>
      <c r="O24" s="194" t="s">
        <v>185</v>
      </c>
      <c r="P24" s="146"/>
      <c r="Q24" s="30"/>
      <c r="R24" s="89" t="str">
        <f>IF(VLOOKUP(C24,'Train Runs'!$A$13:$AE$9945,1,1)=C24,VLOOKUP(C24,'Train Runs'!$A$13:$AE$9945,31,1),NA())</f>
        <v>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 &amp; aws s3 cp s3://rtdc.mdm.uploadarchive.raw/RTDC4015/ "%USERPROFILE%\AppData\Local\Temp\OnboardLogs"\RTDC4015\2017-03-23 --exclude "*" --recursive --include "*20170323*" &amp; "%USERPROFILE%\Documents\GitHub\mrs-test-scripts\Headless Mode &amp; Sideloading\WalkAndUnGZ.bat" "%USERPROFILE%\AppData\Local\Temp\OnboardLogs"\RTDC4015\2017-03-23</v>
      </c>
      <c r="S24" s="92" t="str">
        <f>VLOOKUP(C24,'Train Runs'!$A$13:$AE$9945,22,0)</f>
        <v>https://d0f6bd738d7f1b3e5a7ca70fe4ff75f0.us-east-1.aws.found.io/app/kibana#/discover/Steve-Slow-Train-Analysis-(2080s-and-2083s)?_g=(refreshInterval:(display:Off,pause:!f,section:0,value:0),time:(from:'2017-03-21T23:19:04-0600',mode:absolute,to:'2017-03-22T02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94" t="str">
        <f t="shared" si="1"/>
        <v>"C:\Program Files (x86)\AstroGrep\AstroGrep.exe" /e /r /s /spath="%USERPROFILE%\AppData\Local\Temp\OnboardLogs" /stypes="*4015*201703220*" /stext=" 06:.+((SYSTEM_STATE.+slice.+state.+changed )|(ment ac)|(multiple cpu faults)|(system.+state.+changed )|(\[timeout)|(PRM\|1\|D)|(kpr)|(kdp)|(\|lc)|(penalty))"</v>
      </c>
      <c r="U24" s="9" t="str">
        <f t="shared" si="2"/>
        <v>4015</v>
      </c>
      <c r="V24" s="32">
        <f t="shared" si="3"/>
        <v>42816.289895833332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{"issue":{"subject":"","project_id":79,"tracker_id":40,"status_id":1,"priority_id":2,"assigned_to_id":23,"start_date":"2017-03-22","description":"","custom_fields":[{"id":1,"name":"Subdivision","value":"EC"},{"id":4,"name":"Milepost","value":"2.1848"},{"id":17,"name":"Train ID","value":"240-21"},{"id":16,"name":"Locomotive ID","value":"4015"},{"id":130,"name":"Impact","value":""},{"id":150,"name":"Time of Event (Mountain Time)","value":"00:57:27"},{"id":151,"name":"Denver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 t="shared" si="7"/>
        <v>grep -hSE -A400 "Enforcement Action" "%USERPROFILE%\AppData\Local\Temp\OnboardLogs"\RTDC4015\*4015*201703220*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"%USERPROFILE%\AppData\Local\Temp\OnboardLogs"\RTDC4015\*4015*201703220* &gt;&gt; 2017-03-21-SliceDisagreementCheck.txt</v>
      </c>
      <c r="AE24" s="157" t="str">
        <f t="shared" si="9"/>
        <v>start /low /b %USERPROFILE%\Documents\GitHub\eaglep3\Utilities\DownloadLogsFromS3.py --loco 4015 --day 2017-03-22</v>
      </c>
      <c r="AF24" s="1"/>
    </row>
    <row r="25" spans="1:32" x14ac:dyDescent="0.25">
      <c r="A25" s="32">
        <v>42815.30400462963</v>
      </c>
      <c r="B25" s="30" t="s">
        <v>422</v>
      </c>
      <c r="C25" s="30" t="s">
        <v>598</v>
      </c>
      <c r="D25" s="30" t="s">
        <v>98</v>
      </c>
      <c r="E25" s="30" t="s">
        <v>219</v>
      </c>
      <c r="F25" s="43">
        <v>400</v>
      </c>
      <c r="G25" s="43">
        <v>450</v>
      </c>
      <c r="H25" s="43">
        <v>119721</v>
      </c>
      <c r="I25" s="43">
        <v>121223</v>
      </c>
      <c r="J25" s="30" t="s">
        <v>220</v>
      </c>
      <c r="K25" s="43">
        <v>116838</v>
      </c>
      <c r="L25" s="143" t="s">
        <v>50</v>
      </c>
      <c r="M25" s="144">
        <f t="shared" si="0"/>
        <v>-2315.2800000000002</v>
      </c>
      <c r="N25" s="145" t="str">
        <f>VLOOKUP(C25,'Trips&amp;Operators'!$C$1:$G$99999,5,FALSE)</f>
        <v>WILLIAMS DONTE</v>
      </c>
      <c r="O25" s="194" t="s">
        <v>185</v>
      </c>
      <c r="P25" s="146"/>
      <c r="Q25" s="30"/>
      <c r="R25" s="89" t="str">
        <f>IF(VLOOKUP(C25,'Train Runs'!$A$13:$AE$9945,1,1)=C25,VLOOKUP(C25,'Train Runs'!$A$13:$AE$9945,31,1),NA())</f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S25" s="92" t="str">
        <f>VLOOKUP(C25,'Train Runs'!$A$13:$AE$9945,22,0)</f>
        <v>https://d0f6bd738d7f1b3e5a7ca70fe4ff75f0.us-east-1.aws.found.io/app/kibana#/discover/Steve-Slow-Train-Analysis-(2080s-and-2083s)?_g=(refreshInterval:(display:Off,pause:!f,section:0,value:0),time:(from:'2017-03-21T05:56:00-0600',mode:absolute,to:'2017-03-21T08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94" t="str">
        <f t="shared" si="1"/>
        <v>"C:\Program Files (x86)\AstroGrep\AstroGrep.exe" /e /r /s /spath="%USERPROFILE%\AppData\Local\Temp\OnboardLogs" /stypes="*4044*201703211*" /stext=" 13:.+((SYSTEM_STATE.+slice.+state.+changed )|(ment ac)|(multiple cpu faults)|(system.+state.+changed )|(\[timeout)|(PRM\|1\|D)|(kpr)|(kdp)|(\|lc)|(penalty))"</v>
      </c>
      <c r="U25" s="9" t="str">
        <f t="shared" si="2"/>
        <v>4044</v>
      </c>
      <c r="V25" s="32">
        <f t="shared" si="3"/>
        <v>42815.55400462963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{"issue":{"subject":"","project_id":79,"tracker_id":40,"status_id":1,"priority_id":2,"assigned_to_id":23,"start_date":"2017-03-21","description":"","custom_fields":[{"id":1,"name":"Subdivision","value":"EC"},{"id":4,"name":"Milepost","value":"11.6838"},{"id":17,"name":"Train ID","value":"125-21"},{"id":16,"name":"Locomotive ID","value":"4044"},{"id":130,"name":"Impact","value":""},{"id":150,"name":"Time of Event (Mountain Time)","value":"07:17:46"},{"id":151,"name":"Denver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 t="shared" si="7"/>
        <v>grep -hSE -A400 "Enforcement Action" "%USERPROFILE%\AppData\Local\Temp\OnboardLogs"\RTDC4044\*4044*201703211*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"%USERPROFILE%\AppData\Local\Temp\OnboardLogs"\RTDC4044\*4044*201703211* &gt;&gt; 2017-03-21-SliceDisagreementCheck.txt</v>
      </c>
      <c r="AE25" s="157" t="str">
        <f t="shared" si="9"/>
        <v>start /low /b %USERPROFILE%\Documents\GitHub\eaglep3\Utilities\DownloadLogsFromS3.py --loco 4044 --day 2017-03-21</v>
      </c>
      <c r="AF25" s="1"/>
    </row>
    <row r="26" spans="1:32" x14ac:dyDescent="0.25">
      <c r="A26" s="32">
        <v>42815.848437499997</v>
      </c>
      <c r="B26" s="30" t="s">
        <v>400</v>
      </c>
      <c r="C26" s="30" t="s">
        <v>636</v>
      </c>
      <c r="D26" s="30" t="s">
        <v>98</v>
      </c>
      <c r="E26" s="30" t="s">
        <v>219</v>
      </c>
      <c r="F26" s="43">
        <v>400</v>
      </c>
      <c r="G26" s="43">
        <v>450</v>
      </c>
      <c r="H26" s="43">
        <v>119363</v>
      </c>
      <c r="I26" s="43">
        <v>120693</v>
      </c>
      <c r="J26" s="30" t="s">
        <v>220</v>
      </c>
      <c r="K26" s="43">
        <v>116838</v>
      </c>
      <c r="L26" s="143" t="s">
        <v>50</v>
      </c>
      <c r="M26" s="144">
        <f t="shared" si="0"/>
        <v>-2035.44</v>
      </c>
      <c r="N26" s="145" t="str">
        <f>VLOOKUP(C26,'Trips&amp;Operators'!$C$1:$G$99999,5,FALSE)</f>
        <v>STORY SAMANTHA</v>
      </c>
      <c r="O26" s="194" t="s">
        <v>185</v>
      </c>
      <c r="P26" s="146"/>
      <c r="Q26" s="30"/>
      <c r="R26" s="89" t="str">
        <f>IF(VLOOKUP(C26,'Train Runs'!$A$13:$AE$9945,1,1)=C26,VLOOKUP(C26,'Train Runs'!$A$13:$AE$9945,31,1),NA())</f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S26" s="92" t="str">
        <f>VLOOKUP(C26,'Train Runs'!$A$13:$AE$9945,22,0)</f>
        <v>https://d0f6bd738d7f1b3e5a7ca70fe4ff75f0.us-east-1.aws.found.io/app/kibana#/discover/Steve-Slow-Train-Analysis-(2080s-and-2083s)?_g=(refreshInterval:(display:Off,pause:!f,section:0,value:0),time:(from:'2017-03-21T18:53:12-0600',mode:absolute,to:'2017-03-21T21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94" t="str">
        <f t="shared" si="1"/>
        <v>"C:\Program Files (x86)\AstroGrep\AstroGrep.exe" /e /r /s /spath="%USERPROFILE%\AppData\Local\Temp\OnboardLogs" /stypes="*4031*201703220*" /stext=" 02:.+((SYSTEM_STATE.+slice.+state.+changed )|(ment ac)|(multiple cpu faults)|(system.+state.+changed )|(\[timeout)|(PRM\|1\|D)|(kpr)|(kdp)|(\|lc)|(penalty))"</v>
      </c>
      <c r="U26" s="9" t="str">
        <f t="shared" si="2"/>
        <v>4031</v>
      </c>
      <c r="V26" s="32">
        <f t="shared" si="3"/>
        <v>42816.098437499997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{"issue":{"subject":"","project_id":79,"tracker_id":40,"status_id":1,"priority_id":2,"assigned_to_id":23,"start_date":"2017-03-21","description":"","custom_fields":[{"id":1,"name":"Subdivision","value":"EC"},{"id":4,"name":"Milepost","value":"11.6838"},{"id":17,"name":"Train ID","value":"225-21"},{"id":16,"name":"Locomotive ID","value":"4031"},{"id":130,"name":"Impact","value":""},{"id":150,"name":"Time of Event (Mountain Time)","value":"20:21:45"},{"id":151,"name":"Denver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 t="shared" si="7"/>
        <v>grep -hSE -A400 "Enforcement Action" "%USERPROFILE%\AppData\Local\Temp\OnboardLogs"\RTDC4031\*4031*201703220*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"%USERPROFILE%\AppData\Local\Temp\OnboardLogs"\RTDC4031\*4031*201703220* &gt;&gt; 2017-03-21-SliceDisagreementCheck.txt</v>
      </c>
      <c r="AE26" s="157" t="str">
        <f t="shared" si="9"/>
        <v>start /low /b %USERPROFILE%\Documents\GitHub\eaglep3\Utilities\DownloadLogsFromS3.py --loco 4031 --day 2017-03-22</v>
      </c>
      <c r="AF26" s="1"/>
    </row>
    <row r="27" spans="1:32" x14ac:dyDescent="0.25">
      <c r="A27" s="32">
        <v>42815.81009259259</v>
      </c>
      <c r="B27" s="30" t="s">
        <v>399</v>
      </c>
      <c r="C27" s="30" t="s">
        <v>633</v>
      </c>
      <c r="D27" s="30" t="s">
        <v>49</v>
      </c>
      <c r="E27" s="30" t="s">
        <v>219</v>
      </c>
      <c r="F27" s="43">
        <v>400</v>
      </c>
      <c r="G27" s="43">
        <v>499</v>
      </c>
      <c r="H27" s="43">
        <v>121192</v>
      </c>
      <c r="I27" s="43">
        <v>119689</v>
      </c>
      <c r="J27" s="30" t="s">
        <v>220</v>
      </c>
      <c r="K27" s="43">
        <v>119716</v>
      </c>
      <c r="L27" s="143" t="s">
        <v>51</v>
      </c>
      <c r="M27" s="144">
        <f t="shared" si="0"/>
        <v>-14.256</v>
      </c>
      <c r="N27" s="145" t="str">
        <f>VLOOKUP(C27,'Trips&amp;Operators'!$C$1:$G$99999,5,FALSE)</f>
        <v>STORY SAMANTHA</v>
      </c>
      <c r="O27" s="194" t="s">
        <v>185</v>
      </c>
      <c r="P27" s="146"/>
      <c r="Q27" s="30"/>
      <c r="R27" s="89" t="str">
        <f>IF(VLOOKUP(C27,'Train Runs'!$A$13:$AE$9945,1,1)=C27,VLOOKUP(C27,'Train Runs'!$A$13:$AE$9945,31,1),NA())</f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S27" s="92" t="str">
        <f>VLOOKUP(C27,'Train Runs'!$A$13:$AE$9945,22,0)</f>
        <v>https://d0f6bd738d7f1b3e5a7ca70fe4ff75f0.us-east-1.aws.found.io/app/kibana#/discover/Steve-Slow-Train-Analysis-(2080s-and-2083s)?_g=(refreshInterval:(display:Off,pause:!f,section:0,value:0),time:(from:'2017-03-21T18:05:58-0600',mode:absolute,to:'2017-03-21T20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94" t="str">
        <f t="shared" si="1"/>
        <v>"C:\Program Files (x86)\AstroGrep\AstroGrep.exe" /e /r /s /spath="%USERPROFILE%\AppData\Local\Temp\OnboardLogs" /stypes="*4032*201703220*" /stext=" 01:.+((SYSTEM_STATE.+slice.+state.+changed )|(ment ac)|(multiple cpu faults)|(system.+state.+changed )|(\[timeout)|(PRM\|1\|D)|(kpr)|(kdp)|(\|lc)|(penalty))"</v>
      </c>
      <c r="U27" s="9" t="str">
        <f t="shared" si="2"/>
        <v>4032</v>
      </c>
      <c r="V27" s="32">
        <f t="shared" si="3"/>
        <v>42816.06009259259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{"issue":{"subject":"","project_id":79,"tracker_id":40,"status_id":1,"priority_id":2,"assigned_to_id":23,"start_date":"2017-03-21","description":"","custom_fields":[{"id":1,"name":"Subdivision","value":"EC"},{"id":4,"name":"Milepost","value":"11.9716"},{"id":17,"name":"Train ID","value":"218-21"},{"id":16,"name":"Locomotive ID","value":"4032"},{"id":130,"name":"Impact","value":""},{"id":150,"name":"Time of Event (Mountain Time)","value":"19:26:32"},{"id":151,"name":"Denver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si="7"/>
        <v>grep -hSE -A400 "Enforcement Action" "%USERPROFILE%\AppData\Local\Temp\OnboardLogs"\RTDC4032\*4032*201703220*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"%USERPROFILE%\AppData\Local\Temp\OnboardLogs"\RTDC4032\*4032*201703220* &gt;&gt; 2017-03-21-SliceDisagreementCheck.txt</v>
      </c>
      <c r="AE27" s="157" t="str">
        <f t="shared" si="9"/>
        <v>start /low /b %USERPROFILE%\Documents\GitHub\eaglep3\Utilities\DownloadLogsFromS3.py --loco 4032 --day 2017-03-22</v>
      </c>
      <c r="AF27" s="1"/>
    </row>
    <row r="28" spans="1:32" x14ac:dyDescent="0.25">
      <c r="A28" s="32">
        <v>42815.301990740743</v>
      </c>
      <c r="B28" s="30" t="s">
        <v>491</v>
      </c>
      <c r="C28" s="30" t="s">
        <v>599</v>
      </c>
      <c r="D28" s="30" t="s">
        <v>49</v>
      </c>
      <c r="E28" s="30" t="s">
        <v>219</v>
      </c>
      <c r="F28" s="43">
        <v>350</v>
      </c>
      <c r="G28" s="43">
        <v>475</v>
      </c>
      <c r="H28" s="43">
        <v>223287</v>
      </c>
      <c r="I28" s="43">
        <v>224667</v>
      </c>
      <c r="J28" s="30" t="s">
        <v>220</v>
      </c>
      <c r="K28" s="43">
        <v>224581</v>
      </c>
      <c r="L28" s="143" t="s">
        <v>50</v>
      </c>
      <c r="M28" s="144">
        <f t="shared" si="0"/>
        <v>-45.408000000000001</v>
      </c>
      <c r="N28" s="145" t="str">
        <f>VLOOKUP(C28,'Trips&amp;Operators'!$C$1:$G$99999,5,FALSE)</f>
        <v>DAVIS WENDY</v>
      </c>
      <c r="O28" s="194" t="s">
        <v>185</v>
      </c>
      <c r="P28" s="146"/>
      <c r="Q28" s="30"/>
      <c r="R28" s="89" t="str">
        <f>IF(VLOOKUP(C28,'Train Runs'!$A$13:$AE$9945,1,1)=C28,VLOOKUP(C28,'Train Runs'!$A$13:$AE$9945,31,1),NA())</f>
        <v>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 &amp; aws s3 cp s3://rtdc.mdm.uploadarchive.raw/RTDC4025/ "%USERPROFILE%\AppData\Local\Temp\OnboardLogs"\RTDC4025\2017-03-22 --exclude "*" --recursive --include "*20170322*" &amp; "%USERPROFILE%\Documents\GitHub\mrs-test-scripts\Headless Mode &amp; Sideloading\WalkAndUnGZ.bat" "%USERPROFILE%\AppData\Local\Temp\OnboardLogs"\RTDC4025\2017-03-22</v>
      </c>
      <c r="S28" s="92" t="str">
        <f>VLOOKUP(C28,'Train Runs'!$A$13:$AE$9945,22,0)</f>
        <v>https://d0f6bd738d7f1b3e5a7ca70fe4ff75f0.us-east-1.aws.found.io/app/kibana#/discover/Steve-Slow-Train-Analysis-(2080s-and-2083s)?_g=(refreshInterval:(display:Off,pause:!f,section:0,value:0),time:(from:'2017-03-21T05:43:13-0600',mode:absolute,to:'2017-03-21T08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94" t="str">
        <f t="shared" si="1"/>
        <v>"C:\Program Files (x86)\AstroGrep\AstroGrep.exe" /e /r /s /spath="%USERPROFILE%\AppData\Local\Temp\OnboardLogs" /stypes="*4025*201703211*" /stext=" 13:.+((SYSTEM_STATE.+slice.+state.+changed )|(ment ac)|(multiple cpu faults)|(system.+state.+changed )|(\[timeout)|(PRM\|1\|D)|(kpr)|(kdp)|(\|lc)|(penalty))"</v>
      </c>
      <c r="U28" s="9" t="str">
        <f t="shared" si="2"/>
        <v>4025</v>
      </c>
      <c r="V28" s="32">
        <f t="shared" si="3"/>
        <v>42815.551990740743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{"issue":{"subject":"","project_id":79,"tracker_id":40,"status_id":1,"priority_id":2,"assigned_to_id":23,"start_date":"2017-03-21","description":"","custom_fields":[{"id":1,"name":"Subdivision","value":"EC"},{"id":4,"name":"Milepost","value":"22.4581"},{"id":17,"name":"Train ID","value":"123-21"},{"id":16,"name":"Locomotive ID","value":"4025"},{"id":130,"name":"Impact","value":""},{"id":150,"name":"Time of Event (Mountain Time)","value":"07:14:52"},{"id":151,"name":"Denver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si="7"/>
        <v>grep -hSE -A400 "Enforcement Action" "%USERPROFILE%\AppData\Local\Temp\OnboardLogs"\RTDC4025\*4025*201703211*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"%USERPROFILE%\AppData\Local\Temp\OnboardLogs"\RTDC4025\*4025*201703211* &gt;&gt; 2017-03-21-SliceDisagreementCheck.txt</v>
      </c>
      <c r="AE28" s="157" t="str">
        <f t="shared" si="9"/>
        <v>start /low /b %USERPROFILE%\Documents\GitHub\eaglep3\Utilities\DownloadLogsFromS3.py --loco 4025 --day 2017-03-21</v>
      </c>
      <c r="AF28" s="1"/>
    </row>
    <row r="29" spans="1:32" x14ac:dyDescent="0.25">
      <c r="A29" s="32">
        <v>42815.707233796296</v>
      </c>
      <c r="B29" s="30" t="s">
        <v>421</v>
      </c>
      <c r="C29" s="30" t="s">
        <v>626</v>
      </c>
      <c r="D29" s="30" t="s">
        <v>98</v>
      </c>
      <c r="E29" s="30" t="s">
        <v>219</v>
      </c>
      <c r="F29" s="43">
        <v>150</v>
      </c>
      <c r="G29" s="43">
        <v>201</v>
      </c>
      <c r="H29" s="43">
        <v>231093</v>
      </c>
      <c r="I29" s="43">
        <v>230741</v>
      </c>
      <c r="J29" s="30" t="s">
        <v>220</v>
      </c>
      <c r="K29" s="43">
        <v>231269</v>
      </c>
      <c r="L29" s="143" t="s">
        <v>51</v>
      </c>
      <c r="M29" s="144">
        <f t="shared" si="0"/>
        <v>-278.78399999999999</v>
      </c>
      <c r="N29" s="145" t="str">
        <f>VLOOKUP(C29,'Trips&amp;Operators'!$C$1:$G$99999,5,FALSE)</f>
        <v>STRICKLAND EVAN</v>
      </c>
      <c r="O29" s="194" t="s">
        <v>185</v>
      </c>
      <c r="P29" s="146"/>
      <c r="Q29" s="30"/>
      <c r="R29" s="89" t="str">
        <f>IF(VLOOKUP(C29,'Train Runs'!$A$13:$AE$9945,1,1)=C29,VLOOKUP(C29,'Train Runs'!$A$13:$AE$9945,31,1),NA())</f>
        <v>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 &amp; aws s3 cp s3://rtdc.mdm.uploadarchive.raw/RTDC4015/ "%USERPROFILE%\AppData\Local\Temp\OnboardLogs"\RTDC4015\2017-03-22 --exclude "*" --recursive --include "*20170322*" &amp; "%USERPROFILE%\Documents\GitHub\mrs-test-scripts\Headless Mode &amp; Sideloading\WalkAndUnGZ.bat" "%USERPROFILE%\AppData\Local\Temp\OnboardLogs"\RTDC4015\2017-03-22</v>
      </c>
      <c r="S29" s="92" t="str">
        <f>VLOOKUP(C29,'Train Runs'!$A$13:$AE$9945,22,0)</f>
        <v>https://d0f6bd738d7f1b3e5a7ca70fe4ff75f0.us-east-1.aws.found.io/app/kibana#/discover/Steve-Slow-Train-Analysis-(2080s-and-2083s)?_g=(refreshInterval:(display:Off,pause:!f,section:0,value:0),time:(from:'2017-03-21T15:48:35-0600',mode:absolute,to:'2017-03-21T18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94" t="str">
        <f t="shared" si="1"/>
        <v>"C:\Program Files (x86)\AstroGrep\AstroGrep.exe" /e /r /s /spath="%USERPROFILE%\AppData\Local\Temp\OnboardLogs" /stypes="*4015*201703212*" /stext=" 22:.+((SYSTEM_STATE.+slice.+state.+changed )|(ment ac)|(multiple cpu faults)|(system.+state.+changed )|(\[timeout)|(PRM\|1\|D)|(kpr)|(kdp)|(\|lc)|(penalty))"</v>
      </c>
      <c r="U29" s="9" t="str">
        <f t="shared" si="2"/>
        <v>4015</v>
      </c>
      <c r="V29" s="32">
        <f t="shared" si="3"/>
        <v>42815.957233796296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{"issue":{"subject":"","project_id":79,"tracker_id":40,"status_id":1,"priority_id":2,"assigned_to_id":23,"start_date":"2017-03-21","description":"","custom_fields":[{"id":1,"name":"Subdivision","value":"EC"},{"id":4,"name":"Milepost","value":"23.1269"},{"id":17,"name":"Train ID","value":"200-21"},{"id":16,"name":"Locomotive ID","value":"4015"},{"id":130,"name":"Impact","value":""},{"id":150,"name":"Time of Event (Mountain Time)","value":"16:58:25"},{"id":151,"name":"Denver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si="7"/>
        <v>grep -hSE -A400 "Enforcement Action" "%USERPROFILE%\AppData\Local\Temp\OnboardLogs"\RTDC4015\*4015*201703212*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"%USERPROFILE%\AppData\Local\Temp\OnboardLogs"\RTDC4015\*4015*201703212* &gt;&gt; 2017-03-21-SliceDisagreementCheck.txt</v>
      </c>
      <c r="AE29" s="157" t="str">
        <f t="shared" si="9"/>
        <v>start /low /b %USERPROFILE%\Documents\GitHub\eaglep3\Utilities\DownloadLogsFromS3.py --loco 4015 --day 2017-03-21</v>
      </c>
      <c r="AF29" s="1"/>
    </row>
    <row r="30" spans="1:32" x14ac:dyDescent="0.25">
      <c r="A30" s="32">
        <v>42815.405532407407</v>
      </c>
      <c r="B30" s="30" t="s">
        <v>608</v>
      </c>
      <c r="C30" s="30" t="s">
        <v>609</v>
      </c>
      <c r="D30" s="30" t="s">
        <v>98</v>
      </c>
      <c r="E30" s="30" t="s">
        <v>219</v>
      </c>
      <c r="F30" s="43">
        <v>350</v>
      </c>
      <c r="G30" s="43">
        <v>417</v>
      </c>
      <c r="H30" s="43">
        <v>224738</v>
      </c>
      <c r="I30" s="43">
        <v>223123</v>
      </c>
      <c r="J30" s="30" t="s">
        <v>220</v>
      </c>
      <c r="K30" s="43">
        <v>232080</v>
      </c>
      <c r="L30" s="143" t="s">
        <v>51</v>
      </c>
      <c r="M30" s="144">
        <f t="shared" si="0"/>
        <v>-4729.2960000000003</v>
      </c>
      <c r="N30" s="145" t="str">
        <f>VLOOKUP(C30,'Trips&amp;Operators'!$C$1:$G$99999,5,FALSE)</f>
        <v>SANTIZO D. EDY</v>
      </c>
      <c r="O30" s="194" t="s">
        <v>185</v>
      </c>
      <c r="P30" s="146"/>
      <c r="Q30" s="30"/>
      <c r="R30" s="89" t="str">
        <f>IF(VLOOKUP(C30,'Train Runs'!$A$13:$AE$9945,1,1)=C30,VLOOKUP(C30,'Train Runs'!$A$13:$AE$9945,31,1),NA())</f>
        <v>aws s3 cp s3://rtdc.mdm.uploadarchive.raw/RTDC4023/ "%USERPROFILE%\AppData\Local\Temp\OnboardLogs"\RTDC4023\2017-03-21 --exclude "*" --recursive --include "*20170321*" &amp; "%USERPROFILE%\Documents\GitHub\mrs-test-scripts\Headless Mode &amp; Sideloading\WalkAndUnGZ.bat" "%USERPROFILE%\AppData\Local\Temp\OnboardLogs"\RTDC4023\2017-03-21 &amp; aws s3 cp s3://rtdc.mdm.uploadarchive.raw/RTDC4023/ "%USERPROFILE%\AppData\Local\Temp\OnboardLogs"\RTDC4023\2017-03-22 --exclude "*" --recursive --include "*20170322*" &amp; "%USERPROFILE%\Documents\GitHub\mrs-test-scripts\Headless Mode &amp; Sideloading\WalkAndUnGZ.bat" "%USERPROFILE%\AppData\Local\Temp\OnboardLogs"\RTDC4023\2017-03-22</v>
      </c>
      <c r="S30" s="92" t="str">
        <f>VLOOKUP(C30,'Train Runs'!$A$13:$AE$9945,22,0)</f>
        <v>https://d0f6bd738d7f1b3e5a7ca70fe4ff75f0.us-east-1.aws.found.io/app/kibana#/discover/Steve-Slow-Train-Analysis-(2080s-and-2083s)?_g=(refreshInterval:(display:Off,pause:!f,section:0,value:0),time:(from:'2017-03-21T08:32:58-0600',mode:absolute,to:'2017-03-21T11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0" s="94" t="str">
        <f t="shared" si="1"/>
        <v>"C:\Program Files (x86)\AstroGrep\AstroGrep.exe" /e /r /s /spath="%USERPROFILE%\AppData\Local\Temp\OnboardLogs" /stypes="*4023*201703211*" /stext=" 15:.+((SYSTEM_STATE.+slice.+state.+changed )|(ment ac)|(multiple cpu faults)|(system.+state.+changed )|(\[timeout)|(PRM\|1\|D)|(kpr)|(kdp)|(\|lc)|(penalty))"</v>
      </c>
      <c r="U30" s="9" t="str">
        <f t="shared" si="2"/>
        <v>4023</v>
      </c>
      <c r="V30" s="32">
        <f t="shared" si="3"/>
        <v>42815.655532407407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{"issue":{"subject":"","project_id":79,"tracker_id":40,"status_id":1,"priority_id":2,"assigned_to_id":23,"start_date":"2017-03-21","description":"","custom_fields":[{"id":1,"name":"Subdivision","value":"EC"},{"id":4,"name":"Milepost","value":"23.208"},{"id":17,"name":"Train ID","value":"142-21"},{"id":16,"name":"Locomotive ID","value":"4023"},{"id":130,"name":"Impact","value":""},{"id":150,"name":"Time of Event (Mountain Time)","value":"09:43:58"},{"id":151,"name":"Denver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7"/>
        <v>grep -hSE -A400 "Enforcement Action" "%USERPROFILE%\AppData\Local\Temp\OnboardLogs"\RTDC4023\*4023*201703211*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"%USERPROFILE%\AppData\Local\Temp\OnboardLogs"\RTDC4023\*4023*201703211* &gt;&gt; 2017-03-21-SliceDisagreementCheck.txt</v>
      </c>
      <c r="AE30" s="157" t="str">
        <f t="shared" si="9"/>
        <v>start /low /b %USERPROFILE%\Documents\GitHub\eaglep3\Utilities\DownloadLogsFromS3.py --loco 4023 --day 2017-03-21</v>
      </c>
      <c r="AF30" s="1"/>
    </row>
    <row r="31" spans="1:32" x14ac:dyDescent="0.25">
      <c r="A31" s="32">
        <v>42815.265648148146</v>
      </c>
      <c r="B31" s="30" t="s">
        <v>596</v>
      </c>
      <c r="C31" s="30" t="s">
        <v>597</v>
      </c>
      <c r="D31" s="30" t="s">
        <v>49</v>
      </c>
      <c r="E31" s="30" t="s">
        <v>360</v>
      </c>
      <c r="F31" s="43">
        <v>0</v>
      </c>
      <c r="G31" s="43">
        <v>126</v>
      </c>
      <c r="H31" s="43">
        <v>1034</v>
      </c>
      <c r="I31" s="43">
        <v>1182</v>
      </c>
      <c r="J31" s="30" t="s">
        <v>361</v>
      </c>
      <c r="K31" s="43">
        <v>1692</v>
      </c>
      <c r="L31" s="143" t="s">
        <v>50</v>
      </c>
      <c r="M31" s="144">
        <f t="shared" si="0"/>
        <v>269.27999999999997</v>
      </c>
      <c r="N31" s="145" t="str">
        <f>VLOOKUP(C31,'Trips&amp;Operators'!$C$1:$G$99999,5,FALSE)</f>
        <v>GUZMAN DANNY</v>
      </c>
      <c r="O31" s="194" t="s">
        <v>362</v>
      </c>
      <c r="P31" s="146" t="s">
        <v>1058</v>
      </c>
      <c r="Q31" s="30"/>
      <c r="R31" s="89" t="str">
        <f>IF(VLOOKUP(C31,'Train Runs'!$A$13:$AE$9945,1,1)=C31,VLOOKUP(C31,'Train Runs'!$A$13:$AE$9945,31,1),NA())</f>
        <v>aws s3 cp s3://rtdc.mdm.uploadarchive.raw/RTDC4051/ "%USERPROFILE%\AppData\Local\Temp\OnboardLogs"\RTDC4051\2017-03-21 --exclude "*" --recursive --include "*20170321*" &amp; "%USERPROFILE%\Documents\GitHub\mrs-test-scripts\Headless Mode &amp; Sideloading\WalkAndUnGZ.bat" "%USERPROFILE%\AppData\Local\Temp\OnboardLogs"\RTDC4051\2017-03-21 &amp; aws s3 cp s3://rtdc.mdm.uploadarchive.raw/RTDC4051/ "%USERPROFILE%\AppData\Local\Temp\OnboardLogs"\RTDC4051\2017-03-22 --exclude "*" --recursive --include "*20170322*" &amp; "%USERPROFILE%\Documents\GitHub\mrs-test-scripts\Headless Mode &amp; Sideloading\WalkAndUnGZ.bat" "%USERPROFILE%\AppData\Local\Temp\OnboardLogs"\RTDC4051\2017-03-22</v>
      </c>
      <c r="S31" s="92" t="str">
        <f>VLOOKUP(C31,'Train Runs'!$A$13:$AE$9945,22,0)</f>
        <v>https://d0f6bd738d7f1b3e5a7ca70fe4ff75f0.us-east-1.aws.found.io/app/kibana#/discover/Steve-Slow-Train-Analysis-(2080s-and-2083s)?_g=(refreshInterval:(display:Off,pause:!f,section:0,value:0),time:(from:'2017-03-21T05:27:49-0600',mode:absolute,to:'2017-03-21T08:02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1" s="94" t="str">
        <f t="shared" si="1"/>
        <v>"C:\Program Files (x86)\AstroGrep\AstroGrep.exe" /e /r /s /spath="%USERPROFILE%\AppData\Local\Temp\OnboardLogs" /stypes="*4051*201703211*" /stext=" 12:.+((SYSTEM_STATE.+slice.+state.+changed )|(ment ac)|(multiple cpu faults)|(system.+state.+changed )|(\[timeout)|(PRM\|1\|D)|(kpr)|(kdp)|(\|lc)|(penalty))"</v>
      </c>
      <c r="U31" s="9" t="str">
        <f t="shared" si="2"/>
        <v>4051</v>
      </c>
      <c r="V31" s="32">
        <f t="shared" si="3"/>
        <v>42815.515648148146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{"issue":{"subject":"DUS SW 1 failure","project_id":79,"tracker_id":40,"status_id":1,"priority_id":2,"assigned_to_id":23,"start_date":"2017-03-21","description":"","custom_fields":[{"id":1,"name":"Subdivision","value":"EC"},{"id":4,"name":"Milepost","value":"0.1692"},{"id":17,"name":"Train ID","value":"121-21"},{"id":16,"name":"Locomotive ID","value":"4051"},{"id":130,"name":"Impact","value":""},{"id":150,"name":"Time of Event (Mountain Time)","value":"06:22:32"},{"id":151,"name":"Denver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7"/>
        <v>grep -hSE -A400 "Enforcement Action" "%USERPROFILE%\AppData\Local\Temp\OnboardLogs"\RTDC4051\*4051*201703211*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"%USERPROFILE%\AppData\Local\Temp\OnboardLogs"\RTDC4051\*4051*201703211* &gt;&gt; 2017-03-21-SliceDisagreementCheck.txt</v>
      </c>
      <c r="AE31" s="157" t="str">
        <f t="shared" si="9"/>
        <v>start /low /b %USERPROFILE%\Documents\GitHub\eaglep3\Utilities\DownloadLogsFromS3.py --loco 4051 --day 2017-03-21</v>
      </c>
      <c r="AF31" s="1"/>
    </row>
    <row r="32" spans="1:32" x14ac:dyDescent="0.25">
      <c r="A32" s="32">
        <v>42815.573263888888</v>
      </c>
      <c r="B32" s="30" t="s">
        <v>422</v>
      </c>
      <c r="C32" s="30" t="s">
        <v>618</v>
      </c>
      <c r="D32" s="30" t="s">
        <v>49</v>
      </c>
      <c r="E32" s="30" t="s">
        <v>360</v>
      </c>
      <c r="F32" s="43">
        <v>0</v>
      </c>
      <c r="G32" s="43">
        <v>141</v>
      </c>
      <c r="H32" s="43">
        <v>932</v>
      </c>
      <c r="I32" s="43">
        <v>1165</v>
      </c>
      <c r="J32" s="30" t="s">
        <v>361</v>
      </c>
      <c r="K32" s="43">
        <v>1692</v>
      </c>
      <c r="L32" s="143" t="s">
        <v>50</v>
      </c>
      <c r="M32" s="144">
        <f t="shared" si="0"/>
        <v>278.25599999999997</v>
      </c>
      <c r="N32" s="145" t="str">
        <f>VLOOKUP(C32,'Trips&amp;Operators'!$C$1:$G$99999,5,FALSE)</f>
        <v>LOCKLEAR TRAVIS</v>
      </c>
      <c r="O32" s="194" t="s">
        <v>185</v>
      </c>
      <c r="P32" s="146" t="s">
        <v>531</v>
      </c>
      <c r="Q32" s="30"/>
      <c r="R32" s="89" t="str">
        <f>IF(VLOOKUP(C32,'Train Runs'!$A$13:$AE$9945,1,1)=C32,VLOOKUP(C32,'Train Runs'!$A$13:$AE$9945,31,1),NA())</f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S32" s="92" t="str">
        <f>VLOOKUP(C32,'Train Runs'!$A$13:$AE$9945,22,0)</f>
        <v>https://d0f6bd738d7f1b3e5a7ca70fe4ff75f0.us-east-1.aws.found.io/app/kibana#/discover/Steve-Slow-Train-Analysis-(2080s-and-2083s)?_g=(refreshInterval:(display:Off,pause:!f,section:0,value:0),time:(from:'2017-03-21T12:41:45-0600',mode:absolute,to:'2017-03-21T15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94" t="str">
        <f t="shared" si="1"/>
        <v>"C:\Program Files (x86)\AstroGrep\AstroGrep.exe" /e /r /s /spath="%USERPROFILE%\AppData\Local\Temp\OnboardLogs" /stypes="*4044*201703211*" /stext=" 19:.+((SYSTEM_STATE.+slice.+state.+changed )|(ment ac)|(multiple cpu faults)|(system.+state.+changed )|(\[timeout)|(PRM\|1\|D)|(kpr)|(kdp)|(\|lc)|(penalty))"</v>
      </c>
      <c r="U32" s="9" t="str">
        <f t="shared" si="2"/>
        <v>4044</v>
      </c>
      <c r="V32" s="32">
        <f t="shared" si="3"/>
        <v>42815.823263888888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{"issue":{"subject":"Selected wrong track","project_id":79,"tracker_id":40,"status_id":1,"priority_id":2,"assigned_to_id":23,"start_date":"2017-03-21","description":"","custom_fields":[{"id":1,"name":"Subdivision","value":"EC"},{"id":4,"name":"Milepost","value":"0.1692"},{"id":17,"name":"Train ID","value":"181-21"},{"id":16,"name":"Locomotive ID","value":"4044"},{"id":130,"name":"Impact","value":""},{"id":150,"name":"Time of Event (Mountain Time)","value":"13:45:30"},{"id":151,"name":"Denver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7"/>
        <v>grep -hSE -A400 "Enforcement Action" "%USERPROFILE%\AppData\Local\Temp\OnboardLogs"\RTDC4044\*4044*201703211*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"%USERPROFILE%\AppData\Local\Temp\OnboardLogs"\RTDC4044\*4044*201703211* &gt;&gt; 2017-03-21-SliceDisagreementCheck.txt</v>
      </c>
      <c r="AE32" s="157" t="str">
        <f t="shared" si="9"/>
        <v>start /low /b %USERPROFILE%\Documents\GitHub\eaglep3\Utilities\DownloadLogsFromS3.py --loco 4044 --day 2017-03-21</v>
      </c>
      <c r="AF32" s="1"/>
    </row>
    <row r="33" spans="1:32" x14ac:dyDescent="0.25">
      <c r="A33" s="32">
        <v>42815.309351851851</v>
      </c>
      <c r="B33" s="30" t="s">
        <v>425</v>
      </c>
      <c r="C33" s="30" t="s">
        <v>600</v>
      </c>
      <c r="D33" s="30" t="s">
        <v>98</v>
      </c>
      <c r="E33" s="30" t="s">
        <v>360</v>
      </c>
      <c r="F33" s="43">
        <v>200</v>
      </c>
      <c r="G33" s="43">
        <v>251</v>
      </c>
      <c r="H33" s="43">
        <v>19852</v>
      </c>
      <c r="I33" s="43">
        <v>20506</v>
      </c>
      <c r="J33" s="30" t="s">
        <v>361</v>
      </c>
      <c r="K33" s="43">
        <v>10800</v>
      </c>
      <c r="L33" s="143" t="s">
        <v>50</v>
      </c>
      <c r="M33" s="144">
        <f t="shared" si="0"/>
        <v>-5124.768</v>
      </c>
      <c r="N33" s="145" t="str">
        <f>VLOOKUP(C33,'Trips&amp;Operators'!$C$1:$G$99999,5,FALSE)</f>
        <v>SULLIVAN BRANDON</v>
      </c>
      <c r="O33" s="194" t="s">
        <v>362</v>
      </c>
      <c r="P33" s="146" t="s">
        <v>1058</v>
      </c>
      <c r="Q33" s="30"/>
      <c r="R33" s="89" t="str">
        <f>IF(VLOOKUP(C33,'Train Runs'!$A$13:$AE$9945,1,1)=C33,VLOOKUP(C33,'Train Runs'!$A$13:$AE$9945,31,1),NA())</f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S33" s="92" t="str">
        <f>VLOOKUP(C33,'Train Runs'!$A$13:$AE$9945,22,0)</f>
        <v>https://d0f6bd738d7f1b3e5a7ca70fe4ff75f0.us-east-1.aws.found.io/app/kibana#/discover/Steve-Slow-Train-Analysis-(2080s-and-2083s)?_g=(refreshInterval:(display:Off,pause:!f,section:0,value:0),time:(from:'2017-03-21T06:23:49-0600',mode:absolute,to:'2017-03-21T09:01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3" s="94" t="str">
        <f t="shared" si="1"/>
        <v>"C:\Program Files (x86)\AstroGrep\AstroGrep.exe" /e /r /s /spath="%USERPROFILE%\AppData\Local\Temp\OnboardLogs" /stypes="*4016*201703211*" /stext=" 13:.+((SYSTEM_STATE.+slice.+state.+changed )|(ment ac)|(multiple cpu faults)|(system.+state.+changed )|(\[timeout)|(PRM\|1\|D)|(kpr)|(kdp)|(\|lc)|(penalty))"</v>
      </c>
      <c r="U33" s="9" t="str">
        <f t="shared" si="2"/>
        <v>4016</v>
      </c>
      <c r="V33" s="32">
        <f t="shared" si="3"/>
        <v>42815.559351851851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{"issue":{"subject":"DUS SW 1 failure","project_id":79,"tracker_id":40,"status_id":1,"priority_id":2,"assigned_to_id":23,"start_date":"2017-03-21","description":"","custom_fields":[{"id":1,"name":"Subdivision","value":"EC"},{"id":4,"name":"Milepost","value":"1.08"},{"id":17,"name":"Train ID","value":"129-21"},{"id":16,"name":"Locomotive ID","value":"4016"},{"id":130,"name":"Impact","value":""},{"id":150,"name":"Time of Event (Mountain Time)","value":"07:25:28"},{"id":151,"name":"Denver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7"/>
        <v>grep -hSE -A400 "Enforcement Action" "%USERPROFILE%\AppData\Local\Temp\OnboardLogs"\RTDC4016\*4016*201703211*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"%USERPROFILE%\AppData\Local\Temp\OnboardLogs"\RTDC4016\*4016*201703211* &gt;&gt; 2017-03-21-SliceDisagreementCheck.txt</v>
      </c>
      <c r="AE33" s="157" t="str">
        <f t="shared" si="9"/>
        <v>start /low /b %USERPROFILE%\Documents\GitHub\eaglep3\Utilities\DownloadLogsFromS3.py --loco 4016 --day 2017-03-21</v>
      </c>
      <c r="AF33" s="1"/>
    </row>
    <row r="34" spans="1:32" x14ac:dyDescent="0.25">
      <c r="A34" s="32">
        <v>42815.328009259261</v>
      </c>
      <c r="B34" s="30" t="s">
        <v>400</v>
      </c>
      <c r="C34" s="30" t="s">
        <v>601</v>
      </c>
      <c r="D34" s="30" t="s">
        <v>98</v>
      </c>
      <c r="E34" s="30" t="s">
        <v>360</v>
      </c>
      <c r="F34" s="43">
        <v>200</v>
      </c>
      <c r="G34" s="43">
        <v>258</v>
      </c>
      <c r="H34" s="43">
        <v>20686</v>
      </c>
      <c r="I34" s="43">
        <v>21095</v>
      </c>
      <c r="J34" s="30" t="s">
        <v>361</v>
      </c>
      <c r="K34" s="43">
        <v>10800</v>
      </c>
      <c r="L34" s="143" t="s">
        <v>50</v>
      </c>
      <c r="M34" s="144">
        <f t="shared" si="0"/>
        <v>-5435.76</v>
      </c>
      <c r="N34" s="145" t="str">
        <f>VLOOKUP(C34,'Trips&amp;Operators'!$C$1:$G$99999,5,FALSE)</f>
        <v>STARKS ANGELINA</v>
      </c>
      <c r="O34" s="194" t="s">
        <v>362</v>
      </c>
      <c r="P34" s="146" t="s">
        <v>1058</v>
      </c>
      <c r="Q34" s="30"/>
      <c r="R34" s="89" t="str">
        <f>IF(VLOOKUP(C34,'Train Runs'!$A$13:$AE$9945,1,1)=C34,VLOOKUP(C34,'Train Runs'!$A$13:$AE$9945,31,1),NA())</f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S34" s="92" t="str">
        <f>VLOOKUP(C34,'Train Runs'!$A$13:$AE$9945,22,0)</f>
        <v>https://d0f6bd738d7f1b3e5a7ca70fe4ff75f0.us-east-1.aws.found.io/app/kibana#/discover/Steve-Slow-Train-Analysis-(2080s-and-2083s)?_g=(refreshInterval:(display:Off,pause:!f,section:0,value:0),time:(from:'2017-03-21T06:43:22-0600',mode:absolute,to:'2017-03-21T09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94" t="str">
        <f t="shared" si="1"/>
        <v>"C:\Program Files (x86)\AstroGrep\AstroGrep.exe" /e /r /s /spath="%USERPROFILE%\AppData\Local\Temp\OnboardLogs" /stypes="*4031*201703211*" /stext=" 13:.+((SYSTEM_STATE.+slice.+state.+changed )|(ment ac)|(multiple cpu faults)|(system.+state.+changed )|(\[timeout)|(PRM\|1\|D)|(kpr)|(kdp)|(\|lc)|(penalty))"</v>
      </c>
      <c r="U34" s="9" t="str">
        <f t="shared" si="2"/>
        <v>4031</v>
      </c>
      <c r="V34" s="32">
        <f t="shared" si="3"/>
        <v>42815.578009259261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{"issue":{"subject":"DUS SW 1 failure","project_id":79,"tracker_id":40,"status_id":1,"priority_id":2,"assigned_to_id":23,"start_date":"2017-03-21","description":"","custom_fields":[{"id":1,"name":"Subdivision","value":"EC"},{"id":4,"name":"Milepost","value":"1.08"},{"id":17,"name":"Train ID","value":"133-21"},{"id":16,"name":"Locomotive ID","value":"4031"},{"id":130,"name":"Impact","value":""},{"id":150,"name":"Time of Event (Mountain Time)","value":"07:52:20"},{"id":151,"name":"Denver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7"/>
        <v>grep -hSE -A400 "Enforcement Action" "%USERPROFILE%\AppData\Local\Temp\OnboardLogs"\RTDC4031\*4031*201703211*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"%USERPROFILE%\AppData\Local\Temp\OnboardLogs"\RTDC4031\*4031*201703211* &gt;&gt; 2017-03-21-SliceDisagreementCheck.txt</v>
      </c>
      <c r="AE34" s="157" t="str">
        <f t="shared" si="9"/>
        <v>start /low /b %USERPROFILE%\Documents\GitHub\eaglep3\Utilities\DownloadLogsFromS3.py --loco 4031 --day 2017-03-21</v>
      </c>
      <c r="AF34" s="1"/>
    </row>
    <row r="35" spans="1:32" x14ac:dyDescent="0.25">
      <c r="A35" s="32">
        <v>42815.599641203706</v>
      </c>
      <c r="B35" s="30" t="s">
        <v>425</v>
      </c>
      <c r="C35" s="30" t="s">
        <v>620</v>
      </c>
      <c r="D35" s="30" t="s">
        <v>98</v>
      </c>
      <c r="E35" s="30" t="s">
        <v>360</v>
      </c>
      <c r="F35" s="43">
        <v>200</v>
      </c>
      <c r="G35" s="43">
        <v>254</v>
      </c>
      <c r="H35" s="43">
        <v>20638</v>
      </c>
      <c r="I35" s="43">
        <v>21267</v>
      </c>
      <c r="J35" s="30" t="s">
        <v>361</v>
      </c>
      <c r="K35" s="43">
        <v>10800</v>
      </c>
      <c r="L35" s="143" t="s">
        <v>50</v>
      </c>
      <c r="M35" s="144">
        <f t="shared" si="0"/>
        <v>-5526.576</v>
      </c>
      <c r="N35" s="145" t="str">
        <f>VLOOKUP(C35,'Trips&amp;Operators'!$C$1:$G$99999,5,FALSE)</f>
        <v>STRICKLAND EVAN</v>
      </c>
      <c r="O35" s="194" t="s">
        <v>185</v>
      </c>
      <c r="P35" s="146" t="s">
        <v>531</v>
      </c>
      <c r="Q35" s="30"/>
      <c r="R35" s="89" t="str">
        <f>IF(VLOOKUP(C35,'Train Runs'!$A$13:$AE$9945,1,1)=C35,VLOOKUP(C35,'Train Runs'!$A$13:$AE$9945,31,1),NA())</f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S35" s="92" t="str">
        <f>VLOOKUP(C35,'Train Runs'!$A$13:$AE$9945,22,0)</f>
        <v>https://d0f6bd738d7f1b3e5a7ca70fe4ff75f0.us-east-1.aws.found.io/app/kibana#/discover/Steve-Slow-Train-Analysis-(2080s-and-2083s)?_g=(refreshInterval:(display:Off,pause:!f,section:0,value:0),time:(from:'2017-03-21T13:09:54-0600',mode:absolute,to:'2017-03-21T15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94" t="str">
        <f t="shared" si="1"/>
        <v>"C:\Program Files (x86)\AstroGrep\AstroGrep.exe" /e /r /s /spath="%USERPROFILE%\AppData\Local\Temp\OnboardLogs" /stypes="*4016*201703212*" /stext=" 20:.+((SYSTEM_STATE.+slice.+state.+changed )|(ment ac)|(multiple cpu faults)|(system.+state.+changed )|(\[timeout)|(PRM\|1\|D)|(kpr)|(kdp)|(\|lc)|(penalty))"</v>
      </c>
      <c r="U35" s="9" t="str">
        <f t="shared" si="2"/>
        <v>4016</v>
      </c>
      <c r="V35" s="32">
        <f t="shared" si="3"/>
        <v>42815.849641203706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{"issue":{"subject":"Selected wrong track","project_id":79,"tracker_id":40,"status_id":1,"priority_id":2,"assigned_to_id":23,"start_date":"2017-03-21","description":"","custom_fields":[{"id":1,"name":"Subdivision","value":"EC"},{"id":4,"name":"Milepost","value":"1.08"},{"id":17,"name":"Train ID","value":"185-21"},{"id":16,"name":"Locomotive ID","value":"4016"},{"id":130,"name":"Impact","value":""},{"id":150,"name":"Time of Event (Mountain Time)","value":"14:23:29"},{"id":151,"name":"Denver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7"/>
        <v>grep -hSE -A400 "Enforcement Action" "%USERPROFILE%\AppData\Local\Temp\OnboardLogs"\RTDC4016\*4016*201703212*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"%USERPROFILE%\AppData\Local\Temp\OnboardLogs"\RTDC4016\*4016*201703212* &gt;&gt; 2017-03-21-SliceDisagreementCheck.txt</v>
      </c>
      <c r="AE35" s="157" t="str">
        <f t="shared" si="9"/>
        <v>start /low /b %USERPROFILE%\Documents\GitHub\eaglep3\Utilities\DownloadLogsFromS3.py --loco 4016 --day 2017-03-21</v>
      </c>
      <c r="AF35" s="1"/>
    </row>
    <row r="36" spans="1:32" x14ac:dyDescent="0.25">
      <c r="A36" s="32">
        <v>42815.164895833332</v>
      </c>
      <c r="B36" s="30" t="s">
        <v>425</v>
      </c>
      <c r="C36" s="30" t="s">
        <v>592</v>
      </c>
      <c r="D36" s="30" t="s">
        <v>49</v>
      </c>
      <c r="E36" s="30" t="s">
        <v>360</v>
      </c>
      <c r="F36" s="43">
        <v>0</v>
      </c>
      <c r="G36" s="43">
        <v>391</v>
      </c>
      <c r="H36" s="43">
        <v>41442</v>
      </c>
      <c r="I36" s="43">
        <v>42493</v>
      </c>
      <c r="J36" s="30" t="s">
        <v>361</v>
      </c>
      <c r="K36" s="43">
        <v>43651</v>
      </c>
      <c r="L36" s="143" t="s">
        <v>50</v>
      </c>
      <c r="M36" s="144">
        <f t="shared" si="0"/>
        <v>611.42399999999998</v>
      </c>
      <c r="N36" s="145" t="str">
        <f>VLOOKUP(C36,'Trips&amp;Operators'!$C$1:$G$99999,5,FALSE)</f>
        <v>MAELZER KURT</v>
      </c>
      <c r="O36" s="194" t="s">
        <v>362</v>
      </c>
      <c r="P36" s="146" t="s">
        <v>530</v>
      </c>
      <c r="Q36" s="30"/>
      <c r="R36" s="89" t="str">
        <f>IF(VLOOKUP(C36,'Train Runs'!$A$13:$AE$9945,1,1)=C36,VLOOKUP(C36,'Train Runs'!$A$13:$AE$9945,31,1),NA())</f>
        <v>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 &amp; aws s3 cp s3://rtdc.mdm.uploadarchive.raw/RTDC4016/ "%USERPROFILE%\AppData\Local\Temp\OnboardLogs"\RTDC4016\2017-03-22 --exclude "*" --recursive --include "*20170322*" &amp; "%USERPROFILE%\Documents\GitHub\mrs-test-scripts\Headless Mode &amp; Sideloading\WalkAndUnGZ.bat" "%USERPROFILE%\AppData\Local\Temp\OnboardLogs"\RTDC4016\2017-03-22</v>
      </c>
      <c r="S36" s="92" t="str">
        <f>VLOOKUP(C36,'Train Runs'!$A$13:$AE$9945,22,0)</f>
        <v>https://d0f6bd738d7f1b3e5a7ca70fe4ff75f0.us-east-1.aws.found.io/app/kibana#/discover/Steve-Slow-Train-Analysis-(2080s-and-2083s)?_g=(refreshInterval:(display:Off,pause:!f,section:0,value:0),time:(from:'2017-03-21T02:44:33-0600',mode:absolute,to:'2017-03-21T05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94" t="str">
        <f t="shared" si="1"/>
        <v>"C:\Program Files (x86)\AstroGrep\AstroGrep.exe" /e /r /s /spath="%USERPROFILE%\AppData\Local\Temp\OnboardLogs" /stypes="*4016*201703210*" /stext=" 09:.+((SYSTEM_STATE.+slice.+state.+changed )|(ment ac)|(multiple cpu faults)|(system.+state.+changed )|(\[timeout)|(PRM\|1\|D)|(kpr)|(kdp)|(\|lc)|(penalty))"</v>
      </c>
      <c r="U36" s="9" t="str">
        <f t="shared" si="2"/>
        <v>4016</v>
      </c>
      <c r="V36" s="32">
        <f t="shared" si="3"/>
        <v>42815.414895833332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{"issue":{"subject":"Wi-MAX data drop","project_id":79,"tracker_id":40,"status_id":1,"priority_id":2,"assigned_to_id":23,"start_date":"2017-03-21","description":"http://stevetu21.github.io/eaglep3/load_kml.html?kml=http://rtdc.gmaps-snips.s3.amazonaws.com/13f0d763-3943-446b-a38e-6a61373f8ca0.kml","custom_fields":[{"id":1,"name":"Subdivision","value":"EC"},{"id":4,"name":"Milepost","value":"4.3651"},{"id":17,"name":"Train ID","value":"103-21"},{"id":16,"name":"Locomotive ID","value":"4016"},{"id":130,"name":"Impact","value":"Enforcement"},{"id":150,"name":"Time of Event (Mountain Time)","value":"03:57:27"},{"id":151,"name":"Denver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6" t="s">
        <v>1062</v>
      </c>
      <c r="AA36" s="48" t="s">
        <v>124</v>
      </c>
      <c r="AB36" s="48" t="s">
        <v>137</v>
      </c>
      <c r="AC36" s="127" t="str">
        <f t="shared" si="7"/>
        <v>grep -hSE -A400 "Enforcement Action" "%USERPROFILE%\AppData\Local\Temp\OnboardLogs"\RTDC4016\*4016*201703210*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"%USERPROFILE%\AppData\Local\Temp\OnboardLogs"\RTDC4016\*4016*201703210* &gt;&gt; 2017-03-21-SliceDisagreementCheck.txt</v>
      </c>
      <c r="AE36" s="157" t="str">
        <f t="shared" si="9"/>
        <v>start /low /b %USERPROFILE%\Documents\GitHub\eaglep3\Utilities\DownloadLogsFromS3.py --loco 4016 --day 2017-03-21</v>
      </c>
      <c r="AF36" s="1"/>
    </row>
    <row r="37" spans="1:32" x14ac:dyDescent="0.25">
      <c r="A37" s="32">
        <v>42815.224027777775</v>
      </c>
      <c r="B37" s="30" t="s">
        <v>492</v>
      </c>
      <c r="C37" s="30" t="s">
        <v>593</v>
      </c>
      <c r="D37" s="30" t="s">
        <v>49</v>
      </c>
      <c r="E37" s="30" t="s">
        <v>186</v>
      </c>
      <c r="F37" s="43">
        <v>0</v>
      </c>
      <c r="G37" s="43">
        <v>37</v>
      </c>
      <c r="H37" s="43">
        <v>139</v>
      </c>
      <c r="I37" s="43">
        <v>119</v>
      </c>
      <c r="J37" s="30" t="s">
        <v>187</v>
      </c>
      <c r="K37" s="43">
        <v>1</v>
      </c>
      <c r="L37" s="143" t="s">
        <v>51</v>
      </c>
      <c r="M37" s="144">
        <f t="shared" si="0"/>
        <v>62.304000000000002</v>
      </c>
      <c r="N37" s="145" t="str">
        <f>VLOOKUP(C37,'Trips&amp;Operators'!$C$1:$G$99999,5,FALSE)</f>
        <v>MAELZER KURT</v>
      </c>
      <c r="O37" s="194" t="s">
        <v>185</v>
      </c>
      <c r="P37" s="146"/>
      <c r="Q37" s="30"/>
      <c r="R37" s="89" t="str">
        <f>IF(VLOOKUP(C37,'Train Runs'!$A$13:$AE$9945,1,1)=C37,VLOOKUP(C37,'Train Runs'!$A$13:$AE$9945,31,1),NA())</f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S37" s="92" t="str">
        <f>VLOOKUP(C37,'Train Runs'!$A$13:$AE$9945,22,0)</f>
        <v>https://d0f6bd738d7f1b3e5a7ca70fe4ff75f0.us-east-1.aws.found.io/app/kibana#/discover/Steve-Slow-Train-Analysis-(2080s-and-2083s)?_g=(refreshInterval:(display:Off,pause:!f,section:0,value:0),time:(from:'2017-03-21T03:32:42-0600',mode:absolute,to:'2017-03-21T06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94" t="str">
        <f t="shared" si="1"/>
        <v>"C:\Program Files (x86)\AstroGrep\AstroGrep.exe" /e /r /s /spath="%USERPROFILE%\AppData\Local\Temp\OnboardLogs" /stypes="*4041*201703211*" /stext=" 11:.+((SYSTEM_STATE.+slice.+state.+changed )|(ment ac)|(multiple cpu faults)|(system.+state.+changed )|(\[timeout)|(PRM\|1\|D)|(kpr)|(kdp)|(\|lc)|(penalty))"</v>
      </c>
      <c r="U37" s="9" t="str">
        <f t="shared" si="2"/>
        <v>4041</v>
      </c>
      <c r="V37" s="32">
        <f t="shared" si="3"/>
        <v>42815.474027777775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ID","value":"104-21"},{"id":16,"name":"Locomotive ID","value":"4041"},{"id":130,"name":"Impact","value":""},{"id":150,"name":"Time of Event (Mountain Time)","value":"05:22:36"},{"id":151,"name":"Denver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7"/>
        <v>grep -hSE -A400 "Enforcement Action" "%USERPROFILE%\AppData\Local\Temp\OnboardLogs"\RTDC4041\*4041*201703211*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"%USERPROFILE%\AppData\Local\Temp\OnboardLogs"\RTDC4041\*4041*201703211* &gt;&gt; 2017-03-21-SliceDisagreementCheck.txt</v>
      </c>
      <c r="AE37" s="157" t="str">
        <f t="shared" si="9"/>
        <v>start /low /b %USERPROFILE%\Documents\GitHub\eaglep3\Utilities\DownloadLogsFromS3.py --loco 4041 --day 2017-03-21</v>
      </c>
      <c r="AF37" s="1"/>
    </row>
    <row r="38" spans="1:32" x14ac:dyDescent="0.25">
      <c r="A38" s="32">
        <v>42815.484710648147</v>
      </c>
      <c r="B38" s="30" t="s">
        <v>487</v>
      </c>
      <c r="C38" s="30" t="s">
        <v>615</v>
      </c>
      <c r="D38" s="30" t="s">
        <v>49</v>
      </c>
      <c r="E38" s="30" t="s">
        <v>186</v>
      </c>
      <c r="F38" s="43">
        <v>0</v>
      </c>
      <c r="G38" s="43">
        <v>53</v>
      </c>
      <c r="H38" s="43">
        <v>181</v>
      </c>
      <c r="I38" s="43">
        <v>132</v>
      </c>
      <c r="J38" s="30" t="s">
        <v>187</v>
      </c>
      <c r="K38" s="43">
        <v>1</v>
      </c>
      <c r="L38" s="143" t="s">
        <v>51</v>
      </c>
      <c r="M38" s="144">
        <f t="shared" si="0"/>
        <v>69.168000000000006</v>
      </c>
      <c r="N38" s="145" t="str">
        <f>VLOOKUP(C38,'Trips&amp;Operators'!$C$1:$G$99999,5,FALSE)</f>
        <v>DAVIS WENDY</v>
      </c>
      <c r="O38" s="194" t="s">
        <v>185</v>
      </c>
      <c r="P38" s="146"/>
      <c r="Q38" s="30"/>
      <c r="R38" s="89" t="str">
        <f>IF(VLOOKUP(C38,'Train Runs'!$A$13:$AE$9945,1,1)=C38,VLOOKUP(C38,'Train Runs'!$A$13:$AE$9945,31,1),NA())</f>
        <v>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 &amp; aws s3 cp s3://rtdc.mdm.uploadarchive.raw/RTDC4026/ "%USERPROFILE%\AppData\Local\Temp\OnboardLogs"\RTDC4026\2017-03-22 --exclude "*" --recursive --include "*20170322*" &amp; "%USERPROFILE%\Documents\GitHub\mrs-test-scripts\Headless Mode &amp; Sideloading\WalkAndUnGZ.bat" "%USERPROFILE%\AppData\Local\Temp\OnboardLogs"\RTDC4026\2017-03-22</v>
      </c>
      <c r="S38" s="92" t="str">
        <f>VLOOKUP(C38,'Train Runs'!$A$13:$AE$9945,22,0)</f>
        <v>https://d0f6bd738d7f1b3e5a7ca70fe4ff75f0.us-east-1.aws.found.io/app/kibana#/discover/Steve-Slow-Train-Analysis-(2080s-and-2083s)?_g=(refreshInterval:(display:Off,pause:!f,section:0,value:0),time:(from:'2017-03-21T09:53:19-0600',mode:absolute,to:'2017-03-21T12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8" s="94" t="str">
        <f t="shared" si="1"/>
        <v>"C:\Program Files (x86)\AstroGrep\AstroGrep.exe" /e /r /s /spath="%USERPROFILE%\AppData\Local\Temp\OnboardLogs" /stypes="*4026*201703211*" /stext=" 17:.+((SYSTEM_STATE.+slice.+state.+changed )|(ment ac)|(multiple cpu faults)|(system.+state.+changed )|(\[timeout)|(PRM\|1\|D)|(kpr)|(kdp)|(\|lc)|(penalty))"</v>
      </c>
      <c r="U38" s="9" t="str">
        <f t="shared" si="2"/>
        <v>4026</v>
      </c>
      <c r="V38" s="32">
        <f t="shared" si="3"/>
        <v>42815.734710648147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ID","value":"152-21"},{"id":16,"name":"Locomotive ID","value":"4026"},{"id":130,"name":"Impact","value":""},{"id":150,"name":"Time of Event (Mountain Time)","value":"11:37:59"},{"id":151,"name":"Denver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 t="shared" si="7"/>
        <v>grep -hSE -A400 "Enforcement Action" "%USERPROFILE%\AppData\Local\Temp\OnboardLogs"\RTDC4026\*4026*201703211*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"%USERPROFILE%\AppData\Local\Temp\OnboardLogs"\RTDC4026\*4026*201703211* &gt;&gt; 2017-03-21-SliceDisagreementCheck.txt</v>
      </c>
      <c r="AE38" s="157" t="str">
        <f t="shared" si="9"/>
        <v>start /low /b %USERPROFILE%\Documents\GitHub\eaglep3\Utilities\DownloadLogsFromS3.py --loco 4026 --day 2017-03-21</v>
      </c>
      <c r="AF38" s="1"/>
    </row>
    <row r="39" spans="1:32" x14ac:dyDescent="0.25">
      <c r="A39" s="32">
        <v>42815.600659722222</v>
      </c>
      <c r="B39" s="30" t="s">
        <v>492</v>
      </c>
      <c r="C39" s="30" t="s">
        <v>621</v>
      </c>
      <c r="D39" s="30" t="s">
        <v>49</v>
      </c>
      <c r="E39" s="30" t="s">
        <v>186</v>
      </c>
      <c r="F39" s="43">
        <v>0</v>
      </c>
      <c r="G39" s="43">
        <v>66</v>
      </c>
      <c r="H39" s="43">
        <v>256</v>
      </c>
      <c r="I39" s="43">
        <v>187</v>
      </c>
      <c r="J39" s="30" t="s">
        <v>187</v>
      </c>
      <c r="K39" s="43">
        <v>1</v>
      </c>
      <c r="L39" s="143" t="s">
        <v>51</v>
      </c>
      <c r="M39" s="144">
        <f t="shared" ref="M39:M70" si="10">CONVERT((I39-K39)/10000,"mi","ft")*IF(L39="Increasing Mileposts (1)",-1,1)</f>
        <v>98.207999999999998</v>
      </c>
      <c r="N39" s="145" t="str">
        <f>VLOOKUP(C39,'Trips&amp;Operators'!$C$1:$G$99999,5,FALSE)</f>
        <v>DAVIS MICHAEL</v>
      </c>
      <c r="O39" s="194" t="s">
        <v>185</v>
      </c>
      <c r="P39" s="146"/>
      <c r="Q39" s="30"/>
      <c r="R39" s="89" t="str">
        <f>IF(VLOOKUP(C39,'Train Runs'!$A$13:$AE$9945,1,1)=C39,VLOOKUP(C39,'Train Runs'!$A$13:$AE$9945,31,1),NA())</f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S39" s="92" t="str">
        <f>VLOOKUP(C39,'Train Runs'!$A$13:$AE$9945,22,0)</f>
        <v>https://d0f6bd738d7f1b3e5a7ca70fe4ff75f0.us-east-1.aws.found.io/app/kibana#/discover/Steve-Slow-Train-Analysis-(2080s-and-2083s)?_g=(refreshInterval:(display:Off,pause:!f,section:0,value:0),time:(from:'2017-03-21T12:38:36-0600',mode:absolute,to:'2017-03-21T15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9" s="94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/stypes="*4041*201703212*" /stext=" 20:.+((SYSTEM_STATE.+slice.+state.+changed )|(ment ac)|(multiple cpu faults)|(system.+state.+changed )|(\[timeout)|(PRM\|1\|D)|(kpr)|(kdp)|(\|lc)|(penalty))"</v>
      </c>
      <c r="U39" s="9" t="str">
        <f t="shared" ref="U39:U56" si="12">MID(B39,13,4)</f>
        <v>4041</v>
      </c>
      <c r="V39" s="32">
        <f t="shared" ref="V39:V56" si="13">A39-utc_offset/24</f>
        <v>42815.850659722222</v>
      </c>
      <c r="W39" s="46" t="str">
        <f t="shared" ref="W39:W56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6" si="15">IF(AND(E39="TRACK WARRANT AUTHORITY",G39&lt;10),"OMIT","KEEP")</f>
        <v>KEEP</v>
      </c>
      <c r="Y39" s="108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ID","value":"174-21"},{"id":16,"name":"Locomotive ID","value":"4041"},{"id":130,"name":"Impact","value":""},{"id":150,"name":"Time of Event (Mountain Time)","value":"14:24:57"},{"id":151,"name":"Denver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ref="AC39:AC56" si="17"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"%USERPROFILE%\AppData\Local\Temp\OnboardLogs"\RTDC4041\*4041*201703212*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"%USERPROFILE%\AppData\Local\Temp\OnboardLogs"\RTDC4041\*4041*201703212* &gt;&gt; 2017-03-21-SliceDisagreementCheck.txt</v>
      </c>
      <c r="AE39" s="157" t="str">
        <f t="shared" si="9"/>
        <v>start /low /b %USERPROFILE%\Documents\GitHub\eaglep3\Utilities\DownloadLogsFromS3.py --loco 4041 --day 2017-03-21</v>
      </c>
      <c r="AF39" s="1"/>
    </row>
    <row r="40" spans="1:32" x14ac:dyDescent="0.25">
      <c r="A40" s="32">
        <v>42815.744421296295</v>
      </c>
      <c r="B40" s="30" t="s">
        <v>492</v>
      </c>
      <c r="C40" s="30" t="s">
        <v>628</v>
      </c>
      <c r="D40" s="30" t="s">
        <v>49</v>
      </c>
      <c r="E40" s="30" t="s">
        <v>186</v>
      </c>
      <c r="F40" s="43">
        <v>0</v>
      </c>
      <c r="G40" s="43">
        <v>77</v>
      </c>
      <c r="H40" s="43">
        <v>273</v>
      </c>
      <c r="I40" s="43">
        <v>187</v>
      </c>
      <c r="J40" s="30" t="s">
        <v>187</v>
      </c>
      <c r="K40" s="43">
        <v>1</v>
      </c>
      <c r="L40" s="143" t="s">
        <v>51</v>
      </c>
      <c r="M40" s="144">
        <f t="shared" si="10"/>
        <v>98.207999999999998</v>
      </c>
      <c r="N40" s="145" t="str">
        <f>VLOOKUP(C40,'Trips&amp;Operators'!$C$1:$G$99999,5,FALSE)</f>
        <v>DAVIS MICHAEL</v>
      </c>
      <c r="O40" s="194" t="s">
        <v>185</v>
      </c>
      <c r="P40" s="146"/>
      <c r="Q40" s="30"/>
      <c r="R40" s="89" t="str">
        <f>IF(VLOOKUP(C40,'Train Runs'!$A$13:$AE$9945,1,1)=C40,VLOOKUP(C40,'Train Runs'!$A$13:$AE$9945,31,1),NA())</f>
        <v>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 &amp; aws s3 cp s3://rtdc.mdm.uploadarchive.raw/RTDC4041/ "%USERPROFILE%\AppData\Local\Temp\OnboardLogs"\RTDC4041\2017-03-22 --exclude "*" --recursive --include "*20170322*" &amp; "%USERPROFILE%\Documents\GitHub\mrs-test-scripts\Headless Mode &amp; Sideloading\WalkAndUnGZ.bat" "%USERPROFILE%\AppData\Local\Temp\OnboardLogs"\RTDC4041\2017-03-22</v>
      </c>
      <c r="S40" s="92" t="str">
        <f>VLOOKUP(C40,'Train Runs'!$A$13:$AE$9945,22,0)</f>
        <v>https://d0f6bd738d7f1b3e5a7ca70fe4ff75f0.us-east-1.aws.found.io/app/kibana#/discover/Steve-Slow-Train-Analysis-(2080s-and-2083s)?_g=(refreshInterval:(display:Off,pause:!f,section:0,value:0),time:(from:'2017-03-21T16:08:25-0600',mode:absolute,to:'2017-03-21T18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0" s="94" t="str">
        <f t="shared" si="11"/>
        <v>"C:\Program Files (x86)\AstroGrep\AstroGrep.exe" /e /r /s /spath="%USERPROFILE%\AppData\Local\Temp\OnboardLogs" /stypes="*4041*201703212*" /stext=" 23:.+((SYSTEM_STATE.+slice.+state.+changed )|(ment ac)|(multiple cpu faults)|(system.+state.+changed )|(\[timeout)|(PRM\|1\|D)|(kpr)|(kdp)|(\|lc)|(penalty))"</v>
      </c>
      <c r="U40" s="9" t="str">
        <f t="shared" si="12"/>
        <v>4041</v>
      </c>
      <c r="V40" s="32">
        <f t="shared" si="13"/>
        <v>42815.994421296295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ID","value":"202-21"},{"id":16,"name":"Locomotive ID","value":"4041"},{"id":130,"name":"Impact","value":""},{"id":150,"name":"Time of Event (Mountain Time)","value":"17:51:58"},{"id":151,"name":"Denver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22"/>
      <c r="AA40" s="48"/>
      <c r="AB40" s="48"/>
      <c r="AC40" s="127" t="str">
        <f t="shared" si="17"/>
        <v>grep -hSE -A400 "Enforcement Action" "%USERPROFILE%\AppData\Local\Temp\OnboardLogs"\RTDC4041\*4041*201703212*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"%USERPROFILE%\AppData\Local\Temp\OnboardLogs"\RTDC4041\*4041*201703212* &gt;&gt; 2017-03-21-SliceDisagreementCheck.txt</v>
      </c>
      <c r="AE40" s="157" t="str">
        <f t="shared" si="9"/>
        <v>start /low /b %USERPROFILE%\Documents\GitHub\eaglep3\Utilities\DownloadLogsFromS3.py --loco 4041 --day 2017-03-21</v>
      </c>
      <c r="AF40" s="1"/>
    </row>
    <row r="41" spans="1:32" x14ac:dyDescent="0.25">
      <c r="A41" s="32">
        <v>42815.754178240742</v>
      </c>
      <c r="B41" s="30" t="s">
        <v>399</v>
      </c>
      <c r="C41" s="30" t="s">
        <v>630</v>
      </c>
      <c r="D41" s="30" t="s">
        <v>49</v>
      </c>
      <c r="E41" s="30" t="s">
        <v>186</v>
      </c>
      <c r="F41" s="43">
        <v>0</v>
      </c>
      <c r="G41" s="43">
        <v>146</v>
      </c>
      <c r="H41" s="43">
        <v>611</v>
      </c>
      <c r="I41" s="43">
        <v>438</v>
      </c>
      <c r="J41" s="30" t="s">
        <v>187</v>
      </c>
      <c r="K41" s="43">
        <v>1</v>
      </c>
      <c r="L41" s="143" t="s">
        <v>51</v>
      </c>
      <c r="M41" s="144">
        <f t="shared" si="10"/>
        <v>230.73599999999999</v>
      </c>
      <c r="N41" s="145" t="str">
        <f>VLOOKUP(C41,'Trips&amp;Operators'!$C$1:$G$99999,5,FALSE)</f>
        <v>STEWART MICHAEL</v>
      </c>
      <c r="O41" s="194" t="s">
        <v>185</v>
      </c>
      <c r="P41" s="146"/>
      <c r="Q41" s="30"/>
      <c r="R41" s="89" t="str">
        <f>IF(VLOOKUP(C41,'Train Runs'!$A$13:$AE$9945,1,1)=C41,VLOOKUP(C41,'Train Runs'!$A$13:$AE$9945,31,1),NA())</f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S41" s="92" t="str">
        <f>VLOOKUP(C41,'Train Runs'!$A$13:$AE$9945,22,0)</f>
        <v>https://d0f6bd738d7f1b3e5a7ca70fe4ff75f0.us-east-1.aws.found.io/app/kibana#/discover/Steve-Slow-Train-Analysis-(2080s-and-2083s)?_g=(refreshInterval:(display:Off,pause:!f,section:0,value:0),time:(from:'2017-03-21T16:23:09-0600',mode:absolute,to:'2017-03-21T19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1" s="94" t="str">
        <f t="shared" si="11"/>
        <v>"C:\Program Files (x86)\AstroGrep\AstroGrep.exe" /e /r /s /spath="%USERPROFILE%\AppData\Local\Temp\OnboardLogs" /stypes="*4032*201703220*" /stext=" 00:.+((SYSTEM_STATE.+slice.+state.+changed )|(ment ac)|(multiple cpu faults)|(system.+state.+changed )|(\[timeout)|(PRM\|1\|D)|(kpr)|(kdp)|(\|lc)|(penalty))"</v>
      </c>
      <c r="U41" s="9" t="str">
        <f t="shared" si="12"/>
        <v>4032</v>
      </c>
      <c r="V41" s="32">
        <f t="shared" si="13"/>
        <v>42816.004178240742</v>
      </c>
      <c r="W41" s="46" t="str">
        <f t="shared" si="14"/>
        <v>EC</v>
      </c>
      <c r="X41" s="46" t="str">
        <f t="shared" si="15"/>
        <v>KEEP</v>
      </c>
      <c r="Y41" s="108" t="str">
        <f t="shared" si="16"/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ID","value":"204-21"},{"id":16,"name":"Locomotive ID","value":"4032"},{"id":130,"name":"Impact","value":""},{"id":150,"name":"Time of Event (Mountain Time)","value":"18:06:01"},{"id":151,"name":"Denver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22"/>
      <c r="AA41" s="48"/>
      <c r="AB41" s="48"/>
      <c r="AC41" s="127" t="str">
        <f t="shared" si="17"/>
        <v>grep -hSE -A400 "Enforcement Action" "%USERPROFILE%\AppData\Local\Temp\OnboardLogs"\RTDC4032\*4032*201703220*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"%USERPROFILE%\AppData\Local\Temp\OnboardLogs"\RTDC4032\*4032*201703220* &gt;&gt; 2017-03-21-SliceDisagreementCheck.txt</v>
      </c>
      <c r="AE41" s="157" t="str">
        <f t="shared" si="9"/>
        <v>start /low /b %USERPROFILE%\Documents\GitHub\eaglep3\Utilities\DownloadLogsFromS3.py --loco 4032 --day 2017-03-22</v>
      </c>
      <c r="AF41" s="1"/>
    </row>
    <row r="42" spans="1:32" x14ac:dyDescent="0.25">
      <c r="A42" s="32">
        <v>42815.754652777781</v>
      </c>
      <c r="B42" s="30" t="s">
        <v>399</v>
      </c>
      <c r="C42" s="30" t="s">
        <v>630</v>
      </c>
      <c r="D42" s="30" t="s">
        <v>49</v>
      </c>
      <c r="E42" s="30" t="s">
        <v>186</v>
      </c>
      <c r="F42" s="43">
        <v>0</v>
      </c>
      <c r="G42" s="43">
        <v>78</v>
      </c>
      <c r="H42" s="43">
        <v>307</v>
      </c>
      <c r="I42" s="43">
        <v>234</v>
      </c>
      <c r="J42" s="30" t="s">
        <v>187</v>
      </c>
      <c r="K42" s="43">
        <v>1</v>
      </c>
      <c r="L42" s="143" t="s">
        <v>51</v>
      </c>
      <c r="M42" s="144">
        <f t="shared" si="10"/>
        <v>123.024</v>
      </c>
      <c r="N42" s="145" t="str">
        <f>VLOOKUP(C42,'Trips&amp;Operators'!$C$1:$G$99999,5,FALSE)</f>
        <v>STEWART MICHAEL</v>
      </c>
      <c r="O42" s="194" t="s">
        <v>185</v>
      </c>
      <c r="P42" s="146"/>
      <c r="Q42" s="30"/>
      <c r="R42" s="89" t="str">
        <f>IF(VLOOKUP(C42,'Train Runs'!$A$13:$AE$9945,1,1)=C42,VLOOKUP(C42,'Train Runs'!$A$13:$AE$9945,31,1),NA())</f>
        <v>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 &amp; aws s3 cp s3://rtdc.mdm.uploadarchive.raw/RTDC4032/ "%USERPROFILE%\AppData\Local\Temp\OnboardLogs"\RTDC4032\2017-03-22 --exclude "*" --recursive --include "*20170322*" &amp; "%USERPROFILE%\Documents\GitHub\mrs-test-scripts\Headless Mode &amp; Sideloading\WalkAndUnGZ.bat" "%USERPROFILE%\AppData\Local\Temp\OnboardLogs"\RTDC4032\2017-03-22</v>
      </c>
      <c r="S42" s="92" t="str">
        <f>VLOOKUP(C42,'Train Runs'!$A$13:$AE$9945,22,0)</f>
        <v>https://d0f6bd738d7f1b3e5a7ca70fe4ff75f0.us-east-1.aws.found.io/app/kibana#/discover/Steve-Slow-Train-Analysis-(2080s-and-2083s)?_g=(refreshInterval:(display:Off,pause:!f,section:0,value:0),time:(from:'2017-03-21T16:23:09-0600',mode:absolute,to:'2017-03-21T19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2" s="94" t="str">
        <f t="shared" si="11"/>
        <v>"C:\Program Files (x86)\AstroGrep\AstroGrep.exe" /e /r /s /spath="%USERPROFILE%\AppData\Local\Temp\OnboardLogs" /stypes="*4032*201703220*" /stext=" 00:.+((SYSTEM_STATE.+slice.+state.+changed )|(ment ac)|(multiple cpu faults)|(system.+state.+changed )|(\[timeout)|(PRM\|1\|D)|(kpr)|(kdp)|(\|lc)|(penalty))"</v>
      </c>
      <c r="U42" s="9" t="str">
        <f t="shared" si="12"/>
        <v>4032</v>
      </c>
      <c r="V42" s="32">
        <f t="shared" si="13"/>
        <v>42816.004652777781</v>
      </c>
      <c r="W42" s="46" t="str">
        <f t="shared" si="14"/>
        <v>EC</v>
      </c>
      <c r="X42" s="46" t="str">
        <f t="shared" si="15"/>
        <v>KEEP</v>
      </c>
      <c r="Y42" s="108" t="str">
        <f t="shared" si="16"/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ID","value":"204-21"},{"id":16,"name":"Locomotive ID","value":"4032"},{"id":130,"name":"Impact","value":""},{"id":150,"name":"Time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22"/>
      <c r="AA42" s="48"/>
      <c r="AB42" s="48"/>
      <c r="AC42" s="127" t="str">
        <f t="shared" si="17"/>
        <v>grep -hSE -A400 "Enforcement Action" "%USERPROFILE%\AppData\Local\Temp\OnboardLogs"\RTDC4032\*4032*201703220*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"%USERPROFILE%\AppData\Local\Temp\OnboardLogs"\RTDC4032\*4032*201703220* &gt;&gt; 2017-03-21-SliceDisagreementCheck.txt</v>
      </c>
      <c r="AE42" s="157" t="str">
        <f t="shared" si="9"/>
        <v>start /low /b %USERPROFILE%\Documents\GitHub\eaglep3\Utilities\DownloadLogsFromS3.py --loco 4032 --day 2017-03-22</v>
      </c>
      <c r="AF42" s="1"/>
    </row>
    <row r="43" spans="1:32" x14ac:dyDescent="0.25">
      <c r="A43" s="32">
        <v>42815.494317129633</v>
      </c>
      <c r="B43" s="30" t="s">
        <v>400</v>
      </c>
      <c r="C43" s="30" t="s">
        <v>613</v>
      </c>
      <c r="D43" s="30" t="s">
        <v>49</v>
      </c>
      <c r="E43" s="30" t="s">
        <v>186</v>
      </c>
      <c r="F43" s="43">
        <v>0</v>
      </c>
      <c r="G43" s="43">
        <v>65</v>
      </c>
      <c r="H43" s="43">
        <v>233182</v>
      </c>
      <c r="I43" s="43">
        <v>233255</v>
      </c>
      <c r="J43" s="30" t="s">
        <v>187</v>
      </c>
      <c r="K43" s="43">
        <v>233491</v>
      </c>
      <c r="L43" s="143" t="s">
        <v>50</v>
      </c>
      <c r="M43" s="144">
        <f t="shared" si="10"/>
        <v>124.608</v>
      </c>
      <c r="N43" s="145" t="str">
        <f>VLOOKUP(C43,'Trips&amp;Operators'!$C$1:$G$99999,5,FALSE)</f>
        <v>STEWART MICHAEL</v>
      </c>
      <c r="O43" s="194" t="s">
        <v>185</v>
      </c>
      <c r="P43" s="146"/>
      <c r="Q43" s="30"/>
      <c r="R43" s="89" t="str">
        <f>IF(VLOOKUP(C43,'Train Runs'!$A$13:$AE$9945,1,1)=C43,VLOOKUP(C43,'Train Runs'!$A$13:$AE$9945,31,1),NA())</f>
        <v>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 &amp; aws s3 cp s3://rtdc.mdm.uploadarchive.raw/RTDC4031/ "%USERPROFILE%\AppData\Local\Temp\OnboardLogs"\RTDC4031\2017-03-22 --exclude "*" --recursive --include "*20170322*" &amp; "%USERPROFILE%\Documents\GitHub\mrs-test-scripts\Headless Mode &amp; Sideloading\WalkAndUnGZ.bat" "%USERPROFILE%\AppData\Local\Temp\OnboardLogs"\RTDC4031\2017-03-22</v>
      </c>
      <c r="S43" s="92" t="str">
        <f>VLOOKUP(C43,'Train Runs'!$A$13:$AE$9945,22,0)</f>
        <v>https://d0f6bd738d7f1b3e5a7ca70fe4ff75f0.us-east-1.aws.found.io/app/kibana#/discover/Steve-Slow-Train-Analysis-(2080s-and-2083s)?_g=(refreshInterval:(display:Off,pause:!f,section:0,value:0),time:(from:'2017-03-21T10:11:23-0600',mode:absolute,to:'2017-03-21T12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3" s="94" t="str">
        <f t="shared" si="11"/>
        <v>"C:\Program Files (x86)\AstroGrep\AstroGrep.exe" /e /r /s /spath="%USERPROFILE%\AppData\Local\Temp\OnboardLogs" /stypes="*4031*201703211*" /stext=" 17:.+((SYSTEM_STATE.+slice.+state.+changed )|(ment ac)|(multiple cpu faults)|(system.+state.+changed )|(\[timeout)|(PRM\|1\|D)|(kpr)|(kdp)|(\|lc)|(penalty))"</v>
      </c>
      <c r="U43" s="9" t="str">
        <f t="shared" si="12"/>
        <v>4031</v>
      </c>
      <c r="V43" s="32">
        <f t="shared" si="13"/>
        <v>42815.744317129633</v>
      </c>
      <c r="W43" s="46" t="str">
        <f t="shared" si="14"/>
        <v>EC</v>
      </c>
      <c r="X43" s="46" t="str">
        <f t="shared" si="15"/>
        <v>KEEP</v>
      </c>
      <c r="Y43" s="108" t="str">
        <f t="shared" si="16"/>
        <v>echo {"issue":{"subject":"","project_id":79,"tracker_id":40,"status_id":1,"priority_id":2,"assigned_to_id":23,"start_date":"2017-03-21","description":"","custom_fields":[{"id":1,"name":"Subdivision","value":"EC"},{"id":4,"name":"Milepost","value":"23.3491"},{"id":17,"name":"Train ID","value":"161-21"},{"id":16,"name":"Locomotive ID","value":"4031"},{"id":130,"name":"Impact","value":""},{"id":150,"name":"Time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22"/>
      <c r="AA43" s="48"/>
      <c r="AB43" s="48"/>
      <c r="AC43" s="127" t="str">
        <f t="shared" si="17"/>
        <v>grep -hSE -A400 "Enforcement Action" "%USERPROFILE%\AppData\Local\Temp\OnboardLogs"\RTDC4031\*4031*201703211*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"%USERPROFILE%\AppData\Local\Temp\OnboardLogs"\RTDC4031\*4031*201703211* &gt;&gt; 2017-03-21-SliceDisagreementCheck.txt</v>
      </c>
      <c r="AE43" s="157" t="str">
        <f t="shared" si="9"/>
        <v>start /low /b %USERPROFILE%\Documents\GitHub\eaglep3\Utilities\DownloadLogsFromS3.py --loco 4031 --day 2017-03-21</v>
      </c>
      <c r="AF43" s="1"/>
    </row>
    <row r="44" spans="1:32" x14ac:dyDescent="0.25">
      <c r="A44" s="32">
        <v>42815.534907407404</v>
      </c>
      <c r="B44" s="30" t="s">
        <v>602</v>
      </c>
      <c r="C44" s="30" t="s">
        <v>616</v>
      </c>
      <c r="D44" s="30" t="s">
        <v>49</v>
      </c>
      <c r="E44" s="30" t="s">
        <v>186</v>
      </c>
      <c r="F44" s="43">
        <v>0</v>
      </c>
      <c r="G44" s="43">
        <v>26</v>
      </c>
      <c r="H44" s="43">
        <v>233407</v>
      </c>
      <c r="I44" s="43">
        <v>233424</v>
      </c>
      <c r="J44" s="30" t="s">
        <v>187</v>
      </c>
      <c r="K44" s="43">
        <v>233491</v>
      </c>
      <c r="L44" s="143" t="s">
        <v>50</v>
      </c>
      <c r="M44" s="144">
        <f t="shared" si="10"/>
        <v>35.375999999999998</v>
      </c>
      <c r="N44" s="145" t="str">
        <f>VLOOKUP(C44,'Trips&amp;Operators'!$C$1:$G$99999,5,FALSE)</f>
        <v>ROMERO CHAD</v>
      </c>
      <c r="O44" s="194" t="s">
        <v>185</v>
      </c>
      <c r="P44" s="146"/>
      <c r="Q44" s="30"/>
      <c r="R44" s="89" t="str">
        <f>IF(VLOOKUP(C44,'Train Runs'!$A$13:$AE$9945,1,1)=C44,VLOOKUP(C44,'Train Runs'!$A$13:$AE$9945,31,1),NA())</f>
        <v>aws s3 cp s3://rtdc.mdm.uploadarchive.raw/RTDC4024/ "%USERPROFILE%\AppData\Local\Temp\OnboardLogs"\RTDC4024\2017-03-21 --exclude "*" --recursive --include "*20170321*" &amp; "%USERPROFILE%\Documents\GitHub\mrs-test-scripts\Headless Mode &amp; Sideloading\WalkAndUnGZ.bat" "%USERPROFILE%\AppData\Local\Temp\OnboardLogs"\RTDC4024\2017-03-21 &amp; aws s3 cp s3://rtdc.mdm.uploadarchive.raw/RTDC4024/ "%USERPROFILE%\AppData\Local\Temp\OnboardLogs"\RTDC4024\2017-03-22 --exclude "*" --recursive --include "*20170322*" &amp; "%USERPROFILE%\Documents\GitHub\mrs-test-scripts\Headless Mode &amp; Sideloading\WalkAndUnGZ.bat" "%USERPROFILE%\AppData\Local\Temp\OnboardLogs"\RTDC4024\2017-03-22</v>
      </c>
      <c r="S44" s="92" t="str">
        <f>VLOOKUP(C44,'Train Runs'!$A$13:$AE$9945,22,0)</f>
        <v>https://d0f6bd738d7f1b3e5a7ca70fe4ff75f0.us-east-1.aws.found.io/app/kibana#/discover/Steve-Slow-Train-Analysis-(2080s-and-2083s)?_g=(refreshInterval:(display:Off,pause:!f,section:0,value:0),time:(from:'2017-03-21T11:09:21-0600',mode:absolute,to:'2017-03-21T13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44" s="94" t="str">
        <f t="shared" si="11"/>
        <v>"C:\Program Files (x86)\AstroGrep\AstroGrep.exe" /e /r /s /spath="%USERPROFILE%\AppData\Local\Temp\OnboardLogs" /stypes="*4024*201703211*" /stext=" 18:.+((SYSTEM_STATE.+slice.+state.+changed )|(ment ac)|(multiple cpu faults)|(system.+state.+changed )|(\[timeout)|(PRM\|1\|D)|(kpr)|(kdp)|(\|lc)|(penalty))"</v>
      </c>
      <c r="U44" s="9" t="str">
        <f t="shared" si="12"/>
        <v>4024</v>
      </c>
      <c r="V44" s="32">
        <f t="shared" si="13"/>
        <v>42815.784907407404</v>
      </c>
      <c r="W44" s="46" t="str">
        <f t="shared" si="14"/>
        <v>EC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{"issue":{"subject":"","project_id":79,"tracker_id":40,"status_id":1,"priority_id":2,"assigned_to_id":23,"start_date":"2017-03-21","description":"","custom_fields":[{"id":1,"name":"Subdivision","value":"EC"},{"id":4,"name":"Milepost","value":"23.3491"},{"id":17,"name":"Train ID","value":"169-21"},{"id":16,"name":"Locomotive ID","value":"4024"},{"id":130,"name":"Impact","value":""},{"id":150,"name":"Time of Event (Mountain Time)","value":"12:50:16"},{"id":151,"name":"Denver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22"/>
      <c r="AA44" s="48"/>
      <c r="AB44" s="48"/>
      <c r="AC44" s="127" t="str">
        <f t="shared" si="17"/>
        <v>grep -hSE -A400 "Enforcement Action" "%USERPROFILE%\AppData\Local\Temp\OnboardLogs"\RTDC4024\*4024*201703211*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"%USERPROFILE%\AppData\Local\Temp\OnboardLogs"\RTDC4024\*4024*201703211* &gt;&gt; 2017-03-21-SliceDisagreementCheck.txt</v>
      </c>
      <c r="AE44" s="157" t="str">
        <f t="shared" si="9"/>
        <v>start /low /b %USERPROFILE%\Documents\GitHub\eaglep3\Utilities\DownloadLogsFromS3.py --loco 4024 --day 2017-03-21</v>
      </c>
      <c r="AF44" s="1"/>
    </row>
    <row r="45" spans="1:32" x14ac:dyDescent="0.25">
      <c r="A45" s="32">
        <v>42815.59888888889</v>
      </c>
      <c r="B45" s="30" t="s">
        <v>422</v>
      </c>
      <c r="C45" s="30" t="s">
        <v>618</v>
      </c>
      <c r="D45" s="30" t="s">
        <v>49</v>
      </c>
      <c r="E45" s="30" t="s">
        <v>186</v>
      </c>
      <c r="F45" s="43">
        <v>0</v>
      </c>
      <c r="G45" s="43">
        <v>21</v>
      </c>
      <c r="H45" s="43">
        <v>233433</v>
      </c>
      <c r="I45" s="43">
        <v>233433</v>
      </c>
      <c r="J45" s="30" t="s">
        <v>187</v>
      </c>
      <c r="K45" s="43">
        <v>233491</v>
      </c>
      <c r="L45" s="143" t="s">
        <v>50</v>
      </c>
      <c r="M45" s="144">
        <f t="shared" si="10"/>
        <v>30.623999999999999</v>
      </c>
      <c r="N45" s="145" t="str">
        <f>VLOOKUP(C45,'Trips&amp;Operators'!$C$1:$G$99999,5,FALSE)</f>
        <v>LOCKLEAR TRAVIS</v>
      </c>
      <c r="O45" s="194" t="s">
        <v>185</v>
      </c>
      <c r="P45" s="146"/>
      <c r="Q45" s="30"/>
      <c r="R45" s="89" t="str">
        <f>IF(VLOOKUP(C45,'Train Runs'!$A$13:$AE$9945,1,1)=C45,VLOOKUP(C45,'Train Runs'!$A$13:$AE$9945,31,1),NA())</f>
        <v>aws s3 cp s3://rtdc.mdm.uploadarchive.raw/RTDC4044/ "%USERPROFILE%\AppData\Local\Temp\OnboardLogs"\RTDC4044\2017-03-21 --exclude "*" --recursive --include "*20170321*" &amp; "%USERPROFILE%\Documents\GitHub\mrs-test-scripts\Headless Mode &amp; Sideloading\WalkAndUnGZ.bat" "%USERPROFILE%\AppData\Local\Temp\OnboardLogs"\RTDC4044\2017-03-21 &amp; aws s3 cp s3://rtdc.mdm.uploadarchive.raw/RTDC4044/ "%USERPROFILE%\AppData\Local\Temp\OnboardLogs"\RTDC4044\2017-03-22 --exclude "*" --recursive --include "*20170322*" &amp; "%USERPROFILE%\Documents\GitHub\mrs-test-scripts\Headless Mode &amp; Sideloading\WalkAndUnGZ.bat" "%USERPROFILE%\AppData\Local\Temp\OnboardLogs"\RTDC4044\2017-03-22</v>
      </c>
      <c r="S45" s="92" t="str">
        <f>VLOOKUP(C45,'Train Runs'!$A$13:$AE$9945,22,0)</f>
        <v>https://d0f6bd738d7f1b3e5a7ca70fe4ff75f0.us-east-1.aws.found.io/app/kibana#/discover/Steve-Slow-Train-Analysis-(2080s-and-2083s)?_g=(refreshInterval:(display:Off,pause:!f,section:0,value:0),time:(from:'2017-03-21T12:41:45-0600',mode:absolute,to:'2017-03-21T15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5" s="94" t="str">
        <f t="shared" si="11"/>
        <v>"C:\Program Files (x86)\AstroGrep\AstroGrep.exe" /e /r /s /spath="%USERPROFILE%\AppData\Local\Temp\OnboardLogs" /stypes="*4044*201703212*" /stext=" 20:.+((SYSTEM_STATE.+slice.+state.+changed )|(ment ac)|(multiple cpu faults)|(system.+state.+changed )|(\[timeout)|(PRM\|1\|D)|(kpr)|(kdp)|(\|lc)|(penalty))"</v>
      </c>
      <c r="U45" s="9" t="str">
        <f t="shared" si="12"/>
        <v>4044</v>
      </c>
      <c r="V45" s="32">
        <f t="shared" si="13"/>
        <v>42815.84888888889</v>
      </c>
      <c r="W45" s="46" t="str">
        <f t="shared" si="14"/>
        <v>EC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{"issue":{"subject":"","project_id":79,"tracker_id":40,"status_id":1,"priority_id":2,"assigned_to_id":23,"start_date":"2017-03-21","description":"","custom_fields":[{"id":1,"name":"Subdivision","value":"EC"},{"id":4,"name":"Milepost","value":"23.3491"},{"id":17,"name":"Train ID","value":"181-21"},{"id":16,"name":"Locomotive ID","value":"4044"},{"id":130,"name":"Impact","value":""},{"id":150,"name":"Time of Event (Mountain Time)","value":"14:22:24"},{"id":151,"name":"Denver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22"/>
      <c r="AA45" s="48"/>
      <c r="AB45" s="48"/>
      <c r="AC45" s="127" t="str">
        <f t="shared" si="17"/>
        <v>grep -hSE -A400 "Enforcement Action" "%USERPROFILE%\AppData\Local\Temp\OnboardLogs"\RTDC4044\*4044*201703212*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"%USERPROFILE%\AppData\Local\Temp\OnboardLogs"\RTDC4044\*4044*201703212* &gt;&gt; 2017-03-21-SliceDisagreementCheck.txt</v>
      </c>
      <c r="AE45" s="157" t="str">
        <f t="shared" si="9"/>
        <v>start /low /b %USERPROFILE%\Documents\GitHub\eaglep3\Utilities\DownloadLogsFromS3.py --loco 4044 --day 2017-03-21</v>
      </c>
      <c r="AF45" s="1"/>
    </row>
    <row r="46" spans="1:32" x14ac:dyDescent="0.25">
      <c r="A46" s="32">
        <v>42815.879374999997</v>
      </c>
      <c r="B46" s="30" t="s">
        <v>631</v>
      </c>
      <c r="C46" s="30" t="s">
        <v>638</v>
      </c>
      <c r="D46" s="30" t="s">
        <v>49</v>
      </c>
      <c r="E46" s="30" t="s">
        <v>186</v>
      </c>
      <c r="F46" s="43">
        <v>0</v>
      </c>
      <c r="G46" s="43">
        <v>34</v>
      </c>
      <c r="H46" s="43">
        <v>233402</v>
      </c>
      <c r="I46" s="43">
        <v>233419</v>
      </c>
      <c r="J46" s="30" t="s">
        <v>187</v>
      </c>
      <c r="K46" s="43">
        <v>233491</v>
      </c>
      <c r="L46" s="143" t="s">
        <v>50</v>
      </c>
      <c r="M46" s="144">
        <f t="shared" si="10"/>
        <v>38.015999999999998</v>
      </c>
      <c r="N46" s="145" t="str">
        <f>VLOOKUP(C46,'Trips&amp;Operators'!$C$1:$G$99999,5,FALSE)</f>
        <v>STAMBAUGH JAMES</v>
      </c>
      <c r="O46" s="194" t="s">
        <v>185</v>
      </c>
      <c r="P46" s="146"/>
      <c r="Q46" s="30"/>
      <c r="R46" s="89" t="str">
        <f>IF(VLOOKUP(C46,'Train Runs'!$A$13:$AE$9945,1,1)=C46,VLOOKUP(C46,'Train Runs'!$A$13:$AE$9945,31,1),NA())</f>
        <v>aws s3 cp s3://rtdc.mdm.uploadarchive.raw/RTDC4014/ "%USERPROFILE%\AppData\Local\Temp\OnboardLogs"\RTDC4014\2017-03-21 --exclude "*" --recursive --include "*20170321*" &amp; "%USERPROFILE%\Documents\GitHub\mrs-test-scripts\Headless Mode &amp; Sideloading\WalkAndUnGZ.bat" "%USERPROFILE%\AppData\Local\Temp\OnboardLogs"\RTDC4014\2017-03-21 &amp; aws s3 cp s3://rtdc.mdm.uploadarchive.raw/RTDC4014/ "%USERPROFILE%\AppData\Local\Temp\OnboardLogs"\RTDC4014\2017-03-22 --exclude "*" --recursive --include "*20170322*" &amp; "%USERPROFILE%\Documents\GitHub\mrs-test-scripts\Headless Mode &amp; Sideloading\WalkAndUnGZ.bat" "%USERPROFILE%\AppData\Local\Temp\OnboardLogs"\RTDC4014\2017-03-22</v>
      </c>
      <c r="S46" s="92" t="str">
        <f>VLOOKUP(C46,'Train Runs'!$A$13:$AE$9945,22,0)</f>
        <v>https://d0f6bd738d7f1b3e5a7ca70fe4ff75f0.us-east-1.aws.found.io/app/kibana#/discover/Steve-Slow-Train-Analysis-(2080s-and-2083s)?_g=(refreshInterval:(display:Off,pause:!f,section:0,value:0),time:(from:'2017-03-21T19:10:07-0600',mode:absolute,to:'2017-03-21T22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6" s="94" t="str">
        <f t="shared" si="11"/>
        <v>"C:\Program Files (x86)\AstroGrep\AstroGrep.exe" /e /r /s /spath="%USERPROFILE%\AppData\Local\Temp\OnboardLogs" /stypes="*4014*201703220*" /stext=" 03:.+((SYSTEM_STATE.+slice.+state.+changed )|(ment ac)|(multiple cpu faults)|(system.+state.+changed )|(\[timeout)|(PRM\|1\|D)|(kpr)|(kdp)|(\|lc)|(penalty))"</v>
      </c>
      <c r="U46" s="9" t="str">
        <f t="shared" si="12"/>
        <v>4014</v>
      </c>
      <c r="V46" s="32">
        <f t="shared" si="13"/>
        <v>42816.129374999997</v>
      </c>
      <c r="W46" s="46" t="str">
        <f t="shared" si="14"/>
        <v>EC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{"issue":{"subject":"","project_id":79,"tracker_id":40,"status_id":1,"priority_id":2,"assigned_to_id":23,"start_date":"2017-03-21","description":"","custom_fields":[{"id":1,"name":"Subdivision","value":"EC"},{"id":4,"name":"Milepost","value":"23.3491"},{"id":17,"name":"Train ID","value":"227-21"},{"id":16,"name":"Locomotive ID","value":"4014"},{"id":130,"name":"Impact","value":""},{"id":150,"name":"Time of Event (Mountain Time)","value":"21:06:18"},{"id":151,"name":"Denver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22"/>
      <c r="AA46" s="48"/>
      <c r="AB46" s="48"/>
      <c r="AC46" s="127" t="str">
        <f t="shared" si="17"/>
        <v>grep -hSE -A400 "Enforcement Action" "%USERPROFILE%\AppData\Local\Temp\OnboardLogs"\RTDC4014\*4014*201703220*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"%USERPROFILE%\AppData\Local\Temp\OnboardLogs"\RTDC4014\*4014*201703220* &gt;&gt; 2017-03-21-SliceDisagreementCheck.txt</v>
      </c>
      <c r="AE46" s="157" t="str">
        <f t="shared" si="9"/>
        <v>start /low /b %USERPROFILE%\Documents\GitHub\eaglep3\Utilities\DownloadLogsFromS3.py --loco 4014 --day 2017-03-22</v>
      </c>
      <c r="AF46" s="1"/>
    </row>
    <row r="47" spans="1:32" x14ac:dyDescent="0.25">
      <c r="A47" s="32">
        <v>42815.819004629629</v>
      </c>
      <c r="B47" s="30" t="s">
        <v>404</v>
      </c>
      <c r="C47" s="30" t="s">
        <v>635</v>
      </c>
      <c r="D47" s="30" t="s">
        <v>98</v>
      </c>
      <c r="E47" s="30" t="s">
        <v>360</v>
      </c>
      <c r="F47" s="43">
        <v>0</v>
      </c>
      <c r="G47" s="43">
        <v>146</v>
      </c>
      <c r="H47" s="43">
        <v>58123</v>
      </c>
      <c r="I47" s="43">
        <v>57857</v>
      </c>
      <c r="J47" s="30" t="s">
        <v>361</v>
      </c>
      <c r="K47" s="43">
        <v>58472</v>
      </c>
      <c r="L47" s="143" t="s">
        <v>51</v>
      </c>
      <c r="M47" s="144">
        <f t="shared" si="10"/>
        <v>-324.72000000000003</v>
      </c>
      <c r="N47" s="145" t="str">
        <f>VLOOKUP(C47,'Trips&amp;Operators'!$C$1:$G$99999,5,FALSE)</f>
        <v>FORTUNATO FRANK</v>
      </c>
      <c r="O47" s="194" t="s">
        <v>185</v>
      </c>
      <c r="P47" s="146" t="s">
        <v>1060</v>
      </c>
      <c r="Q47" s="30"/>
      <c r="R47" s="89" t="str">
        <f>IF(VLOOKUP(C47,'Train Runs'!$A$13:$AE$9945,1,1)=C47,VLOOKUP(C47,'Train Runs'!$A$13:$AE$9945,31,1),NA())</f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S47" s="92" t="str">
        <f>VLOOKUP(C47,'Train Runs'!$A$13:$AE$9945,22,0)</f>
        <v>https://d0f6bd738d7f1b3e5a7ca70fe4ff75f0.us-east-1.aws.found.io/app/kibana#/discover/Steve-Slow-Train-Analysis-(2080s-and-2083s)?_g=(refreshInterval:(display:Off,pause:!f,section:0,value:0),time:(from:'2017-03-21T18:41:13-0600',mode:absolute,to:'2017-03-21T21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7" s="94" t="str">
        <f t="shared" si="11"/>
        <v>"C:\Program Files (x86)\AstroGrep\AstroGrep.exe" /e /r /s /spath="%USERPROFILE%\AppData\Local\Temp\OnboardLogs" /stypes="*4001*201703220*" /stext=" 01:.+((SYSTEM_STATE.+slice.+state.+changed )|(ment ac)|(multiple cpu faults)|(system.+state.+changed )|(\[timeout)|(PRM\|1\|D)|(kpr)|(kdp)|(\|lc)|(penalty))"</v>
      </c>
      <c r="U47" s="9" t="str">
        <f t="shared" si="12"/>
        <v>4001</v>
      </c>
      <c r="V47" s="32">
        <f t="shared" si="13"/>
        <v>42816.069004629629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{"issue":{"subject":"Went active too close to Westminster 2S","project_id":79,"tracker_id":40,"status_id":1,"priority_id":2,"assigned_to_id":23,"start_date":"2017-03-21","description":"","custom_fields":[{"id":1,"name":"Subdivision","value":"NW"},{"id":4,"name":"Milepost","value":"5.8472"},{"id":17,"name":"Train ID","value":"840-21"},{"id":16,"name":"Locomotive ID","value":"4001"},{"id":130,"name":"Impact","value":""},{"id":150,"name":"Time of Event (Mountain Time)","value":"19:39:22"},{"id":151,"name":"Denver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22"/>
      <c r="AA47" s="48"/>
      <c r="AB47" s="48"/>
      <c r="AC47" s="127" t="str">
        <f t="shared" si="17"/>
        <v>grep -hSE -A400 "Enforcement Action" "%USERPROFILE%\AppData\Local\Temp\OnboardLogs"\RTDC4001\*4001*201703220*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"%USERPROFILE%\AppData\Local\Temp\OnboardLogs"\RTDC4001\*4001*201703220* &gt;&gt; 2017-03-21-SliceDisagreementCheck.txt</v>
      </c>
      <c r="AE47" s="157" t="str">
        <f t="shared" si="9"/>
        <v>start /low /b %USERPROFILE%\Documents\GitHub\eaglep3\Utilities\DownloadLogsFromS3.py --loco 4001 --day 2017-03-22</v>
      </c>
      <c r="AF47" s="1"/>
    </row>
    <row r="48" spans="1:32" x14ac:dyDescent="0.25">
      <c r="A48" s="32">
        <v>42815.580046296294</v>
      </c>
      <c r="B48" s="30" t="s">
        <v>404</v>
      </c>
      <c r="C48" s="30" t="s">
        <v>619</v>
      </c>
      <c r="D48" s="30" t="s">
        <v>49</v>
      </c>
      <c r="E48" s="30" t="s">
        <v>186</v>
      </c>
      <c r="F48" s="43">
        <v>0</v>
      </c>
      <c r="G48" s="43">
        <v>60</v>
      </c>
      <c r="H48" s="43">
        <v>754</v>
      </c>
      <c r="I48" s="43">
        <v>710</v>
      </c>
      <c r="J48" s="30" t="s">
        <v>187</v>
      </c>
      <c r="K48" s="43">
        <v>575</v>
      </c>
      <c r="L48" s="143" t="s">
        <v>51</v>
      </c>
      <c r="M48" s="144">
        <f t="shared" si="10"/>
        <v>71.28</v>
      </c>
      <c r="N48" s="145" t="str">
        <f>VLOOKUP(C48,'Trips&amp;Operators'!$C$1:$G$99999,5,FALSE)</f>
        <v>FORTUNATO FRANK</v>
      </c>
      <c r="O48" s="194" t="s">
        <v>185</v>
      </c>
      <c r="P48" s="146"/>
      <c r="Q48" s="30"/>
      <c r="R48" s="89" t="str">
        <f>IF(VLOOKUP(C48,'Train Runs'!$A$13:$AE$9945,1,1)=C48,VLOOKUP(C48,'Train Runs'!$A$13:$AE$9945,31,1),NA())</f>
        <v>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 &amp; aws s3 cp s3://rtdc.mdm.uploadarchive.raw/RTDC4001/ "%USERPROFILE%\AppData\Local\Temp\OnboardLogs"\RTDC4001\2017-03-22 --exclude "*" --recursive --include "*20170322*" &amp; "%USERPROFILE%\Documents\GitHub\mrs-test-scripts\Headless Mode &amp; Sideloading\WalkAndUnGZ.bat" "%USERPROFILE%\AppData\Local\Temp\OnboardLogs"\RTDC4001\2017-03-22</v>
      </c>
      <c r="S48" s="92" t="str">
        <f>VLOOKUP(C48,'Train Runs'!$A$13:$AE$9945,22,0)</f>
        <v>https://d0f6bd738d7f1b3e5a7ca70fe4ff75f0.us-east-1.aws.found.io/app/kibana#/discover/Steve-Slow-Train-Analysis-(2080s-and-2083s)?_g=(refreshInterval:(display:Off,pause:!f,section:0,value:0),time:(from:'2017-03-21T12:36:09-0600',mode:absolute,to:'2017-03-21T14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8" s="94" t="str">
        <f t="shared" si="11"/>
        <v>"C:\Program Files (x86)\AstroGrep\AstroGrep.exe" /e /r /s /spath="%USERPROFILE%\AppData\Local\Temp\OnboardLogs" /stypes="*4001*201703211*" /stext=" 19:.+((SYSTEM_STATE.+slice.+state.+changed )|(ment ac)|(multiple cpu faults)|(system.+state.+changed )|(\[timeout)|(PRM\|1\|D)|(kpr)|(kdp)|(\|lc)|(penalty))"</v>
      </c>
      <c r="U48" s="9" t="str">
        <f t="shared" si="12"/>
        <v>4001</v>
      </c>
      <c r="V48" s="32">
        <f t="shared" si="13"/>
        <v>42815.830046296294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{"issue":{"subject":"","project_id":79,"tracker_id":40,"status_id":1,"priority_id":2,"assigned_to_id":23,"start_date":"2017-03-21","description":"","custom_fields":[{"id":1,"name":"Subdivision","value":"NW"},{"id":4,"name":"Milepost","value":"0.0575"},{"id":17,"name":"Train ID","value":"822-21"},{"id":16,"name":"Locomotive ID","value":"4001"},{"id":130,"name":"Impact","value":""},{"id":150,"name":"Time of Event (Mountain Time)","value":"13:55:16"},{"id":151,"name":"Denver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22"/>
      <c r="AA48" s="48"/>
      <c r="AB48" s="48"/>
      <c r="AC48" s="127" t="str">
        <f t="shared" si="17"/>
        <v>grep -hSE -A400 "Enforcement Action" "%USERPROFILE%\AppData\Local\Temp\OnboardLogs"\RTDC4001\*4001*201703211*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"%USERPROFILE%\AppData\Local\Temp\OnboardLogs"\RTDC4001\*4001*201703211* &gt;&gt; 2017-03-21-SliceDisagreementCheck.txt</v>
      </c>
      <c r="AE48" s="157" t="str">
        <f t="shared" si="9"/>
        <v>start /low /b %USERPROFILE%\Documents\GitHub\eaglep3\Utilities\DownloadLogsFromS3.py --loco 4001 --day 2017-03-21</v>
      </c>
      <c r="AF48" s="1"/>
    </row>
    <row r="49" spans="1:32" x14ac:dyDescent="0.25">
      <c r="A49" s="32">
        <v>42815.684328703705</v>
      </c>
      <c r="B49" s="30" t="s">
        <v>624</v>
      </c>
      <c r="C49" s="30" t="s">
        <v>625</v>
      </c>
      <c r="D49" s="30" t="s">
        <v>49</v>
      </c>
      <c r="E49" s="30" t="s">
        <v>186</v>
      </c>
      <c r="F49" s="43">
        <v>0</v>
      </c>
      <c r="G49" s="43">
        <v>31</v>
      </c>
      <c r="H49" s="43">
        <v>671</v>
      </c>
      <c r="I49" s="43">
        <v>652</v>
      </c>
      <c r="J49" s="30" t="s">
        <v>187</v>
      </c>
      <c r="K49" s="43">
        <v>575</v>
      </c>
      <c r="L49" s="143" t="s">
        <v>51</v>
      </c>
      <c r="M49" s="144">
        <f t="shared" si="10"/>
        <v>40.655999999999999</v>
      </c>
      <c r="N49" s="145" t="str">
        <f>VLOOKUP(C49,'Trips&amp;Operators'!$C$1:$G$99999,5,FALSE)</f>
        <v>SWANSON BRYCE</v>
      </c>
      <c r="O49" s="194" t="s">
        <v>185</v>
      </c>
      <c r="P49" s="146"/>
      <c r="Q49" s="30"/>
      <c r="R49" s="89" t="str">
        <f>IF(VLOOKUP(C49,'Train Runs'!$A$13:$AE$9945,1,1)=C49,VLOOKUP(C49,'Train Runs'!$A$13:$AE$9945,31,1),NA())</f>
        <v>aws s3 cp s3://rtdc.mdm.uploadarchive.raw/RTDC4010/ "%USERPROFILE%\AppData\Local\Temp\OnboardLogs"\RTDC4010\2017-03-21 --exclude "*" --recursive --include "*20170321*" &amp; "%USERPROFILE%\Documents\GitHub\mrs-test-scripts\Headless Mode &amp; Sideloading\WalkAndUnGZ.bat" "%USERPROFILE%\AppData\Local\Temp\OnboardLogs"\RTDC4010\2017-03-21 &amp; aws s3 cp s3://rtdc.mdm.uploadarchive.raw/RTDC4010/ "%USERPROFILE%\AppData\Local\Temp\OnboardLogs"\RTDC4010\2017-03-22 --exclude "*" --recursive --include "*20170322*" &amp; "%USERPROFILE%\Documents\GitHub\mrs-test-scripts\Headless Mode &amp; Sideloading\WalkAndUnGZ.bat" "%USERPROFILE%\AppData\Local\Temp\OnboardLogs"\RTDC4010\2017-03-22</v>
      </c>
      <c r="S49" s="92" t="str">
        <f>VLOOKUP(C49,'Train Runs'!$A$13:$AE$9945,22,0)</f>
        <v>https://d0f6bd738d7f1b3e5a7ca70fe4ff75f0.us-east-1.aws.found.io/app/kibana#/discover/Steve-Slow-Train-Analysis-(2080s-and-2083s)?_g=(refreshInterval:(display:Off,pause:!f,section:0,value:0),time:(from:'2017-03-21T15:08:24-0600',mode:absolute,to:'2017-03-21T17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9" s="94" t="str">
        <f t="shared" si="11"/>
        <v>"C:\Program Files (x86)\AstroGrep\AstroGrep.exe" /e /r /s /spath="%USERPROFILE%\AppData\Local\Temp\OnboardLogs" /stypes="*4010*201703212*" /stext=" 22:.+((SYSTEM_STATE.+slice.+state.+changed )|(ment ac)|(multiple cpu faults)|(system.+state.+changed )|(\[timeout)|(PRM\|1\|D)|(kpr)|(kdp)|(\|lc)|(penalty))"</v>
      </c>
      <c r="U49" s="9" t="str">
        <f t="shared" si="12"/>
        <v>4010</v>
      </c>
      <c r="V49" s="32">
        <f t="shared" si="13"/>
        <v>42815.934328703705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{"issue":{"subject":"","project_id":79,"tracker_id":40,"status_id":1,"priority_id":2,"assigned_to_id":23,"start_date":"2017-03-21","description":"","custom_fields":[{"id":1,"name":"Subdivision","value":"NW"},{"id":4,"name":"Milepost","value":"0.0575"},{"id":17,"name":"Train ID","value":"828-21"},{"id":16,"name":"Locomotive ID","value":"4010"},{"id":130,"name":"Impact","value":""},{"id":150,"name":"Time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22"/>
      <c r="AA49" s="48"/>
      <c r="AB49" s="48"/>
      <c r="AC49" s="127" t="str">
        <f t="shared" si="17"/>
        <v>grep -hSE -A400 "Enforcement Action" "%USERPROFILE%\AppData\Local\Temp\OnboardLogs"\RTDC4010\*4010*201703212*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"%USERPROFILE%\AppData\Local\Temp\OnboardLogs"\RTDC4010\*4010*201703212* &gt;&gt; 2017-03-21-SliceDisagreementCheck.txt</v>
      </c>
      <c r="AE49" s="157" t="str">
        <f t="shared" si="9"/>
        <v>start /low /b %USERPROFILE%\Documents\GitHub\eaglep3\Utilities\DownloadLogsFromS3.py --loco 4010 --day 2017-03-21</v>
      </c>
      <c r="AF49" s="1"/>
    </row>
    <row r="50" spans="1:32" x14ac:dyDescent="0.25">
      <c r="A50" s="32">
        <v>42815.871782407405</v>
      </c>
      <c r="B50" s="30" t="s">
        <v>404</v>
      </c>
      <c r="C50" s="30" t="s">
        <v>637</v>
      </c>
      <c r="D50" s="30" t="s">
        <v>49</v>
      </c>
      <c r="E50" s="30" t="s">
        <v>186</v>
      </c>
      <c r="F50" s="43">
        <v>0</v>
      </c>
      <c r="G50" s="43">
        <v>37</v>
      </c>
      <c r="H50" s="43">
        <v>689</v>
      </c>
      <c r="I50" s="43">
        <v>663</v>
      </c>
      <c r="J50" s="30" t="s">
        <v>187</v>
      </c>
      <c r="K50" s="43">
        <v>575</v>
      </c>
      <c r="L50" s="143" t="s">
        <v>51</v>
      </c>
      <c r="M50" s="144">
        <f t="shared" si="10"/>
        <v>46.463999999999999</v>
      </c>
      <c r="N50" s="145" t="str">
        <f>VLOOKUP(C50,'Trips&amp;Operators'!$C$1:$G$99999,5,FALSE)</f>
        <v>FORTUNATO FRANK</v>
      </c>
      <c r="O50" s="194" t="s">
        <v>185</v>
      </c>
      <c r="P50" s="146"/>
      <c r="Q50" s="30"/>
      <c r="R50" s="89" t="e">
        <f>IF(VLOOKUP(C50,'Train Runs'!$A$13:$AE$9945,1,1)=C50,VLOOKUP(C50,'Train Runs'!$A$13:$AE$9945,31,1),NA())</f>
        <v>#N/A</v>
      </c>
      <c r="S50" s="92" t="str">
        <f>VLOOKUP(C50,'Train Runs'!$A$13:$AE$9945,22,0)</f>
        <v>https://d0f6bd738d7f1b3e5a7ca70fe4ff75f0.us-east-1.aws.found.io/app/kibana#/discover/Steve-Slow-Train-Analysis-(2080s-and-2083s)?_g=(refreshInterval:(display:Off,pause:!f,section:0,value:0),time:(from:'2017-03-21T19:37:30-0600',mode:absolute,to:'2017-03-21T21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50" s="94" t="str">
        <f t="shared" si="11"/>
        <v>"C:\Program Files (x86)\AstroGrep\AstroGrep.exe" /e /r /s /spath="%USERPROFILE%\AppData\Local\Temp\OnboardLogs" /stypes="*4001*201703220*" /stext=" 02:.+((SYSTEM_STATE.+slice.+state.+changed )|(ment ac)|(multiple cpu faults)|(system.+state.+changed )|(\[timeout)|(PRM\|1\|D)|(kpr)|(kdp)|(\|lc)|(penalty))"</v>
      </c>
      <c r="U50" s="9" t="str">
        <f t="shared" si="12"/>
        <v>4001</v>
      </c>
      <c r="V50" s="32">
        <f t="shared" si="13"/>
        <v>42816.121782407405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{"issue":{"subject":"","project_id":79,"tracker_id":40,"status_id":1,"priority_id":2,"assigned_to_id":23,"start_date":"2017-03-21","description":"","custom_fields":[{"id":1,"name":"Subdivision","value":"NW"},{"id":4,"name":"Milepost","value":"0.0575"},{"id":17,"name":"Train ID","value":"842-21"},{"id":16,"name":"Locomotive ID","value":"4001"},{"id":130,"name":"Impact","value":""},{"id":150,"name":"Time of Event (Mountain Time)","value":"20:55:22"},{"id":151,"name":"Denver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22"/>
      <c r="AA50" s="48"/>
      <c r="AB50" s="48"/>
      <c r="AC50" s="127" t="str">
        <f t="shared" si="17"/>
        <v>grep -hSE -A400 "Enforcement Action" "%USERPROFILE%\AppData\Local\Temp\OnboardLogs"\RTDC4001\*4001*201703220*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"%USERPROFILE%\AppData\Local\Temp\OnboardLogs"\RTDC4001\*4001*201703220* &gt;&gt; 2017-03-21-SliceDisagreementCheck.txt</v>
      </c>
      <c r="AE50" s="157" t="str">
        <f t="shared" si="9"/>
        <v>start /low /b %USERPROFILE%\Documents\GitHub\eaglep3\Utilities\DownloadLogsFromS3.py --loco 4001 --day 2017-03-22</v>
      </c>
      <c r="AF50" s="1"/>
    </row>
    <row r="51" spans="1:32" x14ac:dyDescent="0.25">
      <c r="A51" s="32">
        <v>42815.48364583333</v>
      </c>
      <c r="B51" s="30" t="s">
        <v>405</v>
      </c>
      <c r="C51" s="30" t="s">
        <v>614</v>
      </c>
      <c r="D51" s="30" t="s">
        <v>49</v>
      </c>
      <c r="E51" s="30" t="s">
        <v>186</v>
      </c>
      <c r="F51" s="43">
        <v>0</v>
      </c>
      <c r="G51" s="43">
        <v>26</v>
      </c>
      <c r="H51" s="43">
        <v>58926</v>
      </c>
      <c r="I51" s="43">
        <v>58960</v>
      </c>
      <c r="J51" s="30" t="s">
        <v>187</v>
      </c>
      <c r="K51" s="43">
        <v>59048</v>
      </c>
      <c r="L51" s="143" t="s">
        <v>50</v>
      </c>
      <c r="M51" s="144">
        <f t="shared" si="10"/>
        <v>46.463999999999999</v>
      </c>
      <c r="N51" s="145" t="str">
        <f>VLOOKUP(C51,'Trips&amp;Operators'!$C$1:$G$99999,5,FALSE)</f>
        <v>BROWN JACOB</v>
      </c>
      <c r="O51" s="194" t="s">
        <v>185</v>
      </c>
      <c r="P51" s="146"/>
      <c r="Q51" s="30"/>
      <c r="R51" s="89" t="str">
        <f>IF(VLOOKUP(C51,'Train Runs'!$A$13:$AE$9945,1,1)=C51,VLOOKUP(C51,'Train Runs'!$A$13:$AE$9945,31,1),NA())</f>
        <v>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 &amp; aws s3 cp s3://rtdc.mdm.uploadarchive.raw/RTDC4002/ "%USERPROFILE%\AppData\Local\Temp\OnboardLogs"\RTDC4002\2017-03-22 --exclude "*" --recursive --include "*20170322*" &amp; "%USERPROFILE%\Documents\GitHub\mrs-test-scripts\Headless Mode &amp; Sideloading\WalkAndUnGZ.bat" "%USERPROFILE%\AppData\Local\Temp\OnboardLogs"\RTDC4002\2017-03-22</v>
      </c>
      <c r="S51" s="92" t="str">
        <f>VLOOKUP(C51,'Train Runs'!$A$13:$AE$9945,22,0)</f>
        <v>https://d0f6bd738d7f1b3e5a7ca70fe4ff75f0.us-east-1.aws.found.io/app/kibana#/discover/Steve-Slow-Train-Analysis-(2080s-and-2083s)?_g=(refreshInterval:(display:Off,pause:!f,section:0,value:0),time:(from:'2017-03-21T10:03:06-0600',mode:absolute,to:'2017-03-21T12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51" s="94" t="str">
        <f t="shared" si="11"/>
        <v>"C:\Program Files (x86)\AstroGrep\AstroGrep.exe" /e /r /s /spath="%USERPROFILE%\AppData\Local\Temp\OnboardLogs" /stypes="*4002*201703211*" /stext=" 17:.+((SYSTEM_STATE.+slice.+state.+changed )|(ment ac)|(multiple cpu faults)|(system.+state.+changed )|(\[timeout)|(PRM\|1\|D)|(kpr)|(kdp)|(\|lc)|(penalty))"</v>
      </c>
      <c r="U51" s="9" t="str">
        <f t="shared" si="12"/>
        <v>4002</v>
      </c>
      <c r="V51" s="32">
        <f t="shared" si="13"/>
        <v>42815.73364583333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{"issue":{"subject":"","project_id":79,"tracker_id":40,"status_id":1,"priority_id":2,"assigned_to_id":23,"start_date":"2017-03-21","description":"","custom_fields":[{"id":1,"name":"Subdivision","value":"NW"},{"id":4,"name":"Milepost","value":"5.9048"},{"id":17,"name":"Train ID","value":"817-21"},{"id":16,"name":"Locomotive ID","value":"4002"},{"id":130,"name":"Impact","value":""},{"id":150,"name":"Time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22"/>
      <c r="AA51" s="48"/>
      <c r="AB51" s="48"/>
      <c r="AC51" s="127" t="str">
        <f t="shared" si="17"/>
        <v>grep -hSE -A400 "Enforcement Action" "%USERPROFILE%\AppData\Local\Temp\OnboardLogs"\RTDC4002\*4002*201703211*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"%USERPROFILE%\AppData\Local\Temp\OnboardLogs"\RTDC4002\*4002*201703211* &gt;&gt; 2017-03-21-SliceDisagreementCheck.txt</v>
      </c>
      <c r="AE51" s="157" t="str">
        <f t="shared" si="9"/>
        <v>start /low /b %USERPROFILE%\Documents\GitHub\eaglep3\Utilities\DownloadLogsFromS3.py --loco 4002 --day 2017-03-21</v>
      </c>
      <c r="AF51" s="1"/>
    </row>
    <row r="52" spans="1:32" x14ac:dyDescent="0.25">
      <c r="A52" s="32">
        <v>42815.244062500002</v>
      </c>
      <c r="B52" s="30" t="s">
        <v>404</v>
      </c>
      <c r="C52" s="30" t="s">
        <v>594</v>
      </c>
      <c r="D52" s="30" t="s">
        <v>98</v>
      </c>
      <c r="E52" s="30" t="s">
        <v>360</v>
      </c>
      <c r="F52" s="43">
        <v>0</v>
      </c>
      <c r="G52" s="43">
        <v>92</v>
      </c>
      <c r="H52" s="43">
        <v>24169</v>
      </c>
      <c r="I52" s="43">
        <v>24040</v>
      </c>
      <c r="J52" s="30" t="s">
        <v>361</v>
      </c>
      <c r="K52" s="43">
        <v>24235</v>
      </c>
      <c r="L52" s="143" t="s">
        <v>51</v>
      </c>
      <c r="M52" s="144">
        <f t="shared" si="10"/>
        <v>-102.96</v>
      </c>
      <c r="N52" s="145" t="str">
        <f>VLOOKUP(C52,'Trips&amp;Operators'!$C$1:$G$99999,5,FALSE)</f>
        <v>BROWN JACOB</v>
      </c>
      <c r="O52" s="194" t="s">
        <v>185</v>
      </c>
      <c r="P52" s="146"/>
      <c r="Q52" s="30"/>
      <c r="R52" s="89" t="e">
        <f>IF(VLOOKUP(C52,'Train Runs'!$A$13:$AE$9945,1,1)=C52,VLOOKUP(C52,'Train Runs'!$A$13:$AE$9945,31,1),NA())</f>
        <v>#N/A</v>
      </c>
      <c r="S52" s="92" t="str">
        <f>VLOOKUP(C52,'Train Runs'!$A$13:$AE$9945,22,0)</f>
        <v>https://d0f6bd738d7f1b3e5a7ca70fe4ff75f0.us-east-1.aws.found.io/app/kibana#/discover/Steve-Slow-Train-Analysis-(2080s-and-2083s)?_g=(refreshInterval:(display:Off,pause:!f,section:0,value:0),time:(from:'2017-03-21T04:53:52-0600',mode:absolute,to:'2017-03-21T07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52" s="94" t="str">
        <f t="shared" si="11"/>
        <v>"C:\Program Files (x86)\AstroGrep\AstroGrep.exe" /e /r /s /spath="%USERPROFILE%\AppData\Local\Temp\OnboardLogs" /stypes="*4001*201703211*" /stext=" 11:.+((SYSTEM_STATE.+slice.+state.+changed )|(ment ac)|(multiple cpu faults)|(system.+state.+changed )|(\[timeout)|(PRM\|1\|D)|(kpr)|(kdp)|(\|lc)|(penalty))"</v>
      </c>
      <c r="U52" s="9" t="str">
        <f t="shared" si="12"/>
        <v>4001</v>
      </c>
      <c r="V52" s="32">
        <f t="shared" si="13"/>
        <v>42815.494062500002</v>
      </c>
      <c r="W52" s="46" t="str">
        <f t="shared" si="14"/>
        <v>Other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{"issue":{"subject":"","project_id":79,"tracker_id":40,"status_id":1,"priority_id":2,"assigned_to_id":23,"start_date":"2017-03-21","description":"","custom_fields":[{"id":1,"name":"Subdivision","value":"Other"},{"id":4,"name":"Milepost","value":"2.4235"},{"id":17,"name":"Train ID","value":"902-21"},{"id":16,"name":"Locomotive ID","value":"4001"},{"id":130,"name":"Impact","value":""},{"id":150,"name":"Time of Event (Mountain Time)","value":"05:51:27"},{"id":151,"name":"Denver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22"/>
      <c r="AA52" s="48"/>
      <c r="AB52" s="48"/>
      <c r="AC52" s="127" t="str">
        <f t="shared" si="17"/>
        <v>grep -hSE -A400 "Enforcement Action" "%USERPROFILE%\AppData\Local\Temp\OnboardLogs"\RTDC4001\*4001*201703211*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"%USERPROFILE%\AppData\Local\Temp\OnboardLogs"\RTDC4001\*4001*201703211* &gt;&gt; 2017-03-21-SliceDisagreementCheck.txt</v>
      </c>
      <c r="AE52" s="157" t="str">
        <f t="shared" si="9"/>
        <v>start /low /b %USERPROFILE%\Documents\GitHub\eaglep3\Utilities\DownloadLogsFromS3.py --loco 4001 --day 2017-03-21</v>
      </c>
      <c r="AF52" s="1"/>
    </row>
    <row r="53" spans="1:32" x14ac:dyDescent="0.25">
      <c r="A53" s="32">
        <v>42815.740254629629</v>
      </c>
      <c r="B53" s="30" t="s">
        <v>543</v>
      </c>
      <c r="C53" s="30" t="s">
        <v>627</v>
      </c>
      <c r="D53" s="30" t="s">
        <v>49</v>
      </c>
      <c r="E53" s="30" t="s">
        <v>186</v>
      </c>
      <c r="F53" s="43">
        <v>0</v>
      </c>
      <c r="G53" s="43">
        <v>19</v>
      </c>
      <c r="H53" s="43">
        <v>30</v>
      </c>
      <c r="I53" s="43">
        <v>19</v>
      </c>
      <c r="J53" s="30" t="s">
        <v>187</v>
      </c>
      <c r="K53" s="43">
        <v>1</v>
      </c>
      <c r="L53" s="143" t="s">
        <v>51</v>
      </c>
      <c r="M53" s="144">
        <f t="shared" si="10"/>
        <v>9.5039999999999996</v>
      </c>
      <c r="N53" s="145" t="str">
        <f>VLOOKUP(C53,'Trips&amp;Operators'!$C$1:$G$99999,5,FALSE)</f>
        <v>STORY SAMANTHA</v>
      </c>
      <c r="O53" s="194" t="s">
        <v>185</v>
      </c>
      <c r="P53" s="146"/>
      <c r="Q53" s="30"/>
      <c r="R53" s="89" t="e">
        <f>IF(VLOOKUP(C53,'Train Runs'!$A$13:$AE$9945,1,1)=C53,VLOOKUP(C53,'Train Runs'!$A$13:$AE$9945,31,1),NA())</f>
        <v>#N/A</v>
      </c>
      <c r="S53" s="92" t="str">
        <f>VLOOKUP(C53,'Train Runs'!$A$13:$AE$9945,22,0)</f>
        <v>https://d0f6bd738d7f1b3e5a7ca70fe4ff75f0.us-east-1.aws.found.io/app/kibana#/discover/Steve-Slow-Train-Analysis-(2080s-and-2083s)?_g=(refreshInterval:(display:Off,pause:!f,section:0,value:0),time:(from:'2017-03-21T16:32:16-0600',mode:absolute,to:'2017-03-21T18:45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3" s="94" t="str">
        <f t="shared" si="11"/>
        <v>"C:\Program Files (x86)\AstroGrep\AstroGrep.exe" /e /r /s /spath="%USERPROFILE%\AppData\Local\Temp\OnboardLogs" /stypes="*4008*201703212*" /stext=" 23:.+((SYSTEM_STATE.+slice.+state.+changed )|(ment ac)|(multiple cpu faults)|(system.+state.+changed )|(\[timeout)|(PRM\|1\|D)|(kpr)|(kdp)|(\|lc)|(penalty))"</v>
      </c>
      <c r="U53" s="9" t="str">
        <f t="shared" si="12"/>
        <v>4008</v>
      </c>
      <c r="V53" s="32">
        <f t="shared" si="13"/>
        <v>42815.990254629629</v>
      </c>
      <c r="W53" s="46" t="str">
        <f t="shared" si="14"/>
        <v>Other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{"issue":{"subject":"","project_id":79,"tracker_id":40,"status_id":1,"priority_id":2,"assigned_to_id":23,"start_date":"2017-03-21","description":"","custom_fields":[{"id":1,"name":"Subdivision","value":"Other"},{"id":4,"name":"Milepost","value":"0.0001"},{"id":17,"name":"Train ID","value":"54-21"},{"id":16,"name":"Locomotive ID","value":"4008"},{"id":130,"name":"Impact","value":""},{"id":150,"name":"Time of Event (Mountain Time)","value":"17:45:58"},{"id":151,"name":"Denver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22"/>
      <c r="AA53" s="48"/>
      <c r="AB53" s="48"/>
      <c r="AC53" s="127" t="str">
        <f t="shared" si="17"/>
        <v>grep -hSE -A400 "Enforcement Action" "%USERPROFILE%\AppData\Local\Temp\OnboardLogs"\RTDC4008\*4008*201703212*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"%USERPROFILE%\AppData\Local\Temp\OnboardLogs"\RTDC4008\*4008*201703212* &gt;&gt; 2017-03-21-SliceDisagreementCheck.txt</v>
      </c>
      <c r="AE53" s="157" t="str">
        <f t="shared" si="9"/>
        <v>start /low /b %USERPROFILE%\Documents\GitHub\eaglep3\Utilities\DownloadLogsFromS3.py --loco 4008 --day 2017-03-21</v>
      </c>
      <c r="AF53" s="1"/>
    </row>
    <row r="54" spans="1:32" x14ac:dyDescent="0.25">
      <c r="A54" s="32">
        <v>42815.441666666666</v>
      </c>
      <c r="B54" s="30" t="s">
        <v>543</v>
      </c>
      <c r="C54" s="30" t="s">
        <v>610</v>
      </c>
      <c r="D54" s="30" t="s">
        <v>49</v>
      </c>
      <c r="E54" s="30" t="s">
        <v>186</v>
      </c>
      <c r="F54" s="43">
        <v>0</v>
      </c>
      <c r="G54" s="43">
        <v>37</v>
      </c>
      <c r="H54" s="43">
        <v>952</v>
      </c>
      <c r="I54" s="43">
        <v>921</v>
      </c>
      <c r="J54" s="30" t="s">
        <v>187</v>
      </c>
      <c r="K54" s="43">
        <v>826</v>
      </c>
      <c r="L54" s="143" t="s">
        <v>51</v>
      </c>
      <c r="M54" s="144">
        <f t="shared" si="10"/>
        <v>50.16</v>
      </c>
      <c r="N54" s="145" t="str">
        <f>VLOOKUP(C54,'Trips&amp;Operators'!$C$1:$G$99999,5,FALSE)</f>
        <v>BEAM ROSS</v>
      </c>
      <c r="O54" s="194" t="s">
        <v>185</v>
      </c>
      <c r="P54" s="146"/>
      <c r="Q54" s="30"/>
      <c r="R54" s="89" t="e">
        <f>IF(VLOOKUP(C54,'Train Runs'!$A$13:$AE$9945,1,1)=C54,VLOOKUP(C54,'Train Runs'!$A$13:$AE$9945,31,1),NA())</f>
        <v>#N/A</v>
      </c>
      <c r="S54" s="92" t="str">
        <f>VLOOKUP(C54,'Train Runs'!$A$13:$AE$9945,22,0)</f>
        <v>https://d0f6bd738d7f1b3e5a7ca70fe4ff75f0.us-east-1.aws.found.io/app/kibana#/discover/Steve-Slow-Train-Analysis-(2080s-and-2083s)?_g=(refreshInterval:(display:Off,pause:!f,section:0,value:0),time:(from:'2017-03-21T09:23:05-0600',mode:absolute,to:'2017-03-21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4" s="94" t="str">
        <f t="shared" si="11"/>
        <v>"C:\Program Files (x86)\AstroGrep\AstroGrep.exe" /e /r /s /spath="%USERPROFILE%\AppData\Local\Temp\OnboardLogs" /stypes="*4008*201703211*" /stext=" 16:.+((SYSTEM_STATE.+slice.+state.+changed )|(ment ac)|(multiple cpu faults)|(system.+state.+changed )|(\[timeout)|(PRM\|1\|D)|(kpr)|(kdp)|(\|lc)|(penalty))"</v>
      </c>
      <c r="U54" s="9" t="str">
        <f t="shared" si="12"/>
        <v>4008</v>
      </c>
      <c r="V54" s="32">
        <f t="shared" si="13"/>
        <v>42815.691666666666</v>
      </c>
      <c r="W54" s="46" t="str">
        <f t="shared" si="14"/>
        <v>Other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{"issue":{"subject":"","project_id":79,"tracker_id":40,"status_id":1,"priority_id":2,"assigned_to_id":23,"start_date":"2017-03-21","description":"","custom_fields":[{"id":1,"name":"Subdivision","value":"Other"},{"id":4,"name":"Milepost","value":"0.0826"},{"id":17,"name":"Train ID","value":"50-21"},{"id":16,"name":"Locomotive ID","value":"4008"},{"id":130,"name":"Impact","value":""},{"id":150,"name":"Time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22"/>
      <c r="AA54" s="48"/>
      <c r="AB54" s="48"/>
      <c r="AC54" s="127" t="str">
        <f t="shared" si="17"/>
        <v>grep -hSE -A400 "Enforcement Action" "%USERPROFILE%\AppData\Local\Temp\OnboardLogs"\RTDC4008\*4008*201703211* | grep -SE "((Enforcement Ac)|(PRM.+XING))"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"%USERPROFILE%\AppData\Local\Temp\OnboardLogs"\RTDC4008\*4008*201703211* &gt;&gt; 2017-03-21-SliceDisagreementCheck.txt</v>
      </c>
      <c r="AE54" s="157" t="str">
        <f t="shared" si="9"/>
        <v>start /low /b %USERPROFILE%\Documents\GitHub\eaglep3\Utilities\DownloadLogsFromS3.py --loco 4008 --day 2017-03-21</v>
      </c>
      <c r="AF54" s="1"/>
    </row>
    <row r="55" spans="1:32" x14ac:dyDescent="0.25">
      <c r="A55" s="32">
        <v>42815.750451388885</v>
      </c>
      <c r="B55" s="30" t="s">
        <v>490</v>
      </c>
      <c r="C55" s="30" t="s">
        <v>629</v>
      </c>
      <c r="D55" s="30" t="s">
        <v>49</v>
      </c>
      <c r="E55" s="30" t="s">
        <v>186</v>
      </c>
      <c r="F55" s="43">
        <v>0</v>
      </c>
      <c r="G55" s="43">
        <v>56</v>
      </c>
      <c r="H55" s="43">
        <v>973</v>
      </c>
      <c r="I55" s="43">
        <v>928</v>
      </c>
      <c r="J55" s="30" t="s">
        <v>187</v>
      </c>
      <c r="K55" s="43">
        <v>826</v>
      </c>
      <c r="L55" s="143" t="s">
        <v>51</v>
      </c>
      <c r="M55" s="144">
        <f t="shared" si="10"/>
        <v>53.856000000000002</v>
      </c>
      <c r="N55" s="145" t="str">
        <f>VLOOKUP(C55,'Trips&amp;Operators'!$C$1:$G$99999,5,FALSE)</f>
        <v>MAGEE KENYA</v>
      </c>
      <c r="O55" s="194" t="s">
        <v>185</v>
      </c>
      <c r="P55" s="146"/>
      <c r="Q55" s="30"/>
      <c r="R55" s="89" t="e">
        <f>IF(VLOOKUP(C55,'Train Runs'!$A$13:$AE$9945,1,1)=C55,VLOOKUP(C55,'Train Runs'!$A$13:$AE$9945,31,1),NA())</f>
        <v>#N/A</v>
      </c>
      <c r="S55" s="92" t="str">
        <f>VLOOKUP(C55,'Train Runs'!$A$13:$AE$9945,22,0)</f>
        <v>https://d0f6bd738d7f1b3e5a7ca70fe4ff75f0.us-east-1.aws.found.io/app/kibana#/discover/Steve-Slow-Train-Analysis-(2080s-and-2083s)?_g=(refreshInterval:(display:Off,pause:!f,section:0,value:0),time:(from:'2017-03-21T16:49:21-0600',mode:absolute,to:'2017-03-21T19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5" s="94" t="str">
        <f t="shared" si="11"/>
        <v>"C:\Program Files (x86)\AstroGrep\AstroGrep.exe" /e /r /s /spath="%USERPROFILE%\AppData\Local\Temp\OnboardLogs" /stypes="*4017*201703220*" /stext=" 00:.+((SYSTEM_STATE.+slice.+state.+changed )|(ment ac)|(multiple cpu faults)|(system.+state.+changed )|(\[timeout)|(PRM\|1\|D)|(kpr)|(kdp)|(\|lc)|(penalty))"</v>
      </c>
      <c r="U55" s="9" t="str">
        <f t="shared" si="12"/>
        <v>4017</v>
      </c>
      <c r="V55" s="32">
        <f t="shared" si="13"/>
        <v>42816.000451388885</v>
      </c>
      <c r="W55" s="46" t="str">
        <f t="shared" si="14"/>
        <v>Other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{"issue":{"subject":"","project_id":79,"tracker_id":40,"status_id":1,"priority_id":2,"assigned_to_id":23,"start_date":"2017-03-21","description":"","custom_fields":[{"id":1,"name":"Subdivision","value":"Other"},{"id":4,"name":"Milepost","value":"0.0826"},{"id":17,"name":"Train ID","value":"56-21"},{"id":16,"name":"Locomotive ID","value":"4017"},{"id":130,"name":"Impact","value":""},{"id":150,"name":"Time of Event (Mountain Time)","value":"18:00:39"},{"id":151,"name":"Denver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22"/>
      <c r="AA55" s="48"/>
      <c r="AB55" s="48"/>
      <c r="AC55" s="127" t="str">
        <f t="shared" si="17"/>
        <v>grep -hSE -A400 "Enforcement Action" "%USERPROFILE%\AppData\Local\Temp\OnboardLogs"\RTDC4017\*4017*201703220* | grep -SE "((Enforcement Ac)|(PRM.+XING))"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"%USERPROFILE%\AppData\Local\Temp\OnboardLogs"\RTDC4017\*4017*201703220* &gt;&gt; 2017-03-21-SliceDisagreementCheck.txt</v>
      </c>
      <c r="AE55" s="157" t="str">
        <f t="shared" si="9"/>
        <v>start /low /b %USERPROFILE%\Documents\GitHub\eaglep3\Utilities\DownloadLogsFromS3.py --loco 4017 --day 2017-03-22</v>
      </c>
      <c r="AF55" s="1"/>
    </row>
    <row r="56" spans="1:32" x14ac:dyDescent="0.25">
      <c r="A56" s="32">
        <v>42815.750694444447</v>
      </c>
      <c r="B56" s="30" t="s">
        <v>490</v>
      </c>
      <c r="C56" s="30" t="s">
        <v>629</v>
      </c>
      <c r="D56" s="30" t="s">
        <v>49</v>
      </c>
      <c r="E56" s="30" t="s">
        <v>186</v>
      </c>
      <c r="F56" s="43">
        <v>0</v>
      </c>
      <c r="G56" s="43">
        <v>18</v>
      </c>
      <c r="H56" s="43">
        <v>861</v>
      </c>
      <c r="I56" s="43">
        <v>854</v>
      </c>
      <c r="J56" s="30" t="s">
        <v>187</v>
      </c>
      <c r="K56" s="43">
        <v>826</v>
      </c>
      <c r="L56" s="143" t="s">
        <v>51</v>
      </c>
      <c r="M56" s="144">
        <f t="shared" si="10"/>
        <v>14.784000000000001</v>
      </c>
      <c r="N56" s="145" t="str">
        <f>VLOOKUP(C56,'Trips&amp;Operators'!$C$1:$G$99999,5,FALSE)</f>
        <v>MAGEE KENYA</v>
      </c>
      <c r="O56" s="194" t="s">
        <v>185</v>
      </c>
      <c r="P56" s="146"/>
      <c r="Q56" s="30"/>
      <c r="R56" s="89" t="e">
        <f>IF(VLOOKUP(C56,'Train Runs'!$A$13:$AE$9945,1,1)=C56,VLOOKUP(C56,'Train Runs'!$A$13:$AE$9945,31,1),NA())</f>
        <v>#N/A</v>
      </c>
      <c r="S56" s="92" t="str">
        <f>VLOOKUP(C56,'Train Runs'!$A$13:$AE$9945,22,0)</f>
        <v>https://d0f6bd738d7f1b3e5a7ca70fe4ff75f0.us-east-1.aws.found.io/app/kibana#/discover/Steve-Slow-Train-Analysis-(2080s-and-2083s)?_g=(refreshInterval:(display:Off,pause:!f,section:0,value:0),time:(from:'2017-03-21T16:49:21-0600',mode:absolute,to:'2017-03-21T19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6" s="94" t="str">
        <f t="shared" si="11"/>
        <v>"C:\Program Files (x86)\AstroGrep\AstroGrep.exe" /e /r /s /spath="%USERPROFILE%\AppData\Local\Temp\OnboardLogs" /stypes="*4017*201703220*" /stext=" 00:.+((SYSTEM_STATE.+slice.+state.+changed )|(ment ac)|(multiple cpu faults)|(system.+state.+changed )|(\[timeout)|(PRM\|1\|D)|(kpr)|(kdp)|(\|lc)|(penalty))"</v>
      </c>
      <c r="U56" s="9" t="str">
        <f t="shared" si="12"/>
        <v>4017</v>
      </c>
      <c r="V56" s="32">
        <f t="shared" si="13"/>
        <v>42816.000694444447</v>
      </c>
      <c r="W56" s="46" t="str">
        <f t="shared" si="14"/>
        <v>Other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{"issue":{"subject":"","project_id":79,"tracker_id":40,"status_id":1,"priority_id":2,"assigned_to_id":23,"start_date":"2017-03-21","description":"","custom_fields":[{"id":1,"name":"Subdivision","value":"Other"},{"id":4,"name":"Milepost","value":"0.0826"},{"id":17,"name":"Train ID","value":"56-21"},{"id":16,"name":"Locomotive ID","value":"4017"},{"id":130,"name":"Impact","value":""},{"id":150,"name":"Time of Event (Mountain Time)","value":"18:01:00"},{"id":151,"name":"Denver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22"/>
      <c r="AA56" s="48"/>
      <c r="AB56" s="48"/>
      <c r="AC56" s="127" t="str">
        <f t="shared" si="17"/>
        <v>grep -hSE -A400 "Enforcement Action" "%USERPROFILE%\AppData\Local\Temp\OnboardLogs"\RTDC4017\*4017*201703220* | grep -SE "((Enforcement Ac)|(PRM.+XING))"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"%USERPROFILE%\AppData\Local\Temp\OnboardLogs"\RTDC4017\*4017*201703220* &gt;&gt; 2017-03-21-SliceDisagreementCheck.txt</v>
      </c>
      <c r="AE56" s="157" t="str">
        <f t="shared" si="9"/>
        <v>start /low /b %USERPROFILE%\Documents\GitHub\eaglep3\Utilities\DownloadLogsFromS3.py --loco 4017 --day 2017-03-22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</sheetData>
  <autoFilter ref="A6:AC68">
    <sortState ref="A7:AC68">
      <sortCondition ref="W7:W56"/>
      <sortCondition ref="E7:E56"/>
      <sortCondition ref="K7:K56"/>
      <sortCondition ref="F7:F56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9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1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2017-03-21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-21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Runs'!$A$13:$A$99942,1,FALSE)</f>
        <v>#N/A</v>
      </c>
    </row>
    <row r="4" spans="1:10" x14ac:dyDescent="0.25">
      <c r="A4" s="185"/>
      <c r="B4" s="43" t="str">
        <f>A4&amp;"-"&amp;IF(DAY(Variables!$A$2)&lt;10,0,"")&amp;DAY(Variables!$A$2)</f>
        <v>-21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Runs'!$A$13:$A$99942,1,FALSE)</f>
        <v>#N/A</v>
      </c>
    </row>
    <row r="5" spans="1:10" x14ac:dyDescent="0.25">
      <c r="A5" s="185"/>
      <c r="B5" s="43" t="str">
        <f>A5&amp;"-"&amp;IF(DAY(Variables!$A$2)&lt;10,0,"")&amp;DAY(Variables!$A$2)</f>
        <v>-21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Runs'!$A$13:$A$99942,1,FALSE)</f>
        <v>#N/A</v>
      </c>
    </row>
    <row r="6" spans="1:10" x14ac:dyDescent="0.25">
      <c r="A6" s="185"/>
      <c r="B6" s="43" t="str">
        <f>A6&amp;"-"&amp;IF(DAY(Variables!$A$2)&lt;10,0,"")&amp;DAY(Variables!$A$2)</f>
        <v>-21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Runs'!$A$13:$A$99942,1,FALSE)</f>
        <v>#N/A</v>
      </c>
    </row>
    <row r="7" spans="1:10" x14ac:dyDescent="0.25">
      <c r="A7" s="185"/>
      <c r="B7" s="43" t="str">
        <f>A7&amp;"-"&amp;IF(DAY(Variables!$A$2)&lt;10,0,"")&amp;DAY(Variables!$A$2)</f>
        <v>-21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ref="I7:I3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Runs'!$A$13:$A$99942,1,FALSE)</f>
        <v>#N/A</v>
      </c>
    </row>
    <row r="8" spans="1:10" x14ac:dyDescent="0.25">
      <c r="A8" s="185"/>
      <c r="B8" s="43" t="str">
        <f>A8&amp;"-"&amp;IF(DAY(Variables!$A$2)&lt;10,0,"")&amp;DAY(Variables!$A$2)</f>
        <v>-21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Runs'!$A$13:$A$99942,1,FALSE)</f>
        <v>#N/A</v>
      </c>
    </row>
    <row r="9" spans="1:10" x14ac:dyDescent="0.25">
      <c r="A9" s="185"/>
      <c r="B9" s="43" t="str">
        <f>A9&amp;"-"&amp;IF(DAY(Variables!$A$2)&lt;10,0,"")&amp;DAY(Variables!$A$2)</f>
        <v>-21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Runs'!$A$13:$A$99942,1,FALSE)</f>
        <v>#N/A</v>
      </c>
    </row>
    <row r="10" spans="1:10" x14ac:dyDescent="0.25">
      <c r="A10" s="185"/>
      <c r="B10" s="43" t="str">
        <f>A10&amp;"-"&amp;IF(DAY(Variables!$A$2)&lt;10,0,"")&amp;DAY(Variables!$A$2)</f>
        <v>-21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Runs'!$A$13:$A$99942,1,FALSE)</f>
        <v>#N/A</v>
      </c>
    </row>
    <row r="11" spans="1:10" x14ac:dyDescent="0.25">
      <c r="A11" s="185"/>
      <c r="B11" s="43" t="str">
        <f>A11&amp;"-"&amp;IF(DAY(Variables!$A$2)&lt;10,0,"")&amp;DAY(Variables!$A$2)</f>
        <v>-21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Runs'!$A$13:$A$99942,1,FALSE)</f>
        <v>#N/A</v>
      </c>
    </row>
    <row r="12" spans="1:10" x14ac:dyDescent="0.25">
      <c r="A12" s="185"/>
      <c r="B12" s="43" t="str">
        <f>A12&amp;"-"&amp;IF(DAY(Variables!$A$2)&lt;10,0,"")&amp;DAY(Variables!$A$2)</f>
        <v>-21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Runs'!$A$13:$A$99942,1,FALSE)</f>
        <v>#N/A</v>
      </c>
    </row>
    <row r="13" spans="1:10" x14ac:dyDescent="0.25">
      <c r="A13" s="185"/>
      <c r="B13" s="43" t="str">
        <f>A13&amp;"-"&amp;IF(DAY(Variables!$A$2)&lt;10,0,"")&amp;DAY(Variables!$A$2)</f>
        <v>-21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Runs'!$A$13:$A$99942,1,FALSE)</f>
        <v>#N/A</v>
      </c>
    </row>
    <row r="14" spans="1:10" x14ac:dyDescent="0.25">
      <c r="A14" s="185"/>
      <c r="B14" s="43" t="str">
        <f>A14&amp;"-"&amp;IF(DAY(Variables!$A$2)&lt;10,0,"")&amp;DAY(Variables!$A$2)</f>
        <v>-21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Runs'!$A$13:$A$99942,1,FALSE)</f>
        <v>#N/A</v>
      </c>
    </row>
    <row r="15" spans="1:10" x14ac:dyDescent="0.25">
      <c r="A15" s="185"/>
      <c r="B15" s="43" t="str">
        <f>A15&amp;"-"&amp;IF(DAY(Variables!$A$2)&lt;10,0,"")&amp;DAY(Variables!$A$2)</f>
        <v>-21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Runs'!$A$13:$A$99942,1,FALSE)</f>
        <v>#N/A</v>
      </c>
    </row>
    <row r="16" spans="1:10" x14ac:dyDescent="0.25">
      <c r="A16" s="185"/>
      <c r="B16" s="43" t="str">
        <f>A16&amp;"-"&amp;IF(DAY(Variables!$A$2)&lt;10,0,"")&amp;DAY(Variables!$A$2)</f>
        <v>-21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Runs'!$A$13:$A$99942,1,FALSE)</f>
        <v>#N/A</v>
      </c>
    </row>
    <row r="17" spans="1:10" x14ac:dyDescent="0.25">
      <c r="A17" s="185"/>
      <c r="B17" s="43" t="str">
        <f>A17&amp;"-"&amp;IF(DAY(Variables!$A$2)&lt;10,0,"")&amp;DAY(Variables!$A$2)</f>
        <v>-21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Runs'!$A$13:$A$99942,1,FALSE)</f>
        <v>#N/A</v>
      </c>
    </row>
    <row r="18" spans="1:10" x14ac:dyDescent="0.25">
      <c r="A18" s="185"/>
      <c r="B18" s="43" t="str">
        <f>A18&amp;"-"&amp;IF(DAY(Variables!$A$2)&lt;10,0,"")&amp;DAY(Variables!$A$2)</f>
        <v>-21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Runs'!$A$13:$A$99942,1,FALSE)</f>
        <v>#N/A</v>
      </c>
    </row>
    <row r="19" spans="1:10" x14ac:dyDescent="0.25">
      <c r="A19" s="185"/>
      <c r="B19" s="43" t="str">
        <f>A19&amp;"-"&amp;IF(DAY(Variables!$A$2)&lt;10,0,"")&amp;DAY(Variables!$A$2)</f>
        <v>-21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0" t="e">
        <f>VLOOKUP(B19,'Train Runs'!$A$13:$A$99942,1,FALSE)</f>
        <v>#N/A</v>
      </c>
    </row>
    <row r="20" spans="1:10" x14ac:dyDescent="0.25">
      <c r="A20" s="185"/>
      <c r="B20" s="43" t="str">
        <f>A20&amp;"-"&amp;IF(DAY(Variables!$A$2)&lt;10,0,"")&amp;DAY(Variables!$A$2)</f>
        <v>-21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0" t="e">
        <f>VLOOKUP(B20,'Train Runs'!$A$13:$A$99942,1,FALSE)</f>
        <v>#N/A</v>
      </c>
    </row>
    <row r="21" spans="1:10" x14ac:dyDescent="0.25">
      <c r="A21" s="185"/>
      <c r="B21" s="43" t="str">
        <f>A21&amp;"-"&amp;IF(DAY(Variables!$A$2)&lt;10,0,"")&amp;DAY(Variables!$A$2)</f>
        <v>-21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0" t="e">
        <f>VLOOKUP(B21,'Train Runs'!$A$13:$A$99942,1,FALSE)</f>
        <v>#N/A</v>
      </c>
    </row>
    <row r="22" spans="1:10" x14ac:dyDescent="0.25">
      <c r="A22" s="185"/>
      <c r="B22" s="43" t="str">
        <f>A22&amp;"-"&amp;IF(DAY(Variables!$A$2)&lt;10,0,"")&amp;DAY(Variables!$A$2)</f>
        <v>-21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0" t="e">
        <f>VLOOKUP(B22,'Train Runs'!$A$13:$A$99942,1,FALSE)</f>
        <v>#N/A</v>
      </c>
    </row>
    <row r="23" spans="1:10" x14ac:dyDescent="0.25">
      <c r="A23" s="185"/>
      <c r="B23" s="43" t="str">
        <f>A23&amp;"-"&amp;IF(DAY(Variables!$A$2)&lt;10,0,"")&amp;DAY(Variables!$A$2)</f>
        <v>-21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0" t="e">
        <f>VLOOKUP(B23,'Train Runs'!$A$13:$A$99942,1,FALSE)</f>
        <v>#N/A</v>
      </c>
    </row>
    <row r="24" spans="1:10" x14ac:dyDescent="0.25">
      <c r="A24" s="185"/>
      <c r="B24" s="43" t="str">
        <f>A24&amp;"-"&amp;IF(DAY(Variables!$A$2)&lt;10,0,"")&amp;DAY(Variables!$A$2)</f>
        <v>-21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0" t="e">
        <f>VLOOKUP(B24,'Train Runs'!$A$13:$A$99942,1,FALSE)</f>
        <v>#N/A</v>
      </c>
    </row>
    <row r="25" spans="1:10" x14ac:dyDescent="0.25">
      <c r="A25" s="185"/>
      <c r="B25" s="43" t="str">
        <f>A25&amp;"-"&amp;IF(DAY(Variables!$A$2)&lt;10,0,"")&amp;DAY(Variables!$A$2)</f>
        <v>-21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0" t="e">
        <f>VLOOKUP(B25,'Train Runs'!$A$13:$A$99942,1,FALSE)</f>
        <v>#N/A</v>
      </c>
    </row>
    <row r="26" spans="1:10" x14ac:dyDescent="0.25">
      <c r="A26" s="185"/>
      <c r="B26" s="43" t="str">
        <f>A26&amp;"-"&amp;IF(DAY(Variables!$A$2)&lt;10,0,"")&amp;DAY(Variables!$A$2)</f>
        <v>-21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0" t="e">
        <f>VLOOKUP(B26,'Train Runs'!$A$13:$A$99942,1,FALSE)</f>
        <v>#N/A</v>
      </c>
    </row>
    <row r="27" spans="1:10" x14ac:dyDescent="0.25">
      <c r="A27" s="185"/>
      <c r="B27" s="43" t="str">
        <f>A27&amp;"-"&amp;IF(DAY(Variables!$A$2)&lt;10,0,"")&amp;DAY(Variables!$A$2)</f>
        <v>-21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0" t="e">
        <f>VLOOKUP(B27,'Train Runs'!$A$13:$A$99942,1,FALSE)</f>
        <v>#N/A</v>
      </c>
    </row>
    <row r="28" spans="1:10" x14ac:dyDescent="0.25">
      <c r="A28" s="185"/>
      <c r="B28" s="43" t="str">
        <f>A28&amp;"-"&amp;IF(DAY(Variables!$A$2)&lt;10,0,"")&amp;DAY(Variables!$A$2)</f>
        <v>-21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0" t="e">
        <f>VLOOKUP(B28,'Train Runs'!$A$13:$A$99942,1,FALSE)</f>
        <v>#N/A</v>
      </c>
    </row>
    <row r="29" spans="1:10" x14ac:dyDescent="0.25">
      <c r="A29" s="185"/>
      <c r="B29" s="43" t="str">
        <f>A29&amp;"-"&amp;IF(DAY(Variables!$A$2)&lt;10,0,"")&amp;DAY(Variables!$A$2)</f>
        <v>-21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9" s="30" t="e">
        <f>VLOOKUP(B29,'Train Runs'!$A$13:$A$99942,1,FALSE)</f>
        <v>#N/A</v>
      </c>
    </row>
    <row r="30" spans="1:10" x14ac:dyDescent="0.25">
      <c r="A30" s="185"/>
      <c r="B30" s="43" t="str">
        <f>A30&amp;"-"&amp;IF(DAY(Variables!$A$2)&lt;10,0,"")&amp;DAY(Variables!$A$2)</f>
        <v>-21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0" s="30" t="e">
        <f>VLOOKUP(B30,'Train Runs'!$A$13:$A$99942,1,FALSE)</f>
        <v>#N/A</v>
      </c>
    </row>
    <row r="31" spans="1:10" x14ac:dyDescent="0.25">
      <c r="A31" s="185"/>
      <c r="B31" s="43" t="str">
        <f>A31&amp;"-"&amp;IF(DAY(Variables!$A$2)&lt;10,0,"")&amp;DAY(Variables!$A$2)</f>
        <v>-21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1" s="30" t="e">
        <f>VLOOKUP(B31,'Train Runs'!$A$13:$A$99942,1,FALSE)</f>
        <v>#N/A</v>
      </c>
    </row>
    <row r="32" spans="1:10" x14ac:dyDescent="0.25">
      <c r="A32" s="185"/>
      <c r="B32" s="43" t="str">
        <f>A32&amp;"-"&amp;IF(DAY(Variables!$A$2)&lt;10,0,"")&amp;DAY(Variables!$A$2)</f>
        <v>-21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2" s="30" t="e">
        <f>VLOOKUP(B32,'Train Runs'!$A$13:$A$99942,1,FALSE)</f>
        <v>#N/A</v>
      </c>
    </row>
    <row r="33" spans="1:10" x14ac:dyDescent="0.25">
      <c r="A33" s="185"/>
      <c r="B33" s="43" t="str">
        <f>A33&amp;"-"&amp;IF(DAY(Variables!$A$2)&lt;10,0,"")&amp;DAY(Variables!$A$2)</f>
        <v>-21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3" s="30" t="e">
        <f>VLOOKUP(B33,'Train Runs'!$A$13:$A$99942,1,FALSE)</f>
        <v>#N/A</v>
      </c>
    </row>
    <row r="34" spans="1:10" x14ac:dyDescent="0.25">
      <c r="A34" s="185"/>
      <c r="B34" s="43" t="str">
        <f>A34&amp;"-"&amp;IF(DAY(Variables!$A$2)&lt;10,0,"")&amp;DAY(Variables!$A$2)</f>
        <v>-21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4" s="30" t="e">
        <f>VLOOKUP(B34,'Train Runs'!$A$13:$A$99942,1,FALSE)</f>
        <v>#N/A</v>
      </c>
    </row>
    <row r="35" spans="1:10" x14ac:dyDescent="0.25">
      <c r="A35" s="185"/>
      <c r="B35" s="43" t="str">
        <f>A35&amp;"-"&amp;IF(DAY(Variables!$A$2)&lt;10,0,"")&amp;DAY(Variables!$A$2)</f>
        <v>-21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5" s="30" t="e">
        <f>VLOOKUP(B35,'Train Runs'!$A$13:$A$99942,1,FALSE)</f>
        <v>#N/A</v>
      </c>
    </row>
    <row r="36" spans="1:10" x14ac:dyDescent="0.25">
      <c r="A36" s="185"/>
      <c r="B36" s="43" t="str">
        <f>A36&amp;"-"&amp;IF(DAY(Variables!$A$2)&lt;10,0,"")&amp;DAY(Variables!$A$2)</f>
        <v>-21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6" s="30" t="e">
        <f>VLOOKUP(B36,'Train Runs'!$A$13:$A$99942,1,FALSE)</f>
        <v>#N/A</v>
      </c>
    </row>
    <row r="37" spans="1:10" x14ac:dyDescent="0.25">
      <c r="A37" s="185"/>
      <c r="B37" s="43" t="str">
        <f>A37&amp;"-"&amp;IF(DAY(Variables!$A$2)&lt;10,0,"")&amp;DAY(Variables!$A$2)</f>
        <v>-21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7" s="30" t="e">
        <f>VLOOKUP(B37,'Train Runs'!$A$13:$A$99942,1,FALSE)</f>
        <v>#N/A</v>
      </c>
    </row>
    <row r="38" spans="1:10" x14ac:dyDescent="0.25">
      <c r="A38" s="185"/>
      <c r="B38" s="43" t="str">
        <f>A38&amp;"-"&amp;IF(DAY(Variables!$A$2)&lt;10,0,"")&amp;DAY(Variables!$A$2)</f>
        <v>-21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ref="I38:I69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8" s="30" t="e">
        <f>VLOOKUP(B38,'Train Runs'!$A$13:$A$99942,1,FALSE)</f>
        <v>#N/A</v>
      </c>
    </row>
    <row r="39" spans="1:10" x14ac:dyDescent="0.25">
      <c r="A39" s="185"/>
      <c r="B39" s="43" t="str">
        <f>A39&amp;"-"&amp;IF(DAY(Variables!$A$2)&lt;10,0,"")&amp;DAY(Variables!$A$2)</f>
        <v>-21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9" s="30" t="e">
        <f>VLOOKUP(B39,'Train Runs'!$A$13:$A$99942,1,FALSE)</f>
        <v>#N/A</v>
      </c>
    </row>
    <row r="40" spans="1:10" x14ac:dyDescent="0.25">
      <c r="A40" s="185"/>
      <c r="B40" s="43" t="str">
        <f>A40&amp;"-"&amp;IF(DAY(Variables!$A$2)&lt;10,0,"")&amp;DAY(Variables!$A$2)</f>
        <v>-21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0" s="30" t="e">
        <f>VLOOKUP(B40,'Train Runs'!$A$13:$A$99942,1,FALSE)</f>
        <v>#N/A</v>
      </c>
    </row>
    <row r="41" spans="1:10" x14ac:dyDescent="0.25">
      <c r="A41" s="185"/>
      <c r="B41" s="43" t="str">
        <f>A41&amp;"-"&amp;IF(DAY(Variables!$A$2)&lt;10,0,"")&amp;DAY(Variables!$A$2)</f>
        <v>-21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1" s="30" t="e">
        <f>VLOOKUP(B41,'Train Runs'!$A$13:$A$99942,1,FALSE)</f>
        <v>#N/A</v>
      </c>
    </row>
    <row r="42" spans="1:10" x14ac:dyDescent="0.25">
      <c r="A42" s="185"/>
      <c r="B42" s="43" t="str">
        <f>A42&amp;"-"&amp;IF(DAY(Variables!$A$2)&lt;10,0,"")&amp;DAY(Variables!$A$2)</f>
        <v>-21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2" s="30" t="e">
        <f>VLOOKUP(B42,'Train Runs'!$A$13:$A$99942,1,FALSE)</f>
        <v>#N/A</v>
      </c>
    </row>
    <row r="43" spans="1:10" x14ac:dyDescent="0.25">
      <c r="A43" s="185"/>
      <c r="B43" s="43" t="str">
        <f>A43&amp;"-"&amp;IF(DAY(Variables!$A$2)&lt;10,0,"")&amp;DAY(Variables!$A$2)</f>
        <v>-21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3" s="30" t="e">
        <f>VLOOKUP(B43,'Train Runs'!$A$13:$A$99942,1,FALSE)</f>
        <v>#N/A</v>
      </c>
    </row>
    <row r="44" spans="1:10" x14ac:dyDescent="0.25">
      <c r="A44" s="185"/>
      <c r="B44" s="43" t="str">
        <f>A44&amp;"-"&amp;IF(DAY(Variables!$A$2)&lt;10,0,"")&amp;DAY(Variables!$A$2)</f>
        <v>-21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4" s="30" t="e">
        <f>VLOOKUP(B44,'Train Runs'!$A$13:$A$99942,1,FALSE)</f>
        <v>#N/A</v>
      </c>
    </row>
    <row r="45" spans="1:10" x14ac:dyDescent="0.25">
      <c r="A45" s="185"/>
      <c r="B45" s="43" t="str">
        <f>A45&amp;"-"&amp;IF(DAY(Variables!$A$2)&lt;10,0,"")&amp;DAY(Variables!$A$2)</f>
        <v>-21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5" s="30" t="e">
        <f>VLOOKUP(B45,'Train Runs'!$A$13:$A$99942,1,FALSE)</f>
        <v>#N/A</v>
      </c>
    </row>
    <row r="46" spans="1:10" x14ac:dyDescent="0.25">
      <c r="A46" s="185"/>
      <c r="B46" s="43" t="str">
        <f>A46&amp;"-"&amp;IF(DAY(Variables!$A$2)&lt;10,0,"")&amp;DAY(Variables!$A$2)</f>
        <v>-21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6" s="30" t="e">
        <f>VLOOKUP(B46,'Train Runs'!$A$13:$A$99942,1,FALSE)</f>
        <v>#N/A</v>
      </c>
    </row>
    <row r="47" spans="1:10" x14ac:dyDescent="0.25">
      <c r="A47" s="185"/>
      <c r="B47" s="43" t="str">
        <f>A47&amp;"-"&amp;IF(DAY(Variables!$A$2)&lt;10,0,"")&amp;DAY(Variables!$A$2)</f>
        <v>-21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7" s="30" t="e">
        <f>VLOOKUP(B47,'Train Runs'!$A$13:$A$99942,1,FALSE)</f>
        <v>#N/A</v>
      </c>
    </row>
    <row r="48" spans="1:10" x14ac:dyDescent="0.25">
      <c r="A48" s="185"/>
      <c r="B48" s="43" t="str">
        <f>A48&amp;"-"&amp;IF(DAY(Variables!$A$2)&lt;10,0,"")&amp;DAY(Variables!$A$2)</f>
        <v>-21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8" s="30" t="e">
        <f>VLOOKUP(B48,'Train Runs'!$A$13:$A$99942,1,FALSE)</f>
        <v>#N/A</v>
      </c>
    </row>
    <row r="49" spans="1:10" x14ac:dyDescent="0.25">
      <c r="A49" s="185"/>
      <c r="B49" s="43" t="str">
        <f>A49&amp;"-"&amp;IF(DAY(Variables!$A$2)&lt;10,0,"")&amp;DAY(Variables!$A$2)</f>
        <v>-21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9" s="30" t="e">
        <f>VLOOKUP(B49,'Train Runs'!$A$13:$A$99942,1,FALSE)</f>
        <v>#N/A</v>
      </c>
    </row>
    <row r="50" spans="1:10" x14ac:dyDescent="0.25">
      <c r="A50" s="185"/>
      <c r="B50" s="43" t="str">
        <f>A50&amp;"-"&amp;IF(DAY(Variables!$A$2)&lt;10,0,"")&amp;DAY(Variables!$A$2)</f>
        <v>-21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0" s="30" t="e">
        <f>VLOOKUP(B50,'Train Runs'!$A$13:$A$99942,1,FALSE)</f>
        <v>#N/A</v>
      </c>
    </row>
    <row r="51" spans="1:10" x14ac:dyDescent="0.25">
      <c r="A51" s="185"/>
      <c r="B51" s="43" t="str">
        <f>A51&amp;"-"&amp;IF(DAY(Variables!$A$2)&lt;10,0,"")&amp;DAY(Variables!$A$2)</f>
        <v>-21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1" s="30" t="e">
        <f>VLOOKUP(B51,'Train Runs'!$A$13:$A$99942,1,FALSE)</f>
        <v>#N/A</v>
      </c>
    </row>
    <row r="52" spans="1:10" x14ac:dyDescent="0.25">
      <c r="A52" s="185"/>
      <c r="B52" s="43" t="str">
        <f>A52&amp;"-"&amp;IF(DAY(Variables!$A$2)&lt;10,0,"")&amp;DAY(Variables!$A$2)</f>
        <v>-21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2" s="30" t="e">
        <f>VLOOKUP(B52,'Train Runs'!$A$13:$A$99942,1,FALSE)</f>
        <v>#N/A</v>
      </c>
    </row>
    <row r="53" spans="1:10" x14ac:dyDescent="0.25">
      <c r="A53" s="185"/>
      <c r="B53" s="43" t="str">
        <f>A53&amp;"-"&amp;IF(DAY(Variables!$A$2)&lt;10,0,"")&amp;DAY(Variables!$A$2)</f>
        <v>-21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3" s="30" t="e">
        <f>VLOOKUP(B53,'Train Runs'!$A$13:$A$99942,1,FALSE)</f>
        <v>#N/A</v>
      </c>
    </row>
    <row r="54" spans="1:10" x14ac:dyDescent="0.25">
      <c r="A54" s="185"/>
      <c r="B54" s="43" t="str">
        <f>A54&amp;"-"&amp;IF(DAY(Variables!$A$2)&lt;10,0,"")&amp;DAY(Variables!$A$2)</f>
        <v>-21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4" s="30" t="e">
        <f>VLOOKUP(B54,'Train Runs'!$A$13:$A$99942,1,FALSE)</f>
        <v>#N/A</v>
      </c>
    </row>
    <row r="55" spans="1:10" x14ac:dyDescent="0.25">
      <c r="A55" s="185"/>
      <c r="B55" s="43" t="str">
        <f>A55&amp;"-"&amp;IF(DAY(Variables!$A$2)&lt;10,0,"")&amp;DAY(Variables!$A$2)</f>
        <v>-21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5" s="30" t="e">
        <f>VLOOKUP(B55,'Train Runs'!$A$13:$A$99942,1,FALSE)</f>
        <v>#N/A</v>
      </c>
    </row>
    <row r="56" spans="1:10" x14ac:dyDescent="0.25">
      <c r="A56" s="185"/>
      <c r="B56" s="43" t="str">
        <f>A56&amp;"-"&amp;IF(DAY(Variables!$A$2)&lt;10,0,"")&amp;DAY(Variables!$A$2)</f>
        <v>-21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6" s="30" t="e">
        <f>VLOOKUP(B56,'Train Runs'!$A$13:$A$99942,1,FALSE)</f>
        <v>#N/A</v>
      </c>
    </row>
    <row r="57" spans="1:10" x14ac:dyDescent="0.25">
      <c r="A57" s="185"/>
      <c r="B57" s="43" t="str">
        <f>A57&amp;"-"&amp;IF(DAY(Variables!$A$2)&lt;10,0,"")&amp;DAY(Variables!$A$2)</f>
        <v>-21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7" s="30" t="e">
        <f>VLOOKUP(B57,'Train Runs'!$A$13:$A$99942,1,FALSE)</f>
        <v>#N/A</v>
      </c>
    </row>
    <row r="58" spans="1:10" x14ac:dyDescent="0.25">
      <c r="A58" s="185"/>
      <c r="B58" s="43" t="str">
        <f>A58&amp;"-"&amp;IF(DAY(Variables!$A$2)&lt;10,0,"")&amp;DAY(Variables!$A$2)</f>
        <v>-21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8" s="30" t="e">
        <f>VLOOKUP(B58,'Train Runs'!$A$13:$A$99942,1,FALSE)</f>
        <v>#N/A</v>
      </c>
    </row>
    <row r="59" spans="1:10" x14ac:dyDescent="0.25">
      <c r="A59" s="185"/>
      <c r="B59" s="43" t="str">
        <f>A59&amp;"-"&amp;IF(DAY(Variables!$A$2)&lt;10,0,"")&amp;DAY(Variables!$A$2)</f>
        <v>-21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9" s="30" t="e">
        <f>VLOOKUP(B59,'Train Runs'!$A$13:$A$99942,1,FALSE)</f>
        <v>#N/A</v>
      </c>
    </row>
    <row r="60" spans="1:10" x14ac:dyDescent="0.25">
      <c r="A60" s="185"/>
      <c r="B60" s="43" t="str">
        <f>A60&amp;"-"&amp;IF(DAY(Variables!$A$2)&lt;10,0,"")&amp;DAY(Variables!$A$2)</f>
        <v>-21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0" s="30" t="e">
        <f>VLOOKUP(B60,'Train Runs'!$A$13:$A$99942,1,FALSE)</f>
        <v>#N/A</v>
      </c>
    </row>
    <row r="61" spans="1:10" x14ac:dyDescent="0.25">
      <c r="A61" s="185"/>
      <c r="B61" s="43" t="str">
        <f>A61&amp;"-"&amp;IF(DAY(Variables!$A$2)&lt;10,0,"")&amp;DAY(Variables!$A$2)</f>
        <v>-21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1" s="30" t="e">
        <f>VLOOKUP(B61,'Train Runs'!$A$13:$A$99942,1,FALSE)</f>
        <v>#N/A</v>
      </c>
    </row>
    <row r="62" spans="1:10" x14ac:dyDescent="0.25">
      <c r="A62" s="185"/>
      <c r="B62" s="43" t="str">
        <f>A62&amp;"-"&amp;IF(DAY(Variables!$A$2)&lt;10,0,"")&amp;DAY(Variables!$A$2)</f>
        <v>-21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2" s="30" t="e">
        <f>VLOOKUP(B62,'Train Runs'!$A$13:$A$99942,1,FALSE)</f>
        <v>#N/A</v>
      </c>
    </row>
    <row r="63" spans="1:10" x14ac:dyDescent="0.25">
      <c r="A63" s="185"/>
      <c r="B63" s="43" t="str">
        <f>A63&amp;"-"&amp;IF(DAY(Variables!$A$2)&lt;10,0,"")&amp;DAY(Variables!$A$2)</f>
        <v>-21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3" s="30" t="e">
        <f>VLOOKUP(B63,'Train Runs'!$A$13:$A$99942,1,FALSE)</f>
        <v>#N/A</v>
      </c>
    </row>
    <row r="64" spans="1:10" x14ac:dyDescent="0.25">
      <c r="A64" s="185"/>
      <c r="B64" s="43" t="str">
        <f>A64&amp;"-"&amp;IF(DAY(Variables!$A$2)&lt;10,0,"")&amp;DAY(Variables!$A$2)</f>
        <v>-21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4" s="30" t="e">
        <f>VLOOKUP(B64,'Train Runs'!$A$13:$A$99942,1,FALSE)</f>
        <v>#N/A</v>
      </c>
    </row>
    <row r="65" spans="1:10" x14ac:dyDescent="0.25">
      <c r="A65" s="185"/>
      <c r="B65" s="43" t="str">
        <f>A65&amp;"-"&amp;IF(DAY(Variables!$A$2)&lt;10,0,"")&amp;DAY(Variables!$A$2)</f>
        <v>-21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5" s="30" t="e">
        <f>VLOOKUP(B65,'Train Runs'!$A$13:$A$99942,1,FALSE)</f>
        <v>#N/A</v>
      </c>
    </row>
    <row r="66" spans="1:10" x14ac:dyDescent="0.25">
      <c r="A66" s="185"/>
      <c r="B66" s="43" t="str">
        <f>A66&amp;"-"&amp;IF(DAY(Variables!$A$2)&lt;10,0,"")&amp;DAY(Variables!$A$2)</f>
        <v>-21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6" s="30" t="e">
        <f>VLOOKUP(B66,'Train Runs'!$A$13:$A$99942,1,FALSE)</f>
        <v>#N/A</v>
      </c>
    </row>
    <row r="67" spans="1:10" x14ac:dyDescent="0.25">
      <c r="A67" s="185"/>
      <c r="B67" s="43" t="str">
        <f>A67&amp;"-"&amp;IF(DAY(Variables!$A$2)&lt;10,0,"")&amp;DAY(Variables!$A$2)</f>
        <v>-21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7" s="30" t="e">
        <f>VLOOKUP(B67,'Train Runs'!$A$13:$A$99942,1,FALSE)</f>
        <v>#N/A</v>
      </c>
    </row>
    <row r="68" spans="1:10" x14ac:dyDescent="0.25">
      <c r="A68" s="185"/>
      <c r="B68" s="43" t="str">
        <f>A68&amp;"-"&amp;IF(DAY(Variables!$A$2)&lt;10,0,"")&amp;DAY(Variables!$A$2)</f>
        <v>-21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8" s="30" t="e">
        <f>VLOOKUP(B68,'Train Runs'!$A$13:$A$99942,1,FALSE)</f>
        <v>#N/A</v>
      </c>
    </row>
    <row r="69" spans="1:10" x14ac:dyDescent="0.25">
      <c r="A69" s="185"/>
      <c r="B69" s="43" t="str">
        <f>A69&amp;"-"&amp;IF(DAY(Variables!$A$2)&lt;10,0,"")&amp;DAY(Variables!$A$2)</f>
        <v>-21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9" s="30" t="e">
        <f>VLOOKUP(B69,'Train Runs'!$A$13:$A$99942,1,FALSE)</f>
        <v>#N/A</v>
      </c>
    </row>
    <row r="70" spans="1:10" x14ac:dyDescent="0.25">
      <c r="A70" s="185"/>
      <c r="B70" s="43" t="str">
        <f>A70&amp;"-"&amp;IF(DAY(Variables!$A$2)&lt;10,0,"")&amp;DAY(Variables!$A$2)</f>
        <v>-21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ref="I70:I9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0" s="30" t="e">
        <f>VLOOKUP(B70,'Train Runs'!$A$13:$A$99942,1,FALSE)</f>
        <v>#N/A</v>
      </c>
    </row>
    <row r="71" spans="1:10" x14ac:dyDescent="0.25">
      <c r="A71" s="185"/>
      <c r="B71" s="43" t="str">
        <f>A71&amp;"-"&amp;IF(DAY(Variables!$A$2)&lt;10,0,"")&amp;DAY(Variables!$A$2)</f>
        <v>-21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1" s="30" t="e">
        <f>VLOOKUP(B71,'Train Runs'!$A$13:$A$99942,1,FALSE)</f>
        <v>#N/A</v>
      </c>
    </row>
    <row r="72" spans="1:10" x14ac:dyDescent="0.25">
      <c r="A72" s="185"/>
      <c r="B72" s="43" t="str">
        <f>A72&amp;"-"&amp;IF(DAY(Variables!$A$2)&lt;10,0,"")&amp;DAY(Variables!$A$2)</f>
        <v>-21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2" s="30" t="e">
        <f>VLOOKUP(B72,'Train Runs'!$A$13:$A$99942,1,FALSE)</f>
        <v>#N/A</v>
      </c>
    </row>
    <row r="73" spans="1:10" x14ac:dyDescent="0.25">
      <c r="A73" s="185"/>
      <c r="B73" s="43" t="str">
        <f>A73&amp;"-"&amp;IF(DAY(Variables!$A$2)&lt;10,0,"")&amp;DAY(Variables!$A$2)</f>
        <v>-21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3" s="30" t="e">
        <f>VLOOKUP(B73,'Train Runs'!$A$13:$A$99942,1,FALSE)</f>
        <v>#N/A</v>
      </c>
    </row>
    <row r="74" spans="1:10" x14ac:dyDescent="0.25">
      <c r="A74" s="185"/>
      <c r="B74" s="43" t="str">
        <f>A74&amp;"-"&amp;IF(DAY(Variables!$A$2)&lt;10,0,"")&amp;DAY(Variables!$A$2)</f>
        <v>-21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4" s="30" t="e">
        <f>VLOOKUP(B74,'Train Runs'!$A$13:$A$99942,1,FALSE)</f>
        <v>#N/A</v>
      </c>
    </row>
    <row r="75" spans="1:10" x14ac:dyDescent="0.25">
      <c r="A75" s="185"/>
      <c r="B75" s="43" t="str">
        <f>A75&amp;"-"&amp;IF(DAY(Variables!$A$2)&lt;10,0,"")&amp;DAY(Variables!$A$2)</f>
        <v>-21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5" s="30" t="e">
        <f>VLOOKUP(B75,'Train Runs'!$A$13:$A$99942,1,FALSE)</f>
        <v>#N/A</v>
      </c>
    </row>
    <row r="76" spans="1:10" x14ac:dyDescent="0.25">
      <c r="A76" s="185"/>
      <c r="B76" s="43" t="str">
        <f>A76&amp;"-"&amp;IF(DAY(Variables!$A$2)&lt;10,0,"")&amp;DAY(Variables!$A$2)</f>
        <v>-21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6" s="30" t="e">
        <f>VLOOKUP(B76,'Train Runs'!$A$13:$A$99942,1,FALSE)</f>
        <v>#N/A</v>
      </c>
    </row>
    <row r="77" spans="1:10" x14ac:dyDescent="0.25">
      <c r="A77" s="185"/>
      <c r="B77" s="43" t="str">
        <f>A77&amp;"-"&amp;IF(DAY(Variables!$A$2)&lt;10,0,"")&amp;DAY(Variables!$A$2)</f>
        <v>-21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7" s="30" t="e">
        <f>VLOOKUP(B77,'Train Runs'!$A$13:$A$99942,1,FALSE)</f>
        <v>#N/A</v>
      </c>
    </row>
    <row r="78" spans="1:10" x14ac:dyDescent="0.25">
      <c r="A78" s="185"/>
      <c r="B78" s="43" t="str">
        <f>A78&amp;"-"&amp;IF(DAY(Variables!$A$2)&lt;10,0,"")&amp;DAY(Variables!$A$2)</f>
        <v>-21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8" s="30" t="e">
        <f>VLOOKUP(B78,'Train Runs'!$A$13:$A$99942,1,FALSE)</f>
        <v>#N/A</v>
      </c>
    </row>
    <row r="79" spans="1:10" x14ac:dyDescent="0.25">
      <c r="A79" s="185"/>
      <c r="B79" s="43" t="str">
        <f>A79&amp;"-"&amp;IF(DAY(Variables!$A$2)&lt;10,0,"")&amp;DAY(Variables!$A$2)</f>
        <v>-21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9" s="30" t="e">
        <f>VLOOKUP(B79,'Train Runs'!$A$13:$A$99942,1,FALSE)</f>
        <v>#N/A</v>
      </c>
    </row>
    <row r="80" spans="1:10" x14ac:dyDescent="0.25">
      <c r="A80" s="185"/>
      <c r="B80" s="43" t="str">
        <f>A80&amp;"-"&amp;IF(DAY(Variables!$A$2)&lt;10,0,"")&amp;DAY(Variables!$A$2)</f>
        <v>-21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0" s="30" t="e">
        <f>VLOOKUP(B80,'Train Runs'!$A$13:$A$99942,1,FALSE)</f>
        <v>#N/A</v>
      </c>
    </row>
    <row r="81" spans="1:10" x14ac:dyDescent="0.25">
      <c r="A81" s="185"/>
      <c r="B81" s="43" t="str">
        <f>A81&amp;"-"&amp;IF(DAY(Variables!$A$2)&lt;10,0,"")&amp;DAY(Variables!$A$2)</f>
        <v>-21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1" s="30" t="e">
        <f>VLOOKUP(B81,'Train Runs'!$A$13:$A$99942,1,FALSE)</f>
        <v>#N/A</v>
      </c>
    </row>
    <row r="82" spans="1:10" x14ac:dyDescent="0.25">
      <c r="A82" s="185"/>
      <c r="B82" s="43" t="str">
        <f>A82&amp;"-"&amp;IF(DAY(Variables!$A$2)&lt;10,0,"")&amp;DAY(Variables!$A$2)</f>
        <v>-21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2" s="30" t="e">
        <f>VLOOKUP(B82,'Train Runs'!$A$13:$A$99942,1,FALSE)</f>
        <v>#N/A</v>
      </c>
    </row>
    <row r="83" spans="1:10" x14ac:dyDescent="0.25">
      <c r="A83" s="185"/>
      <c r="B83" s="43" t="str">
        <f>A83&amp;"-"&amp;IF(DAY(Variables!$A$2)&lt;10,0,"")&amp;DAY(Variables!$A$2)</f>
        <v>-21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3" s="30" t="e">
        <f>VLOOKUP(B83,'Train Runs'!$A$13:$A$99942,1,FALSE)</f>
        <v>#N/A</v>
      </c>
    </row>
    <row r="84" spans="1:10" x14ac:dyDescent="0.25">
      <c r="A84" s="185"/>
      <c r="B84" s="43" t="str">
        <f>A84&amp;"-"&amp;IF(DAY(Variables!$A$2)&lt;10,0,"")&amp;DAY(Variables!$A$2)</f>
        <v>-21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4" s="30" t="e">
        <f>VLOOKUP(B84,'Train Runs'!$A$13:$A$99942,1,FALSE)</f>
        <v>#N/A</v>
      </c>
    </row>
    <row r="85" spans="1:10" x14ac:dyDescent="0.25">
      <c r="A85" s="185"/>
      <c r="B85" s="43" t="str">
        <f>A85&amp;"-"&amp;IF(DAY(Variables!$A$2)&lt;10,0,"")&amp;DAY(Variables!$A$2)</f>
        <v>-21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5" s="30" t="e">
        <f>VLOOKUP(B85,'Train Runs'!$A$13:$A$99942,1,FALSE)</f>
        <v>#N/A</v>
      </c>
    </row>
    <row r="86" spans="1:10" x14ac:dyDescent="0.25">
      <c r="A86" s="185"/>
      <c r="B86" s="43" t="str">
        <f>A86&amp;"-"&amp;IF(DAY(Variables!$A$2)&lt;10,0,"")&amp;DAY(Variables!$A$2)</f>
        <v>-21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6" s="30" t="e">
        <f>VLOOKUP(B86,'Train Runs'!$A$13:$A$99942,1,FALSE)</f>
        <v>#N/A</v>
      </c>
    </row>
    <row r="87" spans="1:10" x14ac:dyDescent="0.25">
      <c r="A87" s="185"/>
      <c r="B87" s="43" t="str">
        <f>A87&amp;"-"&amp;IF(DAY(Variables!$A$2)&lt;10,0,"")&amp;DAY(Variables!$A$2)</f>
        <v>-21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7" s="30" t="e">
        <f>VLOOKUP(B87,'Train Runs'!$A$13:$A$99942,1,FALSE)</f>
        <v>#N/A</v>
      </c>
    </row>
    <row r="88" spans="1:10" x14ac:dyDescent="0.25">
      <c r="A88" s="185"/>
      <c r="B88" s="43" t="str">
        <f>A88&amp;"-"&amp;IF(DAY(Variables!$A$2)&lt;10,0,"")&amp;DAY(Variables!$A$2)</f>
        <v>-21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8" s="30" t="e">
        <f>VLOOKUP(B88,'Train Runs'!$A$13:$A$99942,1,FALSE)</f>
        <v>#N/A</v>
      </c>
    </row>
    <row r="89" spans="1:10" x14ac:dyDescent="0.25">
      <c r="A89" s="185"/>
      <c r="B89" s="43" t="str">
        <f>A89&amp;"-"&amp;IF(DAY(Variables!$A$2)&lt;10,0,"")&amp;DAY(Variables!$A$2)</f>
        <v>-21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9" s="30" t="e">
        <f>VLOOKUP(B89,'Train Runs'!$A$13:$A$99942,1,FALSE)</f>
        <v>#N/A</v>
      </c>
    </row>
    <row r="90" spans="1:10" x14ac:dyDescent="0.25">
      <c r="A90" s="185"/>
      <c r="B90" s="43" t="str">
        <f>A90&amp;"-"&amp;IF(DAY(Variables!$A$2)&lt;10,0,"")&amp;DAY(Variables!$A$2)</f>
        <v>-21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0" s="30" t="e">
        <f>VLOOKUP(B90,'Train Runs'!$A$13:$A$99942,1,FALSE)</f>
        <v>#N/A</v>
      </c>
    </row>
    <row r="91" spans="1:10" x14ac:dyDescent="0.25">
      <c r="A91" s="185"/>
      <c r="B91" s="43" t="str">
        <f>A91&amp;"-"&amp;IF(DAY(Variables!$A$2)&lt;10,0,"")&amp;DAY(Variables!$A$2)</f>
        <v>-21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1" s="30" t="e">
        <f>VLOOKUP(B91,'Train Runs'!$A$13:$A$99942,1,FALSE)</f>
        <v>#N/A</v>
      </c>
    </row>
  </sheetData>
  <autoFilter ref="A2:J9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365</v>
      </c>
      <c r="B1" s="207" t="s">
        <v>366</v>
      </c>
      <c r="C1" s="199" t="s">
        <v>374</v>
      </c>
      <c r="D1" s="211" t="s">
        <v>58</v>
      </c>
      <c r="E1" s="196" t="s">
        <v>24</v>
      </c>
      <c r="F1" s="211" t="s">
        <v>380</v>
      </c>
      <c r="G1" s="215" t="s">
        <v>94</v>
      </c>
      <c r="H1" s="217" t="s">
        <v>384</v>
      </c>
      <c r="I1" s="213" t="s">
        <v>383</v>
      </c>
      <c r="J1" s="209" t="s">
        <v>84</v>
      </c>
      <c r="K1" s="209" t="s">
        <v>379</v>
      </c>
      <c r="L1" s="204" t="s">
        <v>376</v>
      </c>
      <c r="M1" s="204" t="s">
        <v>367</v>
      </c>
      <c r="N1" s="204" t="s">
        <v>369</v>
      </c>
      <c r="O1" s="204" t="s">
        <v>370</v>
      </c>
      <c r="P1" s="204" t="s">
        <v>371</v>
      </c>
      <c r="Q1" s="203" t="s">
        <v>368</v>
      </c>
    </row>
    <row r="2" spans="1:17" x14ac:dyDescent="0.25">
      <c r="A2" s="201">
        <v>42800.21875</v>
      </c>
      <c r="B2" s="208" t="s">
        <v>373</v>
      </c>
      <c r="C2" s="198" t="s">
        <v>375</v>
      </c>
      <c r="D2" s="212">
        <v>104</v>
      </c>
      <c r="E2" s="30" t="s">
        <v>378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/stypes="*4041*201703061*"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"%USERPROFILE%\AppData\Local\Temp\OnboardLogs"\RTDC4041\*4041*201703061*</v>
      </c>
      <c r="I2" s="214" t="str">
        <f>IF(VLOOKUP(K2,'Train Runs'!$A$13:$V$998,1,TRUE)=K2,VLOOKUP(K2,'Train Runs'!$A$13:$V$998,22,TRUE),NA())</f>
        <v>https://d0f6bd738d7f1b3e5a7ca70fe4ff75f0.us-east-1.aws.found.io/app/kibana#/discover/Steve-Slow-Train-Analysis-(2080s-and-2083s)?_g=(refreshInterval:(display:Off,pause:!f,section:0,value:0),time:(from:'2017-03-21T03:32:42-0600',mode:absolute,to:'2017-03-21T06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104-21</v>
      </c>
      <c r="L2" s="206">
        <f>IF(VLOOKUP(K2,'Train Runs'!$A$12:$B$998,1,TRUE)=K2,VLOOKUP(K2,'Train Runs'!$A$12:$B$998,2,TRUE),NA())</f>
        <v>4041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373</v>
      </c>
      <c r="C3" s="198" t="s">
        <v>375</v>
      </c>
      <c r="D3" s="212">
        <v>126</v>
      </c>
      <c r="E3" s="30" t="s">
        <v>377</v>
      </c>
      <c r="F3" s="212" t="b">
        <v>1</v>
      </c>
      <c r="G3" s="216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"%USERPROFILE%\AppData\Local\Temp\OnboardLogs"\RTDC4043\*4043*201703061*</v>
      </c>
      <c r="I3" s="214" t="str">
        <f>IF(VLOOKUP(K3,'Train Runs'!$A$13:$V$998,1,TRUE)=K3,VLOOKUP(K3,'Train Runs'!$A$13:$V$998,22,TRUE),NA())</f>
        <v>https://d0f6bd738d7f1b3e5a7ca70fe4ff75f0.us-east-1.aws.found.io/app/kibana#/discover/Steve-Slow-Train-Analysis-(2080s-and-2083s)?_g=(refreshInterval:(display:Off,pause:!f,section:0,value:0),time:(from:'2017-03-21T06:35:37-0600',mode:absolute,to:'2017-03-21T09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126-21</v>
      </c>
      <c r="L3" s="206">
        <f>IF(VLOOKUP(K3,'Train Runs'!$A$12:$B$998,1,TRUE)=K3,VLOOKUP(K3,'Train Runs'!$A$12:$B$998,2,TRUE),NA())</f>
        <v>4043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373</v>
      </c>
      <c r="C4" s="198" t="s">
        <v>375</v>
      </c>
      <c r="D4" s="212">
        <v>128</v>
      </c>
      <c r="E4" s="30" t="s">
        <v>377</v>
      </c>
      <c r="F4" s="212" t="b">
        <v>1</v>
      </c>
      <c r="G4" s="216" t="str">
        <f t="shared" si="0"/>
        <v>"C:\Program Files (x86)\AstroGrep\AstroGrep.exe" /e /r /s /spath="%USERPROFILE%\AppData\Local\Temp\OnboardLogs" /stypes="*4023*201703061*"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"%USERPROFILE%\AppData\Local\Temp\OnboardLogs"\RTDC4023\*4023*201703061*</v>
      </c>
      <c r="I4" s="214" t="str">
        <f>IF(VLOOKUP(K4,'Train Runs'!$A$13:$V$998,1,TRUE)=K4,VLOOKUP(K4,'Train Runs'!$A$13:$V$998,22,TRUE),NA())</f>
        <v>https://d0f6bd738d7f1b3e5a7ca70fe4ff75f0.us-east-1.aws.found.io/app/kibana#/discover/Steve-Slow-Train-Analysis-(2080s-and-2083s)?_g=(refreshInterval:(display:Off,pause:!f,section:0,value:0),time:(from:'2017-03-21T06:54:21-0600',mode:absolute,to:'2017-03-21T09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128-21</v>
      </c>
      <c r="L4" s="206">
        <f>IF(VLOOKUP(K4,'Train Runs'!$A$12:$B$998,1,TRUE)=K4,VLOOKUP(K4,'Train Runs'!$A$12:$B$998,2,TRUE),NA())</f>
        <v>4023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373</v>
      </c>
      <c r="C5" s="198" t="s">
        <v>375</v>
      </c>
      <c r="D5" s="212">
        <f>D4+2</f>
        <v>130</v>
      </c>
      <c r="E5" s="30" t="s">
        <v>377</v>
      </c>
      <c r="F5" s="212" t="b">
        <v>1</v>
      </c>
      <c r="G5" s="216" t="str">
        <f t="shared" si="0"/>
        <v>"C:\Program Files (x86)\AstroGrep\AstroGrep.exe" /e /r /s /spath="%USERPROFILE%\AppData\Local\Temp\OnboardLogs" /stypes="*4015*201703061*"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"%USERPROFILE%\AppData\Local\Temp\OnboardLogs"\RTDC4015\*4015*201703061*</v>
      </c>
      <c r="I5" s="214" t="str">
        <f>IF(VLOOKUP(K5,'Train Runs'!$A$13:$V$998,1,TRUE)=K5,VLOOKUP(K5,'Train Runs'!$A$13:$V$998,22,TRUE),NA())</f>
        <v>https://d0f6bd738d7f1b3e5a7ca70fe4ff75f0.us-east-1.aws.found.io/app/kibana#/discover/Steve-Slow-Train-Analysis-(2080s-and-2083s)?_g=(refreshInterval:(display:Off,pause:!f,section:0,value:0),time:(from:'2017-03-21T07:04:11-0600',mode:absolute,to:'2017-03-21T10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130-21</v>
      </c>
      <c r="L5" s="206">
        <f>IF(VLOOKUP(K5,'Train Runs'!$A$12:$B$998,1,TRUE)=K5,VLOOKUP(K5,'Train Runs'!$A$12:$B$998,2,TRUE),NA())</f>
        <v>4015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373</v>
      </c>
      <c r="C6" s="198" t="s">
        <v>375</v>
      </c>
      <c r="D6" s="212">
        <f>D5+2</f>
        <v>132</v>
      </c>
      <c r="E6" s="30" t="s">
        <v>377</v>
      </c>
      <c r="F6" s="212" t="b">
        <v>1</v>
      </c>
      <c r="G6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"%USERPROFILE%\AppData\Local\Temp\OnboardLogs"\RTDC4041\*4041*201703061*</v>
      </c>
      <c r="I6" s="214" t="str">
        <f>IF(VLOOKUP(K6,'Train Runs'!$A$13:$V$998,1,TRUE)=K6,VLOOKUP(K6,'Train Runs'!$A$13:$V$998,22,TRUE),NA())</f>
        <v>https://d0f6bd738d7f1b3e5a7ca70fe4ff75f0.us-east-1.aws.found.io/app/kibana#/discover/Steve-Slow-Train-Analysis-(2080s-and-2083s)?_g=(refreshInterval:(display:Off,pause:!f,section:0,value:0),time:(from:'2017-03-21T07:23:00-0600',mode:absolute,to:'2017-03-21T10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6" s="210">
        <f t="shared" si="2"/>
        <v>42800.625</v>
      </c>
      <c r="K6" s="210" t="str">
        <f>D6&amp;"-"&amp;IF(DAY(Variables!$A$2)&lt;10,0,"")&amp;DAY(Variables!$A$2)</f>
        <v>132-21</v>
      </c>
      <c r="L6" s="206">
        <f>IF(VLOOKUP(K6,'Train Runs'!$A$12:$B$998,1,TRUE)=K6,VLOOKUP(K6,'Train Runs'!$A$12:$B$998,2,TRUE),NA())</f>
        <v>4041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373</v>
      </c>
      <c r="C7" s="198" t="s">
        <v>375</v>
      </c>
      <c r="D7" s="212">
        <f t="shared" ref="D7:D11" si="4">D6+2</f>
        <v>134</v>
      </c>
      <c r="E7" s="30" t="s">
        <v>377</v>
      </c>
      <c r="F7" s="212" t="b">
        <v>1</v>
      </c>
      <c r="G7" s="216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"%USERPROFILE%\AppData\Local\Temp\OnboardLogs"\RTDC4032\*4032*201703061*</v>
      </c>
      <c r="I7" s="214" t="str">
        <f>IF(VLOOKUP(K7,'Train Runs'!$A$13:$V$998,1,TRUE)=K7,VLOOKUP(K7,'Train Runs'!$A$13:$V$998,22,TRUE),NA())</f>
        <v>https://d0f6bd738d7f1b3e5a7ca70fe4ff75f0.us-east-1.aws.found.io/app/kibana#/discover/Steve-Slow-Train-Analysis-(2080s-and-2083s)?_g=(refreshInterval:(display:Off,pause:!f,section:0,value:0),time:(from:'2017-03-21T07:38:28-0600',mode:absolute,to:'2017-03-21T10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134-21</v>
      </c>
      <c r="L7" s="206">
        <f>IF(VLOOKUP(K7,'Train Runs'!$A$12:$B$998,1,TRUE)=K7,VLOOKUP(K7,'Train Runs'!$A$12:$B$998,2,TRUE),NA())</f>
        <v>4032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373</v>
      </c>
      <c r="C8" s="198" t="s">
        <v>375</v>
      </c>
      <c r="D8" s="212">
        <f t="shared" si="4"/>
        <v>136</v>
      </c>
      <c r="E8" s="30" t="s">
        <v>377</v>
      </c>
      <c r="F8" s="212" t="b">
        <v>1</v>
      </c>
      <c r="G8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"%USERPROFILE%\AppData\Local\Temp\OnboardLogs"\RTDC4052\*4052*201703061*</v>
      </c>
      <c r="I8" s="214" t="str">
        <f>IF(VLOOKUP(K8,'Train Runs'!$A$13:$V$998,1,TRUE)=K8,VLOOKUP(K8,'Train Runs'!$A$13:$V$998,22,TRUE),NA())</f>
        <v>https://d0f6bd738d7f1b3e5a7ca70fe4ff75f0.us-east-1.aws.found.io/app/kibana#/discover/Steve-Slow-Train-Analysis-(2080s-and-2083s)?_g=(refreshInterval:(display:Off,pause:!f,section:0,value:0),time:(from:'2017-03-21T07:49:59-0600',mode:absolute,to:'2017-03-21T10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136-21</v>
      </c>
      <c r="L8" s="206">
        <f>IF(VLOOKUP(K8,'Train Runs'!$A$12:$B$998,1,TRUE)=K8,VLOOKUP(K8,'Train Runs'!$A$12:$B$998,2,TRUE),NA())</f>
        <v>4052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373</v>
      </c>
      <c r="C9" s="198" t="s">
        <v>375</v>
      </c>
      <c r="D9" s="212">
        <f t="shared" si="4"/>
        <v>138</v>
      </c>
      <c r="E9" s="30" t="s">
        <v>377</v>
      </c>
      <c r="F9" s="212" t="b">
        <v>1</v>
      </c>
      <c r="G9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"%USERPROFILE%\AppData\Local\Temp\OnboardLogs"\RTDC4026\*4026*201703061*</v>
      </c>
      <c r="I9" s="214" t="str">
        <f>IF(VLOOKUP(K9,'Train Runs'!$A$13:$V$998,1,TRUE)=K9,VLOOKUP(K9,'Train Runs'!$A$13:$V$998,22,TRUE),NA())</f>
        <v>https://d0f6bd738d7f1b3e5a7ca70fe4ff75f0.us-east-1.aws.found.io/app/kibana#/discover/Steve-Slow-Train-Analysis-(2080s-and-2083s)?_g=(refreshInterval:(display:Off,pause:!f,section:0,value:0),time:(from:'2017-03-21T08:06:53-0600',mode:absolute,to:'2017-03-21T10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138-21</v>
      </c>
      <c r="L9" s="206">
        <f>IF(VLOOKUP(K9,'Train Runs'!$A$12:$B$998,1,TRUE)=K9,VLOOKUP(K9,'Train Runs'!$A$12:$B$998,2,TRUE),NA())</f>
        <v>4026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373</v>
      </c>
      <c r="C10" s="198" t="s">
        <v>375</v>
      </c>
      <c r="D10" s="212">
        <f t="shared" si="4"/>
        <v>140</v>
      </c>
      <c r="E10" s="30" t="s">
        <v>377</v>
      </c>
      <c r="F10" s="212" t="b">
        <v>1</v>
      </c>
      <c r="G10" s="216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"%USERPROFILE%\AppData\Local\Temp\OnboardLogs"\RTDC4043\*4043*201703061*</v>
      </c>
      <c r="I10" s="214" t="str">
        <f>IF(VLOOKUP(K10,'Train Runs'!$A$13:$V$998,1,TRUE)=K10,VLOOKUP(K10,'Train Runs'!$A$13:$V$998,22,TRUE),NA())</f>
        <v>https://d0f6bd738d7f1b3e5a7ca70fe4ff75f0.us-east-1.aws.found.io/app/kibana#/discover/Steve-Slow-Train-Analysis-(2080s-and-2083s)?_g=(refreshInterval:(display:Off,pause:!f,section:0,value:0),time:(from:'2017-03-21T08:21:02-0600',mode:absolute,to:'2017-03-21T11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140-21</v>
      </c>
      <c r="L10" s="206">
        <f>IF(VLOOKUP(K10,'Train Runs'!$A$12:$B$998,1,TRUE)=K10,VLOOKUP(K10,'Train Runs'!$A$12:$B$998,2,TRUE),NA())</f>
        <v>4043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373</v>
      </c>
      <c r="C11" s="198" t="s">
        <v>375</v>
      </c>
      <c r="D11" s="212">
        <f t="shared" si="4"/>
        <v>142</v>
      </c>
      <c r="E11" s="30" t="s">
        <v>377</v>
      </c>
      <c r="F11" s="212" t="b">
        <v>1</v>
      </c>
      <c r="G11" s="216" t="str">
        <f t="shared" si="0"/>
        <v>"C:\Program Files (x86)\AstroGrep\AstroGrep.exe" /e /r /s /spath="%USERPROFILE%\AppData\Local\Temp\OnboardLogs" /stypes="*4023*201703061*"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"%USERPROFILE%\AppData\Local\Temp\OnboardLogs"\RTDC4023\*4023*201703061*</v>
      </c>
      <c r="I11" s="214" t="str">
        <f>IF(VLOOKUP(K11,'Train Runs'!$A$13:$V$998,1,TRUE)=K11,VLOOKUP(K11,'Train Runs'!$A$13:$V$998,22,TRUE),NA())</f>
        <v>https://d0f6bd738d7f1b3e5a7ca70fe4ff75f0.us-east-1.aws.found.io/app/kibana#/discover/Steve-Slow-Train-Analysis-(2080s-and-2083s)?_g=(refreshInterval:(display:Off,pause:!f,section:0,value:0),time:(from:'2017-03-21T08:32:58-0600',mode:absolute,to:'2017-03-21T11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142-21</v>
      </c>
      <c r="L11" s="206">
        <f>IF(VLOOKUP(K11,'Train Runs'!$A$12:$B$998,1,TRUE)=K11,VLOOKUP(K11,'Train Runs'!$A$12:$B$998,2,TRUE),NA())</f>
        <v>4023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373</v>
      </c>
      <c r="C12" s="198" t="s">
        <v>375</v>
      </c>
      <c r="D12" s="212">
        <v>144</v>
      </c>
      <c r="E12" s="30" t="s">
        <v>377</v>
      </c>
      <c r="F12" s="212" t="b">
        <v>1</v>
      </c>
      <c r="G12" s="216" t="str">
        <f t="shared" si="0"/>
        <v>"C:\Program Files (x86)\AstroGrep\AstroGrep.exe" /e /r /s /spath="%USERPROFILE%\AppData\Local\Temp\OnboardLogs" /stypes="*4015*201703061*"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"%USERPROFILE%\AppData\Local\Temp\OnboardLogs"\RTDC4015\*4015*201703061*</v>
      </c>
      <c r="I12" s="214" t="str">
        <f>IF(VLOOKUP(K12,'Train Runs'!$A$13:$V$998,1,TRUE)=K12,VLOOKUP(K12,'Train Runs'!$A$13:$V$998,22,TRUE),NA())</f>
        <v>https://d0f6bd738d7f1b3e5a7ca70fe4ff75f0.us-east-1.aws.found.io/app/kibana#/discover/Steve-Slow-Train-Analysis-(2080s-and-2083s)?_g=(refreshInterval:(display:Off,pause:!f,section:0,value:0),time:(from:'2017-03-21T08:50:49-0600',mode:absolute,to:'2017-03-21T11:42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144-21</v>
      </c>
      <c r="L12" s="206">
        <f>IF(VLOOKUP(K12,'Train Runs'!$A$12:$B$998,1,TRUE)=K12,VLOOKUP(K12,'Train Runs'!$A$12:$B$998,2,TRUE),NA())</f>
        <v>4015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373</v>
      </c>
      <c r="C13" s="198" t="s">
        <v>375</v>
      </c>
      <c r="D13" s="212">
        <v>146</v>
      </c>
      <c r="E13" s="30" t="s">
        <v>377</v>
      </c>
      <c r="F13" s="212" t="b">
        <v>1</v>
      </c>
      <c r="G13" s="216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"%USERPROFILE%\AppData\Local\Temp\OnboardLogs"\RTDC4041\*4041*201703061*</v>
      </c>
      <c r="I13" s="214" t="str">
        <f>IF(VLOOKUP(K13,'Train Runs'!$A$13:$V$998,1,TRUE)=K13,VLOOKUP(K13,'Train Runs'!$A$13:$V$998,22,TRUE),NA())</f>
        <v>https://d0f6bd738d7f1b3e5a7ca70fe4ff75f0.us-east-1.aws.found.io/app/kibana#/discover/Steve-Slow-Train-Analysis-(2080s-and-2083s)?_g=(refreshInterval:(display:Off,pause:!f,section:0,value:0),time:(from:'2017-03-21T09:06:46-0600',mode:absolute,to:'2017-03-21T11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146-21</v>
      </c>
      <c r="L13" s="206">
        <f>IF(VLOOKUP(K13,'Train Runs'!$A$12:$B$998,1,TRUE)=K13,VLOOKUP(K13,'Train Runs'!$A$12:$B$998,2,TRUE),NA())</f>
        <v>4041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373</v>
      </c>
      <c r="C14" s="198" t="s">
        <v>375</v>
      </c>
      <c r="D14" s="212">
        <v>148</v>
      </c>
      <c r="E14" s="30" t="s">
        <v>381</v>
      </c>
      <c r="F14" s="212" t="b">
        <v>1</v>
      </c>
      <c r="G14" s="216" t="str">
        <f t="shared" si="0"/>
        <v>"C:\Program Files (x86)\AstroGrep\AstroGrep.exe" /e /r /s /spath="%USERPROFILE%\AppData\Local\Temp\OnboardLogs" /stypes="*4032*201703061*"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"%USERPROFILE%\AppData\Local\Temp\OnboardLogs"\RTDC4032\*4032*201703061*</v>
      </c>
      <c r="I14" s="214" t="str">
        <f>IF(VLOOKUP(K14,'Train Runs'!$A$13:$V$998,1,TRUE)=K14,VLOOKUP(K14,'Train Runs'!$A$13:$V$998,22,TRUE),NA())</f>
        <v>https://d0f6bd738d7f1b3e5a7ca70fe4ff75f0.us-east-1.aws.found.io/app/kibana#/discover/Steve-Slow-Train-Analysis-(2080s-and-2083s)?_g=(refreshInterval:(display:Off,pause:!f,section:0,value:0),time:(from:'2017-03-21T09:24:02-0600',mode:absolute,to:'2017-03-21T12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148-21</v>
      </c>
      <c r="L14" s="206">
        <f>IF(VLOOKUP(K14,'Train Runs'!$A$12:$B$998,1,TRUE)=K14,VLOOKUP(K14,'Train Runs'!$A$12:$B$998,2,TRUE),NA())</f>
        <v>4032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373</v>
      </c>
      <c r="C15" s="198" t="s">
        <v>375</v>
      </c>
      <c r="D15" s="212">
        <v>178</v>
      </c>
      <c r="E15" s="30" t="s">
        <v>382</v>
      </c>
      <c r="F15" s="212" t="b">
        <v>1</v>
      </c>
      <c r="G15" s="216" t="str">
        <f t="shared" si="0"/>
        <v>"C:\Program Files (x86)\AstroGrep\AstroGrep.exe" /e /r /s /spath="%USERPROFILE%\AppData\Local\Temp\OnboardLogs" /stypes="*4052*201703062*"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"%USERPROFILE%\AppData\Local\Temp\OnboardLogs"\RTDC4052\*4052*201703062*</v>
      </c>
      <c r="I15" s="214" t="str">
        <f>IF(VLOOKUP(K15,'Train Runs'!$A$13:$V$998,1,TRUE)=K15,VLOOKUP(K15,'Train Runs'!$A$13:$V$998,22,TRUE),NA())</f>
        <v>https://d0f6bd738d7f1b3e5a7ca70fe4ff75f0.us-east-1.aws.found.io/app/kibana#/discover/Steve-Slow-Train-Analysis-(2080s-and-2083s)?_g=(refreshInterval:(display:Off,pause:!f,section:0,value:0),time:(from:'2017-03-21T13:35:32-0600',mode:absolute,to:'2017-03-21T15:46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178-21</v>
      </c>
      <c r="L15" s="206">
        <f>IF(VLOOKUP(K15,'Train Runs'!$A$12:$B$998,1,TRUE)=K15,VLOOKUP(K15,'Train Runs'!$A$12:$B$998,2,TRUE),NA())</f>
        <v>4052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373</v>
      </c>
      <c r="C16" s="198" t="s">
        <v>375</v>
      </c>
      <c r="D16" s="212">
        <v>194</v>
      </c>
      <c r="E16" s="30" t="s">
        <v>382</v>
      </c>
      <c r="F16" s="212" t="b">
        <v>1</v>
      </c>
      <c r="G16" s="216" t="str">
        <f t="shared" si="0"/>
        <v>"C:\Program Files (x86)\AstroGrep\AstroGrep.exe" /e /r /s /spath="%USERPROFILE%\AppData\Local\Temp\OnboardLogs" /stypes="*4026*201703062*"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"%USERPROFILE%\AppData\Local\Temp\OnboardLogs"\RTDC4026\*4026*201703062*</v>
      </c>
      <c r="I16" s="214" t="str">
        <f>IF(VLOOKUP(K16,'Train Runs'!$A$13:$V$998,1,TRUE)=K16,VLOOKUP(K16,'Train Runs'!$A$13:$V$998,22,TRUE),NA())</f>
        <v>https://d0f6bd738d7f1b3e5a7ca70fe4ff75f0.us-east-1.aws.found.io/app/kibana#/discover/Steve-Slow-Train-Analysis-(2080s-and-2083s)?_g=(refreshInterval:(display:Off,pause:!f,section:0,value:0),time:(from:'2017-03-21T15:03:41-0600',mode:absolute,to:'2017-03-21T17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194-21</v>
      </c>
      <c r="L16" s="206">
        <f>IF(VLOOKUP(K16,'Train Runs'!$A$12:$B$998,1,TRUE)=K16,VLOOKUP(K16,'Train Runs'!$A$12:$B$998,2,TRUE),NA())</f>
        <v>4026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373</v>
      </c>
      <c r="C17" s="198" t="s">
        <v>375</v>
      </c>
      <c r="D17" s="212">
        <v>206</v>
      </c>
      <c r="E17" s="30" t="s">
        <v>377</v>
      </c>
      <c r="F17" s="212" t="b">
        <v>1</v>
      </c>
      <c r="G17" s="216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"%USERPROFILE%\AppData\Local\Temp\OnboardLogs"\RTDC4013\*4013*201703070*</v>
      </c>
      <c r="I17" s="214" t="str">
        <f>IF(VLOOKUP(K17,'Train Runs'!$A$13:$V$998,1,TRUE)=K17,VLOOKUP(K17,'Train Runs'!$A$13:$V$998,22,TRUE),NA())</f>
        <v>https://d0f6bd738d7f1b3e5a7ca70fe4ff75f0.us-east-1.aws.found.io/app/kibana#/discover/Steve-Slow-Train-Analysis-(2080s-and-2083s)?_g=(refreshInterval:(display:Off,pause:!f,section:0,value:0),time:(from:'2017-03-21T16:32:00-0600',mode:absolute,to:'2017-03-21T19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206-21</v>
      </c>
      <c r="L17" s="206">
        <f>IF(VLOOKUP(K17,'Train Runs'!$A$12:$B$998,1,TRUE)=K17,VLOOKUP(K17,'Train Runs'!$A$12:$B$998,2,TRUE),NA())</f>
        <v>4013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373</v>
      </c>
      <c r="C18" s="198" t="s">
        <v>375</v>
      </c>
      <c r="D18" s="212">
        <v>210</v>
      </c>
      <c r="E18" s="30" t="s">
        <v>377</v>
      </c>
      <c r="F18" s="212" t="b">
        <v>1</v>
      </c>
      <c r="G18" s="216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"%USERPROFILE%\AppData\Local\Temp\OnboardLogs"\RTDC4043\*4043*201703070*</v>
      </c>
      <c r="I18" s="214" t="str">
        <f>IF(VLOOKUP(K18,'Train Runs'!$A$13:$V$998,1,TRUE)=K18,VLOOKUP(K18,'Train Runs'!$A$13:$V$998,22,TRUE),NA())</f>
        <v>https://d0f6bd738d7f1b3e5a7ca70fe4ff75f0.us-east-1.aws.found.io/app/kibana#/discover/Steve-Slow-Train-Analysis-(2080s-and-2083s)?_g=(refreshInterval:(display:Off,pause:!f,section:0,value:0),time:(from:'2017-03-21T17:05:41-0600',mode:absolute,to:'2017-03-21T19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210-21</v>
      </c>
      <c r="L18" s="206">
        <f>IF(VLOOKUP(K18,'Train Runs'!$A$12:$B$998,1,TRUE)=K18,VLOOKUP(K18,'Train Runs'!$A$12:$B$998,2,TRUE),NA())</f>
        <v>4043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373</v>
      </c>
      <c r="C19" s="198" t="s">
        <v>375</v>
      </c>
      <c r="D19" s="212">
        <f>D18+2</f>
        <v>212</v>
      </c>
      <c r="E19" s="30" t="s">
        <v>377</v>
      </c>
      <c r="F19" s="212" t="b">
        <v>1</v>
      </c>
      <c r="G19" s="216" t="str">
        <f t="shared" si="0"/>
        <v>"C:\Program Files (x86)\AstroGrep\AstroGrep.exe" /e /r /s /spath="%USERPROFILE%\AppData\Local\Temp\OnboardLogs" /stypes="*4023*201703070*"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"%USERPROFILE%\AppData\Local\Temp\OnboardLogs"\RTDC4023\*4023*201703070*</v>
      </c>
      <c r="I19" s="214" t="str">
        <f>IF(VLOOKUP(K19,'Train Runs'!$A$13:$V$998,1,TRUE)=K19,VLOOKUP(K19,'Train Runs'!$A$13:$V$998,22,TRUE),NA())</f>
        <v>https://d0f6bd738d7f1b3e5a7ca70fe4ff75f0.us-east-1.aws.found.io/app/kibana#/discover/Steve-Slow-Train-Analysis-(2080s-and-2083s)?_g=(refreshInterval:(display:Off,pause:!f,section:0,value:0),time:(from:'2017-03-21T17:21:56-0600',mode:absolute,to:'2017-03-21T20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212-21</v>
      </c>
      <c r="L19" s="206">
        <f>IF(VLOOKUP(K19,'Train Runs'!$A$12:$B$998,1,TRUE)=K19,VLOOKUP(K19,'Train Runs'!$A$12:$B$998,2,TRUE),NA())</f>
        <v>4023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373</v>
      </c>
      <c r="C20" s="198" t="s">
        <v>375</v>
      </c>
      <c r="D20" s="212">
        <v>214</v>
      </c>
      <c r="E20" s="30" t="s">
        <v>377</v>
      </c>
      <c r="F20" s="212" t="b">
        <v>1</v>
      </c>
      <c r="G20" s="216" t="str">
        <f t="shared" si="0"/>
        <v>"C:\Program Files (x86)\AstroGrep\AstroGrep.exe" /e /r /s /spath="%USERPROFILE%\AppData\Local\Temp\OnboardLogs" /stypes="*4015*201703070*"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"%USERPROFILE%\AppData\Local\Temp\OnboardLogs"\RTDC4015\*4015*201703070*</v>
      </c>
      <c r="I20" s="214" t="str">
        <f>IF(VLOOKUP(K20,'Train Runs'!$A$13:$V$998,1,TRUE)=K20,VLOOKUP(K20,'Train Runs'!$A$13:$V$998,22,TRUE),NA())</f>
        <v>https://d0f6bd738d7f1b3e5a7ca70fe4ff75f0.us-east-1.aws.found.io/app/kibana#/discover/Steve-Slow-Train-Analysis-(2080s-and-2083s)?_g=(refreshInterval:(display:Off,pause:!f,section:0,value:0),time:(from:'2017-03-21T17:26:09-0600',mode:absolute,to:'2017-03-21T20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214-21</v>
      </c>
      <c r="L20" s="206">
        <f>IF(VLOOKUP(K20,'Train Runs'!$A$12:$B$998,1,TRUE)=K20,VLOOKUP(K20,'Train Runs'!$A$12:$B$998,2,TRUE),NA())</f>
        <v>4015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373</v>
      </c>
      <c r="C21" s="198" t="s">
        <v>375</v>
      </c>
      <c r="D21" s="212">
        <v>216</v>
      </c>
      <c r="E21" s="30" t="s">
        <v>377</v>
      </c>
      <c r="F21" s="212" t="b">
        <v>1</v>
      </c>
      <c r="G21" s="216" t="str">
        <f t="shared" si="0"/>
        <v>"C:\Program Files (x86)\AstroGrep\AstroGrep.exe" /e /r /s /spath="%USERPROFILE%\AppData\Local\Temp\OnboardLogs" /stypes="*4041*201703070*"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"%USERPROFILE%\AppData\Local\Temp\OnboardLogs"\RTDC4041\*4041*201703070*</v>
      </c>
      <c r="I21" s="214" t="str">
        <f>IF(VLOOKUP(K21,'Train Runs'!$A$13:$V$998,1,TRUE)=K21,VLOOKUP(K21,'Train Runs'!$A$13:$V$998,22,TRUE),NA())</f>
        <v>https://d0f6bd738d7f1b3e5a7ca70fe4ff75f0.us-east-1.aws.found.io/app/kibana#/discover/Steve-Slow-Train-Analysis-(2080s-and-2083s)?_g=(refreshInterval:(display:Off,pause:!f,section:0,value:0),time:(from:'2017-03-21T17:46:28-0600',mode:absolute,to:'2017-03-21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216-21</v>
      </c>
      <c r="L21" s="206">
        <f>IF(VLOOKUP(K21,'Train Runs'!$A$12:$B$998,1,TRUE)=K21,VLOOKUP(K21,'Train Runs'!$A$12:$B$998,2,TRUE),NA())</f>
        <v>4041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373</v>
      </c>
      <c r="C22" s="198" t="s">
        <v>375</v>
      </c>
      <c r="D22" s="212">
        <f>D21+2</f>
        <v>218</v>
      </c>
      <c r="E22" s="30" t="s">
        <v>377</v>
      </c>
      <c r="F22" s="212" t="b">
        <v>1</v>
      </c>
      <c r="G22" s="216" t="str">
        <f t="shared" si="0"/>
        <v>"C:\Program Files (x86)\AstroGrep\AstroGrep.exe" /e /r /s /spath="%USERPROFILE%\AppData\Local\Temp\OnboardLogs" /stypes="*4032*201703070*"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"%USERPROFILE%\AppData\Local\Temp\OnboardLogs"\RTDC4032\*4032*201703070*</v>
      </c>
      <c r="I22" s="214" t="str">
        <f>IF(VLOOKUP(K22,'Train Runs'!$A$13:$V$998,1,TRUE)=K22,VLOOKUP(K22,'Train Runs'!$A$13:$V$998,22,TRUE),NA())</f>
        <v>https://d0f6bd738d7f1b3e5a7ca70fe4ff75f0.us-east-1.aws.found.io/app/kibana#/discover/Steve-Slow-Train-Analysis-(2080s-and-2083s)?_g=(refreshInterval:(display:Off,pause:!f,section:0,value:0),time:(from:'2017-03-21T18:05:58-0600',mode:absolute,to:'2017-03-21T20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218-21</v>
      </c>
      <c r="L22" s="206">
        <f>IF(VLOOKUP(K22,'Train Runs'!$A$12:$B$998,1,TRUE)=K22,VLOOKUP(K22,'Train Runs'!$A$12:$B$998,2,TRUE),NA())</f>
        <v>4032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373</v>
      </c>
      <c r="C23" s="198" t="s">
        <v>375</v>
      </c>
      <c r="D23" s="212">
        <f>D22+2</f>
        <v>220</v>
      </c>
      <c r="E23" s="30" t="s">
        <v>377</v>
      </c>
      <c r="F23" s="212" t="b">
        <v>1</v>
      </c>
      <c r="G23" s="216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"%USERPROFILE%\AppData\Local\Temp\OnboardLogs"\RTDC4013\*4013*201703070*</v>
      </c>
      <c r="I23" s="214" t="str">
        <f>IF(VLOOKUP(K23,'Train Runs'!$A$13:$V$998,1,TRUE)=K23,VLOOKUP(K23,'Train Runs'!$A$13:$V$998,22,TRUE),NA())</f>
        <v>https://d0f6bd738d7f1b3e5a7ca70fe4ff75f0.us-east-1.aws.found.io/app/kibana#/discover/Steve-Slow-Train-Analysis-(2080s-and-2083s)?_g=(refreshInterval:(display:Off,pause:!f,section:0,value:0),time:(from:'2017-03-21T18:19:49-0600',mode:absolute,to:'2017-03-21T21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220-21</v>
      </c>
      <c r="L23" s="206">
        <f>IF(VLOOKUP(K23,'Train Runs'!$A$12:$B$998,1,TRUE)=K23,VLOOKUP(K23,'Train Runs'!$A$12:$B$998,2,TRUE),NA())</f>
        <v>4013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373</v>
      </c>
      <c r="C24" s="198" t="s">
        <v>375</v>
      </c>
      <c r="D24" s="212">
        <f>D23+2</f>
        <v>222</v>
      </c>
      <c r="E24" s="30" t="s">
        <v>377</v>
      </c>
      <c r="F24" s="212" t="b">
        <v>1</v>
      </c>
      <c r="G24" s="216" t="str">
        <f t="shared" si="0"/>
        <v>"C:\Program Files (x86)\AstroGrep\AstroGrep.exe" /e /r /s /spath="%USERPROFILE%\AppData\Local\Temp\OnboardLogs" /stypes="*4043*201703070*"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"%USERPROFILE%\AppData\Local\Temp\OnboardLogs"\RTDC4043\*4043*201703070*</v>
      </c>
      <c r="I24" s="214" t="str">
        <f>IF(VLOOKUP(K24,'Train Runs'!$A$13:$V$998,1,TRUE)=K24,VLOOKUP(K24,'Train Runs'!$A$13:$V$998,22,TRUE),NA())</f>
        <v>https://d0f6bd738d7f1b3e5a7ca70fe4ff75f0.us-east-1.aws.found.io/app/kibana#/discover/Steve-Slow-Train-Analysis-(2080s-and-2083s)?_g=(refreshInterval:(display:Off,pause:!f,section:0,value:0),time:(from:'2017-03-21T18:52:30-0600',mode:absolute,to:'2017-03-21T21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222-21</v>
      </c>
      <c r="L24" s="206">
        <f>IF(VLOOKUP(K24,'Train Runs'!$A$12:$B$998,1,TRUE)=K24,VLOOKUP(K24,'Train Runs'!$A$12:$B$998,2,TRUE),NA())</f>
        <v>4043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373</v>
      </c>
      <c r="C25" s="198" t="s">
        <v>375</v>
      </c>
      <c r="D25" s="212">
        <f>D24+2</f>
        <v>224</v>
      </c>
      <c r="E25" s="30" t="s">
        <v>377</v>
      </c>
      <c r="F25" s="212" t="b">
        <v>1</v>
      </c>
      <c r="G25" s="216" t="str">
        <f t="shared" si="0"/>
        <v>"C:\Program Files (x86)\AstroGrep\AstroGrep.exe" /e /r /s /spath="%USERPROFILE%\AppData\Local\Temp\OnboardLogs" /stypes="*4015*201703070*"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"%USERPROFILE%\AppData\Local\Temp\OnboardLogs"\RTDC4015\*4015*201703070*</v>
      </c>
      <c r="I25" s="214" t="str">
        <f>IF(VLOOKUP(K25,'Train Runs'!$A$13:$V$998,1,TRUE)=K25,VLOOKUP(K25,'Train Runs'!$A$13:$V$998,22,TRUE),NA())</f>
        <v>https://d0f6bd738d7f1b3e5a7ca70fe4ff75f0.us-east-1.aws.found.io/app/kibana#/discover/Steve-Slow-Train-Analysis-(2080s-and-2083s)?_g=(refreshInterval:(display:Off,pause:!f,section:0,value:0),time:(from:'2017-03-21T19:08:18-0600',mode:absolute,to:'2017-03-21T22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224-21</v>
      </c>
      <c r="L25" s="206">
        <f>IF(VLOOKUP(K25,'Train Runs'!$A$12:$B$998,1,TRUE)=K25,VLOOKUP(K25,'Train Runs'!$A$12:$B$998,2,TRUE),NA())</f>
        <v>4015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373</v>
      </c>
      <c r="C26" s="198" t="s">
        <v>375</v>
      </c>
      <c r="D26" s="212">
        <f>D25+2</f>
        <v>226</v>
      </c>
      <c r="E26" s="30" t="s">
        <v>377</v>
      </c>
      <c r="F26" s="212" t="b">
        <v>1</v>
      </c>
      <c r="G26" s="216" t="str">
        <f t="shared" si="0"/>
        <v>"C:\Program Files (x86)\AstroGrep\AstroGrep.exe" /e /r /s /spath="%USERPROFILE%\AppData\Local\Temp\OnboardLogs" /stypes="*4032*201703070*"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"%USERPROFILE%\AppData\Local\Temp\OnboardLogs"\RTDC4032\*4032*201703070*</v>
      </c>
      <c r="I26" s="214" t="str">
        <f>IF(VLOOKUP(K26,'Train Runs'!$A$13:$V$998,1,TRUE)=K26,VLOOKUP(K26,'Train Runs'!$A$13:$V$998,22,TRUE),NA())</f>
        <v>https://d0f6bd738d7f1b3e5a7ca70fe4ff75f0.us-east-1.aws.found.io/app/kibana#/discover/Steve-Slow-Train-Analysis-(2080s-and-2083s)?_g=(refreshInterval:(display:Off,pause:!f,section:0,value:0),time:(from:'2017-03-21T19:44:25-0600',mode:absolute,to:'2017-03-21T22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226-21</v>
      </c>
      <c r="L26" s="206">
        <f>IF(VLOOKUP(K26,'Train Runs'!$A$12:$B$998,1,TRUE)=K26,VLOOKUP(K26,'Train Runs'!$A$12:$B$998,2,TRUE),NA())</f>
        <v>4032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373</v>
      </c>
      <c r="C27" s="198" t="s">
        <v>375</v>
      </c>
      <c r="D27" s="212">
        <f t="shared" ref="D27:D33" si="5">D26+2</f>
        <v>228</v>
      </c>
      <c r="E27" s="30" t="s">
        <v>377</v>
      </c>
      <c r="F27" s="212" t="b">
        <v>1</v>
      </c>
      <c r="G27" s="216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"%USERPROFILE%\AppData\Local\Temp\OnboardLogs"\RTDC4013\*4013*201703070*</v>
      </c>
      <c r="I27" s="214" t="str">
        <f>IF(VLOOKUP(K27,'Train Runs'!$A$13:$V$998,1,TRUE)=K27,VLOOKUP(K27,'Train Runs'!$A$13:$V$998,22,TRUE),NA())</f>
        <v>https://d0f6bd738d7f1b3e5a7ca70fe4ff75f0.us-east-1.aws.found.io/app/kibana#/discover/Steve-Slow-Train-Analysis-(2080s-and-2083s)?_g=(refreshInterval:(display:Off,pause:!f,section:0,value:0),time:(from:'2017-03-21T20:22:35-0600',mode:absolute,to:'2017-03-21T23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228-21</v>
      </c>
      <c r="L27" s="206">
        <f>IF(VLOOKUP(K27,'Train Runs'!$A$12:$B$998,1,TRUE)=K27,VLOOKUP(K27,'Train Runs'!$A$12:$B$998,2,TRUE),NA())</f>
        <v>4013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373</v>
      </c>
      <c r="C28" s="198" t="s">
        <v>375</v>
      </c>
      <c r="D28" s="212">
        <f t="shared" si="5"/>
        <v>230</v>
      </c>
      <c r="E28" s="30" t="s">
        <v>377</v>
      </c>
      <c r="F28" s="212" t="b">
        <v>1</v>
      </c>
      <c r="G28" s="216" t="str">
        <f t="shared" si="0"/>
        <v>"C:\Program Files (x86)\AstroGrep\AstroGrep.exe" /e /r /s /spath="%USERPROFILE%\AppData\Local\Temp\OnboardLogs" /stypes="*4043*201703070*"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"%USERPROFILE%\AppData\Local\Temp\OnboardLogs"\RTDC4043\*4043*201703070*</v>
      </c>
      <c r="I28" s="214" t="str">
        <f>IF(VLOOKUP(K28,'Train Runs'!$A$13:$V$998,1,TRUE)=K28,VLOOKUP(K28,'Train Runs'!$A$13:$V$998,22,TRUE),NA())</f>
        <v>https://d0f6bd738d7f1b3e5a7ca70fe4ff75f0.us-east-1.aws.found.io/app/kibana#/discover/Steve-Slow-Train-Analysis-(2080s-and-2083s)?_g=(refreshInterval:(display:Off,pause:!f,section:0,value:0),time:(from:'2017-03-21T20:51:36-0600',mode:absolute,to:'2017-03-21T23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230-21</v>
      </c>
      <c r="L28" s="206">
        <f>IF(VLOOKUP(K28,'Train Runs'!$A$12:$B$998,1,TRUE)=K28,VLOOKUP(K28,'Train Runs'!$A$12:$B$998,2,TRUE),NA())</f>
        <v>4043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373</v>
      </c>
      <c r="C29" s="198" t="s">
        <v>375</v>
      </c>
      <c r="D29" s="212">
        <f t="shared" si="5"/>
        <v>232</v>
      </c>
      <c r="E29" s="30" t="s">
        <v>377</v>
      </c>
      <c r="F29" s="212" t="b">
        <v>1</v>
      </c>
      <c r="G29" s="216" t="str">
        <f t="shared" si="0"/>
        <v>"C:\Program Files (x86)\AstroGrep\AstroGrep.exe" /e /r /s /spath="%USERPROFILE%\AppData\Local\Temp\OnboardLogs" /stypes="*4015*201703070*"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"%USERPROFILE%\AppData\Local\Temp\OnboardLogs"\RTDC4015\*4015*201703070*</v>
      </c>
      <c r="I29" s="214" t="str">
        <f>IF(VLOOKUP(K29,'Train Runs'!$A$13:$V$998,1,TRUE)=K29,VLOOKUP(K29,'Train Runs'!$A$13:$V$998,22,TRUE),NA())</f>
        <v>https://d0f6bd738d7f1b3e5a7ca70fe4ff75f0.us-east-1.aws.found.io/app/kibana#/discover/Steve-Slow-Train-Analysis-(2080s-and-2083s)?_g=(refreshInterval:(display:Off,pause:!f,section:0,value:0),time:(from:'2017-03-21T21:20:16-0600',mode:absolute,to:'2017-03-22T00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232-21</v>
      </c>
      <c r="L29" s="206">
        <f>IF(VLOOKUP(K29,'Train Runs'!$A$12:$B$998,1,TRUE)=K29,VLOOKUP(K29,'Train Runs'!$A$12:$B$998,2,TRUE),NA())</f>
        <v>4015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373</v>
      </c>
      <c r="C30" s="198" t="s">
        <v>375</v>
      </c>
      <c r="D30" s="212">
        <f t="shared" si="5"/>
        <v>234</v>
      </c>
      <c r="E30" s="30" t="s">
        <v>377</v>
      </c>
      <c r="F30" s="212" t="b">
        <v>1</v>
      </c>
      <c r="G30" s="216" t="str">
        <f t="shared" si="0"/>
        <v>"C:\Program Files (x86)\AstroGrep\AstroGrep.exe" /e /r /s /spath="%USERPROFILE%\AppData\Local\Temp\OnboardLogs" /stypes="*4032*201703070*"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"%USERPROFILE%\AppData\Local\Temp\OnboardLogs"\RTDC4032\*4032*201703070*</v>
      </c>
      <c r="I30" s="214" t="str">
        <f>IF(VLOOKUP(K30,'Train Runs'!$A$13:$V$998,1,TRUE)=K30,VLOOKUP(K30,'Train Runs'!$A$13:$V$998,22,TRUE),NA())</f>
        <v>https://d0f6bd738d7f1b3e5a7ca70fe4ff75f0.us-east-1.aws.found.io/app/kibana#/discover/Steve-Slow-Train-Analysis-(2080s-and-2083s)?_g=(refreshInterval:(display:Off,pause:!f,section:0,value:0),time:(from:'2017-03-21T21:44:39-0600',mode:absolute,to:'2017-03-22T00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234-21</v>
      </c>
      <c r="L30" s="206">
        <f>IF(VLOOKUP(K30,'Train Runs'!$A$12:$B$998,1,TRUE)=K30,VLOOKUP(K30,'Train Runs'!$A$12:$B$998,2,TRUE),NA())</f>
        <v>4032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373</v>
      </c>
      <c r="C31" s="198" t="s">
        <v>375</v>
      </c>
      <c r="D31" s="212">
        <f t="shared" si="5"/>
        <v>236</v>
      </c>
      <c r="E31" s="30" t="s">
        <v>377</v>
      </c>
      <c r="F31" s="212" t="b">
        <v>1</v>
      </c>
      <c r="G31" s="216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"%USERPROFILE%\AppData\Local\Temp\OnboardLogs"\RTDC4013\*4013*201703070*</v>
      </c>
      <c r="I31" s="214" t="str">
        <f>IF(VLOOKUP(K31,'Train Runs'!$A$13:$V$998,1,TRUE)=K31,VLOOKUP(K31,'Train Runs'!$A$13:$V$998,22,TRUE),NA())</f>
        <v>https://d0f6bd738d7f1b3e5a7ca70fe4ff75f0.us-east-1.aws.found.io/app/kibana#/discover/Steve-Slow-Train-Analysis-(2080s-and-2083s)?_g=(refreshInterval:(display:Off,pause:!f,section:0,value:0),time:(from:'2017-03-21T22:23:49-0600',mode:absolute,to:'2017-03-22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236-21</v>
      </c>
      <c r="L31" s="206">
        <f>IF(VLOOKUP(K31,'Train Runs'!$A$12:$B$998,1,TRUE)=K31,VLOOKUP(K31,'Train Runs'!$A$12:$B$998,2,TRUE),NA())</f>
        <v>4013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373</v>
      </c>
      <c r="C32" s="198" t="s">
        <v>375</v>
      </c>
      <c r="D32" s="212">
        <f t="shared" si="5"/>
        <v>238</v>
      </c>
      <c r="E32" s="30" t="s">
        <v>377</v>
      </c>
      <c r="F32" s="212" t="b">
        <v>1</v>
      </c>
      <c r="G32" s="216" t="str">
        <f t="shared" si="0"/>
        <v>"C:\Program Files (x86)\AstroGrep\AstroGrep.exe" /e /r /s /spath="%USERPROFILE%\AppData\Local\Temp\OnboardLogs" /stypes="*4043*201703070*"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"%USERPROFILE%\AppData\Local\Temp\OnboardLogs"\RTDC4043\*4043*201703070*</v>
      </c>
      <c r="I32" s="214" t="str">
        <f>IF(VLOOKUP(K32,'Train Runs'!$A$13:$V$998,1,TRUE)=K32,VLOOKUP(K32,'Train Runs'!$A$13:$V$998,22,TRUE),NA())</f>
        <v>https://d0f6bd738d7f1b3e5a7ca70fe4ff75f0.us-east-1.aws.found.io/app/kibana#/discover/Steve-Slow-Train-Analysis-(2080s-and-2083s)?_g=(refreshInterval:(display:Off,pause:!f,section:0,value:0),time:(from:'2017-03-21T22:50:29-0600',mode:absolute,to:'2017-03-22T01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238-21</v>
      </c>
      <c r="L32" s="206">
        <f>IF(VLOOKUP(K32,'Train Runs'!$A$12:$B$998,1,TRUE)=K32,VLOOKUP(K32,'Train Runs'!$A$12:$B$998,2,TRUE),NA())</f>
        <v>4043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373</v>
      </c>
      <c r="C33" s="198" t="s">
        <v>375</v>
      </c>
      <c r="D33" s="212">
        <f t="shared" si="5"/>
        <v>240</v>
      </c>
      <c r="E33" s="30" t="s">
        <v>377</v>
      </c>
      <c r="F33" s="212" t="b">
        <v>1</v>
      </c>
      <c r="G33" s="216" t="str">
        <f t="shared" si="0"/>
        <v>"C:\Program Files (x86)\AstroGrep\AstroGrep.exe" /e /r /s /spath="%USERPROFILE%\AppData\Local\Temp\OnboardLogs" /stypes="*4015*201703070*"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"%USERPROFILE%\AppData\Local\Temp\OnboardLogs"\RTDC4015\*4015*201703070*</v>
      </c>
      <c r="I33" s="214" t="str">
        <f>IF(VLOOKUP(K33,'Train Runs'!$A$13:$V$998,1,TRUE)=K33,VLOOKUP(K33,'Train Runs'!$A$13:$V$998,22,TRUE),NA())</f>
        <v>https://d0f6bd738d7f1b3e5a7ca70fe4ff75f0.us-east-1.aws.found.io/app/kibana#/discover/Steve-Slow-Train-Analysis-(2080s-and-2083s)?_g=(refreshInterval:(display:Off,pause:!f,section:0,value:0),time:(from:'2017-03-21T23:19:04-0600',mode:absolute,to:'2017-03-22T02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240-21</v>
      </c>
      <c r="L33" s="206">
        <f>IF(VLOOKUP(K33,'Train Runs'!$A$12:$B$998,1,TRUE)=K33,VLOOKUP(K33,'Train Runs'!$A$12:$B$998,2,TRUE),NA())</f>
        <v>4015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373</v>
      </c>
      <c r="C34" s="198" t="s">
        <v>375</v>
      </c>
      <c r="D34" s="212">
        <v>240</v>
      </c>
      <c r="E34" s="30" t="s">
        <v>377</v>
      </c>
      <c r="F34" s="212" t="b">
        <v>1</v>
      </c>
      <c r="G34" s="216" t="str">
        <f t="shared" si="0"/>
        <v>"C:\Program Files (x86)\AstroGrep\AstroGrep.exe" /e /r /s /spath="%USERPROFILE%\AppData\Local\Temp\OnboardLogs" /stypes="*4015*201703070*"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"%USERPROFILE%\AppData\Local\Temp\OnboardLogs"\RTDC4015\*4015*201703070*</v>
      </c>
      <c r="I34" s="214" t="str">
        <f>IF(VLOOKUP(K34,'Train Runs'!$A$13:$V$998,1,TRUE)=K34,VLOOKUP(K34,'Train Runs'!$A$13:$V$998,22,TRUE),NA())</f>
        <v>https://d0f6bd738d7f1b3e5a7ca70fe4ff75f0.us-east-1.aws.found.io/app/kibana#/discover/Steve-Slow-Train-Analysis-(2080s-and-2083s)?_g=(refreshInterval:(display:Off,pause:!f,section:0,value:0),time:(from:'2017-03-21T23:19:04-0600',mode:absolute,to:'2017-03-22T02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240-21</v>
      </c>
      <c r="L34" s="206">
        <f>IF(VLOOKUP(K34,'Train Runs'!$A$12:$B$998,1,TRUE)=K34,VLOOKUP(K34,'Train Runs'!$A$12:$B$998,2,TRUE),NA())</f>
        <v>4015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373</v>
      </c>
      <c r="C35" s="198" t="s">
        <v>375</v>
      </c>
      <c r="D35" s="212">
        <v>242</v>
      </c>
      <c r="E35" s="30" t="s">
        <v>377</v>
      </c>
      <c r="F35" s="212" t="b">
        <v>1</v>
      </c>
      <c r="G35" s="216" t="str">
        <f t="shared" si="0"/>
        <v>"C:\Program Files (x86)\AstroGrep\AstroGrep.exe" /e /r /s /spath="%USERPROFILE%\AppData\Local\Temp\OnboardLogs" /stypes="*4032*201703070*"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"%USERPROFILE%\AppData\Local\Temp\OnboardLogs"\RTDC4032\*4032*201703070*</v>
      </c>
      <c r="I35" s="214" t="str">
        <f>IF(VLOOKUP(K35,'Train Runs'!$A$13:$V$998,1,TRUE)=K35,VLOOKUP(K35,'Train Runs'!$A$13:$V$998,22,TRUE),NA())</f>
        <v>https://d0f6bd738d7f1b3e5a7ca70fe4ff75f0.us-east-1.aws.found.io/app/kibana#/discover/Steve-Slow-Train-Analysis-(2080s-and-2083s)?_g=(refreshInterval:(display:Off,pause:!f,section:0,value:0),time:(from:'2017-03-21T23:41:07-0600',mode:absolute,to:'2017-03-22T02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242-21</v>
      </c>
      <c r="L35" s="206">
        <f>IF(VLOOKUP(K35,'Train Runs'!$A$12:$B$998,1,TRUE)=K35,VLOOKUP(K35,'Train Runs'!$A$12:$B$998,2,TRUE),NA())</f>
        <v>4032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42815.037800925929</v>
      </c>
      <c r="B2" s="20" t="s">
        <v>394</v>
      </c>
      <c r="C2" s="20" t="s">
        <v>534</v>
      </c>
      <c r="D2" s="150">
        <v>2000000</v>
      </c>
      <c r="E2" s="20" t="s">
        <v>396</v>
      </c>
      <c r="F2" s="20" t="s">
        <v>195</v>
      </c>
      <c r="G2" s="8" t="str">
        <f>E2&amp;" "&amp;F2</f>
        <v>STAMBAUGH JAMES</v>
      </c>
    </row>
    <row r="3" spans="1:7" x14ac:dyDescent="0.25">
      <c r="A3" s="8">
        <v>42815.048229166663</v>
      </c>
      <c r="B3" s="20" t="s">
        <v>403</v>
      </c>
      <c r="C3" s="20" t="s">
        <v>559</v>
      </c>
      <c r="D3" s="150">
        <v>2230000</v>
      </c>
      <c r="E3" s="20" t="s">
        <v>414</v>
      </c>
      <c r="F3" s="20" t="s">
        <v>198</v>
      </c>
      <c r="G3" s="8" t="str">
        <f t="shared" ref="G3:G66" si="0">E3&amp;" "&amp;F3</f>
        <v>SMITH MICHAEL</v>
      </c>
    </row>
    <row r="4" spans="1:7" x14ac:dyDescent="0.25">
      <c r="A4" s="8">
        <v>42815.048414351855</v>
      </c>
      <c r="B4" s="20" t="s">
        <v>489</v>
      </c>
      <c r="C4" s="20" t="s">
        <v>558</v>
      </c>
      <c r="D4" s="150">
        <v>2730000</v>
      </c>
      <c r="E4" s="20" t="s">
        <v>502</v>
      </c>
      <c r="F4" s="20" t="s">
        <v>503</v>
      </c>
      <c r="G4" s="8" t="str">
        <f t="shared" si="0"/>
        <v>YANG JAN</v>
      </c>
    </row>
    <row r="5" spans="1:7" x14ac:dyDescent="0.25">
      <c r="A5" s="8">
        <v>42815.051481481481</v>
      </c>
      <c r="B5" s="20" t="s">
        <v>486</v>
      </c>
      <c r="C5" s="20" t="s">
        <v>560</v>
      </c>
      <c r="D5" s="150">
        <v>1740000</v>
      </c>
      <c r="E5" s="20" t="s">
        <v>556</v>
      </c>
      <c r="F5" s="20" t="s">
        <v>557</v>
      </c>
      <c r="G5" s="8" t="str">
        <f t="shared" si="0"/>
        <v>STORY SAMANTHA</v>
      </c>
    </row>
    <row r="6" spans="1:7" x14ac:dyDescent="0.25">
      <c r="A6" s="8">
        <v>42815.052708333336</v>
      </c>
      <c r="B6" s="20" t="s">
        <v>486</v>
      </c>
      <c r="C6" s="20" t="s">
        <v>560</v>
      </c>
      <c r="D6" s="150">
        <v>1740000</v>
      </c>
      <c r="E6" s="20" t="s">
        <v>556</v>
      </c>
      <c r="F6" s="20" t="s">
        <v>557</v>
      </c>
      <c r="G6" s="8" t="str">
        <f t="shared" si="0"/>
        <v>STORY SAMANTHA</v>
      </c>
    </row>
    <row r="7" spans="1:7" x14ac:dyDescent="0.25">
      <c r="A7" s="8">
        <v>42815.066967592589</v>
      </c>
      <c r="B7" s="20" t="s">
        <v>395</v>
      </c>
      <c r="C7" s="20" t="s">
        <v>561</v>
      </c>
      <c r="D7" s="150">
        <v>2000000</v>
      </c>
      <c r="E7" s="20" t="s">
        <v>396</v>
      </c>
      <c r="F7" s="20" t="s">
        <v>195</v>
      </c>
      <c r="G7" s="8" t="str">
        <f t="shared" si="0"/>
        <v>STAMBAUGH JAMES</v>
      </c>
    </row>
    <row r="8" spans="1:7" x14ac:dyDescent="0.25">
      <c r="A8" s="8">
        <v>42815.082789351851</v>
      </c>
      <c r="B8" s="20" t="s">
        <v>504</v>
      </c>
      <c r="C8" s="20" t="s">
        <v>558</v>
      </c>
      <c r="D8" s="150">
        <v>2730000</v>
      </c>
      <c r="E8" s="20" t="s">
        <v>502</v>
      </c>
      <c r="F8" s="20" t="s">
        <v>503</v>
      </c>
      <c r="G8" s="8" t="str">
        <f t="shared" si="0"/>
        <v>YANG JAN</v>
      </c>
    </row>
    <row r="9" spans="1:7" ht="15.75" thickBot="1" x14ac:dyDescent="0.3">
      <c r="A9" s="24">
        <v>42815.085729166669</v>
      </c>
      <c r="B9" s="20" t="s">
        <v>504</v>
      </c>
      <c r="C9" s="20" t="s">
        <v>558</v>
      </c>
      <c r="D9" s="150">
        <v>2730000</v>
      </c>
      <c r="E9" s="20" t="s">
        <v>502</v>
      </c>
      <c r="F9" s="20" t="s">
        <v>503</v>
      </c>
      <c r="G9" s="8" t="str">
        <f t="shared" si="0"/>
        <v>YANG JAN</v>
      </c>
    </row>
    <row r="10" spans="1:7" x14ac:dyDescent="0.25">
      <c r="A10" s="8">
        <v>42815.089548611111</v>
      </c>
      <c r="B10" s="20" t="s">
        <v>488</v>
      </c>
      <c r="C10" s="20" t="s">
        <v>562</v>
      </c>
      <c r="D10" s="150">
        <v>1740000</v>
      </c>
      <c r="E10" s="20" t="s">
        <v>556</v>
      </c>
      <c r="F10" s="20" t="s">
        <v>557</v>
      </c>
      <c r="G10" s="8" t="str">
        <f t="shared" si="0"/>
        <v>STORY SAMANTHA</v>
      </c>
    </row>
    <row r="11" spans="1:7" x14ac:dyDescent="0.25">
      <c r="A11" s="8">
        <v>42815.109074074076</v>
      </c>
      <c r="B11" s="20" t="s">
        <v>504</v>
      </c>
      <c r="C11" s="20" t="s">
        <v>558</v>
      </c>
      <c r="D11" s="150">
        <v>2730000</v>
      </c>
      <c r="E11" s="20" t="s">
        <v>502</v>
      </c>
      <c r="F11" s="20" t="s">
        <v>503</v>
      </c>
      <c r="G11" s="8" t="str">
        <f t="shared" si="0"/>
        <v>YANG JAN</v>
      </c>
    </row>
    <row r="12" spans="1:7" x14ac:dyDescent="0.25">
      <c r="A12" s="8">
        <v>42815.117256944446</v>
      </c>
      <c r="B12" s="20" t="s">
        <v>608</v>
      </c>
      <c r="C12" s="20" t="s">
        <v>640</v>
      </c>
      <c r="D12" s="150">
        <v>1360000</v>
      </c>
      <c r="E12" s="20" t="s">
        <v>442</v>
      </c>
      <c r="F12" s="20" t="s">
        <v>443</v>
      </c>
      <c r="G12" s="8" t="str">
        <f t="shared" si="0"/>
        <v>SANTIZO D. EDY</v>
      </c>
    </row>
    <row r="13" spans="1:7" x14ac:dyDescent="0.25">
      <c r="A13" s="8">
        <v>42815.129432870373</v>
      </c>
      <c r="B13" s="20" t="s">
        <v>422</v>
      </c>
      <c r="C13" s="20" t="s">
        <v>641</v>
      </c>
      <c r="D13" s="150">
        <v>1360000</v>
      </c>
      <c r="E13" s="20" t="s">
        <v>442</v>
      </c>
      <c r="F13" s="20" t="s">
        <v>443</v>
      </c>
      <c r="G13" s="8" t="str">
        <f t="shared" si="0"/>
        <v>SANTIZO D. EDY</v>
      </c>
    </row>
    <row r="14" spans="1:7" x14ac:dyDescent="0.25">
      <c r="A14" s="8">
        <v>42815.14702546296</v>
      </c>
      <c r="B14" s="20" t="s">
        <v>489</v>
      </c>
      <c r="C14" s="20" t="s">
        <v>558</v>
      </c>
      <c r="D14" s="150">
        <v>2730000</v>
      </c>
      <c r="E14" s="20" t="s">
        <v>502</v>
      </c>
      <c r="F14" s="20" t="s">
        <v>503</v>
      </c>
      <c r="G14" s="8" t="str">
        <f t="shared" si="0"/>
        <v>YANG JAN</v>
      </c>
    </row>
    <row r="15" spans="1:7" x14ac:dyDescent="0.25">
      <c r="A15" s="8">
        <v>42815.156342592592</v>
      </c>
      <c r="B15" s="20" t="s">
        <v>425</v>
      </c>
      <c r="C15" s="20" t="s">
        <v>592</v>
      </c>
      <c r="D15" s="150">
        <v>2010000</v>
      </c>
      <c r="E15" s="20" t="s">
        <v>444</v>
      </c>
      <c r="F15" s="20" t="s">
        <v>445</v>
      </c>
      <c r="G15" s="8" t="str">
        <f t="shared" si="0"/>
        <v>MAELZER KURT</v>
      </c>
    </row>
    <row r="16" spans="1:7" x14ac:dyDescent="0.25">
      <c r="A16" s="8">
        <v>42815.162986111114</v>
      </c>
      <c r="B16" s="20" t="s">
        <v>642</v>
      </c>
      <c r="C16" s="20" t="s">
        <v>643</v>
      </c>
      <c r="D16" s="150">
        <v>1110000</v>
      </c>
      <c r="E16" s="20" t="s">
        <v>535</v>
      </c>
      <c r="F16" s="20" t="s">
        <v>536</v>
      </c>
      <c r="G16" s="8" t="str">
        <f t="shared" si="0"/>
        <v>STARKS ANGELINA</v>
      </c>
    </row>
    <row r="17" spans="1:7" x14ac:dyDescent="0.25">
      <c r="A17" s="8">
        <v>42815.164675925924</v>
      </c>
      <c r="B17" s="20" t="s">
        <v>608</v>
      </c>
      <c r="C17" s="20" t="s">
        <v>644</v>
      </c>
      <c r="D17" s="150">
        <v>1360000</v>
      </c>
      <c r="E17" s="20" t="s">
        <v>442</v>
      </c>
      <c r="F17" s="20" t="s">
        <v>443</v>
      </c>
      <c r="G17" s="8" t="str">
        <f t="shared" si="0"/>
        <v>SANTIZO D. EDY</v>
      </c>
    </row>
    <row r="18" spans="1:7" x14ac:dyDescent="0.25">
      <c r="A18" s="8">
        <v>42815.167291666665</v>
      </c>
      <c r="B18" s="20" t="s">
        <v>605</v>
      </c>
      <c r="C18" s="20" t="s">
        <v>645</v>
      </c>
      <c r="D18" s="150">
        <v>2970000</v>
      </c>
      <c r="E18" s="20" t="s">
        <v>537</v>
      </c>
      <c r="F18" s="20" t="s">
        <v>538</v>
      </c>
      <c r="G18" s="8" t="str">
        <f t="shared" si="0"/>
        <v>GUZMAN DANNY</v>
      </c>
    </row>
    <row r="19" spans="1:7" x14ac:dyDescent="0.25">
      <c r="A19" s="8">
        <v>42815.174004629633</v>
      </c>
      <c r="B19" s="20" t="s">
        <v>504</v>
      </c>
      <c r="C19" s="20" t="s">
        <v>558</v>
      </c>
      <c r="D19" s="150">
        <v>2730000</v>
      </c>
      <c r="E19" s="20" t="s">
        <v>502</v>
      </c>
      <c r="F19" s="20" t="s">
        <v>503</v>
      </c>
      <c r="G19" s="8" t="str">
        <f t="shared" si="0"/>
        <v>YANG JAN</v>
      </c>
    </row>
    <row r="20" spans="1:7" x14ac:dyDescent="0.25">
      <c r="A20" s="8">
        <v>42815.175162037034</v>
      </c>
      <c r="B20" s="20" t="s">
        <v>400</v>
      </c>
      <c r="C20" s="20" t="s">
        <v>646</v>
      </c>
      <c r="D20" s="150">
        <v>1110000</v>
      </c>
      <c r="E20" s="20" t="s">
        <v>535</v>
      </c>
      <c r="F20" s="20" t="s">
        <v>536</v>
      </c>
      <c r="G20" s="8" t="str">
        <f t="shared" si="0"/>
        <v>STARKS ANGELINA</v>
      </c>
    </row>
    <row r="21" spans="1:7" x14ac:dyDescent="0.25">
      <c r="A21" s="8">
        <v>42815.175868055558</v>
      </c>
      <c r="B21" s="20" t="s">
        <v>400</v>
      </c>
      <c r="C21" s="20" t="s">
        <v>646</v>
      </c>
      <c r="D21" s="150">
        <v>1110000</v>
      </c>
      <c r="E21" s="20" t="s">
        <v>535</v>
      </c>
      <c r="F21" s="20" t="s">
        <v>536</v>
      </c>
      <c r="G21" s="8" t="str">
        <f t="shared" si="0"/>
        <v>STARKS ANGELINA</v>
      </c>
    </row>
    <row r="22" spans="1:7" x14ac:dyDescent="0.25">
      <c r="A22" s="26">
        <v>42815.178356481483</v>
      </c>
      <c r="B22" s="20" t="s">
        <v>596</v>
      </c>
      <c r="C22" s="20" t="s">
        <v>647</v>
      </c>
      <c r="D22" s="150">
        <v>2970000</v>
      </c>
      <c r="E22" s="20" t="s">
        <v>537</v>
      </c>
      <c r="F22" s="20" t="s">
        <v>538</v>
      </c>
      <c r="G22" s="8" t="str">
        <f t="shared" si="0"/>
        <v>GUZMAN DANNY</v>
      </c>
    </row>
    <row r="23" spans="1:7" x14ac:dyDescent="0.25">
      <c r="A23" s="8">
        <v>42815.182534722226</v>
      </c>
      <c r="B23" s="20" t="s">
        <v>487</v>
      </c>
      <c r="C23" s="20" t="s">
        <v>648</v>
      </c>
      <c r="D23" s="150">
        <v>1990000</v>
      </c>
      <c r="E23" s="20" t="s">
        <v>440</v>
      </c>
      <c r="F23" s="20" t="s">
        <v>441</v>
      </c>
      <c r="G23" s="8" t="str">
        <f t="shared" si="0"/>
        <v>DAVIS WENDY</v>
      </c>
    </row>
    <row r="24" spans="1:7" x14ac:dyDescent="0.25">
      <c r="A24" s="8">
        <v>42815.189814814818</v>
      </c>
      <c r="B24" s="20" t="s">
        <v>492</v>
      </c>
      <c r="C24" s="20" t="s">
        <v>593</v>
      </c>
      <c r="D24" s="150">
        <v>2010000</v>
      </c>
      <c r="E24" s="20" t="s">
        <v>444</v>
      </c>
      <c r="F24" s="20" t="s">
        <v>445</v>
      </c>
      <c r="G24" s="8" t="str">
        <f t="shared" si="0"/>
        <v>MAELZER KURT</v>
      </c>
    </row>
    <row r="25" spans="1:7" x14ac:dyDescent="0.25">
      <c r="A25" s="8">
        <v>42815.190740740742</v>
      </c>
      <c r="B25" s="20" t="s">
        <v>489</v>
      </c>
      <c r="C25" s="20" t="s">
        <v>558</v>
      </c>
      <c r="D25" s="150">
        <v>2730000</v>
      </c>
      <c r="E25" s="20" t="s">
        <v>502</v>
      </c>
      <c r="F25" s="20" t="s">
        <v>503</v>
      </c>
      <c r="G25" s="8" t="str">
        <f t="shared" si="0"/>
        <v>YANG JAN</v>
      </c>
    </row>
    <row r="26" spans="1:7" x14ac:dyDescent="0.25">
      <c r="A26" s="8">
        <v>42815.191793981481</v>
      </c>
      <c r="B26" s="20" t="s">
        <v>489</v>
      </c>
      <c r="C26" s="20" t="s">
        <v>558</v>
      </c>
      <c r="D26" s="150">
        <v>2730000</v>
      </c>
      <c r="E26" s="20" t="s">
        <v>502</v>
      </c>
      <c r="F26" s="20" t="s">
        <v>503</v>
      </c>
      <c r="G26" s="8" t="str">
        <f t="shared" si="0"/>
        <v>YANG JAN</v>
      </c>
    </row>
    <row r="27" spans="1:7" x14ac:dyDescent="0.25">
      <c r="A27" s="8">
        <v>42815.19390046296</v>
      </c>
      <c r="B27" s="20" t="s">
        <v>491</v>
      </c>
      <c r="C27" s="20" t="s">
        <v>649</v>
      </c>
      <c r="D27" s="150">
        <v>1990000</v>
      </c>
      <c r="E27" s="20" t="s">
        <v>440</v>
      </c>
      <c r="F27" s="20" t="s">
        <v>441</v>
      </c>
      <c r="G27" s="8" t="str">
        <f t="shared" si="0"/>
        <v>DAVIS WENDY</v>
      </c>
    </row>
    <row r="28" spans="1:7" x14ac:dyDescent="0.25">
      <c r="A28" s="8">
        <v>42815.197905092595</v>
      </c>
      <c r="B28" s="20" t="s">
        <v>650</v>
      </c>
      <c r="C28" s="20" t="s">
        <v>651</v>
      </c>
      <c r="D28" s="150">
        <v>1830000</v>
      </c>
      <c r="E28" s="20" t="s">
        <v>652</v>
      </c>
      <c r="F28" s="20" t="s">
        <v>653</v>
      </c>
      <c r="G28" s="8" t="str">
        <f t="shared" si="0"/>
        <v>YORK EDGAR</v>
      </c>
    </row>
    <row r="29" spans="1:7" x14ac:dyDescent="0.25">
      <c r="A29" s="8">
        <v>42815.206909722219</v>
      </c>
      <c r="B29" s="20" t="s">
        <v>602</v>
      </c>
      <c r="C29" s="20" t="s">
        <v>654</v>
      </c>
      <c r="D29" s="150">
        <v>1360000</v>
      </c>
      <c r="E29" s="20" t="s">
        <v>442</v>
      </c>
      <c r="F29" s="20" t="s">
        <v>443</v>
      </c>
      <c r="G29" s="8" t="str">
        <f t="shared" si="0"/>
        <v>SANTIZO D. EDY</v>
      </c>
    </row>
    <row r="30" spans="1:7" x14ac:dyDescent="0.25">
      <c r="A30" s="8">
        <v>42815.207511574074</v>
      </c>
      <c r="B30" s="20" t="s">
        <v>422</v>
      </c>
      <c r="C30" s="20" t="s">
        <v>655</v>
      </c>
      <c r="D30" s="150">
        <v>890000</v>
      </c>
      <c r="E30" s="20" t="s">
        <v>656</v>
      </c>
      <c r="F30" s="20" t="s">
        <v>657</v>
      </c>
      <c r="G30" s="8" t="str">
        <f t="shared" si="0"/>
        <v>LOZA FIDEL</v>
      </c>
    </row>
    <row r="31" spans="1:7" x14ac:dyDescent="0.25">
      <c r="A31" s="8">
        <v>42815.208923611113</v>
      </c>
      <c r="B31" s="20" t="s">
        <v>602</v>
      </c>
      <c r="C31" s="20" t="s">
        <v>654</v>
      </c>
      <c r="D31" s="150">
        <v>1360000</v>
      </c>
      <c r="E31" s="20" t="s">
        <v>442</v>
      </c>
      <c r="F31" s="20" t="s">
        <v>443</v>
      </c>
      <c r="G31" s="8" t="str">
        <f t="shared" si="0"/>
        <v>SANTIZO D. EDY</v>
      </c>
    </row>
    <row r="32" spans="1:7" x14ac:dyDescent="0.25">
      <c r="A32" s="8">
        <v>42815.209976851853</v>
      </c>
      <c r="B32" s="20" t="s">
        <v>602</v>
      </c>
      <c r="C32" s="20" t="s">
        <v>654</v>
      </c>
      <c r="D32" s="150">
        <v>1360000</v>
      </c>
      <c r="E32" s="20" t="s">
        <v>442</v>
      </c>
      <c r="F32" s="20" t="s">
        <v>443</v>
      </c>
      <c r="G32" s="8" t="str">
        <f t="shared" si="0"/>
        <v>SANTIZO D. EDY</v>
      </c>
    </row>
    <row r="33" spans="1:7" x14ac:dyDescent="0.25">
      <c r="A33" s="8">
        <v>42815.210613425923</v>
      </c>
      <c r="B33" s="20" t="s">
        <v>624</v>
      </c>
      <c r="C33" s="20" t="s">
        <v>658</v>
      </c>
      <c r="D33" s="150">
        <v>1830000</v>
      </c>
      <c r="E33" s="20" t="s">
        <v>652</v>
      </c>
      <c r="F33" s="20" t="s">
        <v>653</v>
      </c>
      <c r="G33" s="8" t="str">
        <f t="shared" si="0"/>
        <v>YORK EDGAR</v>
      </c>
    </row>
    <row r="34" spans="1:7" x14ac:dyDescent="0.25">
      <c r="A34" s="8">
        <v>42815.214444444442</v>
      </c>
      <c r="B34" s="20" t="s">
        <v>504</v>
      </c>
      <c r="C34" s="20" t="s">
        <v>558</v>
      </c>
      <c r="D34" s="150">
        <v>2730000</v>
      </c>
      <c r="E34" s="20" t="s">
        <v>502</v>
      </c>
      <c r="F34" s="20" t="s">
        <v>503</v>
      </c>
      <c r="G34" s="8" t="str">
        <f t="shared" si="0"/>
        <v>YANG JAN</v>
      </c>
    </row>
    <row r="35" spans="1:7" x14ac:dyDescent="0.25">
      <c r="A35" s="8">
        <v>42815.214502314811</v>
      </c>
      <c r="B35" s="20" t="s">
        <v>642</v>
      </c>
      <c r="C35" s="20" t="s">
        <v>659</v>
      </c>
      <c r="D35" s="150">
        <v>1110000</v>
      </c>
      <c r="E35" s="20" t="s">
        <v>535</v>
      </c>
      <c r="F35" s="20" t="s">
        <v>536</v>
      </c>
      <c r="G35" s="8" t="str">
        <f t="shared" si="0"/>
        <v>STARKS ANGELINA</v>
      </c>
    </row>
    <row r="36" spans="1:7" x14ac:dyDescent="0.25">
      <c r="A36" s="8">
        <v>42815.215138888889</v>
      </c>
      <c r="B36" s="20" t="s">
        <v>504</v>
      </c>
      <c r="C36" s="20" t="s">
        <v>558</v>
      </c>
      <c r="D36" s="150">
        <v>2730000</v>
      </c>
      <c r="E36" s="20" t="s">
        <v>502</v>
      </c>
      <c r="F36" s="20" t="s">
        <v>503</v>
      </c>
      <c r="G36" s="8" t="str">
        <f t="shared" si="0"/>
        <v>YANG JAN</v>
      </c>
    </row>
    <row r="37" spans="1:7" x14ac:dyDescent="0.25">
      <c r="A37" s="8">
        <v>42815.215185185189</v>
      </c>
      <c r="B37" s="20" t="s">
        <v>596</v>
      </c>
      <c r="C37" s="20" t="s">
        <v>647</v>
      </c>
      <c r="D37" s="150">
        <v>2970000</v>
      </c>
      <c r="E37" s="20" t="s">
        <v>537</v>
      </c>
      <c r="F37" s="20" t="s">
        <v>538</v>
      </c>
      <c r="G37" s="8" t="str">
        <f t="shared" si="0"/>
        <v>GUZMAN DANNY</v>
      </c>
    </row>
    <row r="38" spans="1:7" x14ac:dyDescent="0.25">
      <c r="A38" s="8">
        <v>42815.221701388888</v>
      </c>
      <c r="B38" s="20" t="s">
        <v>605</v>
      </c>
      <c r="C38" s="20" t="s">
        <v>660</v>
      </c>
      <c r="D38" s="150">
        <v>2970000</v>
      </c>
      <c r="E38" s="20" t="s">
        <v>537</v>
      </c>
      <c r="F38" s="20" t="s">
        <v>538</v>
      </c>
      <c r="G38" s="8" t="str">
        <f t="shared" si="0"/>
        <v>GUZMAN DANNY</v>
      </c>
    </row>
    <row r="39" spans="1:7" x14ac:dyDescent="0.25">
      <c r="A39" s="8">
        <v>42815.227187500001</v>
      </c>
      <c r="B39" s="20" t="s">
        <v>495</v>
      </c>
      <c r="C39" s="20" t="s">
        <v>661</v>
      </c>
      <c r="D39" s="150">
        <v>2010000</v>
      </c>
      <c r="E39" s="20" t="s">
        <v>444</v>
      </c>
      <c r="F39" s="20" t="s">
        <v>445</v>
      </c>
      <c r="G39" s="8" t="str">
        <f t="shared" si="0"/>
        <v>MAELZER KURT</v>
      </c>
    </row>
    <row r="40" spans="1:7" x14ac:dyDescent="0.25">
      <c r="A40" s="8">
        <v>42815.227233796293</v>
      </c>
      <c r="B40" s="25" t="s">
        <v>650</v>
      </c>
      <c r="C40" s="20" t="s">
        <v>662</v>
      </c>
      <c r="D40" s="150">
        <v>1830000</v>
      </c>
      <c r="E40" s="20" t="s">
        <v>652</v>
      </c>
      <c r="F40" s="20" t="s">
        <v>653</v>
      </c>
      <c r="G40" s="8" t="str">
        <f t="shared" si="0"/>
        <v>YORK EDGAR</v>
      </c>
    </row>
    <row r="41" spans="1:7" x14ac:dyDescent="0.25">
      <c r="A41" s="8">
        <v>42815.227708333332</v>
      </c>
      <c r="B41" s="20" t="s">
        <v>425</v>
      </c>
      <c r="C41" s="20" t="s">
        <v>663</v>
      </c>
      <c r="D41" s="150">
        <v>3010000</v>
      </c>
      <c r="E41" s="20" t="s">
        <v>544</v>
      </c>
      <c r="F41" s="20" t="s">
        <v>545</v>
      </c>
      <c r="G41" s="8" t="str">
        <f t="shared" si="0"/>
        <v>SULLIVAN BRANDON</v>
      </c>
    </row>
    <row r="42" spans="1:7" x14ac:dyDescent="0.25">
      <c r="A42" s="8">
        <v>42815.233356481483</v>
      </c>
      <c r="B42" s="20" t="s">
        <v>487</v>
      </c>
      <c r="C42" s="20" t="s">
        <v>664</v>
      </c>
      <c r="D42" s="150">
        <v>1990000</v>
      </c>
      <c r="E42" s="20" t="s">
        <v>440</v>
      </c>
      <c r="F42" s="20" t="s">
        <v>441</v>
      </c>
      <c r="G42" s="8" t="str">
        <f t="shared" si="0"/>
        <v>DAVIS WENDY</v>
      </c>
    </row>
    <row r="43" spans="1:7" x14ac:dyDescent="0.25">
      <c r="A43" s="8">
        <v>42815.242083333331</v>
      </c>
      <c r="B43" s="20" t="s">
        <v>404</v>
      </c>
      <c r="C43" s="20" t="s">
        <v>594</v>
      </c>
      <c r="D43" s="150">
        <v>2270000</v>
      </c>
      <c r="E43" s="20" t="s">
        <v>210</v>
      </c>
      <c r="F43" s="20" t="s">
        <v>211</v>
      </c>
      <c r="G43" s="8" t="str">
        <f t="shared" si="0"/>
        <v>BROWN JACOB</v>
      </c>
    </row>
    <row r="44" spans="1:7" x14ac:dyDescent="0.25">
      <c r="A44" s="8">
        <v>42815.243530092594</v>
      </c>
      <c r="B44" s="20" t="s">
        <v>423</v>
      </c>
      <c r="C44" s="20" t="s">
        <v>665</v>
      </c>
      <c r="D44" s="150">
        <v>890000</v>
      </c>
      <c r="E44" s="20" t="s">
        <v>656</v>
      </c>
      <c r="F44" s="20" t="s">
        <v>657</v>
      </c>
      <c r="G44" s="8" t="str">
        <f t="shared" si="0"/>
        <v>LOZA FIDEL</v>
      </c>
    </row>
    <row r="45" spans="1:7" x14ac:dyDescent="0.25">
      <c r="A45" s="8">
        <v>42815.245752314811</v>
      </c>
      <c r="B45" s="20" t="s">
        <v>495</v>
      </c>
      <c r="C45" s="20" t="s">
        <v>661</v>
      </c>
      <c r="D45" s="150">
        <v>2010000</v>
      </c>
      <c r="E45" s="20" t="s">
        <v>444</v>
      </c>
      <c r="F45" s="20" t="s">
        <v>445</v>
      </c>
      <c r="G45" s="8" t="str">
        <f t="shared" si="0"/>
        <v>MAELZER KURT</v>
      </c>
    </row>
    <row r="46" spans="1:7" x14ac:dyDescent="0.25">
      <c r="A46" s="8">
        <v>42815.245925925927</v>
      </c>
      <c r="B46" s="20" t="s">
        <v>404</v>
      </c>
      <c r="C46" s="20" t="s">
        <v>594</v>
      </c>
      <c r="D46" s="150">
        <v>2270000</v>
      </c>
      <c r="E46" s="20" t="s">
        <v>210</v>
      </c>
      <c r="F46" s="20" t="s">
        <v>211</v>
      </c>
      <c r="G46" s="8" t="str">
        <f t="shared" si="0"/>
        <v>BROWN JACOB</v>
      </c>
    </row>
    <row r="47" spans="1:7" x14ac:dyDescent="0.25">
      <c r="A47" s="8">
        <v>42815.246493055558</v>
      </c>
      <c r="B47" s="20" t="s">
        <v>608</v>
      </c>
      <c r="C47" s="20" t="s">
        <v>666</v>
      </c>
      <c r="D47" s="150">
        <v>1360000</v>
      </c>
      <c r="E47" s="20" t="s">
        <v>442</v>
      </c>
      <c r="F47" s="20" t="s">
        <v>443</v>
      </c>
      <c r="G47" s="8" t="str">
        <f t="shared" si="0"/>
        <v>SANTIZO D. EDY</v>
      </c>
    </row>
    <row r="48" spans="1:7" x14ac:dyDescent="0.25">
      <c r="A48" s="8">
        <v>42815.254131944443</v>
      </c>
      <c r="B48" s="20" t="s">
        <v>400</v>
      </c>
      <c r="C48" s="20" t="s">
        <v>595</v>
      </c>
      <c r="D48" s="150">
        <v>1230000</v>
      </c>
      <c r="E48" s="20" t="s">
        <v>546</v>
      </c>
      <c r="F48" s="20" t="s">
        <v>547</v>
      </c>
      <c r="G48" s="8" t="str">
        <f t="shared" si="0"/>
        <v>YANAI IAN</v>
      </c>
    </row>
    <row r="49" spans="1:7" x14ac:dyDescent="0.25">
      <c r="A49" s="8">
        <v>42815.25440972222</v>
      </c>
      <c r="B49" s="20" t="s">
        <v>624</v>
      </c>
      <c r="C49" s="20" t="s">
        <v>667</v>
      </c>
      <c r="D49" s="150">
        <v>1830000</v>
      </c>
      <c r="E49" s="20" t="s">
        <v>652</v>
      </c>
      <c r="F49" s="20" t="s">
        <v>653</v>
      </c>
      <c r="G49" s="8" t="str">
        <f t="shared" si="0"/>
        <v>YORK EDGAR</v>
      </c>
    </row>
    <row r="50" spans="1:7" x14ac:dyDescent="0.25">
      <c r="A50" s="8">
        <v>42815.258009259262</v>
      </c>
      <c r="B50" s="20" t="s">
        <v>596</v>
      </c>
      <c r="C50" s="20" t="s">
        <v>597</v>
      </c>
      <c r="D50" s="150">
        <v>2970000</v>
      </c>
      <c r="E50" s="20" t="s">
        <v>537</v>
      </c>
      <c r="F50" s="20" t="s">
        <v>538</v>
      </c>
      <c r="G50" s="8" t="str">
        <f t="shared" si="0"/>
        <v>GUZMAN DANNY</v>
      </c>
    </row>
    <row r="51" spans="1:7" x14ac:dyDescent="0.25">
      <c r="A51" s="8">
        <v>42815.262546296297</v>
      </c>
      <c r="B51" s="20" t="s">
        <v>405</v>
      </c>
      <c r="C51" s="20" t="s">
        <v>668</v>
      </c>
      <c r="D51" s="150">
        <v>2270000</v>
      </c>
      <c r="E51" s="20" t="s">
        <v>210</v>
      </c>
      <c r="F51" s="20" t="s">
        <v>211</v>
      </c>
      <c r="G51" s="8" t="str">
        <f t="shared" si="0"/>
        <v>BROWN JACOB</v>
      </c>
    </row>
    <row r="52" spans="1:7" x14ac:dyDescent="0.25">
      <c r="A52" s="8">
        <v>42815.26321759259</v>
      </c>
      <c r="B52" s="20" t="s">
        <v>421</v>
      </c>
      <c r="C52" s="20" t="s">
        <v>669</v>
      </c>
      <c r="D52" s="150">
        <v>3010000</v>
      </c>
      <c r="E52" s="20" t="s">
        <v>544</v>
      </c>
      <c r="F52" s="20" t="s">
        <v>545</v>
      </c>
      <c r="G52" s="8" t="str">
        <f t="shared" si="0"/>
        <v>SULLIVAN BRANDON</v>
      </c>
    </row>
    <row r="53" spans="1:7" x14ac:dyDescent="0.25">
      <c r="A53" s="8">
        <v>42815.268738425926</v>
      </c>
      <c r="B53" s="20" t="s">
        <v>650</v>
      </c>
      <c r="C53" s="20" t="s">
        <v>670</v>
      </c>
      <c r="D53" s="150">
        <v>1830000</v>
      </c>
      <c r="E53" s="20" t="s">
        <v>652</v>
      </c>
      <c r="F53" s="20" t="s">
        <v>653</v>
      </c>
      <c r="G53" s="8" t="str">
        <f t="shared" si="0"/>
        <v>YORK EDGAR</v>
      </c>
    </row>
    <row r="54" spans="1:7" x14ac:dyDescent="0.25">
      <c r="A54" s="8">
        <v>42815.269490740742</v>
      </c>
      <c r="B54" s="20" t="s">
        <v>596</v>
      </c>
      <c r="C54" s="20" t="s">
        <v>597</v>
      </c>
      <c r="D54" s="150">
        <v>2970000</v>
      </c>
      <c r="E54" s="20" t="s">
        <v>537</v>
      </c>
      <c r="F54" s="20" t="s">
        <v>538</v>
      </c>
      <c r="G54" s="8" t="str">
        <f t="shared" si="0"/>
        <v>GUZMAN DANNY</v>
      </c>
    </row>
    <row r="55" spans="1:7" x14ac:dyDescent="0.25">
      <c r="A55" s="8">
        <v>42815.274097222224</v>
      </c>
      <c r="B55" s="20" t="s">
        <v>491</v>
      </c>
      <c r="C55" s="20" t="s">
        <v>599</v>
      </c>
      <c r="D55" s="150">
        <v>1990000</v>
      </c>
      <c r="E55" s="20" t="s">
        <v>440</v>
      </c>
      <c r="F55" s="20" t="s">
        <v>441</v>
      </c>
      <c r="G55" s="8" t="str">
        <f t="shared" si="0"/>
        <v>DAVIS WENDY</v>
      </c>
    </row>
    <row r="56" spans="1:7" x14ac:dyDescent="0.25">
      <c r="A56" s="8">
        <v>42815.275578703702</v>
      </c>
      <c r="B56" s="20" t="s">
        <v>492</v>
      </c>
      <c r="C56" s="20" t="s">
        <v>671</v>
      </c>
      <c r="D56" s="150">
        <v>2010000</v>
      </c>
      <c r="E56" s="20" t="s">
        <v>444</v>
      </c>
      <c r="F56" s="20" t="s">
        <v>445</v>
      </c>
      <c r="G56" s="8" t="str">
        <f t="shared" si="0"/>
        <v>MAELZER KURT</v>
      </c>
    </row>
    <row r="57" spans="1:7" x14ac:dyDescent="0.25">
      <c r="A57" s="8">
        <v>42815.275578703702</v>
      </c>
      <c r="B57" s="20" t="s">
        <v>404</v>
      </c>
      <c r="C57" s="20" t="s">
        <v>672</v>
      </c>
      <c r="D57" s="150">
        <v>2270000</v>
      </c>
      <c r="E57" s="20" t="s">
        <v>210</v>
      </c>
      <c r="F57" s="20" t="s">
        <v>211</v>
      </c>
      <c r="G57" s="8" t="str">
        <f t="shared" si="0"/>
        <v>BROWN JACOB</v>
      </c>
    </row>
    <row r="58" spans="1:7" x14ac:dyDescent="0.25">
      <c r="A58" s="8">
        <v>42815.278553240743</v>
      </c>
      <c r="B58" s="20" t="s">
        <v>399</v>
      </c>
      <c r="C58" s="20" t="s">
        <v>673</v>
      </c>
      <c r="D58" s="150">
        <v>1230000</v>
      </c>
      <c r="E58" s="20" t="s">
        <v>546</v>
      </c>
      <c r="F58" s="20" t="s">
        <v>547</v>
      </c>
      <c r="G58" s="8" t="str">
        <f t="shared" si="0"/>
        <v>YANAI IAN</v>
      </c>
    </row>
    <row r="59" spans="1:7" x14ac:dyDescent="0.25">
      <c r="A59" s="8">
        <v>42815.28019675926</v>
      </c>
      <c r="B59" s="20" t="s">
        <v>491</v>
      </c>
      <c r="C59" s="20" t="s">
        <v>599</v>
      </c>
      <c r="D59" s="150">
        <v>1990000</v>
      </c>
      <c r="E59" s="20" t="s">
        <v>440</v>
      </c>
      <c r="F59" s="20" t="s">
        <v>441</v>
      </c>
      <c r="G59" s="8" t="str">
        <f t="shared" si="0"/>
        <v>DAVIS WENDY</v>
      </c>
    </row>
    <row r="60" spans="1:7" x14ac:dyDescent="0.25">
      <c r="A60" s="8">
        <v>42815.281759259262</v>
      </c>
      <c r="B60" s="20" t="s">
        <v>422</v>
      </c>
      <c r="C60" s="20" t="s">
        <v>665</v>
      </c>
      <c r="D60" s="150">
        <v>3040000</v>
      </c>
      <c r="E60" s="20" t="s">
        <v>539</v>
      </c>
      <c r="F60" s="20" t="s">
        <v>540</v>
      </c>
      <c r="G60" s="8" t="str">
        <f t="shared" si="0"/>
        <v>WILLIAMS DONTE</v>
      </c>
    </row>
    <row r="61" spans="1:7" x14ac:dyDescent="0.25">
      <c r="A61" s="8">
        <v>42815.289270833331</v>
      </c>
      <c r="B61" s="20" t="s">
        <v>422</v>
      </c>
      <c r="C61" s="20" t="s">
        <v>598</v>
      </c>
      <c r="D61" s="150">
        <v>3040000</v>
      </c>
      <c r="E61" s="20" t="s">
        <v>539</v>
      </c>
      <c r="F61" s="20" t="s">
        <v>540</v>
      </c>
      <c r="G61" s="8" t="str">
        <f t="shared" si="0"/>
        <v>WILLIAMS DONTE</v>
      </c>
    </row>
    <row r="62" spans="1:7" x14ac:dyDescent="0.25">
      <c r="A62" s="8">
        <v>42815.295034722221</v>
      </c>
      <c r="B62" s="20" t="s">
        <v>602</v>
      </c>
      <c r="C62" s="20" t="s">
        <v>674</v>
      </c>
      <c r="D62" s="150">
        <v>1360000</v>
      </c>
      <c r="E62" s="20" t="s">
        <v>442</v>
      </c>
      <c r="F62" s="20" t="s">
        <v>443</v>
      </c>
      <c r="G62" s="8" t="str">
        <f t="shared" si="0"/>
        <v>SANTIZO D. EDY</v>
      </c>
    </row>
    <row r="63" spans="1:7" x14ac:dyDescent="0.25">
      <c r="A63" s="8">
        <v>42815.296377314815</v>
      </c>
      <c r="B63" s="20" t="s">
        <v>605</v>
      </c>
      <c r="C63" s="20" t="s">
        <v>675</v>
      </c>
      <c r="D63" s="150">
        <v>2970000</v>
      </c>
      <c r="E63" s="20" t="s">
        <v>537</v>
      </c>
      <c r="F63" s="20" t="s">
        <v>538</v>
      </c>
      <c r="G63" s="8" t="str">
        <f t="shared" si="0"/>
        <v>GUZMAN DANNY</v>
      </c>
    </row>
    <row r="64" spans="1:7" x14ac:dyDescent="0.25">
      <c r="A64" s="26">
        <v>42815.297210648147</v>
      </c>
      <c r="B64" s="20" t="s">
        <v>624</v>
      </c>
      <c r="C64" s="20" t="s">
        <v>676</v>
      </c>
      <c r="D64" s="150">
        <v>1830000</v>
      </c>
      <c r="E64" s="20" t="s">
        <v>652</v>
      </c>
      <c r="F64" s="20" t="s">
        <v>653</v>
      </c>
      <c r="G64" s="8" t="str">
        <f t="shared" si="0"/>
        <v>YORK EDGAR</v>
      </c>
    </row>
    <row r="65" spans="1:7" x14ac:dyDescent="0.25">
      <c r="A65" s="8">
        <v>42815.301400462966</v>
      </c>
      <c r="B65" s="20" t="s">
        <v>405</v>
      </c>
      <c r="C65" s="20" t="s">
        <v>677</v>
      </c>
      <c r="D65" s="150">
        <v>2270000</v>
      </c>
      <c r="E65" s="20" t="s">
        <v>210</v>
      </c>
      <c r="F65" s="20" t="s">
        <v>211</v>
      </c>
      <c r="G65" s="8" t="str">
        <f t="shared" si="0"/>
        <v>BROWN JACOB</v>
      </c>
    </row>
    <row r="66" spans="1:7" x14ac:dyDescent="0.25">
      <c r="A66" s="8">
        <v>42815.30841435185</v>
      </c>
      <c r="B66" s="20" t="s">
        <v>487</v>
      </c>
      <c r="C66" s="20" t="s">
        <v>678</v>
      </c>
      <c r="D66" s="150">
        <v>1990000</v>
      </c>
      <c r="E66" s="20" t="s">
        <v>440</v>
      </c>
      <c r="F66" s="20" t="s">
        <v>441</v>
      </c>
      <c r="G66" s="8" t="str">
        <f t="shared" si="0"/>
        <v>DAVIS WENDY</v>
      </c>
    </row>
    <row r="67" spans="1:7" x14ac:dyDescent="0.25">
      <c r="A67" s="8">
        <v>42815.30846064815</v>
      </c>
      <c r="B67" s="20" t="s">
        <v>425</v>
      </c>
      <c r="C67" s="20" t="s">
        <v>600</v>
      </c>
      <c r="D67" s="150">
        <v>3010000</v>
      </c>
      <c r="E67" s="20" t="s">
        <v>544</v>
      </c>
      <c r="F67" s="20" t="s">
        <v>545</v>
      </c>
      <c r="G67" s="8" t="str">
        <f t="shared" ref="G67:G130" si="1">E67&amp;" "&amp;F67</f>
        <v>SULLIVAN BRANDON</v>
      </c>
    </row>
    <row r="68" spans="1:7" x14ac:dyDescent="0.25">
      <c r="A68" s="8">
        <v>42815.310601851852</v>
      </c>
      <c r="B68" s="20" t="s">
        <v>650</v>
      </c>
      <c r="C68" s="20" t="s">
        <v>679</v>
      </c>
      <c r="D68" s="150">
        <v>1830000</v>
      </c>
      <c r="E68" s="20" t="s">
        <v>652</v>
      </c>
      <c r="F68" s="20" t="s">
        <v>653</v>
      </c>
      <c r="G68" s="8" t="str">
        <f t="shared" si="1"/>
        <v>YORK EDGAR</v>
      </c>
    </row>
    <row r="69" spans="1:7" x14ac:dyDescent="0.25">
      <c r="A69" s="8">
        <v>42815.316331018519</v>
      </c>
      <c r="B69" s="20" t="s">
        <v>495</v>
      </c>
      <c r="C69" s="20" t="s">
        <v>680</v>
      </c>
      <c r="D69" s="150">
        <v>2010000</v>
      </c>
      <c r="E69" s="20" t="s">
        <v>444</v>
      </c>
      <c r="F69" s="20" t="s">
        <v>445</v>
      </c>
      <c r="G69" s="8" t="str">
        <f t="shared" si="1"/>
        <v>MAELZER KURT</v>
      </c>
    </row>
    <row r="70" spans="1:7" x14ac:dyDescent="0.25">
      <c r="A70" s="8">
        <v>42815.317094907405</v>
      </c>
      <c r="B70" s="20" t="s">
        <v>423</v>
      </c>
      <c r="C70" s="20" t="s">
        <v>681</v>
      </c>
      <c r="D70" s="150">
        <v>3040000</v>
      </c>
      <c r="E70" s="20" t="s">
        <v>539</v>
      </c>
      <c r="F70" s="20" t="s">
        <v>540</v>
      </c>
      <c r="G70" s="8" t="str">
        <f t="shared" si="1"/>
        <v>WILLIAMS DONTE</v>
      </c>
    </row>
    <row r="71" spans="1:7" x14ac:dyDescent="0.25">
      <c r="A71" s="8">
        <v>42815.317094907405</v>
      </c>
      <c r="B71" s="20" t="s">
        <v>404</v>
      </c>
      <c r="C71" s="20" t="s">
        <v>682</v>
      </c>
      <c r="D71" s="150">
        <v>2270000</v>
      </c>
      <c r="E71" s="20" t="s">
        <v>210</v>
      </c>
      <c r="F71" s="20" t="s">
        <v>211</v>
      </c>
      <c r="G71" s="8" t="str">
        <f t="shared" si="1"/>
        <v>BROWN JACOB</v>
      </c>
    </row>
    <row r="72" spans="1:7" x14ac:dyDescent="0.25">
      <c r="A72" s="8">
        <v>42815.322384259256</v>
      </c>
      <c r="B72" s="20" t="s">
        <v>400</v>
      </c>
      <c r="C72" s="20" t="s">
        <v>601</v>
      </c>
      <c r="D72" s="150">
        <v>1110000</v>
      </c>
      <c r="E72" s="20" t="s">
        <v>535</v>
      </c>
      <c r="F72" s="20" t="s">
        <v>536</v>
      </c>
      <c r="G72" s="8" t="str">
        <f t="shared" si="1"/>
        <v>STARKS ANGELINA</v>
      </c>
    </row>
    <row r="73" spans="1:7" x14ac:dyDescent="0.25">
      <c r="A73" s="8">
        <v>42815.329722222225</v>
      </c>
      <c r="B73" s="20" t="s">
        <v>608</v>
      </c>
      <c r="C73" s="20" t="s">
        <v>683</v>
      </c>
      <c r="D73" s="150">
        <v>1360000</v>
      </c>
      <c r="E73" s="20" t="s">
        <v>442</v>
      </c>
      <c r="F73" s="20" t="s">
        <v>443</v>
      </c>
      <c r="G73" s="8" t="str">
        <f t="shared" si="1"/>
        <v>SANTIZO D. EDY</v>
      </c>
    </row>
    <row r="74" spans="1:7" x14ac:dyDescent="0.25">
      <c r="A74" s="8">
        <v>42815.331365740742</v>
      </c>
      <c r="B74" s="20" t="s">
        <v>596</v>
      </c>
      <c r="C74" s="20" t="s">
        <v>684</v>
      </c>
      <c r="D74" s="150">
        <v>2970000</v>
      </c>
      <c r="E74" s="20" t="s">
        <v>537</v>
      </c>
      <c r="F74" s="20" t="s">
        <v>538</v>
      </c>
      <c r="G74" s="8" t="str">
        <f t="shared" si="1"/>
        <v>GUZMAN DANNY</v>
      </c>
    </row>
    <row r="75" spans="1:7" x14ac:dyDescent="0.25">
      <c r="A75" s="8">
        <v>42815.336689814816</v>
      </c>
      <c r="B75" s="20" t="s">
        <v>421</v>
      </c>
      <c r="C75" s="20" t="s">
        <v>685</v>
      </c>
      <c r="D75" s="150">
        <v>3010000</v>
      </c>
      <c r="E75" s="20" t="s">
        <v>544</v>
      </c>
      <c r="F75" s="20" t="s">
        <v>545</v>
      </c>
      <c r="G75" s="8" t="str">
        <f t="shared" si="1"/>
        <v>SULLIVAN BRANDON</v>
      </c>
    </row>
    <row r="76" spans="1:7" x14ac:dyDescent="0.25">
      <c r="A76" s="8">
        <v>42815.338680555556</v>
      </c>
      <c r="B76" s="20" t="s">
        <v>624</v>
      </c>
      <c r="C76" s="20" t="s">
        <v>686</v>
      </c>
      <c r="D76" s="150">
        <v>1830000</v>
      </c>
      <c r="E76" s="20" t="s">
        <v>652</v>
      </c>
      <c r="F76" s="20" t="s">
        <v>653</v>
      </c>
      <c r="G76" s="8" t="str">
        <f t="shared" si="1"/>
        <v>YORK EDGAR</v>
      </c>
    </row>
    <row r="77" spans="1:7" x14ac:dyDescent="0.25">
      <c r="A77" s="8">
        <v>42815.340127314812</v>
      </c>
      <c r="B77" s="20" t="s">
        <v>596</v>
      </c>
      <c r="C77" s="20" t="s">
        <v>684</v>
      </c>
      <c r="D77" s="150">
        <v>2970000</v>
      </c>
      <c r="E77" s="20" t="s">
        <v>537</v>
      </c>
      <c r="F77" s="20" t="s">
        <v>538</v>
      </c>
      <c r="G77" s="8" t="str">
        <f t="shared" si="1"/>
        <v>GUZMAN DANNY</v>
      </c>
    </row>
    <row r="78" spans="1:7" x14ac:dyDescent="0.25">
      <c r="A78" s="8">
        <v>42815.348414351851</v>
      </c>
      <c r="B78" s="20" t="s">
        <v>405</v>
      </c>
      <c r="C78" s="20" t="s">
        <v>687</v>
      </c>
      <c r="D78" s="150">
        <v>2270000</v>
      </c>
      <c r="E78" s="20" t="s">
        <v>210</v>
      </c>
      <c r="F78" s="20" t="s">
        <v>211</v>
      </c>
      <c r="G78" s="8" t="str">
        <f t="shared" si="1"/>
        <v>BROWN JACOB</v>
      </c>
    </row>
    <row r="79" spans="1:7" x14ac:dyDescent="0.25">
      <c r="A79" s="8">
        <v>42815.348680555559</v>
      </c>
      <c r="B79" s="20" t="s">
        <v>491</v>
      </c>
      <c r="C79" s="20" t="s">
        <v>688</v>
      </c>
      <c r="D79" s="150">
        <v>1990000</v>
      </c>
      <c r="E79" s="20" t="s">
        <v>440</v>
      </c>
      <c r="F79" s="20" t="s">
        <v>441</v>
      </c>
      <c r="G79" s="8" t="str">
        <f t="shared" si="1"/>
        <v>DAVIS WENDY</v>
      </c>
    </row>
    <row r="80" spans="1:7" x14ac:dyDescent="0.25">
      <c r="A80" s="8">
        <v>42815.349594907406</v>
      </c>
      <c r="B80" s="20" t="s">
        <v>492</v>
      </c>
      <c r="C80" s="20" t="s">
        <v>689</v>
      </c>
      <c r="D80" s="150">
        <v>2010000</v>
      </c>
      <c r="E80" s="20" t="s">
        <v>444</v>
      </c>
      <c r="F80" s="20" t="s">
        <v>445</v>
      </c>
      <c r="G80" s="8" t="str">
        <f t="shared" si="1"/>
        <v>MAELZER KURT</v>
      </c>
    </row>
    <row r="81" spans="1:7" x14ac:dyDescent="0.25">
      <c r="A81" s="8">
        <v>42815.353067129632</v>
      </c>
      <c r="B81" s="20" t="s">
        <v>422</v>
      </c>
      <c r="C81" s="20" t="s">
        <v>690</v>
      </c>
      <c r="D81" s="150">
        <v>890000</v>
      </c>
      <c r="E81" s="20" t="s">
        <v>656</v>
      </c>
      <c r="F81" s="20" t="s">
        <v>657</v>
      </c>
      <c r="G81" s="8" t="str">
        <f t="shared" si="1"/>
        <v>LOZA FIDEL</v>
      </c>
    </row>
    <row r="82" spans="1:7" x14ac:dyDescent="0.25">
      <c r="A82" s="8">
        <v>42815.355393518519</v>
      </c>
      <c r="B82" s="20" t="s">
        <v>650</v>
      </c>
      <c r="C82" s="20" t="s">
        <v>691</v>
      </c>
      <c r="D82" s="150">
        <v>1830000</v>
      </c>
      <c r="E82" s="20" t="s">
        <v>652</v>
      </c>
      <c r="F82" s="20" t="s">
        <v>653</v>
      </c>
      <c r="G82" s="8" t="str">
        <f t="shared" si="1"/>
        <v>YORK EDGAR</v>
      </c>
    </row>
    <row r="83" spans="1:7" x14ac:dyDescent="0.25">
      <c r="A83" s="8">
        <v>42815.359548611108</v>
      </c>
      <c r="B83" s="20" t="s">
        <v>404</v>
      </c>
      <c r="C83" s="20" t="s">
        <v>692</v>
      </c>
      <c r="D83" s="150">
        <v>2270000</v>
      </c>
      <c r="E83" s="20" t="s">
        <v>210</v>
      </c>
      <c r="F83" s="20" t="s">
        <v>211</v>
      </c>
      <c r="G83" s="8" t="str">
        <f t="shared" si="1"/>
        <v>BROWN JACOB</v>
      </c>
    </row>
    <row r="84" spans="1:7" x14ac:dyDescent="0.25">
      <c r="A84" s="8">
        <v>42815.360520833332</v>
      </c>
      <c r="B84" s="20" t="s">
        <v>399</v>
      </c>
      <c r="C84" s="20" t="s">
        <v>604</v>
      </c>
      <c r="D84" s="150">
        <v>1110000</v>
      </c>
      <c r="E84" s="20" t="s">
        <v>535</v>
      </c>
      <c r="F84" s="20" t="s">
        <v>536</v>
      </c>
      <c r="G84" s="8" t="str">
        <f t="shared" si="1"/>
        <v>STARKS ANGELINA</v>
      </c>
    </row>
    <row r="85" spans="1:7" x14ac:dyDescent="0.25">
      <c r="A85" s="8">
        <v>42815.361250000002</v>
      </c>
      <c r="B85" s="20" t="s">
        <v>602</v>
      </c>
      <c r="C85" s="20" t="s">
        <v>603</v>
      </c>
      <c r="D85" s="150">
        <v>1360000</v>
      </c>
      <c r="E85" s="20" t="s">
        <v>442</v>
      </c>
      <c r="F85" s="20" t="s">
        <v>443</v>
      </c>
      <c r="G85" s="8" t="str">
        <f t="shared" si="1"/>
        <v>SANTIZO D. EDY</v>
      </c>
    </row>
    <row r="86" spans="1:7" x14ac:dyDescent="0.25">
      <c r="A86" s="8">
        <v>42815.36859953704</v>
      </c>
      <c r="B86" s="20" t="s">
        <v>605</v>
      </c>
      <c r="C86" s="20" t="s">
        <v>606</v>
      </c>
      <c r="D86" s="150">
        <v>2970000</v>
      </c>
      <c r="E86" s="20" t="s">
        <v>537</v>
      </c>
      <c r="F86" s="20" t="s">
        <v>538</v>
      </c>
      <c r="G86" s="8" t="str">
        <f t="shared" si="1"/>
        <v>GUZMAN DANNY</v>
      </c>
    </row>
    <row r="87" spans="1:7" x14ac:dyDescent="0.25">
      <c r="A87" s="8">
        <v>42815.379675925928</v>
      </c>
      <c r="B87" s="20" t="s">
        <v>425</v>
      </c>
      <c r="C87" s="20" t="s">
        <v>693</v>
      </c>
      <c r="D87" s="150">
        <v>3010000</v>
      </c>
      <c r="E87" s="20" t="s">
        <v>544</v>
      </c>
      <c r="F87" s="20" t="s">
        <v>545</v>
      </c>
      <c r="G87" s="8" t="str">
        <f t="shared" si="1"/>
        <v>SULLIVAN BRANDON</v>
      </c>
    </row>
    <row r="88" spans="1:7" x14ac:dyDescent="0.25">
      <c r="A88" s="8">
        <v>42815.380243055559</v>
      </c>
      <c r="B88" s="20" t="s">
        <v>487</v>
      </c>
      <c r="C88" s="20" t="s">
        <v>694</v>
      </c>
      <c r="D88" s="150">
        <v>1990000</v>
      </c>
      <c r="E88" s="20" t="s">
        <v>440</v>
      </c>
      <c r="F88" s="20" t="s">
        <v>441</v>
      </c>
      <c r="G88" s="8" t="str">
        <f t="shared" si="1"/>
        <v>DAVIS WENDY</v>
      </c>
    </row>
    <row r="89" spans="1:7" x14ac:dyDescent="0.25">
      <c r="A89" s="8">
        <v>42815.382511574076</v>
      </c>
      <c r="B89" s="20" t="s">
        <v>495</v>
      </c>
      <c r="C89" s="20" t="s">
        <v>695</v>
      </c>
      <c r="D89" s="150">
        <v>2010000</v>
      </c>
      <c r="E89" s="20" t="s">
        <v>444</v>
      </c>
      <c r="F89" s="20" t="s">
        <v>445</v>
      </c>
      <c r="G89" s="8" t="str">
        <f t="shared" si="1"/>
        <v>MAELZER KURT</v>
      </c>
    </row>
    <row r="90" spans="1:7" x14ac:dyDescent="0.25">
      <c r="A90" s="8">
        <v>42815.38685185185</v>
      </c>
      <c r="B90" s="20" t="s">
        <v>405</v>
      </c>
      <c r="C90" s="20" t="s">
        <v>696</v>
      </c>
      <c r="D90" s="150">
        <v>2270000</v>
      </c>
      <c r="E90" s="20" t="s">
        <v>210</v>
      </c>
      <c r="F90" s="20" t="s">
        <v>211</v>
      </c>
      <c r="G90" s="8" t="str">
        <f t="shared" si="1"/>
        <v>BROWN JACOB</v>
      </c>
    </row>
    <row r="91" spans="1:7" x14ac:dyDescent="0.25">
      <c r="A91" s="8">
        <v>42815.390335648146</v>
      </c>
      <c r="B91" s="20" t="s">
        <v>423</v>
      </c>
      <c r="C91" s="20" t="s">
        <v>697</v>
      </c>
      <c r="D91" s="150">
        <v>890000</v>
      </c>
      <c r="E91" s="20" t="s">
        <v>656</v>
      </c>
      <c r="F91" s="20" t="s">
        <v>657</v>
      </c>
      <c r="G91" s="8" t="str">
        <f t="shared" si="1"/>
        <v>LOZA FIDEL</v>
      </c>
    </row>
    <row r="92" spans="1:7" x14ac:dyDescent="0.25">
      <c r="A92" s="8">
        <v>42815.393495370372</v>
      </c>
      <c r="B92" s="20" t="s">
        <v>400</v>
      </c>
      <c r="C92" s="20" t="s">
        <v>607</v>
      </c>
      <c r="D92" s="150">
        <v>1110000</v>
      </c>
      <c r="E92" s="20" t="s">
        <v>535</v>
      </c>
      <c r="F92" s="20" t="s">
        <v>536</v>
      </c>
      <c r="G92" s="8" t="str">
        <f t="shared" si="1"/>
        <v>STARKS ANGELINA</v>
      </c>
    </row>
    <row r="93" spans="1:7" x14ac:dyDescent="0.25">
      <c r="A93" s="8">
        <v>42815.398217592592</v>
      </c>
      <c r="B93" s="20" t="s">
        <v>608</v>
      </c>
      <c r="C93" s="20" t="s">
        <v>609</v>
      </c>
      <c r="D93" s="150">
        <v>1360000</v>
      </c>
      <c r="E93" s="20" t="s">
        <v>442</v>
      </c>
      <c r="F93" s="20" t="s">
        <v>443</v>
      </c>
      <c r="G93" s="8" t="str">
        <f t="shared" si="1"/>
        <v>SANTIZO D. EDY</v>
      </c>
    </row>
    <row r="94" spans="1:7" x14ac:dyDescent="0.25">
      <c r="A94" s="8">
        <v>42815.400370370371</v>
      </c>
      <c r="B94" s="20" t="s">
        <v>404</v>
      </c>
      <c r="C94" s="20" t="s">
        <v>698</v>
      </c>
      <c r="D94" s="150">
        <v>2270000</v>
      </c>
      <c r="E94" s="20" t="s">
        <v>210</v>
      </c>
      <c r="F94" s="20" t="s">
        <v>211</v>
      </c>
      <c r="G94" s="8" t="str">
        <f t="shared" si="1"/>
        <v>BROWN JACOB</v>
      </c>
    </row>
    <row r="95" spans="1:7" x14ac:dyDescent="0.25">
      <c r="A95" s="8">
        <v>42815.403460648151</v>
      </c>
      <c r="B95" s="20" t="s">
        <v>596</v>
      </c>
      <c r="C95" s="20" t="s">
        <v>699</v>
      </c>
      <c r="D95" s="150">
        <v>2970000</v>
      </c>
      <c r="E95" s="20" t="s">
        <v>537</v>
      </c>
      <c r="F95" s="20" t="s">
        <v>538</v>
      </c>
      <c r="G95" s="8" t="str">
        <f t="shared" si="1"/>
        <v>GUZMAN DANNY</v>
      </c>
    </row>
    <row r="96" spans="1:7" x14ac:dyDescent="0.25">
      <c r="A96" s="8">
        <v>42815.410682870373</v>
      </c>
      <c r="B96" s="20" t="s">
        <v>421</v>
      </c>
      <c r="C96" s="20" t="s">
        <v>700</v>
      </c>
      <c r="D96" s="150">
        <v>3010000</v>
      </c>
      <c r="E96" s="20" t="s">
        <v>544</v>
      </c>
      <c r="F96" s="20" t="s">
        <v>545</v>
      </c>
      <c r="G96" s="8" t="str">
        <f t="shared" si="1"/>
        <v>SULLIVAN BRANDON</v>
      </c>
    </row>
    <row r="97" spans="1:7" x14ac:dyDescent="0.25">
      <c r="A97" s="8">
        <v>42815.413622685184</v>
      </c>
      <c r="B97" s="20" t="s">
        <v>491</v>
      </c>
      <c r="C97" s="20" t="s">
        <v>701</v>
      </c>
      <c r="D97" s="150">
        <v>1990000</v>
      </c>
      <c r="E97" s="20" t="s">
        <v>440</v>
      </c>
      <c r="F97" s="20" t="s">
        <v>441</v>
      </c>
      <c r="G97" s="8" t="str">
        <f t="shared" si="1"/>
        <v>DAVIS WENDY</v>
      </c>
    </row>
    <row r="98" spans="1:7" x14ac:dyDescent="0.25">
      <c r="A98" s="8">
        <v>42815.421724537038</v>
      </c>
      <c r="B98" s="20" t="s">
        <v>492</v>
      </c>
      <c r="C98" s="20" t="s">
        <v>702</v>
      </c>
      <c r="D98" s="150">
        <v>2010000</v>
      </c>
      <c r="E98" s="20" t="s">
        <v>444</v>
      </c>
      <c r="F98" s="20" t="s">
        <v>445</v>
      </c>
      <c r="G98" s="8" t="str">
        <f t="shared" si="1"/>
        <v>MAELZER KURT</v>
      </c>
    </row>
    <row r="99" spans="1:7" x14ac:dyDescent="0.25">
      <c r="A99" s="8">
        <v>42815.425208333334</v>
      </c>
      <c r="B99" s="20" t="s">
        <v>422</v>
      </c>
      <c r="C99" s="20" t="s">
        <v>703</v>
      </c>
      <c r="D99" s="150">
        <v>3040000</v>
      </c>
      <c r="E99" s="20" t="s">
        <v>539</v>
      </c>
      <c r="F99" s="20" t="s">
        <v>540</v>
      </c>
      <c r="G99" s="8" t="str">
        <f t="shared" si="1"/>
        <v>WILLIAMS DONTE</v>
      </c>
    </row>
    <row r="100" spans="1:7" x14ac:dyDescent="0.25">
      <c r="A100" s="8">
        <v>42815.427951388891</v>
      </c>
      <c r="B100" s="20" t="s">
        <v>405</v>
      </c>
      <c r="C100" s="20" t="s">
        <v>704</v>
      </c>
      <c r="D100" s="150">
        <v>2270000</v>
      </c>
      <c r="E100" s="20" t="s">
        <v>210</v>
      </c>
      <c r="F100" s="20" t="s">
        <v>211</v>
      </c>
      <c r="G100" s="8" t="str">
        <f t="shared" si="1"/>
        <v>BROWN JACOB</v>
      </c>
    </row>
    <row r="101" spans="1:7" x14ac:dyDescent="0.25">
      <c r="A101" s="8">
        <v>42815.431354166663</v>
      </c>
      <c r="B101" s="20" t="s">
        <v>543</v>
      </c>
      <c r="C101" s="20" t="s">
        <v>610</v>
      </c>
      <c r="D101" s="150">
        <v>1340000</v>
      </c>
      <c r="E101" s="20" t="s">
        <v>705</v>
      </c>
      <c r="F101" s="20" t="s">
        <v>706</v>
      </c>
      <c r="G101" s="8" t="str">
        <f t="shared" si="1"/>
        <v>BEAM ROSS</v>
      </c>
    </row>
    <row r="102" spans="1:7" x14ac:dyDescent="0.25">
      <c r="A102" s="8">
        <v>42815.432581018518</v>
      </c>
      <c r="B102" s="20" t="s">
        <v>399</v>
      </c>
      <c r="C102" s="20" t="s">
        <v>607</v>
      </c>
      <c r="D102" s="150">
        <v>1110000</v>
      </c>
      <c r="E102" s="20" t="s">
        <v>535</v>
      </c>
      <c r="F102" s="20" t="s">
        <v>536</v>
      </c>
      <c r="G102" s="8" t="str">
        <f t="shared" si="1"/>
        <v>STARKS ANGELINA</v>
      </c>
    </row>
    <row r="103" spans="1:7" x14ac:dyDescent="0.25">
      <c r="A103" s="8">
        <v>42815.433078703703</v>
      </c>
      <c r="B103" s="20" t="s">
        <v>543</v>
      </c>
      <c r="C103" s="20" t="s">
        <v>610</v>
      </c>
      <c r="D103" s="150">
        <v>1340000</v>
      </c>
      <c r="E103" s="20" t="s">
        <v>705</v>
      </c>
      <c r="F103" s="20" t="s">
        <v>706</v>
      </c>
      <c r="G103" s="8" t="str">
        <f t="shared" si="1"/>
        <v>BEAM ROSS</v>
      </c>
    </row>
    <row r="104" spans="1:7" x14ac:dyDescent="0.25">
      <c r="A104" s="8">
        <v>42815.433194444442</v>
      </c>
      <c r="B104" s="20" t="s">
        <v>399</v>
      </c>
      <c r="C104" s="20" t="s">
        <v>607</v>
      </c>
      <c r="D104" s="150">
        <v>1110000</v>
      </c>
      <c r="E104" s="20" t="s">
        <v>535</v>
      </c>
      <c r="F104" s="20" t="s">
        <v>536</v>
      </c>
      <c r="G104" s="8" t="str">
        <f t="shared" si="1"/>
        <v>STARKS ANGELINA</v>
      </c>
    </row>
    <row r="105" spans="1:7" x14ac:dyDescent="0.25">
      <c r="A105" s="8">
        <v>42815.433969907404</v>
      </c>
      <c r="B105" s="20" t="s">
        <v>399</v>
      </c>
      <c r="C105" s="20" t="s">
        <v>707</v>
      </c>
      <c r="D105" s="150">
        <v>1110000</v>
      </c>
      <c r="E105" s="20" t="s">
        <v>535</v>
      </c>
      <c r="F105" s="20" t="s">
        <v>536</v>
      </c>
      <c r="G105" s="8" t="str">
        <f t="shared" si="1"/>
        <v>STARKS ANGELINA</v>
      </c>
    </row>
    <row r="106" spans="1:7" x14ac:dyDescent="0.25">
      <c r="A106" s="8">
        <v>42815.435706018521</v>
      </c>
      <c r="B106" s="20" t="s">
        <v>602</v>
      </c>
      <c r="C106" s="20" t="s">
        <v>611</v>
      </c>
      <c r="D106" s="150">
        <v>1830000</v>
      </c>
      <c r="E106" s="20" t="s">
        <v>652</v>
      </c>
      <c r="F106" s="20" t="s">
        <v>653</v>
      </c>
      <c r="G106" s="8" t="str">
        <f t="shared" si="1"/>
        <v>YORK EDGAR</v>
      </c>
    </row>
    <row r="107" spans="1:7" x14ac:dyDescent="0.25">
      <c r="A107" s="8">
        <v>42815.435960648145</v>
      </c>
      <c r="B107" s="20" t="s">
        <v>422</v>
      </c>
      <c r="C107" s="20" t="s">
        <v>703</v>
      </c>
      <c r="D107" s="150">
        <v>3040000</v>
      </c>
      <c r="E107" s="20" t="s">
        <v>539</v>
      </c>
      <c r="F107" s="20" t="s">
        <v>540</v>
      </c>
      <c r="G107" s="8" t="str">
        <f t="shared" si="1"/>
        <v>WILLIAMS DONTE</v>
      </c>
    </row>
    <row r="108" spans="1:7" x14ac:dyDescent="0.25">
      <c r="A108" s="8">
        <v>42815.440208333333</v>
      </c>
      <c r="B108" s="20" t="s">
        <v>605</v>
      </c>
      <c r="C108" s="20" t="s">
        <v>612</v>
      </c>
      <c r="D108" s="150">
        <v>2970000</v>
      </c>
      <c r="E108" s="20" t="s">
        <v>537</v>
      </c>
      <c r="F108" s="20" t="s">
        <v>538</v>
      </c>
      <c r="G108" s="8" t="str">
        <f t="shared" si="1"/>
        <v>GUZMAN DANNY</v>
      </c>
    </row>
    <row r="109" spans="1:7" x14ac:dyDescent="0.25">
      <c r="A109" s="8">
        <v>42815.442442129628</v>
      </c>
      <c r="B109" s="20" t="s">
        <v>404</v>
      </c>
      <c r="C109" s="20" t="s">
        <v>708</v>
      </c>
      <c r="D109" s="150">
        <v>2270000</v>
      </c>
      <c r="E109" s="20" t="s">
        <v>210</v>
      </c>
      <c r="F109" s="20" t="s">
        <v>211</v>
      </c>
      <c r="G109" s="8" t="str">
        <f t="shared" si="1"/>
        <v>BROWN JACOB</v>
      </c>
    </row>
    <row r="110" spans="1:7" x14ac:dyDescent="0.25">
      <c r="A110" s="8">
        <v>42815.447384259256</v>
      </c>
      <c r="B110" s="20" t="s">
        <v>425</v>
      </c>
      <c r="C110" s="20" t="s">
        <v>709</v>
      </c>
      <c r="D110" s="150">
        <v>3010000</v>
      </c>
      <c r="E110" s="20" t="s">
        <v>544</v>
      </c>
      <c r="F110" s="20" t="s">
        <v>545</v>
      </c>
      <c r="G110" s="8" t="str">
        <f t="shared" si="1"/>
        <v>SULLIVAN BRANDON</v>
      </c>
    </row>
    <row r="111" spans="1:7" x14ac:dyDescent="0.25">
      <c r="A111" s="8">
        <v>42815.454050925924</v>
      </c>
      <c r="B111" s="20" t="s">
        <v>487</v>
      </c>
      <c r="C111" s="20" t="s">
        <v>615</v>
      </c>
      <c r="D111" s="150">
        <v>1990000</v>
      </c>
      <c r="E111" s="20" t="s">
        <v>440</v>
      </c>
      <c r="F111" s="20" t="s">
        <v>441</v>
      </c>
      <c r="G111" s="8" t="str">
        <f t="shared" si="1"/>
        <v>DAVIS WENDY</v>
      </c>
    </row>
    <row r="112" spans="1:7" x14ac:dyDescent="0.25">
      <c r="A112" s="8">
        <v>42815.456076388888</v>
      </c>
      <c r="B112" s="20" t="s">
        <v>495</v>
      </c>
      <c r="C112" s="20" t="s">
        <v>710</v>
      </c>
      <c r="D112" s="150">
        <v>920000</v>
      </c>
      <c r="E112" s="20" t="s">
        <v>440</v>
      </c>
      <c r="F112" s="20" t="s">
        <v>198</v>
      </c>
      <c r="G112" s="8" t="str">
        <f t="shared" si="1"/>
        <v>DAVIS MICHAEL</v>
      </c>
    </row>
    <row r="113" spans="1:7" x14ac:dyDescent="0.25">
      <c r="A113" s="8">
        <v>42815.460243055553</v>
      </c>
      <c r="B113" s="20" t="s">
        <v>711</v>
      </c>
      <c r="C113" s="20" t="s">
        <v>712</v>
      </c>
      <c r="D113" s="150">
        <v>1230000</v>
      </c>
      <c r="E113" s="20" t="s">
        <v>546</v>
      </c>
      <c r="F113" s="20" t="s">
        <v>547</v>
      </c>
      <c r="G113" s="8" t="str">
        <f t="shared" si="1"/>
        <v>YANAI IAN</v>
      </c>
    </row>
    <row r="114" spans="1:7" x14ac:dyDescent="0.25">
      <c r="A114" s="8">
        <v>42815.461018518516</v>
      </c>
      <c r="B114" s="20" t="s">
        <v>405</v>
      </c>
      <c r="C114" s="20" t="s">
        <v>614</v>
      </c>
      <c r="D114" s="150">
        <v>2270000</v>
      </c>
      <c r="E114" s="20" t="s">
        <v>210</v>
      </c>
      <c r="F114" s="20" t="s">
        <v>211</v>
      </c>
      <c r="G114" s="8" t="str">
        <f t="shared" si="1"/>
        <v>BROWN JACOB</v>
      </c>
    </row>
    <row r="115" spans="1:7" x14ac:dyDescent="0.25">
      <c r="A115" s="8">
        <v>42815.464722222219</v>
      </c>
      <c r="B115" s="20" t="s">
        <v>423</v>
      </c>
      <c r="C115" s="20" t="s">
        <v>713</v>
      </c>
      <c r="D115" s="150">
        <v>3040000</v>
      </c>
      <c r="E115" s="20" t="s">
        <v>539</v>
      </c>
      <c r="F115" s="20" t="s">
        <v>540</v>
      </c>
      <c r="G115" s="8" t="str">
        <f t="shared" si="1"/>
        <v>WILLIAMS DONTE</v>
      </c>
    </row>
    <row r="116" spans="1:7" x14ac:dyDescent="0.25">
      <c r="A116" s="8">
        <v>42815.465960648151</v>
      </c>
      <c r="B116" s="20" t="s">
        <v>608</v>
      </c>
      <c r="C116" s="20" t="s">
        <v>714</v>
      </c>
      <c r="D116" s="150">
        <v>1830000</v>
      </c>
      <c r="E116" s="20" t="s">
        <v>652</v>
      </c>
      <c r="F116" s="20" t="s">
        <v>653</v>
      </c>
      <c r="G116" s="8" t="str">
        <f t="shared" si="1"/>
        <v>YORK EDGAR</v>
      </c>
    </row>
    <row r="117" spans="1:7" x14ac:dyDescent="0.25">
      <c r="A117" s="8">
        <v>42815.467222222222</v>
      </c>
      <c r="B117" s="20" t="s">
        <v>400</v>
      </c>
      <c r="C117" s="20" t="s">
        <v>613</v>
      </c>
      <c r="D117" s="150">
        <v>880000</v>
      </c>
      <c r="E117" s="20" t="s">
        <v>426</v>
      </c>
      <c r="F117" s="20" t="s">
        <v>198</v>
      </c>
      <c r="G117" s="8" t="str">
        <f t="shared" si="1"/>
        <v>STEWART MICHAEL</v>
      </c>
    </row>
    <row r="118" spans="1:7" x14ac:dyDescent="0.25">
      <c r="A118" s="8">
        <v>42815.47755787037</v>
      </c>
      <c r="B118" s="20" t="s">
        <v>596</v>
      </c>
      <c r="C118" s="20" t="s">
        <v>715</v>
      </c>
      <c r="D118" s="150">
        <v>3020000</v>
      </c>
      <c r="E118" s="20" t="s">
        <v>541</v>
      </c>
      <c r="F118" s="20" t="s">
        <v>542</v>
      </c>
      <c r="G118" s="8" t="str">
        <f t="shared" si="1"/>
        <v>MENGES BRAD</v>
      </c>
    </row>
    <row r="119" spans="1:7" x14ac:dyDescent="0.25">
      <c r="A119" s="8">
        <v>42815.485694444447</v>
      </c>
      <c r="B119" s="20" t="s">
        <v>404</v>
      </c>
      <c r="C119" s="20" t="s">
        <v>716</v>
      </c>
      <c r="D119" s="150">
        <v>2270000</v>
      </c>
      <c r="E119" s="20" t="s">
        <v>210</v>
      </c>
      <c r="F119" s="20" t="s">
        <v>211</v>
      </c>
      <c r="G119" s="8" t="str">
        <f t="shared" si="1"/>
        <v>BROWN JACOB</v>
      </c>
    </row>
    <row r="120" spans="1:7" x14ac:dyDescent="0.25">
      <c r="A120" s="8">
        <v>42815.486122685186</v>
      </c>
      <c r="B120" s="20" t="s">
        <v>421</v>
      </c>
      <c r="C120" s="20" t="s">
        <v>717</v>
      </c>
      <c r="D120" s="150">
        <v>3010000</v>
      </c>
      <c r="E120" s="20" t="s">
        <v>544</v>
      </c>
      <c r="F120" s="20" t="s">
        <v>545</v>
      </c>
      <c r="G120" s="8" t="str">
        <f t="shared" si="1"/>
        <v>SULLIVAN BRANDON</v>
      </c>
    </row>
    <row r="121" spans="1:7" x14ac:dyDescent="0.25">
      <c r="A121" s="8">
        <v>42815.487164351849</v>
      </c>
      <c r="B121" s="20" t="s">
        <v>491</v>
      </c>
      <c r="C121" s="20" t="s">
        <v>718</v>
      </c>
      <c r="D121" s="150">
        <v>930000</v>
      </c>
      <c r="E121" s="20" t="s">
        <v>548</v>
      </c>
      <c r="F121" s="20" t="s">
        <v>549</v>
      </c>
      <c r="G121" s="8" t="str">
        <f t="shared" si="1"/>
        <v>CLARK KATHLEEN</v>
      </c>
    </row>
    <row r="122" spans="1:7" x14ac:dyDescent="0.25">
      <c r="A122" s="8">
        <v>42815.496157407404</v>
      </c>
      <c r="B122" s="25" t="s">
        <v>492</v>
      </c>
      <c r="C122" s="20" t="s">
        <v>719</v>
      </c>
      <c r="D122" s="150">
        <v>920000</v>
      </c>
      <c r="E122" s="20" t="s">
        <v>440</v>
      </c>
      <c r="F122" s="20" t="s">
        <v>198</v>
      </c>
      <c r="G122" s="8" t="str">
        <f t="shared" si="1"/>
        <v>DAVIS MICHAEL</v>
      </c>
    </row>
    <row r="123" spans="1:7" x14ac:dyDescent="0.25">
      <c r="A123" s="8">
        <v>42815.497974537036</v>
      </c>
      <c r="B123" s="20" t="s">
        <v>422</v>
      </c>
      <c r="C123" s="20" t="s">
        <v>720</v>
      </c>
      <c r="D123" s="150">
        <v>1120000</v>
      </c>
      <c r="E123" s="20" t="s">
        <v>496</v>
      </c>
      <c r="F123" s="20" t="s">
        <v>497</v>
      </c>
      <c r="G123" s="8" t="str">
        <f t="shared" si="1"/>
        <v>LOCKLEAR TRAVIS</v>
      </c>
    </row>
    <row r="124" spans="1:7" x14ac:dyDescent="0.25">
      <c r="A124" s="8">
        <v>42815.505104166667</v>
      </c>
      <c r="B124" s="20" t="s">
        <v>399</v>
      </c>
      <c r="C124" s="20" t="s">
        <v>721</v>
      </c>
      <c r="D124" s="150">
        <v>880000</v>
      </c>
      <c r="E124" s="20" t="s">
        <v>426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42815.507650462961</v>
      </c>
      <c r="B125" s="20" t="s">
        <v>602</v>
      </c>
      <c r="C125" s="20" t="s">
        <v>616</v>
      </c>
      <c r="D125" s="150">
        <v>2470000</v>
      </c>
      <c r="E125" s="20" t="s">
        <v>427</v>
      </c>
      <c r="F125" s="20" t="s">
        <v>428</v>
      </c>
      <c r="G125" s="8" t="str">
        <f t="shared" si="1"/>
        <v>ROMERO CHAD</v>
      </c>
    </row>
    <row r="126" spans="1:7" x14ac:dyDescent="0.25">
      <c r="A126" s="8">
        <v>42815.511203703703</v>
      </c>
      <c r="B126" s="20" t="s">
        <v>405</v>
      </c>
      <c r="C126" s="20" t="s">
        <v>722</v>
      </c>
      <c r="D126" s="150">
        <v>2270000</v>
      </c>
      <c r="E126" s="20" t="s">
        <v>210</v>
      </c>
      <c r="F126" s="20" t="s">
        <v>211</v>
      </c>
      <c r="G126" s="8" t="str">
        <f t="shared" si="1"/>
        <v>BROWN JACOB</v>
      </c>
    </row>
    <row r="127" spans="1:7" x14ac:dyDescent="0.25">
      <c r="A127" s="8">
        <v>42815.512314814812</v>
      </c>
      <c r="B127" s="20" t="s">
        <v>605</v>
      </c>
      <c r="C127" s="20" t="s">
        <v>723</v>
      </c>
      <c r="D127" s="150">
        <v>3020000</v>
      </c>
      <c r="E127" s="20" t="s">
        <v>541</v>
      </c>
      <c r="F127" s="20" t="s">
        <v>542</v>
      </c>
      <c r="G127" s="8" t="str">
        <f t="shared" si="1"/>
        <v>MENGES BRAD</v>
      </c>
    </row>
    <row r="128" spans="1:7" x14ac:dyDescent="0.25">
      <c r="A128" s="8">
        <v>42815.516527777778</v>
      </c>
      <c r="B128" s="20" t="s">
        <v>425</v>
      </c>
      <c r="C128" s="20" t="s">
        <v>724</v>
      </c>
      <c r="D128" s="150">
        <v>1760000</v>
      </c>
      <c r="E128" s="20" t="s">
        <v>725</v>
      </c>
      <c r="F128" s="20" t="s">
        <v>726</v>
      </c>
      <c r="G128" s="8" t="str">
        <f t="shared" si="1"/>
        <v>STRICKLAND EVAN</v>
      </c>
    </row>
    <row r="129" spans="1:7" x14ac:dyDescent="0.25">
      <c r="A129" s="8">
        <v>42815.525312500002</v>
      </c>
      <c r="B129" s="20" t="s">
        <v>404</v>
      </c>
      <c r="C129" s="20" t="s">
        <v>727</v>
      </c>
      <c r="D129" s="150">
        <v>2270000</v>
      </c>
      <c r="E129" s="20" t="s">
        <v>210</v>
      </c>
      <c r="F129" s="20" t="s">
        <v>211</v>
      </c>
      <c r="G129" s="8" t="str">
        <f t="shared" si="1"/>
        <v>BROWN JACOB</v>
      </c>
    </row>
    <row r="130" spans="1:7" x14ac:dyDescent="0.25">
      <c r="A130" s="8">
        <v>42815.525694444441</v>
      </c>
      <c r="B130" s="20" t="s">
        <v>487</v>
      </c>
      <c r="C130" s="20" t="s">
        <v>728</v>
      </c>
      <c r="D130" s="150">
        <v>930000</v>
      </c>
      <c r="E130" s="20" t="s">
        <v>548</v>
      </c>
      <c r="F130" s="20" t="s">
        <v>549</v>
      </c>
      <c r="G130" s="8" t="str">
        <f t="shared" si="1"/>
        <v>CLARK KATHLEEN</v>
      </c>
    </row>
    <row r="131" spans="1:7" x14ac:dyDescent="0.25">
      <c r="A131" s="8">
        <v>42815.53025462963</v>
      </c>
      <c r="B131" s="20" t="s">
        <v>495</v>
      </c>
      <c r="C131" s="20" t="s">
        <v>729</v>
      </c>
      <c r="D131" s="150">
        <v>920000</v>
      </c>
      <c r="E131" s="20" t="s">
        <v>440</v>
      </c>
      <c r="F131" s="20" t="s">
        <v>198</v>
      </c>
      <c r="G131" s="8" t="str">
        <f t="shared" ref="G131:G194" si="2">E131&amp;" "&amp;F131</f>
        <v>DAVIS MICHAEL</v>
      </c>
    </row>
    <row r="132" spans="1:7" x14ac:dyDescent="0.25">
      <c r="A132" s="8">
        <v>42815.536979166667</v>
      </c>
      <c r="B132" s="20" t="s">
        <v>423</v>
      </c>
      <c r="C132" s="20" t="s">
        <v>617</v>
      </c>
      <c r="D132" s="150">
        <v>1120000</v>
      </c>
      <c r="E132" s="20" t="s">
        <v>496</v>
      </c>
      <c r="F132" s="20" t="s">
        <v>497</v>
      </c>
      <c r="G132" s="8" t="str">
        <f t="shared" si="2"/>
        <v>LOCKLEAR TRAVIS</v>
      </c>
    </row>
    <row r="133" spans="1:7" x14ac:dyDescent="0.25">
      <c r="A133" s="8">
        <v>42815.537962962961</v>
      </c>
      <c r="B133" s="20" t="s">
        <v>608</v>
      </c>
      <c r="C133" s="20" t="s">
        <v>730</v>
      </c>
      <c r="D133" s="150">
        <v>2470000</v>
      </c>
      <c r="E133" s="20" t="s">
        <v>427</v>
      </c>
      <c r="F133" s="20" t="s">
        <v>428</v>
      </c>
      <c r="G133" s="8" t="str">
        <f t="shared" si="2"/>
        <v>ROMERO CHAD</v>
      </c>
    </row>
    <row r="134" spans="1:7" x14ac:dyDescent="0.25">
      <c r="A134" s="8">
        <v>42815.538090277776</v>
      </c>
      <c r="B134" s="20" t="s">
        <v>400</v>
      </c>
      <c r="C134" s="20" t="s">
        <v>731</v>
      </c>
      <c r="D134" s="150">
        <v>880000</v>
      </c>
      <c r="E134" s="20" t="s">
        <v>426</v>
      </c>
      <c r="F134" s="20" t="s">
        <v>198</v>
      </c>
      <c r="G134" s="8" t="str">
        <f t="shared" si="2"/>
        <v>STEWART MICHAEL</v>
      </c>
    </row>
    <row r="135" spans="1:7" x14ac:dyDescent="0.25">
      <c r="A135" s="8">
        <v>42815.547002314815</v>
      </c>
      <c r="B135" s="20" t="s">
        <v>405</v>
      </c>
      <c r="C135" s="20" t="s">
        <v>732</v>
      </c>
      <c r="D135" s="150">
        <v>3000000</v>
      </c>
      <c r="E135" s="20" t="s">
        <v>552</v>
      </c>
      <c r="F135" s="20" t="s">
        <v>553</v>
      </c>
      <c r="G135" s="8" t="str">
        <f t="shared" si="2"/>
        <v>FORTUNATO FRANK</v>
      </c>
    </row>
    <row r="136" spans="1:7" x14ac:dyDescent="0.25">
      <c r="A136" s="8">
        <v>42815.550069444442</v>
      </c>
      <c r="B136" s="20" t="s">
        <v>596</v>
      </c>
      <c r="C136" s="20" t="s">
        <v>733</v>
      </c>
      <c r="D136" s="150">
        <v>3020000</v>
      </c>
      <c r="E136" s="20" t="s">
        <v>541</v>
      </c>
      <c r="F136" s="20" t="s">
        <v>542</v>
      </c>
      <c r="G136" s="8" t="str">
        <f t="shared" si="2"/>
        <v>MENGES BRAD</v>
      </c>
    </row>
    <row r="137" spans="1:7" x14ac:dyDescent="0.25">
      <c r="A137" s="8">
        <v>42815.55195601852</v>
      </c>
      <c r="B137" s="20" t="s">
        <v>421</v>
      </c>
      <c r="C137" s="20" t="s">
        <v>734</v>
      </c>
      <c r="D137" s="150">
        <v>1760000</v>
      </c>
      <c r="E137" s="20" t="s">
        <v>725</v>
      </c>
      <c r="F137" s="20" t="s">
        <v>726</v>
      </c>
      <c r="G137" s="8" t="str">
        <f t="shared" si="2"/>
        <v>STRICKLAND EVAN</v>
      </c>
    </row>
    <row r="138" spans="1:7" x14ac:dyDescent="0.25">
      <c r="A138" s="8">
        <v>42815.560879629629</v>
      </c>
      <c r="B138" s="20" t="s">
        <v>491</v>
      </c>
      <c r="C138" s="20" t="s">
        <v>735</v>
      </c>
      <c r="D138" s="150">
        <v>930000</v>
      </c>
      <c r="E138" s="20" t="s">
        <v>548</v>
      </c>
      <c r="F138" s="20" t="s">
        <v>549</v>
      </c>
      <c r="G138" s="8" t="str">
        <f t="shared" si="2"/>
        <v>CLARK KATHLEEN</v>
      </c>
    </row>
    <row r="139" spans="1:7" x14ac:dyDescent="0.25">
      <c r="A139" s="8">
        <v>42815.567569444444</v>
      </c>
      <c r="B139" s="20" t="s">
        <v>404</v>
      </c>
      <c r="C139" s="20" t="s">
        <v>619</v>
      </c>
      <c r="D139" s="150">
        <v>3000000</v>
      </c>
      <c r="E139" s="20" t="s">
        <v>552</v>
      </c>
      <c r="F139" s="20" t="s">
        <v>553</v>
      </c>
      <c r="G139" s="8" t="str">
        <f t="shared" si="2"/>
        <v>FORTUNATO FRANK</v>
      </c>
    </row>
    <row r="140" spans="1:7" x14ac:dyDescent="0.25">
      <c r="A140" s="8">
        <v>42815.569166666668</v>
      </c>
      <c r="B140" s="20" t="s">
        <v>492</v>
      </c>
      <c r="C140" s="20" t="s">
        <v>621</v>
      </c>
      <c r="D140" s="150">
        <v>920000</v>
      </c>
      <c r="E140" s="20" t="s">
        <v>440</v>
      </c>
      <c r="F140" s="20" t="s">
        <v>198</v>
      </c>
      <c r="G140" s="8" t="str">
        <f t="shared" si="2"/>
        <v>DAVIS MICHAEL</v>
      </c>
    </row>
    <row r="141" spans="1:7" x14ac:dyDescent="0.25">
      <c r="A141" s="8">
        <v>42815.57104166667</v>
      </c>
      <c r="B141" s="20" t="s">
        <v>422</v>
      </c>
      <c r="C141" s="20" t="s">
        <v>618</v>
      </c>
      <c r="D141" s="150">
        <v>1120000</v>
      </c>
      <c r="E141" s="20" t="s">
        <v>496</v>
      </c>
      <c r="F141" s="20" t="s">
        <v>497</v>
      </c>
      <c r="G141" s="8" t="str">
        <f t="shared" si="2"/>
        <v>LOCKLEAR TRAVIS</v>
      </c>
    </row>
    <row r="142" spans="1:7" x14ac:dyDescent="0.25">
      <c r="A142" s="8">
        <v>42815.579791666663</v>
      </c>
      <c r="B142" s="20" t="s">
        <v>399</v>
      </c>
      <c r="C142" s="20" t="s">
        <v>736</v>
      </c>
      <c r="D142" s="150">
        <v>880000</v>
      </c>
      <c r="E142" s="20" t="s">
        <v>426</v>
      </c>
      <c r="F142" s="20" t="s">
        <v>198</v>
      </c>
      <c r="G142" s="8" t="str">
        <f t="shared" si="2"/>
        <v>STEWART MICHAEL</v>
      </c>
    </row>
    <row r="143" spans="1:7" x14ac:dyDescent="0.25">
      <c r="A143" s="8">
        <v>42815.581516203703</v>
      </c>
      <c r="B143" s="20" t="s">
        <v>602</v>
      </c>
      <c r="C143" s="20" t="s">
        <v>737</v>
      </c>
      <c r="D143" s="150">
        <v>2470000</v>
      </c>
      <c r="E143" s="20" t="s">
        <v>427</v>
      </c>
      <c r="F143" s="20" t="s">
        <v>428</v>
      </c>
      <c r="G143" s="8" t="str">
        <f t="shared" si="2"/>
        <v>ROMERO CHAD</v>
      </c>
    </row>
    <row r="144" spans="1:7" x14ac:dyDescent="0.25">
      <c r="A144" s="8">
        <v>42815.586516203701</v>
      </c>
      <c r="B144" s="20" t="s">
        <v>605</v>
      </c>
      <c r="C144" s="20" t="s">
        <v>738</v>
      </c>
      <c r="D144" s="150">
        <v>3020000</v>
      </c>
      <c r="E144" s="20" t="s">
        <v>541</v>
      </c>
      <c r="F144" s="20" t="s">
        <v>542</v>
      </c>
      <c r="G144" s="8" t="str">
        <f t="shared" si="2"/>
        <v>MENGES BRAD</v>
      </c>
    </row>
    <row r="145" spans="1:7" x14ac:dyDescent="0.25">
      <c r="A145" s="8">
        <v>42815.590787037036</v>
      </c>
      <c r="B145" s="20" t="s">
        <v>425</v>
      </c>
      <c r="C145" s="20" t="s">
        <v>620</v>
      </c>
      <c r="D145" s="150">
        <v>1760000</v>
      </c>
      <c r="E145" s="20" t="s">
        <v>725</v>
      </c>
      <c r="F145" s="20" t="s">
        <v>726</v>
      </c>
      <c r="G145" s="8" t="str">
        <f t="shared" si="2"/>
        <v>STRICKLAND EVAN</v>
      </c>
    </row>
    <row r="146" spans="1:7" x14ac:dyDescent="0.25">
      <c r="A146" s="8">
        <v>42815.591863425929</v>
      </c>
      <c r="B146" s="20" t="s">
        <v>405</v>
      </c>
      <c r="C146" s="20" t="s">
        <v>739</v>
      </c>
      <c r="D146" s="150">
        <v>3000000</v>
      </c>
      <c r="E146" s="20" t="s">
        <v>552</v>
      </c>
      <c r="F146" s="20" t="s">
        <v>553</v>
      </c>
      <c r="G146" s="8" t="str">
        <f t="shared" si="2"/>
        <v>FORTUNATO FRANK</v>
      </c>
    </row>
    <row r="147" spans="1:7" x14ac:dyDescent="0.25">
      <c r="A147" s="8">
        <v>42815.59574074074</v>
      </c>
      <c r="B147" s="20" t="s">
        <v>487</v>
      </c>
      <c r="C147" s="20" t="s">
        <v>740</v>
      </c>
      <c r="D147" s="150">
        <v>930000</v>
      </c>
      <c r="E147" s="20" t="s">
        <v>548</v>
      </c>
      <c r="F147" s="20" t="s">
        <v>549</v>
      </c>
      <c r="G147" s="8" t="str">
        <f t="shared" si="2"/>
        <v>CLARK KATHLEEN</v>
      </c>
    </row>
    <row r="148" spans="1:7" x14ac:dyDescent="0.25">
      <c r="A148" s="8">
        <v>42815.604085648149</v>
      </c>
      <c r="B148" s="20" t="s">
        <v>495</v>
      </c>
      <c r="C148" s="20" t="s">
        <v>741</v>
      </c>
      <c r="D148" s="150">
        <v>920000</v>
      </c>
      <c r="E148" s="20" t="s">
        <v>440</v>
      </c>
      <c r="F148" s="20" t="s">
        <v>198</v>
      </c>
      <c r="G148" s="8" t="str">
        <f t="shared" si="2"/>
        <v>DAVIS MICHAEL</v>
      </c>
    </row>
    <row r="149" spans="1:7" x14ac:dyDescent="0.25">
      <c r="A149" s="8">
        <v>42815.608483796299</v>
      </c>
      <c r="B149" s="20" t="s">
        <v>404</v>
      </c>
      <c r="C149" s="20" t="s">
        <v>742</v>
      </c>
      <c r="D149" s="150">
        <v>3000000</v>
      </c>
      <c r="E149" s="20" t="s">
        <v>552</v>
      </c>
      <c r="F149" s="20" t="s">
        <v>553</v>
      </c>
      <c r="G149" s="8" t="str">
        <f t="shared" si="2"/>
        <v>FORTUNATO FRANK</v>
      </c>
    </row>
    <row r="150" spans="1:7" x14ac:dyDescent="0.25">
      <c r="A150" s="8">
        <v>42815.608958333331</v>
      </c>
      <c r="B150" s="20" t="s">
        <v>605</v>
      </c>
      <c r="C150" s="20" t="s">
        <v>738</v>
      </c>
      <c r="D150" s="150">
        <v>3020000</v>
      </c>
      <c r="E150" s="20" t="s">
        <v>541</v>
      </c>
      <c r="F150" s="20" t="s">
        <v>542</v>
      </c>
      <c r="G150" s="8" t="str">
        <f t="shared" si="2"/>
        <v>MENGES BRAD</v>
      </c>
    </row>
    <row r="151" spans="1:7" x14ac:dyDescent="0.25">
      <c r="A151" s="8">
        <v>42815.610162037039</v>
      </c>
      <c r="B151" s="20" t="s">
        <v>423</v>
      </c>
      <c r="C151" s="20" t="s">
        <v>743</v>
      </c>
      <c r="D151" s="150">
        <v>1120000</v>
      </c>
      <c r="E151" s="20" t="s">
        <v>496</v>
      </c>
      <c r="F151" s="20" t="s">
        <v>497</v>
      </c>
      <c r="G151" s="8" t="str">
        <f t="shared" si="2"/>
        <v>LOCKLEAR TRAVIS</v>
      </c>
    </row>
    <row r="152" spans="1:7" x14ac:dyDescent="0.25">
      <c r="A152" s="8">
        <v>42815.612199074072</v>
      </c>
      <c r="B152" s="20" t="s">
        <v>400</v>
      </c>
      <c r="C152" s="20" t="s">
        <v>744</v>
      </c>
      <c r="D152" s="150">
        <v>880000</v>
      </c>
      <c r="E152" s="20" t="s">
        <v>426</v>
      </c>
      <c r="F152" s="20" t="s">
        <v>198</v>
      </c>
      <c r="G152" s="8" t="str">
        <f t="shared" si="2"/>
        <v>STEWART MICHAEL</v>
      </c>
    </row>
    <row r="153" spans="1:7" x14ac:dyDescent="0.25">
      <c r="A153" s="8">
        <v>42815.613344907404</v>
      </c>
      <c r="B153" s="20" t="s">
        <v>608</v>
      </c>
      <c r="C153" s="20" t="s">
        <v>745</v>
      </c>
      <c r="D153" s="150">
        <v>2470000</v>
      </c>
      <c r="E153" s="20" t="s">
        <v>427</v>
      </c>
      <c r="F153" s="20" t="s">
        <v>428</v>
      </c>
      <c r="G153" s="8" t="str">
        <f t="shared" si="2"/>
        <v>ROMERO CHAD</v>
      </c>
    </row>
    <row r="154" spans="1:7" x14ac:dyDescent="0.25">
      <c r="A154" s="8">
        <v>42815.622106481482</v>
      </c>
      <c r="B154" s="20" t="s">
        <v>631</v>
      </c>
      <c r="C154" s="20" t="s">
        <v>746</v>
      </c>
      <c r="D154" s="150">
        <v>1340000</v>
      </c>
      <c r="E154" s="20" t="s">
        <v>705</v>
      </c>
      <c r="F154" s="20" t="s">
        <v>706</v>
      </c>
      <c r="G154" s="8" t="str">
        <f t="shared" si="2"/>
        <v>BEAM ROSS</v>
      </c>
    </row>
    <row r="155" spans="1:7" x14ac:dyDescent="0.25">
      <c r="A155" s="8">
        <v>42815.623877314814</v>
      </c>
      <c r="B155" s="20" t="s">
        <v>421</v>
      </c>
      <c r="C155" s="20" t="s">
        <v>622</v>
      </c>
      <c r="D155" s="150">
        <v>1760000</v>
      </c>
      <c r="E155" s="20" t="s">
        <v>725</v>
      </c>
      <c r="F155" s="20" t="s">
        <v>726</v>
      </c>
      <c r="G155" s="8" t="str">
        <f t="shared" si="2"/>
        <v>STRICKLAND EVAN</v>
      </c>
    </row>
    <row r="156" spans="1:7" x14ac:dyDescent="0.25">
      <c r="A156" s="8">
        <v>42815.634201388886</v>
      </c>
      <c r="B156" s="20" t="s">
        <v>491</v>
      </c>
      <c r="C156" s="20" t="s">
        <v>747</v>
      </c>
      <c r="D156" s="150">
        <v>930000</v>
      </c>
      <c r="E156" s="20" t="s">
        <v>548</v>
      </c>
      <c r="F156" s="20" t="s">
        <v>549</v>
      </c>
      <c r="G156" s="8" t="str">
        <f t="shared" si="2"/>
        <v>CLARK KATHLEEN</v>
      </c>
    </row>
    <row r="157" spans="1:7" x14ac:dyDescent="0.25">
      <c r="A157" s="8">
        <v>42815.636932870373</v>
      </c>
      <c r="B157" s="20" t="s">
        <v>405</v>
      </c>
      <c r="C157" s="20" t="s">
        <v>748</v>
      </c>
      <c r="D157" s="150">
        <v>3000000</v>
      </c>
      <c r="E157" s="20" t="s">
        <v>552</v>
      </c>
      <c r="F157" s="20" t="s">
        <v>553</v>
      </c>
      <c r="G157" s="8" t="str">
        <f t="shared" si="2"/>
        <v>FORTUNATO FRANK</v>
      </c>
    </row>
    <row r="158" spans="1:7" x14ac:dyDescent="0.25">
      <c r="A158" s="8">
        <v>42815.640787037039</v>
      </c>
      <c r="B158" s="20" t="s">
        <v>492</v>
      </c>
      <c r="C158" s="20" t="s">
        <v>749</v>
      </c>
      <c r="D158" s="150">
        <v>920000</v>
      </c>
      <c r="E158" s="20" t="s">
        <v>440</v>
      </c>
      <c r="F158" s="20" t="s">
        <v>198</v>
      </c>
      <c r="G158" s="8" t="str">
        <f t="shared" si="2"/>
        <v>DAVIS MICHAEL</v>
      </c>
    </row>
    <row r="159" spans="1:7" x14ac:dyDescent="0.25">
      <c r="A159" s="8">
        <v>42815.642812500002</v>
      </c>
      <c r="B159" s="20" t="s">
        <v>422</v>
      </c>
      <c r="C159" s="20" t="s">
        <v>750</v>
      </c>
      <c r="D159" s="150">
        <v>1120000</v>
      </c>
      <c r="E159" s="20" t="s">
        <v>496</v>
      </c>
      <c r="F159" s="20" t="s">
        <v>497</v>
      </c>
      <c r="G159" s="8" t="str">
        <f t="shared" si="2"/>
        <v>LOCKLEAR TRAVIS</v>
      </c>
    </row>
    <row r="160" spans="1:7" x14ac:dyDescent="0.25">
      <c r="A160" s="8">
        <v>42815.646145833336</v>
      </c>
      <c r="B160" s="20" t="s">
        <v>624</v>
      </c>
      <c r="C160" s="20" t="s">
        <v>751</v>
      </c>
      <c r="D160" s="150">
        <v>2150000</v>
      </c>
      <c r="E160" s="20" t="s">
        <v>388</v>
      </c>
      <c r="F160" s="20" t="s">
        <v>389</v>
      </c>
      <c r="G160" s="8" t="str">
        <f t="shared" si="2"/>
        <v>SWANSON BRYCE</v>
      </c>
    </row>
    <row r="161" spans="1:7" x14ac:dyDescent="0.25">
      <c r="A161" s="8">
        <v>42815.651226851849</v>
      </c>
      <c r="B161" s="20" t="s">
        <v>404</v>
      </c>
      <c r="C161" s="20" t="s">
        <v>752</v>
      </c>
      <c r="D161" s="150">
        <v>3000000</v>
      </c>
      <c r="E161" s="20" t="s">
        <v>552</v>
      </c>
      <c r="F161" s="20" t="s">
        <v>553</v>
      </c>
      <c r="G161" s="8" t="str">
        <f t="shared" si="2"/>
        <v>FORTUNATO FRANK</v>
      </c>
    </row>
    <row r="162" spans="1:7" x14ac:dyDescent="0.25">
      <c r="A162" s="8">
        <v>42815.652106481481</v>
      </c>
      <c r="B162" s="20" t="s">
        <v>602</v>
      </c>
      <c r="C162" s="20" t="s">
        <v>753</v>
      </c>
      <c r="D162" s="150">
        <v>2470000</v>
      </c>
      <c r="E162" s="20" t="s">
        <v>427</v>
      </c>
      <c r="F162" s="20" t="s">
        <v>428</v>
      </c>
      <c r="G162" s="8" t="str">
        <f t="shared" si="2"/>
        <v>ROMERO CHAD</v>
      </c>
    </row>
    <row r="163" spans="1:7" x14ac:dyDescent="0.25">
      <c r="A163" s="8">
        <v>42815.652939814812</v>
      </c>
      <c r="B163" s="20" t="s">
        <v>399</v>
      </c>
      <c r="C163" s="20" t="s">
        <v>754</v>
      </c>
      <c r="D163" s="150">
        <v>880000</v>
      </c>
      <c r="E163" s="20" t="s">
        <v>426</v>
      </c>
      <c r="F163" s="20" t="s">
        <v>198</v>
      </c>
      <c r="G163" s="8" t="str">
        <f t="shared" si="2"/>
        <v>STEWART MICHAEL</v>
      </c>
    </row>
    <row r="164" spans="1:7" x14ac:dyDescent="0.25">
      <c r="A164" s="8">
        <v>42815.655856481484</v>
      </c>
      <c r="B164" s="20" t="s">
        <v>650</v>
      </c>
      <c r="C164" s="20" t="s">
        <v>755</v>
      </c>
      <c r="D164" s="150">
        <v>2150000</v>
      </c>
      <c r="E164" s="20" t="s">
        <v>388</v>
      </c>
      <c r="F164" s="20" t="s">
        <v>389</v>
      </c>
      <c r="G164" s="8" t="str">
        <f t="shared" si="2"/>
        <v>SWANSON BRYCE</v>
      </c>
    </row>
    <row r="165" spans="1:7" x14ac:dyDescent="0.25">
      <c r="A165" s="8">
        <v>42815.658009259256</v>
      </c>
      <c r="B165" s="20" t="s">
        <v>642</v>
      </c>
      <c r="C165" s="20" t="s">
        <v>756</v>
      </c>
      <c r="D165" s="150">
        <v>1340000</v>
      </c>
      <c r="E165" s="20" t="s">
        <v>705</v>
      </c>
      <c r="F165" s="20" t="s">
        <v>706</v>
      </c>
      <c r="G165" s="8" t="str">
        <f t="shared" si="2"/>
        <v>BEAM ROSS</v>
      </c>
    </row>
    <row r="166" spans="1:7" x14ac:dyDescent="0.25">
      <c r="A166" s="8">
        <v>42815.663287037038</v>
      </c>
      <c r="B166" s="20" t="s">
        <v>425</v>
      </c>
      <c r="C166" s="20" t="s">
        <v>623</v>
      </c>
      <c r="D166" s="150">
        <v>1760000</v>
      </c>
      <c r="E166" s="20" t="s">
        <v>725</v>
      </c>
      <c r="F166" s="20" t="s">
        <v>726</v>
      </c>
      <c r="G166" s="8" t="str">
        <f t="shared" si="2"/>
        <v>STRICKLAND EVAN</v>
      </c>
    </row>
    <row r="167" spans="1:7" x14ac:dyDescent="0.25">
      <c r="A167" s="8">
        <v>42815.669548611113</v>
      </c>
      <c r="B167" s="20" t="s">
        <v>487</v>
      </c>
      <c r="C167" s="20" t="s">
        <v>757</v>
      </c>
      <c r="D167" s="150">
        <v>930000</v>
      </c>
      <c r="E167" s="20" t="s">
        <v>548</v>
      </c>
      <c r="F167" s="20" t="s">
        <v>549</v>
      </c>
      <c r="G167" s="8" t="str">
        <f t="shared" si="2"/>
        <v>CLARK KATHLEEN</v>
      </c>
    </row>
    <row r="168" spans="1:7" x14ac:dyDescent="0.25">
      <c r="A168" s="8">
        <v>42815.672835648147</v>
      </c>
      <c r="B168" s="20" t="s">
        <v>624</v>
      </c>
      <c r="C168" s="20" t="s">
        <v>625</v>
      </c>
      <c r="D168" s="150">
        <v>2150000</v>
      </c>
      <c r="E168" s="20" t="s">
        <v>388</v>
      </c>
      <c r="F168" s="20" t="s">
        <v>389</v>
      </c>
      <c r="G168" s="8" t="str">
        <f t="shared" si="2"/>
        <v>SWANSON BRYCE</v>
      </c>
    </row>
    <row r="169" spans="1:7" x14ac:dyDescent="0.25">
      <c r="A169" s="8">
        <v>42815.675439814811</v>
      </c>
      <c r="B169" s="20" t="s">
        <v>495</v>
      </c>
      <c r="C169" s="20" t="s">
        <v>758</v>
      </c>
      <c r="D169" s="150">
        <v>920000</v>
      </c>
      <c r="E169" s="20" t="s">
        <v>440</v>
      </c>
      <c r="F169" s="20" t="s">
        <v>198</v>
      </c>
      <c r="G169" s="8" t="str">
        <f t="shared" si="2"/>
        <v>DAVIS MICHAEL</v>
      </c>
    </row>
    <row r="170" spans="1:7" x14ac:dyDescent="0.25">
      <c r="A170" s="8">
        <v>42815.677789351852</v>
      </c>
      <c r="B170" s="20" t="s">
        <v>405</v>
      </c>
      <c r="C170" s="20" t="s">
        <v>759</v>
      </c>
      <c r="D170" s="150">
        <v>3000000</v>
      </c>
      <c r="E170" s="20" t="s">
        <v>552</v>
      </c>
      <c r="F170" s="20" t="s">
        <v>553</v>
      </c>
      <c r="G170" s="8" t="str">
        <f t="shared" si="2"/>
        <v>FORTUNATO FRANK</v>
      </c>
    </row>
    <row r="171" spans="1:7" x14ac:dyDescent="0.25">
      <c r="A171" s="8">
        <v>42815.679513888892</v>
      </c>
      <c r="B171" s="20" t="s">
        <v>423</v>
      </c>
      <c r="C171" s="20" t="s">
        <v>760</v>
      </c>
      <c r="D171" s="150">
        <v>1120000</v>
      </c>
      <c r="E171" s="20" t="s">
        <v>496</v>
      </c>
      <c r="F171" s="20" t="s">
        <v>497</v>
      </c>
      <c r="G171" s="8" t="str">
        <f t="shared" si="2"/>
        <v>LOCKLEAR TRAVIS</v>
      </c>
    </row>
    <row r="172" spans="1:7" x14ac:dyDescent="0.25">
      <c r="A172" s="8">
        <v>42815.684837962966</v>
      </c>
      <c r="B172" s="20" t="s">
        <v>400</v>
      </c>
      <c r="C172" s="20" t="s">
        <v>761</v>
      </c>
      <c r="D172" s="150">
        <v>880000</v>
      </c>
      <c r="E172" s="20" t="s">
        <v>426</v>
      </c>
      <c r="F172" s="20" t="s">
        <v>198</v>
      </c>
      <c r="G172" s="8" t="str">
        <f t="shared" si="2"/>
        <v>STEWART MICHAEL</v>
      </c>
    </row>
    <row r="173" spans="1:7" x14ac:dyDescent="0.25">
      <c r="A173" s="8">
        <v>42815.684942129628</v>
      </c>
      <c r="B173" s="20" t="s">
        <v>608</v>
      </c>
      <c r="C173" s="20" t="s">
        <v>762</v>
      </c>
      <c r="D173" s="150">
        <v>2470000</v>
      </c>
      <c r="E173" s="20" t="s">
        <v>427</v>
      </c>
      <c r="F173" s="20" t="s">
        <v>428</v>
      </c>
      <c r="G173" s="8" t="str">
        <f t="shared" si="2"/>
        <v>ROMERO CHAD</v>
      </c>
    </row>
    <row r="174" spans="1:7" x14ac:dyDescent="0.25">
      <c r="A174" s="8">
        <v>42815.686712962961</v>
      </c>
      <c r="B174" s="20" t="s">
        <v>650</v>
      </c>
      <c r="C174" s="20" t="s">
        <v>763</v>
      </c>
      <c r="D174" s="150">
        <v>2150000</v>
      </c>
      <c r="E174" s="20" t="s">
        <v>388</v>
      </c>
      <c r="F174" s="20" t="s">
        <v>389</v>
      </c>
      <c r="G174" s="8" t="str">
        <f t="shared" si="2"/>
        <v>SWANSON BRYCE</v>
      </c>
    </row>
    <row r="175" spans="1:7" x14ac:dyDescent="0.25">
      <c r="A175" s="8">
        <v>42815.693229166667</v>
      </c>
      <c r="B175" s="20" t="s">
        <v>404</v>
      </c>
      <c r="C175" s="20" t="s">
        <v>764</v>
      </c>
      <c r="D175" s="150">
        <v>3000000</v>
      </c>
      <c r="E175" s="20" t="s">
        <v>552</v>
      </c>
      <c r="F175" s="20" t="s">
        <v>553</v>
      </c>
      <c r="G175" s="8" t="str">
        <f t="shared" si="2"/>
        <v>FORTUNATO FRANK</v>
      </c>
    </row>
    <row r="176" spans="1:7" x14ac:dyDescent="0.25">
      <c r="A176" s="8">
        <v>42815.695243055554</v>
      </c>
      <c r="B176" s="20" t="s">
        <v>631</v>
      </c>
      <c r="C176" s="20" t="s">
        <v>765</v>
      </c>
      <c r="D176" s="150">
        <v>3020000</v>
      </c>
      <c r="E176" s="20" t="s">
        <v>541</v>
      </c>
      <c r="F176" s="20" t="s">
        <v>542</v>
      </c>
      <c r="G176" s="8" t="str">
        <f t="shared" si="2"/>
        <v>MENGES BRAD</v>
      </c>
    </row>
    <row r="177" spans="1:7" x14ac:dyDescent="0.25">
      <c r="A177" s="8">
        <v>42815.700787037036</v>
      </c>
      <c r="B177" s="20" t="s">
        <v>421</v>
      </c>
      <c r="C177" s="20" t="s">
        <v>626</v>
      </c>
      <c r="D177" s="150">
        <v>1760000</v>
      </c>
      <c r="E177" s="20" t="s">
        <v>725</v>
      </c>
      <c r="F177" s="20" t="s">
        <v>726</v>
      </c>
      <c r="G177" s="8" t="str">
        <f t="shared" si="2"/>
        <v>STRICKLAND EVAN</v>
      </c>
    </row>
    <row r="178" spans="1:7" x14ac:dyDescent="0.25">
      <c r="A178" s="8">
        <v>42815.705972222226</v>
      </c>
      <c r="B178" s="20" t="s">
        <v>491</v>
      </c>
      <c r="C178" s="20" t="s">
        <v>766</v>
      </c>
      <c r="D178" s="150">
        <v>930000</v>
      </c>
      <c r="E178" s="20" t="s">
        <v>548</v>
      </c>
      <c r="F178" s="20" t="s">
        <v>549</v>
      </c>
      <c r="G178" s="8" t="str">
        <f t="shared" si="2"/>
        <v>CLARK KATHLEEN</v>
      </c>
    </row>
    <row r="179" spans="1:7" x14ac:dyDescent="0.25">
      <c r="A179" s="8">
        <v>42815.712951388887</v>
      </c>
      <c r="B179" s="20" t="s">
        <v>405</v>
      </c>
      <c r="C179" s="20" t="s">
        <v>767</v>
      </c>
      <c r="D179" s="150">
        <v>3000000</v>
      </c>
      <c r="E179" s="20" t="s">
        <v>552</v>
      </c>
      <c r="F179" s="20" t="s">
        <v>553</v>
      </c>
      <c r="G179" s="8" t="str">
        <f t="shared" si="2"/>
        <v>FORTUNATO FRANK</v>
      </c>
    </row>
    <row r="180" spans="1:7" x14ac:dyDescent="0.25">
      <c r="A180" s="8">
        <v>42815.713912037034</v>
      </c>
      <c r="B180" s="20" t="s">
        <v>624</v>
      </c>
      <c r="C180" s="20" t="s">
        <v>768</v>
      </c>
      <c r="D180" s="150">
        <v>2150000</v>
      </c>
      <c r="E180" s="20" t="s">
        <v>388</v>
      </c>
      <c r="F180" s="20" t="s">
        <v>389</v>
      </c>
      <c r="G180" s="8" t="str">
        <f t="shared" si="2"/>
        <v>SWANSON BRYCE</v>
      </c>
    </row>
    <row r="181" spans="1:7" x14ac:dyDescent="0.25">
      <c r="A181" s="8">
        <v>42815.714618055557</v>
      </c>
      <c r="B181" s="20" t="s">
        <v>492</v>
      </c>
      <c r="C181" s="20" t="s">
        <v>628</v>
      </c>
      <c r="D181" s="150">
        <v>920000</v>
      </c>
      <c r="E181" s="20" t="s">
        <v>440</v>
      </c>
      <c r="F181" s="20" t="s">
        <v>198</v>
      </c>
      <c r="G181" s="8" t="str">
        <f t="shared" si="2"/>
        <v>DAVIS MICHAEL</v>
      </c>
    </row>
    <row r="182" spans="1:7" x14ac:dyDescent="0.25">
      <c r="A182" s="8">
        <v>42815.716944444444</v>
      </c>
      <c r="B182" s="20" t="s">
        <v>422</v>
      </c>
      <c r="C182" s="20" t="s">
        <v>769</v>
      </c>
      <c r="D182" s="150">
        <v>1800000</v>
      </c>
      <c r="E182" s="20" t="s">
        <v>498</v>
      </c>
      <c r="F182" s="20" t="s">
        <v>499</v>
      </c>
      <c r="G182" s="8" t="str">
        <f t="shared" si="2"/>
        <v>CHANDLER KELVIN</v>
      </c>
    </row>
    <row r="183" spans="1:7" x14ac:dyDescent="0.25">
      <c r="A183" s="8">
        <v>42815.724432870367</v>
      </c>
      <c r="B183" s="20" t="s">
        <v>602</v>
      </c>
      <c r="C183" s="20" t="s">
        <v>770</v>
      </c>
      <c r="D183" s="150">
        <v>1120000</v>
      </c>
      <c r="E183" s="20" t="s">
        <v>496</v>
      </c>
      <c r="F183" s="20" t="s">
        <v>497</v>
      </c>
      <c r="G183" s="8" t="str">
        <f t="shared" si="2"/>
        <v>LOCKLEAR TRAVIS</v>
      </c>
    </row>
    <row r="184" spans="1:7" x14ac:dyDescent="0.25">
      <c r="A184" s="8">
        <v>42815.725081018521</v>
      </c>
      <c r="B184" s="20" t="s">
        <v>399</v>
      </c>
      <c r="C184" s="20" t="s">
        <v>630</v>
      </c>
      <c r="D184" s="150">
        <v>880000</v>
      </c>
      <c r="E184" s="20" t="s">
        <v>426</v>
      </c>
      <c r="F184" s="20" t="s">
        <v>198</v>
      </c>
      <c r="G184" s="8" t="str">
        <f t="shared" si="2"/>
        <v>STEWART MICHAEL</v>
      </c>
    </row>
    <row r="185" spans="1:7" x14ac:dyDescent="0.25">
      <c r="A185" s="8">
        <v>42815.727870370371</v>
      </c>
      <c r="B185" s="20" t="s">
        <v>650</v>
      </c>
      <c r="C185" s="20" t="s">
        <v>771</v>
      </c>
      <c r="D185" s="150">
        <v>2150000</v>
      </c>
      <c r="E185" s="20" t="s">
        <v>388</v>
      </c>
      <c r="F185" s="20" t="s">
        <v>389</v>
      </c>
      <c r="G185" s="8" t="str">
        <f t="shared" si="2"/>
        <v>SWANSON BRYCE</v>
      </c>
    </row>
    <row r="186" spans="1:7" x14ac:dyDescent="0.25">
      <c r="A186" s="8">
        <v>42815.731319444443</v>
      </c>
      <c r="B186" s="20" t="s">
        <v>642</v>
      </c>
      <c r="C186" s="20" t="s">
        <v>772</v>
      </c>
      <c r="D186" s="150">
        <v>3020000</v>
      </c>
      <c r="E186" s="20" t="s">
        <v>541</v>
      </c>
      <c r="F186" s="20" t="s">
        <v>542</v>
      </c>
      <c r="G186" s="8" t="str">
        <f t="shared" si="2"/>
        <v>MENGES BRAD</v>
      </c>
    </row>
    <row r="187" spans="1:7" x14ac:dyDescent="0.25">
      <c r="A187" s="8">
        <v>42815.732303240744</v>
      </c>
      <c r="B187" s="20" t="s">
        <v>543</v>
      </c>
      <c r="C187" s="20" t="s">
        <v>627</v>
      </c>
      <c r="D187" s="150">
        <v>1740000</v>
      </c>
      <c r="E187" s="20" t="s">
        <v>556</v>
      </c>
      <c r="F187" s="20" t="s">
        <v>557</v>
      </c>
      <c r="G187" s="8" t="str">
        <f t="shared" si="2"/>
        <v>STORY SAMANTHA</v>
      </c>
    </row>
    <row r="188" spans="1:7" x14ac:dyDescent="0.25">
      <c r="A188" s="8">
        <v>42815.734270833331</v>
      </c>
      <c r="B188" s="20" t="s">
        <v>404</v>
      </c>
      <c r="C188" s="20" t="s">
        <v>773</v>
      </c>
      <c r="D188" s="150">
        <v>3000000</v>
      </c>
      <c r="E188" s="20" t="s">
        <v>552</v>
      </c>
      <c r="F188" s="20" t="s">
        <v>553</v>
      </c>
      <c r="G188" s="8" t="str">
        <f t="shared" si="2"/>
        <v>FORTUNATO FRANK</v>
      </c>
    </row>
    <row r="189" spans="1:7" x14ac:dyDescent="0.25">
      <c r="A189" s="8">
        <v>42815.73914351852</v>
      </c>
      <c r="B189" s="20" t="s">
        <v>425</v>
      </c>
      <c r="C189" s="20" t="s">
        <v>774</v>
      </c>
      <c r="D189" s="150">
        <v>1810000</v>
      </c>
      <c r="E189" s="20" t="s">
        <v>501</v>
      </c>
      <c r="F189" s="20" t="s">
        <v>195</v>
      </c>
      <c r="G189" s="8" t="str">
        <f t="shared" si="2"/>
        <v>NEWELL JAMES</v>
      </c>
    </row>
    <row r="190" spans="1:7" x14ac:dyDescent="0.25">
      <c r="A190" s="8">
        <v>42815.742939814816</v>
      </c>
      <c r="B190" s="20" t="s">
        <v>487</v>
      </c>
      <c r="C190" s="20" t="s">
        <v>775</v>
      </c>
      <c r="D190" s="150">
        <v>930000</v>
      </c>
      <c r="E190" s="20" t="s">
        <v>548</v>
      </c>
      <c r="F190" s="20" t="s">
        <v>549</v>
      </c>
      <c r="G190" s="8" t="str">
        <f t="shared" si="2"/>
        <v>CLARK KATHLEEN</v>
      </c>
    </row>
    <row r="191" spans="1:7" x14ac:dyDescent="0.25">
      <c r="A191" s="8">
        <v>42815.743113425924</v>
      </c>
      <c r="B191" s="20" t="s">
        <v>490</v>
      </c>
      <c r="C191" s="20" t="s">
        <v>629</v>
      </c>
      <c r="D191" s="150">
        <v>2610000</v>
      </c>
      <c r="E191" s="20" t="s">
        <v>554</v>
      </c>
      <c r="F191" s="20" t="s">
        <v>555</v>
      </c>
      <c r="G191" s="8" t="str">
        <f t="shared" si="2"/>
        <v>MAGEE KENYA</v>
      </c>
    </row>
    <row r="192" spans="1:7" x14ac:dyDescent="0.25">
      <c r="A192" s="8">
        <v>42815.747106481482</v>
      </c>
      <c r="B192" s="20" t="s">
        <v>495</v>
      </c>
      <c r="C192" s="20" t="s">
        <v>776</v>
      </c>
      <c r="D192" s="150">
        <v>1760000</v>
      </c>
      <c r="E192" s="20" t="s">
        <v>725</v>
      </c>
      <c r="F192" s="20" t="s">
        <v>726</v>
      </c>
      <c r="G192" s="8" t="str">
        <f t="shared" si="2"/>
        <v>STRICKLAND EVAN</v>
      </c>
    </row>
    <row r="193" spans="1:7" x14ac:dyDescent="0.25">
      <c r="A193" s="8">
        <v>42815.748530092591</v>
      </c>
      <c r="B193" s="20" t="s">
        <v>393</v>
      </c>
      <c r="C193" s="20" t="s">
        <v>777</v>
      </c>
      <c r="D193" s="150">
        <v>1520000</v>
      </c>
      <c r="E193" s="20" t="s">
        <v>778</v>
      </c>
      <c r="F193" s="20" t="s">
        <v>779</v>
      </c>
      <c r="G193" s="8" t="str">
        <f t="shared" si="2"/>
        <v>MAYBERRY BILL</v>
      </c>
    </row>
    <row r="194" spans="1:7" x14ac:dyDescent="0.25">
      <c r="A194" s="8">
        <v>42815.754467592589</v>
      </c>
      <c r="B194" s="20" t="s">
        <v>423</v>
      </c>
      <c r="C194" s="20" t="s">
        <v>780</v>
      </c>
      <c r="D194" s="150">
        <v>1800000</v>
      </c>
      <c r="E194" s="20" t="s">
        <v>498</v>
      </c>
      <c r="F194" s="20" t="s">
        <v>499</v>
      </c>
      <c r="G194" s="8" t="str">
        <f t="shared" si="2"/>
        <v>CHANDLER KELVIN</v>
      </c>
    </row>
    <row r="195" spans="1:7" x14ac:dyDescent="0.25">
      <c r="A195" s="8">
        <v>42815.755960648145</v>
      </c>
      <c r="B195" s="20" t="s">
        <v>624</v>
      </c>
      <c r="C195" s="20" t="s">
        <v>781</v>
      </c>
      <c r="D195" s="150">
        <v>2150000</v>
      </c>
      <c r="E195" s="20" t="s">
        <v>388</v>
      </c>
      <c r="F195" s="20" t="s">
        <v>389</v>
      </c>
      <c r="G195" s="8" t="str">
        <f t="shared" ref="G195:G258" si="3">E195&amp;" "&amp;F195</f>
        <v>SWANSON BRYCE</v>
      </c>
    </row>
    <row r="196" spans="1:7" x14ac:dyDescent="0.25">
      <c r="A196" s="8">
        <v>42815.758321759262</v>
      </c>
      <c r="B196" s="20" t="s">
        <v>400</v>
      </c>
      <c r="C196" s="20" t="s">
        <v>782</v>
      </c>
      <c r="D196" s="150">
        <v>1740000</v>
      </c>
      <c r="E196" s="20" t="s">
        <v>556</v>
      </c>
      <c r="F196" s="20" t="s">
        <v>557</v>
      </c>
      <c r="G196" s="8" t="str">
        <f t="shared" si="3"/>
        <v>STORY SAMANTHA</v>
      </c>
    </row>
    <row r="197" spans="1:7" x14ac:dyDescent="0.25">
      <c r="A197" s="8">
        <v>42815.759212962963</v>
      </c>
      <c r="B197" s="20" t="s">
        <v>405</v>
      </c>
      <c r="C197" s="20" t="s">
        <v>783</v>
      </c>
      <c r="D197" s="150">
        <v>3000000</v>
      </c>
      <c r="E197" s="20" t="s">
        <v>552</v>
      </c>
      <c r="F197" s="20" t="s">
        <v>553</v>
      </c>
      <c r="G197" s="8" t="str">
        <f t="shared" si="3"/>
        <v>FORTUNATO FRANK</v>
      </c>
    </row>
    <row r="198" spans="1:7" x14ac:dyDescent="0.25">
      <c r="A198" s="8">
        <v>42815.762291666666</v>
      </c>
      <c r="B198" s="20" t="s">
        <v>711</v>
      </c>
      <c r="C198" s="20" t="s">
        <v>784</v>
      </c>
      <c r="D198" s="150">
        <v>880000</v>
      </c>
      <c r="E198" s="20" t="s">
        <v>426</v>
      </c>
      <c r="F198" s="20" t="s">
        <v>198</v>
      </c>
      <c r="G198" s="8" t="str">
        <f t="shared" si="3"/>
        <v>STEWART MICHAEL</v>
      </c>
    </row>
    <row r="199" spans="1:7" x14ac:dyDescent="0.25">
      <c r="A199" s="8">
        <v>42815.765613425923</v>
      </c>
      <c r="B199" s="20" t="s">
        <v>608</v>
      </c>
      <c r="C199" s="20" t="s">
        <v>785</v>
      </c>
      <c r="D199" s="150">
        <v>1120000</v>
      </c>
      <c r="E199" s="20" t="s">
        <v>496</v>
      </c>
      <c r="F199" s="20" t="s">
        <v>497</v>
      </c>
      <c r="G199" s="8" t="str">
        <f t="shared" si="3"/>
        <v>LOCKLEAR TRAVIS</v>
      </c>
    </row>
    <row r="200" spans="1:7" x14ac:dyDescent="0.25">
      <c r="A200" s="8">
        <v>42815.768784722219</v>
      </c>
      <c r="B200" s="20" t="s">
        <v>421</v>
      </c>
      <c r="C200" s="20" t="s">
        <v>786</v>
      </c>
      <c r="D200" s="150">
        <v>1810000</v>
      </c>
      <c r="E200" s="20" t="s">
        <v>501</v>
      </c>
      <c r="F200" s="20" t="s">
        <v>195</v>
      </c>
      <c r="G200" s="8" t="str">
        <f t="shared" si="3"/>
        <v>NEWELL JAMES</v>
      </c>
    </row>
    <row r="201" spans="1:7" x14ac:dyDescent="0.25">
      <c r="A201" s="8">
        <v>42815.769976851851</v>
      </c>
      <c r="B201" s="20" t="s">
        <v>650</v>
      </c>
      <c r="C201" s="20" t="s">
        <v>787</v>
      </c>
      <c r="D201" s="150">
        <v>2150000</v>
      </c>
      <c r="E201" s="20" t="s">
        <v>388</v>
      </c>
      <c r="F201" s="20" t="s">
        <v>389</v>
      </c>
      <c r="G201" s="8" t="str">
        <f t="shared" si="3"/>
        <v>SWANSON BRYCE</v>
      </c>
    </row>
    <row r="202" spans="1:7" x14ac:dyDescent="0.25">
      <c r="A202" s="26">
        <v>42815.769976851851</v>
      </c>
      <c r="B202" s="20" t="s">
        <v>631</v>
      </c>
      <c r="C202" s="20" t="s">
        <v>632</v>
      </c>
      <c r="D202" s="150">
        <v>2000000</v>
      </c>
      <c r="E202" s="20" t="s">
        <v>396</v>
      </c>
      <c r="F202" s="20" t="s">
        <v>195</v>
      </c>
      <c r="G202" s="8" t="str">
        <f t="shared" si="3"/>
        <v>STAMBAUGH JAMES</v>
      </c>
    </row>
    <row r="203" spans="1:7" x14ac:dyDescent="0.25">
      <c r="A203" s="8">
        <v>42815.775509259256</v>
      </c>
      <c r="B203" s="20" t="s">
        <v>404</v>
      </c>
      <c r="C203" s="20" t="s">
        <v>788</v>
      </c>
      <c r="D203" s="150">
        <v>3000000</v>
      </c>
      <c r="E203" s="20" t="s">
        <v>552</v>
      </c>
      <c r="F203" s="20" t="s">
        <v>553</v>
      </c>
      <c r="G203" s="8" t="str">
        <f t="shared" si="3"/>
        <v>FORTUNATO FRANK</v>
      </c>
    </row>
    <row r="204" spans="1:7" x14ac:dyDescent="0.25">
      <c r="A204" s="8">
        <v>42815.778726851851</v>
      </c>
      <c r="B204" s="20" t="s">
        <v>491</v>
      </c>
      <c r="C204" s="20" t="s">
        <v>789</v>
      </c>
      <c r="D204" s="150">
        <v>930000</v>
      </c>
      <c r="E204" s="20" t="s">
        <v>548</v>
      </c>
      <c r="F204" s="20" t="s">
        <v>549</v>
      </c>
      <c r="G204" s="8" t="str">
        <f t="shared" si="3"/>
        <v>CLARK KATHLEEN</v>
      </c>
    </row>
    <row r="205" spans="1:7" x14ac:dyDescent="0.25">
      <c r="A205" s="8">
        <v>42815.782858796294</v>
      </c>
      <c r="B205" s="20" t="s">
        <v>492</v>
      </c>
      <c r="C205" s="20" t="s">
        <v>790</v>
      </c>
      <c r="D205" s="150">
        <v>1760000</v>
      </c>
      <c r="E205" s="20" t="s">
        <v>725</v>
      </c>
      <c r="F205" s="20" t="s">
        <v>726</v>
      </c>
      <c r="G205" s="8" t="str">
        <f t="shared" si="3"/>
        <v>STRICKLAND EVAN</v>
      </c>
    </row>
    <row r="206" spans="1:7" x14ac:dyDescent="0.25">
      <c r="A206" s="8">
        <v>42815.791574074072</v>
      </c>
      <c r="B206" s="20" t="s">
        <v>422</v>
      </c>
      <c r="C206" s="20" t="s">
        <v>791</v>
      </c>
      <c r="D206" s="150">
        <v>1800000</v>
      </c>
      <c r="E206" s="20" t="s">
        <v>498</v>
      </c>
      <c r="F206" s="20" t="s">
        <v>499</v>
      </c>
      <c r="G206" s="8" t="str">
        <f t="shared" si="3"/>
        <v>CHANDLER KELVIN</v>
      </c>
    </row>
    <row r="207" spans="1:7" x14ac:dyDescent="0.25">
      <c r="A207" s="8">
        <v>42815.796365740738</v>
      </c>
      <c r="B207" s="20" t="s">
        <v>399</v>
      </c>
      <c r="C207" s="20" t="s">
        <v>633</v>
      </c>
      <c r="D207" s="150">
        <v>1740000</v>
      </c>
      <c r="E207" s="20" t="s">
        <v>556</v>
      </c>
      <c r="F207" s="20" t="s">
        <v>557</v>
      </c>
      <c r="G207" s="8" t="str">
        <f t="shared" si="3"/>
        <v>STORY SAMANTHA</v>
      </c>
    </row>
    <row r="208" spans="1:7" x14ac:dyDescent="0.25">
      <c r="A208" s="8">
        <v>42815.797094907408</v>
      </c>
      <c r="B208" s="20" t="s">
        <v>624</v>
      </c>
      <c r="C208" s="20" t="s">
        <v>792</v>
      </c>
      <c r="D208" s="150">
        <v>2150000</v>
      </c>
      <c r="E208" s="20" t="s">
        <v>388</v>
      </c>
      <c r="F208" s="20" t="s">
        <v>389</v>
      </c>
      <c r="G208" s="8" t="str">
        <f t="shared" si="3"/>
        <v>SWANSON BRYCE</v>
      </c>
    </row>
    <row r="209" spans="1:7" x14ac:dyDescent="0.25">
      <c r="A209" s="8">
        <v>42815.797534722224</v>
      </c>
      <c r="B209" s="20" t="s">
        <v>602</v>
      </c>
      <c r="C209" s="20" t="s">
        <v>793</v>
      </c>
      <c r="D209" s="150">
        <v>1120000</v>
      </c>
      <c r="E209" s="20" t="s">
        <v>496</v>
      </c>
      <c r="F209" s="20" t="s">
        <v>497</v>
      </c>
      <c r="G209" s="8" t="str">
        <f t="shared" si="3"/>
        <v>LOCKLEAR TRAVIS</v>
      </c>
    </row>
    <row r="210" spans="1:7" x14ac:dyDescent="0.25">
      <c r="A210" s="8">
        <v>42815.8046412037</v>
      </c>
      <c r="B210" s="20" t="s">
        <v>405</v>
      </c>
      <c r="C210" s="20" t="s">
        <v>794</v>
      </c>
      <c r="D210" s="150">
        <v>3000000</v>
      </c>
      <c r="E210" s="20" t="s">
        <v>552</v>
      </c>
      <c r="F210" s="20" t="s">
        <v>553</v>
      </c>
      <c r="G210" s="8" t="str">
        <f t="shared" si="3"/>
        <v>FORTUNATO FRANK</v>
      </c>
    </row>
    <row r="211" spans="1:7" x14ac:dyDescent="0.25">
      <c r="A211" s="8">
        <v>42815.805844907409</v>
      </c>
      <c r="B211" s="20" t="s">
        <v>642</v>
      </c>
      <c r="C211" s="20" t="s">
        <v>795</v>
      </c>
      <c r="D211" s="150">
        <v>2000000</v>
      </c>
      <c r="E211" s="20" t="s">
        <v>396</v>
      </c>
      <c r="F211" s="20" t="s">
        <v>195</v>
      </c>
      <c r="G211" s="8" t="str">
        <f t="shared" si="3"/>
        <v>STAMBAUGH JAMES</v>
      </c>
    </row>
    <row r="212" spans="1:7" x14ac:dyDescent="0.25">
      <c r="A212" s="8">
        <v>42815.808032407411</v>
      </c>
      <c r="B212" s="20" t="s">
        <v>425</v>
      </c>
      <c r="C212" s="20" t="s">
        <v>634</v>
      </c>
      <c r="D212" s="150">
        <v>2530000</v>
      </c>
      <c r="E212" s="20" t="s">
        <v>493</v>
      </c>
      <c r="F212" s="20" t="s">
        <v>494</v>
      </c>
      <c r="G212" s="8" t="str">
        <f t="shared" si="3"/>
        <v>LALONDE GREGORY</v>
      </c>
    </row>
    <row r="213" spans="1:7" x14ac:dyDescent="0.25">
      <c r="A213" s="8">
        <v>42815.817789351851</v>
      </c>
      <c r="B213" s="20" t="s">
        <v>404</v>
      </c>
      <c r="C213" s="20" t="s">
        <v>635</v>
      </c>
      <c r="D213" s="150">
        <v>3000000</v>
      </c>
      <c r="E213" s="20" t="s">
        <v>552</v>
      </c>
      <c r="F213" s="20" t="s">
        <v>553</v>
      </c>
      <c r="G213" s="8" t="str">
        <f t="shared" si="3"/>
        <v>FORTUNATO FRANK</v>
      </c>
    </row>
    <row r="214" spans="1:7" x14ac:dyDescent="0.25">
      <c r="A214" s="8">
        <v>42815.819039351853</v>
      </c>
      <c r="B214" s="20" t="s">
        <v>495</v>
      </c>
      <c r="C214" s="20" t="s">
        <v>796</v>
      </c>
      <c r="D214" s="150">
        <v>1760000</v>
      </c>
      <c r="E214" s="20" t="s">
        <v>725</v>
      </c>
      <c r="F214" s="20" t="s">
        <v>726</v>
      </c>
      <c r="G214" s="8" t="str">
        <f t="shared" si="3"/>
        <v>STRICKLAND EVAN</v>
      </c>
    </row>
    <row r="215" spans="1:7" x14ac:dyDescent="0.25">
      <c r="A215" s="8">
        <v>42815.820671296293</v>
      </c>
      <c r="B215" s="20" t="s">
        <v>404</v>
      </c>
      <c r="C215" s="20" t="s">
        <v>635</v>
      </c>
      <c r="D215" s="150">
        <v>3000000</v>
      </c>
      <c r="E215" s="20" t="s">
        <v>552</v>
      </c>
      <c r="F215" s="20" t="s">
        <v>553</v>
      </c>
      <c r="G215" s="8" t="str">
        <f t="shared" si="3"/>
        <v>FORTUNATO FRANK</v>
      </c>
    </row>
    <row r="216" spans="1:7" x14ac:dyDescent="0.25">
      <c r="A216" s="8">
        <v>42815.828657407408</v>
      </c>
      <c r="B216" s="20" t="s">
        <v>423</v>
      </c>
      <c r="C216" s="20" t="s">
        <v>797</v>
      </c>
      <c r="D216" s="150">
        <v>1800000</v>
      </c>
      <c r="E216" s="20" t="s">
        <v>498</v>
      </c>
      <c r="F216" s="20" t="s">
        <v>499</v>
      </c>
      <c r="G216" s="8" t="str">
        <f t="shared" si="3"/>
        <v>CHANDLER KELVIN</v>
      </c>
    </row>
    <row r="217" spans="1:7" x14ac:dyDescent="0.25">
      <c r="A217" s="8">
        <v>42815.829212962963</v>
      </c>
      <c r="B217" s="20" t="s">
        <v>400</v>
      </c>
      <c r="C217" s="20" t="s">
        <v>636</v>
      </c>
      <c r="D217" s="150">
        <v>1740000</v>
      </c>
      <c r="E217" s="20" t="s">
        <v>556</v>
      </c>
      <c r="F217" s="20" t="s">
        <v>557</v>
      </c>
      <c r="G217" s="8" t="str">
        <f t="shared" si="3"/>
        <v>STORY SAMANTHA</v>
      </c>
    </row>
    <row r="218" spans="1:7" x14ac:dyDescent="0.25">
      <c r="A218" s="8">
        <v>42815.839456018519</v>
      </c>
      <c r="B218" s="20" t="s">
        <v>421</v>
      </c>
      <c r="C218" s="20" t="s">
        <v>798</v>
      </c>
      <c r="D218" s="150">
        <v>2530000</v>
      </c>
      <c r="E218" s="20" t="s">
        <v>493</v>
      </c>
      <c r="F218" s="20" t="s">
        <v>494</v>
      </c>
      <c r="G218" s="8" t="str">
        <f t="shared" si="3"/>
        <v>LALONDE GREGORY</v>
      </c>
    </row>
    <row r="219" spans="1:7" x14ac:dyDescent="0.25">
      <c r="A219" s="8">
        <v>42815.840879629628</v>
      </c>
      <c r="B219" s="20" t="s">
        <v>631</v>
      </c>
      <c r="C219" s="20" t="s">
        <v>638</v>
      </c>
      <c r="D219" s="150">
        <v>2000000</v>
      </c>
      <c r="E219" s="20" t="s">
        <v>396</v>
      </c>
      <c r="F219" s="20" t="s">
        <v>195</v>
      </c>
      <c r="G219" s="8" t="str">
        <f t="shared" si="3"/>
        <v>STAMBAUGH JAMES</v>
      </c>
    </row>
    <row r="220" spans="1:7" x14ac:dyDescent="0.25">
      <c r="A220" s="8">
        <v>42815.845682870371</v>
      </c>
      <c r="B220" s="20" t="s">
        <v>405</v>
      </c>
      <c r="C220" s="20" t="s">
        <v>799</v>
      </c>
      <c r="D220" s="150">
        <v>3000000</v>
      </c>
      <c r="E220" s="20" t="s">
        <v>552</v>
      </c>
      <c r="F220" s="20" t="s">
        <v>553</v>
      </c>
      <c r="G220" s="8" t="str">
        <f t="shared" si="3"/>
        <v>FORTUNATO FRANK</v>
      </c>
    </row>
    <row r="221" spans="1:7" x14ac:dyDescent="0.25">
      <c r="A221" s="8">
        <v>42815.859791666669</v>
      </c>
      <c r="B221" s="20" t="s">
        <v>404</v>
      </c>
      <c r="C221" s="20" t="s">
        <v>637</v>
      </c>
      <c r="D221" s="150">
        <v>3000000</v>
      </c>
      <c r="E221" s="20" t="s">
        <v>552</v>
      </c>
      <c r="F221" s="20" t="s">
        <v>553</v>
      </c>
      <c r="G221" s="8" t="str">
        <f t="shared" si="3"/>
        <v>FORTUNATO FRANK</v>
      </c>
    </row>
    <row r="222" spans="1:7" x14ac:dyDescent="0.25">
      <c r="A222" s="8">
        <v>42815.864583333336</v>
      </c>
      <c r="B222" s="20" t="s">
        <v>399</v>
      </c>
      <c r="C222" s="20" t="s">
        <v>800</v>
      </c>
      <c r="D222" s="150">
        <v>1740000</v>
      </c>
      <c r="E222" s="20" t="s">
        <v>556</v>
      </c>
      <c r="F222" s="20" t="s">
        <v>557</v>
      </c>
      <c r="G222" s="8" t="str">
        <f t="shared" si="3"/>
        <v>STORY SAMANTHA</v>
      </c>
    </row>
    <row r="223" spans="1:7" x14ac:dyDescent="0.25">
      <c r="A223" s="8">
        <v>42815.866631944446</v>
      </c>
      <c r="B223" s="20" t="s">
        <v>495</v>
      </c>
      <c r="C223" s="20" t="s">
        <v>801</v>
      </c>
      <c r="D223" s="150">
        <v>2600000</v>
      </c>
      <c r="E223" s="20" t="s">
        <v>550</v>
      </c>
      <c r="F223" s="20" t="s">
        <v>551</v>
      </c>
      <c r="G223" s="8" t="str">
        <f t="shared" si="3"/>
        <v>DAVIDSON DAVID</v>
      </c>
    </row>
    <row r="224" spans="1:7" x14ac:dyDescent="0.25">
      <c r="A224" s="8">
        <v>42815.870138888888</v>
      </c>
      <c r="B224" t="s">
        <v>422</v>
      </c>
      <c r="C224" t="s">
        <v>802</v>
      </c>
      <c r="D224" s="150">
        <v>1800000</v>
      </c>
      <c r="E224" t="s">
        <v>498</v>
      </c>
      <c r="F224" s="20" t="s">
        <v>499</v>
      </c>
      <c r="G224" s="8" t="str">
        <f t="shared" si="3"/>
        <v>CHANDLER KELVIN</v>
      </c>
    </row>
    <row r="225" spans="1:7" x14ac:dyDescent="0.25">
      <c r="A225" s="8">
        <v>42815.875740740739</v>
      </c>
      <c r="B225" t="s">
        <v>405</v>
      </c>
      <c r="C225" t="s">
        <v>803</v>
      </c>
      <c r="D225" s="150">
        <v>2150000</v>
      </c>
      <c r="E225" t="s">
        <v>388</v>
      </c>
      <c r="F225" s="20" t="s">
        <v>389</v>
      </c>
      <c r="G225" s="8" t="str">
        <f t="shared" si="3"/>
        <v>SWANSON BRYCE</v>
      </c>
    </row>
    <row r="226" spans="1:7" x14ac:dyDescent="0.25">
      <c r="A226" s="8">
        <v>42815.89099537037</v>
      </c>
      <c r="B226" t="s">
        <v>642</v>
      </c>
      <c r="C226" t="s">
        <v>804</v>
      </c>
      <c r="D226" s="150">
        <v>2000000</v>
      </c>
      <c r="E226" t="s">
        <v>396</v>
      </c>
      <c r="F226" s="20" t="s">
        <v>195</v>
      </c>
      <c r="G226" s="8" t="str">
        <f t="shared" si="3"/>
        <v>STAMBAUGH JAMES</v>
      </c>
    </row>
    <row r="227" spans="1:7" x14ac:dyDescent="0.25">
      <c r="A227" s="8">
        <v>42815.892141203702</v>
      </c>
      <c r="B227" t="s">
        <v>425</v>
      </c>
      <c r="C227" t="s">
        <v>805</v>
      </c>
      <c r="D227" s="150">
        <v>1810000</v>
      </c>
      <c r="E227" t="s">
        <v>501</v>
      </c>
      <c r="F227" s="20" t="s">
        <v>195</v>
      </c>
      <c r="G227" s="8" t="str">
        <f t="shared" si="3"/>
        <v>NEWELL JAMES</v>
      </c>
    </row>
    <row r="228" spans="1:7" x14ac:dyDescent="0.25">
      <c r="A228" s="8">
        <v>42815.901250000003</v>
      </c>
      <c r="B228" t="s">
        <v>404</v>
      </c>
      <c r="C228" t="s">
        <v>806</v>
      </c>
      <c r="D228" s="150">
        <v>2150000</v>
      </c>
      <c r="E228" t="s">
        <v>388</v>
      </c>
      <c r="F228" s="20" t="s">
        <v>389</v>
      </c>
      <c r="G228" s="8" t="str">
        <f t="shared" si="3"/>
        <v>SWANSON BRYCE</v>
      </c>
    </row>
    <row r="229" spans="1:7" x14ac:dyDescent="0.25">
      <c r="A229" s="8">
        <v>42815.911111111112</v>
      </c>
      <c r="B229" t="s">
        <v>423</v>
      </c>
      <c r="C229" t="s">
        <v>807</v>
      </c>
      <c r="D229" s="150">
        <v>1800000</v>
      </c>
      <c r="E229" t="s">
        <v>498</v>
      </c>
      <c r="F229" s="20" t="s">
        <v>499</v>
      </c>
      <c r="G229" s="8" t="str">
        <f t="shared" si="3"/>
        <v>CHANDLER KELVIN</v>
      </c>
    </row>
    <row r="230" spans="1:7" x14ac:dyDescent="0.25">
      <c r="A230" s="8">
        <v>42815.914085648146</v>
      </c>
      <c r="B230" t="s">
        <v>400</v>
      </c>
      <c r="C230" t="s">
        <v>808</v>
      </c>
      <c r="D230" s="150">
        <v>1740000</v>
      </c>
      <c r="E230" t="s">
        <v>556</v>
      </c>
      <c r="F230" s="20" t="s">
        <v>557</v>
      </c>
      <c r="G230" s="8" t="str">
        <f t="shared" si="3"/>
        <v>STORY SAMANTHA</v>
      </c>
    </row>
    <row r="231" spans="1:7" x14ac:dyDescent="0.25">
      <c r="A231" s="8">
        <v>42815.921898148146</v>
      </c>
      <c r="B231" t="s">
        <v>631</v>
      </c>
      <c r="C231" t="s">
        <v>809</v>
      </c>
      <c r="D231" s="150">
        <v>2000000</v>
      </c>
      <c r="E231" t="s">
        <v>396</v>
      </c>
      <c r="F231" s="20" t="s">
        <v>195</v>
      </c>
      <c r="G231" s="8" t="str">
        <f t="shared" si="3"/>
        <v>STAMBAUGH JAMES</v>
      </c>
    </row>
    <row r="232" spans="1:7" x14ac:dyDescent="0.25">
      <c r="A232" s="8">
        <v>42815.928124999999</v>
      </c>
      <c r="B232" t="s">
        <v>405</v>
      </c>
      <c r="C232" t="s">
        <v>810</v>
      </c>
      <c r="D232" s="150">
        <v>2150000</v>
      </c>
      <c r="E232" t="s">
        <v>388</v>
      </c>
      <c r="F232" s="20" t="s">
        <v>389</v>
      </c>
      <c r="G232" s="8" t="str">
        <f t="shared" si="3"/>
        <v>SWANSON BRYCE</v>
      </c>
    </row>
    <row r="233" spans="1:7" x14ac:dyDescent="0.25">
      <c r="A233" s="8">
        <v>42815.931226851855</v>
      </c>
      <c r="B233" t="s">
        <v>421</v>
      </c>
      <c r="C233" t="s">
        <v>811</v>
      </c>
      <c r="D233" s="150">
        <v>1810000</v>
      </c>
      <c r="E233" t="s">
        <v>501</v>
      </c>
      <c r="F233" s="20" t="s">
        <v>195</v>
      </c>
      <c r="G233" s="8" t="str">
        <f t="shared" si="3"/>
        <v>NEWELL JAMES</v>
      </c>
    </row>
    <row r="234" spans="1:7" x14ac:dyDescent="0.25">
      <c r="A234" s="8">
        <v>42815.943749999999</v>
      </c>
      <c r="B234" t="s">
        <v>404</v>
      </c>
      <c r="C234" t="s">
        <v>812</v>
      </c>
      <c r="D234" s="150">
        <v>2150000</v>
      </c>
      <c r="E234" t="s">
        <v>388</v>
      </c>
      <c r="F234" s="20" t="s">
        <v>389</v>
      </c>
      <c r="G234" s="8" t="str">
        <f t="shared" si="3"/>
        <v>SWANSON BRYCE</v>
      </c>
    </row>
    <row r="235" spans="1:7" x14ac:dyDescent="0.25">
      <c r="A235" s="8">
        <v>42815.944074074076</v>
      </c>
      <c r="B235" t="s">
        <v>500</v>
      </c>
      <c r="C235" t="s">
        <v>629</v>
      </c>
      <c r="D235" s="150">
        <v>2610000</v>
      </c>
      <c r="E235" t="s">
        <v>554</v>
      </c>
      <c r="F235" s="20" t="s">
        <v>555</v>
      </c>
      <c r="G235" s="8" t="str">
        <f t="shared" si="3"/>
        <v>MAGEE KENYA</v>
      </c>
    </row>
    <row r="236" spans="1:7" x14ac:dyDescent="0.25">
      <c r="A236" s="8">
        <v>42815.948148148149</v>
      </c>
      <c r="B236" t="s">
        <v>399</v>
      </c>
      <c r="C236" t="s">
        <v>813</v>
      </c>
      <c r="D236" s="150">
        <v>1740000</v>
      </c>
      <c r="E236" t="s">
        <v>556</v>
      </c>
      <c r="F236" s="20" t="s">
        <v>557</v>
      </c>
      <c r="G236" s="8" t="str">
        <f t="shared" si="3"/>
        <v>STORY SAMANTHA</v>
      </c>
    </row>
    <row r="237" spans="1:7" x14ac:dyDescent="0.25">
      <c r="A237" s="8">
        <v>42815.948634259257</v>
      </c>
      <c r="B237" t="s">
        <v>490</v>
      </c>
      <c r="C237" t="s">
        <v>629</v>
      </c>
      <c r="D237" s="150">
        <v>2610000</v>
      </c>
      <c r="E237" t="s">
        <v>554</v>
      </c>
      <c r="F237" s="20" t="s">
        <v>555</v>
      </c>
      <c r="G237" s="8" t="str">
        <f t="shared" si="3"/>
        <v>MAGEE KENYA</v>
      </c>
    </row>
    <row r="238" spans="1:7" x14ac:dyDescent="0.25">
      <c r="A238" s="8">
        <v>42815.956203703703</v>
      </c>
      <c r="B238" t="s">
        <v>422</v>
      </c>
      <c r="C238" t="s">
        <v>814</v>
      </c>
      <c r="D238" s="150">
        <v>1800000</v>
      </c>
      <c r="E238" t="s">
        <v>498</v>
      </c>
      <c r="F238" s="20" t="s">
        <v>499</v>
      </c>
      <c r="G238" s="8" t="str">
        <f t="shared" si="3"/>
        <v>CHANDLER KELVIN</v>
      </c>
    </row>
    <row r="239" spans="1:7" x14ac:dyDescent="0.25">
      <c r="A239" s="8">
        <v>42815.975173611114</v>
      </c>
      <c r="B239" t="s">
        <v>642</v>
      </c>
      <c r="C239" t="s">
        <v>815</v>
      </c>
      <c r="D239" s="150">
        <v>2000000</v>
      </c>
      <c r="E239" t="s">
        <v>396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425</v>
      </c>
      <c r="C240" t="s">
        <v>816</v>
      </c>
      <c r="D240" s="150">
        <v>1810000</v>
      </c>
      <c r="E240" t="s">
        <v>501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425</v>
      </c>
      <c r="C241" t="s">
        <v>816</v>
      </c>
      <c r="D241" s="150">
        <v>1810000</v>
      </c>
      <c r="E241" t="s">
        <v>501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400</v>
      </c>
      <c r="C242" t="s">
        <v>817</v>
      </c>
      <c r="D242" s="150">
        <v>1740000</v>
      </c>
      <c r="E242" t="s">
        <v>556</v>
      </c>
      <c r="F242" s="20" t="s">
        <v>557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423</v>
      </c>
      <c r="C243" t="s">
        <v>818</v>
      </c>
      <c r="D243" s="150">
        <v>1800000</v>
      </c>
      <c r="E243" t="s">
        <v>498</v>
      </c>
      <c r="F243" s="20" t="s">
        <v>499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631</v>
      </c>
      <c r="C244" t="s">
        <v>819</v>
      </c>
      <c r="D244" s="150">
        <v>2000000</v>
      </c>
      <c r="E244" t="s">
        <v>396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421</v>
      </c>
      <c r="C245" t="s">
        <v>639</v>
      </c>
      <c r="D245" s="150">
        <v>1810000</v>
      </c>
      <c r="E245" t="s">
        <v>501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399</v>
      </c>
      <c r="C246" t="s">
        <v>820</v>
      </c>
      <c r="D246" s="150">
        <v>1740000</v>
      </c>
      <c r="E246" t="s">
        <v>556</v>
      </c>
      <c r="F246" s="20" t="s">
        <v>557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422</v>
      </c>
      <c r="C247" t="s">
        <v>821</v>
      </c>
      <c r="D247" s="150">
        <v>1800000</v>
      </c>
      <c r="E247" t="s">
        <v>498</v>
      </c>
      <c r="F247" s="20" t="s">
        <v>499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399</v>
      </c>
      <c r="C248" t="s">
        <v>820</v>
      </c>
      <c r="D248" s="150">
        <v>1740000</v>
      </c>
      <c r="E248" t="s">
        <v>556</v>
      </c>
      <c r="F248" s="20" t="s">
        <v>557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399</v>
      </c>
      <c r="C249" t="s">
        <v>820</v>
      </c>
      <c r="D249" s="150">
        <v>1740000</v>
      </c>
      <c r="E249" t="s">
        <v>556</v>
      </c>
      <c r="F249" s="20" t="s">
        <v>557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425</v>
      </c>
      <c r="C250" t="s">
        <v>822</v>
      </c>
      <c r="D250" s="150">
        <v>1810000</v>
      </c>
      <c r="E250" t="s">
        <v>501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642</v>
      </c>
      <c r="C251" t="s">
        <v>823</v>
      </c>
      <c r="D251" s="150">
        <v>2000000</v>
      </c>
      <c r="E251" t="s">
        <v>396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400</v>
      </c>
      <c r="C252" t="s">
        <v>820</v>
      </c>
      <c r="D252" s="150">
        <v>1740000</v>
      </c>
      <c r="E252" t="s">
        <v>556</v>
      </c>
      <c r="F252" s="20" t="s">
        <v>557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400</v>
      </c>
      <c r="C253" t="s">
        <v>824</v>
      </c>
      <c r="D253" s="150">
        <v>1740000</v>
      </c>
      <c r="E253" t="s">
        <v>556</v>
      </c>
      <c r="F253" s="20" t="s">
        <v>557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631</v>
      </c>
      <c r="C254" t="s">
        <v>825</v>
      </c>
      <c r="D254" s="150">
        <v>2000000</v>
      </c>
      <c r="E254" t="s">
        <v>396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420</v>
      </c>
      <c r="C255" t="s">
        <v>448</v>
      </c>
      <c r="D255" s="150">
        <v>2150000</v>
      </c>
      <c r="E255" t="s">
        <v>388</v>
      </c>
      <c r="F255" s="20" t="s">
        <v>389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423</v>
      </c>
      <c r="C256" t="s">
        <v>449</v>
      </c>
      <c r="D256" s="150">
        <v>2560000</v>
      </c>
      <c r="E256" t="s">
        <v>446</v>
      </c>
      <c r="F256" s="20" t="s">
        <v>447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413</v>
      </c>
      <c r="C257" t="s">
        <v>450</v>
      </c>
      <c r="D257" s="150">
        <v>1540000</v>
      </c>
      <c r="E257" t="s">
        <v>406</v>
      </c>
      <c r="F257" s="20" t="s">
        <v>407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423</v>
      </c>
      <c r="C258" t="s">
        <v>451</v>
      </c>
      <c r="D258" s="150">
        <v>2560000</v>
      </c>
      <c r="E258" t="s">
        <v>446</v>
      </c>
      <c r="F258" s="20" t="s">
        <v>447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423</v>
      </c>
      <c r="C259" t="s">
        <v>451</v>
      </c>
      <c r="D259" s="150">
        <v>2560000</v>
      </c>
      <c r="E259" t="s">
        <v>446</v>
      </c>
      <c r="F259" s="20" t="s">
        <v>447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423</v>
      </c>
      <c r="C260" t="s">
        <v>451</v>
      </c>
      <c r="D260" s="150">
        <v>2560000</v>
      </c>
      <c r="E260" t="s">
        <v>446</v>
      </c>
      <c r="F260" s="20" t="s">
        <v>447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423</v>
      </c>
      <c r="C261" t="s">
        <v>451</v>
      </c>
      <c r="D261" s="150">
        <v>2560000</v>
      </c>
      <c r="E261" t="s">
        <v>446</v>
      </c>
      <c r="F261" s="20" t="s">
        <v>447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412</v>
      </c>
      <c r="C262" t="s">
        <v>452</v>
      </c>
      <c r="D262" s="150">
        <v>1540000</v>
      </c>
      <c r="E262" t="s">
        <v>406</v>
      </c>
      <c r="F262" s="20" t="s">
        <v>407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453</v>
      </c>
      <c r="D263" s="150">
        <v>2230000</v>
      </c>
      <c r="E263" t="s">
        <v>414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395</v>
      </c>
      <c r="C264" t="s">
        <v>454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413</v>
      </c>
      <c r="C265" t="s">
        <v>455</v>
      </c>
      <c r="D265" s="150">
        <v>1540000</v>
      </c>
      <c r="E265" t="s">
        <v>406</v>
      </c>
      <c r="F265" s="20" t="s">
        <v>407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423</v>
      </c>
      <c r="C266" t="s">
        <v>451</v>
      </c>
      <c r="D266" s="150">
        <v>2560000</v>
      </c>
      <c r="E266" t="s">
        <v>446</v>
      </c>
      <c r="F266" s="20" t="s">
        <v>447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424</v>
      </c>
      <c r="C267" t="s">
        <v>456</v>
      </c>
      <c r="D267" s="150">
        <v>2150000</v>
      </c>
      <c r="E267" t="s">
        <v>388</v>
      </c>
      <c r="F267" s="20" t="s">
        <v>389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400</v>
      </c>
      <c r="C268" t="s">
        <v>457</v>
      </c>
      <c r="D268" s="150">
        <v>2000000</v>
      </c>
      <c r="E268" t="s">
        <v>396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412</v>
      </c>
      <c r="C269" t="s">
        <v>458</v>
      </c>
      <c r="D269" s="150">
        <v>1540000</v>
      </c>
      <c r="E269" t="s">
        <v>406</v>
      </c>
      <c r="F269" s="20" t="s">
        <v>407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413</v>
      </c>
      <c r="C270" t="s">
        <v>459</v>
      </c>
      <c r="D270" s="150">
        <v>2630000</v>
      </c>
      <c r="E270" t="s">
        <v>429</v>
      </c>
      <c r="F270" s="20" t="s">
        <v>430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400</v>
      </c>
      <c r="C271" t="s">
        <v>457</v>
      </c>
      <c r="D271" s="150">
        <v>2000000</v>
      </c>
      <c r="E271" t="s">
        <v>396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453</v>
      </c>
      <c r="D272" s="150">
        <v>2230000</v>
      </c>
      <c r="E272" t="s">
        <v>414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394</v>
      </c>
      <c r="C273" t="s">
        <v>438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412</v>
      </c>
      <c r="C274" t="s">
        <v>460</v>
      </c>
      <c r="D274" s="150">
        <v>2630000</v>
      </c>
      <c r="E274" t="s">
        <v>429</v>
      </c>
      <c r="F274" s="20" t="s">
        <v>430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394</v>
      </c>
      <c r="C275" t="s">
        <v>438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394</v>
      </c>
      <c r="C276" t="s">
        <v>438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437</v>
      </c>
      <c r="C277" t="s">
        <v>461</v>
      </c>
      <c r="D277" s="150">
        <v>2230000</v>
      </c>
      <c r="E277" t="s">
        <v>414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437</v>
      </c>
      <c r="C278" t="s">
        <v>462</v>
      </c>
      <c r="D278" s="150">
        <v>2230000</v>
      </c>
      <c r="E278" t="s">
        <v>414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420</v>
      </c>
      <c r="C279" t="s">
        <v>439</v>
      </c>
      <c r="D279" s="150">
        <v>2150000</v>
      </c>
      <c r="E279" t="s">
        <v>388</v>
      </c>
      <c r="F279" s="20" t="s">
        <v>389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420</v>
      </c>
      <c r="C280" t="s">
        <v>439</v>
      </c>
      <c r="D280" s="150">
        <v>2150000</v>
      </c>
      <c r="E280" t="s">
        <v>388</v>
      </c>
      <c r="F280" s="20" t="s">
        <v>389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437</v>
      </c>
      <c r="C281" t="s">
        <v>462</v>
      </c>
      <c r="D281" s="150">
        <v>2230000</v>
      </c>
      <c r="E281" t="s">
        <v>414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399</v>
      </c>
      <c r="C282" t="s">
        <v>463</v>
      </c>
      <c r="D282" s="150">
        <v>2000000</v>
      </c>
      <c r="E282" t="s">
        <v>396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437</v>
      </c>
      <c r="C283" t="s">
        <v>462</v>
      </c>
      <c r="D283" s="150">
        <v>2230000</v>
      </c>
      <c r="E283" t="s">
        <v>414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422</v>
      </c>
      <c r="C284" t="s">
        <v>464</v>
      </c>
      <c r="D284" s="150">
        <v>2560000</v>
      </c>
      <c r="E284" t="s">
        <v>446</v>
      </c>
      <c r="F284" s="20" t="s">
        <v>447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437</v>
      </c>
      <c r="C285" t="s">
        <v>462</v>
      </c>
      <c r="D285" s="150">
        <v>2230000</v>
      </c>
      <c r="E285" t="s">
        <v>414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395</v>
      </c>
      <c r="C286" t="s">
        <v>465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466</v>
      </c>
      <c r="D287" s="150">
        <v>2230000</v>
      </c>
      <c r="E287" t="s">
        <v>414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400</v>
      </c>
      <c r="C288" t="s">
        <v>467</v>
      </c>
      <c r="D288" s="150">
        <v>2000000</v>
      </c>
      <c r="E288" t="s">
        <v>396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424</v>
      </c>
      <c r="C289" t="s">
        <v>468</v>
      </c>
      <c r="D289" s="150">
        <v>2150000</v>
      </c>
      <c r="E289" t="s">
        <v>388</v>
      </c>
      <c r="F289" s="20" t="s">
        <v>389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424</v>
      </c>
      <c r="C290" t="s">
        <v>468</v>
      </c>
      <c r="D290" s="150">
        <v>2150000</v>
      </c>
      <c r="E290" t="s">
        <v>388</v>
      </c>
      <c r="F290" s="20" t="s">
        <v>389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424</v>
      </c>
      <c r="C291" t="s">
        <v>468</v>
      </c>
      <c r="D291" s="150">
        <v>2150000</v>
      </c>
      <c r="E291" t="s">
        <v>388</v>
      </c>
      <c r="F291" s="20" t="s">
        <v>389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437</v>
      </c>
      <c r="C292" t="s">
        <v>469</v>
      </c>
      <c r="D292" s="150">
        <v>2230000</v>
      </c>
      <c r="E292" t="s">
        <v>414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394</v>
      </c>
      <c r="C293" t="s">
        <v>470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394</v>
      </c>
      <c r="C294" t="s">
        <v>470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394</v>
      </c>
      <c r="C295" t="s">
        <v>470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413</v>
      </c>
      <c r="C296" t="s">
        <v>471</v>
      </c>
      <c r="D296" s="150">
        <v>2150000</v>
      </c>
      <c r="E296" t="s">
        <v>388</v>
      </c>
      <c r="F296" s="20" t="s">
        <v>389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395</v>
      </c>
      <c r="C297" t="s">
        <v>472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826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55.01</v>
      </c>
      <c r="B2" s="168">
        <v>0.64</v>
      </c>
      <c r="C2" s="168">
        <v>32.549999999999997</v>
      </c>
      <c r="D2" s="8">
        <v>42815</v>
      </c>
      <c r="E2" s="168">
        <v>0.42</v>
      </c>
      <c r="F2" s="168" t="s">
        <v>357</v>
      </c>
      <c r="G2" s="168">
        <v>286.27999999999997</v>
      </c>
      <c r="H2" s="168">
        <v>0</v>
      </c>
      <c r="I2" s="168">
        <v>0</v>
      </c>
      <c r="J2" s="168"/>
      <c r="K2" s="168">
        <v>1017.57</v>
      </c>
      <c r="L2" s="168" t="s">
        <v>505</v>
      </c>
      <c r="M2" s="168">
        <v>55.01</v>
      </c>
      <c r="N2" s="168">
        <v>1490076000</v>
      </c>
      <c r="O2" s="168">
        <v>6.27</v>
      </c>
      <c r="P2" s="168">
        <v>10</v>
      </c>
      <c r="Q2" s="168">
        <v>2.91</v>
      </c>
      <c r="R2"/>
    </row>
    <row r="3" spans="1:18" x14ac:dyDescent="0.25">
      <c r="A3" s="168">
        <v>52.66</v>
      </c>
      <c r="B3" s="168">
        <v>0.54</v>
      </c>
      <c r="C3" s="168">
        <v>32.79</v>
      </c>
      <c r="D3" s="8">
        <v>42815.041666666664</v>
      </c>
      <c r="E3" s="168">
        <v>0.47</v>
      </c>
      <c r="F3" s="168" t="s">
        <v>357</v>
      </c>
      <c r="G3" s="168">
        <v>287.43</v>
      </c>
      <c r="H3" s="168">
        <v>0</v>
      </c>
      <c r="I3" s="168">
        <v>0</v>
      </c>
      <c r="J3" s="168"/>
      <c r="K3" s="168">
        <v>1018.24</v>
      </c>
      <c r="L3" s="168" t="s">
        <v>358</v>
      </c>
      <c r="M3" s="168">
        <v>52.66</v>
      </c>
      <c r="N3" s="168">
        <v>1490079600</v>
      </c>
      <c r="O3" s="168">
        <v>6.41</v>
      </c>
      <c r="P3" s="168">
        <v>355</v>
      </c>
      <c r="Q3" s="168">
        <v>4.59</v>
      </c>
      <c r="R3"/>
    </row>
    <row r="4" spans="1:18" x14ac:dyDescent="0.25">
      <c r="A4" s="168">
        <v>50.43</v>
      </c>
      <c r="B4" s="168">
        <v>0.39</v>
      </c>
      <c r="C4" s="168">
        <v>32.94</v>
      </c>
      <c r="D4" s="8">
        <v>42815.083333333336</v>
      </c>
      <c r="E4" s="168">
        <v>0.51</v>
      </c>
      <c r="F4" s="168" t="s">
        <v>357</v>
      </c>
      <c r="G4" s="168">
        <v>288.57</v>
      </c>
      <c r="H4" s="168">
        <v>0</v>
      </c>
      <c r="I4" s="168">
        <v>0</v>
      </c>
      <c r="J4" s="168"/>
      <c r="K4" s="168">
        <v>1018.87</v>
      </c>
      <c r="L4" s="168" t="s">
        <v>358</v>
      </c>
      <c r="M4" s="168">
        <v>50.43</v>
      </c>
      <c r="N4" s="168">
        <v>1490083200</v>
      </c>
      <c r="O4" s="168">
        <v>6.53</v>
      </c>
      <c r="P4" s="168">
        <v>347</v>
      </c>
      <c r="Q4" s="168">
        <v>5</v>
      </c>
      <c r="R4"/>
    </row>
    <row r="5" spans="1:18" x14ac:dyDescent="0.25">
      <c r="A5" s="168">
        <v>46.05</v>
      </c>
      <c r="B5" s="168">
        <v>0.27</v>
      </c>
      <c r="C5" s="168">
        <v>32.69</v>
      </c>
      <c r="D5" s="8">
        <v>42815.125</v>
      </c>
      <c r="E5" s="168">
        <v>0.56000000000000005</v>
      </c>
      <c r="F5" s="168" t="s">
        <v>357</v>
      </c>
      <c r="G5" s="168">
        <v>289.72000000000003</v>
      </c>
      <c r="H5" s="168">
        <v>0</v>
      </c>
      <c r="I5" s="168">
        <v>0</v>
      </c>
      <c r="J5" s="168"/>
      <c r="K5" s="168">
        <v>1019.48</v>
      </c>
      <c r="L5" s="168" t="s">
        <v>358</v>
      </c>
      <c r="M5" s="168">
        <v>47.82</v>
      </c>
      <c r="N5" s="168">
        <v>1490086800</v>
      </c>
      <c r="O5" s="168">
        <v>6.5</v>
      </c>
      <c r="P5" s="168">
        <v>345</v>
      </c>
      <c r="Q5" s="168">
        <v>4.41</v>
      </c>
      <c r="R5"/>
    </row>
    <row r="6" spans="1:18" x14ac:dyDescent="0.25">
      <c r="A6" s="168">
        <v>45.28</v>
      </c>
      <c r="B6" s="168">
        <v>0.26</v>
      </c>
      <c r="C6" s="168">
        <v>32.71</v>
      </c>
      <c r="D6" s="8">
        <v>42815.166666666664</v>
      </c>
      <c r="E6" s="168">
        <v>0.61</v>
      </c>
      <c r="F6" s="168" t="s">
        <v>357</v>
      </c>
      <c r="G6" s="168">
        <v>289</v>
      </c>
      <c r="H6" s="168">
        <v>0</v>
      </c>
      <c r="I6" s="168">
        <v>0</v>
      </c>
      <c r="J6" s="168"/>
      <c r="K6" s="168">
        <v>1019.9</v>
      </c>
      <c r="L6" s="168" t="s">
        <v>358</v>
      </c>
      <c r="M6" s="168">
        <v>45.28</v>
      </c>
      <c r="N6" s="168">
        <v>1490090400</v>
      </c>
      <c r="O6" s="168">
        <v>6.6</v>
      </c>
      <c r="P6" s="168">
        <v>351</v>
      </c>
      <c r="Q6" s="168">
        <v>2.4900000000000002</v>
      </c>
      <c r="R6"/>
    </row>
    <row r="7" spans="1:18" x14ac:dyDescent="0.25">
      <c r="A7" s="168">
        <v>43.26</v>
      </c>
      <c r="B7" s="168">
        <v>0.28999999999999998</v>
      </c>
      <c r="C7" s="168">
        <v>32.46</v>
      </c>
      <c r="D7" s="8">
        <v>42815.208333333336</v>
      </c>
      <c r="E7" s="168">
        <v>0.65</v>
      </c>
      <c r="F7" s="168" t="s">
        <v>357</v>
      </c>
      <c r="G7" s="168">
        <v>287.52</v>
      </c>
      <c r="H7" s="168">
        <v>0</v>
      </c>
      <c r="I7" s="168">
        <v>0</v>
      </c>
      <c r="J7" s="168"/>
      <c r="K7" s="168">
        <v>1020.19</v>
      </c>
      <c r="L7" s="168" t="s">
        <v>358</v>
      </c>
      <c r="M7" s="168">
        <v>43.26</v>
      </c>
      <c r="N7" s="168">
        <v>1490094000</v>
      </c>
      <c r="O7" s="168">
        <v>7.15</v>
      </c>
      <c r="P7" s="168">
        <v>321</v>
      </c>
      <c r="Q7" s="168">
        <v>1.1599999999999999</v>
      </c>
      <c r="R7"/>
    </row>
    <row r="8" spans="1:18" x14ac:dyDescent="0.25">
      <c r="A8" s="168">
        <v>41.71</v>
      </c>
      <c r="B8" s="168">
        <v>0.31</v>
      </c>
      <c r="C8" s="168">
        <v>31.09</v>
      </c>
      <c r="D8" s="8">
        <v>42815.25</v>
      </c>
      <c r="E8" s="168">
        <v>0.66</v>
      </c>
      <c r="F8" s="168" t="s">
        <v>357</v>
      </c>
      <c r="G8" s="168">
        <v>286.33</v>
      </c>
      <c r="H8" s="168">
        <v>0</v>
      </c>
      <c r="I8" s="168">
        <v>0</v>
      </c>
      <c r="J8" s="168"/>
      <c r="K8" s="168">
        <v>1020.25</v>
      </c>
      <c r="L8" s="168" t="s">
        <v>358</v>
      </c>
      <c r="M8" s="168">
        <v>41.71</v>
      </c>
      <c r="N8" s="168">
        <v>1490097600</v>
      </c>
      <c r="O8" s="168">
        <v>7.99</v>
      </c>
      <c r="P8" s="168">
        <v>265</v>
      </c>
      <c r="Q8" s="168">
        <v>1.28</v>
      </c>
      <c r="R8"/>
    </row>
    <row r="9" spans="1:18" x14ac:dyDescent="0.25">
      <c r="A9" s="168">
        <v>41.73</v>
      </c>
      <c r="B9" s="168">
        <v>0.37</v>
      </c>
      <c r="C9" s="168">
        <v>31.68</v>
      </c>
      <c r="D9" s="8">
        <v>42815.291666666664</v>
      </c>
      <c r="E9" s="168">
        <v>0.67</v>
      </c>
      <c r="F9" s="168" t="s">
        <v>357</v>
      </c>
      <c r="G9" s="168">
        <v>285.95999999999998</v>
      </c>
      <c r="H9" s="168">
        <v>0</v>
      </c>
      <c r="I9" s="168">
        <v>0</v>
      </c>
      <c r="J9" s="168"/>
      <c r="K9" s="168">
        <v>1020.02</v>
      </c>
      <c r="L9" s="168" t="s">
        <v>358</v>
      </c>
      <c r="M9" s="168">
        <v>41.73</v>
      </c>
      <c r="N9" s="168">
        <v>1490101200</v>
      </c>
      <c r="O9" s="168">
        <v>7.15</v>
      </c>
      <c r="P9" s="168">
        <v>256</v>
      </c>
      <c r="Q9" s="168">
        <v>1.4</v>
      </c>
      <c r="R9"/>
    </row>
    <row r="10" spans="1:18" x14ac:dyDescent="0.25">
      <c r="A10" s="168">
        <v>43.09</v>
      </c>
      <c r="B10" s="168">
        <v>0.43</v>
      </c>
      <c r="C10" s="168">
        <v>32.56</v>
      </c>
      <c r="D10" s="8">
        <v>42815.333333333336</v>
      </c>
      <c r="E10" s="168">
        <v>0.66</v>
      </c>
      <c r="F10" s="168" t="s">
        <v>359</v>
      </c>
      <c r="G10" s="168">
        <v>285.87</v>
      </c>
      <c r="H10" s="168">
        <v>0</v>
      </c>
      <c r="I10" s="168">
        <v>0</v>
      </c>
      <c r="J10" s="168"/>
      <c r="K10" s="168">
        <v>1019.59</v>
      </c>
      <c r="L10" s="168" t="s">
        <v>358</v>
      </c>
      <c r="M10" s="168">
        <v>43.09</v>
      </c>
      <c r="N10" s="168">
        <v>1490104800</v>
      </c>
      <c r="O10" s="168">
        <v>6.72</v>
      </c>
      <c r="P10" s="168">
        <v>251</v>
      </c>
      <c r="Q10" s="168">
        <v>0.83</v>
      </c>
      <c r="R10"/>
    </row>
    <row r="11" spans="1:18" x14ac:dyDescent="0.25">
      <c r="A11" s="168">
        <v>47.83</v>
      </c>
      <c r="B11" s="168">
        <v>0.48</v>
      </c>
      <c r="C11" s="168">
        <v>34.82</v>
      </c>
      <c r="D11" s="8">
        <v>42815.375</v>
      </c>
      <c r="E11" s="168">
        <v>0.6</v>
      </c>
      <c r="F11" s="168" t="s">
        <v>359</v>
      </c>
      <c r="G11" s="168">
        <v>285.52999999999997</v>
      </c>
      <c r="H11" s="168">
        <v>0</v>
      </c>
      <c r="I11" s="168">
        <v>0</v>
      </c>
      <c r="J11" s="168"/>
      <c r="K11" s="168">
        <v>1019.06</v>
      </c>
      <c r="L11" s="168" t="s">
        <v>358</v>
      </c>
      <c r="M11" s="168">
        <v>47.83</v>
      </c>
      <c r="N11" s="168">
        <v>1490108400</v>
      </c>
      <c r="O11" s="168">
        <v>6.63</v>
      </c>
      <c r="P11" s="168">
        <v>304</v>
      </c>
      <c r="Q11" s="168">
        <v>1.2</v>
      </c>
      <c r="R11"/>
    </row>
    <row r="12" spans="1:18" x14ac:dyDescent="0.25">
      <c r="A12" s="168">
        <v>52.72</v>
      </c>
      <c r="B12" s="168">
        <v>0.55000000000000004</v>
      </c>
      <c r="C12" s="168">
        <v>35.93</v>
      </c>
      <c r="D12" s="8">
        <v>42815.416666666664</v>
      </c>
      <c r="E12" s="168">
        <v>0.53</v>
      </c>
      <c r="F12" s="168" t="s">
        <v>359</v>
      </c>
      <c r="G12" s="168">
        <v>284.57</v>
      </c>
      <c r="H12" s="168">
        <v>0</v>
      </c>
      <c r="I12" s="168">
        <v>0</v>
      </c>
      <c r="J12" s="168"/>
      <c r="K12" s="168">
        <v>1018.52</v>
      </c>
      <c r="L12" s="168" t="s">
        <v>358</v>
      </c>
      <c r="M12" s="168">
        <v>52.72</v>
      </c>
      <c r="N12" s="168">
        <v>1490112000</v>
      </c>
      <c r="O12" s="168">
        <v>6.64</v>
      </c>
      <c r="P12" s="168">
        <v>1</v>
      </c>
      <c r="Q12" s="168">
        <v>2.16</v>
      </c>
      <c r="R12"/>
    </row>
    <row r="13" spans="1:18" x14ac:dyDescent="0.25">
      <c r="A13" s="168">
        <v>56.23</v>
      </c>
      <c r="B13" s="168">
        <v>0.67</v>
      </c>
      <c r="C13" s="168">
        <v>35.04</v>
      </c>
      <c r="D13" s="8">
        <v>42815.458333333336</v>
      </c>
      <c r="E13" s="168">
        <v>0.45</v>
      </c>
      <c r="F13" s="168" t="s">
        <v>359</v>
      </c>
      <c r="G13" s="168">
        <v>283.35000000000002</v>
      </c>
      <c r="H13" s="168">
        <v>0</v>
      </c>
      <c r="I13" s="168">
        <v>0</v>
      </c>
      <c r="J13" s="168"/>
      <c r="K13" s="168">
        <v>1017.88</v>
      </c>
      <c r="L13" s="168" t="s">
        <v>505</v>
      </c>
      <c r="M13" s="168">
        <v>56.23</v>
      </c>
      <c r="N13" s="168">
        <v>1490115600</v>
      </c>
      <c r="O13" s="168">
        <v>5.22</v>
      </c>
      <c r="P13" s="168">
        <v>25</v>
      </c>
      <c r="Q13" s="168">
        <v>2.97</v>
      </c>
      <c r="R13"/>
    </row>
    <row r="14" spans="1:18" x14ac:dyDescent="0.25">
      <c r="A14" s="168">
        <v>58.07</v>
      </c>
      <c r="B14" s="168">
        <v>0.75</v>
      </c>
      <c r="C14" s="168">
        <v>36.630000000000003</v>
      </c>
      <c r="D14" s="8">
        <v>42815.5</v>
      </c>
      <c r="E14" s="168">
        <v>0.45</v>
      </c>
      <c r="F14" s="168" t="s">
        <v>359</v>
      </c>
      <c r="G14" s="168">
        <v>282.37</v>
      </c>
      <c r="H14" s="168">
        <v>2.7000000000000001E-3</v>
      </c>
      <c r="I14" s="168">
        <v>0.08</v>
      </c>
      <c r="J14" s="168" t="s">
        <v>827</v>
      </c>
      <c r="K14" s="168">
        <v>1017.08</v>
      </c>
      <c r="L14" s="168" t="s">
        <v>505</v>
      </c>
      <c r="M14" s="168">
        <v>58.07</v>
      </c>
      <c r="N14" s="168">
        <v>1490119200</v>
      </c>
      <c r="O14" s="168">
        <v>5.26</v>
      </c>
      <c r="P14" s="168">
        <v>25</v>
      </c>
      <c r="Q14" s="168">
        <v>3.94</v>
      </c>
      <c r="R14"/>
    </row>
    <row r="15" spans="1:18" x14ac:dyDescent="0.25">
      <c r="A15" s="168">
        <v>61.7</v>
      </c>
      <c r="B15" s="168">
        <v>0.69</v>
      </c>
      <c r="C15" s="168">
        <v>37.479999999999997</v>
      </c>
      <c r="D15" s="8">
        <v>42815.541666666664</v>
      </c>
      <c r="E15" s="168">
        <v>0.41</v>
      </c>
      <c r="F15" s="168" t="s">
        <v>359</v>
      </c>
      <c r="G15" s="168">
        <v>281.95999999999998</v>
      </c>
      <c r="H15" s="168">
        <v>0</v>
      </c>
      <c r="I15" s="168">
        <v>0</v>
      </c>
      <c r="J15" s="168"/>
      <c r="K15" s="168">
        <v>1016.01</v>
      </c>
      <c r="L15" s="168" t="s">
        <v>505</v>
      </c>
      <c r="M15" s="168">
        <v>61.7</v>
      </c>
      <c r="N15" s="168">
        <v>1490122800</v>
      </c>
      <c r="O15" s="168">
        <v>5.29</v>
      </c>
      <c r="P15" s="168">
        <v>30</v>
      </c>
      <c r="Q15" s="168">
        <v>4.96</v>
      </c>
      <c r="R15"/>
    </row>
    <row r="16" spans="1:18" x14ac:dyDescent="0.25">
      <c r="A16" s="168">
        <v>63.41</v>
      </c>
      <c r="B16" s="168">
        <v>0.68</v>
      </c>
      <c r="C16" s="168">
        <v>37.450000000000003</v>
      </c>
      <c r="D16" s="8">
        <v>42815.583333333336</v>
      </c>
      <c r="E16" s="168">
        <v>0.38</v>
      </c>
      <c r="F16" s="168" t="s">
        <v>359</v>
      </c>
      <c r="G16" s="168">
        <v>281.77999999999997</v>
      </c>
      <c r="H16" s="168">
        <v>1.8E-3</v>
      </c>
      <c r="I16" s="168">
        <v>0.04</v>
      </c>
      <c r="J16" s="168" t="s">
        <v>827</v>
      </c>
      <c r="K16" s="168">
        <v>1014.89</v>
      </c>
      <c r="L16" s="168" t="s">
        <v>505</v>
      </c>
      <c r="M16" s="168">
        <v>63.41</v>
      </c>
      <c r="N16" s="168">
        <v>1490126400</v>
      </c>
      <c r="O16" s="168">
        <v>5.26</v>
      </c>
      <c r="P16" s="168">
        <v>10</v>
      </c>
      <c r="Q16" s="168">
        <v>4.49</v>
      </c>
      <c r="R16"/>
    </row>
    <row r="17" spans="1:18" x14ac:dyDescent="0.25">
      <c r="A17" s="168">
        <v>63.02</v>
      </c>
      <c r="B17" s="168">
        <v>0.71</v>
      </c>
      <c r="C17" s="168">
        <v>35.93</v>
      </c>
      <c r="D17" s="8">
        <v>42815.625</v>
      </c>
      <c r="E17" s="168">
        <v>0.36</v>
      </c>
      <c r="F17" s="168" t="s">
        <v>359</v>
      </c>
      <c r="G17" s="168">
        <v>281.42</v>
      </c>
      <c r="H17" s="168">
        <v>0</v>
      </c>
      <c r="I17" s="168">
        <v>0</v>
      </c>
      <c r="J17" s="168"/>
      <c r="K17" s="168">
        <v>1014.15</v>
      </c>
      <c r="L17" s="168" t="s">
        <v>505</v>
      </c>
      <c r="M17" s="168">
        <v>63.02</v>
      </c>
      <c r="N17" s="168">
        <v>1490130000</v>
      </c>
      <c r="O17" s="168">
        <v>5.23</v>
      </c>
      <c r="P17" s="168">
        <v>357</v>
      </c>
      <c r="Q17" s="168">
        <v>5.72</v>
      </c>
      <c r="R17"/>
    </row>
    <row r="18" spans="1:18" x14ac:dyDescent="0.25">
      <c r="A18" s="168">
        <v>61.8</v>
      </c>
      <c r="B18" s="168">
        <v>0.74</v>
      </c>
      <c r="C18" s="168">
        <v>37.01</v>
      </c>
      <c r="D18" s="8">
        <v>42815.666666666664</v>
      </c>
      <c r="E18" s="168">
        <v>0.4</v>
      </c>
      <c r="F18" s="168" t="s">
        <v>359</v>
      </c>
      <c r="G18" s="168">
        <v>280.54000000000002</v>
      </c>
      <c r="H18" s="168">
        <v>2.3E-3</v>
      </c>
      <c r="I18" s="168">
        <v>0.06</v>
      </c>
      <c r="J18" s="168" t="s">
        <v>827</v>
      </c>
      <c r="K18" s="168">
        <v>1014.03</v>
      </c>
      <c r="L18" s="168" t="s">
        <v>505</v>
      </c>
      <c r="M18" s="168">
        <v>61.8</v>
      </c>
      <c r="N18" s="168">
        <v>1490133600</v>
      </c>
      <c r="O18" s="168">
        <v>5.25</v>
      </c>
      <c r="P18" s="168">
        <v>0</v>
      </c>
      <c r="Q18" s="168">
        <v>4.3600000000000003</v>
      </c>
      <c r="R18"/>
    </row>
    <row r="19" spans="1:18" x14ac:dyDescent="0.25">
      <c r="A19" s="168">
        <v>61.21</v>
      </c>
      <c r="B19" s="168">
        <v>0.81</v>
      </c>
      <c r="C19" s="168">
        <v>36.57</v>
      </c>
      <c r="D19" s="8">
        <v>42815.708333333336</v>
      </c>
      <c r="E19" s="168">
        <v>0.4</v>
      </c>
      <c r="F19" s="168" t="s">
        <v>359</v>
      </c>
      <c r="G19" s="168">
        <v>279.45999999999998</v>
      </c>
      <c r="H19" s="168">
        <v>3.2000000000000002E-3</v>
      </c>
      <c r="I19" s="168">
        <v>0.11</v>
      </c>
      <c r="J19" s="168" t="s">
        <v>827</v>
      </c>
      <c r="K19" s="168">
        <v>1014.34</v>
      </c>
      <c r="L19" s="168" t="s">
        <v>505</v>
      </c>
      <c r="M19" s="168">
        <v>61.21</v>
      </c>
      <c r="N19" s="168">
        <v>1490137200</v>
      </c>
      <c r="O19" s="168">
        <v>5.37</v>
      </c>
      <c r="P19" s="168">
        <v>356</v>
      </c>
      <c r="Q19" s="168">
        <v>4.2</v>
      </c>
      <c r="R19"/>
    </row>
    <row r="20" spans="1:18" x14ac:dyDescent="0.25">
      <c r="A20" s="168">
        <v>59.88</v>
      </c>
      <c r="B20" s="168">
        <v>0.87</v>
      </c>
      <c r="C20" s="168">
        <v>35.69</v>
      </c>
      <c r="D20" s="8">
        <v>42815.75</v>
      </c>
      <c r="E20" s="168">
        <v>0.4</v>
      </c>
      <c r="F20" s="168" t="s">
        <v>359</v>
      </c>
      <c r="G20" s="168">
        <v>278.72000000000003</v>
      </c>
      <c r="H20" s="168">
        <v>0</v>
      </c>
      <c r="I20" s="168">
        <v>0</v>
      </c>
      <c r="J20" s="168"/>
      <c r="K20" s="168">
        <v>1014.76</v>
      </c>
      <c r="L20" s="168" t="s">
        <v>505</v>
      </c>
      <c r="M20" s="168">
        <v>59.88</v>
      </c>
      <c r="N20" s="168">
        <v>1490140800</v>
      </c>
      <c r="O20" s="168">
        <v>5.75</v>
      </c>
      <c r="P20" s="168">
        <v>340</v>
      </c>
      <c r="Q20" s="168">
        <v>2.75</v>
      </c>
      <c r="R20"/>
    </row>
    <row r="21" spans="1:18" x14ac:dyDescent="0.25">
      <c r="A21" s="168">
        <v>57.94</v>
      </c>
      <c r="B21" s="168">
        <v>0.75</v>
      </c>
      <c r="C21" s="168">
        <v>35.44</v>
      </c>
      <c r="D21" s="8">
        <v>42815.791666666664</v>
      </c>
      <c r="E21" s="168">
        <v>0.43</v>
      </c>
      <c r="F21" s="168" t="s">
        <v>359</v>
      </c>
      <c r="G21" s="168">
        <v>278.67</v>
      </c>
      <c r="H21" s="168">
        <v>0</v>
      </c>
      <c r="I21" s="168">
        <v>0</v>
      </c>
      <c r="J21" s="168"/>
      <c r="K21" s="168">
        <v>1014.86</v>
      </c>
      <c r="L21" s="168" t="s">
        <v>505</v>
      </c>
      <c r="M21" s="168">
        <v>57.94</v>
      </c>
      <c r="N21" s="168">
        <v>1490144400</v>
      </c>
      <c r="O21" s="168">
        <v>6.25</v>
      </c>
      <c r="P21" s="168">
        <v>331</v>
      </c>
      <c r="Q21" s="168">
        <v>1.75</v>
      </c>
      <c r="R21"/>
    </row>
    <row r="22" spans="1:18" x14ac:dyDescent="0.25">
      <c r="A22" s="168">
        <v>55.84</v>
      </c>
      <c r="B22" s="168">
        <v>0.5</v>
      </c>
      <c r="C22" s="168">
        <v>35.56</v>
      </c>
      <c r="D22" s="8">
        <v>42815.833333333336</v>
      </c>
      <c r="E22" s="168">
        <v>0.46</v>
      </c>
      <c r="F22" s="168" t="s">
        <v>357</v>
      </c>
      <c r="G22" s="168">
        <v>278.97000000000003</v>
      </c>
      <c r="H22" s="168">
        <v>0</v>
      </c>
      <c r="I22" s="168">
        <v>0</v>
      </c>
      <c r="J22" s="168"/>
      <c r="K22" s="168">
        <v>1015.14</v>
      </c>
      <c r="L22" s="168" t="s">
        <v>358</v>
      </c>
      <c r="M22" s="168">
        <v>55.84</v>
      </c>
      <c r="N22" s="168">
        <v>1490148000</v>
      </c>
      <c r="O22" s="168">
        <v>7.22</v>
      </c>
      <c r="P22" s="168">
        <v>173</v>
      </c>
      <c r="Q22" s="168">
        <v>0.41</v>
      </c>
      <c r="R22"/>
    </row>
    <row r="23" spans="1:18" x14ac:dyDescent="0.25">
      <c r="A23" s="168">
        <v>53.26</v>
      </c>
      <c r="B23" s="168">
        <v>0.31</v>
      </c>
      <c r="C23" s="168">
        <v>33.97</v>
      </c>
      <c r="D23" s="8">
        <v>42815.875</v>
      </c>
      <c r="E23" s="168">
        <v>0.48</v>
      </c>
      <c r="F23" s="168" t="s">
        <v>357</v>
      </c>
      <c r="G23" s="168">
        <v>279.12</v>
      </c>
      <c r="H23" s="168">
        <v>0</v>
      </c>
      <c r="I23" s="168">
        <v>0</v>
      </c>
      <c r="J23" s="168"/>
      <c r="K23" s="168">
        <v>1015.44</v>
      </c>
      <c r="L23" s="168" t="s">
        <v>358</v>
      </c>
      <c r="M23" s="168">
        <v>53.26</v>
      </c>
      <c r="N23" s="168">
        <v>1490151600</v>
      </c>
      <c r="O23" s="168">
        <v>7</v>
      </c>
      <c r="P23" s="168">
        <v>185</v>
      </c>
      <c r="Q23" s="168">
        <v>0.88</v>
      </c>
      <c r="R23"/>
    </row>
    <row r="24" spans="1:18" x14ac:dyDescent="0.25">
      <c r="A24" s="168">
        <v>50.9</v>
      </c>
      <c r="B24" s="168">
        <v>0.25</v>
      </c>
      <c r="C24" s="168">
        <v>33.79</v>
      </c>
      <c r="D24" s="8">
        <v>42815.916666666664</v>
      </c>
      <c r="E24" s="168">
        <v>0.52</v>
      </c>
      <c r="F24" s="168" t="s">
        <v>357</v>
      </c>
      <c r="G24" s="168">
        <v>278.97000000000003</v>
      </c>
      <c r="H24" s="168">
        <v>0</v>
      </c>
      <c r="I24" s="168">
        <v>0</v>
      </c>
      <c r="J24" s="168"/>
      <c r="K24" s="168">
        <v>1015.72</v>
      </c>
      <c r="L24" s="168" t="s">
        <v>358</v>
      </c>
      <c r="M24" s="168">
        <v>50.9</v>
      </c>
      <c r="N24" s="168">
        <v>1490155200</v>
      </c>
      <c r="O24" s="168">
        <v>10</v>
      </c>
      <c r="P24" s="168">
        <v>164</v>
      </c>
      <c r="Q24" s="168">
        <v>3.74</v>
      </c>
      <c r="R24"/>
    </row>
    <row r="25" spans="1:18" x14ac:dyDescent="0.25">
      <c r="A25" s="168">
        <v>49.56</v>
      </c>
      <c r="B25" s="168">
        <v>0.28999999999999998</v>
      </c>
      <c r="C25" s="168">
        <v>34.450000000000003</v>
      </c>
      <c r="D25" s="8">
        <v>42815.958333333336</v>
      </c>
      <c r="E25" s="168">
        <v>0.56000000000000005</v>
      </c>
      <c r="F25" s="168" t="s">
        <v>357</v>
      </c>
      <c r="G25" s="168">
        <v>278.67</v>
      </c>
      <c r="H25" s="168">
        <v>0</v>
      </c>
      <c r="I25" s="168">
        <v>0</v>
      </c>
      <c r="J25" s="168"/>
      <c r="K25" s="168">
        <v>1015.93</v>
      </c>
      <c r="L25" s="168" t="s">
        <v>358</v>
      </c>
      <c r="M25" s="168">
        <v>49.56</v>
      </c>
      <c r="N25" s="168">
        <v>1490158800</v>
      </c>
      <c r="O25" s="168">
        <v>5.49</v>
      </c>
      <c r="P25" s="168">
        <v>168</v>
      </c>
      <c r="Q25" s="168">
        <v>2.78</v>
      </c>
      <c r="R25"/>
    </row>
    <row r="26" spans="1:18" x14ac:dyDescent="0.25">
      <c r="A26" s="168">
        <v>48.81</v>
      </c>
      <c r="B26" s="168">
        <v>0.33</v>
      </c>
      <c r="C26" s="168">
        <v>34.79</v>
      </c>
      <c r="D26" s="8">
        <v>42816</v>
      </c>
      <c r="E26" s="168">
        <v>0.57999999999999996</v>
      </c>
      <c r="F26" s="168" t="s">
        <v>357</v>
      </c>
      <c r="G26" s="168">
        <v>278.27</v>
      </c>
      <c r="H26" s="168">
        <v>1.2999999999999999E-3</v>
      </c>
      <c r="I26" s="168">
        <v>0.02</v>
      </c>
      <c r="J26" s="168" t="s">
        <v>827</v>
      </c>
      <c r="K26" s="168">
        <v>1016.04</v>
      </c>
      <c r="L26" s="168" t="s">
        <v>358</v>
      </c>
      <c r="M26" s="168">
        <v>48.81</v>
      </c>
      <c r="N26" s="168">
        <v>1490162400</v>
      </c>
      <c r="O26" s="168">
        <v>5.56</v>
      </c>
      <c r="P26" s="168">
        <v>177</v>
      </c>
      <c r="Q26" s="168">
        <v>2.4500000000000002</v>
      </c>
      <c r="R26"/>
    </row>
    <row r="27" spans="1:18" x14ac:dyDescent="0.25">
      <c r="A27" s="168">
        <v>46.58</v>
      </c>
      <c r="B27" s="168">
        <v>0.22</v>
      </c>
      <c r="C27" s="168">
        <v>34.15</v>
      </c>
      <c r="D27" s="8">
        <v>42816.041666666664</v>
      </c>
      <c r="E27" s="168">
        <v>0.62</v>
      </c>
      <c r="F27" s="168" t="s">
        <v>828</v>
      </c>
      <c r="G27" s="168">
        <v>277.64999999999998</v>
      </c>
      <c r="H27" s="168">
        <v>0</v>
      </c>
      <c r="I27" s="168">
        <v>0</v>
      </c>
      <c r="J27" s="168"/>
      <c r="K27" s="168">
        <v>1016.08</v>
      </c>
      <c r="L27" s="168" t="s">
        <v>829</v>
      </c>
      <c r="M27" s="168">
        <v>46.58</v>
      </c>
      <c r="N27" s="168">
        <v>1490166000</v>
      </c>
      <c r="O27" s="168">
        <v>5.65</v>
      </c>
      <c r="P27" s="168">
        <v>202</v>
      </c>
      <c r="Q27" s="168">
        <v>2.41</v>
      </c>
      <c r="R27"/>
    </row>
    <row r="28" spans="1:18" x14ac:dyDescent="0.25">
      <c r="A28" s="168">
        <v>45.77</v>
      </c>
      <c r="B28" s="168">
        <v>0.2</v>
      </c>
      <c r="C28" s="168">
        <v>34.04</v>
      </c>
      <c r="D28" s="8">
        <v>42816.083333333336</v>
      </c>
      <c r="E28" s="168">
        <v>0.63</v>
      </c>
      <c r="F28" s="168" t="s">
        <v>828</v>
      </c>
      <c r="G28" s="168">
        <v>277.04000000000002</v>
      </c>
      <c r="H28" s="168">
        <v>0</v>
      </c>
      <c r="I28" s="168">
        <v>0</v>
      </c>
      <c r="J28" s="168"/>
      <c r="K28" s="168">
        <v>1016.06</v>
      </c>
      <c r="L28" s="168" t="s">
        <v>829</v>
      </c>
      <c r="M28" s="168">
        <v>45.77</v>
      </c>
      <c r="N28" s="168">
        <v>1490169600</v>
      </c>
      <c r="O28" s="168">
        <v>5.76</v>
      </c>
      <c r="P28" s="168">
        <v>197</v>
      </c>
      <c r="Q28" s="168">
        <v>1.95</v>
      </c>
      <c r="R28"/>
    </row>
    <row r="29" spans="1:18" x14ac:dyDescent="0.25">
      <c r="A29" s="168">
        <v>45.21</v>
      </c>
      <c r="B29" s="168">
        <v>0.21</v>
      </c>
      <c r="C29" s="168">
        <v>34.619999999999997</v>
      </c>
      <c r="D29" s="8">
        <v>42816.125</v>
      </c>
      <c r="E29" s="168">
        <v>0.66</v>
      </c>
      <c r="F29" s="168" t="s">
        <v>828</v>
      </c>
      <c r="G29" s="168">
        <v>276.42</v>
      </c>
      <c r="H29" s="168">
        <v>0</v>
      </c>
      <c r="I29" s="168">
        <v>0</v>
      </c>
      <c r="J29" s="168"/>
      <c r="K29" s="168">
        <v>1016.02</v>
      </c>
      <c r="L29" s="168" t="s">
        <v>829</v>
      </c>
      <c r="M29" s="168">
        <v>45.21</v>
      </c>
      <c r="N29" s="168">
        <v>1490173200</v>
      </c>
      <c r="O29" s="168">
        <v>3.99</v>
      </c>
      <c r="P29" s="168">
        <v>247</v>
      </c>
      <c r="Q29" s="168">
        <v>1.76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372</v>
      </c>
      <c r="U1" s="219"/>
      <c r="V1" s="219"/>
      <c r="W1" s="219"/>
      <c r="X1" s="219"/>
    </row>
    <row r="2" spans="1:24" ht="15.75" thickBot="1" x14ac:dyDescent="0.3">
      <c r="A2" s="12">
        <v>42815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373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385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386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387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1034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1035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1036</v>
      </c>
      <c r="J20" s="152" t="s">
        <v>87</v>
      </c>
      <c r="M20" s="168" t="s">
        <v>364</v>
      </c>
      <c r="N20" s="168" t="s">
        <v>364</v>
      </c>
      <c r="T20" s="197"/>
      <c r="U20" s="197"/>
      <c r="V20" s="197"/>
      <c r="W20" s="197"/>
      <c r="X20" s="197"/>
    </row>
    <row r="21" spans="3:24" x14ac:dyDescent="0.25">
      <c r="C21" t="s">
        <v>1037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1038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1039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1040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1041</v>
      </c>
      <c r="J25" s="152" t="s">
        <v>150</v>
      </c>
      <c r="M25" s="168" t="b">
        <v>1</v>
      </c>
    </row>
    <row r="26" spans="3:24" x14ac:dyDescent="0.25">
      <c r="C26" t="s">
        <v>1042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C:\Users\stu\Documents\GitHub\eaglep3-reporting\EC\2017-03-21-refined-times.txt</v>
      </c>
    </row>
    <row r="27" spans="3:24" x14ac:dyDescent="0.25">
      <c r="C27" t="s">
        <v>1043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C:\Users\stu\Documents\GitHub\eaglep3-reporting\EC\2017-03-21-Enforcements.txt</v>
      </c>
    </row>
    <row r="28" spans="3:24" x14ac:dyDescent="0.25">
      <c r="C28" t="s">
        <v>1044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C:\Users\stu\Documents\GitHub\eaglep3-reporting\EC\2017-03-21-Runs-refined.txt</v>
      </c>
    </row>
    <row r="29" spans="3:24" x14ac:dyDescent="0.25">
      <c r="C29" t="s">
        <v>1045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C:\Users\stu\Documents\GitHub\eaglep3-reporting\EC\2017-03-21-Trips.txt</v>
      </c>
    </row>
    <row r="30" spans="3:24" x14ac:dyDescent="0.25">
      <c r="C30" t="s">
        <v>1046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C:\Users\stu\Documents\GitHub\eaglep3-reporting\EC\2017-03-21-Weather.txt</v>
      </c>
    </row>
    <row r="31" spans="3:24" x14ac:dyDescent="0.25">
      <c r="C31" t="s">
        <v>1047</v>
      </c>
      <c r="J31" s="152" t="s">
        <v>203</v>
      </c>
      <c r="M31" s="168" t="s">
        <v>204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  <row r="35" spans="3:3" x14ac:dyDescent="0.25">
      <c r="C35" t="s">
        <v>1051</v>
      </c>
    </row>
    <row r="36" spans="3:3" x14ac:dyDescent="0.25">
      <c r="C36" t="s">
        <v>1052</v>
      </c>
    </row>
    <row r="37" spans="3:3" x14ac:dyDescent="0.25">
      <c r="C37" t="s">
        <v>1053</v>
      </c>
    </row>
    <row r="38" spans="3:3" x14ac:dyDescent="0.25">
      <c r="C38" t="s">
        <v>1054</v>
      </c>
    </row>
    <row r="39" spans="3:3" x14ac:dyDescent="0.25">
      <c r="C39" t="s">
        <v>1055</v>
      </c>
    </row>
    <row r="40" spans="3:3" x14ac:dyDescent="0.25">
      <c r="C40" t="s">
        <v>1056</v>
      </c>
    </row>
    <row r="41" spans="3:3" x14ac:dyDescent="0.25">
      <c r="C41" t="s">
        <v>1057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230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231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232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233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240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241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242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243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250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251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252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253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260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261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262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263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270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271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272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273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280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281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282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283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290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291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292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293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300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301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302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303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310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311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312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313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320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321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322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323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330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331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332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333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340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341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342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343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350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351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352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353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2017-03-22T15:44:46Z</dcterms:modified>
</cp:coreProperties>
</file>