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Enforcements!$A$6:$AC$44</definedName>
    <definedName name="_xlnm._FilterDatabase" localSheetId="2" hidden="1">'Missing Trips'!$B$2:$I$2</definedName>
    <definedName name="_xlnm._FilterDatabase" localSheetId="0" hidden="1">'Train Runs'!$A$12:$AG$229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57" i="1" l="1"/>
  <c r="X158" i="1"/>
  <c r="X159" i="1"/>
  <c r="X160" i="1"/>
  <c r="X161" i="1"/>
  <c r="X162" i="1"/>
  <c r="X163" i="1"/>
  <c r="X164" i="1"/>
  <c r="X165" i="1"/>
  <c r="K14" i="1" l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A15" i="1" s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T17" i="1"/>
  <c r="V17" i="1"/>
  <c r="Y17" i="1"/>
  <c r="Z17" i="1"/>
  <c r="AB17" i="1"/>
  <c r="AC17" i="1"/>
  <c r="AD17" i="1"/>
  <c r="AE17" i="1"/>
  <c r="AF17" i="1"/>
  <c r="AG17" i="1"/>
  <c r="AI17" i="1" s="1"/>
  <c r="AH17" i="1"/>
  <c r="K18" i="1"/>
  <c r="L18" i="1"/>
  <c r="M18" i="1"/>
  <c r="N18" i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N21" i="1" s="1"/>
  <c r="T21" i="1"/>
  <c r="V21" i="1"/>
  <c r="Y21" i="1"/>
  <c r="Z21" i="1"/>
  <c r="AB21" i="1"/>
  <c r="AC21" i="1"/>
  <c r="AD21" i="1"/>
  <c r="AE21" i="1"/>
  <c r="AF21" i="1"/>
  <c r="AG21" i="1"/>
  <c r="AH21" i="1"/>
  <c r="AI21" i="1"/>
  <c r="K22" i="1"/>
  <c r="L22" i="1"/>
  <c r="M22" i="1"/>
  <c r="N22" i="1"/>
  <c r="V22" i="1"/>
  <c r="Y22" i="1"/>
  <c r="Z22" i="1"/>
  <c r="AA22" i="1" s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G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AA25" i="1" s="1"/>
  <c r="Z25" i="1"/>
  <c r="AB25" i="1"/>
  <c r="AC25" i="1"/>
  <c r="AD25" i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X29" i="1" s="1"/>
  <c r="AE29" i="1"/>
  <c r="AF29" i="1"/>
  <c r="AH29" i="1"/>
  <c r="K30" i="1"/>
  <c r="L30" i="1"/>
  <c r="M30" i="1"/>
  <c r="N30" i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P32" i="1" s="1"/>
  <c r="V32" i="1"/>
  <c r="Y32" i="1"/>
  <c r="Z32" i="1"/>
  <c r="AA32" i="1" s="1"/>
  <c r="AB32" i="1"/>
  <c r="AC32" i="1"/>
  <c r="AD32" i="1"/>
  <c r="T32" i="1" s="1"/>
  <c r="AE32" i="1"/>
  <c r="R17" i="3" s="1"/>
  <c r="AF32" i="1"/>
  <c r="AH32" i="1"/>
  <c r="K33" i="1"/>
  <c r="L33" i="1"/>
  <c r="M33" i="1"/>
  <c r="V33" i="1"/>
  <c r="Y33" i="1"/>
  <c r="Z33" i="1"/>
  <c r="AA33" i="1" s="1"/>
  <c r="AB33" i="1"/>
  <c r="AC33" i="1"/>
  <c r="AD33" i="1"/>
  <c r="X33" i="1" s="1"/>
  <c r="AE33" i="1"/>
  <c r="AF33" i="1"/>
  <c r="AH33" i="1"/>
  <c r="K34" i="1"/>
  <c r="L34" i="1"/>
  <c r="M34" i="1"/>
  <c r="N34" i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G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K41" i="1"/>
  <c r="L41" i="1"/>
  <c r="M41" i="1"/>
  <c r="N41" i="1" s="1"/>
  <c r="V41" i="1"/>
  <c r="Y41" i="1"/>
  <c r="Z41" i="1"/>
  <c r="AA41" i="1" s="1"/>
  <c r="AB41" i="1"/>
  <c r="AC41" i="1"/>
  <c r="AD41" i="1"/>
  <c r="X41" i="1" s="1"/>
  <c r="AE41" i="1"/>
  <c r="AF41" i="1"/>
  <c r="AH41" i="1"/>
  <c r="K42" i="1"/>
  <c r="L42" i="1"/>
  <c r="M42" i="1"/>
  <c r="N42" i="1"/>
  <c r="V42" i="1"/>
  <c r="Y42" i="1"/>
  <c r="Z42" i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T43" i="1" s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G44" i="1"/>
  <c r="U44" i="1" s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K50" i="1"/>
  <c r="L50" i="1"/>
  <c r="M50" i="1"/>
  <c r="N50" i="1" s="1"/>
  <c r="V50" i="1"/>
  <c r="Y50" i="1"/>
  <c r="Z50" i="1"/>
  <c r="AI50" i="1" s="1"/>
  <c r="AB50" i="1"/>
  <c r="AC50" i="1"/>
  <c r="AD50" i="1"/>
  <c r="AG50" i="1" s="1"/>
  <c r="AE50" i="1"/>
  <c r="AF50" i="1"/>
  <c r="AH50" i="1"/>
  <c r="K51" i="1"/>
  <c r="L51" i="1"/>
  <c r="M51" i="1"/>
  <c r="N51" i="1" s="1"/>
  <c r="V51" i="1"/>
  <c r="Y51" i="1"/>
  <c r="Z51" i="1"/>
  <c r="AA51" i="1" s="1"/>
  <c r="AB51" i="1"/>
  <c r="AC51" i="1"/>
  <c r="AD51" i="1"/>
  <c r="AE51" i="1"/>
  <c r="AF51" i="1"/>
  <c r="AH51" i="1"/>
  <c r="K52" i="1"/>
  <c r="L52" i="1"/>
  <c r="M52" i="1"/>
  <c r="N52" i="1" s="1"/>
  <c r="V52" i="1"/>
  <c r="Y52" i="1"/>
  <c r="Z52" i="1"/>
  <c r="AA52" i="1" s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K54" i="1"/>
  <c r="L54" i="1"/>
  <c r="M54" i="1"/>
  <c r="N54" i="1" s="1"/>
  <c r="V54" i="1"/>
  <c r="Y54" i="1"/>
  <c r="Z54" i="1"/>
  <c r="AA54" i="1" s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A55" i="1" s="1"/>
  <c r="AB55" i="1"/>
  <c r="AC55" i="1"/>
  <c r="AD55" i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G56" i="1"/>
  <c r="U56" i="1" s="1"/>
  <c r="AH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G61" i="1"/>
  <c r="AH61" i="1"/>
  <c r="K62" i="1"/>
  <c r="L62" i="1"/>
  <c r="M62" i="1"/>
  <c r="N62" i="1" s="1"/>
  <c r="V62" i="1"/>
  <c r="Y62" i="1"/>
  <c r="Z62" i="1"/>
  <c r="AA62" i="1" s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AG65" i="1" s="1"/>
  <c r="AE65" i="1"/>
  <c r="AF65" i="1"/>
  <c r="AH65" i="1"/>
  <c r="K66" i="1"/>
  <c r="L66" i="1"/>
  <c r="M66" i="1"/>
  <c r="N66" i="1" s="1"/>
  <c r="V66" i="1"/>
  <c r="Y66" i="1"/>
  <c r="AA66" i="1" s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K68" i="1"/>
  <c r="L68" i="1"/>
  <c r="M68" i="1"/>
  <c r="N68" i="1" s="1"/>
  <c r="T68" i="1"/>
  <c r="V68" i="1"/>
  <c r="Y68" i="1"/>
  <c r="Z68" i="1"/>
  <c r="AA68" i="1" s="1"/>
  <c r="AB68" i="1"/>
  <c r="AC68" i="1"/>
  <c r="AD68" i="1"/>
  <c r="AG68" i="1" s="1"/>
  <c r="U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K74" i="1"/>
  <c r="L74" i="1"/>
  <c r="M74" i="1"/>
  <c r="N74" i="1" s="1"/>
  <c r="V74" i="1"/>
  <c r="Y74" i="1"/>
  <c r="AA74" i="1" s="1"/>
  <c r="Z74" i="1"/>
  <c r="AB74" i="1"/>
  <c r="AC74" i="1"/>
  <c r="AD74" i="1"/>
  <c r="T74" i="1" s="1"/>
  <c r="AE74" i="1"/>
  <c r="AF74" i="1"/>
  <c r="AH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K76" i="1"/>
  <c r="L76" i="1"/>
  <c r="M76" i="1"/>
  <c r="N76" i="1" s="1"/>
  <c r="V76" i="1"/>
  <c r="Y76" i="1"/>
  <c r="AA76" i="1" s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X77" i="1"/>
  <c r="Y77" i="1"/>
  <c r="Z77" i="1"/>
  <c r="AB77" i="1"/>
  <c r="AC77" i="1"/>
  <c r="AD77" i="1"/>
  <c r="AG77" i="1" s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T78" i="1" s="1"/>
  <c r="AE78" i="1"/>
  <c r="AF78" i="1"/>
  <c r="AH78" i="1"/>
  <c r="K79" i="1"/>
  <c r="L79" i="1"/>
  <c r="M79" i="1"/>
  <c r="N79" i="1" s="1"/>
  <c r="V79" i="1"/>
  <c r="Y79" i="1"/>
  <c r="Z79" i="1"/>
  <c r="AA79" i="1" s="1"/>
  <c r="AB79" i="1"/>
  <c r="AC79" i="1"/>
  <c r="AD79" i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K83" i="1"/>
  <c r="L83" i="1"/>
  <c r="M83" i="1"/>
  <c r="N83" i="1" s="1"/>
  <c r="V83" i="1"/>
  <c r="Y83" i="1"/>
  <c r="Z83" i="1"/>
  <c r="AA83" i="1" s="1"/>
  <c r="AB83" i="1"/>
  <c r="AC83" i="1"/>
  <c r="AD83" i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A85" i="1" s="1"/>
  <c r="W85" i="1" s="1"/>
  <c r="AB85" i="1"/>
  <c r="AC85" i="1"/>
  <c r="AD85" i="1"/>
  <c r="AG85" i="1" s="1"/>
  <c r="AE85" i="1"/>
  <c r="AF85" i="1"/>
  <c r="AH85" i="1"/>
  <c r="AI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T88" i="1"/>
  <c r="V88" i="1"/>
  <c r="Y88" i="1"/>
  <c r="Z88" i="1"/>
  <c r="AB88" i="1"/>
  <c r="AC88" i="1"/>
  <c r="AD88" i="1"/>
  <c r="AG88" i="1" s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T89" i="1" s="1"/>
  <c r="AE89" i="1"/>
  <c r="AF89" i="1"/>
  <c r="AG89" i="1"/>
  <c r="AH89" i="1"/>
  <c r="K90" i="1"/>
  <c r="L90" i="1"/>
  <c r="M90" i="1"/>
  <c r="N90" i="1" s="1"/>
  <c r="V90" i="1"/>
  <c r="Y90" i="1"/>
  <c r="AA90" i="1" s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K93" i="1"/>
  <c r="L93" i="1"/>
  <c r="M93" i="1"/>
  <c r="N93" i="1" s="1"/>
  <c r="T93" i="1"/>
  <c r="V93" i="1"/>
  <c r="Y93" i="1"/>
  <c r="Z93" i="1"/>
  <c r="AB93" i="1"/>
  <c r="AC93" i="1"/>
  <c r="AD93" i="1"/>
  <c r="AE93" i="1"/>
  <c r="AF93" i="1"/>
  <c r="AH93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5" i="1"/>
  <c r="K161" i="1"/>
  <c r="L161" i="1"/>
  <c r="M161" i="1"/>
  <c r="N161" i="1" s="1"/>
  <c r="V161" i="1"/>
  <c r="Y161" i="1"/>
  <c r="Z161" i="1"/>
  <c r="AB161" i="1"/>
  <c r="AC161" i="1"/>
  <c r="AD161" i="1"/>
  <c r="T161" i="1" s="1"/>
  <c r="AE161" i="1"/>
  <c r="AF161" i="1"/>
  <c r="AH96" i="1"/>
  <c r="K162" i="1"/>
  <c r="L162" i="1"/>
  <c r="M162" i="1"/>
  <c r="N162" i="1" s="1"/>
  <c r="V162" i="1"/>
  <c r="Y162" i="1"/>
  <c r="Z162" i="1"/>
  <c r="AA162" i="1"/>
  <c r="W162" i="1" s="1"/>
  <c r="AB162" i="1"/>
  <c r="AC162" i="1"/>
  <c r="AD162" i="1"/>
  <c r="T162" i="1" s="1"/>
  <c r="AE162" i="1"/>
  <c r="AF162" i="1"/>
  <c r="AG162" i="1"/>
  <c r="AH97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9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0" i="1"/>
  <c r="K166" i="1"/>
  <c r="L166" i="1"/>
  <c r="M166" i="1"/>
  <c r="N166" i="1" s="1"/>
  <c r="V166" i="1"/>
  <c r="Y166" i="1"/>
  <c r="Z166" i="1"/>
  <c r="AA166" i="1" s="1"/>
  <c r="AB166" i="1"/>
  <c r="AC166" i="1"/>
  <c r="AD166" i="1"/>
  <c r="T166" i="1" s="1"/>
  <c r="AE166" i="1"/>
  <c r="AF166" i="1"/>
  <c r="AH101" i="1"/>
  <c r="K167" i="1"/>
  <c r="L167" i="1"/>
  <c r="M167" i="1"/>
  <c r="N167" i="1" s="1"/>
  <c r="V167" i="1"/>
  <c r="Y167" i="1"/>
  <c r="Z167" i="1"/>
  <c r="AA167" i="1" s="1"/>
  <c r="AB167" i="1"/>
  <c r="AC167" i="1"/>
  <c r="AD167" i="1"/>
  <c r="T167" i="1" s="1"/>
  <c r="AE167" i="1"/>
  <c r="AF167" i="1"/>
  <c r="AH102" i="1"/>
  <c r="K168" i="1"/>
  <c r="L168" i="1"/>
  <c r="M168" i="1"/>
  <c r="N168" i="1"/>
  <c r="V168" i="1"/>
  <c r="Y168" i="1"/>
  <c r="Z168" i="1"/>
  <c r="AB168" i="1"/>
  <c r="AC168" i="1"/>
  <c r="AD168" i="1"/>
  <c r="T168" i="1" s="1"/>
  <c r="AE168" i="1"/>
  <c r="AF168" i="1"/>
  <c r="AH103" i="1"/>
  <c r="K94" i="1"/>
  <c r="L94" i="1"/>
  <c r="M94" i="1"/>
  <c r="N94" i="1" s="1"/>
  <c r="T94" i="1"/>
  <c r="V94" i="1"/>
  <c r="Y94" i="1"/>
  <c r="Z94" i="1"/>
  <c r="AA94" i="1" s="1"/>
  <c r="AB94" i="1"/>
  <c r="AC94" i="1"/>
  <c r="AD94" i="1"/>
  <c r="AE94" i="1"/>
  <c r="AF94" i="1"/>
  <c r="AG94" i="1"/>
  <c r="AH104" i="1"/>
  <c r="K169" i="1"/>
  <c r="L169" i="1"/>
  <c r="M169" i="1"/>
  <c r="N169" i="1" s="1"/>
  <c r="V169" i="1"/>
  <c r="Y169" i="1"/>
  <c r="Z169" i="1"/>
  <c r="AA169" i="1" s="1"/>
  <c r="AB169" i="1"/>
  <c r="AC169" i="1"/>
  <c r="AD169" i="1"/>
  <c r="T169" i="1" s="1"/>
  <c r="AE169" i="1"/>
  <c r="AF169" i="1"/>
  <c r="AH105" i="1"/>
  <c r="K170" i="1"/>
  <c r="L170" i="1"/>
  <c r="M170" i="1"/>
  <c r="N170" i="1" s="1"/>
  <c r="V170" i="1"/>
  <c r="Y170" i="1"/>
  <c r="Z170" i="1"/>
  <c r="AA170" i="1" s="1"/>
  <c r="AB170" i="1"/>
  <c r="AC170" i="1"/>
  <c r="AD170" i="1"/>
  <c r="T170" i="1" s="1"/>
  <c r="AE170" i="1"/>
  <c r="AF170" i="1"/>
  <c r="AH10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7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08" i="1"/>
  <c r="K173" i="1"/>
  <c r="L173" i="1"/>
  <c r="M173" i="1"/>
  <c r="N173" i="1" s="1"/>
  <c r="V173" i="1"/>
  <c r="Y173" i="1"/>
  <c r="AA173" i="1" s="1"/>
  <c r="Z173" i="1"/>
  <c r="AB173" i="1"/>
  <c r="AC173" i="1"/>
  <c r="AD173" i="1"/>
  <c r="T173" i="1" s="1"/>
  <c r="AE173" i="1"/>
  <c r="AF173" i="1"/>
  <c r="AH109" i="1"/>
  <c r="K174" i="1"/>
  <c r="L174" i="1"/>
  <c r="M174" i="1"/>
  <c r="N174" i="1"/>
  <c r="V174" i="1"/>
  <c r="Y174" i="1"/>
  <c r="Z174" i="1"/>
  <c r="AB174" i="1"/>
  <c r="AC174" i="1"/>
  <c r="AD174" i="1"/>
  <c r="AE174" i="1"/>
  <c r="AF174" i="1"/>
  <c r="AH110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1" i="1"/>
  <c r="K176" i="1"/>
  <c r="L176" i="1"/>
  <c r="M176" i="1"/>
  <c r="N176" i="1" s="1"/>
  <c r="T176" i="1"/>
  <c r="V176" i="1"/>
  <c r="Y176" i="1"/>
  <c r="Z176" i="1"/>
  <c r="AI176" i="1" s="1"/>
  <c r="AB176" i="1"/>
  <c r="AC176" i="1"/>
  <c r="AD176" i="1"/>
  <c r="AE176" i="1"/>
  <c r="AF176" i="1"/>
  <c r="AG176" i="1"/>
  <c r="AH112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115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E179" i="1"/>
  <c r="AF179" i="1"/>
  <c r="AG179" i="1"/>
  <c r="U179" i="1" s="1"/>
  <c r="AH116" i="1"/>
  <c r="K180" i="1"/>
  <c r="L180" i="1"/>
  <c r="M180" i="1"/>
  <c r="N180" i="1" s="1"/>
  <c r="V180" i="1"/>
  <c r="Y180" i="1"/>
  <c r="Z180" i="1"/>
  <c r="AI180" i="1" s="1"/>
  <c r="AB180" i="1"/>
  <c r="AC180" i="1"/>
  <c r="AD180" i="1"/>
  <c r="AG180" i="1" s="1"/>
  <c r="AE180" i="1"/>
  <c r="AF180" i="1"/>
  <c r="AH117" i="1"/>
  <c r="K181" i="1"/>
  <c r="L181" i="1"/>
  <c r="M181" i="1"/>
  <c r="N181" i="1" s="1"/>
  <c r="V181" i="1"/>
  <c r="Y181" i="1"/>
  <c r="Z181" i="1"/>
  <c r="AB181" i="1"/>
  <c r="AC181" i="1"/>
  <c r="AD181" i="1"/>
  <c r="T181" i="1" s="1"/>
  <c r="AE181" i="1"/>
  <c r="AF181" i="1"/>
  <c r="AH118" i="1"/>
  <c r="K182" i="1"/>
  <c r="L182" i="1"/>
  <c r="M182" i="1"/>
  <c r="N182" i="1" s="1"/>
  <c r="V182" i="1"/>
  <c r="Y182" i="1"/>
  <c r="Z182" i="1"/>
  <c r="AB182" i="1"/>
  <c r="AC182" i="1"/>
  <c r="AD182" i="1"/>
  <c r="T182" i="1" s="1"/>
  <c r="AE182" i="1"/>
  <c r="AF182" i="1"/>
  <c r="AH119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20" i="1"/>
  <c r="K184" i="1"/>
  <c r="L184" i="1"/>
  <c r="M184" i="1"/>
  <c r="N184" i="1" s="1"/>
  <c r="V184" i="1"/>
  <c r="Y184" i="1"/>
  <c r="Z184" i="1"/>
  <c r="AB184" i="1"/>
  <c r="AC184" i="1"/>
  <c r="AD184" i="1"/>
  <c r="AG184" i="1" s="1"/>
  <c r="AI184" i="1" s="1"/>
  <c r="AE184" i="1"/>
  <c r="AF184" i="1"/>
  <c r="AH121" i="1"/>
  <c r="K185" i="1"/>
  <c r="L185" i="1"/>
  <c r="M185" i="1"/>
  <c r="N185" i="1" s="1"/>
  <c r="V185" i="1"/>
  <c r="Y185" i="1"/>
  <c r="Z185" i="1"/>
  <c r="AA185" i="1" s="1"/>
  <c r="W185" i="1" s="1"/>
  <c r="AB185" i="1"/>
  <c r="AC185" i="1"/>
  <c r="AD185" i="1"/>
  <c r="T185" i="1" s="1"/>
  <c r="AE185" i="1"/>
  <c r="AF185" i="1"/>
  <c r="AG185" i="1"/>
  <c r="U185" i="1" s="1"/>
  <c r="S185" i="1" s="1"/>
  <c r="AH122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123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G187" i="1"/>
  <c r="AH124" i="1"/>
  <c r="K188" i="1"/>
  <c r="L188" i="1"/>
  <c r="M188" i="1"/>
  <c r="N188" i="1" s="1"/>
  <c r="V188" i="1"/>
  <c r="Y188" i="1"/>
  <c r="Z188" i="1"/>
  <c r="AB188" i="1"/>
  <c r="AC188" i="1"/>
  <c r="AD188" i="1"/>
  <c r="AG188" i="1" s="1"/>
  <c r="AI188" i="1" s="1"/>
  <c r="AE188" i="1"/>
  <c r="AF188" i="1"/>
  <c r="AH125" i="1"/>
  <c r="K96" i="1"/>
  <c r="L96" i="1"/>
  <c r="M96" i="1"/>
  <c r="N96" i="1" s="1"/>
  <c r="V96" i="1"/>
  <c r="Y96" i="1"/>
  <c r="Z96" i="1"/>
  <c r="AB96" i="1"/>
  <c r="AC96" i="1"/>
  <c r="AD96" i="1"/>
  <c r="AE96" i="1"/>
  <c r="R8" i="3" s="1"/>
  <c r="AF96" i="1"/>
  <c r="AH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7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8" i="1"/>
  <c r="K191" i="1"/>
  <c r="L191" i="1"/>
  <c r="M191" i="1"/>
  <c r="N191" i="1"/>
  <c r="V191" i="1"/>
  <c r="Y191" i="1"/>
  <c r="Z191" i="1"/>
  <c r="AB191" i="1"/>
  <c r="AC191" i="1"/>
  <c r="AD191" i="1"/>
  <c r="AE191" i="1"/>
  <c r="AF191" i="1"/>
  <c r="AH129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130" i="1"/>
  <c r="K97" i="1"/>
  <c r="L97" i="1"/>
  <c r="M97" i="1"/>
  <c r="V97" i="1"/>
  <c r="Y97" i="1"/>
  <c r="Z97" i="1"/>
  <c r="AB97" i="1"/>
  <c r="AC97" i="1"/>
  <c r="AD97" i="1"/>
  <c r="T97" i="1" s="1"/>
  <c r="AE97" i="1"/>
  <c r="AF97" i="1"/>
  <c r="AH131" i="1"/>
  <c r="K98" i="1"/>
  <c r="L98" i="1"/>
  <c r="M98" i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T99" i="1"/>
  <c r="V99" i="1"/>
  <c r="Y99" i="1"/>
  <c r="Z99" i="1"/>
  <c r="AA99" i="1" s="1"/>
  <c r="AB99" i="1"/>
  <c r="AC99" i="1"/>
  <c r="AD99" i="1"/>
  <c r="AG99" i="1" s="1"/>
  <c r="AE99" i="1"/>
  <c r="AF99" i="1"/>
  <c r="AH133" i="1"/>
  <c r="K100" i="1"/>
  <c r="L100" i="1"/>
  <c r="M100" i="1"/>
  <c r="N100" i="1" s="1"/>
  <c r="V100" i="1"/>
  <c r="Y100" i="1"/>
  <c r="Z100" i="1"/>
  <c r="AA100" i="1" s="1"/>
  <c r="AB100" i="1"/>
  <c r="AC100" i="1"/>
  <c r="AD100" i="1"/>
  <c r="T100" i="1" s="1"/>
  <c r="AE100" i="1"/>
  <c r="AF100" i="1"/>
  <c r="AH134" i="1"/>
  <c r="K101" i="1"/>
  <c r="L101" i="1"/>
  <c r="M101" i="1"/>
  <c r="N101" i="1" s="1"/>
  <c r="V101" i="1"/>
  <c r="Y101" i="1"/>
  <c r="Z101" i="1"/>
  <c r="AA101" i="1" s="1"/>
  <c r="AB101" i="1"/>
  <c r="AC101" i="1"/>
  <c r="AD101" i="1"/>
  <c r="T101" i="1" s="1"/>
  <c r="AE101" i="1"/>
  <c r="AF101" i="1"/>
  <c r="AH13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6" i="1"/>
  <c r="K103" i="1"/>
  <c r="L103" i="1"/>
  <c r="M103" i="1"/>
  <c r="N103" i="1" s="1"/>
  <c r="V103" i="1"/>
  <c r="Y103" i="1"/>
  <c r="Z103" i="1"/>
  <c r="AB103" i="1"/>
  <c r="AC103" i="1"/>
  <c r="AD103" i="1"/>
  <c r="AE103" i="1"/>
  <c r="R11" i="3" s="1"/>
  <c r="AF103" i="1"/>
  <c r="AH137" i="1"/>
  <c r="K104" i="1"/>
  <c r="L104" i="1"/>
  <c r="M104" i="1"/>
  <c r="N104" i="1" s="1"/>
  <c r="V104" i="1"/>
  <c r="Y104" i="1"/>
  <c r="Z104" i="1"/>
  <c r="AA104" i="1" s="1"/>
  <c r="AB104" i="1"/>
  <c r="AC104" i="1"/>
  <c r="AD104" i="1"/>
  <c r="T104" i="1" s="1"/>
  <c r="AE104" i="1"/>
  <c r="AF104" i="1"/>
  <c r="AH138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39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40" i="1"/>
  <c r="K105" i="1"/>
  <c r="L105" i="1"/>
  <c r="M105" i="1"/>
  <c r="N105" i="1" s="1"/>
  <c r="V105" i="1"/>
  <c r="X105" i="1"/>
  <c r="Y105" i="1"/>
  <c r="Z105" i="1"/>
  <c r="AB105" i="1"/>
  <c r="AC105" i="1"/>
  <c r="AD105" i="1"/>
  <c r="AG105" i="1" s="1"/>
  <c r="AE105" i="1"/>
  <c r="AF105" i="1"/>
  <c r="AH141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G106" i="1"/>
  <c r="AH142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3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4" i="1"/>
  <c r="K109" i="1"/>
  <c r="L109" i="1"/>
  <c r="M109" i="1"/>
  <c r="N109" i="1" s="1"/>
  <c r="V109" i="1"/>
  <c r="Y109" i="1"/>
  <c r="Z109" i="1"/>
  <c r="AA109" i="1" s="1"/>
  <c r="AB109" i="1"/>
  <c r="AC109" i="1"/>
  <c r="AD109" i="1"/>
  <c r="AE109" i="1"/>
  <c r="AF109" i="1"/>
  <c r="AH145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46" i="1"/>
  <c r="K111" i="1"/>
  <c r="L111" i="1"/>
  <c r="M111" i="1"/>
  <c r="N111" i="1" s="1"/>
  <c r="V111" i="1"/>
  <c r="Y111" i="1"/>
  <c r="Z111" i="1"/>
  <c r="AA111" i="1" s="1"/>
  <c r="AB111" i="1"/>
  <c r="AC111" i="1"/>
  <c r="AD111" i="1"/>
  <c r="AE111" i="1"/>
  <c r="R7" i="3" s="1"/>
  <c r="AF111" i="1"/>
  <c r="AH147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R14" i="3" s="1"/>
  <c r="AF112" i="1"/>
  <c r="AH148" i="1"/>
  <c r="K113" i="1"/>
  <c r="L113" i="1"/>
  <c r="M113" i="1"/>
  <c r="N113" i="1" s="1"/>
  <c r="V113" i="1"/>
  <c r="Y113" i="1"/>
  <c r="Z113" i="1"/>
  <c r="AB113" i="1"/>
  <c r="AC113" i="1"/>
  <c r="AD113" i="1"/>
  <c r="AG113" i="1" s="1"/>
  <c r="AE113" i="1"/>
  <c r="AF113" i="1"/>
  <c r="AH149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50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1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2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53" i="1"/>
  <c r="K118" i="1"/>
  <c r="L118" i="1"/>
  <c r="M118" i="1"/>
  <c r="N118" i="1"/>
  <c r="V118" i="1"/>
  <c r="Y118" i="1"/>
  <c r="Z118" i="1"/>
  <c r="AB118" i="1"/>
  <c r="AC118" i="1"/>
  <c r="AD118" i="1"/>
  <c r="AG118" i="1" s="1"/>
  <c r="AE118" i="1"/>
  <c r="AF118" i="1"/>
  <c r="AH154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5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6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7" i="1"/>
  <c r="K122" i="1"/>
  <c r="L122" i="1"/>
  <c r="M122" i="1"/>
  <c r="N122" i="1" s="1"/>
  <c r="V122" i="1"/>
  <c r="Y122" i="1"/>
  <c r="Z122" i="1"/>
  <c r="AB122" i="1"/>
  <c r="AC122" i="1"/>
  <c r="AD122" i="1"/>
  <c r="AG122" i="1" s="1"/>
  <c r="AE122" i="1"/>
  <c r="AF122" i="1"/>
  <c r="AH158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R9" i="3" s="1"/>
  <c r="AF124" i="1"/>
  <c r="AH159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60" i="1"/>
  <c r="K126" i="1"/>
  <c r="L126" i="1"/>
  <c r="M126" i="1"/>
  <c r="N126" i="1" s="1"/>
  <c r="V126" i="1"/>
  <c r="Y126" i="1"/>
  <c r="Z126" i="1"/>
  <c r="AB126" i="1"/>
  <c r="AC126" i="1"/>
  <c r="AD126" i="1"/>
  <c r="AG126" i="1" s="1"/>
  <c r="AE126" i="1"/>
  <c r="AF126" i="1"/>
  <c r="AH161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2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3" i="1"/>
  <c r="K129" i="1"/>
  <c r="L129" i="1"/>
  <c r="M129" i="1"/>
  <c r="N129" i="1" s="1"/>
  <c r="V129" i="1"/>
  <c r="Y129" i="1"/>
  <c r="Z129" i="1"/>
  <c r="AB129" i="1"/>
  <c r="AC129" i="1"/>
  <c r="AD129" i="1"/>
  <c r="AG129" i="1" s="1"/>
  <c r="AE129" i="1"/>
  <c r="AF129" i="1"/>
  <c r="AH164" i="1"/>
  <c r="K130" i="1"/>
  <c r="L130" i="1"/>
  <c r="M130" i="1"/>
  <c r="N130" i="1" s="1"/>
  <c r="V130" i="1"/>
  <c r="S19" i="3" s="1"/>
  <c r="Y130" i="1"/>
  <c r="Z130" i="1"/>
  <c r="AB130" i="1"/>
  <c r="AC130" i="1"/>
  <c r="AD130" i="1"/>
  <c r="AG130" i="1" s="1"/>
  <c r="AE130" i="1"/>
  <c r="AF130" i="1"/>
  <c r="AH165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6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G132" i="1"/>
  <c r="AH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K134" i="1"/>
  <c r="L134" i="1"/>
  <c r="M134" i="1"/>
  <c r="N134" i="1" s="1"/>
  <c r="V134" i="1"/>
  <c r="Y134" i="1"/>
  <c r="Z134" i="1"/>
  <c r="AB134" i="1"/>
  <c r="AC134" i="1"/>
  <c r="AD134" i="1"/>
  <c r="AG134" i="1" s="1"/>
  <c r="AI134" i="1" s="1"/>
  <c r="AE134" i="1"/>
  <c r="AF134" i="1"/>
  <c r="AH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K136" i="1"/>
  <c r="L136" i="1"/>
  <c r="M136" i="1"/>
  <c r="N136" i="1" s="1"/>
  <c r="T136" i="1"/>
  <c r="V136" i="1"/>
  <c r="Y136" i="1"/>
  <c r="Z136" i="1"/>
  <c r="AA136" i="1" s="1"/>
  <c r="AB136" i="1"/>
  <c r="AC136" i="1"/>
  <c r="AD136" i="1"/>
  <c r="AE136" i="1"/>
  <c r="AF136" i="1"/>
  <c r="AH171" i="1"/>
  <c r="K137" i="1"/>
  <c r="L137" i="1"/>
  <c r="M137" i="1"/>
  <c r="N137" i="1" s="1"/>
  <c r="V137" i="1"/>
  <c r="Y137" i="1"/>
  <c r="Z137" i="1"/>
  <c r="AA137" i="1"/>
  <c r="AB137" i="1"/>
  <c r="AC137" i="1"/>
  <c r="AD137" i="1"/>
  <c r="AG137" i="1" s="1"/>
  <c r="AE137" i="1"/>
  <c r="AF137" i="1"/>
  <c r="AH172" i="1"/>
  <c r="K138" i="1"/>
  <c r="L138" i="1"/>
  <c r="M138" i="1"/>
  <c r="N138" i="1" s="1"/>
  <c r="V138" i="1"/>
  <c r="Y138" i="1"/>
  <c r="Z138" i="1"/>
  <c r="AB138" i="1"/>
  <c r="AC138" i="1"/>
  <c r="AD138" i="1"/>
  <c r="AG138" i="1" s="1"/>
  <c r="AI138" i="1" s="1"/>
  <c r="AE138" i="1"/>
  <c r="AF138" i="1"/>
  <c r="AH173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K142" i="1"/>
  <c r="L142" i="1"/>
  <c r="M142" i="1"/>
  <c r="N142" i="1" s="1"/>
  <c r="V142" i="1"/>
  <c r="Y142" i="1"/>
  <c r="Z142" i="1"/>
  <c r="AB142" i="1"/>
  <c r="AC142" i="1"/>
  <c r="AD142" i="1"/>
  <c r="AG142" i="1" s="1"/>
  <c r="AE142" i="1"/>
  <c r="AF142" i="1"/>
  <c r="AH177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78" i="1"/>
  <c r="K144" i="1"/>
  <c r="L144" i="1"/>
  <c r="M144" i="1"/>
  <c r="N144" i="1" s="1"/>
  <c r="V144" i="1"/>
  <c r="Y144" i="1"/>
  <c r="Z144" i="1"/>
  <c r="AA144" i="1" s="1"/>
  <c r="AB144" i="1"/>
  <c r="AC144" i="1"/>
  <c r="AD144" i="1"/>
  <c r="X144" i="1" s="1"/>
  <c r="AE144" i="1"/>
  <c r="AF144" i="1"/>
  <c r="AH179" i="1"/>
  <c r="K145" i="1"/>
  <c r="L145" i="1"/>
  <c r="M145" i="1"/>
  <c r="N145" i="1" s="1"/>
  <c r="V145" i="1"/>
  <c r="Y145" i="1"/>
  <c r="Z145" i="1"/>
  <c r="AA145" i="1" s="1"/>
  <c r="AB145" i="1"/>
  <c r="AC145" i="1"/>
  <c r="AD145" i="1"/>
  <c r="AG145" i="1" s="1"/>
  <c r="AE145" i="1"/>
  <c r="AF145" i="1"/>
  <c r="AH180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1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G149" i="1"/>
  <c r="AH184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85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86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7" i="1"/>
  <c r="K153" i="1"/>
  <c r="L153" i="1"/>
  <c r="M153" i="1"/>
  <c r="N153" i="1" s="1"/>
  <c r="V153" i="1"/>
  <c r="Y153" i="1"/>
  <c r="Z153" i="1"/>
  <c r="AA153" i="1" s="1"/>
  <c r="AB153" i="1"/>
  <c r="AC153" i="1"/>
  <c r="AD153" i="1"/>
  <c r="AG153" i="1" s="1"/>
  <c r="AE153" i="1"/>
  <c r="AF153" i="1"/>
  <c r="AH188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89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G155" i="1"/>
  <c r="AH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2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193" i="1"/>
  <c r="AH194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195" i="1"/>
  <c r="K194" i="1"/>
  <c r="L194" i="1"/>
  <c r="M194" i="1"/>
  <c r="N194" i="1" s="1"/>
  <c r="V194" i="1"/>
  <c r="Y194" i="1"/>
  <c r="Z194" i="1"/>
  <c r="AA194" i="1" s="1"/>
  <c r="AB194" i="1"/>
  <c r="AC194" i="1"/>
  <c r="AD194" i="1"/>
  <c r="AG194" i="1" s="1"/>
  <c r="AE194" i="1"/>
  <c r="AF194" i="1"/>
  <c r="AH196" i="1"/>
  <c r="K195" i="1"/>
  <c r="L195" i="1"/>
  <c r="M195" i="1"/>
  <c r="N195" i="1" s="1"/>
  <c r="V195" i="1"/>
  <c r="Y195" i="1"/>
  <c r="Z195" i="1"/>
  <c r="AA195" i="1" s="1"/>
  <c r="AB195" i="1"/>
  <c r="AC195" i="1"/>
  <c r="AD195" i="1"/>
  <c r="AG195" i="1" s="1"/>
  <c r="AE195" i="1"/>
  <c r="AF195" i="1"/>
  <c r="AH197" i="1"/>
  <c r="K196" i="1"/>
  <c r="L196" i="1"/>
  <c r="M196" i="1"/>
  <c r="N196" i="1" s="1"/>
  <c r="V196" i="1"/>
  <c r="Y196" i="1"/>
  <c r="Z196" i="1"/>
  <c r="AA196" i="1" s="1"/>
  <c r="W196" i="1" s="1"/>
  <c r="AB196" i="1"/>
  <c r="AC196" i="1"/>
  <c r="AD196" i="1"/>
  <c r="T196" i="1" s="1"/>
  <c r="AE196" i="1"/>
  <c r="AF196" i="1"/>
  <c r="AG196" i="1"/>
  <c r="AH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K198" i="1"/>
  <c r="L198" i="1"/>
  <c r="M198" i="1"/>
  <c r="N198" i="1" s="1"/>
  <c r="V198" i="1"/>
  <c r="Y198" i="1"/>
  <c r="Z198" i="1"/>
  <c r="AA198" i="1" s="1"/>
  <c r="W198" i="1" s="1"/>
  <c r="AB198" i="1"/>
  <c r="AC198" i="1"/>
  <c r="AD198" i="1"/>
  <c r="T198" i="1" s="1"/>
  <c r="AE198" i="1"/>
  <c r="AF198" i="1"/>
  <c r="AG198" i="1"/>
  <c r="AH200" i="1"/>
  <c r="K199" i="1"/>
  <c r="L199" i="1"/>
  <c r="M199" i="1"/>
  <c r="N199" i="1" s="1"/>
  <c r="V199" i="1"/>
  <c r="Y199" i="1"/>
  <c r="Z199" i="1"/>
  <c r="AB199" i="1"/>
  <c r="AC199" i="1"/>
  <c r="AD199" i="1"/>
  <c r="AG199" i="1" s="1"/>
  <c r="AE199" i="1"/>
  <c r="AF199" i="1"/>
  <c r="AH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03" i="1"/>
  <c r="K202" i="1"/>
  <c r="L202" i="1"/>
  <c r="M202" i="1"/>
  <c r="N202" i="1" s="1"/>
  <c r="V202" i="1"/>
  <c r="X202" i="1"/>
  <c r="Y202" i="1"/>
  <c r="Z202" i="1"/>
  <c r="AA202" i="1" s="1"/>
  <c r="AB202" i="1"/>
  <c r="AC202" i="1"/>
  <c r="AD202" i="1"/>
  <c r="AG202" i="1" s="1"/>
  <c r="AE202" i="1"/>
  <c r="AF202" i="1"/>
  <c r="AH204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G204" i="1"/>
  <c r="AI204" i="1" s="1"/>
  <c r="AH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K206" i="1"/>
  <c r="L206" i="1"/>
  <c r="M206" i="1"/>
  <c r="N206" i="1" s="1"/>
  <c r="V206" i="1"/>
  <c r="Y206" i="1"/>
  <c r="Z206" i="1"/>
  <c r="AB206" i="1"/>
  <c r="AC206" i="1"/>
  <c r="AD206" i="1"/>
  <c r="X206" i="1" s="1"/>
  <c r="AE206" i="1"/>
  <c r="AF206" i="1"/>
  <c r="AH208" i="1"/>
  <c r="K207" i="1"/>
  <c r="L207" i="1"/>
  <c r="M207" i="1"/>
  <c r="N207" i="1" s="1"/>
  <c r="V207" i="1"/>
  <c r="Y207" i="1"/>
  <c r="Z207" i="1"/>
  <c r="AB207" i="1"/>
  <c r="AC207" i="1"/>
  <c r="AD207" i="1"/>
  <c r="AG207" i="1" s="1"/>
  <c r="AE207" i="1"/>
  <c r="AF207" i="1"/>
  <c r="AH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X211" i="1" s="1"/>
  <c r="AE211" i="1"/>
  <c r="AF211" i="1"/>
  <c r="AH211" i="1"/>
  <c r="K212" i="1"/>
  <c r="L212" i="1"/>
  <c r="M212" i="1"/>
  <c r="N212" i="1" s="1"/>
  <c r="V212" i="1"/>
  <c r="X212" i="1"/>
  <c r="Y212" i="1"/>
  <c r="Z212" i="1"/>
  <c r="AA212" i="1"/>
  <c r="AB212" i="1"/>
  <c r="AC212" i="1"/>
  <c r="AD212" i="1"/>
  <c r="AG212" i="1" s="1"/>
  <c r="AE212" i="1"/>
  <c r="AF212" i="1"/>
  <c r="AH212" i="1"/>
  <c r="K213" i="1"/>
  <c r="L213" i="1"/>
  <c r="M213" i="1"/>
  <c r="N213" i="1" s="1"/>
  <c r="V213" i="1"/>
  <c r="Y213" i="1"/>
  <c r="Z213" i="1"/>
  <c r="AA213" i="1" s="1"/>
  <c r="AB213" i="1"/>
  <c r="AC213" i="1"/>
  <c r="AD213" i="1"/>
  <c r="AG213" i="1" s="1"/>
  <c r="AE213" i="1"/>
  <c r="AF213" i="1"/>
  <c r="AH213" i="1"/>
  <c r="K214" i="1"/>
  <c r="L214" i="1"/>
  <c r="M214" i="1"/>
  <c r="N214" i="1" s="1"/>
  <c r="V214" i="1"/>
  <c r="Y214" i="1"/>
  <c r="Z214" i="1"/>
  <c r="AA214" i="1" s="1"/>
  <c r="AB214" i="1"/>
  <c r="AC214" i="1"/>
  <c r="AD214" i="1"/>
  <c r="T214" i="1" s="1"/>
  <c r="AE214" i="1"/>
  <c r="AF214" i="1"/>
  <c r="AH214" i="1"/>
  <c r="M23" i="3"/>
  <c r="R23" i="3"/>
  <c r="S23" i="3"/>
  <c r="U23" i="3"/>
  <c r="T23" i="3" s="1"/>
  <c r="V23" i="3"/>
  <c r="W23" i="3"/>
  <c r="Y23" i="3" s="1"/>
  <c r="X23" i="3"/>
  <c r="AC23" i="3"/>
  <c r="M13" i="3"/>
  <c r="R13" i="3"/>
  <c r="S13" i="3"/>
  <c r="U13" i="3"/>
  <c r="T13" i="3" s="1"/>
  <c r="V13" i="3"/>
  <c r="W13" i="3"/>
  <c r="X13" i="3"/>
  <c r="AC13" i="3"/>
  <c r="M17" i="3"/>
  <c r="S17" i="3"/>
  <c r="U17" i="3"/>
  <c r="T17" i="3" s="1"/>
  <c r="V17" i="3"/>
  <c r="W17" i="3"/>
  <c r="X17" i="3"/>
  <c r="AC17" i="3"/>
  <c r="M15" i="3"/>
  <c r="R15" i="3"/>
  <c r="S15" i="3"/>
  <c r="U15" i="3"/>
  <c r="T15" i="3" s="1"/>
  <c r="V15" i="3"/>
  <c r="W15" i="3"/>
  <c r="X15" i="3"/>
  <c r="AC15" i="3"/>
  <c r="M18" i="3"/>
  <c r="R18" i="3"/>
  <c r="S18" i="3"/>
  <c r="U18" i="3"/>
  <c r="T18" i="3" s="1"/>
  <c r="V18" i="3"/>
  <c r="W18" i="3"/>
  <c r="X18" i="3"/>
  <c r="AC18" i="3"/>
  <c r="M8" i="3"/>
  <c r="S8" i="3"/>
  <c r="U8" i="3"/>
  <c r="T8" i="3" s="1"/>
  <c r="V8" i="3"/>
  <c r="W8" i="3"/>
  <c r="X8" i="3"/>
  <c r="M11" i="3"/>
  <c r="S11" i="3"/>
  <c r="U11" i="3"/>
  <c r="T11" i="3" s="1"/>
  <c r="V11" i="3"/>
  <c r="W11" i="3"/>
  <c r="X11" i="3"/>
  <c r="AC11" i="3"/>
  <c r="M7" i="3"/>
  <c r="S7" i="3"/>
  <c r="U7" i="3"/>
  <c r="T7" i="3" s="1"/>
  <c r="V7" i="3"/>
  <c r="W7" i="3"/>
  <c r="X7" i="3"/>
  <c r="AC7" i="3"/>
  <c r="M14" i="3"/>
  <c r="S14" i="3"/>
  <c r="U14" i="3"/>
  <c r="T14" i="3" s="1"/>
  <c r="V14" i="3"/>
  <c r="W14" i="3"/>
  <c r="X14" i="3"/>
  <c r="AC14" i="3"/>
  <c r="M12" i="3"/>
  <c r="S12" i="3"/>
  <c r="U12" i="3"/>
  <c r="T12" i="3" s="1"/>
  <c r="V12" i="3"/>
  <c r="W12" i="3"/>
  <c r="X12" i="3"/>
  <c r="AC12" i="3"/>
  <c r="M9" i="3"/>
  <c r="S9" i="3"/>
  <c r="U9" i="3"/>
  <c r="T9" i="3" s="1"/>
  <c r="V9" i="3"/>
  <c r="W9" i="3"/>
  <c r="X9" i="3"/>
  <c r="M19" i="3"/>
  <c r="R19" i="3"/>
  <c r="U19" i="3"/>
  <c r="T19" i="3" s="1"/>
  <c r="V19" i="3"/>
  <c r="W19" i="3"/>
  <c r="X19" i="3"/>
  <c r="M20" i="3"/>
  <c r="R20" i="3"/>
  <c r="S20" i="3"/>
  <c r="U20" i="3"/>
  <c r="T20" i="3" s="1"/>
  <c r="V20" i="3"/>
  <c r="W20" i="3"/>
  <c r="X20" i="3"/>
  <c r="AC20" i="3"/>
  <c r="M16" i="3"/>
  <c r="R16" i="3"/>
  <c r="S16" i="3"/>
  <c r="U16" i="3"/>
  <c r="T16" i="3" s="1"/>
  <c r="V16" i="3"/>
  <c r="W16" i="3"/>
  <c r="X16" i="3"/>
  <c r="AC16" i="3"/>
  <c r="M21" i="3"/>
  <c r="R21" i="3"/>
  <c r="S21" i="3"/>
  <c r="U21" i="3"/>
  <c r="T21" i="3" s="1"/>
  <c r="V21" i="3"/>
  <c r="W21" i="3"/>
  <c r="X21" i="3"/>
  <c r="AC21" i="3"/>
  <c r="M22" i="3"/>
  <c r="R22" i="3"/>
  <c r="S22" i="3"/>
  <c r="U22" i="3"/>
  <c r="T22" i="3" s="1"/>
  <c r="V22" i="3"/>
  <c r="W22" i="3"/>
  <c r="X22" i="3"/>
  <c r="AC22" i="3"/>
  <c r="Y18" i="3" l="1"/>
  <c r="Y17" i="3"/>
  <c r="AC19" i="3"/>
  <c r="Y21" i="3"/>
  <c r="Y14" i="3"/>
  <c r="AG131" i="1"/>
  <c r="AI126" i="1"/>
  <c r="R12" i="3"/>
  <c r="AA210" i="1"/>
  <c r="AA206" i="1"/>
  <c r="X198" i="1"/>
  <c r="AI196" i="1"/>
  <c r="AA147" i="1"/>
  <c r="AA146" i="1"/>
  <c r="AA133" i="1"/>
  <c r="X132" i="1"/>
  <c r="AA131" i="1"/>
  <c r="AA130" i="1"/>
  <c r="AA129" i="1"/>
  <c r="AA128" i="1"/>
  <c r="T183" i="1"/>
  <c r="U176" i="1"/>
  <c r="AA171" i="1"/>
  <c r="AA91" i="1"/>
  <c r="AI89" i="1"/>
  <c r="AA64" i="1"/>
  <c r="AI61" i="1"/>
  <c r="T40" i="1"/>
  <c r="X28" i="1"/>
  <c r="AA27" i="1"/>
  <c r="AA19" i="1"/>
  <c r="AG197" i="1"/>
  <c r="X197" i="1"/>
  <c r="AI150" i="1"/>
  <c r="AG147" i="1"/>
  <c r="AG140" i="1"/>
  <c r="AG133" i="1"/>
  <c r="X133" i="1"/>
  <c r="AI122" i="1"/>
  <c r="AG116" i="1"/>
  <c r="P97" i="1"/>
  <c r="AG192" i="1"/>
  <c r="AI192" i="1" s="1"/>
  <c r="AA190" i="1"/>
  <c r="AA72" i="1"/>
  <c r="AG53" i="1"/>
  <c r="X53" i="1"/>
  <c r="AG27" i="1"/>
  <c r="W27" i="1" s="1"/>
  <c r="AG19" i="1"/>
  <c r="AI113" i="1"/>
  <c r="AG177" i="1"/>
  <c r="X177" i="1"/>
  <c r="AG64" i="1"/>
  <c r="AG205" i="1"/>
  <c r="X205" i="1"/>
  <c r="AA204" i="1"/>
  <c r="X193" i="1"/>
  <c r="AG156" i="1"/>
  <c r="AA149" i="1"/>
  <c r="W149" i="1" s="1"/>
  <c r="AA125" i="1"/>
  <c r="AA117" i="1"/>
  <c r="AA108" i="1"/>
  <c r="AA106" i="1"/>
  <c r="W106" i="1" s="1"/>
  <c r="AA105" i="1"/>
  <c r="W105" i="1" s="1"/>
  <c r="T105" i="1"/>
  <c r="AA102" i="1"/>
  <c r="AA178" i="1"/>
  <c r="AA89" i="1"/>
  <c r="W89" i="1" s="1"/>
  <c r="AG72" i="1"/>
  <c r="AA61" i="1"/>
  <c r="AG24" i="1"/>
  <c r="X24" i="1"/>
  <c r="AG15" i="1"/>
  <c r="AA193" i="1"/>
  <c r="AA75" i="1"/>
  <c r="X69" i="1"/>
  <c r="AA65" i="1"/>
  <c r="W65" i="1" s="1"/>
  <c r="T65" i="1"/>
  <c r="X61" i="1"/>
  <c r="AA45" i="1"/>
  <c r="X44" i="1"/>
  <c r="AA43" i="1"/>
  <c r="AA42" i="1"/>
  <c r="X36" i="1"/>
  <c r="AA35" i="1"/>
  <c r="AA34" i="1"/>
  <c r="AA26" i="1"/>
  <c r="AA18" i="1"/>
  <c r="AA16" i="1"/>
  <c r="AG214" i="1"/>
  <c r="T211" i="1"/>
  <c r="AG157" i="1"/>
  <c r="AG148" i="1"/>
  <c r="X148" i="1"/>
  <c r="AG141" i="1"/>
  <c r="X141" i="1"/>
  <c r="AG139" i="1"/>
  <c r="AG124" i="1"/>
  <c r="X124" i="1"/>
  <c r="AA123" i="1"/>
  <c r="AA122" i="1"/>
  <c r="W122" i="1" s="1"/>
  <c r="AG121" i="1"/>
  <c r="X121" i="1"/>
  <c r="AA119" i="1"/>
  <c r="AA118" i="1"/>
  <c r="AG114" i="1"/>
  <c r="U114" i="1" s="1"/>
  <c r="AG209" i="1"/>
  <c r="AG98" i="1"/>
  <c r="U98" i="1" s="1"/>
  <c r="X180" i="1"/>
  <c r="AA177" i="1"/>
  <c r="W177" i="1" s="1"/>
  <c r="AG172" i="1"/>
  <c r="AG169" i="1"/>
  <c r="W169" i="1" s="1"/>
  <c r="AA164" i="1"/>
  <c r="AG161" i="1"/>
  <c r="AA159" i="1"/>
  <c r="AA93" i="1"/>
  <c r="X89" i="1"/>
  <c r="AA88" i="1"/>
  <c r="AA82" i="1"/>
  <c r="U53" i="1"/>
  <c r="T29" i="1"/>
  <c r="AA211" i="1"/>
  <c r="AG206" i="1"/>
  <c r="W206" i="1" s="1"/>
  <c r="T201" i="1"/>
  <c r="AA152" i="1"/>
  <c r="AI146" i="1"/>
  <c r="AI142" i="1"/>
  <c r="T102" i="1"/>
  <c r="X99" i="1"/>
  <c r="T188" i="1"/>
  <c r="X169" i="1"/>
  <c r="T84" i="1"/>
  <c r="AG76" i="1"/>
  <c r="X73" i="1"/>
  <c r="AA71" i="1"/>
  <c r="AA70" i="1"/>
  <c r="AA69" i="1"/>
  <c r="W69" i="1" s="1"/>
  <c r="T69" i="1"/>
  <c r="X65" i="1"/>
  <c r="AG60" i="1"/>
  <c r="AA58" i="1"/>
  <c r="AA49" i="1"/>
  <c r="AA48" i="1"/>
  <c r="AG45" i="1"/>
  <c r="X45" i="1"/>
  <c r="AG43" i="1"/>
  <c r="AA40" i="1"/>
  <c r="AG37" i="1"/>
  <c r="X37" i="1"/>
  <c r="AG35" i="1"/>
  <c r="AA207" i="1"/>
  <c r="AA203" i="1"/>
  <c r="AA201" i="1"/>
  <c r="T193" i="1"/>
  <c r="AA157" i="1"/>
  <c r="W157" i="1" s="1"/>
  <c r="X156" i="1"/>
  <c r="AA155" i="1"/>
  <c r="W155" i="1" s="1"/>
  <c r="AA154" i="1"/>
  <c r="X152" i="1"/>
  <c r="X149" i="1"/>
  <c r="T144" i="1"/>
  <c r="AA141" i="1"/>
  <c r="W141" i="1" s="1"/>
  <c r="X140" i="1"/>
  <c r="AA139" i="1"/>
  <c r="W139" i="1" s="1"/>
  <c r="AA138" i="1"/>
  <c r="X136" i="1"/>
  <c r="X128" i="1"/>
  <c r="AG125" i="1"/>
  <c r="W125" i="1" s="1"/>
  <c r="X125" i="1"/>
  <c r="AA124" i="1"/>
  <c r="AG119" i="1"/>
  <c r="AA112" i="1"/>
  <c r="AA107" i="1"/>
  <c r="AG104" i="1"/>
  <c r="U104" i="1" s="1"/>
  <c r="S104" i="1" s="1"/>
  <c r="AA192" i="1"/>
  <c r="AA189" i="1"/>
  <c r="AA96" i="1"/>
  <c r="AA188" i="1"/>
  <c r="W188" i="1" s="1"/>
  <c r="U183" i="1"/>
  <c r="AA183" i="1"/>
  <c r="AA182" i="1"/>
  <c r="AA181" i="1"/>
  <c r="AA180" i="1"/>
  <c r="T180" i="1"/>
  <c r="AG173" i="1"/>
  <c r="X173" i="1"/>
  <c r="AA161" i="1"/>
  <c r="X85" i="1"/>
  <c r="AA80" i="1"/>
  <c r="AA78" i="1"/>
  <c r="AI53" i="1"/>
  <c r="AG29" i="1"/>
  <c r="W23" i="1"/>
  <c r="AI212" i="1"/>
  <c r="AI153" i="1"/>
  <c r="T206" i="1"/>
  <c r="AA200" i="1"/>
  <c r="AA199" i="1"/>
  <c r="X194" i="1"/>
  <c r="AA158" i="1"/>
  <c r="X153" i="1"/>
  <c r="AA151" i="1"/>
  <c r="AA150" i="1"/>
  <c r="X145" i="1"/>
  <c r="AA143" i="1"/>
  <c r="AA142" i="1"/>
  <c r="X137" i="1"/>
  <c r="AA135" i="1"/>
  <c r="AA134" i="1"/>
  <c r="X129" i="1"/>
  <c r="AA127" i="1"/>
  <c r="AA126" i="1"/>
  <c r="AG123" i="1"/>
  <c r="AA120" i="1"/>
  <c r="T120" i="1"/>
  <c r="AI118" i="1"/>
  <c r="AG117" i="1"/>
  <c r="X117" i="1"/>
  <c r="AA113" i="1"/>
  <c r="W113" i="1" s="1"/>
  <c r="T113" i="1"/>
  <c r="U209" i="1"/>
  <c r="U102" i="1"/>
  <c r="T190" i="1"/>
  <c r="AG190" i="1"/>
  <c r="W190" i="1" s="1"/>
  <c r="T96" i="1"/>
  <c r="AG96" i="1"/>
  <c r="T92" i="1"/>
  <c r="AG92" i="1"/>
  <c r="T80" i="1"/>
  <c r="AG80" i="1"/>
  <c r="T70" i="1"/>
  <c r="AG70" i="1"/>
  <c r="T57" i="1"/>
  <c r="X57" i="1"/>
  <c r="AG57" i="1"/>
  <c r="X49" i="1"/>
  <c r="AG49" i="1"/>
  <c r="U45" i="1"/>
  <c r="S45" i="1" s="1"/>
  <c r="AI45" i="1"/>
  <c r="T31" i="1"/>
  <c r="AG31" i="1"/>
  <c r="T20" i="1"/>
  <c r="X21" i="1"/>
  <c r="X20" i="1"/>
  <c r="AG20" i="1"/>
  <c r="W212" i="1"/>
  <c r="U206" i="1"/>
  <c r="S206" i="1" s="1"/>
  <c r="W202" i="1"/>
  <c r="U198" i="1"/>
  <c r="S198" i="1" s="1"/>
  <c r="W194" i="1"/>
  <c r="U157" i="1"/>
  <c r="S157" i="1" s="1"/>
  <c r="W153" i="1"/>
  <c r="U149" i="1"/>
  <c r="S149" i="1" s="1"/>
  <c r="W145" i="1"/>
  <c r="U141" i="1"/>
  <c r="S141" i="1" s="1"/>
  <c r="W137" i="1"/>
  <c r="U133" i="1"/>
  <c r="S133" i="1" s="1"/>
  <c r="W129" i="1"/>
  <c r="U125" i="1"/>
  <c r="S125" i="1" s="1"/>
  <c r="AI157" i="1"/>
  <c r="U72" i="1"/>
  <c r="X48" i="1"/>
  <c r="U37" i="1"/>
  <c r="S37" i="1" s="1"/>
  <c r="AI37" i="1"/>
  <c r="T25" i="1"/>
  <c r="X25" i="1"/>
  <c r="AG25" i="1"/>
  <c r="W25" i="1" s="1"/>
  <c r="AG210" i="1"/>
  <c r="W210" i="1" s="1"/>
  <c r="AG200" i="1"/>
  <c r="AI200" i="1" s="1"/>
  <c r="T194" i="1"/>
  <c r="U194" i="1" s="1"/>
  <c r="S194" i="1" s="1"/>
  <c r="T153" i="1"/>
  <c r="U153" i="1" s="1"/>
  <c r="S153" i="1" s="1"/>
  <c r="AG151" i="1"/>
  <c r="T145" i="1"/>
  <c r="U145" i="1" s="1"/>
  <c r="S145" i="1" s="1"/>
  <c r="AG143" i="1"/>
  <c r="T137" i="1"/>
  <c r="U137" i="1" s="1"/>
  <c r="S137" i="1" s="1"/>
  <c r="AG135" i="1"/>
  <c r="T129" i="1"/>
  <c r="U129" i="1" s="1"/>
  <c r="S129" i="1" s="1"/>
  <c r="AG127" i="1"/>
  <c r="W123" i="1"/>
  <c r="AA121" i="1"/>
  <c r="W121" i="1" s="1"/>
  <c r="AG120" i="1"/>
  <c r="X120" i="1"/>
  <c r="X113" i="1"/>
  <c r="AG112" i="1"/>
  <c r="U112" i="1" s="1"/>
  <c r="AG110" i="1"/>
  <c r="W110" i="1" s="1"/>
  <c r="AG109" i="1"/>
  <c r="AI109" i="1" s="1"/>
  <c r="T109" i="1"/>
  <c r="AG108" i="1"/>
  <c r="U108" i="1" s="1"/>
  <c r="X166" i="1"/>
  <c r="AG166" i="1"/>
  <c r="U166" i="1" s="1"/>
  <c r="S166" i="1" s="1"/>
  <c r="T49" i="1"/>
  <c r="T47" i="1"/>
  <c r="AG47" i="1"/>
  <c r="W214" i="1"/>
  <c r="T212" i="1"/>
  <c r="U212" i="1" s="1"/>
  <c r="S212" i="1" s="1"/>
  <c r="W204" i="1"/>
  <c r="T202" i="1"/>
  <c r="U202" i="1" s="1"/>
  <c r="S202" i="1" s="1"/>
  <c r="AG211" i="1"/>
  <c r="W211" i="1" s="1"/>
  <c r="AA205" i="1"/>
  <c r="W205" i="1" s="1"/>
  <c r="AG201" i="1"/>
  <c r="W201" i="1" s="1"/>
  <c r="AA197" i="1"/>
  <c r="W197" i="1" s="1"/>
  <c r="AG193" i="1"/>
  <c r="W193" i="1" s="1"/>
  <c r="AA156" i="1"/>
  <c r="W156" i="1" s="1"/>
  <c r="AG152" i="1"/>
  <c r="AI152" i="1" s="1"/>
  <c r="AA148" i="1"/>
  <c r="W148" i="1" s="1"/>
  <c r="AG144" i="1"/>
  <c r="W144" i="1" s="1"/>
  <c r="AA140" i="1"/>
  <c r="W140" i="1" s="1"/>
  <c r="AG136" i="1"/>
  <c r="W136" i="1" s="1"/>
  <c r="AA132" i="1"/>
  <c r="W132" i="1" s="1"/>
  <c r="AI130" i="1"/>
  <c r="AG128" i="1"/>
  <c r="W128" i="1" s="1"/>
  <c r="W124" i="1"/>
  <c r="W119" i="1"/>
  <c r="AA116" i="1"/>
  <c r="W116" i="1" s="1"/>
  <c r="AA115" i="1"/>
  <c r="X109" i="1"/>
  <c r="AI105" i="1"/>
  <c r="AG103" i="1"/>
  <c r="X103" i="1"/>
  <c r="T103" i="1"/>
  <c r="W192" i="1"/>
  <c r="AG191" i="1"/>
  <c r="T191" i="1"/>
  <c r="X191" i="1"/>
  <c r="W96" i="1"/>
  <c r="W173" i="1"/>
  <c r="T165" i="1"/>
  <c r="AG165" i="1"/>
  <c r="X93" i="1"/>
  <c r="AG93" i="1"/>
  <c r="W93" i="1" s="1"/>
  <c r="AG81" i="1"/>
  <c r="T81" i="1"/>
  <c r="X81" i="1"/>
  <c r="U76" i="1"/>
  <c r="W70" i="1"/>
  <c r="AA50" i="1"/>
  <c r="W50" i="1" s="1"/>
  <c r="W49" i="1"/>
  <c r="T39" i="1"/>
  <c r="AG39" i="1"/>
  <c r="AA37" i="1"/>
  <c r="W37" i="1" s="1"/>
  <c r="U36" i="1"/>
  <c r="X32" i="1"/>
  <c r="U29" i="1"/>
  <c r="AI29" i="1"/>
  <c r="U24" i="1"/>
  <c r="AA209" i="1"/>
  <c r="W209" i="1" s="1"/>
  <c r="AA208" i="1"/>
  <c r="AA103" i="1"/>
  <c r="AA187" i="1"/>
  <c r="W187" i="1" s="1"/>
  <c r="AA186" i="1"/>
  <c r="AA184" i="1"/>
  <c r="T184" i="1"/>
  <c r="W94" i="1"/>
  <c r="W161" i="1"/>
  <c r="W88" i="1"/>
  <c r="AA84" i="1"/>
  <c r="W84" i="1" s="1"/>
  <c r="W68" i="1"/>
  <c r="W64" i="1"/>
  <c r="X50" i="1"/>
  <c r="T41" i="1"/>
  <c r="T33" i="1"/>
  <c r="AA28" i="1"/>
  <c r="T28" i="1"/>
  <c r="AA21" i="1"/>
  <c r="W21" i="1" s="1"/>
  <c r="W15" i="1"/>
  <c r="AA14" i="1"/>
  <c r="W102" i="1"/>
  <c r="X188" i="1"/>
  <c r="U187" i="1"/>
  <c r="W183" i="1"/>
  <c r="AA168" i="1"/>
  <c r="AA160" i="1"/>
  <c r="AA87" i="1"/>
  <c r="AA86" i="1"/>
  <c r="AA77" i="1"/>
  <c r="W77" i="1" s="1"/>
  <c r="T77" i="1"/>
  <c r="AA73" i="1"/>
  <c r="W73" i="1" s="1"/>
  <c r="T73" i="1"/>
  <c r="AA63" i="1"/>
  <c r="AA59" i="1"/>
  <c r="AA56" i="1"/>
  <c r="W56" i="1" s="1"/>
  <c r="AA53" i="1"/>
  <c r="W53" i="1" s="1"/>
  <c r="AG52" i="1"/>
  <c r="U52" i="1" s="1"/>
  <c r="AG48" i="1"/>
  <c r="U48" i="1" s="1"/>
  <c r="AA44" i="1"/>
  <c r="W44" i="1" s="1"/>
  <c r="AG41" i="1"/>
  <c r="AG40" i="1"/>
  <c r="U40" i="1" s="1"/>
  <c r="AA36" i="1"/>
  <c r="W36" i="1" s="1"/>
  <c r="AG33" i="1"/>
  <c r="AG32" i="1"/>
  <c r="U32" i="1" s="1"/>
  <c r="AA24" i="1"/>
  <c r="W24" i="1" s="1"/>
  <c r="U21" i="1"/>
  <c r="W19" i="1"/>
  <c r="AA17" i="1"/>
  <c r="W17" i="1" s="1"/>
  <c r="AG16" i="1"/>
  <c r="W16" i="1" s="1"/>
  <c r="AG100" i="1"/>
  <c r="U100" i="1" s="1"/>
  <c r="S100" i="1" s="1"/>
  <c r="AA98" i="1"/>
  <c r="W98" i="1" s="1"/>
  <c r="AA97" i="1"/>
  <c r="AA191" i="1"/>
  <c r="W191" i="1" s="1"/>
  <c r="X184" i="1"/>
  <c r="AG181" i="1"/>
  <c r="U181" i="1" s="1"/>
  <c r="S181" i="1" s="1"/>
  <c r="X179" i="1"/>
  <c r="U177" i="1"/>
  <c r="S177" i="1" s="1"/>
  <c r="AA174" i="1"/>
  <c r="U169" i="1"/>
  <c r="S169" i="1" s="1"/>
  <c r="AA165" i="1"/>
  <c r="W165" i="1" s="1"/>
  <c r="U162" i="1"/>
  <c r="S162" i="1" s="1"/>
  <c r="AA92" i="1"/>
  <c r="W92" i="1" s="1"/>
  <c r="U89" i="1"/>
  <c r="S89" i="1" s="1"/>
  <c r="AA81" i="1"/>
  <c r="W72" i="1"/>
  <c r="AA67" i="1"/>
  <c r="W61" i="1"/>
  <c r="AA57" i="1"/>
  <c r="W57" i="1" s="1"/>
  <c r="AA47" i="1"/>
  <c r="AA46" i="1"/>
  <c r="AA39" i="1"/>
  <c r="W39" i="1" s="1"/>
  <c r="AA38" i="1"/>
  <c r="AA31" i="1"/>
  <c r="W31" i="1" s="1"/>
  <c r="AA30" i="1"/>
  <c r="AA29" i="1"/>
  <c r="W29" i="1" s="1"/>
  <c r="AG28" i="1"/>
  <c r="U28" i="1" s="1"/>
  <c r="AA20" i="1"/>
  <c r="W20" i="1" s="1"/>
  <c r="U17" i="1"/>
  <c r="X17" i="1"/>
  <c r="AI209" i="1"/>
  <c r="AI201" i="1"/>
  <c r="AI193" i="1"/>
  <c r="AI185" i="1"/>
  <c r="W213" i="1"/>
  <c r="U210" i="1"/>
  <c r="W203" i="1"/>
  <c r="U200" i="1"/>
  <c r="W195" i="1"/>
  <c r="W154" i="1"/>
  <c r="U151" i="1"/>
  <c r="W146" i="1"/>
  <c r="U143" i="1"/>
  <c r="W138" i="1"/>
  <c r="U135" i="1"/>
  <c r="W130" i="1"/>
  <c r="U127" i="1"/>
  <c r="AI213" i="1"/>
  <c r="AI173" i="1"/>
  <c r="AI165" i="1"/>
  <c r="AI158" i="1"/>
  <c r="W118" i="1"/>
  <c r="AI205" i="1"/>
  <c r="AI197" i="1"/>
  <c r="AI181" i="1"/>
  <c r="U214" i="1"/>
  <c r="W207" i="1"/>
  <c r="U204" i="1"/>
  <c r="W199" i="1"/>
  <c r="U196" i="1"/>
  <c r="W158" i="1"/>
  <c r="U155" i="1"/>
  <c r="S155" i="1" s="1"/>
  <c r="W150" i="1"/>
  <c r="U147" i="1"/>
  <c r="W142" i="1"/>
  <c r="U139" i="1"/>
  <c r="S139" i="1" s="1"/>
  <c r="W134" i="1"/>
  <c r="U131" i="1"/>
  <c r="W126" i="1"/>
  <c r="U123" i="1"/>
  <c r="S123" i="1" s="1"/>
  <c r="AI154" i="1"/>
  <c r="AI177" i="1"/>
  <c r="AI169" i="1"/>
  <c r="AI161" i="1"/>
  <c r="U119" i="1"/>
  <c r="AI214" i="1"/>
  <c r="S214" i="1"/>
  <c r="X213" i="1"/>
  <c r="T213" i="1"/>
  <c r="U213" i="1" s="1"/>
  <c r="S213" i="1" s="1"/>
  <c r="AI210" i="1"/>
  <c r="S210" i="1"/>
  <c r="X207" i="1"/>
  <c r="T207" i="1"/>
  <c r="U207" i="1" s="1"/>
  <c r="S207" i="1" s="1"/>
  <c r="AI206" i="1"/>
  <c r="S204" i="1"/>
  <c r="X203" i="1"/>
  <c r="T203" i="1"/>
  <c r="U203" i="1" s="1"/>
  <c r="S203" i="1" s="1"/>
  <c r="AI202" i="1"/>
  <c r="S200" i="1"/>
  <c r="X199" i="1"/>
  <c r="T199" i="1"/>
  <c r="U199" i="1" s="1"/>
  <c r="S199" i="1" s="1"/>
  <c r="AI198" i="1"/>
  <c r="S196" i="1"/>
  <c r="X195" i="1"/>
  <c r="T195" i="1"/>
  <c r="U195" i="1" s="1"/>
  <c r="S195" i="1" s="1"/>
  <c r="AI194" i="1"/>
  <c r="T158" i="1"/>
  <c r="U158" i="1" s="1"/>
  <c r="S158" i="1" s="1"/>
  <c r="AI190" i="1"/>
  <c r="X154" i="1"/>
  <c r="T154" i="1"/>
  <c r="U154" i="1" s="1"/>
  <c r="S154" i="1" s="1"/>
  <c r="S151" i="1"/>
  <c r="X150" i="1"/>
  <c r="T150" i="1"/>
  <c r="U150" i="1" s="1"/>
  <c r="S150" i="1" s="1"/>
  <c r="S147" i="1"/>
  <c r="X146" i="1"/>
  <c r="T146" i="1"/>
  <c r="U146" i="1" s="1"/>
  <c r="S146" i="1" s="1"/>
  <c r="S143" i="1"/>
  <c r="X142" i="1"/>
  <c r="T142" i="1"/>
  <c r="U142" i="1" s="1"/>
  <c r="S142" i="1" s="1"/>
  <c r="X138" i="1"/>
  <c r="T138" i="1"/>
  <c r="U138" i="1" s="1"/>
  <c r="S138" i="1" s="1"/>
  <c r="S135" i="1"/>
  <c r="X134" i="1"/>
  <c r="T134" i="1"/>
  <c r="U134" i="1" s="1"/>
  <c r="S134" i="1" s="1"/>
  <c r="AI166" i="1"/>
  <c r="S131" i="1"/>
  <c r="X130" i="1"/>
  <c r="T130" i="1"/>
  <c r="U130" i="1" s="1"/>
  <c r="S130" i="1" s="1"/>
  <c r="AI162" i="1"/>
  <c r="S127" i="1"/>
  <c r="X126" i="1"/>
  <c r="T126" i="1"/>
  <c r="U126" i="1" s="1"/>
  <c r="S126" i="1" s="1"/>
  <c r="X122" i="1"/>
  <c r="T122" i="1"/>
  <c r="U122" i="1" s="1"/>
  <c r="S122" i="1" s="1"/>
  <c r="U121" i="1"/>
  <c r="S121" i="1" s="1"/>
  <c r="AI155" i="1"/>
  <c r="S119" i="1"/>
  <c r="X118" i="1"/>
  <c r="T118" i="1"/>
  <c r="U118" i="1" s="1"/>
  <c r="S118" i="1" s="1"/>
  <c r="T111" i="1"/>
  <c r="X111" i="1"/>
  <c r="AG111" i="1"/>
  <c r="W111" i="1" s="1"/>
  <c r="X112" i="1"/>
  <c r="U110" i="1"/>
  <c r="S110" i="1" s="1"/>
  <c r="U109" i="1"/>
  <c r="S109" i="1" s="1"/>
  <c r="AI145" i="1"/>
  <c r="U192" i="1"/>
  <c r="S192" i="1" s="1"/>
  <c r="U191" i="1"/>
  <c r="S191" i="1" s="1"/>
  <c r="AI129" i="1"/>
  <c r="U211" i="1"/>
  <c r="S211" i="1" s="1"/>
  <c r="U205" i="1"/>
  <c r="S205" i="1" s="1"/>
  <c r="U201" i="1"/>
  <c r="S201" i="1" s="1"/>
  <c r="U197" i="1"/>
  <c r="S197" i="1" s="1"/>
  <c r="U193" i="1"/>
  <c r="S193" i="1" s="1"/>
  <c r="U156" i="1"/>
  <c r="S156" i="1" s="1"/>
  <c r="U152" i="1"/>
  <c r="S152" i="1" s="1"/>
  <c r="U148" i="1"/>
  <c r="S148" i="1" s="1"/>
  <c r="U144" i="1"/>
  <c r="S144" i="1" s="1"/>
  <c r="U140" i="1"/>
  <c r="S140" i="1" s="1"/>
  <c r="U136" i="1"/>
  <c r="S136" i="1" s="1"/>
  <c r="U132" i="1"/>
  <c r="S132" i="1" s="1"/>
  <c r="U128" i="1"/>
  <c r="S128" i="1" s="1"/>
  <c r="U124" i="1"/>
  <c r="S124" i="1" s="1"/>
  <c r="U120" i="1"/>
  <c r="S120" i="1" s="1"/>
  <c r="U116" i="1"/>
  <c r="S116" i="1" s="1"/>
  <c r="U106" i="1"/>
  <c r="S106" i="1" s="1"/>
  <c r="U105" i="1"/>
  <c r="S105" i="1" s="1"/>
  <c r="AI141" i="1"/>
  <c r="W103" i="1"/>
  <c r="U96" i="1"/>
  <c r="S96" i="1" s="1"/>
  <c r="U188" i="1"/>
  <c r="S188" i="1" s="1"/>
  <c r="AI125" i="1"/>
  <c r="W184" i="1"/>
  <c r="W117" i="1"/>
  <c r="U117" i="1"/>
  <c r="S117" i="1" s="1"/>
  <c r="AG115" i="1"/>
  <c r="W115" i="1" s="1"/>
  <c r="X116" i="1"/>
  <c r="U113" i="1"/>
  <c r="S113" i="1" s="1"/>
  <c r="AI149" i="1"/>
  <c r="W112" i="1"/>
  <c r="U103" i="1"/>
  <c r="S103" i="1" s="1"/>
  <c r="AI137" i="1"/>
  <c r="W99" i="1"/>
  <c r="U184" i="1"/>
  <c r="S184" i="1" s="1"/>
  <c r="AI121" i="1"/>
  <c r="W180" i="1"/>
  <c r="X214" i="1"/>
  <c r="AI211" i="1"/>
  <c r="X210" i="1"/>
  <c r="AI207" i="1"/>
  <c r="X204" i="1"/>
  <c r="AI203" i="1"/>
  <c r="X200" i="1"/>
  <c r="AI199" i="1"/>
  <c r="X196" i="1"/>
  <c r="AI195" i="1"/>
  <c r="AI191" i="1"/>
  <c r="X155" i="1"/>
  <c r="AI187" i="1"/>
  <c r="X151" i="1"/>
  <c r="AI183" i="1"/>
  <c r="X147" i="1"/>
  <c r="AI179" i="1"/>
  <c r="X143" i="1"/>
  <c r="X139" i="1"/>
  <c r="X135" i="1"/>
  <c r="X131" i="1"/>
  <c r="X127" i="1"/>
  <c r="X123" i="1"/>
  <c r="AI156" i="1"/>
  <c r="X119" i="1"/>
  <c r="X115" i="1"/>
  <c r="S114" i="1"/>
  <c r="S112" i="1"/>
  <c r="AI148" i="1"/>
  <c r="U99" i="1"/>
  <c r="S99" i="1"/>
  <c r="AI133" i="1"/>
  <c r="U180" i="1"/>
  <c r="S180" i="1" s="1"/>
  <c r="AI117" i="1"/>
  <c r="X108" i="1"/>
  <c r="AG107" i="1"/>
  <c r="W107" i="1" s="1"/>
  <c r="X209" i="1"/>
  <c r="AG208" i="1"/>
  <c r="AI208" i="1" s="1"/>
  <c r="X102" i="1"/>
  <c r="AG101" i="1"/>
  <c r="AI101" i="1" s="1"/>
  <c r="X98" i="1"/>
  <c r="AG97" i="1"/>
  <c r="AI97" i="1" s="1"/>
  <c r="X190" i="1"/>
  <c r="AG189" i="1"/>
  <c r="W189" i="1" s="1"/>
  <c r="X187" i="1"/>
  <c r="AG186" i="1"/>
  <c r="AI186" i="1" s="1"/>
  <c r="X183" i="1"/>
  <c r="AG182" i="1"/>
  <c r="AI182" i="1" s="1"/>
  <c r="W179" i="1"/>
  <c r="AG95" i="1"/>
  <c r="U173" i="1"/>
  <c r="S173" i="1" s="1"/>
  <c r="AI108" i="1"/>
  <c r="AI144" i="1"/>
  <c r="S108" i="1"/>
  <c r="X107" i="1"/>
  <c r="AI140" i="1"/>
  <c r="S209" i="1"/>
  <c r="X208" i="1"/>
  <c r="AI136" i="1"/>
  <c r="S102" i="1"/>
  <c r="X101" i="1"/>
  <c r="AI132" i="1"/>
  <c r="X97" i="1"/>
  <c r="AI128" i="1"/>
  <c r="X189" i="1"/>
  <c r="AI124" i="1"/>
  <c r="S187" i="1"/>
  <c r="X186" i="1"/>
  <c r="AI120" i="1"/>
  <c r="S183" i="1"/>
  <c r="X182" i="1"/>
  <c r="AA176" i="1"/>
  <c r="W176" i="1" s="1"/>
  <c r="AA175" i="1"/>
  <c r="T174" i="1"/>
  <c r="X174" i="1"/>
  <c r="AG174" i="1"/>
  <c r="AI174" i="1" s="1"/>
  <c r="X114" i="1"/>
  <c r="X110" i="1"/>
  <c r="X106" i="1"/>
  <c r="X104" i="1"/>
  <c r="X100" i="1"/>
  <c r="X192" i="1"/>
  <c r="X96" i="1"/>
  <c r="X185" i="1"/>
  <c r="X181" i="1"/>
  <c r="S179" i="1"/>
  <c r="AI116" i="1"/>
  <c r="AA95" i="1"/>
  <c r="T178" i="1"/>
  <c r="X178" i="1"/>
  <c r="AG178" i="1"/>
  <c r="W178" i="1" s="1"/>
  <c r="T175" i="1"/>
  <c r="X175" i="1"/>
  <c r="AA172" i="1"/>
  <c r="W172" i="1" s="1"/>
  <c r="T95" i="1"/>
  <c r="X95" i="1"/>
  <c r="S176" i="1"/>
  <c r="AI112" i="1"/>
  <c r="X176" i="1"/>
  <c r="AG175" i="1"/>
  <c r="AI175" i="1" s="1"/>
  <c r="U94" i="1"/>
  <c r="S94" i="1" s="1"/>
  <c r="U165" i="1"/>
  <c r="S165" i="1" s="1"/>
  <c r="U161" i="1"/>
  <c r="S161" i="1" s="1"/>
  <c r="U92" i="1"/>
  <c r="S92" i="1" s="1"/>
  <c r="U88" i="1"/>
  <c r="S88" i="1" s="1"/>
  <c r="T86" i="1"/>
  <c r="X86" i="1"/>
  <c r="U81" i="1"/>
  <c r="S81" i="1" s="1"/>
  <c r="AI81" i="1"/>
  <c r="W80" i="1"/>
  <c r="S76" i="1"/>
  <c r="AI76" i="1"/>
  <c r="T71" i="1"/>
  <c r="X71" i="1"/>
  <c r="AG71" i="1"/>
  <c r="X72" i="1"/>
  <c r="T67" i="1"/>
  <c r="X67" i="1"/>
  <c r="AG67" i="1"/>
  <c r="X68" i="1"/>
  <c r="AA60" i="1"/>
  <c r="W60" i="1" s="1"/>
  <c r="T55" i="1"/>
  <c r="X55" i="1"/>
  <c r="AG55" i="1"/>
  <c r="W55" i="1" s="1"/>
  <c r="X56" i="1"/>
  <c r="S52" i="1"/>
  <c r="AI52" i="1"/>
  <c r="T51" i="1"/>
  <c r="X51" i="1"/>
  <c r="AG51" i="1"/>
  <c r="X172" i="1"/>
  <c r="AG171" i="1"/>
  <c r="W171" i="1" s="1"/>
  <c r="X94" i="1"/>
  <c r="AG168" i="1"/>
  <c r="AI168" i="1" s="1"/>
  <c r="AG164" i="1"/>
  <c r="AI164" i="1" s="1"/>
  <c r="AG160" i="1"/>
  <c r="AI160" i="1" s="1"/>
  <c r="X92" i="1"/>
  <c r="AG91" i="1"/>
  <c r="X88" i="1"/>
  <c r="AG87" i="1"/>
  <c r="AG86" i="1"/>
  <c r="W86" i="1" s="1"/>
  <c r="AI80" i="1"/>
  <c r="T75" i="1"/>
  <c r="X75" i="1"/>
  <c r="AG75" i="1"/>
  <c r="W75" i="1" s="1"/>
  <c r="X76" i="1"/>
  <c r="U65" i="1"/>
  <c r="S65" i="1" s="1"/>
  <c r="AI65" i="1"/>
  <c r="AI47" i="1"/>
  <c r="U47" i="1"/>
  <c r="S47" i="1" s="1"/>
  <c r="X171" i="1"/>
  <c r="AG170" i="1"/>
  <c r="AI170" i="1" s="1"/>
  <c r="AI104" i="1"/>
  <c r="X168" i="1"/>
  <c r="AG167" i="1"/>
  <c r="AI167" i="1" s="1"/>
  <c r="AI100" i="1"/>
  <c r="AG163" i="1"/>
  <c r="W163" i="1" s="1"/>
  <c r="AI96" i="1"/>
  <c r="AG159" i="1"/>
  <c r="W159" i="1" s="1"/>
  <c r="AI92" i="1"/>
  <c r="X91" i="1"/>
  <c r="AG90" i="1"/>
  <c r="W90" i="1" s="1"/>
  <c r="AI88" i="1"/>
  <c r="X87" i="1"/>
  <c r="AI84" i="1"/>
  <c r="U80" i="1"/>
  <c r="S80" i="1" s="1"/>
  <c r="T79" i="1"/>
  <c r="X79" i="1"/>
  <c r="AG79" i="1"/>
  <c r="W79" i="1" s="1"/>
  <c r="X80" i="1"/>
  <c r="U73" i="1"/>
  <c r="S73" i="1" s="1"/>
  <c r="AI73" i="1"/>
  <c r="U69" i="1"/>
  <c r="S69" i="1" s="1"/>
  <c r="AI69" i="1"/>
  <c r="AI64" i="1"/>
  <c r="AI60" i="1"/>
  <c r="W52" i="1"/>
  <c r="X170" i="1"/>
  <c r="X167" i="1"/>
  <c r="X90" i="1"/>
  <c r="T85" i="1"/>
  <c r="U85" i="1" s="1"/>
  <c r="S85" i="1" s="1"/>
  <c r="U84" i="1"/>
  <c r="S84" i="1" s="1"/>
  <c r="T83" i="1"/>
  <c r="X83" i="1"/>
  <c r="AG83" i="1"/>
  <c r="X84" i="1"/>
  <c r="W81" i="1"/>
  <c r="U77" i="1"/>
  <c r="S77" i="1" s="1"/>
  <c r="AI77" i="1"/>
  <c r="W76" i="1"/>
  <c r="S72" i="1"/>
  <c r="AI72" i="1"/>
  <c r="W71" i="1"/>
  <c r="S68" i="1"/>
  <c r="AI68" i="1"/>
  <c r="W67" i="1"/>
  <c r="U64" i="1"/>
  <c r="S64" i="1" s="1"/>
  <c r="T63" i="1"/>
  <c r="X63" i="1"/>
  <c r="AG63" i="1"/>
  <c r="W63" i="1" s="1"/>
  <c r="X64" i="1"/>
  <c r="U61" i="1"/>
  <c r="S61" i="1" s="1"/>
  <c r="U60" i="1"/>
  <c r="S60" i="1" s="1"/>
  <c r="T59" i="1"/>
  <c r="X59" i="1"/>
  <c r="AG59" i="1"/>
  <c r="W59" i="1" s="1"/>
  <c r="X60" i="1"/>
  <c r="S56" i="1"/>
  <c r="AI56" i="1"/>
  <c r="W51" i="1"/>
  <c r="S53" i="1"/>
  <c r="X52" i="1"/>
  <c r="AG82" i="1"/>
  <c r="W82" i="1" s="1"/>
  <c r="AG78" i="1"/>
  <c r="AG74" i="1"/>
  <c r="AG66" i="1"/>
  <c r="AG62" i="1"/>
  <c r="W62" i="1" s="1"/>
  <c r="AG58" i="1"/>
  <c r="AG54" i="1"/>
  <c r="W47" i="1"/>
  <c r="U16" i="1"/>
  <c r="S16" i="1" s="1"/>
  <c r="X82" i="1"/>
  <c r="X78" i="1"/>
  <c r="X74" i="1"/>
  <c r="X70" i="1"/>
  <c r="X66" i="1"/>
  <c r="X62" i="1"/>
  <c r="X58" i="1"/>
  <c r="X54" i="1"/>
  <c r="T50" i="1"/>
  <c r="U50" i="1" s="1"/>
  <c r="S50" i="1" s="1"/>
  <c r="U43" i="1"/>
  <c r="S43" i="1" s="1"/>
  <c r="U39" i="1"/>
  <c r="S39" i="1" s="1"/>
  <c r="U35" i="1"/>
  <c r="S35" i="1" s="1"/>
  <c r="U31" i="1"/>
  <c r="S31" i="1" s="1"/>
  <c r="S29" i="1"/>
  <c r="U27" i="1"/>
  <c r="S27" i="1" s="1"/>
  <c r="U23" i="1"/>
  <c r="S23" i="1" s="1"/>
  <c r="S21" i="1"/>
  <c r="U19" i="1"/>
  <c r="S19" i="1" s="1"/>
  <c r="S17" i="1"/>
  <c r="X16" i="1"/>
  <c r="U15" i="1"/>
  <c r="S15" i="1" s="1"/>
  <c r="AI48" i="1"/>
  <c r="S48" i="1"/>
  <c r="X47" i="1"/>
  <c r="AG46" i="1"/>
  <c r="W46" i="1" s="1"/>
  <c r="AI44" i="1"/>
  <c r="S44" i="1"/>
  <c r="X43" i="1"/>
  <c r="AG42" i="1"/>
  <c r="W42" i="1" s="1"/>
  <c r="AI40" i="1"/>
  <c r="S40" i="1"/>
  <c r="X39" i="1"/>
  <c r="AG38" i="1"/>
  <c r="W38" i="1" s="1"/>
  <c r="AI36" i="1"/>
  <c r="S36" i="1"/>
  <c r="X35" i="1"/>
  <c r="AG34" i="1"/>
  <c r="AI32" i="1"/>
  <c r="X31" i="1"/>
  <c r="AG30" i="1"/>
  <c r="W30" i="1" s="1"/>
  <c r="AI28" i="1"/>
  <c r="S28" i="1"/>
  <c r="X27" i="1"/>
  <c r="AG26" i="1"/>
  <c r="AI24" i="1"/>
  <c r="S24" i="1"/>
  <c r="X23" i="1"/>
  <c r="AG22" i="1"/>
  <c r="W22" i="1" s="1"/>
  <c r="AI20" i="1"/>
  <c r="X19" i="1"/>
  <c r="AG18" i="1"/>
  <c r="W18" i="1" s="1"/>
  <c r="AI16" i="1"/>
  <c r="X15" i="1"/>
  <c r="AG14" i="1"/>
  <c r="W14" i="1" s="1"/>
  <c r="X46" i="1"/>
  <c r="AI43" i="1"/>
  <c r="X42" i="1"/>
  <c r="AI39" i="1"/>
  <c r="X38" i="1"/>
  <c r="AI35" i="1"/>
  <c r="X34" i="1"/>
  <c r="AI31" i="1"/>
  <c r="X30" i="1"/>
  <c r="AI27" i="1"/>
  <c r="X26" i="1"/>
  <c r="AI23" i="1"/>
  <c r="X22" i="1"/>
  <c r="AI19" i="1"/>
  <c r="X18" i="1"/>
  <c r="AI15" i="1"/>
  <c r="Y20" i="3"/>
  <c r="AD23" i="3"/>
  <c r="Y9" i="3"/>
  <c r="Y11" i="3"/>
  <c r="Y22" i="3"/>
  <c r="Y16" i="3"/>
  <c r="Y19" i="3"/>
  <c r="AC9" i="3"/>
  <c r="Y12" i="3"/>
  <c r="Y8" i="3"/>
  <c r="AD22" i="3"/>
  <c r="AD16" i="3"/>
  <c r="AD19" i="3"/>
  <c r="AD12" i="3"/>
  <c r="AD7" i="3"/>
  <c r="AD8" i="3"/>
  <c r="AD15" i="3"/>
  <c r="AD13" i="3"/>
  <c r="AC8" i="3"/>
  <c r="AD21" i="3"/>
  <c r="AD20" i="3"/>
  <c r="AD9" i="3"/>
  <c r="AD14" i="3"/>
  <c r="AD11" i="3"/>
  <c r="AD18" i="3"/>
  <c r="Y7" i="3"/>
  <c r="Y15" i="3"/>
  <c r="Y13" i="3"/>
  <c r="R10" i="3"/>
  <c r="M10" i="3"/>
  <c r="S10" i="3"/>
  <c r="U10" i="3"/>
  <c r="T10" i="3" s="1"/>
  <c r="V10" i="3"/>
  <c r="W10" i="3"/>
  <c r="X10" i="3"/>
  <c r="AC10" i="3"/>
  <c r="W131" i="1" l="1"/>
  <c r="W147" i="1"/>
  <c r="W133" i="1"/>
  <c r="W160" i="1"/>
  <c r="W95" i="1"/>
  <c r="U172" i="1"/>
  <c r="S172" i="1" s="1"/>
  <c r="AI172" i="1"/>
  <c r="W35" i="1"/>
  <c r="W168" i="1"/>
  <c r="W45" i="1"/>
  <c r="W104" i="1"/>
  <c r="W43" i="1"/>
  <c r="W114" i="1"/>
  <c r="W170" i="1"/>
  <c r="W175" i="1"/>
  <c r="U33" i="1"/>
  <c r="S32" i="1" s="1"/>
  <c r="AI33" i="1"/>
  <c r="W40" i="1"/>
  <c r="W108" i="1"/>
  <c r="U70" i="1"/>
  <c r="S70" i="1" s="1"/>
  <c r="AI70" i="1"/>
  <c r="W100" i="1"/>
  <c r="W127" i="1"/>
  <c r="W167" i="1"/>
  <c r="AI163" i="1"/>
  <c r="AI171" i="1"/>
  <c r="W32" i="1"/>
  <c r="W33" i="1"/>
  <c r="W109" i="1"/>
  <c r="W152" i="1"/>
  <c r="U20" i="1"/>
  <c r="S20" i="1" s="1"/>
  <c r="U57" i="1"/>
  <c r="S57" i="1" s="1"/>
  <c r="AI57" i="1"/>
  <c r="W120" i="1"/>
  <c r="W151" i="1"/>
  <c r="AI178" i="1"/>
  <c r="U25" i="1"/>
  <c r="S25" i="1" s="1"/>
  <c r="AI25" i="1"/>
  <c r="W48" i="1"/>
  <c r="W181" i="1"/>
  <c r="U190" i="1"/>
  <c r="S190" i="1" s="1"/>
  <c r="W143" i="1"/>
  <c r="AI159" i="1"/>
  <c r="AI189" i="1"/>
  <c r="U41" i="1"/>
  <c r="S41" i="1" s="1"/>
  <c r="AI41" i="1"/>
  <c r="W28" i="1"/>
  <c r="U93" i="1"/>
  <c r="S93" i="1" s="1"/>
  <c r="AI93" i="1"/>
  <c r="W166" i="1"/>
  <c r="W41" i="1"/>
  <c r="U49" i="1"/>
  <c r="S49" i="1" s="1"/>
  <c r="AI49" i="1"/>
  <c r="W135" i="1"/>
  <c r="W200" i="1"/>
  <c r="U58" i="1"/>
  <c r="S58" i="1" s="1"/>
  <c r="AI58" i="1"/>
  <c r="AI14" i="1"/>
  <c r="U14" i="1"/>
  <c r="S14" i="1" s="1"/>
  <c r="AI18" i="1"/>
  <c r="U18" i="1"/>
  <c r="S18" i="1" s="1"/>
  <c r="AI22" i="1"/>
  <c r="U22" i="1"/>
  <c r="S22" i="1" s="1"/>
  <c r="AI26" i="1"/>
  <c r="U26" i="1"/>
  <c r="S26" i="1" s="1"/>
  <c r="AI30" i="1"/>
  <c r="U30" i="1"/>
  <c r="S30" i="1" s="1"/>
  <c r="AI34" i="1"/>
  <c r="U34" i="1"/>
  <c r="S34" i="1" s="1"/>
  <c r="AI38" i="1"/>
  <c r="U38" i="1"/>
  <c r="S38" i="1" s="1"/>
  <c r="AI42" i="1"/>
  <c r="U42" i="1"/>
  <c r="S42" i="1" s="1"/>
  <c r="AI46" i="1"/>
  <c r="U46" i="1"/>
  <c r="S46" i="1" s="1"/>
  <c r="U62" i="1"/>
  <c r="S62" i="1" s="1"/>
  <c r="AI62" i="1"/>
  <c r="U82" i="1"/>
  <c r="S82" i="1" s="1"/>
  <c r="AI82" i="1"/>
  <c r="W34" i="1"/>
  <c r="AI59" i="1"/>
  <c r="U59" i="1"/>
  <c r="S59" i="1" s="1"/>
  <c r="U90" i="1"/>
  <c r="S90" i="1" s="1"/>
  <c r="AI90" i="1"/>
  <c r="U170" i="1"/>
  <c r="S170" i="1" s="1"/>
  <c r="AI106" i="1"/>
  <c r="AI87" i="1"/>
  <c r="U87" i="1"/>
  <c r="S87" i="1" s="1"/>
  <c r="AI95" i="1"/>
  <c r="U160" i="1"/>
  <c r="S160" i="1" s="1"/>
  <c r="AI103" i="1"/>
  <c r="U168" i="1"/>
  <c r="S168" i="1" s="1"/>
  <c r="AI55" i="1"/>
  <c r="U55" i="1"/>
  <c r="S55" i="1" s="1"/>
  <c r="U174" i="1"/>
  <c r="S174" i="1" s="1"/>
  <c r="AI110" i="1"/>
  <c r="AI115" i="1"/>
  <c r="U95" i="1"/>
  <c r="S95" i="1" s="1"/>
  <c r="AI123" i="1"/>
  <c r="U186" i="1"/>
  <c r="S186" i="1" s="1"/>
  <c r="AI131" i="1"/>
  <c r="U97" i="1"/>
  <c r="S97" i="1" s="1"/>
  <c r="AI139" i="1"/>
  <c r="U208" i="1"/>
  <c r="S208" i="1" s="1"/>
  <c r="W174" i="1"/>
  <c r="W97" i="1"/>
  <c r="AI151" i="1"/>
  <c r="U115" i="1"/>
  <c r="S115" i="1" s="1"/>
  <c r="W186" i="1"/>
  <c r="U78" i="1"/>
  <c r="S78" i="1" s="1"/>
  <c r="W78" i="1"/>
  <c r="AI78" i="1"/>
  <c r="U66" i="1"/>
  <c r="S66" i="1" s="1"/>
  <c r="AI66" i="1"/>
  <c r="W66" i="1"/>
  <c r="U167" i="1"/>
  <c r="S167" i="1" s="1"/>
  <c r="AI102" i="1"/>
  <c r="AI75" i="1"/>
  <c r="U75" i="1"/>
  <c r="S75" i="1" s="1"/>
  <c r="W26" i="1"/>
  <c r="AI67" i="1"/>
  <c r="U67" i="1"/>
  <c r="S67" i="1" s="1"/>
  <c r="AI71" i="1"/>
  <c r="U71" i="1"/>
  <c r="S71" i="1" s="1"/>
  <c r="AI111" i="1"/>
  <c r="U175" i="1"/>
  <c r="S175" i="1" s="1"/>
  <c r="W87" i="1"/>
  <c r="U54" i="1"/>
  <c r="S54" i="1" s="1"/>
  <c r="AI54" i="1"/>
  <c r="U74" i="1"/>
  <c r="S74" i="1" s="1"/>
  <c r="AI74" i="1"/>
  <c r="W74" i="1"/>
  <c r="AI63" i="1"/>
  <c r="U63" i="1"/>
  <c r="S63" i="1" s="1"/>
  <c r="AI83" i="1"/>
  <c r="U83" i="1"/>
  <c r="S83" i="1" s="1"/>
  <c r="AI79" i="1"/>
  <c r="U79" i="1"/>
  <c r="S79" i="1" s="1"/>
  <c r="W83" i="1"/>
  <c r="U163" i="1"/>
  <c r="S163" i="1" s="1"/>
  <c r="AI98" i="1"/>
  <c r="AI91" i="1"/>
  <c r="U91" i="1"/>
  <c r="S91" i="1" s="1"/>
  <c r="AI99" i="1"/>
  <c r="U164" i="1"/>
  <c r="S164" i="1" s="1"/>
  <c r="AI107" i="1"/>
  <c r="U171" i="1"/>
  <c r="S171" i="1" s="1"/>
  <c r="AI51" i="1"/>
  <c r="U51" i="1"/>
  <c r="S51" i="1" s="1"/>
  <c r="W58" i="1"/>
  <c r="W54" i="1"/>
  <c r="W91" i="1"/>
  <c r="AI119" i="1"/>
  <c r="U182" i="1"/>
  <c r="S182" i="1" s="1"/>
  <c r="AI127" i="1"/>
  <c r="U189" i="1"/>
  <c r="S189" i="1" s="1"/>
  <c r="AI135" i="1"/>
  <c r="U101" i="1"/>
  <c r="S101" i="1" s="1"/>
  <c r="AI143" i="1"/>
  <c r="U107" i="1"/>
  <c r="S107" i="1" s="1"/>
  <c r="W182" i="1"/>
  <c r="W208" i="1"/>
  <c r="U159" i="1"/>
  <c r="S159" i="1" s="1"/>
  <c r="AI94" i="1"/>
  <c r="AI86" i="1"/>
  <c r="U86" i="1"/>
  <c r="S86" i="1" s="1"/>
  <c r="U178" i="1"/>
  <c r="S178" i="1" s="1"/>
  <c r="AI114" i="1"/>
  <c r="W164" i="1"/>
  <c r="W101" i="1"/>
  <c r="AI147" i="1"/>
  <c r="U111" i="1"/>
  <c r="S111" i="1" s="1"/>
  <c r="AD17" i="3"/>
  <c r="Y10" i="3"/>
  <c r="M28" i="5" l="1"/>
  <c r="AD10" i="3" l="1"/>
  <c r="B6" i="6" l="1"/>
  <c r="F6" i="6" s="1"/>
  <c r="K6" i="6"/>
  <c r="B7" i="6"/>
  <c r="F7" i="6" s="1"/>
  <c r="K7" i="6"/>
  <c r="B8" i="6"/>
  <c r="G8" i="6" s="1"/>
  <c r="K8" i="6"/>
  <c r="B9" i="6"/>
  <c r="F9" i="6" s="1"/>
  <c r="K9" i="6"/>
  <c r="B10" i="6"/>
  <c r="F10" i="6" s="1"/>
  <c r="K10" i="6"/>
  <c r="B11" i="6"/>
  <c r="F11" i="6" s="1"/>
  <c r="K11" i="6"/>
  <c r="B12" i="6"/>
  <c r="G12" i="6" s="1"/>
  <c r="K12" i="6"/>
  <c r="B13" i="6"/>
  <c r="K13" i="6"/>
  <c r="B14" i="6"/>
  <c r="F14" i="6" s="1"/>
  <c r="K14" i="6"/>
  <c r="B15" i="6"/>
  <c r="F15" i="6" s="1"/>
  <c r="K15" i="6"/>
  <c r="B16" i="6"/>
  <c r="G16" i="6" s="1"/>
  <c r="K16" i="6"/>
  <c r="B17" i="6"/>
  <c r="F17" i="6" s="1"/>
  <c r="K17" i="6"/>
  <c r="B18" i="6"/>
  <c r="F18" i="6" s="1"/>
  <c r="K18" i="6"/>
  <c r="I9" i="6" l="1"/>
  <c r="F12" i="6"/>
  <c r="G6" i="6"/>
  <c r="F13" i="6"/>
  <c r="I13" i="6"/>
  <c r="G10" i="6"/>
  <c r="F16" i="6"/>
  <c r="I17" i="6"/>
  <c r="G14" i="6"/>
  <c r="G18" i="6"/>
  <c r="F8" i="6"/>
  <c r="H17" i="6"/>
  <c r="H13" i="6"/>
  <c r="H9" i="6"/>
  <c r="I18" i="6"/>
  <c r="G17" i="6"/>
  <c r="J16" i="6"/>
  <c r="I14" i="6"/>
  <c r="G13" i="6"/>
  <c r="J12" i="6"/>
  <c r="I10" i="6"/>
  <c r="G9" i="6"/>
  <c r="J8" i="6"/>
  <c r="I6" i="6"/>
  <c r="H18" i="6"/>
  <c r="J17" i="6"/>
  <c r="I16" i="6"/>
  <c r="I15" i="6"/>
  <c r="H14" i="6"/>
  <c r="J13" i="6"/>
  <c r="I12" i="6"/>
  <c r="I11" i="6"/>
  <c r="H10" i="6"/>
  <c r="J9" i="6"/>
  <c r="I8" i="6"/>
  <c r="I7" i="6"/>
  <c r="H15" i="6"/>
  <c r="H11" i="6"/>
  <c r="H7" i="6"/>
  <c r="J18" i="6"/>
  <c r="H16" i="6"/>
  <c r="G15" i="6"/>
  <c r="J14" i="6"/>
  <c r="H12" i="6"/>
  <c r="G11" i="6"/>
  <c r="J10" i="6"/>
  <c r="H8" i="6"/>
  <c r="G7" i="6"/>
  <c r="J6" i="6"/>
  <c r="J15" i="6"/>
  <c r="J11" i="6"/>
  <c r="J7" i="6"/>
  <c r="B3" i="6" l="1"/>
  <c r="G3" i="6" s="1"/>
  <c r="K3" i="6"/>
  <c r="B4" i="6"/>
  <c r="K4" i="6"/>
  <c r="B5" i="6"/>
  <c r="G5" i="6" s="1"/>
  <c r="K5" i="6"/>
  <c r="J4" i="6" l="1"/>
  <c r="I5" i="6"/>
  <c r="J5" i="6"/>
  <c r="F4" i="6"/>
  <c r="F5" i="6"/>
  <c r="I4" i="6"/>
  <c r="G4" i="6"/>
  <c r="J3" i="6"/>
  <c r="I3" i="6"/>
  <c r="F3" i="6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N23" i="3" s="1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13" i="3" s="1"/>
  <c r="G41" i="4"/>
  <c r="G42" i="4"/>
  <c r="N17" i="3" s="1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N10" i="3" s="1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N8" i="3" s="1"/>
  <c r="G117" i="4"/>
  <c r="G118" i="4"/>
  <c r="G119" i="4"/>
  <c r="G120" i="4"/>
  <c r="G121" i="4"/>
  <c r="G122" i="4"/>
  <c r="G123" i="4"/>
  <c r="N11" i="3" s="1"/>
  <c r="G124" i="4"/>
  <c r="G125" i="4"/>
  <c r="G126" i="4"/>
  <c r="G127" i="4"/>
  <c r="G128" i="4"/>
  <c r="G129" i="4"/>
  <c r="G130" i="4"/>
  <c r="G131" i="4"/>
  <c r="G132" i="4"/>
  <c r="G133" i="4"/>
  <c r="G134" i="4"/>
  <c r="G135" i="4"/>
  <c r="N7" i="3" s="1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N9" i="3" s="1"/>
  <c r="G162" i="4"/>
  <c r="G163" i="4"/>
  <c r="G164" i="4"/>
  <c r="G165" i="4"/>
  <c r="G166" i="4"/>
  <c r="G167" i="4"/>
  <c r="G168" i="4"/>
  <c r="G169" i="4"/>
  <c r="N19" i="3" s="1"/>
  <c r="G170" i="4"/>
  <c r="G171" i="4"/>
  <c r="G172" i="4"/>
  <c r="G173" i="4"/>
  <c r="G174" i="4"/>
  <c r="G175" i="4"/>
  <c r="G176" i="4"/>
  <c r="G177" i="4"/>
  <c r="G178" i="4"/>
  <c r="N20" i="3" s="1"/>
  <c r="G179" i="4"/>
  <c r="G180" i="4"/>
  <c r="G181" i="4"/>
  <c r="G182" i="4"/>
  <c r="G183" i="4"/>
  <c r="G184" i="4"/>
  <c r="G185" i="4"/>
  <c r="N16" i="3" s="1"/>
  <c r="G186" i="4"/>
  <c r="G187" i="4"/>
  <c r="G188" i="4"/>
  <c r="N21" i="3" s="1"/>
  <c r="G189" i="4"/>
  <c r="G190" i="4"/>
  <c r="G191" i="4"/>
  <c r="N22" i="3" s="1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14" i="3" l="1"/>
  <c r="N12" i="3"/>
  <c r="N15" i="3"/>
  <c r="N18" i="3"/>
  <c r="H6" i="6"/>
  <c r="H4" i="6"/>
  <c r="H5" i="6"/>
  <c r="H3" i="6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K13" i="1" l="1"/>
  <c r="M13" i="1"/>
  <c r="N13" i="1" s="1"/>
  <c r="V13" i="1"/>
  <c r="Y13" i="1"/>
  <c r="Z13" i="1"/>
  <c r="AB13" i="1"/>
  <c r="AC13" i="1"/>
  <c r="AD13" i="1"/>
  <c r="X14" i="1" s="1"/>
  <c r="AE13" i="1"/>
  <c r="T13" i="1" l="1"/>
  <c r="X13" i="1"/>
  <c r="AA13" i="1"/>
  <c r="AG13" i="1"/>
  <c r="C26" i="9"/>
  <c r="B1" i="9"/>
  <c r="C1" i="9" s="1"/>
  <c r="C4" i="9"/>
  <c r="C7" i="9"/>
  <c r="C24" i="9"/>
  <c r="C33" i="9"/>
  <c r="C42" i="9"/>
  <c r="C10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8" i="9"/>
  <c r="C9" i="9"/>
  <c r="C38" i="9"/>
  <c r="C31" i="9"/>
  <c r="C32" i="9"/>
  <c r="C5" i="9"/>
  <c r="C6" i="9"/>
  <c r="C27" i="9"/>
  <c r="C35" i="9"/>
  <c r="C14" i="9"/>
  <c r="C28" i="9"/>
  <c r="C11" i="9"/>
  <c r="C40" i="9"/>
  <c r="C41" i="9"/>
  <c r="C2" i="9"/>
  <c r="C3" i="9"/>
  <c r="C21" i="9"/>
  <c r="C23" i="9"/>
  <c r="W13" i="1"/>
  <c r="AI13" i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F266" i="4"/>
  <c r="G266" i="4" s="1"/>
  <c r="F267" i="4"/>
  <c r="G267" i="4" s="1"/>
  <c r="F268" i="4"/>
  <c r="G268" i="4" s="1"/>
  <c r="F269" i="4"/>
  <c r="G269" i="4" s="1"/>
  <c r="F270" i="4"/>
  <c r="G270" i="4" s="1"/>
  <c r="F271" i="4"/>
  <c r="G271" i="4" s="1"/>
  <c r="F272" i="4"/>
  <c r="G272" i="4" s="1"/>
  <c r="F273" i="4"/>
  <c r="G273" i="4" s="1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G259" i="4" l="1"/>
  <c r="F260" i="4"/>
  <c r="G260" i="4" s="1"/>
  <c r="F261" i="4"/>
  <c r="G261" i="4" s="1"/>
  <c r="F262" i="4"/>
  <c r="G262" i="4" s="1"/>
  <c r="F263" i="4"/>
  <c r="G263" i="4" s="1"/>
  <c r="F264" i="4"/>
  <c r="G264" i="4" s="1"/>
  <c r="F265" i="4"/>
  <c r="G265" i="4" s="1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<sst xmlns="http://schemas.openxmlformats.org/spreadsheetml/2006/main" count="2355" uniqueCount="830">
  <si>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</si>
  <si>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</si>
  <si>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</si>
  <si>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</si>
  <si>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</si>
  <si>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</si>
  <si>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</si>
  <si>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</si>
  <si>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</si>
  <si>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</si>
  <si>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</si>
  <si>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</si>
  <si>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</si>
  <si>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</si>
  <si>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</si>
  <si>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</si>
  <si>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</si>
  <si>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</si>
  <si>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</si>
  <si>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</si>
  <si>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</si>
  <si>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</si>
  <si>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</si>
  <si>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</si>
  <si>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</si>
  <si>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</si>
  <si>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</si>
  <si>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</si>
  <si>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</si>
  <si>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</si>
  <si>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</si>
  <si>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</si>
  <si>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</si>
  <si>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</si>
  <si>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</si>
  <si>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</si>
  <si>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</si>
  <si>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</si>
  <si>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</si>
  <si>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</si>
  <si>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</si>
  <si>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</si>
  <si>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</si>
  <si>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</si>
  <si>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</si>
  <si>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</si>
  <si>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</si>
  <si>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</si>
  <si>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</si>
  <si>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</si>
  <si>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</si>
  <si>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</si>
  <si>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</si>
  <si>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</si>
  <si>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</si>
  <si>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</si>
  <si>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</si>
  <si>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</si>
  <si>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</si>
  <si>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</si>
  <si>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</si>
  <si>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</si>
  <si>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</si>
  <si>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</si>
  <si>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</si>
  <si>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</si>
  <si>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</si>
  <si>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</si>
  <si>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</si>
  <si>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</si>
  <si>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</si>
  <si>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</si>
  <si>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</si>
  <si>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</si>
  <si>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</si>
  <si>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</si>
  <si>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</si>
  <si>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</si>
  <si>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</si>
  <si>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</si>
  <si>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</si>
  <si>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</si>
  <si>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</si>
  <si>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</si>
  <si>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</si>
  <si>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</si>
  <si>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</si>
  <si>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</si>
  <si>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</si>
  <si>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</si>
  <si>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</si>
  <si>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</si>
  <si>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</si>
  <si>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</si>
  <si>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</si>
  <si>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</si>
  <si>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</si>
  <si>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</si>
  <si>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</si>
  <si>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</si>
  <si>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</si>
  <si>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</si>
  <si>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</si>
  <si>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</si>
  <si>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</si>
  <si>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</si>
  <si>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</si>
  <si>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</si>
  <si>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</si>
  <si>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</si>
  <si>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</si>
  <si>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</si>
  <si>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</si>
  <si>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</si>
  <si>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</si>
  <si>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</si>
  <si>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</si>
  <si>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</si>
  <si>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</si>
  <si>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</si>
  <si>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</si>
  <si>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</si>
  <si>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</si>
  <si>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</si>
  <si>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</si>
  <si>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</si>
  <si>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</si>
  <si>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</si>
  <si>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</si>
  <si>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</si>
  <si>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</si>
  <si>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</si>
  <si>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</si>
  <si>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</si>
  <si>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</si>
  <si>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</si>
  <si>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</si>
  <si>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</si>
  <si>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</si>
  <si>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</si>
  <si>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</si>
  <si>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</si>
  <si>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</si>
  <si>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</si>
  <si>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</si>
  <si>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</si>
  <si>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</si>
  <si>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</si>
  <si>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</si>
  <si>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</si>
  <si>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</si>
  <si>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</si>
  <si>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</si>
  <si>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</si>
  <si>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</si>
  <si>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</si>
  <si>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</si>
  <si>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</si>
  <si>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</si>
  <si>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</si>
  <si>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</si>
  <si>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</si>
  <si>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</si>
  <si>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</si>
  <si>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</si>
  <si>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</si>
  <si>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</si>
  <si>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</si>
  <si>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</si>
  <si>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</si>
  <si>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</si>
  <si>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</si>
  <si>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</si>
  <si>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</si>
  <si>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</si>
  <si>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</si>
  <si>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</si>
  <si>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</si>
  <si>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</si>
  <si>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</si>
  <si>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</si>
  <si>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</si>
  <si>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</si>
  <si>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</si>
  <si>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</si>
  <si>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</si>
  <si>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</si>
  <si>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</si>
  <si>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</si>
  <si>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</si>
  <si>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</si>
  <si>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</si>
  <si>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</si>
  <si>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</si>
  <si>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</si>
  <si>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</si>
  <si>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</si>
  <si>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</si>
  <si>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</si>
  <si>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</si>
  <si>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</si>
  <si>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</si>
  <si>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</si>
  <si>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</si>
  <si>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</si>
  <si>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</si>
  <si>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</si>
  <si>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</si>
  <si>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</si>
  <si>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</si>
  <si>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</si>
  <si>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</si>
  <si>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</si>
  <si>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</si>
  <si>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</si>
  <si>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</si>
  <si>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</si>
  <si>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</si>
  <si>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</si>
  <si>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</si>
  <si>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</si>
  <si>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</si>
  <si>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</si>
  <si>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</si>
  <si>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</si>
  <si>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rtdc.l.rtdc.4014:itc</t>
  </si>
  <si>
    <t>CLI Grep2 (for slice disagreement)</t>
  </si>
  <si>
    <t>Y</t>
  </si>
  <si>
    <t>204:455</t>
  </si>
  <si>
    <t>rtdc.l.rtdc.4046:itc</t>
  </si>
  <si>
    <t>204:460</t>
  </si>
  <si>
    <t>rtdc.l.rtdc.4042:itc</t>
  </si>
  <si>
    <t>rtdc.l.rtdc.4041:itc</t>
  </si>
  <si>
    <t>DAVIDSON</t>
  </si>
  <si>
    <t>204:145</t>
  </si>
  <si>
    <t>rtdc.l.rtdc.4032:itc</t>
  </si>
  <si>
    <t>CHANDLER</t>
  </si>
  <si>
    <t>LALONDE</t>
  </si>
  <si>
    <t>81-25</t>
  </si>
  <si>
    <t>313-25</t>
  </si>
  <si>
    <t>315-25</t>
  </si>
  <si>
    <t>partly-cloudy-night</t>
  </si>
  <si>
    <t>204:458</t>
  </si>
  <si>
    <t>rtdc.l.rtdc.4016:itc</t>
  </si>
  <si>
    <t>204:163</t>
  </si>
  <si>
    <t>:.+((SYSTEM_STATE.+slice.+state.+changed )|(ment ac)|(multiple cpu faults)|(system.+state.+changed )|(\[timeout)|(PRM\|1\|D)|(kpr)|(kdp)|(\|lc)|(penalty))</t>
  </si>
  <si>
    <t>Partly Cloudy</t>
  </si>
  <si>
    <t>GRADE CROSSING</t>
  </si>
  <si>
    <t>Bulletin (2)</t>
  </si>
  <si>
    <t>JOHN</t>
  </si>
  <si>
    <t>DAVID</t>
  </si>
  <si>
    <t>JAMES</t>
  </si>
  <si>
    <t>Last + First</t>
  </si>
  <si>
    <t>Employee First Name</t>
  </si>
  <si>
    <t>KELVIN</t>
  </si>
  <si>
    <t>204:453</t>
  </si>
  <si>
    <t>204:464</t>
  </si>
  <si>
    <t>204:232994</t>
  </si>
  <si>
    <t>rtdc.l.rtdc.4015:itc</t>
  </si>
  <si>
    <t>TEMPORARY SPEED RESTRICTION</t>
  </si>
  <si>
    <t>rtdc.l.rtdc.4045:itc</t>
  </si>
  <si>
    <t>204:147</t>
  </si>
  <si>
    <t>204:139</t>
  </si>
  <si>
    <t>MICHAEL</t>
  </si>
  <si>
    <t>DAVIS</t>
  </si>
  <si>
    <t>204:467</t>
  </si>
  <si>
    <t>204:232977</t>
  </si>
  <si>
    <t>204:161</t>
  </si>
  <si>
    <t>204:160</t>
  </si>
  <si>
    <t>204:462</t>
  </si>
  <si>
    <t>204:232993</t>
  </si>
  <si>
    <t>rtdc.l.rtdc.4013:itc</t>
  </si>
  <si>
    <t>rtdc.l.rtdc.4004:itc</t>
  </si>
  <si>
    <t>rtdc.l.rtdc.4003:itc</t>
  </si>
  <si>
    <t>204:138</t>
  </si>
  <si>
    <t>204:477</t>
  </si>
  <si>
    <t>204:233289</t>
  </si>
  <si>
    <t>204:233000</t>
  </si>
  <si>
    <t>204:232986</t>
  </si>
  <si>
    <t>204:440</t>
  </si>
  <si>
    <t>204:233299</t>
  </si>
  <si>
    <t>204:233298</t>
  </si>
  <si>
    <t>300:58933</t>
  </si>
  <si>
    <t>SMITH</t>
  </si>
  <si>
    <t>NEWELL</t>
  </si>
  <si>
    <t>204:449</t>
  </si>
  <si>
    <t>204:442</t>
  </si>
  <si>
    <t>204:233295</t>
  </si>
  <si>
    <t>204:233308</t>
  </si>
  <si>
    <t>204:232973</t>
  </si>
  <si>
    <t>204:232978</t>
  </si>
  <si>
    <t>rtdc.l.rtdc.4028:itc</t>
  </si>
  <si>
    <t>rtdc.l.rtdc.4027:itc</t>
  </si>
  <si>
    <t>rtdc.l.rtdc.4044:itc</t>
  </si>
  <si>
    <t>rtdc.l.rtdc.4031:itc</t>
  </si>
  <si>
    <t>rtdc.l.rtdc.4043:itc</t>
  </si>
  <si>
    <t>OUN</t>
  </si>
  <si>
    <t>ZACK</t>
  </si>
  <si>
    <t>236-18</t>
  </si>
  <si>
    <t>239-18</t>
  </si>
  <si>
    <t>241-18</t>
  </si>
  <si>
    <t>238-18</t>
  </si>
  <si>
    <t>240-18</t>
  </si>
  <si>
    <t>243-18</t>
  </si>
  <si>
    <t>309-18</t>
  </si>
  <si>
    <t>242-18</t>
  </si>
  <si>
    <t>311-18</t>
  </si>
  <si>
    <t>244-18</t>
  </si>
  <si>
    <t>313-18</t>
  </si>
  <si>
    <t>315-18</t>
  </si>
  <si>
    <t>302-19</t>
  </si>
  <si>
    <t>204:433</t>
  </si>
  <si>
    <t>204:745</t>
  </si>
  <si>
    <t>204:232984</t>
  </si>
  <si>
    <t>204:473</t>
  </si>
  <si>
    <t>204:233301</t>
  </si>
  <si>
    <t>204:233285</t>
  </si>
  <si>
    <t>204:233297</t>
  </si>
  <si>
    <t>YANG</t>
  </si>
  <si>
    <t>JAN</t>
  </si>
  <si>
    <t>partly-cloudy-day</t>
  </si>
  <si>
    <t>204:233312</t>
  </si>
  <si>
    <t>204:233293</t>
  </si>
  <si>
    <t>204:232959</t>
  </si>
  <si>
    <t>204:232991</t>
  </si>
  <si>
    <t>204:233300</t>
  </si>
  <si>
    <t>204:152</t>
  </si>
  <si>
    <t>204:232967</t>
  </si>
  <si>
    <t>204:232955</t>
  </si>
  <si>
    <t>204:233002</t>
  </si>
  <si>
    <t>204:232969</t>
  </si>
  <si>
    <t>204:232980</t>
  </si>
  <si>
    <t>204:232983</t>
  </si>
  <si>
    <t>204:232982</t>
  </si>
  <si>
    <t>204:165</t>
  </si>
  <si>
    <t>300:58608</t>
  </si>
  <si>
    <t>ISHMAEL</t>
  </si>
  <si>
    <t>JOSEPH</t>
  </si>
  <si>
    <t>GEBRETEKLE</t>
  </si>
  <si>
    <t>DAGNEW</t>
  </si>
  <si>
    <t>HELVIE</t>
  </si>
  <si>
    <t>ADAM</t>
  </si>
  <si>
    <t>BRUDER</t>
  </si>
  <si>
    <t>RICHARD</t>
  </si>
  <si>
    <t>HILLS</t>
  </si>
  <si>
    <t>DUSTIN</t>
  </si>
  <si>
    <t>BROWN</t>
  </si>
  <si>
    <t>JACOB</t>
  </si>
  <si>
    <t>rtdc.l.rtdc.4029:itc</t>
  </si>
  <si>
    <t>204:233319</t>
  </si>
  <si>
    <t>204:158</t>
  </si>
  <si>
    <t>204:475</t>
  </si>
  <si>
    <t>204:232966</t>
  </si>
  <si>
    <t>204:232998</t>
  </si>
  <si>
    <t>204:233304</t>
  </si>
  <si>
    <t>204:233303</t>
  </si>
  <si>
    <t>204:232987</t>
  </si>
  <si>
    <t>204:141</t>
  </si>
  <si>
    <t>204:233307</t>
  </si>
  <si>
    <t>204:233314</t>
  </si>
  <si>
    <t>204:233282</t>
  </si>
  <si>
    <t>204:233272</t>
  </si>
  <si>
    <t>204:722</t>
  </si>
  <si>
    <t>300:58935</t>
  </si>
  <si>
    <t>300:58617</t>
  </si>
  <si>
    <t>Cancelled</t>
  </si>
  <si>
    <t>rtdc.l.rtdc.4008:itc</t>
  </si>
  <si>
    <t>rtdc.l.rtdc.4025:itc</t>
  </si>
  <si>
    <t>844-23</t>
  </si>
  <si>
    <t>232-23</t>
  </si>
  <si>
    <t>rtdc.l.rtdc.4026:itc</t>
  </si>
  <si>
    <t>230-23</t>
  </si>
  <si>
    <t>847-23</t>
  </si>
  <si>
    <t>234-23</t>
  </si>
  <si>
    <t>236-23</t>
  </si>
  <si>
    <t>238-23</t>
  </si>
  <si>
    <t>242-23</t>
  </si>
  <si>
    <t>WENDY</t>
  </si>
  <si>
    <t>ROBINSON</t>
  </si>
  <si>
    <t>KADDIBA</t>
  </si>
  <si>
    <t>rtdc.l.rtdc.4007:itc</t>
  </si>
  <si>
    <t>SHOOK</t>
  </si>
  <si>
    <t>SAFIEF</t>
  </si>
  <si>
    <t>AEIMEN</t>
  </si>
  <si>
    <t>STEWART</t>
  </si>
  <si>
    <t>rtdc.l.rtdc.4054:itc</t>
  </si>
  <si>
    <t>rtdc.l.rtdc.4053:itc</t>
  </si>
  <si>
    <t>KILLION</t>
  </si>
  <si>
    <t>235-23</t>
  </si>
  <si>
    <t>908-23</t>
  </si>
  <si>
    <t>237-23</t>
  </si>
  <si>
    <t>239-23</t>
  </si>
  <si>
    <t>241-23</t>
  </si>
  <si>
    <t>243-23</t>
  </si>
  <si>
    <t>240-23</t>
  </si>
  <si>
    <t>245-23</t>
  </si>
  <si>
    <t>244-23</t>
  </si>
  <si>
    <t>309-23</t>
  </si>
  <si>
    <t>311-23</t>
  </si>
  <si>
    <t>246-23</t>
  </si>
  <si>
    <t>313-23</t>
  </si>
  <si>
    <t>315-23</t>
  </si>
  <si>
    <t>precipAccumulation</t>
  </si>
  <si>
    <t>precipType</t>
  </si>
  <si>
    <t>snow</t>
  </si>
  <si>
    <t>Flurries</t>
  </si>
  <si>
    <t>Clear</t>
  </si>
  <si>
    <t>clear-night</t>
  </si>
  <si>
    <t>204:752</t>
  </si>
  <si>
    <t>204:757</t>
  </si>
  <si>
    <t>204:480</t>
  </si>
  <si>
    <t>204:233004</t>
  </si>
  <si>
    <t>204:232971</t>
  </si>
  <si>
    <t>204:233315</t>
  </si>
  <si>
    <t>204:457</t>
  </si>
  <si>
    <t>204:233291</t>
  </si>
  <si>
    <t>204:232976</t>
  </si>
  <si>
    <t>204:156</t>
  </si>
  <si>
    <t>204:233317</t>
  </si>
  <si>
    <t>204:180</t>
  </si>
  <si>
    <t>204:233280</t>
  </si>
  <si>
    <t>204:435</t>
  </si>
  <si>
    <t>204:233305</t>
  </si>
  <si>
    <t>204:127</t>
  </si>
  <si>
    <t>204:233030</t>
  </si>
  <si>
    <t>204:437</t>
  </si>
  <si>
    <t>204:882</t>
  </si>
  <si>
    <t>204:233311</t>
  </si>
  <si>
    <t>300:23295</t>
  </si>
  <si>
    <t>204:134</t>
  </si>
  <si>
    <t>300:23308</t>
  </si>
  <si>
    <t>300:23306</t>
  </si>
  <si>
    <t>300:23304</t>
  </si>
  <si>
    <t>300:58931</t>
  </si>
  <si>
    <t>204:1030</t>
  </si>
  <si>
    <t>204:1027</t>
  </si>
  <si>
    <t>204:1014</t>
  </si>
  <si>
    <t>204:1021</t>
  </si>
  <si>
    <t>204:747</t>
  </si>
  <si>
    <t>204:1032</t>
  </si>
  <si>
    <t>300:58941</t>
  </si>
  <si>
    <t>300:58626</t>
  </si>
  <si>
    <t>111-25</t>
  </si>
  <si>
    <t>118-25</t>
  </si>
  <si>
    <t>120-25</t>
  </si>
  <si>
    <t>rtdc.l.rtdc.4017:itc</t>
  </si>
  <si>
    <t>164-25</t>
  </si>
  <si>
    <t>183-25</t>
  </si>
  <si>
    <t>189-25</t>
  </si>
  <si>
    <t>197-25</t>
  </si>
  <si>
    <t>198-25</t>
  </si>
  <si>
    <t>rtdc.l.rtdc.4010:itc</t>
  </si>
  <si>
    <t>210-25</t>
  </si>
  <si>
    <t>216-25</t>
  </si>
  <si>
    <t>222-25</t>
  </si>
  <si>
    <t>229-25</t>
  </si>
  <si>
    <t>228-25</t>
  </si>
  <si>
    <t>230-25</t>
  </si>
  <si>
    <t>245-24</t>
  </si>
  <si>
    <t>242-24</t>
  </si>
  <si>
    <t>244-24</t>
  </si>
  <si>
    <t>309-24</t>
  </si>
  <si>
    <t>311-24</t>
  </si>
  <si>
    <t>50-25</t>
  </si>
  <si>
    <t>246-24</t>
  </si>
  <si>
    <t>313-24</t>
  </si>
  <si>
    <t>302-25</t>
  </si>
  <si>
    <t>101-25</t>
  </si>
  <si>
    <t>304-25</t>
  </si>
  <si>
    <t>HAITHCOX</t>
  </si>
  <si>
    <t>103-25</t>
  </si>
  <si>
    <t>rtdc.l.rtdc.4030:itc</t>
  </si>
  <si>
    <t>306-25</t>
  </si>
  <si>
    <t>102-25</t>
  </si>
  <si>
    <t>105-25</t>
  </si>
  <si>
    <t>308-25</t>
  </si>
  <si>
    <t>310-25</t>
  </si>
  <si>
    <t>rtdc.l.rtdc.4018:itc</t>
  </si>
  <si>
    <t>107-25</t>
  </si>
  <si>
    <t>104-25</t>
  </si>
  <si>
    <t>109-25</t>
  </si>
  <si>
    <t>113-25</t>
  </si>
  <si>
    <t>106-25</t>
  </si>
  <si>
    <t>1901-25</t>
  </si>
  <si>
    <t>YORK</t>
  </si>
  <si>
    <t>EDGAR</t>
  </si>
  <si>
    <t>108-25</t>
  </si>
  <si>
    <t>1800-25</t>
  </si>
  <si>
    <t>110-25</t>
  </si>
  <si>
    <t>115-25</t>
  </si>
  <si>
    <t>117-25</t>
  </si>
  <si>
    <t>112-25</t>
  </si>
  <si>
    <t>119-25</t>
  </si>
  <si>
    <t>1801-25</t>
  </si>
  <si>
    <t>114-25</t>
  </si>
  <si>
    <t>121-25</t>
  </si>
  <si>
    <t>116-25</t>
  </si>
  <si>
    <t>123-25</t>
  </si>
  <si>
    <t>1802-25</t>
  </si>
  <si>
    <t>125-25</t>
  </si>
  <si>
    <t>127-25</t>
  </si>
  <si>
    <t>1803-25</t>
  </si>
  <si>
    <t>122-25</t>
  </si>
  <si>
    <t>129-25</t>
  </si>
  <si>
    <t>124-25</t>
  </si>
  <si>
    <t>131-25</t>
  </si>
  <si>
    <t>1804-25</t>
  </si>
  <si>
    <t>126-25</t>
  </si>
  <si>
    <t>133-25</t>
  </si>
  <si>
    <t>128-25</t>
  </si>
  <si>
    <t>135-25</t>
  </si>
  <si>
    <t>130-25</t>
  </si>
  <si>
    <t>1805-25</t>
  </si>
  <si>
    <t>137-25</t>
  </si>
  <si>
    <t>132-25</t>
  </si>
  <si>
    <t>139-25</t>
  </si>
  <si>
    <t>134-25</t>
  </si>
  <si>
    <t>1806-25</t>
  </si>
  <si>
    <t>141-25</t>
  </si>
  <si>
    <t>136-25</t>
  </si>
  <si>
    <t>143-25</t>
  </si>
  <si>
    <t>BRANDNER</t>
  </si>
  <si>
    <t>MELINDA</t>
  </si>
  <si>
    <t>1807-25</t>
  </si>
  <si>
    <t>138-25</t>
  </si>
  <si>
    <t>145-25</t>
  </si>
  <si>
    <t>140-25</t>
  </si>
  <si>
    <t>147-25</t>
  </si>
  <si>
    <t>142-25</t>
  </si>
  <si>
    <t>1808-25</t>
  </si>
  <si>
    <t>149-25</t>
  </si>
  <si>
    <t>144-25</t>
  </si>
  <si>
    <t>151-25</t>
  </si>
  <si>
    <t>1809-25</t>
  </si>
  <si>
    <t>146-25</t>
  </si>
  <si>
    <t>153-25</t>
  </si>
  <si>
    <t>148-25</t>
  </si>
  <si>
    <t>155-25</t>
  </si>
  <si>
    <t>ADANE</t>
  </si>
  <si>
    <t>ELSHADAY</t>
  </si>
  <si>
    <t>150-25</t>
  </si>
  <si>
    <t>1810-25</t>
  </si>
  <si>
    <t>157-25</t>
  </si>
  <si>
    <t>152-25</t>
  </si>
  <si>
    <t>1811-25</t>
  </si>
  <si>
    <t>159-25</t>
  </si>
  <si>
    <t>154-25</t>
  </si>
  <si>
    <t>156-25</t>
  </si>
  <si>
    <t>161-25</t>
  </si>
  <si>
    <t>158-25</t>
  </si>
  <si>
    <t>163-25</t>
  </si>
  <si>
    <t>ROMERO</t>
  </si>
  <si>
    <t>CHAD</t>
  </si>
  <si>
    <t>52-25</t>
  </si>
  <si>
    <t>CRAYTON</t>
  </si>
  <si>
    <t>QUNTRELL</t>
  </si>
  <si>
    <t>1812-25</t>
  </si>
  <si>
    <t>165-25</t>
  </si>
  <si>
    <t>160-25</t>
  </si>
  <si>
    <t>167-25</t>
  </si>
  <si>
    <t>1813-25</t>
  </si>
  <si>
    <t>169-25</t>
  </si>
  <si>
    <t>162-25</t>
  </si>
  <si>
    <t>171-25</t>
  </si>
  <si>
    <t>166-25</t>
  </si>
  <si>
    <t>1814-25</t>
  </si>
  <si>
    <t>173-25</t>
  </si>
  <si>
    <t>168-25</t>
  </si>
  <si>
    <t>170-25</t>
  </si>
  <si>
    <t>175-25</t>
  </si>
  <si>
    <t>1815-25</t>
  </si>
  <si>
    <t>177-25</t>
  </si>
  <si>
    <t>172-25</t>
  </si>
  <si>
    <t>179-25</t>
  </si>
  <si>
    <t>174-25</t>
  </si>
  <si>
    <t>1816-25</t>
  </si>
  <si>
    <t>181-25</t>
  </si>
  <si>
    <t>176-25</t>
  </si>
  <si>
    <t>178-25</t>
  </si>
  <si>
    <t>185-25</t>
  </si>
  <si>
    <t>1817-25</t>
  </si>
  <si>
    <t>180-25</t>
  </si>
  <si>
    <t>187-25</t>
  </si>
  <si>
    <t>182-25</t>
  </si>
  <si>
    <t>1818-25</t>
  </si>
  <si>
    <t>184-25</t>
  </si>
  <si>
    <t>191-25</t>
  </si>
  <si>
    <t>186-25</t>
  </si>
  <si>
    <t>193-25</t>
  </si>
  <si>
    <t>1819-25</t>
  </si>
  <si>
    <t>188-25</t>
  </si>
  <si>
    <t>195-25</t>
  </si>
  <si>
    <t>190-25</t>
  </si>
  <si>
    <t>192-25</t>
  </si>
  <si>
    <t>1820-25</t>
  </si>
  <si>
    <t>199-25</t>
  </si>
  <si>
    <t>194-25</t>
  </si>
  <si>
    <t>201-25</t>
  </si>
  <si>
    <t>1821-25</t>
  </si>
  <si>
    <t>196-25</t>
  </si>
  <si>
    <t>203-25</t>
  </si>
  <si>
    <t>1822-25</t>
  </si>
  <si>
    <t>205-25</t>
  </si>
  <si>
    <t>200-25</t>
  </si>
  <si>
    <t>207-25</t>
  </si>
  <si>
    <t>74-25</t>
  </si>
  <si>
    <t>202-25</t>
  </si>
  <si>
    <t>209-25</t>
  </si>
  <si>
    <t>1823-25</t>
  </si>
  <si>
    <t>204-25</t>
  </si>
  <si>
    <t>211-25</t>
  </si>
  <si>
    <t>89-25</t>
  </si>
  <si>
    <t>KAMDEN</t>
  </si>
  <si>
    <t>206-25</t>
  </si>
  <si>
    <t>1824-25</t>
  </si>
  <si>
    <t>213-25</t>
  </si>
  <si>
    <t>208-25</t>
  </si>
  <si>
    <t>215-25</t>
  </si>
  <si>
    <t>75-25</t>
  </si>
  <si>
    <t>217-25</t>
  </si>
  <si>
    <t>1825-25</t>
  </si>
  <si>
    <t>212-25</t>
  </si>
  <si>
    <t>219-25</t>
  </si>
  <si>
    <t>214-25</t>
  </si>
  <si>
    <t>1826-25</t>
  </si>
  <si>
    <t>303-25</t>
  </si>
  <si>
    <t>218-25</t>
  </si>
  <si>
    <t>221-25</t>
  </si>
  <si>
    <t>305-25</t>
  </si>
  <si>
    <t>1827-25</t>
  </si>
  <si>
    <t>223-25</t>
  </si>
  <si>
    <t>220-25</t>
  </si>
  <si>
    <t>1828-25</t>
  </si>
  <si>
    <t>307-25</t>
  </si>
  <si>
    <t>225-25</t>
  </si>
  <si>
    <t>227-25</t>
  </si>
  <si>
    <t>224-25</t>
  </si>
  <si>
    <t>1829-25</t>
  </si>
  <si>
    <t>1830-25</t>
  </si>
  <si>
    <t>226-25</t>
  </si>
  <si>
    <t>231-25</t>
  </si>
  <si>
    <t>1831-25</t>
  </si>
  <si>
    <t>1832-25</t>
  </si>
  <si>
    <t>233-25</t>
  </si>
  <si>
    <t>235-25</t>
  </si>
  <si>
    <t>1833-25</t>
  </si>
  <si>
    <t>232-25</t>
  </si>
  <si>
    <t>1902-25</t>
  </si>
  <si>
    <t>234-25</t>
  </si>
  <si>
    <t>237-25</t>
  </si>
  <si>
    <t>239-25</t>
  </si>
  <si>
    <t>236-25</t>
  </si>
  <si>
    <t>241-25</t>
  </si>
  <si>
    <t>238-25</t>
  </si>
  <si>
    <t>243-25</t>
  </si>
  <si>
    <t>240-25</t>
  </si>
  <si>
    <t>309-25</t>
  </si>
  <si>
    <t>242-25</t>
  </si>
  <si>
    <t>311-25</t>
  </si>
  <si>
    <t>244-25</t>
  </si>
  <si>
    <t>302-26</t>
  </si>
  <si>
    <t>fog</t>
  </si>
  <si>
    <t>Foggy</t>
  </si>
  <si>
    <t>Light Snow</t>
  </si>
  <si>
    <t>rain</t>
  </si>
  <si>
    <t>Drizzle</t>
  </si>
  <si>
    <t>204:777</t>
  </si>
  <si>
    <t>204:232660</t>
  </si>
  <si>
    <t>204:130</t>
  </si>
  <si>
    <t>204:708</t>
  </si>
  <si>
    <t>204:233347</t>
  </si>
  <si>
    <t>204:232713</t>
  </si>
  <si>
    <t>204:732</t>
  </si>
  <si>
    <t>204:232644</t>
  </si>
  <si>
    <t>204:232988</t>
  </si>
  <si>
    <t>204:744</t>
  </si>
  <si>
    <t>204:768</t>
  </si>
  <si>
    <t>204:67241</t>
  </si>
  <si>
    <t>204:36785</t>
  </si>
  <si>
    <t>204:444</t>
  </si>
  <si>
    <t>204:132</t>
  </si>
  <si>
    <t>204:233318</t>
  </si>
  <si>
    <t>204:232989</t>
  </si>
  <si>
    <t>204:233321</t>
  </si>
  <si>
    <t>204:233332</t>
  </si>
  <si>
    <t>204:233283</t>
  </si>
  <si>
    <t>204:232972</t>
  </si>
  <si>
    <t>204:500</t>
  </si>
  <si>
    <t>204:233006</t>
  </si>
  <si>
    <t>204:232996</t>
  </si>
  <si>
    <t>204:176</t>
  </si>
  <si>
    <t>204:232952</t>
  </si>
  <si>
    <t>204:172</t>
  </si>
  <si>
    <t>204:233302</t>
  </si>
  <si>
    <t>204:232985</t>
  </si>
  <si>
    <t>204:232990</t>
  </si>
  <si>
    <t>300:58621</t>
  </si>
  <si>
    <t>300:58097</t>
  </si>
  <si>
    <t>204:729</t>
  </si>
  <si>
    <t>204:1018</t>
  </si>
  <si>
    <t>300:58615</t>
  </si>
  <si>
    <t>204:736</t>
  </si>
  <si>
    <t>300:58944</t>
  </si>
  <si>
    <t>204:743</t>
  </si>
  <si>
    <t>204:1028</t>
  </si>
  <si>
    <t>300:58937</t>
  </si>
  <si>
    <t>204:1039</t>
  </si>
  <si>
    <t>204:741</t>
  </si>
  <si>
    <t>300:58611</t>
  </si>
  <si>
    <t>204:754</t>
  </si>
  <si>
    <t>204:1046</t>
  </si>
  <si>
    <t>204:869</t>
  </si>
  <si>
    <t>204:1174</t>
  </si>
  <si>
    <t>300:58943</t>
  </si>
  <si>
    <t>300:58939</t>
  </si>
  <si>
    <t>204:706</t>
  </si>
  <si>
    <t>300:58948</t>
  </si>
  <si>
    <t>204:766</t>
  </si>
  <si>
    <t>204:1044</t>
  </si>
  <si>
    <t>300:58625</t>
  </si>
  <si>
    <t>204:1037</t>
  </si>
  <si>
    <t>204:1004</t>
  </si>
  <si>
    <t>300:58619</t>
  </si>
  <si>
    <t>300:58950</t>
  </si>
  <si>
    <t>300:58638</t>
  </si>
  <si>
    <t>300:58924</t>
  </si>
  <si>
    <t>204:53820</t>
  </si>
  <si>
    <t>204:36788</t>
  </si>
  <si>
    <t>300:30146</t>
  </si>
  <si>
    <t>300:21647</t>
  </si>
  <si>
    <t>204:232974</t>
  </si>
  <si>
    <t>204:88</t>
  </si>
  <si>
    <t>204:153</t>
  </si>
  <si>
    <t>204:233286</t>
  </si>
  <si>
    <t>204:484</t>
  </si>
  <si>
    <t>204:64</t>
  </si>
  <si>
    <t>204:233306</t>
  </si>
  <si>
    <t>204:232970</t>
  </si>
  <si>
    <t>204:196</t>
  </si>
  <si>
    <t>204:233331</t>
  </si>
  <si>
    <t>204:233010</t>
  </si>
  <si>
    <t>204:233287</t>
  </si>
  <si>
    <t>204:233336</t>
  </si>
  <si>
    <t>204:223</t>
  </si>
  <si>
    <t>204:233223</t>
  </si>
  <si>
    <t>204:233263</t>
  </si>
  <si>
    <t>204:232949</t>
  </si>
  <si>
    <t>204:524</t>
  </si>
  <si>
    <t>204:233261</t>
  </si>
  <si>
    <t>204:233042</t>
  </si>
  <si>
    <t>300:23131</t>
  </si>
  <si>
    <t>300:23148</t>
  </si>
  <si>
    <t>204:385</t>
  </si>
  <si>
    <t>300:23067</t>
  </si>
  <si>
    <t>204:99</t>
  </si>
  <si>
    <t>300:23108</t>
  </si>
  <si>
    <t>204:347</t>
  </si>
  <si>
    <t>300:23346</t>
  </si>
  <si>
    <t>300:23379</t>
  </si>
  <si>
    <t>204:471</t>
  </si>
  <si>
    <t>300:22852</t>
  </si>
  <si>
    <t>300:22036</t>
  </si>
  <si>
    <t>300:23274</t>
  </si>
  <si>
    <t>300:22816</t>
  </si>
  <si>
    <t>300:23314</t>
  </si>
  <si>
    <t>204:233057</t>
  </si>
  <si>
    <t>204:105</t>
  </si>
  <si>
    <t>300:22017</t>
  </si>
  <si>
    <t>204:876</t>
  </si>
  <si>
    <t>300:22178</t>
  </si>
  <si>
    <t>204:1194</t>
  </si>
  <si>
    <t>204:1503</t>
  </si>
  <si>
    <t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t>
  </si>
  <si>
    <t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t>
  </si>
  <si>
    <t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t>
  </si>
  <si>
    <t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t>
  </si>
  <si>
    <t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t>
  </si>
  <si>
    <t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t>
  </si>
  <si>
    <t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t>
  </si>
  <si>
    <t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t>
  </si>
  <si>
    <t>Mechanical issue (needed to emergency to recover brakes)</t>
  </si>
  <si>
    <t>EC0508RH 56-2T 2S fluctuating aspects</t>
  </si>
  <si>
    <t>From 15:20:00 - 15:22:34, EC0508RH 56-2T 2S fluctuated between 270 and STOP &amp; PROCEED. Do logs show anything unusual?</t>
  </si>
  <si>
    <t>Early arrival</t>
  </si>
  <si>
    <t>Pena 4S STOP</t>
  </si>
  <si>
    <t>Wi-MAX data drop</t>
  </si>
  <si>
    <t>http://stevetu21.github.io/eaglep3/load_kml.html?kml=http://rtdc.gmaps-snips.s3.amazonaws.com/a60ccfb3-741c-4efb-8ac4-4cafae5feba9.kml</t>
  </si>
  <si>
    <t>SYS :2016/12/25 12:31:41.452:ENFORCEMENT:Predictive Enforcement Action:  Target Number: 00010052  Target Speed:  45.0  Current Speed:  72.4</t>
  </si>
  <si>
    <t>SYS :2016/12/25 12:31:41.730:ENFORCEMENT:Predictive Enforcement Action:  Target Number: 00010052  Target Speed:  45.0  Current Speed:  72.4</t>
  </si>
  <si>
    <t>SYS :2016/12/25 12:36:05.429:ENFORCEMENT:Predictive Enforcement Action:  Target Number: 00001005  Target Speed:   0.0  Current Speed:   8.1</t>
  </si>
  <si>
    <t>SYS :2016/12/25 13:42:48.119:ENFORCEMENT:Reactive Enforcement Action:  Target Number: 00010045  Target Speed:  15.0  Current Speed:  20.5</t>
  </si>
  <si>
    <t>SYS :2016/12/25 13:42:48.762:ENFORCEMENT:Reactive Enforcement Action:  Target Number: 00010045  Target Speed:  15.0  Current Speed:  20.5</t>
  </si>
  <si>
    <t>SYS :2016/12/25 13:42:49.222:ENFORCEMENT:Reactive Enforcement Action:  Target Number: 00010044  Target Speed:  15.0  Current Speed:  20.5</t>
  </si>
  <si>
    <t>SYS :2016/12/25 14:17:56.742:ENFORCEMENT:Predictive Enforcement Action:  Target Number: 0000A001  Target Speed:  10.0  Current Speed:  41.4</t>
  </si>
  <si>
    <t>SYS :2016/12/25 14:17:56.826:ENFORCEMENT:Predictive Enforcement Action:  Target Number: 0000A001  Target Speed:  10.0  Current Speed:  40.7</t>
  </si>
  <si>
    <t>SYS :2016/12/25 14:17:57.275:ENFORCEMENT:Predictive Enforcement Action:  Target Number: 0000A001  Target Speed:  10.0  Current Speed:  40.7</t>
  </si>
  <si>
    <t>SYS :2016/12/25 15:59:57.127:ENFORCEMENT:Predictive Enforcement Action:  Target Number: 00010070  Target Speed:  30.0  Current Speed:  39.8</t>
  </si>
  <si>
    <t>SYS :2016/12/25 19:30:51.220:ENFORCEMENT:Predictive Enforcement Action:  Target Number: 0000616D  Target Speed:   0.0  Current Speed:  46.4</t>
  </si>
  <si>
    <t>SYS :2016/12/25 19:30:51.600:ENFORCEMENT:Predictive Enforcement Action:  Target Number: 0000616E  Target Speed:   0.0  Current Speed:  46.4</t>
  </si>
  <si>
    <t>SYS :2016/12/25 19:48:04.229:ENFORCEMENT:Predictive Enforcement Action:  Target Number: 0000A006  Target Speed:  10.0  Current Speed:  36.1</t>
  </si>
  <si>
    <t>SYS :2016/12/25 19:48:04.611:ENFORCEMENT:Predictive Enforcement Action:  Target Number: 0000A006  Target Speed:  10.0  Current Speed:  36.1</t>
  </si>
  <si>
    <t>SYS :2016/12/25 21:12:01.513:ENFORCEMENT:Predictive Enforcement Action:  Target Number: 00017092  Target Speed:   0.0  Current Speed:  29.7</t>
  </si>
  <si>
    <t>SYS :2016/12/25 21:12:01.708:ENFORCEMENT:Predictive Enforcement Action:  Target Number: 00017092  Target Speed:   0.0  Current Speed:  27.0</t>
  </si>
  <si>
    <t>SYS :2016/12/25 21:12:02.552:ENFORCEMENT:Predictive Enforcement Action:  Target Number: 00017092  Target Speed:   0.0  Current Speed:  27.0</t>
  </si>
  <si>
    <t>SYS :2016/12/25 22:18:05.374:ENFORCEMENT:Predictive Enforcement Action:  Target Number: 00010102  Target Speed:  35.0  Current Speed:  52.6</t>
  </si>
  <si>
    <t>SYS :2016/12/25 22:18:05.487:ENFORCEMENT:Predictive Enforcement Action:  Target Number: 00010102  Target Speed:  35.0  Current Speed:  52.6</t>
  </si>
  <si>
    <t>SYS :2016/12/25 22:51:08.731:ENFORCEMENT:Predictive Enforcement Action:  Target Number: 0001709E  Target Speed:   0.0  Current Speed:  15.3</t>
  </si>
  <si>
    <t>SYS :2016/12/25 22:51:09.510:ENFORCEMENT:Reactive Enforcement Action:  Target Number: 0001709E  Target Speed:   0.0  Current Speed:  15.3</t>
  </si>
  <si>
    <t>SYS :2016/12/25 22:51:09.578:ENFORCEMENT:Reactive Enforcement Action:  Target Number: 0001709E  Target Speed:   0.0  Current Speed:  15.2</t>
  </si>
  <si>
    <t>SYS :2016/12/25 23:41:51.116:ENFORCEMENT:Reactive Enforcement Action:  Target Number: 0001011E  Target Speed:  15.0  Current Speed:  20.1</t>
  </si>
  <si>
    <t>SYS :2016/12/25 23:41:51.298:ENFORCEMENT:Reactive Enforcement Action:  Target Number: 0001011C  Target Speed:  15.0  Current Speed:  20.1</t>
  </si>
  <si>
    <t>SYS :2016/12/25 23:41:52.365:ENFORCEMENT:Reactive Enforcement Action:  Target Number: 0001011E  Target Speed:  15.0  Current Speed:  20.1</t>
  </si>
  <si>
    <t>SYS :2016/12/25 23:44:06.120:ENFORCEMENT:Reactive Enforcement Action:  Target Number: 00010128  Target Speed:  35.0  Current Speed:  40.6</t>
  </si>
  <si>
    <t>SYS :2016/12/25 23:44:06.301:ENFORCEMENT:Reactive Enforcement Action:  Target Number: 00010126  Target Speed:  35.0  Current Speed:  40.6</t>
  </si>
  <si>
    <t>SYS :2016/12/25 23:44:07.357:ENFORCEMENT:Reactive Enforcement Action:  Target Number: 00010128  Target Speed:  35.0  Current Speed:  40.6</t>
  </si>
  <si>
    <t>SYS :2016/12/26 01:44:54.599:ENFORCEMENT:Predictive Enforcement Action:  Target Number: 0001011F  Target Speed:  30.0  Current Speed:  35.1</t>
  </si>
  <si>
    <t>SYS :2016/12/26 01:44:54.869:ENFORCEMENT:Predictive Enforcement Action:  Target Number: 0001011F  Target Speed:  30.0  Current Speed:  35.1</t>
  </si>
  <si>
    <t>SYS :2016/12/26 01:44:55.037:ENFORCEMENT:Predictive Enforcement Action:  Target Number: 0001011F  Target Speed:  30.0  Current Speed:  35.1</t>
  </si>
  <si>
    <t>SYS :2016/12/26 02:35:34.108:ENFORCEMENT:Predictive Enforcement Action:  Target Number: 0000101A  Target Speed:   0.0  Current Speed:   2.8</t>
  </si>
  <si>
    <t>SYS :2016/12/26 02:35:34.759:ENFORCEMENT:Predictive Enforcement Action:  Target Number: 0000101B  Target Speed:   0.0  Current Speed:   2.8</t>
  </si>
  <si>
    <t>SYS :2016/12/26 03:37:06.027:ENFORCEMENT:Predictive Enforcement Action:  Target Number: 00001017  Target Speed:   0.0  Current Speed:   6.8</t>
  </si>
  <si>
    <t>SYS :2016/12/26 03:37:06.584:ENFORCEMENT:Predictive Enforcement Action:  Target Number: 00001017  Target Speed:   0.0  Current Speed:   6.6</t>
  </si>
  <si>
    <t>SYS :2016/12/26 04:31:43.446:ENFORCEMENT:Predictive Enforcement Action:  Target Number: 000062E1  Target Speed:   0.0  Current Speed:  67.6</t>
  </si>
  <si>
    <t>SYS :2016/12/26 04:31:43.714:ENFORCEMENT:Predictive Enforcement Action:  Target Number: 000062FE  Target Speed:   0.0  Current Speed:  68.1</t>
  </si>
  <si>
    <t>SYS :2016/12/26 04:31:43.858:ENFORCEMENT:Predictive Enforcement Action:  Target Number: 000062D3  Target Speed:   0.0  Current Speed:  67.6</t>
  </si>
  <si>
    <t>SYS :2016/12/26 05:03:29.589:ENFORCEMENT:Predictive Enforcement Action:  Target Number: 00001019  Target Speed:   0.0  Current Speed:   7.2</t>
  </si>
  <si>
    <t>SYS :2016/12/26 05:03:30.211:ENFORCEMENT:Predictive Enforcement Action:  Target Number: 00001019  Target Speed:   0.0  Current Speed:   7.2</t>
  </si>
  <si>
    <t>SYS :2016/12/26 05:38:02.831:ENFORCEMENT:Predictive Enforcement Action:  Target Number: 00001019  Target Speed:   0.0  Current Speed:   4.9</t>
  </si>
  <si>
    <t>SYS :2016/12/26 05:38:03.024:ENFORCEMENT:Predictive Enforcement Action:  Target Number: 00001019  Target Speed:   0.0  Current Speed:   4.9</t>
  </si>
  <si>
    <t>Banner without braking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</si>
</sst>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a60ccfb3-741c-4efb-8ac4-4cafae5feba9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2"/>
  <sheetViews>
    <sheetView tabSelected="1" zoomScaleNormal="100" workbookViewId="0"/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7.42578125" style="40" customWidth="1"/>
    <col min="14" max="14" width="4.42578125" style="41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9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5"/>
      <c r="V1" s="40"/>
      <c r="W1" s="41"/>
      <c r="X1" s="169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42729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42729</v>
      </c>
      <c r="S2" s="72"/>
      <c r="T2" s="73"/>
      <c r="U2" s="166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7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8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COUNTIFS($N$13:$N$9362,"&gt;0",$AG$13:$AG$9362,I1)</f>
        <v>142</v>
      </c>
      <c r="K5" s="44"/>
      <c r="L5" s="44"/>
      <c r="M5" s="45">
        <f>AVERAGEIFS($N$13:$N$9362,$AG$13:$AG$9362,I1)</f>
        <v>37.540023474655655</v>
      </c>
      <c r="N5" s="43">
        <f t="array" ref="N5">MIN(IF($AG$13:$AG$9362=I1,IF(ISNUMBER($N$13:$N$9362),IF($N$13:$N$9362&gt;0,$N$13:$N$9362))))</f>
        <v>34.483333337120712</v>
      </c>
      <c r="O5" s="3">
        <f t="array" ref="O5">MAX(IF($AG$13:$AG$9362=I1,IF(ISNUMBER($N$13:$N$9362),IF($N$13:$N$9362&gt;0,$N$13:$N$9362))))</f>
        <v>42.483333331765607</v>
      </c>
      <c r="P5" s="2"/>
      <c r="R5" s="80" t="s">
        <v>17</v>
      </c>
      <c r="S5" s="55">
        <f>COUNTIFS($N$13:$N$9362,"&gt;0",$AG$13:$AG$9362,R1)</f>
        <v>34</v>
      </c>
      <c r="T5" s="44"/>
      <c r="U5" s="168"/>
      <c r="V5" s="45">
        <f>AVERAGEIFS($N$13:$N$9362,$AG$13:$AG$9362,R1)</f>
        <v>13.890196076827124</v>
      </c>
      <c r="W5" s="43">
        <f t="array" ref="W5">MIN(IF($AG$13:$AG$9362=R1,IF(ISNUMBER($N$13:$N$9362),IF($N$13:$N$9362&gt;0,$N$13:$N$9362))))</f>
        <v>11.849999993573874</v>
      </c>
      <c r="X5" s="173">
        <f t="array" ref="X5">MAX(IF($AG$13:$AG$9362=R1,IF(ISNUMBER($N$13:$N$9362),IF($N$13:$N$9362&gt;0,$N$13:$N$9362))))</f>
        <v>17.883333333302289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COUNT($O$13:$O$143)</f>
        <v>0</v>
      </c>
      <c r="K6" s="44"/>
      <c r="L6" s="44"/>
      <c r="M6" s="45">
        <f>IFERROR(AVERAGE($O$13:$O$143),0)</f>
        <v>0</v>
      </c>
      <c r="N6" s="43">
        <f>MIN($O$13:$O$143)</f>
        <v>0</v>
      </c>
      <c r="O6" s="3">
        <f>MAX($O$13:$O$143)</f>
        <v>0</v>
      </c>
      <c r="P6" s="2"/>
      <c r="R6" s="81" t="s">
        <v>43</v>
      </c>
      <c r="S6" s="55">
        <f>COUNT($O$13:$O$143)</f>
        <v>0</v>
      </c>
      <c r="T6" s="44"/>
      <c r="U6" s="168"/>
      <c r="V6" s="45">
        <f>IFERROR(AVERAGE($O$13:$O$143),0)</f>
        <v>0</v>
      </c>
      <c r="W6" s="43">
        <f>MIN($O$13:$O$143)</f>
        <v>0</v>
      </c>
      <c r="X6" s="173">
        <f>MAX($O$13:$O$143)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COUNTIFS($P$13:$P$9362,"&gt;0",$AG$13:$AG$9362,I1)</f>
        <v>2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COUNTIFS($P$13:$P$9362,"&gt;0",$AG$13:$AG$9362,R1)</f>
        <v>0</v>
      </c>
      <c r="T7" s="44"/>
      <c r="U7" s="168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142</v>
      </c>
      <c r="K8" s="44"/>
      <c r="L8" s="44"/>
      <c r="M8" s="45">
        <f>M5</f>
        <v>37.540023474655655</v>
      </c>
      <c r="N8" s="43">
        <f>N5</f>
        <v>34.483333337120712</v>
      </c>
      <c r="O8" s="3">
        <f>O5</f>
        <v>42.483333331765607</v>
      </c>
      <c r="P8" s="2"/>
      <c r="R8" s="80" t="s">
        <v>16</v>
      </c>
      <c r="S8" s="55">
        <f>S5</f>
        <v>34</v>
      </c>
      <c r="T8" s="44"/>
      <c r="U8" s="168"/>
      <c r="V8" s="45">
        <f>V5</f>
        <v>13.890196076827124</v>
      </c>
      <c r="W8" s="43">
        <f>W5</f>
        <v>11.849999993573874</v>
      </c>
      <c r="X8" s="173">
        <f>X5</f>
        <v>17.883333333302289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0.98611111111111116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5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9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5" t="str">
        <f>"Eagle P3 System Performance - "&amp;TEXT(Variables!A2,"yyyy-mm-dd")</f>
        <v>Eagle P3 System Performance - 2016-12-25</v>
      </c>
      <c r="B11" s="185"/>
      <c r="C11" s="185"/>
      <c r="D11" s="185"/>
      <c r="E11" s="185"/>
      <c r="F11" s="185"/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S11" s="69">
        <f>AVERAGE(S13:S102)</f>
        <v>0.99147727272727271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467</v>
      </c>
      <c r="B13" s="7">
        <v>4009</v>
      </c>
      <c r="C13" s="22" t="s">
        <v>205</v>
      </c>
      <c r="D13" s="22" t="s">
        <v>666</v>
      </c>
      <c r="E13" s="13">
        <v>42729.129363425927</v>
      </c>
      <c r="F13" s="13">
        <v>42729.135717592595</v>
      </c>
      <c r="G13" s="7">
        <v>1</v>
      </c>
      <c r="H13" s="22" t="s">
        <v>321</v>
      </c>
      <c r="I13" s="13">
        <v>42729.161909722221</v>
      </c>
      <c r="J13" s="7">
        <v>0</v>
      </c>
      <c r="K13" s="109" t="str">
        <f t="shared" ref="K13:K76" si="0">IF(ISEVEN(B13),(B13-1)&amp;"/"&amp;B13,B13&amp;"/"&amp;(B13+1))</f>
        <v>4009/4010</v>
      </c>
      <c r="L13" s="22" t="str">
        <f>VLOOKUP(A13,'Trips&amp;Operators'!$C$1:$G$99999,5,FALSE)</f>
        <v>OUN ZACK</v>
      </c>
      <c r="M13" s="6">
        <f t="shared" ref="M13:M76" si="1">I13-F13</f>
        <v>2.619212962599704E-2</v>
      </c>
      <c r="N13" s="7">
        <f t="shared" ref="N13:N76" si="2">24*60*SUM($M13:$M13)</f>
        <v>37.716666661435738</v>
      </c>
      <c r="O13" s="7"/>
      <c r="P13" s="7"/>
      <c r="Q13" s="23"/>
      <c r="R13" s="23"/>
      <c r="S13" s="35">
        <f t="shared" ref="S13:S76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https://search-rtdc-monitor-bjffxe2xuh6vdkpspy63sjmuny.us-east-1.es.amazonaws.com/_plugin/kibana/#/discover/Steve-Slow-Train-Analysis-(2080s-and-2083s)?_g=(refreshInterval:(display:Off,section:0,value:0),time:(from:'2016-12-25 02:06:17-700',mode:absolute,to:'2016-12-25 04:53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" s="52" t="str">
        <f t="shared" ref="W13:W76" si="6">IF(AA13&lt;IF(AG13="EC",23,5.65),"Y","N")</f>
        <v>N</v>
      </c>
      <c r="X13" s="177" t="e">
        <f t="shared" ref="X13:X76" si="7">VALUE(LEFT(AD13,4))-VALUE(LEFT(AD12,4))</f>
        <v>#VALUE!</v>
      </c>
      <c r="Y13" s="67">
        <f t="shared" ref="Y13:Y76" si="8">RIGHT(D13,LEN(D13)-4)/10000</f>
        <v>7.7700000000000005E-2</v>
      </c>
      <c r="Z13" s="67">
        <f t="shared" ref="Z13:Z76" si="9">RIGHT(H13,LEN(H13)-4)/10000</f>
        <v>23.331199999999999</v>
      </c>
      <c r="AA13" s="67">
        <f t="shared" ref="AA13:AA76" si="10">ABS(Z13-Y13)</f>
        <v>23.253499999999999</v>
      </c>
      <c r="AB13" s="64" t="e">
        <f>VLOOKUP(A13,Enforcements!$C$7:$K$19,8,0)</f>
        <v>#N/A</v>
      </c>
      <c r="AC13" s="60" t="e">
        <f>VLOOKUP(A13,Enforcements!$C$7:$E$19,3,0)</f>
        <v>#N/A</v>
      </c>
      <c r="AD13" s="61" t="str">
        <f t="shared" ref="AD13:AD76" si="11">IF(LEN(A13)=6,"0"&amp;A13,A13)</f>
        <v>0101-25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/stypes="app*4009*20161225*" /stext=" 10:.+((SYSTEM_STATE.+slice.+state.+changed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4009 --swversion DE.1.0.8.0 --startMP 204:777 --initTime 2016-12-25T03:06:17 --startdatetime 2016-12-25T03:15:26 --delay 1 --endMP 204:233312 --enddatetime 2016-12-25T03:53:09 --enforcementcount 0 &gt;&gt;C:\Users\stu\Documents\GitHub\eaglep3-reporting\EC\2016-12-25-refined-times.txt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{"issue":{"subject":"","project_id":79,"tracker_id":40,"status_id":1,"priority_id":2,"assigned_to_id":23,"start_date":"2016-12-25","description":"","custom_fields":[{"id":1,"name":"Subdivision","value":"EC"},{"id":4,"name":"Milepost","value":"23.3312"},{"id":17,"name":"Train ID","value":"101-25"},{"id":16,"name":"Locomotive ID","value":"4009"},{"id":130,"name":"Impact","value":""},{"id":150,"name":"Time of Event (Mountain Time)","value":"03:53:09"},{"id":151,"name":"Denver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473</v>
      </c>
      <c r="B14" s="7">
        <v>4026</v>
      </c>
      <c r="C14" s="22" t="s">
        <v>205</v>
      </c>
      <c r="D14" s="22" t="s">
        <v>667</v>
      </c>
      <c r="E14" s="13">
        <v>42729.169027777774</v>
      </c>
      <c r="F14" s="13">
        <v>42729.174583333333</v>
      </c>
      <c r="G14" s="7">
        <v>1</v>
      </c>
      <c r="H14" s="22" t="s">
        <v>668</v>
      </c>
      <c r="I14" s="13">
        <v>42729.203715277778</v>
      </c>
      <c r="J14" s="7">
        <v>0</v>
      </c>
      <c r="K14" s="109" t="str">
        <f t="shared" si="0"/>
        <v>4025/4026</v>
      </c>
      <c r="L14" s="22" t="str">
        <f>VLOOKUP(A14,'Trips&amp;Operators'!$C$1:$G$99999,5,FALSE)</f>
        <v>OUN ZACK</v>
      </c>
      <c r="M14" s="6">
        <f t="shared" si="1"/>
        <v>2.9131944444088731E-2</v>
      </c>
      <c r="N14" s="7">
        <f t="shared" si="2"/>
        <v>41.949999999487773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03:03:24-700',mode:absolute,to:'2016-12-25 05:53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23.265999999999998</v>
      </c>
      <c r="Z14" s="67">
        <f t="shared" si="9"/>
        <v>1.2999999999999999E-2</v>
      </c>
      <c r="AA14" s="67">
        <f t="shared" si="10"/>
        <v>23.252999999999997</v>
      </c>
      <c r="AB14" s="64" t="e">
        <f>VLOOKUP(A14,Enforcements!$C$7:$K$19,8,0)</f>
        <v>#N/A</v>
      </c>
      <c r="AC14" s="60" t="e">
        <f>VLOOKUP(A14,Enforcements!$C$7:$E$19,3,0)</f>
        <v>#N/A</v>
      </c>
      <c r="AD14" s="61" t="str">
        <f t="shared" si="11"/>
        <v>0102-25</v>
      </c>
      <c r="AE14" s="91" t="str">
        <f t="shared" si="12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14" s="88" t="str">
        <f t="shared" si="13"/>
        <v>"C:\Program Files (x86)\AstroGrep\AstroGrep.exe" /spath="%USERPROFILE%\AppData\Local\Temp\OnboardLogs" /stypes="app*4026*20161225*"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7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4026 --swversion DE.1.0.8.0 --startMP 204:232660 --initTime 2016-12-25T04:03:24 --startdatetime 2016-12-25T04:11:24 --delay 1 --endMP 204:130 --enddatetime 2016-12-25T04:53:21 --enforcementcount 0 &gt;&gt;C:\Users\stu\Documents\GitHub\eaglep3-reporting\EC\2016-12-25-refined-times.txt</v>
      </c>
      <c r="AI14" s="119" t="str">
        <f t="shared" ref="AI14:AI77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{"issue":{"subject":"","project_id":79,"tracker_id":40,"status_id":1,"priority_id":2,"assigned_to_id":23,"start_date":"2016-12-25","description":"","custom_fields":[{"id":1,"name":"Subdivision","value":"EC"},{"id":4,"name":"Milepost","value":"0.013"},{"id":17,"name":"Train ID","value":"102-25"},{"id":16,"name":"Locomotive ID","value":"4026"},{"id":130,"name":"Impact","value":""},{"id":150,"name":"Time of Event (Mountain Time)","value":"04:53:21"},{"id":151,"name":"Denver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470</v>
      </c>
      <c r="B15" s="7">
        <v>4042</v>
      </c>
      <c r="C15" s="22" t="s">
        <v>205</v>
      </c>
      <c r="D15" s="22" t="s">
        <v>669</v>
      </c>
      <c r="E15" s="13">
        <v>42729.150925925926</v>
      </c>
      <c r="F15" s="13">
        <v>42729.1565162037</v>
      </c>
      <c r="G15" s="7">
        <v>1</v>
      </c>
      <c r="H15" s="22" t="s">
        <v>670</v>
      </c>
      <c r="I15" s="13">
        <v>42729.183298611111</v>
      </c>
      <c r="J15" s="7">
        <v>0</v>
      </c>
      <c r="K15" s="109" t="str">
        <f t="shared" si="0"/>
        <v>4041/4042</v>
      </c>
      <c r="L15" s="22" t="str">
        <f>VLOOKUP(A15,'Trips&amp;Operators'!$C$1:$G$99999,5,FALSE)</f>
        <v>HAITHCOX MICHAEL</v>
      </c>
      <c r="M15" s="6">
        <f t="shared" si="1"/>
        <v>2.6782407410792075E-2</v>
      </c>
      <c r="N15" s="7">
        <f t="shared" si="2"/>
        <v>38.566666671540588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02:37:20-700',mode:absolute,to:'2016-12-25 05:23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7.0800000000000002E-2</v>
      </c>
      <c r="Z15" s="67">
        <f t="shared" si="9"/>
        <v>23.334700000000002</v>
      </c>
      <c r="AA15" s="67">
        <f t="shared" si="10"/>
        <v>23.263900000000003</v>
      </c>
      <c r="AB15" s="64" t="e">
        <f>VLOOKUP(A15,Enforcements!$C$7:$K$19,8,0)</f>
        <v>#N/A</v>
      </c>
      <c r="AC15" s="60" t="e">
        <f>VLOOKUP(A15,Enforcements!$C$7:$E$19,3,0)</f>
        <v>#N/A</v>
      </c>
      <c r="AD15" s="61" t="str">
        <f t="shared" si="11"/>
        <v>0103-25</v>
      </c>
      <c r="AE15" s="91" t="str">
        <f t="shared" si="12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5" s="88" t="str">
        <f t="shared" si="13"/>
        <v>"C:\Program Files (x86)\AstroGrep\AstroGrep.exe" /spath="%USERPROFILE%\AppData\Local\Temp\OnboardLogs" /stypes="app*4042*20161225*" /stext=" 11:.+((SYSTEM_STATE.+slice.+state.+changed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103-25 --locoid 4042 --swversion DE.1.0.8.0 --startMP 204:708 --initTime 2016-12-25T03:37:20 --startdatetime 2016-12-25T03:45:23 --delay 1 --endMP 204:233347 --enddatetime 2016-12-25T04:23:57 --enforcementcount 0 &gt;&gt;C:\Users\stu\Documents\GitHub\eaglep3-reporting\EC\2016-12-25-refined-times.txt</v>
      </c>
      <c r="AI1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{"issue":{"subject":"","project_id":79,"tracker_id":40,"status_id":1,"priority_id":2,"assigned_to_id":23,"start_date":"2016-12-25","description":"","custom_fields":[{"id":1,"name":"Subdivision","value":"EC"},{"id":4,"name":"Milepost","value":"23.3347"},{"id":17,"name":"Train ID","value":"103-25"},{"id":16,"name":"Locomotive ID","value":"4042"},{"id":130,"name":"Impact","value":""},{"id":150,"name":"Time of Event (Mountain Time)","value":"04:23:57"},{"id":151,"name":"Denver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479</v>
      </c>
      <c r="B16" s="7">
        <v>4032</v>
      </c>
      <c r="C16" s="22" t="s">
        <v>205</v>
      </c>
      <c r="D16" s="22" t="s">
        <v>671</v>
      </c>
      <c r="E16" s="13">
        <v>42729.191793981481</v>
      </c>
      <c r="F16" s="13">
        <v>42729.195393518516</v>
      </c>
      <c r="G16" s="7">
        <v>1</v>
      </c>
      <c r="H16" s="22" t="s">
        <v>417</v>
      </c>
      <c r="I16" s="13">
        <v>42729.223379629628</v>
      </c>
      <c r="J16" s="7">
        <v>0</v>
      </c>
      <c r="K16" s="109" t="str">
        <f t="shared" si="0"/>
        <v>4031/4032</v>
      </c>
      <c r="L16" s="22" t="str">
        <f>VLOOKUP(A16,'Trips&amp;Operators'!$C$1:$G$99999,5,FALSE)</f>
        <v>HAITHCOX MICHAEL</v>
      </c>
      <c r="M16" s="6">
        <f t="shared" si="1"/>
        <v>2.7986111112113576E-2</v>
      </c>
      <c r="N16" s="7">
        <f t="shared" si="2"/>
        <v>40.30000000144355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03:36:11-700',mode:absolute,to:'2016-12-25 06:21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23.2713</v>
      </c>
      <c r="Z16" s="67">
        <f t="shared" si="9"/>
        <v>1.5599999999999999E-2</v>
      </c>
      <c r="AA16" s="67">
        <f t="shared" si="10"/>
        <v>23.255700000000001</v>
      </c>
      <c r="AB16" s="64" t="e">
        <f>VLOOKUP(A16,Enforcements!$C$7:$K$19,8,0)</f>
        <v>#N/A</v>
      </c>
      <c r="AC16" s="60" t="e">
        <f>VLOOKUP(A16,Enforcements!$C$7:$E$19,3,0)</f>
        <v>#N/A</v>
      </c>
      <c r="AD16" s="61" t="str">
        <f t="shared" si="11"/>
        <v>0104-25</v>
      </c>
      <c r="AE16" s="91" t="str">
        <f t="shared" si="12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16" s="88" t="str">
        <f t="shared" si="13"/>
        <v>"C:\Program Files (x86)\AstroGrep\AstroGrep.exe" /spath="%USERPROFILE%\AppData\Local\Temp\OnboardLogs" /stypes="app*4032*20161225*"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104-25 --locoid 4032 --swversion DE.1.0.8.0 --startMP 204:232713 --initTime 2016-12-25T04:36:11 --startdatetime 2016-12-25T04:41:22 --delay 1 --endMP 204:156 --enddatetime 2016-12-25T05:21:40 --enforcementcount 0 &gt;&gt;C:\Users\stu\Documents\GitHub\eaglep3-reporting\EC\2016-12-25-refined-times.txt</v>
      </c>
      <c r="AI1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{"issue":{"subject":"","project_id":79,"tracker_id":40,"status_id":1,"priority_id":2,"assigned_to_id":23,"start_date":"2016-12-25","description":"","custom_fields":[{"id":1,"name":"Subdivision","value":"EC"},{"id":4,"name":"Milepost","value":"0.0156"},{"id":17,"name":"Train ID","value":"104-25"},{"id":16,"name":"Locomotive ID","value":"4032"},{"id":130,"name":"Impact","value":""},{"id":150,"name":"Time of Event (Mountain Time)","value":"05:21:40"},{"id":151,"name":"Denver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474</v>
      </c>
      <c r="B17" s="7">
        <v>4014</v>
      </c>
      <c r="C17" s="22" t="s">
        <v>205</v>
      </c>
      <c r="D17" s="22" t="s">
        <v>672</v>
      </c>
      <c r="E17" s="13">
        <v>42729.172534722224</v>
      </c>
      <c r="F17" s="13">
        <v>42729.177349537036</v>
      </c>
      <c r="G17" s="7">
        <v>1</v>
      </c>
      <c r="H17" s="22" t="s">
        <v>355</v>
      </c>
      <c r="I17" s="13">
        <v>42729.20244212963</v>
      </c>
      <c r="J17" s="7">
        <v>0</v>
      </c>
      <c r="K17" s="109" t="str">
        <f t="shared" si="0"/>
        <v>4013/4014</v>
      </c>
      <c r="L17" s="22" t="str">
        <f>VLOOKUP(A17,'Trips&amp;Operators'!$C$1:$G$99999,5,FALSE)</f>
        <v>ISHMAEL JOSEPH</v>
      </c>
      <c r="M17" s="6">
        <f t="shared" si="1"/>
        <v>2.5092592593864538E-2</v>
      </c>
      <c r="N17" s="7">
        <f t="shared" si="2"/>
        <v>36.133333335164934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03:08:27-700',mode:absolute,to:'2016-12-25 05:51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7.3200000000000001E-2</v>
      </c>
      <c r="Z17" s="67">
        <f t="shared" si="9"/>
        <v>23.330300000000001</v>
      </c>
      <c r="AA17" s="67">
        <f t="shared" si="10"/>
        <v>23.257100000000001</v>
      </c>
      <c r="AB17" s="64" t="e">
        <f>VLOOKUP(A17,Enforcements!$C$7:$K$19,8,0)</f>
        <v>#N/A</v>
      </c>
      <c r="AC17" s="60" t="e">
        <f>VLOOKUP(A17,Enforcements!$C$7:$E$19,3,0)</f>
        <v>#N/A</v>
      </c>
      <c r="AD17" s="61" t="str">
        <f t="shared" si="11"/>
        <v>0105-25</v>
      </c>
      <c r="AE17" s="91" t="str">
        <f t="shared" si="12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7" s="88" t="str">
        <f t="shared" si="13"/>
        <v>"C:\Program Files (x86)\AstroGrep\AstroGrep.exe" /spath="%USERPROFILE%\AppData\Local\Temp\OnboardLogs" /stypes="app*4014*20161225*"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105-25 --locoid 4014 --swversion DE.1.0.8.0 --startMP 204:732 --initTime 2016-12-25T04:08:27 --startdatetime 2016-12-25T04:15:23 --delay 1 --endMP 204:233303 --enddatetime 2016-12-25T04:51:31 --enforcementcount 0 &gt;&gt;C:\Users\stu\Documents\GitHub\eaglep3-reporting\EC\2016-12-25-refined-times.txt</v>
      </c>
      <c r="AI1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{"issue":{"subject":"","project_id":79,"tracker_id":40,"status_id":1,"priority_id":2,"assigned_to_id":23,"start_date":"2016-12-25","description":"","custom_fields":[{"id":1,"name":"Subdivision","value":"EC"},{"id":4,"name":"Milepost","value":"23.3303"},{"id":17,"name":"Train ID","value":"105-25"},{"id":16,"name":"Locomotive ID","value":"4014"},{"id":130,"name":"Impact","value":""},{"id":150,"name":"Time of Event (Mountain Time)","value":"04:51:31"},{"id":151,"name":"Denver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482</v>
      </c>
      <c r="B18" s="7">
        <v>4030</v>
      </c>
      <c r="C18" s="22" t="s">
        <v>205</v>
      </c>
      <c r="D18" s="22" t="s">
        <v>673</v>
      </c>
      <c r="E18" s="13">
        <v>42729.213541666664</v>
      </c>
      <c r="F18" s="13">
        <v>42729.216157407405</v>
      </c>
      <c r="G18" s="7">
        <v>1</v>
      </c>
      <c r="H18" s="22" t="s">
        <v>261</v>
      </c>
      <c r="I18" s="13">
        <v>42729.242731481485</v>
      </c>
      <c r="J18" s="7">
        <v>0</v>
      </c>
      <c r="K18" s="109" t="str">
        <f t="shared" si="0"/>
        <v>4029/4030</v>
      </c>
      <c r="L18" s="22" t="str">
        <f>VLOOKUP(A18,'Trips&amp;Operators'!$C$1:$G$99999,5,FALSE)</f>
        <v>ISHMAEL JOSEPH</v>
      </c>
      <c r="M18" s="6">
        <f t="shared" si="1"/>
        <v>2.6574074079690035E-2</v>
      </c>
      <c r="N18" s="7">
        <f t="shared" si="2"/>
        <v>38.266666674753651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04:07:30-700',mode:absolute,to:'2016-12-25 06:49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23.264399999999998</v>
      </c>
      <c r="Z18" s="67">
        <f t="shared" si="9"/>
        <v>1.47E-2</v>
      </c>
      <c r="AA18" s="67">
        <f t="shared" si="10"/>
        <v>23.249699999999997</v>
      </c>
      <c r="AB18" s="64" t="e">
        <f>VLOOKUP(A18,Enforcements!$C$7:$K$19,8,0)</f>
        <v>#N/A</v>
      </c>
      <c r="AC18" s="60" t="e">
        <f>VLOOKUP(A18,Enforcements!$C$7:$E$19,3,0)</f>
        <v>#N/A</v>
      </c>
      <c r="AD18" s="61" t="str">
        <f t="shared" si="11"/>
        <v>0106-25</v>
      </c>
      <c r="AE18" s="91" t="str">
        <f t="shared" si="12"/>
        <v>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 &amp; 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</v>
      </c>
      <c r="AF18" s="88" t="str">
        <f t="shared" si="13"/>
        <v>"C:\Program Files (x86)\AstroGrep\AstroGrep.exe" /spath="%USERPROFILE%\AppData\Local\Temp\OnboardLogs" /stypes="app*4030*20161225*"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106-25 --locoid 4030 --swversion DE.1.0.8.0 --startMP 204:232644 --initTime 2016-12-25T05:07:30 --startdatetime 2016-12-25T05:11:16 --delay 1 --endMP 204:147 --enddatetime 2016-12-25T05:49:32 --enforcementcount 0 &gt;&gt;C:\Users\stu\Documents\GitHub\eaglep3-reporting\EC\2016-12-25-refined-times.txt</v>
      </c>
      <c r="AI1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ID","value":"106-25"},{"id":16,"name":"Locomotive ID","value":"4030"},{"id":130,"name":"Impact","value":""},{"id":150,"name":"Time of Event (Mountain Time)","value":"05:49:32"},{"id":151,"name":"Denver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478</v>
      </c>
      <c r="B19" s="7">
        <v>4018</v>
      </c>
      <c r="C19" s="22" t="s">
        <v>205</v>
      </c>
      <c r="D19" s="22" t="s">
        <v>425</v>
      </c>
      <c r="E19" s="13">
        <v>42729.185601851852</v>
      </c>
      <c r="F19" s="13">
        <v>42729.187615740739</v>
      </c>
      <c r="G19" s="7">
        <v>1</v>
      </c>
      <c r="H19" s="22" t="s">
        <v>413</v>
      </c>
      <c r="I19" s="13">
        <v>42729.212997685187</v>
      </c>
      <c r="J19" s="7">
        <v>0</v>
      </c>
      <c r="K19" s="109" t="str">
        <f t="shared" si="0"/>
        <v>4017/4018</v>
      </c>
      <c r="L19" s="22" t="str">
        <f>VLOOKUP(A19,'Trips&amp;Operators'!$C$1:$G$99999,5,FALSE)</f>
        <v>DAVIS WENDY</v>
      </c>
      <c r="M19" s="6">
        <f t="shared" si="1"/>
        <v>2.5381944447872229E-2</v>
      </c>
      <c r="N19" s="7">
        <f t="shared" si="2"/>
        <v>36.55000000493601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03:27:16-700',mode:absolute,to:'2016-12-25 06:06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4.3700000000000003E-2</v>
      </c>
      <c r="Z19" s="67">
        <f t="shared" si="9"/>
        <v>23.331499999999998</v>
      </c>
      <c r="AA19" s="67">
        <f t="shared" si="10"/>
        <v>23.287799999999997</v>
      </c>
      <c r="AB19" s="64" t="e">
        <f>VLOOKUP(A19,Enforcements!$C$7:$K$19,8,0)</f>
        <v>#N/A</v>
      </c>
      <c r="AC19" s="60" t="e">
        <f>VLOOKUP(A19,Enforcements!$C$7:$E$19,3,0)</f>
        <v>#N/A</v>
      </c>
      <c r="AD19" s="61" t="str">
        <f t="shared" si="11"/>
        <v>0107-25</v>
      </c>
      <c r="AE19" s="91" t="str">
        <f t="shared" si="12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9" s="88" t="str">
        <f t="shared" si="13"/>
        <v>"C:\Program Files (x86)\AstroGrep\AstroGrep.exe" /spath="%USERPROFILE%\AppData\Local\Temp\OnboardLogs" /stypes="app*4018*20161225*"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107-25 --locoid 4018 --swversion DE.1.0.8.0 --startMP 204:437 --initTime 2016-12-25T04:27:16 --startdatetime 2016-12-25T04:30:10 --delay 1 --endMP 204:233315 --enddatetime 2016-12-25T05:06:43 --enforcementcount 0 &gt;&gt;C:\Users\stu\Documents\GitHub\eaglep3-reporting\EC\2016-12-25-refined-times.txt</v>
      </c>
      <c r="AI1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{"issue":{"subject":"","project_id":79,"tracker_id":40,"status_id":1,"priority_id":2,"assigned_to_id":23,"start_date":"2016-12-25","description":"","custom_fields":[{"id":1,"name":"Subdivision","value":"EC"},{"id":4,"name":"Milepost","value":"23.3315"},{"id":17,"name":"Train ID","value":"107-25"},{"id":16,"name":"Locomotive ID","value":"4018"},{"id":130,"name":"Impact","value":""},{"id":150,"name":"Time of Event (Mountain Time)","value":"05:06:43"},{"id":151,"name":"Denver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486</v>
      </c>
      <c r="B20" s="7">
        <v>4017</v>
      </c>
      <c r="C20" s="22" t="s">
        <v>205</v>
      </c>
      <c r="D20" s="22" t="s">
        <v>332</v>
      </c>
      <c r="E20" s="13">
        <v>42729.223564814813</v>
      </c>
      <c r="F20" s="13">
        <v>42729.226539351854</v>
      </c>
      <c r="G20" s="7">
        <v>1</v>
      </c>
      <c r="H20" s="22" t="s">
        <v>234</v>
      </c>
      <c r="I20" s="13">
        <v>42729.255243055559</v>
      </c>
      <c r="J20" s="7">
        <v>0</v>
      </c>
      <c r="K20" s="109" t="str">
        <f t="shared" si="0"/>
        <v>4017/4018</v>
      </c>
      <c r="L20" s="22" t="str">
        <f>VLOOKUP(A20,'Trips&amp;Operators'!$C$1:$G$99999,5,FALSE)</f>
        <v>DAVIS WENDY</v>
      </c>
      <c r="M20" s="6">
        <f t="shared" si="1"/>
        <v>2.8703703705104999E-2</v>
      </c>
      <c r="N20" s="7">
        <f t="shared" si="2"/>
        <v>41.333333335351199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04:21:56-700',mode:absolute,to:'2016-12-25 07:07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23.298300000000001</v>
      </c>
      <c r="Z20" s="67">
        <f t="shared" si="9"/>
        <v>1.4500000000000001E-2</v>
      </c>
      <c r="AA20" s="67">
        <f t="shared" si="10"/>
        <v>23.283799999999999</v>
      </c>
      <c r="AB20" s="64" t="e">
        <f>VLOOKUP(A20,Enforcements!$C$7:$K$19,8,0)</f>
        <v>#N/A</v>
      </c>
      <c r="AC20" s="60" t="e">
        <f>VLOOKUP(A20,Enforcements!$C$7:$E$19,3,0)</f>
        <v>#N/A</v>
      </c>
      <c r="AD20" s="61" t="str">
        <f t="shared" si="11"/>
        <v>0108-25</v>
      </c>
      <c r="AE20" s="91" t="str">
        <f t="shared" si="12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20" s="88" t="str">
        <f t="shared" si="13"/>
        <v>"C:\Program Files (x86)\AstroGrep\AstroGrep.exe" /spath="%USERPROFILE%\AppData\Local\Temp\OnboardLogs" /stypes="app*4017*20161225*"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108-25 --locoid 4017 --swversion DE.1.0.8.0 --startMP 204:232983 --initTime 2016-12-25T05:21:56 --startdatetime 2016-12-25T05:26:13 --delay 1 --endMP 204:145 --enddatetime 2016-12-25T06:07:33 --enforcementcount 0 &gt;&gt;C:\Users\stu\Documents\GitHub\eaglep3-reporting\EC\2016-12-25-refined-times.txt</v>
      </c>
      <c r="AI2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{"issue":{"subject":"","project_id":79,"tracker_id":40,"status_id":1,"priority_id":2,"assigned_to_id":23,"start_date":"2016-12-25","description":"","custom_fields":[{"id":1,"name":"Subdivision","value":"EC"},{"id":4,"name":"Milepost","value":"0.0145"},{"id":17,"name":"Train ID","value":"108-25"},{"id":16,"name":"Locomotive ID","value":"4017"},{"id":130,"name":"Impact","value":""},{"id":150,"name":"Time of Event (Mountain Time)","value":"06:07:33"},{"id":151,"name":"Denver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480</v>
      </c>
      <c r="B21" s="7">
        <v>4027</v>
      </c>
      <c r="C21" s="22" t="s">
        <v>205</v>
      </c>
      <c r="D21" s="22" t="s">
        <v>279</v>
      </c>
      <c r="E21" s="13">
        <v>42729.194490740738</v>
      </c>
      <c r="F21" s="13">
        <v>42729.19809027778</v>
      </c>
      <c r="G21" s="7">
        <v>1</v>
      </c>
      <c r="H21" s="22" t="s">
        <v>358</v>
      </c>
      <c r="I21" s="13">
        <v>42729.223692129628</v>
      </c>
      <c r="J21" s="7">
        <v>0</v>
      </c>
      <c r="K21" s="109" t="str">
        <f t="shared" si="0"/>
        <v>4027/4028</v>
      </c>
      <c r="L21" s="22" t="str">
        <f>VLOOKUP(A21,'Trips&amp;Operators'!$C$1:$G$99999,5,FALSE)</f>
        <v>ROBINSON KADDIBA</v>
      </c>
      <c r="M21" s="6">
        <f t="shared" si="1"/>
        <v>2.5601851848477963E-2</v>
      </c>
      <c r="N21" s="7">
        <f t="shared" si="2"/>
        <v>36.866666661808267</v>
      </c>
      <c r="O21" s="7"/>
      <c r="P21" s="7"/>
      <c r="Q21" s="23"/>
      <c r="R21" s="23"/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03:40:04-700',mode:absolute,to:'2016-12-25 06:22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21" s="52" t="str">
        <f t="shared" si="6"/>
        <v>N</v>
      </c>
      <c r="X21" s="177">
        <f t="shared" si="7"/>
        <v>1</v>
      </c>
      <c r="Y21" s="67">
        <f t="shared" si="8"/>
        <v>4.3999999999999997E-2</v>
      </c>
      <c r="Z21" s="67">
        <f t="shared" si="9"/>
        <v>23.3307</v>
      </c>
      <c r="AA21" s="67">
        <f t="shared" si="10"/>
        <v>23.2867</v>
      </c>
      <c r="AB21" s="64" t="e">
        <f>VLOOKUP(A21,Enforcements!$C$7:$K$19,8,0)</f>
        <v>#N/A</v>
      </c>
      <c r="AC21" s="60" t="e">
        <f>VLOOKUP(A21,Enforcements!$C$7:$E$19,3,0)</f>
        <v>#N/A</v>
      </c>
      <c r="AD21" s="61" t="str">
        <f t="shared" si="11"/>
        <v>0109-25</v>
      </c>
      <c r="AE21" s="91" t="str">
        <f t="shared" si="12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21" s="88" t="str">
        <f t="shared" si="13"/>
        <v>"C:\Program Files (x86)\AstroGrep\AstroGrep.exe" /spath="%USERPROFILE%\AppData\Local\Temp\OnboardLogs" /stypes="app*4027*20161225*"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109-25 --locoid 4027 --swversion DE.1.0.8.0 --startMP 204:440 --initTime 2016-12-25T04:40:04 --startdatetime 2016-12-25T04:45:15 --delay 1 --endMP 204:233307 --enddatetime 2016-12-25T05:22:07 --enforcementcount 0 &gt;&gt;C:\Users\stu\Documents\GitHub\eaglep3-reporting\EC\2016-12-25-refined-times.txt</v>
      </c>
      <c r="AI2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{"issue":{"subject":"","project_id":79,"tracker_id":40,"status_id":1,"priority_id":2,"assigned_to_id":23,"start_date":"2016-12-25","description":"","custom_fields":[{"id":1,"name":"Subdivision","value":"EC"},{"id":4,"name":"Milepost","value":"23.3307"},{"id":17,"name":"Train ID","value":"109-25"},{"id":16,"name":"Locomotive ID","value":"4027"},{"id":130,"name":"Impact","value":""},{"id":150,"name":"Time of Event (Mountain Time)","value":"05:22:07"},{"id":151,"name":"Denver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488</v>
      </c>
      <c r="B22" s="7">
        <v>4028</v>
      </c>
      <c r="C22" s="22" t="s">
        <v>205</v>
      </c>
      <c r="D22" s="22" t="s">
        <v>674</v>
      </c>
      <c r="E22" s="13">
        <v>42729.232187499998</v>
      </c>
      <c r="F22" s="13">
        <v>42729.236990740741</v>
      </c>
      <c r="G22" s="7">
        <v>1</v>
      </c>
      <c r="H22" s="22" t="s">
        <v>326</v>
      </c>
      <c r="I22" s="13">
        <v>42729.265335648146</v>
      </c>
      <c r="J22" s="7">
        <v>0</v>
      </c>
      <c r="K22" s="109" t="str">
        <f t="shared" si="0"/>
        <v>4027/4028</v>
      </c>
      <c r="L22" s="22" t="str">
        <f>VLOOKUP(A22,'Trips&amp;Operators'!$C$1:$G$99999,5,FALSE)</f>
        <v>ROBINSON KADDIBA</v>
      </c>
      <c r="M22" s="6">
        <f t="shared" si="1"/>
        <v>2.8344907404971309E-2</v>
      </c>
      <c r="N22" s="7">
        <f t="shared" si="2"/>
        <v>40.816666663158685</v>
      </c>
      <c r="O22" s="7"/>
      <c r="P22" s="7"/>
      <c r="Q22" s="23"/>
      <c r="R22" s="23"/>
      <c r="S22" s="35">
        <f t="shared" si="3"/>
        <v>1</v>
      </c>
      <c r="T22" s="50" t="str">
        <f t="shared" si="4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04:34:21-700',mode:absolute,to:'2016-12-25 07:22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2" s="52" t="str">
        <f t="shared" si="6"/>
        <v>N</v>
      </c>
      <c r="X22" s="177">
        <f t="shared" si="7"/>
        <v>1</v>
      </c>
      <c r="Y22" s="67">
        <f t="shared" si="8"/>
        <v>23.2988</v>
      </c>
      <c r="Z22" s="67">
        <f t="shared" si="9"/>
        <v>1.52E-2</v>
      </c>
      <c r="AA22" s="67">
        <f t="shared" si="10"/>
        <v>23.2836</v>
      </c>
      <c r="AB22" s="64" t="e">
        <f>VLOOKUP(A22,Enforcements!$C$7:$K$19,8,0)</f>
        <v>#N/A</v>
      </c>
      <c r="AC22" s="60" t="e">
        <f>VLOOKUP(A22,Enforcements!$C$7:$E$19,3,0)</f>
        <v>#N/A</v>
      </c>
      <c r="AD22" s="61" t="str">
        <f t="shared" si="11"/>
        <v>0110-25</v>
      </c>
      <c r="AE22" s="91" t="str">
        <f t="shared" si="12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22" s="88" t="str">
        <f t="shared" si="13"/>
        <v>"C:\Program Files (x86)\AstroGrep\AstroGrep.exe" /spath="%USERPROFILE%\AppData\Local\Temp\OnboardLogs" /stypes="app*4028*20161225*" /stext=" 13:.+((SYSTEM_STATE.+slice.+state.+changed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110-25 --locoid 4028 --swversion DE.1.0.8.0 --startMP 204:232988 --initTime 2016-12-25T05:34:21 --startdatetime 2016-12-25T05:41:16 --delay 1 --endMP 204:152 --enddatetime 2016-12-25T06:22:05 --enforcementcount 0 &gt;&gt;C:\Users\stu\Documents\GitHub\eaglep3-reporting\EC\2016-12-25-refined-times.txt</v>
      </c>
      <c r="AI22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{"issue":{"subject":"","project_id":79,"tracker_id":40,"status_id":1,"priority_id":2,"assigned_to_id":23,"start_date":"2016-12-25","description":"","custom_fields":[{"id":1,"name":"Subdivision","value":"EC"},{"id":4,"name":"Milepost","value":"0.0152"},{"id":17,"name":"Train ID","value":"110-25"},{"id":16,"name":"Locomotive ID","value":"4028"},{"id":130,"name":"Impact","value":""},{"id":150,"name":"Time of Event (Mountain Time)","value":"06:22:05"},{"id":151,"name":"Denver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442</v>
      </c>
      <c r="B23" s="7">
        <v>4009</v>
      </c>
      <c r="C23" s="22" t="s">
        <v>205</v>
      </c>
      <c r="D23" s="22" t="s">
        <v>675</v>
      </c>
      <c r="E23" s="13">
        <v>42729.205879629626</v>
      </c>
      <c r="F23" s="13">
        <v>42729.208506944444</v>
      </c>
      <c r="G23" s="7">
        <v>3</v>
      </c>
      <c r="H23" s="22" t="s">
        <v>317</v>
      </c>
      <c r="I23" s="13">
        <v>42729.233541666668</v>
      </c>
      <c r="J23" s="7">
        <v>0</v>
      </c>
      <c r="K23" s="109" t="str">
        <f t="shared" si="0"/>
        <v>4009/4010</v>
      </c>
      <c r="L23" s="22" t="str">
        <f>VLOOKUP(A23,'Trips&amp;Operators'!$C$1:$G$99999,5,FALSE)</f>
        <v>GEBRETEKLE DAGNEW</v>
      </c>
      <c r="M23" s="6">
        <f t="shared" si="1"/>
        <v>2.5034722224518191E-2</v>
      </c>
      <c r="N23" s="7">
        <f t="shared" si="2"/>
        <v>36.050000003306195</v>
      </c>
      <c r="O23" s="7"/>
      <c r="P23" s="7"/>
      <c r="Q23" s="23"/>
      <c r="R23" s="23"/>
      <c r="S23" s="35">
        <f t="shared" si="3"/>
        <v>1</v>
      </c>
      <c r="T23" s="50" t="str">
        <f t="shared" si="4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03:56:28-700',mode:absolute,to:'2016-12-25 06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7.4399999999999994E-2</v>
      </c>
      <c r="Z23" s="67">
        <f t="shared" si="9"/>
        <v>23.329699999999999</v>
      </c>
      <c r="AA23" s="67">
        <f t="shared" si="10"/>
        <v>23.255299999999998</v>
      </c>
      <c r="AB23" s="64" t="str">
        <f>VLOOKUP(A23,Enforcements!$C$7:$K$19,8,0)</f>
        <v>Speed (6)</v>
      </c>
      <c r="AC23" s="60" t="str">
        <f>VLOOKUP(A23,Enforcements!$C$7:$E$19,3,0)</f>
        <v>PERMANENT SPEED RESTRICTION</v>
      </c>
      <c r="AD23" s="61" t="str">
        <f t="shared" si="11"/>
        <v>0111-25</v>
      </c>
      <c r="AE23" s="91" t="str">
        <f t="shared" si="12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23" s="88" t="str">
        <f t="shared" si="13"/>
        <v>"C:\Program Files (x86)\AstroGrep\AstroGrep.exe" /spath="%USERPROFILE%\AppData\Local\Temp\OnboardLogs" /stypes="app*4009*20161225*" /stext=" 12:.+((SYSTEM_STATE.+slice.+state.+changed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111-25 --locoid 4009 --swversion DE.1.0.8.0 --startMP 204:744 --initTime 2016-12-25T04:56:28 --startdatetime 2016-12-25T05:00:15 --delay 3 --endMP 204:233297 --enddatetime 2016-12-25T05:36:18 --enforcementcount 0 &gt;&gt;C:\Users\stu\Documents\GitHub\eaglep3-reporting\EC\2016-12-25-refined-times.txt</v>
      </c>
      <c r="AI2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ID","value":"111-25"},{"id":16,"name":"Locomotive ID","value":"4009"},{"id":130,"name":"Impact","value":""},{"id":150,"name":"Time of Event (Mountain Time)","value":"05:36:18"},{"id":151,"name":"Denver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491</v>
      </c>
      <c r="B24" s="7">
        <v>4010</v>
      </c>
      <c r="C24" s="22" t="s">
        <v>205</v>
      </c>
      <c r="D24" s="22" t="s">
        <v>324</v>
      </c>
      <c r="E24" s="13">
        <v>42729.24322916667</v>
      </c>
      <c r="F24" s="13">
        <v>42729.247453703705</v>
      </c>
      <c r="G24" s="7">
        <v>1</v>
      </c>
      <c r="H24" s="22" t="s">
        <v>224</v>
      </c>
      <c r="I24" s="13">
        <v>42729.27375</v>
      </c>
      <c r="J24" s="7">
        <v>0</v>
      </c>
      <c r="K24" s="109" t="str">
        <f t="shared" si="0"/>
        <v>4009/4010</v>
      </c>
      <c r="L24" s="22" t="str">
        <f>VLOOKUP(A24,'Trips&amp;Operators'!$C$1:$G$99999,5,FALSE)</f>
        <v>GEBRETEKLE DAGNEW</v>
      </c>
      <c r="M24" s="6">
        <f t="shared" si="1"/>
        <v>2.6296296295186039E-2</v>
      </c>
      <c r="N24" s="7">
        <f t="shared" si="2"/>
        <v>37.866666665067896</v>
      </c>
      <c r="O24" s="7"/>
      <c r="P24" s="7"/>
      <c r="Q24" s="23"/>
      <c r="R24" s="23"/>
      <c r="S24" s="35">
        <f t="shared" si="3"/>
        <v>1</v>
      </c>
      <c r="T24" s="50" t="str">
        <f t="shared" si="4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04:50:15-700',mode:absolute,to:'2016-12-25 07:34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23.299099999999999</v>
      </c>
      <c r="Z24" s="67">
        <f t="shared" si="9"/>
        <v>1.54E-2</v>
      </c>
      <c r="AA24" s="67">
        <f t="shared" si="10"/>
        <v>23.2837</v>
      </c>
      <c r="AB24" s="64" t="e">
        <f>VLOOKUP(A24,Enforcements!$C$7:$K$19,8,0)</f>
        <v>#N/A</v>
      </c>
      <c r="AC24" s="60" t="e">
        <f>VLOOKUP(A24,Enforcements!$C$7:$E$19,3,0)</f>
        <v>#N/A</v>
      </c>
      <c r="AD24" s="61" t="str">
        <f t="shared" si="11"/>
        <v>0112-25</v>
      </c>
      <c r="AE24" s="91" t="str">
        <f t="shared" si="12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24" s="88" t="str">
        <f t="shared" si="13"/>
        <v>"C:\Program Files (x86)\AstroGrep\AstroGrep.exe" /spath="%USERPROFILE%\AppData\Local\Temp\OnboardLogs" /stypes="app*4010*20161225*" /stext=" 13:.+((SYSTEM_STATE.+slice.+state.+changed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112-25 --locoid 4010 --swversion DE.1.0.8.0 --startMP 204:232991 --initTime 2016-12-25T05:50:15 --startdatetime 2016-12-25T05:56:20 --delay 1 --endMP 204:154 --enddatetime 2016-12-25T06:34:12 --enforcementcount 0 &gt;&gt;C:\Users\stu\Documents\GitHub\eaglep3-reporting\EC\2016-12-25-refined-times.txt</v>
      </c>
      <c r="AI2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ID","value":"112-25"},{"id":16,"name":"Locomotive ID","value":"4010"},{"id":130,"name":"Impact","value":""},{"id":150,"name":"Time of Event (Mountain Time)","value":"06:34:12"},{"id":151,"name":"Denver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481</v>
      </c>
      <c r="B25" s="7">
        <v>4025</v>
      </c>
      <c r="C25" s="22" t="s">
        <v>205</v>
      </c>
      <c r="D25" s="22" t="s">
        <v>194</v>
      </c>
      <c r="E25" s="13">
        <v>42729.211342592593</v>
      </c>
      <c r="F25" s="13">
        <v>42729.219074074077</v>
      </c>
      <c r="G25" s="7">
        <v>1</v>
      </c>
      <c r="H25" s="22" t="s">
        <v>317</v>
      </c>
      <c r="I25" s="13">
        <v>42729.245856481481</v>
      </c>
      <c r="J25" s="7">
        <v>0</v>
      </c>
      <c r="K25" s="109" t="str">
        <f t="shared" si="0"/>
        <v>4025/4026</v>
      </c>
      <c r="L25" s="22" t="str">
        <f>VLOOKUP(A25,'Trips&amp;Operators'!$C$1:$G$99999,5,FALSE)</f>
        <v>OUN ZACK</v>
      </c>
      <c r="M25" s="6">
        <f t="shared" si="1"/>
        <v>2.6782407403516117E-2</v>
      </c>
      <c r="N25" s="7">
        <f t="shared" si="2"/>
        <v>38.566666661063209</v>
      </c>
      <c r="O25" s="7"/>
      <c r="P25" s="7"/>
      <c r="Q25" s="23"/>
      <c r="R25" s="23"/>
      <c r="S25" s="35">
        <f t="shared" si="3"/>
        <v>1</v>
      </c>
      <c r="T25" s="50" t="str">
        <f t="shared" si="4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04:04:20-700',mode:absolute,to:'2016-12-25 06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4.5100000000000001E-2</v>
      </c>
      <c r="Z25" s="67">
        <f t="shared" si="9"/>
        <v>23.329699999999999</v>
      </c>
      <c r="AA25" s="67">
        <f t="shared" si="10"/>
        <v>23.284599999999998</v>
      </c>
      <c r="AB25" s="64" t="e">
        <f>VLOOKUP(A25,Enforcements!$C$7:$K$19,8,0)</f>
        <v>#N/A</v>
      </c>
      <c r="AC25" s="60" t="e">
        <f>VLOOKUP(A25,Enforcements!$C$7:$E$19,3,0)</f>
        <v>#N/A</v>
      </c>
      <c r="AD25" s="61" t="str">
        <f t="shared" si="11"/>
        <v>0113-25</v>
      </c>
      <c r="AE25" s="91" t="str">
        <f t="shared" si="12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25" s="88" t="str">
        <f t="shared" si="13"/>
        <v>"C:\Program Files (x86)\AstroGrep\AstroGrep.exe" /spath="%USERPROFILE%\AppData\Local\Temp\OnboardLogs" /stypes="app*4025*20161225*" /stext=" 12:.+((SYSTEM_STATE.+slice.+state.+changed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113-25 --locoid 4025 --swversion DE.1.0.8.0 --startMP 204:451 --initTime 2016-12-25T05:04:20 --startdatetime 2016-12-25T05:15:28 --delay 1 --endMP 204:233297 --enddatetime 2016-12-25T05:54:02 --enforcementcount 0 &gt;&gt;C:\Users\stu\Documents\GitHub\eaglep3-reporting\EC\2016-12-25-refined-times.txt</v>
      </c>
      <c r="AI2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ID","value":"113-25"},{"id":16,"name":"Locomotive ID","value":"4025"},{"id":130,"name":"Impact","value":""},{"id":150,"name":"Time of Event (Mountain Time)","value":"05:54:02"},{"id":151,"name":"Denver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494</v>
      </c>
      <c r="B26" s="7">
        <v>4026</v>
      </c>
      <c r="C26" s="22" t="s">
        <v>205</v>
      </c>
      <c r="D26" s="22" t="s">
        <v>323</v>
      </c>
      <c r="E26" s="13">
        <v>42729.253391203703</v>
      </c>
      <c r="F26" s="13">
        <v>42729.257939814815</v>
      </c>
      <c r="G26" s="7">
        <v>1</v>
      </c>
      <c r="H26" s="22" t="s">
        <v>668</v>
      </c>
      <c r="I26" s="13">
        <v>42729.285740740743</v>
      </c>
      <c r="J26" s="7">
        <v>0</v>
      </c>
      <c r="K26" s="109" t="str">
        <f t="shared" si="0"/>
        <v>4025/4026</v>
      </c>
      <c r="L26" s="22" t="str">
        <f>VLOOKUP(A26,'Trips&amp;Operators'!$C$1:$G$99999,5,FALSE)</f>
        <v>OUN ZACK</v>
      </c>
      <c r="M26" s="6">
        <f t="shared" si="1"/>
        <v>2.7800925927294884E-2</v>
      </c>
      <c r="N26" s="7">
        <f t="shared" si="2"/>
        <v>40.033333335304633</v>
      </c>
      <c r="O26" s="7"/>
      <c r="P26" s="7"/>
      <c r="Q26" s="23"/>
      <c r="R26" s="23"/>
      <c r="S26" s="35">
        <f t="shared" si="3"/>
        <v>1</v>
      </c>
      <c r="T26" s="50" t="str">
        <f t="shared" si="4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05:04:53-700',mode:absolute,to:'2016-12-25 07:51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23.2959</v>
      </c>
      <c r="Z26" s="67">
        <f t="shared" si="9"/>
        <v>1.2999999999999999E-2</v>
      </c>
      <c r="AA26" s="67">
        <f t="shared" si="10"/>
        <v>23.282899999999998</v>
      </c>
      <c r="AB26" s="64" t="e">
        <f>VLOOKUP(A26,Enforcements!$C$7:$K$19,8,0)</f>
        <v>#N/A</v>
      </c>
      <c r="AC26" s="60" t="e">
        <f>VLOOKUP(A26,Enforcements!$C$7:$E$19,3,0)</f>
        <v>#N/A</v>
      </c>
      <c r="AD26" s="61" t="str">
        <f t="shared" si="11"/>
        <v>0114-25</v>
      </c>
      <c r="AE26" s="91" t="str">
        <f t="shared" si="12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26" s="88" t="str">
        <f t="shared" si="13"/>
        <v>"C:\Program Files (x86)\AstroGrep\AstroGrep.exe" /spath="%USERPROFILE%\AppData\Local\Temp\OnboardLogs" /stypes="app*4026*20161225*" /stext=" 13:.+((SYSTEM_STATE.+slice.+state.+changed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114-25 --locoid 4026 --swversion DE.1.0.8.0 --startMP 204:232959 --initTime 2016-12-25T06:04:53 --startdatetime 2016-12-25T06:11:26 --delay 1 --endMP 204:130 --enddatetime 2016-12-25T06:51:28 --enforcementcount 0 &gt;&gt;C:\Users\stu\Documents\GitHub\eaglep3-reporting\EC\2016-12-25-refined-times.txt</v>
      </c>
      <c r="AI2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{"issue":{"subject":"","project_id":79,"tracker_id":40,"status_id":1,"priority_id":2,"assigned_to_id":23,"start_date":"2016-12-25","description":"","custom_fields":[{"id":1,"name":"Subdivision","value":"EC"},{"id":4,"name":"Milepost","value":"0.013"},{"id":17,"name":"Train ID","value":"114-25"},{"id":16,"name":"Locomotive ID","value":"4026"},{"id":130,"name":"Impact","value":""},{"id":150,"name":"Time of Event (Mountain Time)","value":"06:51:28"},{"id":151,"name":"Denver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489</v>
      </c>
      <c r="B27" s="7">
        <v>4042</v>
      </c>
      <c r="C27" s="22" t="s">
        <v>205</v>
      </c>
      <c r="D27" s="22" t="s">
        <v>408</v>
      </c>
      <c r="E27" s="13">
        <v>42729.232939814814</v>
      </c>
      <c r="F27" s="13">
        <v>42729.234768518516</v>
      </c>
      <c r="G27" s="7">
        <v>1</v>
      </c>
      <c r="H27" s="22" t="s">
        <v>325</v>
      </c>
      <c r="I27" s="13">
        <v>42729.262789351851</v>
      </c>
      <c r="J27" s="7">
        <v>0</v>
      </c>
      <c r="K27" s="109" t="str">
        <f t="shared" si="0"/>
        <v>4041/4042</v>
      </c>
      <c r="L27" s="22" t="str">
        <f>VLOOKUP(A27,'Trips&amp;Operators'!$C$1:$G$99999,5,FALSE)</f>
        <v>SHOOK JOHN</v>
      </c>
      <c r="M27" s="6">
        <f t="shared" si="1"/>
        <v>2.8020833335176576E-2</v>
      </c>
      <c r="N27" s="7">
        <f t="shared" si="2"/>
        <v>40.350000002654269</v>
      </c>
      <c r="O27" s="7"/>
      <c r="P27" s="7"/>
      <c r="Q27" s="23"/>
      <c r="R27" s="23"/>
      <c r="S27" s="35">
        <f t="shared" si="3"/>
        <v>1</v>
      </c>
      <c r="T27" s="50" t="str">
        <f t="shared" si="4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04:35:26-700',mode:absolute,to:'2016-12-25 07:18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7.5200000000000003E-2</v>
      </c>
      <c r="Z27" s="67">
        <f t="shared" si="9"/>
        <v>23.33</v>
      </c>
      <c r="AA27" s="67">
        <f t="shared" si="10"/>
        <v>23.254799999999999</v>
      </c>
      <c r="AB27" s="64" t="e">
        <f>VLOOKUP(A27,Enforcements!$C$7:$K$19,8,0)</f>
        <v>#N/A</v>
      </c>
      <c r="AC27" s="60" t="e">
        <f>VLOOKUP(A27,Enforcements!$C$7:$E$19,3,0)</f>
        <v>#N/A</v>
      </c>
      <c r="AD27" s="61" t="str">
        <f t="shared" si="11"/>
        <v>0115-25</v>
      </c>
      <c r="AE27" s="91" t="str">
        <f t="shared" si="12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27" s="88" t="str">
        <f t="shared" si="13"/>
        <v>"C:\Program Files (x86)\AstroGrep\AstroGrep.exe" /spath="%USERPROFILE%\AppData\Local\Temp\OnboardLogs" /stypes="app*4042*20161225*"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115-25 --locoid 4042 --swversion DE.1.0.8.0 --startMP 204:752 --initTime 2016-12-25T05:35:26 --startdatetime 2016-12-25T05:38:04 --delay 1 --endMP 204:233300 --enddatetime 2016-12-25T06:18:25 --enforcementcount 0 &gt;&gt;C:\Users\stu\Documents\GitHub\eaglep3-reporting\EC\2016-12-25-refined-times.txt</v>
      </c>
      <c r="AI2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{"issue":{"subject":"","project_id":79,"tracker_id":40,"status_id":1,"priority_id":2,"assigned_to_id":23,"start_date":"2016-12-25","description":"","custom_fields":[{"id":1,"name":"Subdivision","value":"EC"},{"id":4,"name":"Milepost","value":"23.33"},{"id":17,"name":"Train ID","value":"115-25"},{"id":16,"name":"Locomotive ID","value":"4042"},{"id":130,"name":"Impact","value":""},{"id":150,"name":"Time of Event (Mountain Time)","value":"06:18:25"},{"id":151,"name":"Denver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496</v>
      </c>
      <c r="B28" s="7">
        <v>4041</v>
      </c>
      <c r="C28" s="22" t="s">
        <v>205</v>
      </c>
      <c r="D28" s="22" t="s">
        <v>416</v>
      </c>
      <c r="E28" s="13">
        <v>42729.264594907407</v>
      </c>
      <c r="F28" s="13">
        <v>42729.268321759257</v>
      </c>
      <c r="G28" s="7">
        <v>1</v>
      </c>
      <c r="H28" s="22" t="s">
        <v>261</v>
      </c>
      <c r="I28" s="13">
        <v>42729.296087962961</v>
      </c>
      <c r="J28" s="7">
        <v>0</v>
      </c>
      <c r="K28" s="109" t="str">
        <f t="shared" si="0"/>
        <v>4041/4042</v>
      </c>
      <c r="L28" s="22" t="str">
        <f>VLOOKUP(A28,'Trips&amp;Operators'!$C$1:$G$99999,5,FALSE)</f>
        <v>SHOOK JOHN</v>
      </c>
      <c r="M28" s="6">
        <f t="shared" si="1"/>
        <v>2.7766203704231884E-2</v>
      </c>
      <c r="N28" s="7">
        <f t="shared" si="2"/>
        <v>39.983333334093913</v>
      </c>
      <c r="O28" s="7"/>
      <c r="P28" s="7"/>
      <c r="Q28" s="23"/>
      <c r="R28" s="23"/>
      <c r="S28" s="35">
        <f t="shared" si="3"/>
        <v>1</v>
      </c>
      <c r="T28" s="50" t="str">
        <f t="shared" si="4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05:21:01-700',mode:absolute,to:'2016-12-25 08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23.297599999999999</v>
      </c>
      <c r="Z28" s="67">
        <f t="shared" si="9"/>
        <v>1.47E-2</v>
      </c>
      <c r="AA28" s="67">
        <f t="shared" si="10"/>
        <v>23.282899999999998</v>
      </c>
      <c r="AB28" s="64" t="e">
        <f>VLOOKUP(A28,Enforcements!$C$7:$K$19,8,0)</f>
        <v>#N/A</v>
      </c>
      <c r="AC28" s="60" t="e">
        <f>VLOOKUP(A28,Enforcements!$C$7:$E$19,3,0)</f>
        <v>#N/A</v>
      </c>
      <c r="AD28" s="61" t="str">
        <f t="shared" si="11"/>
        <v>0116-25</v>
      </c>
      <c r="AE28" s="91" t="str">
        <f t="shared" si="12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28" s="88" t="str">
        <f t="shared" si="13"/>
        <v>"C:\Program Files (x86)\AstroGrep\AstroGrep.exe" /spath="%USERPROFILE%\AppData\Local\Temp\OnboardLogs" /stypes="app*4041*20161225*" /stext=" 14:.+((SYSTEM_STATE.+slice.+state.+changed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116-25 --locoid 4041 --swversion DE.1.0.8.0 --startMP 204:232976 --initTime 2016-12-25T06:21:01 --startdatetime 2016-12-25T06:26:23 --delay 1 --endMP 204:147 --enddatetime 2016-12-25T07:06:22 --enforcementcount 0 &gt;&gt;C:\Users\stu\Documents\GitHub\eaglep3-reporting\EC\2016-12-25-refined-times.txt</v>
      </c>
      <c r="AI2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ID","value":"116-25"},{"id":16,"name":"Locomotive ID","value":"4041"},{"id":130,"name":"Impact","value":""},{"id":150,"name":"Time of Event (Mountain Time)","value":"07:06:22"},{"id":151,"name":"Denver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490</v>
      </c>
      <c r="B29" s="7">
        <v>4031</v>
      </c>
      <c r="C29" s="22" t="s">
        <v>205</v>
      </c>
      <c r="D29" s="22" t="s">
        <v>421</v>
      </c>
      <c r="E29" s="13">
        <v>42729.235509259262</v>
      </c>
      <c r="F29" s="13">
        <v>42729.240173611113</v>
      </c>
      <c r="G29" s="7">
        <v>1</v>
      </c>
      <c r="H29" s="22" t="s">
        <v>315</v>
      </c>
      <c r="I29" s="13">
        <v>42729.264826388891</v>
      </c>
      <c r="J29" s="7">
        <v>0</v>
      </c>
      <c r="K29" s="109" t="str">
        <f t="shared" si="0"/>
        <v>4031/4032</v>
      </c>
      <c r="L29" s="22" t="str">
        <f>VLOOKUP(A29,'Trips&amp;Operators'!$C$1:$G$99999,5,FALSE)</f>
        <v>HAITHCOX MICHAEL</v>
      </c>
      <c r="M29" s="6">
        <f t="shared" si="1"/>
        <v>2.4652777778101154E-2</v>
      </c>
      <c r="N29" s="7">
        <f t="shared" si="2"/>
        <v>35.500000000465661</v>
      </c>
      <c r="O29" s="7"/>
      <c r="P29" s="7"/>
      <c r="Q29" s="23"/>
      <c r="R29" s="23"/>
      <c r="S29" s="35">
        <f t="shared" si="3"/>
        <v>1</v>
      </c>
      <c r="T29" s="50" t="str">
        <f t="shared" si="4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04:39:08-700',mode:absolute,to:'2016-12-25 07:21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4.3499999999999997E-2</v>
      </c>
      <c r="Z29" s="67">
        <f t="shared" si="9"/>
        <v>23.330100000000002</v>
      </c>
      <c r="AA29" s="67">
        <f t="shared" si="10"/>
        <v>23.2866</v>
      </c>
      <c r="AB29" s="64" t="e">
        <f>VLOOKUP(A29,Enforcements!$C$7:$K$19,8,0)</f>
        <v>#N/A</v>
      </c>
      <c r="AC29" s="60" t="e">
        <f>VLOOKUP(A29,Enforcements!$C$7:$E$19,3,0)</f>
        <v>#N/A</v>
      </c>
      <c r="AD29" s="61" t="str">
        <f t="shared" si="11"/>
        <v>0117-25</v>
      </c>
      <c r="AE29" s="91" t="str">
        <f t="shared" si="12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29" s="88" t="str">
        <f t="shared" si="13"/>
        <v>"C:\Program Files (x86)\AstroGrep\AstroGrep.exe" /spath="%USERPROFILE%\AppData\Local\Temp\OnboardLogs" /stypes="app*4031*20161225*" /stext=" 13:.+((SYSTEM_STATE.+slice.+state.+changed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117-25 --locoid 4031 --swversion DE.1.0.8.0 --startMP 204:435 --initTime 2016-12-25T05:39:08 --startdatetime 2016-12-25T05:45:51 --delay 1 --endMP 204:233301 --enddatetime 2016-12-25T06:21:21 --enforcementcount 0 &gt;&gt;C:\Users\stu\Documents\GitHub\eaglep3-reporting\EC\2016-12-25-refined-times.txt</v>
      </c>
      <c r="AI2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{"issue":{"subject":"","project_id":79,"tracker_id":40,"status_id":1,"priority_id":2,"assigned_to_id":23,"start_date":"2016-12-25","description":"","custom_fields":[{"id":1,"name":"Subdivision","value":"EC"},{"id":4,"name":"Milepost","value":"23.3301"},{"id":17,"name":"Train ID","value":"117-25"},{"id":16,"name":"Locomotive ID","value":"4031"},{"id":130,"name":"Impact","value":""},{"id":150,"name":"Time of Event (Mountain Time)","value":"06:21:21"},{"id":151,"name":"Denver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443</v>
      </c>
      <c r="B30" s="7">
        <v>4032</v>
      </c>
      <c r="C30" s="22" t="s">
        <v>205</v>
      </c>
      <c r="D30" s="22" t="s">
        <v>313</v>
      </c>
      <c r="E30" s="13">
        <v>42729.276296296295</v>
      </c>
      <c r="F30" s="13">
        <v>42729.278796296298</v>
      </c>
      <c r="G30" s="7">
        <v>1</v>
      </c>
      <c r="H30" s="22" t="s">
        <v>417</v>
      </c>
      <c r="I30" s="13">
        <v>42729.306956018518</v>
      </c>
      <c r="J30" s="7">
        <v>0</v>
      </c>
      <c r="K30" s="109" t="str">
        <f t="shared" si="0"/>
        <v>4031/4032</v>
      </c>
      <c r="L30" s="22" t="str">
        <f>VLOOKUP(A30,'Trips&amp;Operators'!$C$1:$G$99999,5,FALSE)</f>
        <v>HAITHCOX MICHAEL</v>
      </c>
      <c r="M30" s="6">
        <f t="shared" si="1"/>
        <v>2.8159722220152617E-2</v>
      </c>
      <c r="N30" s="7">
        <f t="shared" si="2"/>
        <v>40.549999997019768</v>
      </c>
      <c r="O30" s="7"/>
      <c r="P30" s="7"/>
      <c r="Q30" s="23"/>
      <c r="R30" s="23"/>
      <c r="S30" s="35">
        <f t="shared" si="3"/>
        <v>1</v>
      </c>
      <c r="T30" s="50" t="str">
        <f t="shared" si="4"/>
        <v>Southbound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05:37:52-700',mode:absolute,to:'2016-12-25 08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23.298400000000001</v>
      </c>
      <c r="Z30" s="67">
        <f t="shared" si="9"/>
        <v>1.5599999999999999E-2</v>
      </c>
      <c r="AA30" s="67">
        <f t="shared" si="10"/>
        <v>23.282800000000002</v>
      </c>
      <c r="AB30" s="64" t="str">
        <f>VLOOKUP(A30,Enforcements!$C$7:$K$19,8,0)</f>
        <v>Speed (6)</v>
      </c>
      <c r="AC30" s="60" t="str">
        <f>VLOOKUP(A30,Enforcements!$C$7:$E$19,3,0)</f>
        <v>PERMANENT SPEED RESTRICTION</v>
      </c>
      <c r="AD30" s="61" t="str">
        <f t="shared" si="11"/>
        <v>0118-25</v>
      </c>
      <c r="AE30" s="91" t="str">
        <f t="shared" si="12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30" s="88" t="str">
        <f t="shared" si="13"/>
        <v>"C:\Program Files (x86)\AstroGrep\AstroGrep.exe" /spath="%USERPROFILE%\AppData\Local\Temp\OnboardLogs" /stypes="app*4032*20161225*" /stext=" 14:.+((SYSTEM_STATE.+slice.+state.+changed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118-25 --locoid 4032 --swversion DE.1.0.8.0 --startMP 204:232984 --initTime 2016-12-25T06:37:52 --startdatetime 2016-12-25T06:41:28 --delay 1 --endMP 204:156 --enddatetime 2016-12-25T07:22:01 --enforcementcount 0 &gt;&gt;C:\Users\stu\Documents\GitHub\eaglep3-reporting\EC\2016-12-25-refined-times.txt</v>
      </c>
      <c r="AI3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{"issue":{"subject":"","project_id":79,"tracker_id":40,"status_id":1,"priority_id":2,"assigned_to_id":23,"start_date":"2016-12-25","description":"","custom_fields":[{"id":1,"name":"Subdivision","value":"EC"},{"id":4,"name":"Milepost","value":"0.0156"},{"id":17,"name":"Train ID","value":"118-25"},{"id":16,"name":"Locomotive ID","value":"4032"},{"id":130,"name":"Impact","value":""},{"id":150,"name":"Time of Event (Mountain Time)","value":"07:22:01"},{"id":151,"name":"Denver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492</v>
      </c>
      <c r="B31" s="7">
        <v>4014</v>
      </c>
      <c r="C31" s="22" t="s">
        <v>205</v>
      </c>
      <c r="D31" s="22" t="s">
        <v>676</v>
      </c>
      <c r="E31" s="13">
        <v>42729.245682870373</v>
      </c>
      <c r="F31" s="13">
        <v>42729.250428240739</v>
      </c>
      <c r="G31" s="7">
        <v>1</v>
      </c>
      <c r="H31" s="22" t="s">
        <v>317</v>
      </c>
      <c r="I31" s="13">
        <v>42729.274606481478</v>
      </c>
      <c r="J31" s="7">
        <v>0</v>
      </c>
      <c r="K31" s="109" t="str">
        <f t="shared" si="0"/>
        <v>4013/4014</v>
      </c>
      <c r="L31" s="22" t="str">
        <f>VLOOKUP(A31,'Trips&amp;Operators'!$C$1:$G$99999,5,FALSE)</f>
        <v>ISHMAEL JOSEPH</v>
      </c>
      <c r="M31" s="6">
        <f t="shared" si="1"/>
        <v>2.417824073927477E-2</v>
      </c>
      <c r="N31" s="7">
        <f t="shared" si="2"/>
        <v>34.816666664555669</v>
      </c>
      <c r="O31" s="7"/>
      <c r="P31" s="7"/>
      <c r="Q31" s="23"/>
      <c r="R31" s="23"/>
      <c r="S31" s="35">
        <f t="shared" si="3"/>
        <v>1</v>
      </c>
      <c r="T31" s="50" t="str">
        <f t="shared" si="4"/>
        <v>NorthBound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04:53:47-700',mode:absolute,to:'2016-12-25 07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7.6799999999999993E-2</v>
      </c>
      <c r="Z31" s="67">
        <f t="shared" si="9"/>
        <v>23.329699999999999</v>
      </c>
      <c r="AA31" s="67">
        <f t="shared" si="10"/>
        <v>23.2529</v>
      </c>
      <c r="AB31" s="64" t="e">
        <f>VLOOKUP(A31,Enforcements!$C$7:$K$19,8,0)</f>
        <v>#N/A</v>
      </c>
      <c r="AC31" s="60" t="e">
        <f>VLOOKUP(A31,Enforcements!$C$7:$E$19,3,0)</f>
        <v>#N/A</v>
      </c>
      <c r="AD31" s="61" t="str">
        <f t="shared" si="11"/>
        <v>0119-25</v>
      </c>
      <c r="AE31" s="91" t="str">
        <f t="shared" si="12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31" s="88" t="str">
        <f t="shared" si="13"/>
        <v>"C:\Program Files (x86)\AstroGrep\AstroGrep.exe" /spath="%USERPROFILE%\AppData\Local\Temp\OnboardLogs" /stypes="app*4014*20161225*" /stext=" 13:.+((SYSTEM_STATE.+slice.+state.+changed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119-25 --locoid 4014 --swversion DE.1.0.8.0 --startMP 204:768 --initTime 2016-12-25T05:53:47 --startdatetime 2016-12-25T06:00:37 --delay 1 --endMP 204:233297 --enddatetime 2016-12-25T06:35:26 --enforcementcount 0 &gt;&gt;C:\Users\stu\Documents\GitHub\eaglep3-reporting\EC\2016-12-25-refined-times.txt</v>
      </c>
      <c r="AI3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ID","value":"119-25"},{"id":16,"name":"Locomotive ID","value":"4014"},{"id":130,"name":"Impact","value":""},{"id":150,"name":"Time of Event (Mountain Time)","value":"06:35:26"},{"id":151,"name":"Denver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444</v>
      </c>
      <c r="B32" s="7">
        <v>4013</v>
      </c>
      <c r="C32" s="22" t="s">
        <v>205</v>
      </c>
      <c r="D32" s="22" t="s">
        <v>356</v>
      </c>
      <c r="E32" s="13">
        <v>42729.282395833332</v>
      </c>
      <c r="F32" s="13">
        <v>42729.283495370371</v>
      </c>
      <c r="G32" s="7">
        <v>1</v>
      </c>
      <c r="H32" s="22" t="s">
        <v>677</v>
      </c>
      <c r="I32" s="13">
        <v>42729.30568287037</v>
      </c>
      <c r="J32" s="7">
        <v>1</v>
      </c>
      <c r="K32" s="109" t="str">
        <f t="shared" si="0"/>
        <v>4013/4014</v>
      </c>
      <c r="L32" s="22" t="str">
        <f>VLOOKUP(A32,'Trips&amp;Operators'!$C$1:$G$99999,5,FALSE)</f>
        <v>ISHMAEL JOSEPH</v>
      </c>
      <c r="M32" s="6">
        <f t="shared" si="1"/>
        <v>2.2187499998835847E-2</v>
      </c>
      <c r="N32" s="7"/>
      <c r="O32" s="7"/>
      <c r="P32" s="7">
        <f>24*60*SUM($M32:$M33)</f>
        <v>42.100000003119931</v>
      </c>
      <c r="Q32" s="23"/>
      <c r="R32" s="23" t="s">
        <v>780</v>
      </c>
      <c r="S32" s="35">
        <f>SUM(U32:U33)/IF(AG32="EC",12,1)</f>
        <v>0.5</v>
      </c>
      <c r="T32" s="50" t="str">
        <f t="shared" si="4"/>
        <v>Southbound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3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05:46:39-700',mode:absolute,to:'2016-12-25 08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2" s="52" t="str">
        <f t="shared" si="6"/>
        <v>Y</v>
      </c>
      <c r="X32" s="177">
        <f t="shared" si="7"/>
        <v>1</v>
      </c>
      <c r="Y32" s="67">
        <f t="shared" si="8"/>
        <v>23.2987</v>
      </c>
      <c r="Z32" s="67">
        <f t="shared" si="9"/>
        <v>6.7241</v>
      </c>
      <c r="AA32" s="67">
        <f t="shared" si="10"/>
        <v>16.5746</v>
      </c>
      <c r="AB32" s="64" t="str">
        <f>VLOOKUP(A32,Enforcements!$C$7:$K$19,8,0)</f>
        <v>Bulletin (2)</v>
      </c>
      <c r="AC32" s="60" t="str">
        <f>VLOOKUP(A32,Enforcements!$C$7:$E$19,3,0)</f>
        <v>TEMPORARY SPEED RESTRICTION</v>
      </c>
      <c r="AD32" s="61" t="str">
        <f t="shared" si="11"/>
        <v>0120-25</v>
      </c>
      <c r="AE32" s="91" t="str">
        <f t="shared" si="12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32" s="88" t="str">
        <f t="shared" si="13"/>
        <v>"C:\Program Files (x86)\AstroGrep\AstroGrep.exe" /spath="%USERPROFILE%\AppData\Local\Temp\OnboardLogs" /stypes="app*4013*20161225*" /stext=" 14:.+((SYSTEM_STATE.+slice.+state.+changed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120-25 --locoid 4013 --swversion DE.1.0.8.0 --startMP 204:232987 --initTime 2016-12-25T06:46:39 --startdatetime 2016-12-25T06:48:14 --delay 1 --endMP 204:67241 --enddatetime 2016-12-25T07:20:11 --enforcementcount 1 &gt;&gt;C:\Users\stu\Documents\GitHub\eaglep3-reporting\EC\2016-12-25-refined-times.txt</v>
      </c>
      <c r="AI32" s="119" t="str">
        <f t="shared" si="18"/>
        <v>echo {"issue":{"subject":"Mechanical issue (needed to emergency to recover brakes)","project_id":79,"tracker_id":40,"status_id":1,"priority_id":2,"assigned_to_id":23,"start_date":"2016-12-25","description":"","custom_fields":[{"id":1,"name":"Subdivision","value":"EC"},{"id":4,"name":"Milepost","value":"6.7241"},{"id":17,"name":"Train ID","value":"120-25"},{"id":16,"name":"Locomotive ID","value":"4013"},{"id":130,"name":"Impact","value":""},{"id":150,"name":"Time of Event (Mountain Time)","value":"07:20:11"},{"id":151,"name":"Denver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444</v>
      </c>
      <c r="B33" s="7">
        <v>4013</v>
      </c>
      <c r="C33" s="22" t="s">
        <v>205</v>
      </c>
      <c r="D33" s="22" t="s">
        <v>678</v>
      </c>
      <c r="E33" s="13">
        <v>42729.310173611113</v>
      </c>
      <c r="F33" s="13">
        <v>42729.310659722221</v>
      </c>
      <c r="G33" s="7">
        <v>0</v>
      </c>
      <c r="H33" s="22" t="s">
        <v>261</v>
      </c>
      <c r="I33" s="13">
        <v>42729.317708333336</v>
      </c>
      <c r="J33" s="7">
        <v>0</v>
      </c>
      <c r="K33" s="109" t="str">
        <f t="shared" si="0"/>
        <v>4013/4014</v>
      </c>
      <c r="L33" s="22" t="str">
        <f>VLOOKUP(A33,'Trips&amp;Operators'!$C$1:$G$99999,5,FALSE)</f>
        <v>ISHMAEL JOSEPH</v>
      </c>
      <c r="M33" s="6">
        <f t="shared" si="1"/>
        <v>7.0486111144418828E-3</v>
      </c>
      <c r="N33" s="7"/>
      <c r="O33" s="7"/>
      <c r="P33" s="7"/>
      <c r="Q33" s="23"/>
      <c r="R33" s="23"/>
      <c r="S33" s="35"/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3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06:26:39-700',mode:absolute,to:'2016-12-25 08:37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3" s="52" t="str">
        <f t="shared" si="6"/>
        <v>Y</v>
      </c>
      <c r="X33" s="177">
        <f t="shared" si="7"/>
        <v>0</v>
      </c>
      <c r="Y33" s="67">
        <f t="shared" si="8"/>
        <v>3.6785000000000001</v>
      </c>
      <c r="Z33" s="67">
        <f t="shared" si="9"/>
        <v>1.47E-2</v>
      </c>
      <c r="AA33" s="67">
        <f t="shared" si="10"/>
        <v>3.6638000000000002</v>
      </c>
      <c r="AB33" s="64" t="str">
        <f>VLOOKUP(A33,Enforcements!$C$7:$K$19,8,0)</f>
        <v>Bulletin (2)</v>
      </c>
      <c r="AC33" s="60" t="str">
        <f>VLOOKUP(A33,Enforcements!$C$7:$E$19,3,0)</f>
        <v>TEMPORARY SPEED RESTRICTION</v>
      </c>
      <c r="AD33" s="61" t="str">
        <f t="shared" si="11"/>
        <v>0120-25</v>
      </c>
      <c r="AE33" s="91" t="str">
        <f t="shared" si="12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33" s="88" t="str">
        <f t="shared" si="13"/>
        <v>"C:\Program Files (x86)\AstroGrep\AstroGrep.exe" /spath="%USERPROFILE%\AppData\Local\Temp\OnboardLogs" /stypes="app*4013*20161225*"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120-25 --locoid 4013 --swversion DE.1.0.8.0 --startMP 204:36785 --initTime 2016-12-25T07:26:39 --startdatetime 2016-12-25T07:27:21 --delay 0 --endMP 204:147 --enddatetime 2016-12-25T07:37:30 --enforcementcount 0 &gt;&gt;C:\Users\stu\Documents\GitHub\eaglep3-reporting\EC\2016-12-25-refined-times.txt</v>
      </c>
      <c r="AI3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ID","value":"120-25"},{"id":16,"name":"Locomotive ID","value":"4013"},{"id":130,"name":"Impact","value":""},{"id":150,"name":"Time of Event (Mountain Time)","value":"07:37:30"},{"id":151,"name":"Denver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495</v>
      </c>
      <c r="B34" s="7">
        <v>4018</v>
      </c>
      <c r="C34" s="22" t="s">
        <v>205</v>
      </c>
      <c r="D34" s="22" t="s">
        <v>679</v>
      </c>
      <c r="E34" s="13">
        <v>42729.256932870368</v>
      </c>
      <c r="F34" s="13">
        <v>42729.260578703703</v>
      </c>
      <c r="G34" s="7">
        <v>0</v>
      </c>
      <c r="H34" s="22" t="s">
        <v>315</v>
      </c>
      <c r="I34" s="13">
        <v>42729.285057870373</v>
      </c>
      <c r="J34" s="7">
        <v>0</v>
      </c>
      <c r="K34" s="109" t="str">
        <f t="shared" si="0"/>
        <v>4017/4018</v>
      </c>
      <c r="L34" s="22" t="str">
        <f>VLOOKUP(A34,'Trips&amp;Operators'!$C$1:$G$99999,5,FALSE)</f>
        <v>DAVIS WENDY</v>
      </c>
      <c r="M34" s="6">
        <f t="shared" si="1"/>
        <v>2.4479166670062114E-2</v>
      </c>
      <c r="N34" s="7">
        <f t="shared" si="2"/>
        <v>35.250000004889444</v>
      </c>
      <c r="O34" s="7"/>
      <c r="P34" s="7"/>
      <c r="Q34" s="23"/>
      <c r="R34" s="23"/>
      <c r="S34" s="35">
        <f t="shared" si="3"/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05:09:59-700',mode:absolute,to:'2016-12-25 07:50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4.4400000000000002E-2</v>
      </c>
      <c r="Z34" s="67">
        <f t="shared" si="9"/>
        <v>23.330100000000002</v>
      </c>
      <c r="AA34" s="67">
        <f t="shared" si="10"/>
        <v>23.285700000000002</v>
      </c>
      <c r="AB34" s="64" t="e">
        <f>VLOOKUP(A34,Enforcements!$C$7:$K$19,8,0)</f>
        <v>#N/A</v>
      </c>
      <c r="AC34" s="60" t="e">
        <f>VLOOKUP(A34,Enforcements!$C$7:$E$19,3,0)</f>
        <v>#N/A</v>
      </c>
      <c r="AD34" s="61" t="str">
        <f t="shared" si="11"/>
        <v>0121-25</v>
      </c>
      <c r="AE34" s="91" t="str">
        <f t="shared" si="12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34" s="88" t="str">
        <f t="shared" si="13"/>
        <v>"C:\Program Files (x86)\AstroGrep\AstroGrep.exe" /spath="%USERPROFILE%\AppData\Local\Temp\OnboardLogs" /stypes="app*4018*20161225*"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121-25 --locoid 4018 --swversion DE.1.0.8.0 --startMP 204:444 --initTime 2016-12-25T06:09:59 --startdatetime 2016-12-25T06:15:14 --delay 0 --endMP 204:233301 --enddatetime 2016-12-25T06:50:29 --enforcementcount 0 &gt;&gt;C:\Users\stu\Documents\GitHub\eaglep3-reporting\EC\2016-12-25-refined-times.txt</v>
      </c>
      <c r="AI3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{"issue":{"subject":"","project_id":79,"tracker_id":40,"status_id":1,"priority_id":2,"assigned_to_id":23,"start_date":"2016-12-25","description":"","custom_fields":[{"id":1,"name":"Subdivision","value":"EC"},{"id":4,"name":"Milepost","value":"23.3301"},{"id":17,"name":"Train ID","value":"121-25"},{"id":16,"name":"Locomotive ID","value":"4018"},{"id":130,"name":"Impact","value":""},{"id":150,"name":"Time of Event (Mountain Time)","value":"06:50:29"},{"id":151,"name":"Denver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502</v>
      </c>
      <c r="B35" s="7">
        <v>4017</v>
      </c>
      <c r="C35" s="22" t="s">
        <v>205</v>
      </c>
      <c r="D35" s="22" t="s">
        <v>290</v>
      </c>
      <c r="E35" s="13">
        <v>42729.296747685185</v>
      </c>
      <c r="F35" s="13">
        <v>42729.299456018518</v>
      </c>
      <c r="G35" s="7">
        <v>1</v>
      </c>
      <c r="H35" s="22" t="s">
        <v>262</v>
      </c>
      <c r="I35" s="13">
        <v>42729.326840277776</v>
      </c>
      <c r="J35" s="7">
        <v>0</v>
      </c>
      <c r="K35" s="109" t="str">
        <f t="shared" si="0"/>
        <v>4017/4018</v>
      </c>
      <c r="L35" s="22" t="str">
        <f>VLOOKUP(A35,'Trips&amp;Operators'!$C$1:$G$99999,5,FALSE)</f>
        <v>DAVIS WENDY</v>
      </c>
      <c r="M35" s="6">
        <f t="shared" si="1"/>
        <v>2.7384259257814847E-2</v>
      </c>
      <c r="N35" s="7">
        <f t="shared" si="2"/>
        <v>39.43333333125338</v>
      </c>
      <c r="O35" s="7"/>
      <c r="P35" s="7"/>
      <c r="Q35" s="23"/>
      <c r="R35" s="23"/>
      <c r="S35" s="35">
        <f t="shared" si="3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06:07:19-700',mode:absolute,to:'2016-12-25 08:50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23.297799999999999</v>
      </c>
      <c r="Z35" s="67">
        <f t="shared" si="9"/>
        <v>1.3899999999999999E-2</v>
      </c>
      <c r="AA35" s="67">
        <f t="shared" si="10"/>
        <v>23.283899999999999</v>
      </c>
      <c r="AB35" s="64" t="e">
        <f>VLOOKUP(A35,Enforcements!$C$7:$K$19,8,0)</f>
        <v>#N/A</v>
      </c>
      <c r="AC35" s="60" t="e">
        <f>VLOOKUP(A35,Enforcements!$C$7:$E$19,3,0)</f>
        <v>#N/A</v>
      </c>
      <c r="AD35" s="61" t="str">
        <f t="shared" si="11"/>
        <v>0122-25</v>
      </c>
      <c r="AE35" s="91" t="str">
        <f t="shared" si="12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35" s="88" t="str">
        <f t="shared" si="13"/>
        <v>"C:\Program Files (x86)\AstroGrep\AstroGrep.exe" /spath="%USERPROFILE%\AppData\Local\Temp\OnboardLogs" /stypes="app*4017*20161225*"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122-25 --locoid 4017 --swversion DE.1.0.8.0 --startMP 204:232978 --initTime 2016-12-25T07:07:19 --startdatetime 2016-12-25T07:11:13 --delay 1 --endMP 204:139 --enddatetime 2016-12-25T07:50:39 --enforcementcount 0 &gt;&gt;C:\Users\stu\Documents\GitHub\eaglep3-reporting\EC\2016-12-25-refined-times.txt</v>
      </c>
      <c r="AI3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{"issue":{"subject":"","project_id":79,"tracker_id":40,"status_id":1,"priority_id":2,"assigned_to_id":23,"start_date":"2016-12-25","description":"","custom_fields":[{"id":1,"name":"Subdivision","value":"EC"},{"id":4,"name":"Milepost","value":"0.0139"},{"id":17,"name":"Train ID","value":"122-25"},{"id":16,"name":"Locomotive ID","value":"4017"},{"id":130,"name":"Impact","value":""},{"id":150,"name":"Time of Event (Mountain Time)","value":"07:50:39"},{"id":151,"name":"Denver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497</v>
      </c>
      <c r="B36" s="7">
        <v>4027</v>
      </c>
      <c r="C36" s="22" t="s">
        <v>205</v>
      </c>
      <c r="D36" s="22" t="s">
        <v>256</v>
      </c>
      <c r="E36" s="13">
        <v>42729.267395833333</v>
      </c>
      <c r="F36" s="13">
        <v>42729.270995370367</v>
      </c>
      <c r="G36" s="7">
        <v>1</v>
      </c>
      <c r="H36" s="22" t="s">
        <v>317</v>
      </c>
      <c r="I36" s="13">
        <v>42729.296006944445</v>
      </c>
      <c r="J36" s="7">
        <v>0</v>
      </c>
      <c r="K36" s="109" t="str">
        <f t="shared" si="0"/>
        <v>4027/4028</v>
      </c>
      <c r="L36" s="22" t="str">
        <f>VLOOKUP(A36,'Trips&amp;Operators'!$C$1:$G$99999,5,FALSE)</f>
        <v>ROBINSON KADDIBA</v>
      </c>
      <c r="M36" s="6">
        <f t="shared" si="1"/>
        <v>2.5011574078234844E-2</v>
      </c>
      <c r="N36" s="7">
        <f t="shared" si="2"/>
        <v>36.016666672658175</v>
      </c>
      <c r="O36" s="7"/>
      <c r="P36" s="7"/>
      <c r="Q36" s="23"/>
      <c r="R36" s="23"/>
      <c r="S36" s="35">
        <f t="shared" si="3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05:25:03-700',mode:absolute,to:'2016-12-25 08:06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4.6399999999999997E-2</v>
      </c>
      <c r="Z36" s="67">
        <f t="shared" si="9"/>
        <v>23.329699999999999</v>
      </c>
      <c r="AA36" s="67">
        <f t="shared" si="10"/>
        <v>23.283300000000001</v>
      </c>
      <c r="AB36" s="64" t="e">
        <f>VLOOKUP(A36,Enforcements!$C$7:$K$19,8,0)</f>
        <v>#N/A</v>
      </c>
      <c r="AC36" s="60" t="e">
        <f>VLOOKUP(A36,Enforcements!$C$7:$E$19,3,0)</f>
        <v>#N/A</v>
      </c>
      <c r="AD36" s="61" t="str">
        <f t="shared" si="11"/>
        <v>0123-25</v>
      </c>
      <c r="AE36" s="91" t="str">
        <f t="shared" si="12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36" s="88" t="str">
        <f t="shared" si="13"/>
        <v>"C:\Program Files (x86)\AstroGrep\AstroGrep.exe" /spath="%USERPROFILE%\AppData\Local\Temp\OnboardLogs" /stypes="app*4027*20161225*"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123-25 --locoid 4027 --swversion DE.1.0.8.0 --startMP 204:464 --initTime 2016-12-25T06:25:03 --startdatetime 2016-12-25T06:30:14 --delay 1 --endMP 204:233297 --enddatetime 2016-12-25T07:06:15 --enforcementcount 0 &gt;&gt;C:\Users\stu\Documents\GitHub\eaglep3-reporting\EC\2016-12-25-refined-times.txt</v>
      </c>
      <c r="AI3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ID","value":"123-25"},{"id":16,"name":"Locomotive ID","value":"4027"},{"id":130,"name":"Impact","value":""},{"id":150,"name":"Time of Event (Mountain Time)","value":"07:06:15"},{"id":151,"name":"Denver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504</v>
      </c>
      <c r="B37" s="7">
        <v>4028</v>
      </c>
      <c r="C37" s="22" t="s">
        <v>205</v>
      </c>
      <c r="D37" s="22" t="s">
        <v>356</v>
      </c>
      <c r="E37" s="13">
        <v>42729.306562500002</v>
      </c>
      <c r="F37" s="13">
        <v>42729.309884259259</v>
      </c>
      <c r="G37" s="7">
        <v>1</v>
      </c>
      <c r="H37" s="22" t="s">
        <v>224</v>
      </c>
      <c r="I37" s="13">
        <v>42729.337731481479</v>
      </c>
      <c r="J37" s="7">
        <v>0</v>
      </c>
      <c r="K37" s="109" t="str">
        <f t="shared" si="0"/>
        <v>4027/4028</v>
      </c>
      <c r="L37" s="22" t="str">
        <f>VLOOKUP(A37,'Trips&amp;Operators'!$C$1:$G$99999,5,FALSE)</f>
        <v>ROBINSON KADDIBA</v>
      </c>
      <c r="M37" s="6">
        <f t="shared" si="1"/>
        <v>2.7847222219861578E-2</v>
      </c>
      <c r="N37" s="7">
        <f t="shared" si="2"/>
        <v>40.099999996600673</v>
      </c>
      <c r="O37" s="7"/>
      <c r="P37" s="7"/>
      <c r="Q37" s="23"/>
      <c r="R37" s="23"/>
      <c r="S37" s="35">
        <f t="shared" si="3"/>
        <v>1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06:21:27-700',mode:absolute,to:'2016-12-25 09:06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23.2987</v>
      </c>
      <c r="Z37" s="67">
        <f t="shared" si="9"/>
        <v>1.54E-2</v>
      </c>
      <c r="AA37" s="67">
        <f t="shared" si="10"/>
        <v>23.283300000000001</v>
      </c>
      <c r="AB37" s="64" t="e">
        <f>VLOOKUP(A37,Enforcements!$C$7:$K$19,8,0)</f>
        <v>#N/A</v>
      </c>
      <c r="AC37" s="60" t="e">
        <f>VLOOKUP(A37,Enforcements!$C$7:$E$19,3,0)</f>
        <v>#N/A</v>
      </c>
      <c r="AD37" s="61" t="str">
        <f t="shared" si="11"/>
        <v>0124-25</v>
      </c>
      <c r="AE37" s="91" t="str">
        <f t="shared" si="12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37" s="88" t="str">
        <f t="shared" si="13"/>
        <v>"C:\Program Files (x86)\AstroGrep\AstroGrep.exe" /spath="%USERPROFILE%\AppData\Local\Temp\OnboardLogs" /stypes="app*4028*20161225*"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124-25 --locoid 4028 --swversion DE.1.0.8.0 --startMP 204:232987 --initTime 2016-12-25T07:21:27 --startdatetime 2016-12-25T07:26:14 --delay 1 --endMP 204:154 --enddatetime 2016-12-25T08:06:20 --enforcementcount 0 &gt;&gt;C:\Users\stu\Documents\GitHub\eaglep3-reporting\EC\2016-12-25-refined-times.txt</v>
      </c>
      <c r="AI3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ID","value":"124-25"},{"id":16,"name":"Locomotive ID","value":"4028"},{"id":130,"name":"Impact","value":""},{"id":150,"name":"Time of Event (Mountain Time)","value":"08:06:20"},{"id":151,"name":"Denver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499</v>
      </c>
      <c r="B38" s="7">
        <v>4009</v>
      </c>
      <c r="C38" s="22" t="s">
        <v>205</v>
      </c>
      <c r="D38" s="22" t="s">
        <v>256</v>
      </c>
      <c r="E38" s="13">
        <v>42729.277233796296</v>
      </c>
      <c r="F38" s="13">
        <v>42729.281458333331</v>
      </c>
      <c r="G38" s="7">
        <v>1</v>
      </c>
      <c r="H38" s="22" t="s">
        <v>317</v>
      </c>
      <c r="I38" s="13">
        <v>42729.305567129632</v>
      </c>
      <c r="J38" s="7">
        <v>0</v>
      </c>
      <c r="K38" s="109" t="str">
        <f t="shared" si="0"/>
        <v>4009/4010</v>
      </c>
      <c r="L38" s="22" t="str">
        <f>VLOOKUP(A38,'Trips&amp;Operators'!$C$1:$G$99999,5,FALSE)</f>
        <v>GEBRETEKLE DAGNEW</v>
      </c>
      <c r="M38" s="6">
        <f t="shared" si="1"/>
        <v>2.4108796300424729E-2</v>
      </c>
      <c r="N38" s="7">
        <f t="shared" si="2"/>
        <v>34.716666672611609</v>
      </c>
      <c r="O38" s="7"/>
      <c r="P38" s="7"/>
      <c r="Q38" s="23"/>
      <c r="R38" s="23"/>
      <c r="S38" s="35">
        <f t="shared" si="3"/>
        <v>1</v>
      </c>
      <c r="T38" s="50" t="str">
        <f t="shared" si="4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05:39:13-700',mode:absolute,to:'2016-12-25 08:20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4.6399999999999997E-2</v>
      </c>
      <c r="Z38" s="67">
        <f t="shared" si="9"/>
        <v>23.329699999999999</v>
      </c>
      <c r="AA38" s="67">
        <f t="shared" si="10"/>
        <v>23.283300000000001</v>
      </c>
      <c r="AB38" s="64" t="e">
        <f>VLOOKUP(A38,Enforcements!$C$7:$K$19,8,0)</f>
        <v>#N/A</v>
      </c>
      <c r="AC38" s="60" t="e">
        <f>VLOOKUP(A38,Enforcements!$C$7:$E$19,3,0)</f>
        <v>#N/A</v>
      </c>
      <c r="AD38" s="61" t="str">
        <f t="shared" si="11"/>
        <v>0125-25</v>
      </c>
      <c r="AE38" s="91" t="str">
        <f t="shared" si="12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38" s="88" t="str">
        <f t="shared" si="13"/>
        <v>"C:\Program Files (x86)\AstroGrep\AstroGrep.exe" /spath="%USERPROFILE%\AppData\Local\Temp\OnboardLogs" /stypes="app*4009*20161225*"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125-25 --locoid 4009 --swversion DE.1.0.8.0 --startMP 204:464 --initTime 2016-12-25T06:39:13 --startdatetime 2016-12-25T06:45:18 --delay 1 --endMP 204:233297 --enddatetime 2016-12-25T07:20:01 --enforcementcount 0 &gt;&gt;C:\Users\stu\Documents\GitHub\eaglep3-reporting\EC\2016-12-25-refined-times.txt</v>
      </c>
      <c r="AI3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ID","value":"125-25"},{"id":16,"name":"Locomotive ID","value":"4009"},{"id":130,"name":"Impact","value":""},{"id":150,"name":"Time of Event (Mountain Time)","value":"07:20:01"},{"id":151,"name":"Denver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507</v>
      </c>
      <c r="B39" s="7">
        <v>4010</v>
      </c>
      <c r="C39" s="22" t="s">
        <v>205</v>
      </c>
      <c r="D39" s="22" t="s">
        <v>412</v>
      </c>
      <c r="E39" s="13">
        <v>42729.316423611112</v>
      </c>
      <c r="F39" s="13">
        <v>42729.320324074077</v>
      </c>
      <c r="G39" s="7">
        <v>1</v>
      </c>
      <c r="H39" s="22" t="s">
        <v>267</v>
      </c>
      <c r="I39" s="13">
        <v>42729.346851851849</v>
      </c>
      <c r="J39" s="7">
        <v>0</v>
      </c>
      <c r="K39" s="109" t="str">
        <f t="shared" si="0"/>
        <v>4009/4010</v>
      </c>
      <c r="L39" s="22" t="str">
        <f>VLOOKUP(A39,'Trips&amp;Operators'!$C$1:$G$99999,5,FALSE)</f>
        <v>GEBRETEKLE DAGNEW</v>
      </c>
      <c r="M39" s="6">
        <f t="shared" si="1"/>
        <v>2.6527777772571426E-2</v>
      </c>
      <c r="N39" s="7">
        <f t="shared" si="2"/>
        <v>38.199999992502853</v>
      </c>
      <c r="O39" s="7"/>
      <c r="P39" s="7"/>
      <c r="Q39" s="23"/>
      <c r="R39" s="23"/>
      <c r="S39" s="35">
        <f t="shared" si="3"/>
        <v>1</v>
      </c>
      <c r="T39" s="50" t="str">
        <f t="shared" si="4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06:35:39-700',mode:absolute,to:'2016-12-25 09:19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23.2971</v>
      </c>
      <c r="Z39" s="67">
        <f t="shared" si="9"/>
        <v>1.61E-2</v>
      </c>
      <c r="AA39" s="67">
        <f t="shared" si="10"/>
        <v>23.280999999999999</v>
      </c>
      <c r="AB39" s="64" t="e">
        <f>VLOOKUP(A39,Enforcements!$C$7:$K$19,8,0)</f>
        <v>#N/A</v>
      </c>
      <c r="AC39" s="60" t="e">
        <f>VLOOKUP(A39,Enforcements!$C$7:$E$19,3,0)</f>
        <v>#N/A</v>
      </c>
      <c r="AD39" s="61" t="str">
        <f t="shared" si="11"/>
        <v>0126-25</v>
      </c>
      <c r="AE39" s="91" t="str">
        <f t="shared" si="12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39" s="88" t="str">
        <f t="shared" si="13"/>
        <v>"C:\Program Files (x86)\AstroGrep\AstroGrep.exe" /spath="%USERPROFILE%\AppData\Local\Temp\OnboardLogs" /stypes="app*4010*20161225*"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126-25 --locoid 4010 --swversion DE.1.0.8.0 --startMP 204:232971 --initTime 2016-12-25T07:35:39 --startdatetime 2016-12-25T07:41:16 --delay 1 --endMP 204:161 --enddatetime 2016-12-25T08:19:28 --enforcementcount 0 &gt;&gt;C:\Users\stu\Documents\GitHub\eaglep3-reporting\EC\2016-12-25-refined-times.txt</v>
      </c>
      <c r="AI3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{"issue":{"subject":"","project_id":79,"tracker_id":40,"status_id":1,"priority_id":2,"assigned_to_id":23,"start_date":"2016-12-25","description":"","custom_fields":[{"id":1,"name":"Subdivision","value":"EC"},{"id":4,"name":"Milepost","value":"0.0161"},{"id":17,"name":"Train ID","value":"126-25"},{"id":16,"name":"Locomotive ID","value":"4010"},{"id":130,"name":"Impact","value":""},{"id":150,"name":"Time of Event (Mountain Time)","value":"08:19:28"},{"id":151,"name":"Denver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500</v>
      </c>
      <c r="B40" s="7">
        <v>4025</v>
      </c>
      <c r="C40" s="22" t="s">
        <v>205</v>
      </c>
      <c r="D40" s="22" t="s">
        <v>193</v>
      </c>
      <c r="E40" s="13">
        <v>42729.287395833337</v>
      </c>
      <c r="F40" s="13">
        <v>42729.291898148149</v>
      </c>
      <c r="G40" s="7">
        <v>1</v>
      </c>
      <c r="H40" s="22" t="s">
        <v>413</v>
      </c>
      <c r="I40" s="13">
        <v>42729.317013888889</v>
      </c>
      <c r="J40" s="7">
        <v>0</v>
      </c>
      <c r="K40" s="109" t="str">
        <f t="shared" si="0"/>
        <v>4025/4026</v>
      </c>
      <c r="L40" s="22" t="str">
        <f>VLOOKUP(A40,'Trips&amp;Operators'!$C$1:$G$99999,5,FALSE)</f>
        <v>OUN ZACK</v>
      </c>
      <c r="M40" s="6">
        <f t="shared" si="1"/>
        <v>2.5115740740147885E-2</v>
      </c>
      <c r="N40" s="7">
        <f t="shared" si="2"/>
        <v>36.166666665812954</v>
      </c>
      <c r="O40" s="7"/>
      <c r="P40" s="7"/>
      <c r="Q40" s="23"/>
      <c r="R40" s="23"/>
      <c r="S40" s="35">
        <f t="shared" si="3"/>
        <v>1</v>
      </c>
      <c r="T40" s="50" t="str">
        <f t="shared" si="4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05:53:51-700',mode:absolute,to:'2016-12-25 08:36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4.4699999999999997E-2</v>
      </c>
      <c r="Z40" s="67">
        <f t="shared" si="9"/>
        <v>23.331499999999998</v>
      </c>
      <c r="AA40" s="67">
        <f t="shared" si="10"/>
        <v>23.286799999999999</v>
      </c>
      <c r="AB40" s="64" t="e">
        <f>VLOOKUP(A40,Enforcements!$C$7:$K$19,8,0)</f>
        <v>#N/A</v>
      </c>
      <c r="AC40" s="60" t="e">
        <f>VLOOKUP(A40,Enforcements!$C$7:$E$19,3,0)</f>
        <v>#N/A</v>
      </c>
      <c r="AD40" s="61" t="str">
        <f t="shared" si="11"/>
        <v>0127-25</v>
      </c>
      <c r="AE40" s="91" t="str">
        <f t="shared" si="12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40" s="88" t="str">
        <f t="shared" si="13"/>
        <v>"C:\Program Files (x86)\AstroGrep\AstroGrep.exe" /spath="%USERPROFILE%\AppData\Local\Temp\OnboardLogs" /stypes="app*4025*20161225*"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127-25 --locoid 4025 --swversion DE.1.0.8.0 --startMP 204:447 --initTime 2016-12-25T06:53:51 --startdatetime 2016-12-25T07:00:20 --delay 1 --endMP 204:233315 --enddatetime 2016-12-25T07:36:30 --enforcementcount 0 &gt;&gt;C:\Users\stu\Documents\GitHub\eaglep3-reporting\EC\2016-12-25-refined-times.txt</v>
      </c>
      <c r="AI4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{"issue":{"subject":"","project_id":79,"tracker_id":40,"status_id":1,"priority_id":2,"assigned_to_id":23,"start_date":"2016-12-25","description":"","custom_fields":[{"id":1,"name":"Subdivision","value":"EC"},{"id":4,"name":"Milepost","value":"23.3315"},{"id":17,"name":"Train ID","value":"127-25"},{"id":16,"name":"Locomotive ID","value":"4025"},{"id":130,"name":"Impact","value":""},{"id":150,"name":"Time of Event (Mountain Time)","value":"07:36:30"},{"id":151,"name":"Denver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509</v>
      </c>
      <c r="B41" s="7">
        <v>4026</v>
      </c>
      <c r="C41" s="22" t="s">
        <v>205</v>
      </c>
      <c r="D41" s="22" t="s">
        <v>277</v>
      </c>
      <c r="E41" s="13">
        <v>42729.325057870374</v>
      </c>
      <c r="F41" s="13">
        <v>42729.33084490741</v>
      </c>
      <c r="G41" s="7">
        <v>0</v>
      </c>
      <c r="H41" s="22" t="s">
        <v>680</v>
      </c>
      <c r="I41" s="13">
        <v>42729.358229166668</v>
      </c>
      <c r="J41" s="7">
        <v>0</v>
      </c>
      <c r="K41" s="109" t="str">
        <f t="shared" si="0"/>
        <v>4025/4026</v>
      </c>
      <c r="L41" s="22" t="str">
        <f>VLOOKUP(A41,'Trips&amp;Operators'!$C$1:$G$99999,5,FALSE)</f>
        <v>OUN ZACK</v>
      </c>
      <c r="M41" s="6">
        <f t="shared" si="1"/>
        <v>2.7384259257814847E-2</v>
      </c>
      <c r="N41" s="7">
        <f t="shared" si="2"/>
        <v>39.43333333125338</v>
      </c>
      <c r="O41" s="7"/>
      <c r="P41" s="7"/>
      <c r="Q41" s="23"/>
      <c r="R41" s="23"/>
      <c r="S41" s="35">
        <f t="shared" si="3"/>
        <v>1</v>
      </c>
      <c r="T41" s="50" t="str">
        <f t="shared" si="4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06:48:05-700',mode:absolute,to:'2016-12-25 09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23.3</v>
      </c>
      <c r="Z41" s="67">
        <f t="shared" si="9"/>
        <v>1.32E-2</v>
      </c>
      <c r="AA41" s="67">
        <f t="shared" si="10"/>
        <v>23.286799999999999</v>
      </c>
      <c r="AB41" s="64" t="e">
        <f>VLOOKUP(A41,Enforcements!$C$7:$K$19,8,0)</f>
        <v>#N/A</v>
      </c>
      <c r="AC41" s="60" t="e">
        <f>VLOOKUP(A41,Enforcements!$C$7:$E$19,3,0)</f>
        <v>#N/A</v>
      </c>
      <c r="AD41" s="61" t="str">
        <f t="shared" si="11"/>
        <v>0128-25</v>
      </c>
      <c r="AE41" s="91" t="str">
        <f t="shared" si="12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41" s="88" t="str">
        <f t="shared" si="13"/>
        <v>"C:\Program Files (x86)\AstroGrep\AstroGrep.exe" /spath="%USERPROFILE%\AppData\Local\Temp\OnboardLogs" /stypes="app*4026*20161225*"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128-25 --locoid 4026 --swversion DE.1.0.8.0 --startMP 204:233000 --initTime 2016-12-25T07:48:05 --startdatetime 2016-12-25T07:56:25 --delay 0 --endMP 204:132 --enddatetime 2016-12-25T08:35:51 --enforcementcount 0 &gt;&gt;C:\Users\stu\Documents\GitHub\eaglep3-reporting\EC\2016-12-25-refined-times.txt</v>
      </c>
      <c r="AI4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{"issue":{"subject":"","project_id":79,"tracker_id":40,"status_id":1,"priority_id":2,"assigned_to_id":23,"start_date":"2016-12-25","description":"","custom_fields":[{"id":1,"name":"Subdivision","value":"EC"},{"id":4,"name":"Milepost","value":"0.0132"},{"id":17,"name":"Train ID","value":"128-25"},{"id":16,"name":"Locomotive ID","value":"4026"},{"id":130,"name":"Impact","value":""},{"id":150,"name":"Time of Event (Mountain Time)","value":"08:35:51"},{"id":151,"name":"Denver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503</v>
      </c>
      <c r="B42" s="7">
        <v>4042</v>
      </c>
      <c r="C42" s="22" t="s">
        <v>205</v>
      </c>
      <c r="D42" s="22" t="s">
        <v>285</v>
      </c>
      <c r="E42" s="13">
        <v>42729.298472222225</v>
      </c>
      <c r="F42" s="13">
        <v>42729.302314814813</v>
      </c>
      <c r="G42" s="7">
        <v>1</v>
      </c>
      <c r="H42" s="22" t="s">
        <v>681</v>
      </c>
      <c r="I42" s="13">
        <v>42729.327372685184</v>
      </c>
      <c r="J42" s="7">
        <v>0</v>
      </c>
      <c r="K42" s="109" t="str">
        <f t="shared" si="0"/>
        <v>4041/4042</v>
      </c>
      <c r="L42" s="22" t="str">
        <f>VLOOKUP(A42,'Trips&amp;Operators'!$C$1:$G$99999,5,FALSE)</f>
        <v>SHOOK JOHN</v>
      </c>
      <c r="M42" s="6">
        <f t="shared" si="1"/>
        <v>2.5057870370801538E-2</v>
      </c>
      <c r="N42" s="7">
        <f t="shared" si="2"/>
        <v>36.083333333954215</v>
      </c>
      <c r="O42" s="7"/>
      <c r="P42" s="7"/>
      <c r="Q42" s="23"/>
      <c r="R42" s="23"/>
      <c r="S42" s="35">
        <f t="shared" si="3"/>
        <v>1</v>
      </c>
      <c r="T42" s="50" t="str">
        <f t="shared" si="4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06:09:48-700',mode:absolute,to:'2016-12-25 08:51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4.4900000000000002E-2</v>
      </c>
      <c r="Z42" s="67">
        <f t="shared" si="9"/>
        <v>23.331800000000001</v>
      </c>
      <c r="AA42" s="67">
        <f t="shared" si="10"/>
        <v>23.286900000000003</v>
      </c>
      <c r="AB42" s="64" t="e">
        <f>VLOOKUP(A42,Enforcements!$C$7:$K$19,8,0)</f>
        <v>#N/A</v>
      </c>
      <c r="AC42" s="60" t="e">
        <f>VLOOKUP(A42,Enforcements!$C$7:$E$19,3,0)</f>
        <v>#N/A</v>
      </c>
      <c r="AD42" s="61" t="str">
        <f t="shared" si="11"/>
        <v>0129-25</v>
      </c>
      <c r="AE42" s="91" t="str">
        <f t="shared" si="12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42" s="88" t="str">
        <f t="shared" si="13"/>
        <v>"C:\Program Files (x86)\AstroGrep\AstroGrep.exe" /spath="%USERPROFILE%\AppData\Local\Temp\OnboardLogs" /stypes="app*4042*20161225*"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129-25 --locoid 4042 --swversion DE.1.0.8.0 --startMP 204:449 --initTime 2016-12-25T07:09:48 --startdatetime 2016-12-25T07:15:20 --delay 1 --endMP 204:233318 --enddatetime 2016-12-25T07:51:25 --enforcementcount 0 &gt;&gt;C:\Users\stu\Documents\GitHub\eaglep3-reporting\EC\2016-12-25-refined-times.txt</v>
      </c>
      <c r="AI42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{"issue":{"subject":"","project_id":79,"tracker_id":40,"status_id":1,"priority_id":2,"assigned_to_id":23,"start_date":"2016-12-25","description":"","custom_fields":[{"id":1,"name":"Subdivision","value":"EC"},{"id":4,"name":"Milepost","value":"23.3318"},{"id":17,"name":"Train ID","value":"129-25"},{"id":16,"name":"Locomotive ID","value":"4042"},{"id":130,"name":"Impact","value":""},{"id":150,"name":"Time of Event (Mountain Time)","value":"07:51:25"},{"id":151,"name":"Denver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511</v>
      </c>
      <c r="B43" s="7">
        <v>4041</v>
      </c>
      <c r="C43" s="22" t="s">
        <v>205</v>
      </c>
      <c r="D43" s="22" t="s">
        <v>353</v>
      </c>
      <c r="E43" s="13">
        <v>42729.329618055555</v>
      </c>
      <c r="F43" s="13">
        <v>42729.341168981482</v>
      </c>
      <c r="G43" s="7">
        <v>1</v>
      </c>
      <c r="H43" s="22" t="s">
        <v>211</v>
      </c>
      <c r="I43" s="13">
        <v>42729.368252314816</v>
      </c>
      <c r="J43" s="7">
        <v>0</v>
      </c>
      <c r="K43" s="109" t="str">
        <f t="shared" si="0"/>
        <v>4041/4042</v>
      </c>
      <c r="L43" s="22" t="str">
        <f>VLOOKUP(A43,'Trips&amp;Operators'!$C$1:$G$99999,5,FALSE)</f>
        <v>SHOOK JOHN</v>
      </c>
      <c r="M43" s="6">
        <f t="shared" si="1"/>
        <v>2.7083333334303461E-2</v>
      </c>
      <c r="N43" s="7">
        <f t="shared" si="2"/>
        <v>39.000000001396984</v>
      </c>
      <c r="O43" s="7"/>
      <c r="P43" s="7"/>
      <c r="Q43" s="23"/>
      <c r="R43" s="23"/>
      <c r="S43" s="35">
        <f t="shared" si="3"/>
        <v>1</v>
      </c>
      <c r="T43" s="50" t="str">
        <f t="shared" si="4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06:54:39-700',mode:absolute,to:'2016-12-25 09:50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43" s="52" t="str">
        <f t="shared" si="6"/>
        <v>N</v>
      </c>
      <c r="X43" s="177">
        <f t="shared" si="7"/>
        <v>1</v>
      </c>
      <c r="Y43" s="67">
        <f t="shared" si="8"/>
        <v>23.299800000000001</v>
      </c>
      <c r="Z43" s="67">
        <f t="shared" si="9"/>
        <v>1.4999999999999999E-2</v>
      </c>
      <c r="AA43" s="67">
        <f t="shared" si="10"/>
        <v>23.284800000000001</v>
      </c>
      <c r="AB43" s="64" t="e">
        <f>VLOOKUP(A43,Enforcements!$C$7:$K$19,8,0)</f>
        <v>#N/A</v>
      </c>
      <c r="AC43" s="60" t="e">
        <f>VLOOKUP(A43,Enforcements!$C$7:$E$19,3,0)</f>
        <v>#N/A</v>
      </c>
      <c r="AD43" s="61" t="str">
        <f t="shared" si="11"/>
        <v>0130-25</v>
      </c>
      <c r="AE43" s="91" t="str">
        <f t="shared" si="12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43" s="88" t="str">
        <f t="shared" si="13"/>
        <v>"C:\Program Files (x86)\AstroGrep\AstroGrep.exe" /spath="%USERPROFILE%\AppData\Local\Temp\OnboardLogs" /stypes="app*4041*20161225*"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130-25 --locoid 4041 --swversion DE.1.0.8.0 --startMP 204:232998 --initTime 2016-12-25T07:54:39 --startdatetime 2016-12-25T08:11:17 --delay 1 --endMP 204:150 --enddatetime 2016-12-25T08:50:17 --enforcementcount 0 &gt;&gt;C:\Users\stu\Documents\GitHub\eaglep3-reporting\EC\2016-12-25-refined-times.txt</v>
      </c>
      <c r="AI4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{"issue":{"subject":"","project_id":79,"tracker_id":40,"status_id":1,"priority_id":2,"assigned_to_id":23,"start_date":"2016-12-25","description":"","custom_fields":[{"id":1,"name":"Subdivision","value":"EC"},{"id":4,"name":"Milepost","value":"0.015"},{"id":17,"name":"Train ID","value":"130-25"},{"id":16,"name":"Locomotive ID","value":"4041"},{"id":130,"name":"Impact","value":""},{"id":150,"name":"Time of Event (Mountain Time)","value":"08:50:17"},{"id":151,"name":"Denver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505</v>
      </c>
      <c r="B44" s="7">
        <v>4031</v>
      </c>
      <c r="C44" s="22" t="s">
        <v>205</v>
      </c>
      <c r="D44" s="22" t="s">
        <v>230</v>
      </c>
      <c r="E44" s="13">
        <v>42729.30872685185</v>
      </c>
      <c r="F44" s="13">
        <v>42729.312719907408</v>
      </c>
      <c r="G44" s="7">
        <v>1</v>
      </c>
      <c r="H44" s="22" t="s">
        <v>354</v>
      </c>
      <c r="I44" s="13">
        <v>42729.337500000001</v>
      </c>
      <c r="J44" s="7">
        <v>0</v>
      </c>
      <c r="K44" s="109" t="str">
        <f t="shared" si="0"/>
        <v>4031/4032</v>
      </c>
      <c r="L44" s="22" t="str">
        <f>VLOOKUP(A44,'Trips&amp;Operators'!$C$1:$G$99999,5,FALSE)</f>
        <v>HAITHCOX MICHAEL</v>
      </c>
      <c r="M44" s="6">
        <f t="shared" si="1"/>
        <v>2.4780092593573499E-2</v>
      </c>
      <c r="N44" s="7">
        <f t="shared" si="2"/>
        <v>35.683333334745839</v>
      </c>
      <c r="O44" s="7"/>
      <c r="P44" s="7"/>
      <c r="Q44" s="23"/>
      <c r="R44" s="23"/>
      <c r="S44" s="35">
        <f t="shared" si="3"/>
        <v>1</v>
      </c>
      <c r="T44" s="50" t="str">
        <f t="shared" si="4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06:24:34-700',mode:absolute,to:'2016-12-25 09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4" s="52" t="str">
        <f t="shared" si="6"/>
        <v>N</v>
      </c>
      <c r="X44" s="177">
        <f t="shared" si="7"/>
        <v>1</v>
      </c>
      <c r="Y44" s="67">
        <f t="shared" si="8"/>
        <v>4.5999999999999999E-2</v>
      </c>
      <c r="Z44" s="67">
        <f t="shared" si="9"/>
        <v>23.330400000000001</v>
      </c>
      <c r="AA44" s="67">
        <f t="shared" si="10"/>
        <v>23.284400000000002</v>
      </c>
      <c r="AB44" s="64" t="e">
        <f>VLOOKUP(A44,Enforcements!$C$7:$K$19,8,0)</f>
        <v>#N/A</v>
      </c>
      <c r="AC44" s="60" t="e">
        <f>VLOOKUP(A44,Enforcements!$C$7:$E$19,3,0)</f>
        <v>#N/A</v>
      </c>
      <c r="AD44" s="61" t="str">
        <f t="shared" si="11"/>
        <v>0131-25</v>
      </c>
      <c r="AE44" s="91" t="str">
        <f t="shared" si="12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44" s="88" t="str">
        <f t="shared" si="13"/>
        <v>"C:\Program Files (x86)\AstroGrep\AstroGrep.exe" /spath="%USERPROFILE%\AppData\Local\Temp\OnboardLogs" /stypes="app*4031*20161225*"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131-25 --locoid 4031 --swversion DE.1.0.8.0 --startMP 204:460 --initTime 2016-12-25T07:24:34 --startdatetime 2016-12-25T07:30:19 --delay 1 --endMP 204:233304 --enddatetime 2016-12-25T08:06:00 --enforcementcount 0 &gt;&gt;C:\Users\stu\Documents\GitHub\eaglep3-reporting\EC\2016-12-25-refined-times.txt</v>
      </c>
      <c r="AI4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{"issue":{"subject":"","project_id":79,"tracker_id":40,"status_id":1,"priority_id":2,"assigned_to_id":23,"start_date":"2016-12-25","description":"","custom_fields":[{"id":1,"name":"Subdivision","value":"EC"},{"id":4,"name":"Milepost","value":"23.3304"},{"id":17,"name":"Train ID","value":"131-25"},{"id":16,"name":"Locomotive ID","value":"4031"},{"id":130,"name":"Impact","value":""},{"id":150,"name":"Time of Event (Mountain Time)","value":"08:06:00"},{"id":151,"name":"Denver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514</v>
      </c>
      <c r="B45" s="7">
        <v>4032</v>
      </c>
      <c r="C45" s="22" t="s">
        <v>205</v>
      </c>
      <c r="D45" s="22" t="s">
        <v>682</v>
      </c>
      <c r="E45" s="13">
        <v>42729.347534722219</v>
      </c>
      <c r="F45" s="13">
        <v>42729.351666666669</v>
      </c>
      <c r="G45" s="7">
        <v>1</v>
      </c>
      <c r="H45" s="22" t="s">
        <v>274</v>
      </c>
      <c r="I45" s="13">
        <v>42729.379363425927</v>
      </c>
      <c r="J45" s="7">
        <v>0</v>
      </c>
      <c r="K45" s="109" t="str">
        <f t="shared" si="0"/>
        <v>4031/4032</v>
      </c>
      <c r="L45" s="22" t="str">
        <f>VLOOKUP(A45,'Trips&amp;Operators'!$C$1:$G$99999,5,FALSE)</f>
        <v>HAITHCOX MICHAEL</v>
      </c>
      <c r="M45" s="6">
        <f t="shared" si="1"/>
        <v>2.7696759258105885E-2</v>
      </c>
      <c r="N45" s="7">
        <f t="shared" si="2"/>
        <v>39.883333331672475</v>
      </c>
      <c r="O45" s="7"/>
      <c r="P45" s="7"/>
      <c r="Q45" s="23"/>
      <c r="R45" s="23"/>
      <c r="S45" s="35">
        <f t="shared" si="3"/>
        <v>1</v>
      </c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07:20:27-700',mode:absolute,to:'2016-12-25 10:06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5" s="52" t="str">
        <f t="shared" si="6"/>
        <v>N</v>
      </c>
      <c r="X45" s="177">
        <f t="shared" si="7"/>
        <v>1</v>
      </c>
      <c r="Y45" s="67">
        <f t="shared" si="8"/>
        <v>23.2989</v>
      </c>
      <c r="Z45" s="67">
        <f t="shared" si="9"/>
        <v>1.38E-2</v>
      </c>
      <c r="AA45" s="67">
        <f t="shared" si="10"/>
        <v>23.2851</v>
      </c>
      <c r="AB45" s="64" t="e">
        <f>VLOOKUP(A45,Enforcements!$C$7:$K$19,8,0)</f>
        <v>#N/A</v>
      </c>
      <c r="AC45" s="60" t="e">
        <f>VLOOKUP(A45,Enforcements!$C$7:$E$19,3,0)</f>
        <v>#N/A</v>
      </c>
      <c r="AD45" s="61" t="str">
        <f t="shared" si="11"/>
        <v>0132-25</v>
      </c>
      <c r="AE45" s="91" t="str">
        <f t="shared" si="12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45" s="88" t="str">
        <f t="shared" si="13"/>
        <v>"C:\Program Files (x86)\AstroGrep\AstroGrep.exe" /spath="%USERPROFILE%\AppData\Local\Temp\OnboardLogs" /stypes="app*4032*20161225*"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132-25 --locoid 4032 --swversion DE.1.0.8.0 --startMP 204:232989 --initTime 2016-12-25T08:20:27 --startdatetime 2016-12-25T08:26:24 --delay 1 --endMP 204:138 --enddatetime 2016-12-25T09:06:17 --enforcementcount 0 &gt;&gt;C:\Users\stu\Documents\GitHub\eaglep3-reporting\EC\2016-12-25-refined-times.txt</v>
      </c>
      <c r="AI4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{"issue":{"subject":"","project_id":79,"tracker_id":40,"status_id":1,"priority_id":2,"assigned_to_id":23,"start_date":"2016-12-25","description":"","custom_fields":[{"id":1,"name":"Subdivision","value":"EC"},{"id":4,"name":"Milepost","value":"0.0138"},{"id":17,"name":"Train ID","value":"132-25"},{"id":16,"name":"Locomotive ID","value":"4032"},{"id":130,"name":"Impact","value":""},{"id":150,"name":"Time of Event (Mountain Time)","value":"09:06:17"},{"id":151,"name":"Denver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508</v>
      </c>
      <c r="B46" s="7">
        <v>4014</v>
      </c>
      <c r="C46" s="22" t="s">
        <v>205</v>
      </c>
      <c r="D46" s="22" t="s">
        <v>269</v>
      </c>
      <c r="E46" s="13">
        <v>42729.318680555552</v>
      </c>
      <c r="F46" s="13">
        <v>42729.323159722226</v>
      </c>
      <c r="G46" s="7">
        <v>1</v>
      </c>
      <c r="H46" s="22" t="s">
        <v>322</v>
      </c>
      <c r="I46" s="13">
        <v>42729.347407407404</v>
      </c>
      <c r="J46" s="7">
        <v>0</v>
      </c>
      <c r="K46" s="109" t="str">
        <f t="shared" si="0"/>
        <v>4013/4014</v>
      </c>
      <c r="L46" s="22" t="str">
        <f>VLOOKUP(A46,'Trips&amp;Operators'!$C$1:$G$99999,5,FALSE)</f>
        <v>ISHMAEL JOSEPH</v>
      </c>
      <c r="M46" s="6">
        <f t="shared" si="1"/>
        <v>2.4247685178124812E-2</v>
      </c>
      <c r="N46" s="7">
        <f t="shared" si="2"/>
        <v>34.916666656499729</v>
      </c>
      <c r="O46" s="7"/>
      <c r="P46" s="7"/>
      <c r="Q46" s="23"/>
      <c r="R46" s="23"/>
      <c r="S46" s="35">
        <f t="shared" si="3"/>
        <v>1</v>
      </c>
      <c r="T46" s="50" t="str">
        <f t="shared" si="4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06:38:54-700',mode:absolute,to:'2016-12-25 09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6" s="52" t="str">
        <f t="shared" si="6"/>
        <v>N</v>
      </c>
      <c r="X46" s="177">
        <f t="shared" si="7"/>
        <v>1</v>
      </c>
      <c r="Y46" s="67">
        <f t="shared" si="8"/>
        <v>4.6199999999999998E-2</v>
      </c>
      <c r="Z46" s="67">
        <f t="shared" si="9"/>
        <v>23.3293</v>
      </c>
      <c r="AA46" s="67">
        <f t="shared" si="10"/>
        <v>23.283100000000001</v>
      </c>
      <c r="AB46" s="64" t="e">
        <f>VLOOKUP(A46,Enforcements!$C$7:$K$19,8,0)</f>
        <v>#N/A</v>
      </c>
      <c r="AC46" s="60" t="e">
        <f>VLOOKUP(A46,Enforcements!$C$7:$E$19,3,0)</f>
        <v>#N/A</v>
      </c>
      <c r="AD46" s="61" t="str">
        <f t="shared" si="11"/>
        <v>0133-25</v>
      </c>
      <c r="AE46" s="91" t="str">
        <f t="shared" si="12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46" s="88" t="str">
        <f t="shared" si="13"/>
        <v>"C:\Program Files (x86)\AstroGrep\AstroGrep.exe" /spath="%USERPROFILE%\AppData\Local\Temp\OnboardLogs" /stypes="app*4014*20161225*"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133-25 --locoid 4014 --swversion DE.1.0.8.0 --startMP 204:462 --initTime 2016-12-25T07:38:54 --startdatetime 2016-12-25T07:45:21 --delay 1 --endMP 204:233293 --enddatetime 2016-12-25T08:20:16 --enforcementcount 0 &gt;&gt;C:\Users\stu\Documents\GitHub\eaglep3-reporting\EC\2016-12-25-refined-times.txt</v>
      </c>
      <c r="AI4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{"issue":{"subject":"","project_id":79,"tracker_id":40,"status_id":1,"priority_id":2,"assigned_to_id":23,"start_date":"2016-12-25","description":"","custom_fields":[{"id":1,"name":"Subdivision","value":"EC"},{"id":4,"name":"Milepost","value":"23.3293"},{"id":17,"name":"Train ID","value":"133-25"},{"id":16,"name":"Locomotive ID","value":"4014"},{"id":130,"name":"Impact","value":""},{"id":150,"name":"Time of Event (Mountain Time)","value":"08:20:16"},{"id":151,"name":"Denver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516</v>
      </c>
      <c r="B47" s="7">
        <v>4013</v>
      </c>
      <c r="C47" s="22" t="s">
        <v>205</v>
      </c>
      <c r="D47" s="22" t="s">
        <v>353</v>
      </c>
      <c r="E47" s="13">
        <v>42729.355312500003</v>
      </c>
      <c r="F47" s="13">
        <v>42729.361944444441</v>
      </c>
      <c r="G47" s="7">
        <v>1</v>
      </c>
      <c r="H47" s="22" t="s">
        <v>211</v>
      </c>
      <c r="I47" s="13">
        <v>42729.388842592591</v>
      </c>
      <c r="J47" s="7">
        <v>0</v>
      </c>
      <c r="K47" s="109" t="str">
        <f t="shared" si="0"/>
        <v>4013/4014</v>
      </c>
      <c r="L47" s="22" t="str">
        <f>VLOOKUP(A47,'Trips&amp;Operators'!$C$1:$G$99999,5,FALSE)</f>
        <v>ISHMAEL JOSEPH</v>
      </c>
      <c r="M47" s="6">
        <f t="shared" si="1"/>
        <v>2.6898148149484769E-2</v>
      </c>
      <c r="N47" s="7">
        <f t="shared" si="2"/>
        <v>38.733333335258067</v>
      </c>
      <c r="O47" s="7"/>
      <c r="P47" s="7"/>
      <c r="Q47" s="23"/>
      <c r="R47" s="23"/>
      <c r="S47" s="35">
        <f t="shared" si="3"/>
        <v>1</v>
      </c>
      <c r="T47" s="50" t="str">
        <f t="shared" si="4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07:31:39-700',mode:absolute,to:'2016-12-25 10:19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7" s="52" t="str">
        <f t="shared" si="6"/>
        <v>N</v>
      </c>
      <c r="X47" s="177">
        <f t="shared" si="7"/>
        <v>1</v>
      </c>
      <c r="Y47" s="67">
        <f t="shared" si="8"/>
        <v>23.299800000000001</v>
      </c>
      <c r="Z47" s="67">
        <f t="shared" si="9"/>
        <v>1.4999999999999999E-2</v>
      </c>
      <c r="AA47" s="67">
        <f t="shared" si="10"/>
        <v>23.284800000000001</v>
      </c>
      <c r="AB47" s="64" t="e">
        <f>VLOOKUP(A47,Enforcements!$C$7:$K$19,8,0)</f>
        <v>#N/A</v>
      </c>
      <c r="AC47" s="60" t="e">
        <f>VLOOKUP(A47,Enforcements!$C$7:$E$19,3,0)</f>
        <v>#N/A</v>
      </c>
      <c r="AD47" s="61" t="str">
        <f t="shared" si="11"/>
        <v>0134-25</v>
      </c>
      <c r="AE47" s="91" t="str">
        <f t="shared" si="12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47" s="88" t="str">
        <f t="shared" si="13"/>
        <v>"C:\Program Files (x86)\AstroGrep\AstroGrep.exe" /spath="%USERPROFILE%\AppData\Local\Temp\OnboardLogs" /stypes="app*4013*20161225*"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134-25 --locoid 4013 --swversion DE.1.0.8.0 --startMP 204:232998 --initTime 2016-12-25T08:31:39 --startdatetime 2016-12-25T08:41:12 --delay 1 --endMP 204:150 --enddatetime 2016-12-25T09:19:56 --enforcementcount 0 &gt;&gt;C:\Users\stu\Documents\GitHub\eaglep3-reporting\EC\2016-12-25-refined-times.txt</v>
      </c>
      <c r="AI4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{"issue":{"subject":"","project_id":79,"tracker_id":40,"status_id":1,"priority_id":2,"assigned_to_id":23,"start_date":"2016-12-25","description":"","custom_fields":[{"id":1,"name":"Subdivision","value":"EC"},{"id":4,"name":"Milepost","value":"0.015"},{"id":17,"name":"Train ID","value":"134-25"},{"id":16,"name":"Locomotive ID","value":"4013"},{"id":130,"name":"Impact","value":""},{"id":150,"name":"Time of Event (Mountain Time)","value":"09:19:56"},{"id":151,"name":"Denver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510</v>
      </c>
      <c r="B48" s="7">
        <v>4018</v>
      </c>
      <c r="C48" s="22" t="s">
        <v>205</v>
      </c>
      <c r="D48" s="22" t="s">
        <v>425</v>
      </c>
      <c r="E48" s="13">
        <v>42729.327986111108</v>
      </c>
      <c r="F48" s="13">
        <v>42729.333506944444</v>
      </c>
      <c r="G48" s="7">
        <v>1</v>
      </c>
      <c r="H48" s="22" t="s">
        <v>683</v>
      </c>
      <c r="I48" s="13">
        <v>42729.358958333331</v>
      </c>
      <c r="J48" s="7">
        <v>0</v>
      </c>
      <c r="K48" s="109" t="str">
        <f t="shared" si="0"/>
        <v>4017/4018</v>
      </c>
      <c r="L48" s="22" t="str">
        <f>VLOOKUP(A48,'Trips&amp;Operators'!$C$1:$G$99999,5,FALSE)</f>
        <v>DAVIS WENDY</v>
      </c>
      <c r="M48" s="6">
        <f t="shared" si="1"/>
        <v>2.545138888672227E-2</v>
      </c>
      <c r="N48" s="7">
        <f t="shared" si="2"/>
        <v>36.649999996880069</v>
      </c>
      <c r="O48" s="7"/>
      <c r="P48" s="7"/>
      <c r="Q48" s="23"/>
      <c r="R48" s="23"/>
      <c r="S48" s="35">
        <f t="shared" si="3"/>
        <v>1</v>
      </c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06:52:18-700',mode:absolute,to:'2016-12-25 09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8" s="52" t="str">
        <f t="shared" si="6"/>
        <v>N</v>
      </c>
      <c r="X48" s="177">
        <f t="shared" si="7"/>
        <v>1</v>
      </c>
      <c r="Y48" s="67">
        <f t="shared" si="8"/>
        <v>4.3700000000000003E-2</v>
      </c>
      <c r="Z48" s="67">
        <f t="shared" si="9"/>
        <v>23.332100000000001</v>
      </c>
      <c r="AA48" s="67">
        <f t="shared" si="10"/>
        <v>23.288399999999999</v>
      </c>
      <c r="AB48" s="64" t="e">
        <f>VLOOKUP(A48,Enforcements!$C$7:$K$19,8,0)</f>
        <v>#N/A</v>
      </c>
      <c r="AC48" s="60" t="e">
        <f>VLOOKUP(A48,Enforcements!$C$7:$E$19,3,0)</f>
        <v>#N/A</v>
      </c>
      <c r="AD48" s="61" t="str">
        <f t="shared" si="11"/>
        <v>0135-25</v>
      </c>
      <c r="AE48" s="91" t="str">
        <f t="shared" si="12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48" s="88" t="str">
        <f t="shared" si="13"/>
        <v>"C:\Program Files (x86)\AstroGrep\AstroGrep.exe" /spath="%USERPROFILE%\AppData\Local\Temp\OnboardLogs" /stypes="app*4018*20161225*"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135-25 --locoid 4018 --swversion DE.1.0.8.0 --startMP 204:437 --initTime 2016-12-25T07:52:18 --startdatetime 2016-12-25T08:00:15 --delay 1 --endMP 204:233321 --enddatetime 2016-12-25T08:36:54 --enforcementcount 0 &gt;&gt;C:\Users\stu\Documents\GitHub\eaglep3-reporting\EC\2016-12-25-refined-times.txt</v>
      </c>
      <c r="AI4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{"issue":{"subject":"","project_id":79,"tracker_id":40,"status_id":1,"priority_id":2,"assigned_to_id":23,"start_date":"2016-12-25","description":"","custom_fields":[{"id":1,"name":"Subdivision","value":"EC"},{"id":4,"name":"Milepost","value":"23.3321"},{"id":17,"name":"Train ID","value":"135-25"},{"id":16,"name":"Locomotive ID","value":"4018"},{"id":130,"name":"Impact","value":""},{"id":150,"name":"Time of Event (Mountain Time)","value":"08:36:54"},{"id":151,"name":"Denver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519</v>
      </c>
      <c r="B49" s="7">
        <v>4017</v>
      </c>
      <c r="C49" s="22" t="s">
        <v>205</v>
      </c>
      <c r="D49" s="22" t="s">
        <v>424</v>
      </c>
      <c r="E49" s="13">
        <v>42729.371562499997</v>
      </c>
      <c r="F49" s="13">
        <v>42729.372696759259</v>
      </c>
      <c r="G49" s="7">
        <v>1</v>
      </c>
      <c r="H49" s="22" t="s">
        <v>234</v>
      </c>
      <c r="I49" s="13">
        <v>42729.399780092594</v>
      </c>
      <c r="J49" s="7">
        <v>0</v>
      </c>
      <c r="K49" s="109" t="str">
        <f t="shared" si="0"/>
        <v>4017/4018</v>
      </c>
      <c r="L49" s="22" t="str">
        <f>VLOOKUP(A49,'Trips&amp;Operators'!$C$1:$G$99999,5,FALSE)</f>
        <v>DAVIS WENDY</v>
      </c>
      <c r="M49" s="6">
        <f t="shared" si="1"/>
        <v>2.7083333334303461E-2</v>
      </c>
      <c r="N49" s="7">
        <f t="shared" si="2"/>
        <v>39.000000001396984</v>
      </c>
      <c r="O49" s="7"/>
      <c r="P49" s="7"/>
      <c r="Q49" s="23"/>
      <c r="R49" s="23"/>
      <c r="S49" s="35">
        <f t="shared" si="3"/>
        <v>1</v>
      </c>
      <c r="T49" s="50" t="str">
        <f t="shared" si="4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07:55:03-700',mode:absolute,to:'2016-12-25 10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9" s="52" t="str">
        <f t="shared" si="6"/>
        <v>N</v>
      </c>
      <c r="X49" s="177">
        <f t="shared" si="7"/>
        <v>1</v>
      </c>
      <c r="Y49" s="67">
        <f t="shared" si="8"/>
        <v>23.303000000000001</v>
      </c>
      <c r="Z49" s="67">
        <f t="shared" si="9"/>
        <v>1.4500000000000001E-2</v>
      </c>
      <c r="AA49" s="67">
        <f t="shared" si="10"/>
        <v>23.288499999999999</v>
      </c>
      <c r="AB49" s="64" t="e">
        <f>VLOOKUP(A49,Enforcements!$C$7:$K$19,8,0)</f>
        <v>#N/A</v>
      </c>
      <c r="AC49" s="60" t="e">
        <f>VLOOKUP(A49,Enforcements!$C$7:$E$19,3,0)</f>
        <v>#N/A</v>
      </c>
      <c r="AD49" s="61" t="str">
        <f t="shared" si="11"/>
        <v>0136-25</v>
      </c>
      <c r="AE49" s="91" t="str">
        <f t="shared" si="12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49" s="88" t="str">
        <f t="shared" si="13"/>
        <v>"C:\Program Files (x86)\AstroGrep\AstroGrep.exe" /spath="%USERPROFILE%\AppData\Local\Temp\OnboardLogs" /stypes="app*4017*20161225*"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136-25 --locoid 4017 --swversion DE.1.0.8.0 --startMP 204:233030 --initTime 2016-12-25T08:55:03 --startdatetime 2016-12-25T08:56:41 --delay 1 --endMP 204:145 --enddatetime 2016-12-25T09:35:41 --enforcementcount 0 &gt;&gt;C:\Users\stu\Documents\GitHub\eaglep3-reporting\EC\2016-12-25-refined-times.txt</v>
      </c>
      <c r="AI4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{"issue":{"subject":"","project_id":79,"tracker_id":40,"status_id":1,"priority_id":2,"assigned_to_id":23,"start_date":"2016-12-25","description":"","custom_fields":[{"id":1,"name":"Subdivision","value":"EC"},{"id":4,"name":"Milepost","value":"0.0145"},{"id":17,"name":"Train ID","value":"136-25"},{"id":16,"name":"Locomotive ID","value":"4017"},{"id":130,"name":"Impact","value":""},{"id":150,"name":"Time of Event (Mountain Time)","value":"09:35:41"},{"id":151,"name":"Denver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513</v>
      </c>
      <c r="B50" s="7">
        <v>4027</v>
      </c>
      <c r="C50" s="22" t="s">
        <v>205</v>
      </c>
      <c r="D50" s="22" t="s">
        <v>228</v>
      </c>
      <c r="E50" s="13">
        <v>42729.340266203704</v>
      </c>
      <c r="F50" s="13">
        <v>42729.343923611108</v>
      </c>
      <c r="G50" s="7">
        <v>1</v>
      </c>
      <c r="H50" s="22" t="s">
        <v>317</v>
      </c>
      <c r="I50" s="13">
        <v>42729.368414351855</v>
      </c>
      <c r="J50" s="7">
        <v>0</v>
      </c>
      <c r="K50" s="109" t="str">
        <f t="shared" si="0"/>
        <v>4027/4028</v>
      </c>
      <c r="L50" s="22" t="str">
        <f>VLOOKUP(A50,'Trips&amp;Operators'!$C$1:$G$99999,5,FALSE)</f>
        <v>ROBINSON KADDIBA</v>
      </c>
      <c r="M50" s="6">
        <f t="shared" si="1"/>
        <v>2.4490740746841766E-2</v>
      </c>
      <c r="N50" s="7">
        <f t="shared" si="2"/>
        <v>35.266666675452143</v>
      </c>
      <c r="O50" s="7"/>
      <c r="P50" s="7"/>
      <c r="Q50" s="23"/>
      <c r="R50" s="23"/>
      <c r="S50" s="35">
        <f t="shared" si="3"/>
        <v>1</v>
      </c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07:09:59-700',mode:absolute,to:'2016-12-25 09:50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50" s="52" t="str">
        <f t="shared" si="6"/>
        <v>N</v>
      </c>
      <c r="X50" s="177">
        <f t="shared" si="7"/>
        <v>1</v>
      </c>
      <c r="Y50" s="67">
        <f t="shared" si="8"/>
        <v>4.5499999999999999E-2</v>
      </c>
      <c r="Z50" s="67">
        <f t="shared" si="9"/>
        <v>23.329699999999999</v>
      </c>
      <c r="AA50" s="67">
        <f t="shared" si="10"/>
        <v>23.284199999999998</v>
      </c>
      <c r="AB50" s="64" t="e">
        <f>VLOOKUP(A50,Enforcements!$C$7:$K$19,8,0)</f>
        <v>#N/A</v>
      </c>
      <c r="AC50" s="60" t="e">
        <f>VLOOKUP(A50,Enforcements!$C$7:$E$19,3,0)</f>
        <v>#N/A</v>
      </c>
      <c r="AD50" s="61" t="str">
        <f t="shared" si="11"/>
        <v>0137-25</v>
      </c>
      <c r="AE50" s="91" t="str">
        <f t="shared" si="12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50" s="88" t="str">
        <f t="shared" si="13"/>
        <v>"C:\Program Files (x86)\AstroGrep\AstroGrep.exe" /spath="%USERPROFILE%\AppData\Local\Temp\OnboardLogs" /stypes="app*4027*20161225*" /stext=" 15:.+((SYSTEM_STATE.+slice.+state.+changed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137-25 --locoid 4027 --swversion DE.1.0.8.0 --startMP 204:455 --initTime 2016-12-25T08:09:59 --startdatetime 2016-12-25T08:15:15 --delay 1 --endMP 204:233297 --enddatetime 2016-12-25T08:50:31 --enforcementcount 0 &gt;&gt;C:\Users\stu\Documents\GitHub\eaglep3-reporting\EC\2016-12-25-refined-times.txt</v>
      </c>
      <c r="AI5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ID","value":"137-25"},{"id":16,"name":"Locomotive ID","value":"4027"},{"id":130,"name":"Impact","value":""},{"id":150,"name":"Time of Event (Mountain Time)","value":"08:50:31"},{"id":151,"name":"Denver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524</v>
      </c>
      <c r="B51" s="7">
        <v>4028</v>
      </c>
      <c r="C51" s="22" t="s">
        <v>205</v>
      </c>
      <c r="D51" s="22" t="s">
        <v>257</v>
      </c>
      <c r="E51" s="13">
        <v>42729.376261574071</v>
      </c>
      <c r="F51" s="13">
        <v>42729.383113425924</v>
      </c>
      <c r="G51" s="7">
        <v>2</v>
      </c>
      <c r="H51" s="22" t="s">
        <v>326</v>
      </c>
      <c r="I51" s="13">
        <v>42729.410428240742</v>
      </c>
      <c r="J51" s="7">
        <v>0</v>
      </c>
      <c r="K51" s="109" t="str">
        <f t="shared" si="0"/>
        <v>4027/4028</v>
      </c>
      <c r="L51" s="22" t="str">
        <f>VLOOKUP(A51,'Trips&amp;Operators'!$C$1:$G$99999,5,FALSE)</f>
        <v>ROBINSON KADDIBA</v>
      </c>
      <c r="M51" s="6">
        <f t="shared" si="1"/>
        <v>2.7314814818964805E-2</v>
      </c>
      <c r="N51" s="7">
        <f t="shared" si="2"/>
        <v>39.33333333930932</v>
      </c>
      <c r="O51" s="7"/>
      <c r="P51" s="7"/>
      <c r="Q51" s="23"/>
      <c r="R51" s="23"/>
      <c r="S51" s="35">
        <f t="shared" si="3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08:01:49-700',mode:absolute,to:'2016-12-25 10:51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51" s="52" t="str">
        <f t="shared" si="6"/>
        <v>N</v>
      </c>
      <c r="X51" s="177">
        <f t="shared" si="7"/>
        <v>1</v>
      </c>
      <c r="Y51" s="67">
        <f t="shared" si="8"/>
        <v>23.299399999999999</v>
      </c>
      <c r="Z51" s="67">
        <f t="shared" si="9"/>
        <v>1.52E-2</v>
      </c>
      <c r="AA51" s="67">
        <f t="shared" si="10"/>
        <v>23.284199999999998</v>
      </c>
      <c r="AB51" s="64" t="e">
        <f>VLOOKUP(A51,Enforcements!$C$7:$K$19,8,0)</f>
        <v>#N/A</v>
      </c>
      <c r="AC51" s="60" t="e">
        <f>VLOOKUP(A51,Enforcements!$C$7:$E$19,3,0)</f>
        <v>#N/A</v>
      </c>
      <c r="AD51" s="61" t="str">
        <f t="shared" si="11"/>
        <v>0138-25</v>
      </c>
      <c r="AE51" s="91" t="str">
        <f t="shared" si="12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51" s="88" t="str">
        <f t="shared" si="13"/>
        <v>"C:\Program Files (x86)\AstroGrep\AstroGrep.exe" /spath="%USERPROFILE%\AppData\Local\Temp\OnboardLogs" /stypes="app*4028*20161225*" /stext=" 16:.+((SYSTEM_STATE.+slice.+state.+changed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138-25 --locoid 4028 --swversion DE.1.0.8.0 --startMP 204:232994 --initTime 2016-12-25T09:01:49 --startdatetime 2016-12-25T09:11:41 --delay 2 --endMP 204:152 --enddatetime 2016-12-25T09:51:01 --enforcementcount 0 &gt;&gt;C:\Users\stu\Documents\GitHub\eaglep3-reporting\EC\2016-12-25-refined-times.txt</v>
      </c>
      <c r="AI5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{"issue":{"subject":"","project_id":79,"tracker_id":40,"status_id":1,"priority_id":2,"assigned_to_id":23,"start_date":"2016-12-25","description":"","custom_fields":[{"id":1,"name":"Subdivision","value":"EC"},{"id":4,"name":"Milepost","value":"0.0152"},{"id":17,"name":"Train ID","value":"138-25"},{"id":16,"name":"Locomotive ID","value":"4028"},{"id":130,"name":"Impact","value":""},{"id":150,"name":"Time of Event (Mountain Time)","value":"09:51:01"},{"id":151,"name":"Denver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515</v>
      </c>
      <c r="B52" s="7">
        <v>4009</v>
      </c>
      <c r="C52" s="22" t="s">
        <v>205</v>
      </c>
      <c r="D52" s="22" t="s">
        <v>311</v>
      </c>
      <c r="E52" s="13">
        <v>42729.350555555553</v>
      </c>
      <c r="F52" s="13">
        <v>42729.354351851849</v>
      </c>
      <c r="G52" s="7">
        <v>0</v>
      </c>
      <c r="H52" s="22" t="s">
        <v>684</v>
      </c>
      <c r="I52" s="13">
        <v>42729.378750000003</v>
      </c>
      <c r="J52" s="7">
        <v>0</v>
      </c>
      <c r="K52" s="109" t="str">
        <f t="shared" si="0"/>
        <v>4009/4010</v>
      </c>
      <c r="L52" s="22" t="str">
        <f>VLOOKUP(A52,'Trips&amp;Operators'!$C$1:$G$99999,5,FALSE)</f>
        <v>GEBRETEKLE DAGNEW</v>
      </c>
      <c r="M52" s="6">
        <f t="shared" si="1"/>
        <v>2.439814815443242E-2</v>
      </c>
      <c r="N52" s="7">
        <f t="shared" si="2"/>
        <v>35.133333342382684</v>
      </c>
      <c r="O52" s="7"/>
      <c r="P52" s="7"/>
      <c r="Q52" s="23"/>
      <c r="R52" s="23"/>
      <c r="S52" s="35">
        <f t="shared" si="3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07:24:48-700',mode:absolute,to:'2016-12-25 10:05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2" s="52" t="str">
        <f t="shared" si="6"/>
        <v>N</v>
      </c>
      <c r="X52" s="177">
        <f t="shared" si="7"/>
        <v>1</v>
      </c>
      <c r="Y52" s="67">
        <f t="shared" si="8"/>
        <v>4.3299999999999998E-2</v>
      </c>
      <c r="Z52" s="67">
        <f t="shared" si="9"/>
        <v>23.333200000000001</v>
      </c>
      <c r="AA52" s="67">
        <f t="shared" si="10"/>
        <v>23.289900000000003</v>
      </c>
      <c r="AB52" s="64" t="e">
        <f>VLOOKUP(A52,Enforcements!$C$7:$K$19,8,0)</f>
        <v>#N/A</v>
      </c>
      <c r="AC52" s="60" t="e">
        <f>VLOOKUP(A52,Enforcements!$C$7:$E$19,3,0)</f>
        <v>#N/A</v>
      </c>
      <c r="AD52" s="61" t="str">
        <f t="shared" si="11"/>
        <v>0139-25</v>
      </c>
      <c r="AE52" s="91" t="str">
        <f t="shared" si="12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52" s="88" t="str">
        <f t="shared" si="13"/>
        <v>"C:\Program Files (x86)\AstroGrep\AstroGrep.exe" /spath="%USERPROFILE%\AppData\Local\Temp\OnboardLogs" /stypes="app*4009*20161225*"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139-25 --locoid 4009 --swversion DE.1.0.8.0 --startMP 204:433 --initTime 2016-12-25T08:24:48 --startdatetime 2016-12-25T08:30:16 --delay 0 --endMP 204:233332 --enddatetime 2016-12-25T09:05:24 --enforcementcount 0 &gt;&gt;C:\Users\stu\Documents\GitHub\eaglep3-reporting\EC\2016-12-25-refined-times.txt</v>
      </c>
      <c r="AI52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{"issue":{"subject":"","project_id":79,"tracker_id":40,"status_id":1,"priority_id":2,"assigned_to_id":23,"start_date":"2016-12-25","description":"","custom_fields":[{"id":1,"name":"Subdivision","value":"EC"},{"id":4,"name":"Milepost","value":"23.3332"},{"id":17,"name":"Train ID","value":"139-25"},{"id":16,"name":"Locomotive ID","value":"4009"},{"id":130,"name":"Impact","value":""},{"id":150,"name":"Time of Event (Mountain Time)","value":"09:05:24"},{"id":151,"name":"Denver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526</v>
      </c>
      <c r="B53" s="7">
        <v>4010</v>
      </c>
      <c r="C53" s="22" t="s">
        <v>205</v>
      </c>
      <c r="D53" s="22" t="s">
        <v>277</v>
      </c>
      <c r="E53" s="13">
        <v>42729.387835648151</v>
      </c>
      <c r="F53" s="13">
        <v>42729.393240740741</v>
      </c>
      <c r="G53" s="7">
        <v>1</v>
      </c>
      <c r="H53" s="22" t="s">
        <v>191</v>
      </c>
      <c r="I53" s="13">
        <v>42729.419895833336</v>
      </c>
      <c r="J53" s="7">
        <v>0</v>
      </c>
      <c r="K53" s="109" t="str">
        <f t="shared" si="0"/>
        <v>4009/4010</v>
      </c>
      <c r="L53" s="22" t="str">
        <f>VLOOKUP(A53,'Trips&amp;Operators'!$C$1:$G$99999,5,FALSE)</f>
        <v>GEBRETEKLE DAGNEW</v>
      </c>
      <c r="M53" s="6">
        <f t="shared" si="1"/>
        <v>2.6655092595319729E-2</v>
      </c>
      <c r="N53" s="7">
        <f t="shared" si="2"/>
        <v>38.38333333726041</v>
      </c>
      <c r="O53" s="7"/>
      <c r="P53" s="7"/>
      <c r="Q53" s="23"/>
      <c r="R53" s="23"/>
      <c r="S53" s="35">
        <f t="shared" si="3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08:18:29-700',mode:absolute,to:'2016-12-25 11:04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3" s="52" t="str">
        <f t="shared" si="6"/>
        <v>N</v>
      </c>
      <c r="X53" s="177">
        <f t="shared" si="7"/>
        <v>1</v>
      </c>
      <c r="Y53" s="67">
        <f t="shared" si="8"/>
        <v>23.3</v>
      </c>
      <c r="Z53" s="67">
        <f t="shared" si="9"/>
        <v>1.49E-2</v>
      </c>
      <c r="AA53" s="67">
        <f t="shared" si="10"/>
        <v>23.2851</v>
      </c>
      <c r="AB53" s="64" t="e">
        <f>VLOOKUP(A53,Enforcements!$C$7:$K$19,8,0)</f>
        <v>#N/A</v>
      </c>
      <c r="AC53" s="60" t="e">
        <f>VLOOKUP(A53,Enforcements!$C$7:$E$19,3,0)</f>
        <v>#N/A</v>
      </c>
      <c r="AD53" s="61" t="str">
        <f t="shared" si="11"/>
        <v>0140-25</v>
      </c>
      <c r="AE53" s="91" t="str">
        <f t="shared" si="12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53" s="88" t="str">
        <f t="shared" si="13"/>
        <v>"C:\Program Files (x86)\AstroGrep\AstroGrep.exe" /spath="%USERPROFILE%\AppData\Local\Temp\OnboardLogs" /stypes="app*4010*20161225*"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140-25 --locoid 4010 --swversion DE.1.0.8.0 --startMP 204:233000 --initTime 2016-12-25T09:18:29 --startdatetime 2016-12-25T09:26:16 --delay 1 --endMP 204:149 --enddatetime 2016-12-25T10:04:39 --enforcementcount 0 &gt;&gt;C:\Users\stu\Documents\GitHub\eaglep3-reporting\EC\2016-12-25-refined-times.txt</v>
      </c>
      <c r="AI5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{"issue":{"subject":"","project_id":79,"tracker_id":40,"status_id":1,"priority_id":2,"assigned_to_id":23,"start_date":"2016-12-25","description":"","custom_fields":[{"id":1,"name":"Subdivision","value":"EC"},{"id":4,"name":"Milepost","value":"0.0149"},{"id":17,"name":"Train ID","value":"140-25"},{"id":16,"name":"Locomotive ID","value":"4010"},{"id":130,"name":"Impact","value":""},{"id":150,"name":"Time of Event (Mountain Time)","value":"10:04:39"},{"id":151,"name":"Denver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518</v>
      </c>
      <c r="B54" s="7">
        <v>4025</v>
      </c>
      <c r="C54" s="22" t="s">
        <v>205</v>
      </c>
      <c r="D54" s="22" t="s">
        <v>194</v>
      </c>
      <c r="E54" s="13">
        <v>42729.360046296293</v>
      </c>
      <c r="F54" s="13">
        <v>42729.36482638889</v>
      </c>
      <c r="G54" s="7">
        <v>1</v>
      </c>
      <c r="H54" s="22" t="s">
        <v>427</v>
      </c>
      <c r="I54" s="13">
        <v>42729.389872685184</v>
      </c>
      <c r="J54" s="7">
        <v>0</v>
      </c>
      <c r="K54" s="109" t="str">
        <f t="shared" si="0"/>
        <v>4025/4026</v>
      </c>
      <c r="L54" s="22" t="str">
        <f>VLOOKUP(A54,'Trips&amp;Operators'!$C$1:$G$99999,5,FALSE)</f>
        <v>OUN ZACK</v>
      </c>
      <c r="M54" s="6">
        <f t="shared" si="1"/>
        <v>2.5046296294021886E-2</v>
      </c>
      <c r="N54" s="7">
        <f t="shared" si="2"/>
        <v>36.066666663391516</v>
      </c>
      <c r="O54" s="7"/>
      <c r="P54" s="7"/>
      <c r="Q54" s="23"/>
      <c r="R54" s="23"/>
      <c r="S54" s="35">
        <f t="shared" si="3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07:38:28-700',mode:absolute,to:'2016-12-25 10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54" s="52" t="str">
        <f t="shared" si="6"/>
        <v>N</v>
      </c>
      <c r="X54" s="177">
        <f t="shared" si="7"/>
        <v>1</v>
      </c>
      <c r="Y54" s="67">
        <f t="shared" si="8"/>
        <v>4.5100000000000001E-2</v>
      </c>
      <c r="Z54" s="67">
        <f t="shared" si="9"/>
        <v>23.331099999999999</v>
      </c>
      <c r="AA54" s="67">
        <f t="shared" si="10"/>
        <v>23.285999999999998</v>
      </c>
      <c r="AB54" s="64" t="e">
        <f>VLOOKUP(A54,Enforcements!$C$7:$K$19,8,0)</f>
        <v>#N/A</v>
      </c>
      <c r="AC54" s="60" t="e">
        <f>VLOOKUP(A54,Enforcements!$C$7:$E$19,3,0)</f>
        <v>#N/A</v>
      </c>
      <c r="AD54" s="61" t="str">
        <f t="shared" si="11"/>
        <v>0141-25</v>
      </c>
      <c r="AE54" s="91" t="str">
        <f t="shared" si="12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54" s="88" t="str">
        <f t="shared" si="13"/>
        <v>"C:\Program Files (x86)\AstroGrep\AstroGrep.exe" /spath="%USERPROFILE%\AppData\Local\Temp\OnboardLogs" /stypes="app*4025*20161225*"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141-25 --locoid 4025 --swversion DE.1.0.8.0 --startMP 204:451 --initTime 2016-12-25T08:38:28 --startdatetime 2016-12-25T08:45:21 --delay 1 --endMP 204:233311 --enddatetime 2016-12-25T09:21:25 --enforcementcount 0 &gt;&gt;C:\Users\stu\Documents\GitHub\eaglep3-reporting\EC\2016-12-25-refined-times.txt</v>
      </c>
      <c r="AI5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{"issue":{"subject":"","project_id":79,"tracker_id":40,"status_id":1,"priority_id":2,"assigned_to_id":23,"start_date":"2016-12-25","description":"","custom_fields":[{"id":1,"name":"Subdivision","value":"EC"},{"id":4,"name":"Milepost","value":"23.3311"},{"id":17,"name":"Train ID","value":"141-25"},{"id":16,"name":"Locomotive ID","value":"4025"},{"id":130,"name":"Impact","value":""},{"id":150,"name":"Time of Event (Mountain Time)","value":"09:21:25"},{"id":151,"name":"Denver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528</v>
      </c>
      <c r="B55" s="7">
        <v>4026</v>
      </c>
      <c r="C55" s="22" t="s">
        <v>205</v>
      </c>
      <c r="D55" s="22" t="s">
        <v>331</v>
      </c>
      <c r="E55" s="13">
        <v>42729.399189814816</v>
      </c>
      <c r="F55" s="13">
        <v>42729.403703703705</v>
      </c>
      <c r="G55" s="7">
        <v>1</v>
      </c>
      <c r="H55" s="22" t="s">
        <v>668</v>
      </c>
      <c r="I55" s="13">
        <v>42729.430937500001</v>
      </c>
      <c r="J55" s="7">
        <v>0</v>
      </c>
      <c r="K55" s="109" t="str">
        <f t="shared" si="0"/>
        <v>4025/4026</v>
      </c>
      <c r="L55" s="22" t="str">
        <f>VLOOKUP(A55,'Trips&amp;Operators'!$C$1:$G$99999,5,FALSE)</f>
        <v>OUN ZACK</v>
      </c>
      <c r="M55" s="6">
        <f t="shared" si="1"/>
        <v>2.7233796296059154E-2</v>
      </c>
      <c r="N55" s="7">
        <f t="shared" si="2"/>
        <v>39.216666666325182</v>
      </c>
      <c r="O55" s="7"/>
      <c r="P55" s="7"/>
      <c r="Q55" s="23"/>
      <c r="R55" s="23"/>
      <c r="S55" s="35">
        <f t="shared" si="3"/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08:34:50-700',mode:absolute,to:'2016-12-25 11:20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55" s="52" t="str">
        <f t="shared" si="6"/>
        <v>N</v>
      </c>
      <c r="X55" s="177">
        <f t="shared" si="7"/>
        <v>1</v>
      </c>
      <c r="Y55" s="67">
        <f t="shared" si="8"/>
        <v>23.297999999999998</v>
      </c>
      <c r="Z55" s="67">
        <f t="shared" si="9"/>
        <v>1.2999999999999999E-2</v>
      </c>
      <c r="AA55" s="67">
        <f t="shared" si="10"/>
        <v>23.284999999999997</v>
      </c>
      <c r="AB55" s="64" t="e">
        <f>VLOOKUP(A55,Enforcements!$C$7:$K$19,8,0)</f>
        <v>#N/A</v>
      </c>
      <c r="AC55" s="60" t="e">
        <f>VLOOKUP(A55,Enforcements!$C$7:$E$19,3,0)</f>
        <v>#N/A</v>
      </c>
      <c r="AD55" s="61" t="str">
        <f t="shared" si="11"/>
        <v>0142-25</v>
      </c>
      <c r="AE55" s="91" t="str">
        <f t="shared" si="12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55" s="88" t="str">
        <f t="shared" si="13"/>
        <v>"C:\Program Files (x86)\AstroGrep\AstroGrep.exe" /spath="%USERPROFILE%\AppData\Local\Temp\OnboardLogs" /stypes="app*4026*20161225*"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142-25 --locoid 4026 --swversion DE.1.0.8.0 --startMP 204:232980 --initTime 2016-12-25T09:34:50 --startdatetime 2016-12-25T09:41:20 --delay 1 --endMP 204:130 --enddatetime 2016-12-25T10:20:33 --enforcementcount 0 &gt;&gt;C:\Users\stu\Documents\GitHub\eaglep3-reporting\EC\2016-12-25-refined-times.txt</v>
      </c>
      <c r="AI5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{"issue":{"subject":"","project_id":79,"tracker_id":40,"status_id":1,"priority_id":2,"assigned_to_id":23,"start_date":"2016-12-25","description":"","custom_fields":[{"id":1,"name":"Subdivision","value":"EC"},{"id":4,"name":"Milepost","value":"0.013"},{"id":17,"name":"Train ID","value":"142-25"},{"id":16,"name":"Locomotive ID","value":"4026"},{"id":130,"name":"Impact","value":""},{"id":150,"name":"Time of Event (Mountain Time)","value":"10:20:33"},{"id":151,"name":"Denver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520</v>
      </c>
      <c r="B56" s="7">
        <v>4042</v>
      </c>
      <c r="C56" s="22" t="s">
        <v>205</v>
      </c>
      <c r="D56" s="22" t="s">
        <v>414</v>
      </c>
      <c r="E56" s="13">
        <v>42729.371180555558</v>
      </c>
      <c r="F56" s="13">
        <v>42729.375277777777</v>
      </c>
      <c r="G56" s="7">
        <v>1</v>
      </c>
      <c r="H56" s="22" t="s">
        <v>685</v>
      </c>
      <c r="I56" s="13">
        <v>42729.401736111111</v>
      </c>
      <c r="J56" s="7">
        <v>0</v>
      </c>
      <c r="K56" s="109" t="str">
        <f t="shared" si="0"/>
        <v>4041/4042</v>
      </c>
      <c r="L56" s="22" t="str">
        <f>VLOOKUP(A56,'Trips&amp;Operators'!$C$1:$G$99999,5,FALSE)</f>
        <v>BRANDNER MELINDA</v>
      </c>
      <c r="M56" s="6">
        <f t="shared" si="1"/>
        <v>2.6458333333721384E-2</v>
      </c>
      <c r="N56" s="7">
        <f t="shared" si="2"/>
        <v>38.100000000558794</v>
      </c>
      <c r="O56" s="7"/>
      <c r="P56" s="7"/>
      <c r="Q56" s="23"/>
      <c r="R56" s="23"/>
      <c r="S56" s="35">
        <f t="shared" si="3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07:54:30-700',mode:absolute,to:'2016-12-25 10:38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6" s="52" t="str">
        <f t="shared" si="6"/>
        <v>N</v>
      </c>
      <c r="X56" s="177">
        <f t="shared" si="7"/>
        <v>1</v>
      </c>
      <c r="Y56" s="67">
        <f t="shared" si="8"/>
        <v>4.5699999999999998E-2</v>
      </c>
      <c r="Z56" s="67">
        <f t="shared" si="9"/>
        <v>23.328299999999999</v>
      </c>
      <c r="AA56" s="67">
        <f t="shared" si="10"/>
        <v>23.282599999999999</v>
      </c>
      <c r="AB56" s="64" t="e">
        <f>VLOOKUP(A56,Enforcements!$C$7:$K$19,8,0)</f>
        <v>#N/A</v>
      </c>
      <c r="AC56" s="60" t="e">
        <f>VLOOKUP(A56,Enforcements!$C$7:$E$19,3,0)</f>
        <v>#N/A</v>
      </c>
      <c r="AD56" s="61" t="str">
        <f t="shared" si="11"/>
        <v>0143-25</v>
      </c>
      <c r="AE56" s="91" t="str">
        <f t="shared" si="12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56" s="88" t="str">
        <f t="shared" si="13"/>
        <v>"C:\Program Files (x86)\AstroGrep\AstroGrep.exe" /spath="%USERPROFILE%\AppData\Local\Temp\OnboardLogs" /stypes="app*4042*20161225*"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143-25 --locoid 4042 --swversion DE.1.0.8.0 --startMP 204:457 --initTime 2016-12-25T08:54:30 --startdatetime 2016-12-25T09:00:24 --delay 1 --endMP 204:233283 --enddatetime 2016-12-25T09:38:30 --enforcementcount 0 &gt;&gt;C:\Users\stu\Documents\GitHub\eaglep3-reporting\EC\2016-12-25-refined-times.txt</v>
      </c>
      <c r="AI5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{"issue":{"subject":"","project_id":79,"tracker_id":40,"status_id":1,"priority_id":2,"assigned_to_id":23,"start_date":"2016-12-25","description":"","custom_fields":[{"id":1,"name":"Subdivision","value":"EC"},{"id":4,"name":"Milepost","value":"23.3283"},{"id":17,"name":"Train ID","value":"143-25"},{"id":16,"name":"Locomotive ID","value":"4042"},{"id":130,"name":"Impact","value":""},{"id":150,"name":"Time of Event (Mountain Time)","value":"09:38:30"},{"id":151,"name":"Denver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531</v>
      </c>
      <c r="B57" s="7">
        <v>4041</v>
      </c>
      <c r="C57" s="22" t="s">
        <v>205</v>
      </c>
      <c r="D57" s="22" t="s">
        <v>686</v>
      </c>
      <c r="E57" s="13">
        <v>42729.409108796295</v>
      </c>
      <c r="F57" s="13">
        <v>42729.414074074077</v>
      </c>
      <c r="G57" s="7">
        <v>1</v>
      </c>
      <c r="H57" s="22" t="s">
        <v>211</v>
      </c>
      <c r="I57" s="13">
        <v>42729.442106481481</v>
      </c>
      <c r="J57" s="7">
        <v>0</v>
      </c>
      <c r="K57" s="109" t="str">
        <f t="shared" si="0"/>
        <v>4041/4042</v>
      </c>
      <c r="L57" s="22" t="str">
        <f>VLOOKUP(A57,'Trips&amp;Operators'!$C$1:$G$99999,5,FALSE)</f>
        <v>BRANDNER MELINDA</v>
      </c>
      <c r="M57" s="6">
        <f t="shared" si="1"/>
        <v>2.8032407404680271E-2</v>
      </c>
      <c r="N57" s="7">
        <f t="shared" si="2"/>
        <v>40.36666666273959</v>
      </c>
      <c r="O57" s="7"/>
      <c r="P57" s="7"/>
      <c r="Q57" s="23"/>
      <c r="R57" s="23"/>
      <c r="S57" s="35">
        <f t="shared" si="3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08:49:07-700',mode:absolute,to:'2016-12-25 11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7" s="52" t="str">
        <f t="shared" si="6"/>
        <v>N</v>
      </c>
      <c r="X57" s="177">
        <f t="shared" si="7"/>
        <v>1</v>
      </c>
      <c r="Y57" s="67">
        <f t="shared" si="8"/>
        <v>23.2972</v>
      </c>
      <c r="Z57" s="67">
        <f t="shared" si="9"/>
        <v>1.4999999999999999E-2</v>
      </c>
      <c r="AA57" s="67">
        <f t="shared" si="10"/>
        <v>23.2822</v>
      </c>
      <c r="AB57" s="64" t="e">
        <f>VLOOKUP(A57,Enforcements!$C$7:$K$19,8,0)</f>
        <v>#N/A</v>
      </c>
      <c r="AC57" s="60" t="e">
        <f>VLOOKUP(A57,Enforcements!$C$7:$E$19,3,0)</f>
        <v>#N/A</v>
      </c>
      <c r="AD57" s="61" t="str">
        <f t="shared" si="11"/>
        <v>0144-25</v>
      </c>
      <c r="AE57" s="91" t="str">
        <f t="shared" si="12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57" s="88" t="str">
        <f t="shared" si="13"/>
        <v>"C:\Program Files (x86)\AstroGrep\AstroGrep.exe" /spath="%USERPROFILE%\AppData\Local\Temp\OnboardLogs" /stypes="app*4041*20161225*"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144-25 --locoid 4041 --swversion DE.1.0.8.0 --startMP 204:232972 --initTime 2016-12-25T09:49:07 --startdatetime 2016-12-25T09:56:16 --delay 1 --endMP 204:150 --enddatetime 2016-12-25T10:36:38 --enforcementcount 0 &gt;&gt;C:\Users\stu\Documents\GitHub\eaglep3-reporting\EC\2016-12-25-refined-times.txt</v>
      </c>
      <c r="AI5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{"issue":{"subject":"","project_id":79,"tracker_id":40,"status_id":1,"priority_id":2,"assigned_to_id":23,"start_date":"2016-12-25","description":"","custom_fields":[{"id":1,"name":"Subdivision","value":"EC"},{"id":4,"name":"Milepost","value":"0.015"},{"id":17,"name":"Train ID","value":"144-25"},{"id":16,"name":"Locomotive ID","value":"4041"},{"id":130,"name":"Impact","value":""},{"id":150,"name":"Time of Event (Mountain Time)","value":"10:36:38"},{"id":151,"name":"Denver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525</v>
      </c>
      <c r="B58" s="7">
        <v>4031</v>
      </c>
      <c r="C58" s="22" t="s">
        <v>205</v>
      </c>
      <c r="D58" s="22" t="s">
        <v>285</v>
      </c>
      <c r="E58" s="13">
        <v>42729.38082175926</v>
      </c>
      <c r="F58" s="13">
        <v>42729.385636574072</v>
      </c>
      <c r="G58" s="7">
        <v>1</v>
      </c>
      <c r="H58" s="22" t="s">
        <v>276</v>
      </c>
      <c r="I58" s="13">
        <v>42729.410439814812</v>
      </c>
      <c r="J58" s="7">
        <v>0</v>
      </c>
      <c r="K58" s="109" t="str">
        <f t="shared" si="0"/>
        <v>4031/4032</v>
      </c>
      <c r="L58" s="22" t="str">
        <f>VLOOKUP(A58,'Trips&amp;Operators'!$C$1:$G$99999,5,FALSE)</f>
        <v>HAITHCOX MICHAEL</v>
      </c>
      <c r="M58" s="6">
        <f t="shared" si="1"/>
        <v>2.4803240739856847E-2</v>
      </c>
      <c r="N58" s="7">
        <f t="shared" si="2"/>
        <v>35.716666665393859</v>
      </c>
      <c r="O58" s="7"/>
      <c r="P58" s="7"/>
      <c r="Q58" s="23"/>
      <c r="R58" s="23"/>
      <c r="S58" s="35">
        <f t="shared" si="3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08:08:23-700',mode:absolute,to:'2016-12-25 10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58" s="52" t="str">
        <f t="shared" si="6"/>
        <v>N</v>
      </c>
      <c r="X58" s="177">
        <f t="shared" si="7"/>
        <v>1</v>
      </c>
      <c r="Y58" s="67">
        <f t="shared" si="8"/>
        <v>4.4900000000000002E-2</v>
      </c>
      <c r="Z58" s="67">
        <f t="shared" si="9"/>
        <v>23.328900000000001</v>
      </c>
      <c r="AA58" s="67">
        <f t="shared" si="10"/>
        <v>23.284000000000002</v>
      </c>
      <c r="AB58" s="64" t="e">
        <f>VLOOKUP(A58,Enforcements!$C$7:$K$19,8,0)</f>
        <v>#N/A</v>
      </c>
      <c r="AC58" s="60" t="e">
        <f>VLOOKUP(A58,Enforcements!$C$7:$E$19,3,0)</f>
        <v>#N/A</v>
      </c>
      <c r="AD58" s="61" t="str">
        <f t="shared" si="11"/>
        <v>0145-25</v>
      </c>
      <c r="AE58" s="91" t="str">
        <f t="shared" si="12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58" s="88" t="str">
        <f t="shared" si="13"/>
        <v>"C:\Program Files (x86)\AstroGrep\AstroGrep.exe" /spath="%USERPROFILE%\AppData\Local\Temp\OnboardLogs" /stypes="app*4031*20161225*" /stext=" 16:.+((SYSTEM_STATE.+slice.+state.+changed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145-25 --locoid 4031 --swversion DE.1.0.8.0 --startMP 204:449 --initTime 2016-12-25T09:08:23 --startdatetime 2016-12-25T09:15:19 --delay 1 --endMP 204:233289 --enddatetime 2016-12-25T09:51:02 --enforcementcount 0 &gt;&gt;C:\Users\stu\Documents\GitHub\eaglep3-reporting\EC\2016-12-25-refined-times.txt</v>
      </c>
      <c r="AI5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{"issue":{"subject":"","project_id":79,"tracker_id":40,"status_id":1,"priority_id":2,"assigned_to_id":23,"start_date":"2016-12-25","description":"","custom_fields":[{"id":1,"name":"Subdivision","value":"EC"},{"id":4,"name":"Milepost","value":"23.3289"},{"id":17,"name":"Train ID","value":"145-25"},{"id":16,"name":"Locomotive ID","value":"4031"},{"id":130,"name":"Impact","value":""},{"id":150,"name":"Time of Event (Mountain Time)","value":"09:51:02"},{"id":151,"name":"Denver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534</v>
      </c>
      <c r="B59" s="7">
        <v>4032</v>
      </c>
      <c r="C59" s="22" t="s">
        <v>205</v>
      </c>
      <c r="D59" s="22" t="s">
        <v>278</v>
      </c>
      <c r="E59" s="13">
        <v>42729.417407407411</v>
      </c>
      <c r="F59" s="13">
        <v>42729.42454861111</v>
      </c>
      <c r="G59" s="7">
        <v>1</v>
      </c>
      <c r="H59" s="22" t="s">
        <v>261</v>
      </c>
      <c r="I59" s="13">
        <v>42729.452326388891</v>
      </c>
      <c r="J59" s="7">
        <v>0</v>
      </c>
      <c r="K59" s="109" t="str">
        <f t="shared" si="0"/>
        <v>4031/4032</v>
      </c>
      <c r="L59" s="22" t="str">
        <f>VLOOKUP(A59,'Trips&amp;Operators'!$C$1:$G$99999,5,FALSE)</f>
        <v>HAITHCOX MICHAEL</v>
      </c>
      <c r="M59" s="6">
        <f t="shared" si="1"/>
        <v>2.7777777781011537E-2</v>
      </c>
      <c r="N59" s="7">
        <f t="shared" si="2"/>
        <v>40.000000004656613</v>
      </c>
      <c r="O59" s="7"/>
      <c r="P59" s="7"/>
      <c r="Q59" s="23"/>
      <c r="R59" s="23"/>
      <c r="S59" s="35">
        <f t="shared" si="3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09:01:04-700',mode:absolute,to:'2016-12-25 11:51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59" s="52" t="str">
        <f t="shared" si="6"/>
        <v>N</v>
      </c>
      <c r="X59" s="177">
        <f t="shared" si="7"/>
        <v>1</v>
      </c>
      <c r="Y59" s="67">
        <f t="shared" si="8"/>
        <v>23.2986</v>
      </c>
      <c r="Z59" s="67">
        <f t="shared" si="9"/>
        <v>1.47E-2</v>
      </c>
      <c r="AA59" s="67">
        <f t="shared" si="10"/>
        <v>23.283899999999999</v>
      </c>
      <c r="AB59" s="64" t="e">
        <f>VLOOKUP(A59,Enforcements!$C$7:$K$19,8,0)</f>
        <v>#N/A</v>
      </c>
      <c r="AC59" s="60" t="e">
        <f>VLOOKUP(A59,Enforcements!$C$7:$E$19,3,0)</f>
        <v>#N/A</v>
      </c>
      <c r="AD59" s="61" t="str">
        <f t="shared" si="11"/>
        <v>0146-25</v>
      </c>
      <c r="AE59" s="91" t="str">
        <f t="shared" si="12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59" s="88" t="str">
        <f t="shared" si="13"/>
        <v>"C:\Program Files (x86)\AstroGrep\AstroGrep.exe" /spath="%USERPROFILE%\AppData\Local\Temp\OnboardLogs" /stypes="app*4032*20161225*" /stext=" 17:.+((SYSTEM_STATE.+slice.+state.+changed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146-25 --locoid 4032 --swversion DE.1.0.8.0 --startMP 204:232986 --initTime 2016-12-25T10:01:04 --startdatetime 2016-12-25T10:11:21 --delay 1 --endMP 204:147 --enddatetime 2016-12-25T10:51:21 --enforcementcount 0 &gt;&gt;C:\Users\stu\Documents\GitHub\eaglep3-reporting\EC\2016-12-25-refined-times.txt</v>
      </c>
      <c r="AI5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ID","value":"146-25"},{"id":16,"name":"Locomotive ID","value":"4032"},{"id":130,"name":"Impact","value":""},{"id":150,"name":"Time of Event (Mountain Time)","value":"10:51:21"},{"id":151,"name":"Denver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527</v>
      </c>
      <c r="B60" s="7">
        <v>4014</v>
      </c>
      <c r="C60" s="22" t="s">
        <v>205</v>
      </c>
      <c r="D60" s="22" t="s">
        <v>687</v>
      </c>
      <c r="E60" s="13">
        <v>42729.389849537038</v>
      </c>
      <c r="F60" s="13">
        <v>42729.396053240744</v>
      </c>
      <c r="G60" s="7">
        <v>1</v>
      </c>
      <c r="H60" s="22" t="s">
        <v>281</v>
      </c>
      <c r="I60" s="13">
        <v>42729.420405092591</v>
      </c>
      <c r="J60" s="7">
        <v>0</v>
      </c>
      <c r="K60" s="109" t="str">
        <f t="shared" si="0"/>
        <v>4013/4014</v>
      </c>
      <c r="L60" s="22" t="str">
        <f>VLOOKUP(A60,'Trips&amp;Operators'!$C$1:$G$99999,5,FALSE)</f>
        <v>ISHMAEL JOSEPH</v>
      </c>
      <c r="M60" s="6">
        <f t="shared" si="1"/>
        <v>2.435185184731381E-2</v>
      </c>
      <c r="N60" s="7">
        <f t="shared" si="2"/>
        <v>35.066666660131887</v>
      </c>
      <c r="O60" s="7"/>
      <c r="P60" s="7"/>
      <c r="Q60" s="23"/>
      <c r="R60" s="23"/>
      <c r="S60" s="35">
        <f t="shared" si="3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08:21:23-700',mode:absolute,to:'2016-12-25 11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60" s="52" t="str">
        <f t="shared" si="6"/>
        <v>N</v>
      </c>
      <c r="X60" s="177">
        <f t="shared" si="7"/>
        <v>1</v>
      </c>
      <c r="Y60" s="67">
        <f t="shared" si="8"/>
        <v>0.05</v>
      </c>
      <c r="Z60" s="67">
        <f t="shared" si="9"/>
        <v>23.329799999999999</v>
      </c>
      <c r="AA60" s="67">
        <f t="shared" si="10"/>
        <v>23.279799999999998</v>
      </c>
      <c r="AB60" s="64" t="e">
        <f>VLOOKUP(A60,Enforcements!$C$7:$K$19,8,0)</f>
        <v>#N/A</v>
      </c>
      <c r="AC60" s="60" t="e">
        <f>VLOOKUP(A60,Enforcements!$C$7:$E$19,3,0)</f>
        <v>#N/A</v>
      </c>
      <c r="AD60" s="61" t="str">
        <f t="shared" si="11"/>
        <v>0147-25</v>
      </c>
      <c r="AE60" s="91" t="str">
        <f t="shared" si="12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60" s="88" t="str">
        <f t="shared" si="13"/>
        <v>"C:\Program Files (x86)\AstroGrep\AstroGrep.exe" /spath="%USERPROFILE%\AppData\Local\Temp\OnboardLogs" /stypes="app*4014*20161225*"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147-25 --locoid 4014 --swversion DE.1.0.8.0 --startMP 204:500 --initTime 2016-12-25T09:21:23 --startdatetime 2016-12-25T09:30:19 --delay 1 --endMP 204:233298 --enddatetime 2016-12-25T10:05:23 --enforcementcount 0 &gt;&gt;C:\Users\stu\Documents\GitHub\eaglep3-reporting\EC\2016-12-25-refined-times.txt</v>
      </c>
      <c r="AI6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{"issue":{"subject":"","project_id":79,"tracker_id":40,"status_id":1,"priority_id":2,"assigned_to_id":23,"start_date":"2016-12-25","description":"","custom_fields":[{"id":1,"name":"Subdivision","value":"EC"},{"id":4,"name":"Milepost","value":"23.3298"},{"id":17,"name":"Train ID","value":"147-25"},{"id":16,"name":"Locomotive ID","value":"4014"},{"id":130,"name":"Impact","value":""},{"id":150,"name":"Time of Event (Mountain Time)","value":"10:05:23"},{"id":151,"name":"Denver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536</v>
      </c>
      <c r="B61" s="7">
        <v>4013</v>
      </c>
      <c r="C61" s="22" t="s">
        <v>205</v>
      </c>
      <c r="D61" s="22" t="s">
        <v>688</v>
      </c>
      <c r="E61" s="13">
        <v>42729.425902777781</v>
      </c>
      <c r="F61" s="13">
        <v>42729.434884259259</v>
      </c>
      <c r="G61" s="7">
        <v>1</v>
      </c>
      <c r="H61" s="22" t="s">
        <v>224</v>
      </c>
      <c r="I61" s="13">
        <v>42729.46130787037</v>
      </c>
      <c r="J61" s="7">
        <v>0</v>
      </c>
      <c r="K61" s="109" t="str">
        <f t="shared" si="0"/>
        <v>4013/4014</v>
      </c>
      <c r="L61" s="22" t="str">
        <f>VLOOKUP(A61,'Trips&amp;Operators'!$C$1:$G$99999,5,FALSE)</f>
        <v>ISHMAEL JOSEPH</v>
      </c>
      <c r="M61" s="6">
        <f t="shared" si="1"/>
        <v>2.6423611110658385E-2</v>
      </c>
      <c r="N61" s="7">
        <f t="shared" si="2"/>
        <v>38.049999999348074</v>
      </c>
      <c r="O61" s="7"/>
      <c r="P61" s="7"/>
      <c r="Q61" s="23"/>
      <c r="R61" s="23"/>
      <c r="S61" s="35">
        <f t="shared" si="3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09:13:18-700',mode:absolute,to:'2016-12-25 12:04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1" s="52" t="str">
        <f t="shared" si="6"/>
        <v>N</v>
      </c>
      <c r="X61" s="177">
        <f t="shared" si="7"/>
        <v>1</v>
      </c>
      <c r="Y61" s="67">
        <f t="shared" si="8"/>
        <v>23.300599999999999</v>
      </c>
      <c r="Z61" s="67">
        <f t="shared" si="9"/>
        <v>1.54E-2</v>
      </c>
      <c r="AA61" s="67">
        <f t="shared" si="10"/>
        <v>23.2852</v>
      </c>
      <c r="AB61" s="64" t="e">
        <f>VLOOKUP(A61,Enforcements!$C$7:$K$19,8,0)</f>
        <v>#N/A</v>
      </c>
      <c r="AC61" s="60" t="e">
        <f>VLOOKUP(A61,Enforcements!$C$7:$E$19,3,0)</f>
        <v>#N/A</v>
      </c>
      <c r="AD61" s="61" t="str">
        <f t="shared" si="11"/>
        <v>0148-25</v>
      </c>
      <c r="AE61" s="91" t="str">
        <f t="shared" si="12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61" s="88" t="str">
        <f t="shared" si="13"/>
        <v>"C:\Program Files (x86)\AstroGrep\AstroGrep.exe" /spath="%USERPROFILE%\AppData\Local\Temp\OnboardLogs" /stypes="app*4013*20161225*"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148-25 --locoid 4013 --swversion DE.1.0.8.0 --startMP 204:233006 --initTime 2016-12-25T10:13:18 --startdatetime 2016-12-25T10:26:14 --delay 1 --endMP 204:154 --enddatetime 2016-12-25T11:04:17 --enforcementcount 0 &gt;&gt;C:\Users\stu\Documents\GitHub\eaglep3-reporting\EC\2016-12-25-refined-times.txt</v>
      </c>
      <c r="AI6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ID","value":"148-25"},{"id":16,"name":"Locomotive ID","value":"4013"},{"id":130,"name":"Impact","value":""},{"id":150,"name":"Time of Event (Mountain Time)","value":"11:04:17"},{"id":151,"name":"Denver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530</v>
      </c>
      <c r="B62" s="7">
        <v>4018</v>
      </c>
      <c r="C62" s="22" t="s">
        <v>205</v>
      </c>
      <c r="D62" s="22" t="s">
        <v>285</v>
      </c>
      <c r="E62" s="13">
        <v>42729.401446759257</v>
      </c>
      <c r="F62" s="13">
        <v>42729.406550925924</v>
      </c>
      <c r="G62" s="7">
        <v>1</v>
      </c>
      <c r="H62" s="22" t="s">
        <v>355</v>
      </c>
      <c r="I62" s="13">
        <v>42729.430902777778</v>
      </c>
      <c r="J62" s="7">
        <v>0</v>
      </c>
      <c r="K62" s="109" t="str">
        <f t="shared" si="0"/>
        <v>4017/4018</v>
      </c>
      <c r="L62" s="22" t="str">
        <f>VLOOKUP(A62,'Trips&amp;Operators'!$C$1:$G$99999,5,FALSE)</f>
        <v>DAVIS WENDY</v>
      </c>
      <c r="M62" s="6">
        <f t="shared" si="1"/>
        <v>2.4351851854589768E-2</v>
      </c>
      <c r="N62" s="7">
        <f t="shared" si="2"/>
        <v>35.066666670609266</v>
      </c>
      <c r="O62" s="7"/>
      <c r="P62" s="7"/>
      <c r="Q62" s="23"/>
      <c r="R62" s="23"/>
      <c r="S62" s="35">
        <f t="shared" si="3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08:38:05-700',mode:absolute,to:'2016-12-25 11:20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2" s="52" t="str">
        <f t="shared" si="6"/>
        <v>N</v>
      </c>
      <c r="X62" s="177">
        <f t="shared" si="7"/>
        <v>1</v>
      </c>
      <c r="Y62" s="67">
        <f t="shared" si="8"/>
        <v>4.4900000000000002E-2</v>
      </c>
      <c r="Z62" s="67">
        <f t="shared" si="9"/>
        <v>23.330300000000001</v>
      </c>
      <c r="AA62" s="67">
        <f t="shared" si="10"/>
        <v>23.285400000000003</v>
      </c>
      <c r="AB62" s="64" t="e">
        <f>VLOOKUP(A62,Enforcements!$C$7:$K$19,8,0)</f>
        <v>#N/A</v>
      </c>
      <c r="AC62" s="60" t="e">
        <f>VLOOKUP(A62,Enforcements!$C$7:$E$19,3,0)</f>
        <v>#N/A</v>
      </c>
      <c r="AD62" s="61" t="str">
        <f t="shared" si="11"/>
        <v>0149-25</v>
      </c>
      <c r="AE62" s="91" t="str">
        <f t="shared" si="12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62" s="88" t="str">
        <f t="shared" si="13"/>
        <v>"C:\Program Files (x86)\AstroGrep\AstroGrep.exe" /spath="%USERPROFILE%\AppData\Local\Temp\OnboardLogs" /stypes="app*4018*20161225*"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149-25 --locoid 4018 --swversion DE.1.0.8.0 --startMP 204:449 --initTime 2016-12-25T09:38:05 --startdatetime 2016-12-25T09:45:26 --delay 1 --endMP 204:233303 --enddatetime 2016-12-25T10:20:30 --enforcementcount 0 &gt;&gt;C:\Users\stu\Documents\GitHub\eaglep3-reporting\EC\2016-12-25-refined-times.txt</v>
      </c>
      <c r="AI62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{"issue":{"subject":"","project_id":79,"tracker_id":40,"status_id":1,"priority_id":2,"assigned_to_id":23,"start_date":"2016-12-25","description":"","custom_fields":[{"id":1,"name":"Subdivision","value":"EC"},{"id":4,"name":"Milepost","value":"23.3303"},{"id":17,"name":"Train ID","value":"149-25"},{"id":16,"name":"Locomotive ID","value":"4018"},{"id":130,"name":"Impact","value":""},{"id":150,"name":"Time of Event (Mountain Time)","value":"10:20:30"},{"id":151,"name":"Denver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540</v>
      </c>
      <c r="B63" s="7">
        <v>4017</v>
      </c>
      <c r="C63" s="22" t="s">
        <v>205</v>
      </c>
      <c r="D63" s="22" t="s">
        <v>278</v>
      </c>
      <c r="E63" s="13">
        <v>42729.439085648148</v>
      </c>
      <c r="F63" s="13">
        <v>42729.445289351854</v>
      </c>
      <c r="G63" s="7">
        <v>0</v>
      </c>
      <c r="H63" s="22" t="s">
        <v>357</v>
      </c>
      <c r="I63" s="13">
        <v>42729.473252314812</v>
      </c>
      <c r="J63" s="7">
        <v>0</v>
      </c>
      <c r="K63" s="109" t="str">
        <f t="shared" si="0"/>
        <v>4017/4018</v>
      </c>
      <c r="L63" s="22" t="str">
        <f>VLOOKUP(A63,'Trips&amp;Operators'!$C$1:$G$99999,5,FALSE)</f>
        <v>DAVIS WENDY</v>
      </c>
      <c r="M63" s="6">
        <f t="shared" si="1"/>
        <v>2.7962962958554272E-2</v>
      </c>
      <c r="N63" s="7">
        <f t="shared" si="2"/>
        <v>40.266666660318151</v>
      </c>
      <c r="O63" s="7"/>
      <c r="P63" s="7"/>
      <c r="Q63" s="23"/>
      <c r="R63" s="23"/>
      <c r="S63" s="35">
        <f t="shared" si="3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09:32:17-700',mode:absolute,to:'2016-12-25 12:21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3" s="52" t="str">
        <f t="shared" si="6"/>
        <v>N</v>
      </c>
      <c r="X63" s="177">
        <f t="shared" si="7"/>
        <v>1</v>
      </c>
      <c r="Y63" s="67">
        <f t="shared" si="8"/>
        <v>23.2986</v>
      </c>
      <c r="Z63" s="67">
        <f t="shared" si="9"/>
        <v>1.41E-2</v>
      </c>
      <c r="AA63" s="67">
        <f t="shared" si="10"/>
        <v>23.284500000000001</v>
      </c>
      <c r="AB63" s="64" t="e">
        <f>VLOOKUP(A63,Enforcements!$C$7:$K$19,8,0)</f>
        <v>#N/A</v>
      </c>
      <c r="AC63" s="60" t="e">
        <f>VLOOKUP(A63,Enforcements!$C$7:$E$19,3,0)</f>
        <v>#N/A</v>
      </c>
      <c r="AD63" s="61" t="str">
        <f t="shared" si="11"/>
        <v>0150-25</v>
      </c>
      <c r="AE63" s="91" t="str">
        <f t="shared" si="12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63" s="88" t="str">
        <f t="shared" si="13"/>
        <v>"C:\Program Files (x86)\AstroGrep\AstroGrep.exe" /spath="%USERPROFILE%\AppData\Local\Temp\OnboardLogs" /stypes="app*4017*20161225*"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150-25 --locoid 4017 --swversion DE.1.0.8.0 --startMP 204:232986 --initTime 2016-12-25T10:32:17 --startdatetime 2016-12-25T10:41:13 --delay 0 --endMP 204:141 --enddatetime 2016-12-25T11:21:29 --enforcementcount 0 &gt;&gt;C:\Users\stu\Documents\GitHub\eaglep3-reporting\EC\2016-12-25-refined-times.txt</v>
      </c>
      <c r="AI6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{"issue":{"subject":"","project_id":79,"tracker_id":40,"status_id":1,"priority_id":2,"assigned_to_id":23,"start_date":"2016-12-25","description":"","custom_fields":[{"id":1,"name":"Subdivision","value":"EC"},{"id":4,"name":"Milepost","value":"0.0141"},{"id":17,"name":"Train ID","value":"150-25"},{"id":16,"name":"Locomotive ID","value":"4017"},{"id":130,"name":"Impact","value":""},{"id":150,"name":"Time of Event (Mountain Time)","value":"11:21:29"},{"id":151,"name":"Denver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532</v>
      </c>
      <c r="B64" s="7">
        <v>4027</v>
      </c>
      <c r="C64" s="22" t="s">
        <v>205</v>
      </c>
      <c r="D64" s="22" t="s">
        <v>228</v>
      </c>
      <c r="E64" s="13">
        <v>42729.412627314814</v>
      </c>
      <c r="F64" s="13">
        <v>42729.41684027778</v>
      </c>
      <c r="G64" s="7">
        <v>1</v>
      </c>
      <c r="H64" s="22" t="s">
        <v>317</v>
      </c>
      <c r="I64" s="13">
        <v>42729.44127314815</v>
      </c>
      <c r="J64" s="7">
        <v>0</v>
      </c>
      <c r="K64" s="109" t="str">
        <f t="shared" si="0"/>
        <v>4027/4028</v>
      </c>
      <c r="L64" s="22" t="str">
        <f>VLOOKUP(A64,'Trips&amp;Operators'!$C$1:$G$99999,5,FALSE)</f>
        <v>ROBINSON KADDIBA</v>
      </c>
      <c r="M64" s="6">
        <f t="shared" si="1"/>
        <v>2.4432870370219462E-2</v>
      </c>
      <c r="N64" s="7">
        <f t="shared" si="2"/>
        <v>35.183333333116025</v>
      </c>
      <c r="O64" s="7"/>
      <c r="P64" s="7"/>
      <c r="Q64" s="23"/>
      <c r="R64" s="23"/>
      <c r="S64" s="35">
        <f t="shared" si="3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08:54:11-700',mode:absolute,to:'2016-12-25 11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64" s="52" t="str">
        <f t="shared" si="6"/>
        <v>N</v>
      </c>
      <c r="X64" s="177">
        <f t="shared" si="7"/>
        <v>1</v>
      </c>
      <c r="Y64" s="67">
        <f t="shared" si="8"/>
        <v>4.5499999999999999E-2</v>
      </c>
      <c r="Z64" s="67">
        <f t="shared" si="9"/>
        <v>23.329699999999999</v>
      </c>
      <c r="AA64" s="67">
        <f t="shared" si="10"/>
        <v>23.284199999999998</v>
      </c>
      <c r="AB64" s="64" t="e">
        <f>VLOOKUP(A64,Enforcements!$C$7:$K$19,8,0)</f>
        <v>#N/A</v>
      </c>
      <c r="AC64" s="60" t="e">
        <f>VLOOKUP(A64,Enforcements!$C$7:$E$19,3,0)</f>
        <v>#N/A</v>
      </c>
      <c r="AD64" s="61" t="str">
        <f t="shared" si="11"/>
        <v>0151-25</v>
      </c>
      <c r="AE64" s="91" t="str">
        <f t="shared" si="12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64" s="88" t="str">
        <f t="shared" si="13"/>
        <v>"C:\Program Files (x86)\AstroGrep\AstroGrep.exe" /spath="%USERPROFILE%\AppData\Local\Temp\OnboardLogs" /stypes="app*4027*20161225*"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151-25 --locoid 4027 --swversion DE.1.0.8.0 --startMP 204:455 --initTime 2016-12-25T09:54:11 --startdatetime 2016-12-25T10:00:15 --delay 1 --endMP 204:233297 --enddatetime 2016-12-25T10:35:26 --enforcementcount 0 &gt;&gt;C:\Users\stu\Documents\GitHub\eaglep3-reporting\EC\2016-12-25-refined-times.txt</v>
      </c>
      <c r="AI6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ID","value":"151-25"},{"id":16,"name":"Locomotive ID","value":"4027"},{"id":130,"name":"Impact","value":""},{"id":150,"name":"Time of Event (Mountain Time)","value":"10:35:26"},{"id":151,"name":"Denver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543</v>
      </c>
      <c r="B65" s="7">
        <v>4028</v>
      </c>
      <c r="C65" s="22" t="s">
        <v>205</v>
      </c>
      <c r="D65" s="22" t="s">
        <v>332</v>
      </c>
      <c r="E65" s="13">
        <v>42729.451504629629</v>
      </c>
      <c r="F65" s="13">
        <v>42729.45590277778</v>
      </c>
      <c r="G65" s="7">
        <v>1</v>
      </c>
      <c r="H65" s="22" t="s">
        <v>191</v>
      </c>
      <c r="I65" s="13">
        <v>42729.483773148146</v>
      </c>
      <c r="J65" s="7">
        <v>0</v>
      </c>
      <c r="K65" s="109" t="str">
        <f t="shared" si="0"/>
        <v>4027/4028</v>
      </c>
      <c r="L65" s="22" t="str">
        <f>VLOOKUP(A65,'Trips&amp;Operators'!$C$1:$G$99999,5,FALSE)</f>
        <v>ROBINSON KADDIBA</v>
      </c>
      <c r="M65" s="6">
        <f t="shared" si="1"/>
        <v>2.7870370366144925E-2</v>
      </c>
      <c r="N65" s="7">
        <f t="shared" si="2"/>
        <v>40.133333327248693</v>
      </c>
      <c r="O65" s="7"/>
      <c r="P65" s="7"/>
      <c r="Q65" s="23"/>
      <c r="R65" s="23"/>
      <c r="S65" s="35">
        <f t="shared" si="3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09:50:10-700',mode:absolute,to:'2016-12-25 12:36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65" s="52" t="str">
        <f t="shared" si="6"/>
        <v>N</v>
      </c>
      <c r="X65" s="177">
        <f t="shared" si="7"/>
        <v>1</v>
      </c>
      <c r="Y65" s="67">
        <f t="shared" si="8"/>
        <v>23.298300000000001</v>
      </c>
      <c r="Z65" s="67">
        <f t="shared" si="9"/>
        <v>1.49E-2</v>
      </c>
      <c r="AA65" s="67">
        <f t="shared" si="10"/>
        <v>23.2834</v>
      </c>
      <c r="AB65" s="64" t="e">
        <f>VLOOKUP(A65,Enforcements!$C$7:$K$19,8,0)</f>
        <v>#N/A</v>
      </c>
      <c r="AC65" s="60" t="e">
        <f>VLOOKUP(A65,Enforcements!$C$7:$E$19,3,0)</f>
        <v>#N/A</v>
      </c>
      <c r="AD65" s="61" t="str">
        <f t="shared" si="11"/>
        <v>0152-25</v>
      </c>
      <c r="AE65" s="91" t="str">
        <f t="shared" si="12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65" s="88" t="str">
        <f t="shared" si="13"/>
        <v>"C:\Program Files (x86)\AstroGrep\AstroGrep.exe" /spath="%USERPROFILE%\AppData\Local\Temp\OnboardLogs" /stypes="app*4028*20161225*"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152-25 --locoid 4028 --swversion DE.1.0.8.0 --startMP 204:232983 --initTime 2016-12-25T10:50:10 --startdatetime 2016-12-25T10:56:30 --delay 1 --endMP 204:149 --enddatetime 2016-12-25T11:36:38 --enforcementcount 0 &gt;&gt;C:\Users\stu\Documents\GitHub\eaglep3-reporting\EC\2016-12-25-refined-times.txt</v>
      </c>
      <c r="AI6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{"issue":{"subject":"","project_id":79,"tracker_id":40,"status_id":1,"priority_id":2,"assigned_to_id":23,"start_date":"2016-12-25","description":"","custom_fields":[{"id":1,"name":"Subdivision","value":"EC"},{"id":4,"name":"Milepost","value":"0.0149"},{"id":17,"name":"Train ID","value":"152-25"},{"id":16,"name":"Locomotive ID","value":"4028"},{"id":130,"name":"Impact","value":""},{"id":150,"name":"Time of Event (Mountain Time)","value":"11:36:38"},{"id":151,"name":"Denver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535</v>
      </c>
      <c r="B66" s="7">
        <v>4009</v>
      </c>
      <c r="C66" s="22" t="s">
        <v>205</v>
      </c>
      <c r="D66" s="22" t="s">
        <v>265</v>
      </c>
      <c r="E66" s="13">
        <v>42729.423356481479</v>
      </c>
      <c r="F66" s="13">
        <v>42729.427268518521</v>
      </c>
      <c r="G66" s="7">
        <v>5</v>
      </c>
      <c r="H66" s="22" t="s">
        <v>276</v>
      </c>
      <c r="I66" s="13">
        <v>42729.45144675926</v>
      </c>
      <c r="J66" s="7">
        <v>0</v>
      </c>
      <c r="K66" s="109" t="str">
        <f t="shared" si="0"/>
        <v>4009/4010</v>
      </c>
      <c r="L66" s="22" t="str">
        <f>VLOOKUP(A66,'Trips&amp;Operators'!$C$1:$G$99999,5,FALSE)</f>
        <v>GEBRETEKLE DAGNEW</v>
      </c>
      <c r="M66" s="6">
        <f t="shared" si="1"/>
        <v>2.417824073927477E-2</v>
      </c>
      <c r="N66" s="7">
        <f t="shared" si="2"/>
        <v>34.816666664555669</v>
      </c>
      <c r="O66" s="7"/>
      <c r="P66" s="7"/>
      <c r="Q66" s="23"/>
      <c r="R66" s="23"/>
      <c r="S66" s="35">
        <f t="shared" si="3"/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09:09:38-700',mode:absolute,to:'2016-12-25 11:50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6" s="52" t="str">
        <f t="shared" si="6"/>
        <v>N</v>
      </c>
      <c r="X66" s="177">
        <f t="shared" si="7"/>
        <v>1</v>
      </c>
      <c r="Y66" s="67">
        <f t="shared" si="8"/>
        <v>4.6699999999999998E-2</v>
      </c>
      <c r="Z66" s="67">
        <f t="shared" si="9"/>
        <v>23.328900000000001</v>
      </c>
      <c r="AA66" s="67">
        <f t="shared" si="10"/>
        <v>23.2822</v>
      </c>
      <c r="AB66" s="64" t="e">
        <f>VLOOKUP(A66,Enforcements!$C$7:$K$19,8,0)</f>
        <v>#N/A</v>
      </c>
      <c r="AC66" s="60" t="e">
        <f>VLOOKUP(A66,Enforcements!$C$7:$E$19,3,0)</f>
        <v>#N/A</v>
      </c>
      <c r="AD66" s="61" t="str">
        <f t="shared" si="11"/>
        <v>0153-25</v>
      </c>
      <c r="AE66" s="91" t="str">
        <f t="shared" si="12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66" s="88" t="str">
        <f t="shared" si="13"/>
        <v>"C:\Program Files (x86)\AstroGrep\AstroGrep.exe" /spath="%USERPROFILE%\AppData\Local\Temp\OnboardLogs" /stypes="app*4009*20161225*" /stext=" 17:.+((SYSTEM_STATE.+slice.+state.+changed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153-25 --locoid 4009 --swversion DE.1.0.8.0 --startMP 204:467 --initTime 2016-12-25T10:09:38 --startdatetime 2016-12-25T10:15:16 --delay 5 --endMP 204:233289 --enddatetime 2016-12-25T10:50:05 --enforcementcount 0 &gt;&gt;C:\Users\stu\Documents\GitHub\eaglep3-reporting\EC\2016-12-25-refined-times.txt</v>
      </c>
      <c r="AI6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{"issue":{"subject":"","project_id":79,"tracker_id":40,"status_id":1,"priority_id":2,"assigned_to_id":23,"start_date":"2016-12-25","description":"","custom_fields":[{"id":1,"name":"Subdivision","value":"EC"},{"id":4,"name":"Milepost","value":"23.3289"},{"id":17,"name":"Train ID","value":"153-25"},{"id":16,"name":"Locomotive ID","value":"4009"},{"id":130,"name":"Impact","value":""},{"id":150,"name":"Time of Event (Mountain Time)","value":"10:50:05"},{"id":151,"name":"Denver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546</v>
      </c>
      <c r="B67" s="7">
        <v>4010</v>
      </c>
      <c r="C67" s="22" t="s">
        <v>205</v>
      </c>
      <c r="D67" s="22" t="s">
        <v>330</v>
      </c>
      <c r="E67" s="13">
        <v>42729.462384259263</v>
      </c>
      <c r="F67" s="13">
        <v>42729.466157407405</v>
      </c>
      <c r="G67" s="7">
        <v>1</v>
      </c>
      <c r="H67" s="22" t="s">
        <v>274</v>
      </c>
      <c r="I67" s="13">
        <v>42729.492835648147</v>
      </c>
      <c r="J67" s="7">
        <v>0</v>
      </c>
      <c r="K67" s="109" t="str">
        <f t="shared" si="0"/>
        <v>4009/4010</v>
      </c>
      <c r="L67" s="22" t="str">
        <f>VLOOKUP(A67,'Trips&amp;Operators'!$C$1:$G$99999,5,FALSE)</f>
        <v>GEBRETEKLE DAGNEW</v>
      </c>
      <c r="M67" s="6">
        <f t="shared" si="1"/>
        <v>2.6678240741603076E-2</v>
      </c>
      <c r="N67" s="7">
        <f t="shared" si="2"/>
        <v>38.41666666790843</v>
      </c>
      <c r="O67" s="7"/>
      <c r="P67" s="7"/>
      <c r="Q67" s="23"/>
      <c r="R67" s="23"/>
      <c r="S67" s="35">
        <f t="shared" si="3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10:05:50-700',mode:absolute,to:'2016-12-25 12:49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7" s="52" t="str">
        <f t="shared" si="6"/>
        <v>N</v>
      </c>
      <c r="X67" s="177">
        <f t="shared" si="7"/>
        <v>1</v>
      </c>
      <c r="Y67" s="67">
        <f t="shared" si="8"/>
        <v>23.296900000000001</v>
      </c>
      <c r="Z67" s="67">
        <f t="shared" si="9"/>
        <v>1.38E-2</v>
      </c>
      <c r="AA67" s="67">
        <f t="shared" si="10"/>
        <v>23.283100000000001</v>
      </c>
      <c r="AB67" s="64" t="e">
        <f>VLOOKUP(A67,Enforcements!$C$7:$K$19,8,0)</f>
        <v>#N/A</v>
      </c>
      <c r="AC67" s="60" t="e">
        <f>VLOOKUP(A67,Enforcements!$C$7:$E$19,3,0)</f>
        <v>#N/A</v>
      </c>
      <c r="AD67" s="61" t="str">
        <f t="shared" si="11"/>
        <v>0154-25</v>
      </c>
      <c r="AE67" s="91" t="str">
        <f t="shared" si="12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67" s="88" t="str">
        <f t="shared" si="13"/>
        <v>"C:\Program Files (x86)\AstroGrep\AstroGrep.exe" /spath="%USERPROFILE%\AppData\Local\Temp\OnboardLogs" /stypes="app*4010*20161225*" /stext=" 18:.+((SYSTEM_STATE.+slice.+state.+changed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154-25 --locoid 4010 --swversion DE.1.0.8.0 --startMP 204:232969 --initTime 2016-12-25T11:05:50 --startdatetime 2016-12-25T11:11:16 --delay 1 --endMP 204:138 --enddatetime 2016-12-25T11:49:41 --enforcementcount 0 &gt;&gt;C:\Users\stu\Documents\GitHub\eaglep3-reporting\EC\2016-12-25-refined-times.txt</v>
      </c>
      <c r="AI6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{"issue":{"subject":"","project_id":79,"tracker_id":40,"status_id":1,"priority_id":2,"assigned_to_id":23,"start_date":"2016-12-25","description":"","custom_fields":[{"id":1,"name":"Subdivision","value":"EC"},{"id":4,"name":"Milepost","value":"0.0138"},{"id":17,"name":"Train ID","value":"154-25"},{"id":16,"name":"Locomotive ID","value":"4010"},{"id":130,"name":"Impact","value":""},{"id":150,"name":"Time of Event (Mountain Time)","value":"11:49:41"},{"id":151,"name":"Denver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537</v>
      </c>
      <c r="B68" s="7">
        <v>4025</v>
      </c>
      <c r="C68" s="22" t="s">
        <v>205</v>
      </c>
      <c r="D68" s="22" t="s">
        <v>679</v>
      </c>
      <c r="E68" s="13">
        <v>42729.43310185185</v>
      </c>
      <c r="F68" s="13">
        <v>42729.437916666669</v>
      </c>
      <c r="G68" s="7">
        <v>1</v>
      </c>
      <c r="H68" s="22" t="s">
        <v>288</v>
      </c>
      <c r="I68" s="13">
        <v>42729.462256944447</v>
      </c>
      <c r="J68" s="7">
        <v>0</v>
      </c>
      <c r="K68" s="109" t="str">
        <f t="shared" si="0"/>
        <v>4025/4026</v>
      </c>
      <c r="L68" s="22" t="str">
        <f>VLOOKUP(A68,'Trips&amp;Operators'!$C$1:$G$99999,5,FALSE)</f>
        <v>ADANE ELSHADAY</v>
      </c>
      <c r="M68" s="6">
        <f t="shared" si="1"/>
        <v>2.4340277777810115E-2</v>
      </c>
      <c r="N68" s="7">
        <f t="shared" si="2"/>
        <v>35.050000000046566</v>
      </c>
      <c r="O68" s="7"/>
      <c r="P68" s="7"/>
      <c r="Q68" s="23"/>
      <c r="R68" s="23"/>
      <c r="S68" s="35">
        <f t="shared" si="3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09:23:40-700',mode:absolute,to:'2016-12-25 12:05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68" s="52" t="str">
        <f t="shared" si="6"/>
        <v>N</v>
      </c>
      <c r="X68" s="177">
        <f t="shared" si="7"/>
        <v>1</v>
      </c>
      <c r="Y68" s="67">
        <f t="shared" si="8"/>
        <v>4.4400000000000002E-2</v>
      </c>
      <c r="Z68" s="67">
        <f t="shared" si="9"/>
        <v>23.3308</v>
      </c>
      <c r="AA68" s="67">
        <f t="shared" si="10"/>
        <v>23.2864</v>
      </c>
      <c r="AB68" s="64" t="e">
        <f>VLOOKUP(A68,Enforcements!$C$7:$K$19,8,0)</f>
        <v>#N/A</v>
      </c>
      <c r="AC68" s="60" t="e">
        <f>VLOOKUP(A68,Enforcements!$C$7:$E$19,3,0)</f>
        <v>#N/A</v>
      </c>
      <c r="AD68" s="61" t="str">
        <f t="shared" si="11"/>
        <v>0155-25</v>
      </c>
      <c r="AE68" s="91" t="str">
        <f t="shared" si="12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68" s="88" t="str">
        <f t="shared" si="13"/>
        <v>"C:\Program Files (x86)\AstroGrep\AstroGrep.exe" /spath="%USERPROFILE%\AppData\Local\Temp\OnboardLogs" /stypes="app*4025*20161225*"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155-25 --locoid 4025 --swversion DE.1.0.8.0 --startMP 204:444 --initTime 2016-12-25T10:23:40 --startdatetime 2016-12-25T10:30:36 --delay 1 --endMP 204:233308 --enddatetime 2016-12-25T11:05:39 --enforcementcount 0 &gt;&gt;C:\Users\stu\Documents\GitHub\eaglep3-reporting\EC\2016-12-25-refined-times.txt</v>
      </c>
      <c r="AI68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{"issue":{"subject":"","project_id":79,"tracker_id":40,"status_id":1,"priority_id":2,"assigned_to_id":23,"start_date":"2016-12-25","description":"","custom_fields":[{"id":1,"name":"Subdivision","value":"EC"},{"id":4,"name":"Milepost","value":"23.3308"},{"id":17,"name":"Train ID","value":"155-25"},{"id":16,"name":"Locomotive ID","value":"4025"},{"id":130,"name":"Impact","value":""},{"id":150,"name":"Time of Event (Mountain Time)","value":"11:05:39"},{"id":151,"name":"Denver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547</v>
      </c>
      <c r="B69" s="7">
        <v>4026</v>
      </c>
      <c r="C69" s="22" t="s">
        <v>205</v>
      </c>
      <c r="D69" s="22" t="s">
        <v>356</v>
      </c>
      <c r="E69" s="13">
        <v>42729.464282407411</v>
      </c>
      <c r="F69" s="13">
        <v>42729.476736111108</v>
      </c>
      <c r="G69" s="7">
        <v>1</v>
      </c>
      <c r="H69" s="22" t="s">
        <v>417</v>
      </c>
      <c r="I69" s="13">
        <v>42729.502754629626</v>
      </c>
      <c r="J69" s="7">
        <v>0</v>
      </c>
      <c r="K69" s="109" t="str">
        <f t="shared" si="0"/>
        <v>4025/4026</v>
      </c>
      <c r="L69" s="22" t="str">
        <f>VLOOKUP(A69,'Trips&amp;Operators'!$C$1:$G$99999,5,FALSE)</f>
        <v>ADANE ELSHADAY</v>
      </c>
      <c r="M69" s="6">
        <f t="shared" si="1"/>
        <v>2.6018518517958E-2</v>
      </c>
      <c r="N69" s="7">
        <f t="shared" si="2"/>
        <v>37.46666666585952</v>
      </c>
      <c r="O69" s="7"/>
      <c r="P69" s="7"/>
      <c r="Q69" s="23"/>
      <c r="R69" s="23"/>
      <c r="S69" s="35">
        <f t="shared" si="3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10:08:34-700',mode:absolute,to:'2016-12-25 13:03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69" s="52" t="str">
        <f t="shared" si="6"/>
        <v>N</v>
      </c>
      <c r="X69" s="177">
        <f t="shared" si="7"/>
        <v>1</v>
      </c>
      <c r="Y69" s="67">
        <f t="shared" si="8"/>
        <v>23.2987</v>
      </c>
      <c r="Z69" s="67">
        <f t="shared" si="9"/>
        <v>1.5599999999999999E-2</v>
      </c>
      <c r="AA69" s="67">
        <f t="shared" si="10"/>
        <v>23.283100000000001</v>
      </c>
      <c r="AB69" s="64" t="e">
        <f>VLOOKUP(A69,Enforcements!$C$7:$K$19,8,0)</f>
        <v>#N/A</v>
      </c>
      <c r="AC69" s="60" t="e">
        <f>VLOOKUP(A69,Enforcements!$C$7:$E$19,3,0)</f>
        <v>#N/A</v>
      </c>
      <c r="AD69" s="61" t="str">
        <f t="shared" si="11"/>
        <v>0156-25</v>
      </c>
      <c r="AE69" s="91" t="str">
        <f t="shared" si="12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69" s="88" t="str">
        <f t="shared" si="13"/>
        <v>"C:\Program Files (x86)\AstroGrep\AstroGrep.exe" /spath="%USERPROFILE%\AppData\Local\Temp\OnboardLogs" /stypes="app*4026*20161225*"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156-25 --locoid 4026 --swversion DE.1.0.8.0 --startMP 204:232987 --initTime 2016-12-25T11:08:34 --startdatetime 2016-12-25T11:26:30 --delay 1 --endMP 204:156 --enddatetime 2016-12-25T12:03:58 --enforcementcount 0 &gt;&gt;C:\Users\stu\Documents\GitHub\eaglep3-reporting\EC\2016-12-25-refined-times.txt</v>
      </c>
      <c r="AI69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{"issue":{"subject":"","project_id":79,"tracker_id":40,"status_id":1,"priority_id":2,"assigned_to_id":23,"start_date":"2016-12-25","description":"","custom_fields":[{"id":1,"name":"Subdivision","value":"EC"},{"id":4,"name":"Milepost","value":"0.0156"},{"id":17,"name":"Train ID","value":"156-25"},{"id":16,"name":"Locomotive ID","value":"4026"},{"id":130,"name":"Impact","value":""},{"id":150,"name":"Time of Event (Mountain Time)","value":"12:03:58"},{"id":151,"name":"Denver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542</v>
      </c>
      <c r="B70" s="7">
        <v>4042</v>
      </c>
      <c r="C70" s="22" t="s">
        <v>205</v>
      </c>
      <c r="D70" s="22" t="s">
        <v>230</v>
      </c>
      <c r="E70" s="13">
        <v>42729.444618055553</v>
      </c>
      <c r="F70" s="13">
        <v>42729.448171296295</v>
      </c>
      <c r="G70" s="7">
        <v>1</v>
      </c>
      <c r="H70" s="22" t="s">
        <v>681</v>
      </c>
      <c r="I70" s="13">
        <v>42729.472986111112</v>
      </c>
      <c r="J70" s="7">
        <v>0</v>
      </c>
      <c r="K70" s="109" t="str">
        <f t="shared" si="0"/>
        <v>4041/4042</v>
      </c>
      <c r="L70" s="22" t="str">
        <f>VLOOKUP(A70,'Trips&amp;Operators'!$C$1:$G$99999,5,FALSE)</f>
        <v>SHOOK JOHN</v>
      </c>
      <c r="M70" s="6">
        <f t="shared" si="1"/>
        <v>2.4814814816636499E-2</v>
      </c>
      <c r="N70" s="7">
        <f t="shared" si="2"/>
        <v>35.733333335956559</v>
      </c>
      <c r="O70" s="7"/>
      <c r="P70" s="7"/>
      <c r="Q70" s="23"/>
      <c r="R70" s="23"/>
      <c r="S70" s="35">
        <f t="shared" si="3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09:40:15-700',mode:absolute,to:'2016-12-25 12:21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0" s="52" t="str">
        <f t="shared" si="6"/>
        <v>N</v>
      </c>
      <c r="X70" s="177">
        <f t="shared" si="7"/>
        <v>1</v>
      </c>
      <c r="Y70" s="67">
        <f t="shared" si="8"/>
        <v>4.5999999999999999E-2</v>
      </c>
      <c r="Z70" s="67">
        <f t="shared" si="9"/>
        <v>23.331800000000001</v>
      </c>
      <c r="AA70" s="67">
        <f t="shared" si="10"/>
        <v>23.285800000000002</v>
      </c>
      <c r="AB70" s="64" t="e">
        <f>VLOOKUP(A70,Enforcements!$C$7:$K$19,8,0)</f>
        <v>#N/A</v>
      </c>
      <c r="AC70" s="60" t="e">
        <f>VLOOKUP(A70,Enforcements!$C$7:$E$19,3,0)</f>
        <v>#N/A</v>
      </c>
      <c r="AD70" s="61" t="str">
        <f t="shared" si="11"/>
        <v>0157-25</v>
      </c>
      <c r="AE70" s="91" t="str">
        <f t="shared" si="12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70" s="88" t="str">
        <f t="shared" si="13"/>
        <v>"C:\Program Files (x86)\AstroGrep\AstroGrep.exe" /spath="%USERPROFILE%\AppData\Local\Temp\OnboardLogs" /stypes="app*4042*20161225*"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157-25 --locoid 4042 --swversion DE.1.0.8.0 --startMP 204:460 --initTime 2016-12-25T10:40:15 --startdatetime 2016-12-25T10:45:22 --delay 1 --endMP 204:233318 --enddatetime 2016-12-25T11:21:06 --enforcementcount 0 &gt;&gt;C:\Users\stu\Documents\GitHub\eaglep3-reporting\EC\2016-12-25-refined-times.txt</v>
      </c>
      <c r="AI70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{"issue":{"subject":"","project_id":79,"tracker_id":40,"status_id":1,"priority_id":2,"assigned_to_id":23,"start_date":"2016-12-25","description":"","custom_fields":[{"id":1,"name":"Subdivision","value":"EC"},{"id":4,"name":"Milepost","value":"23.3318"},{"id":17,"name":"Train ID","value":"157-25"},{"id":16,"name":"Locomotive ID","value":"4042"},{"id":130,"name":"Impact","value":""},{"id":150,"name":"Time of Event (Mountain Time)","value":"11:21:06"},{"id":151,"name":"Denver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549</v>
      </c>
      <c r="B71" s="7">
        <v>4041</v>
      </c>
      <c r="C71" s="22" t="s">
        <v>205</v>
      </c>
      <c r="D71" s="22" t="s">
        <v>689</v>
      </c>
      <c r="E71" s="13">
        <v>42729.475046296298</v>
      </c>
      <c r="F71" s="13">
        <v>42729.487025462964</v>
      </c>
      <c r="G71" s="7">
        <v>1</v>
      </c>
      <c r="H71" s="22" t="s">
        <v>690</v>
      </c>
      <c r="I71" s="13">
        <v>42729.514074074075</v>
      </c>
      <c r="J71" s="7">
        <v>0</v>
      </c>
      <c r="K71" s="109" t="str">
        <f t="shared" si="0"/>
        <v>4041/4042</v>
      </c>
      <c r="L71" s="22" t="str">
        <f>VLOOKUP(A71,'Trips&amp;Operators'!$C$1:$G$99999,5,FALSE)</f>
        <v>SHOOK JOHN</v>
      </c>
      <c r="M71" s="6">
        <f t="shared" si="1"/>
        <v>2.7048611111240461E-2</v>
      </c>
      <c r="N71" s="7">
        <f t="shared" si="2"/>
        <v>38.950000000186265</v>
      </c>
      <c r="O71" s="7"/>
      <c r="P71" s="7"/>
      <c r="Q71" s="23"/>
      <c r="R71" s="23"/>
      <c r="S71" s="35">
        <f t="shared" si="3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10:24:04-700',mode:absolute,to:'2016-12-25 13:20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1" s="52" t="str">
        <f t="shared" si="6"/>
        <v>N</v>
      </c>
      <c r="X71" s="177">
        <f t="shared" si="7"/>
        <v>1</v>
      </c>
      <c r="Y71" s="67">
        <f t="shared" si="8"/>
        <v>23.299600000000002</v>
      </c>
      <c r="Z71" s="67">
        <f t="shared" si="9"/>
        <v>1.7600000000000001E-2</v>
      </c>
      <c r="AA71" s="67">
        <f t="shared" si="10"/>
        <v>23.282</v>
      </c>
      <c r="AB71" s="64" t="e">
        <f>VLOOKUP(A71,Enforcements!$C$7:$K$19,8,0)</f>
        <v>#N/A</v>
      </c>
      <c r="AC71" s="60" t="e">
        <f>VLOOKUP(A71,Enforcements!$C$7:$E$19,3,0)</f>
        <v>#N/A</v>
      </c>
      <c r="AD71" s="61" t="str">
        <f t="shared" si="11"/>
        <v>0158-25</v>
      </c>
      <c r="AE71" s="91" t="str">
        <f t="shared" si="12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71" s="88" t="str">
        <f t="shared" si="13"/>
        <v>"C:\Program Files (x86)\AstroGrep\AstroGrep.exe" /spath="%USERPROFILE%\AppData\Local\Temp\OnboardLogs" /stypes="app*4041*20161225*"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158-25 --locoid 4041 --swversion DE.1.0.8.0 --startMP 204:232996 --initTime 2016-12-25T11:24:04 --startdatetime 2016-12-25T11:41:19 --delay 1 --endMP 204:176 --enddatetime 2016-12-25T12:20:16 --enforcementcount 0 &gt;&gt;C:\Users\stu\Documents\GitHub\eaglep3-reporting\EC\2016-12-25-refined-times.txt</v>
      </c>
      <c r="AI71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{"issue":{"subject":"","project_id":79,"tracker_id":40,"status_id":1,"priority_id":2,"assigned_to_id":23,"start_date":"2016-12-25","description":"","custom_fields":[{"id":1,"name":"Subdivision","value":"EC"},{"id":4,"name":"Milepost","value":"0.0176"},{"id":17,"name":"Train ID","value":"158-25"},{"id":16,"name":"Locomotive ID","value":"4041"},{"id":130,"name":"Impact","value":""},{"id":150,"name":"Time of Event (Mountain Time)","value":"12:20:16"},{"id":151,"name":"Denver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545</v>
      </c>
      <c r="B72" s="7">
        <v>4031</v>
      </c>
      <c r="C72" s="22" t="s">
        <v>205</v>
      </c>
      <c r="D72" s="22" t="s">
        <v>194</v>
      </c>
      <c r="E72" s="13">
        <v>42729.455000000002</v>
      </c>
      <c r="F72" s="13">
        <v>42729.458634259259</v>
      </c>
      <c r="G72" s="7">
        <v>2</v>
      </c>
      <c r="H72" s="22" t="s">
        <v>281</v>
      </c>
      <c r="I72" s="13">
        <v>42729.483530092592</v>
      </c>
      <c r="J72" s="7">
        <v>0</v>
      </c>
      <c r="K72" s="109" t="str">
        <f t="shared" si="0"/>
        <v>4031/4032</v>
      </c>
      <c r="L72" s="22" t="str">
        <f>VLOOKUP(A72,'Trips&amp;Operators'!$C$1:$G$99999,5,FALSE)</f>
        <v>STEWART MICHAEL</v>
      </c>
      <c r="M72" s="6">
        <f t="shared" si="1"/>
        <v>2.4895833332266193E-2</v>
      </c>
      <c r="N72" s="7">
        <f t="shared" si="2"/>
        <v>35.849999998463318</v>
      </c>
      <c r="O72" s="7"/>
      <c r="P72" s="7"/>
      <c r="Q72" s="23"/>
      <c r="R72" s="23"/>
      <c r="S72" s="35">
        <f t="shared" si="3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09:55:12-700',mode:absolute,to:'2016-12-25 12:36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2" s="52" t="str">
        <f t="shared" si="6"/>
        <v>N</v>
      </c>
      <c r="X72" s="177">
        <f t="shared" si="7"/>
        <v>1</v>
      </c>
      <c r="Y72" s="67">
        <f t="shared" si="8"/>
        <v>4.5100000000000001E-2</v>
      </c>
      <c r="Z72" s="67">
        <f t="shared" si="9"/>
        <v>23.329799999999999</v>
      </c>
      <c r="AA72" s="67">
        <f t="shared" si="10"/>
        <v>23.284699999999997</v>
      </c>
      <c r="AB72" s="64" t="e">
        <f>VLOOKUP(A72,Enforcements!$C$7:$K$19,8,0)</f>
        <v>#N/A</v>
      </c>
      <c r="AC72" s="60" t="e">
        <f>VLOOKUP(A72,Enforcements!$C$7:$E$19,3,0)</f>
        <v>#N/A</v>
      </c>
      <c r="AD72" s="61" t="str">
        <f t="shared" si="11"/>
        <v>0159-25</v>
      </c>
      <c r="AE72" s="91" t="str">
        <f t="shared" si="12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72" s="88" t="str">
        <f t="shared" si="13"/>
        <v>"C:\Program Files (x86)\AstroGrep\AstroGrep.exe" /spath="%USERPROFILE%\AppData\Local\Temp\OnboardLogs" /stypes="app*4031*20161225*"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159-25 --locoid 4031 --swversion DE.1.0.8.0 --startMP 204:451 --initTime 2016-12-25T10:55:12 --startdatetime 2016-12-25T11:00:26 --delay 2 --endMP 204:233298 --enddatetime 2016-12-25T11:36:17 --enforcementcount 0 &gt;&gt;C:\Users\stu\Documents\GitHub\eaglep3-reporting\EC\2016-12-25-refined-times.txt</v>
      </c>
      <c r="AI72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{"issue":{"subject":"","project_id":79,"tracker_id":40,"status_id":1,"priority_id":2,"assigned_to_id":23,"start_date":"2016-12-25","description":"","custom_fields":[{"id":1,"name":"Subdivision","value":"EC"},{"id":4,"name":"Milepost","value":"23.3298"},{"id":17,"name":"Train ID","value":"159-25"},{"id":16,"name":"Locomotive ID","value":"4031"},{"id":130,"name":"Impact","value":""},{"id":150,"name":"Time of Event (Mountain Time)","value":"11:36:17"},{"id":151,"name":"Denver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558</v>
      </c>
      <c r="B73" s="7">
        <v>4032</v>
      </c>
      <c r="C73" s="22" t="s">
        <v>205</v>
      </c>
      <c r="D73" s="22" t="s">
        <v>324</v>
      </c>
      <c r="E73" s="13">
        <v>42729.493900462963</v>
      </c>
      <c r="F73" s="13">
        <v>42729.497604166667</v>
      </c>
      <c r="G73" s="7">
        <v>1</v>
      </c>
      <c r="H73" s="22" t="s">
        <v>429</v>
      </c>
      <c r="I73" s="13">
        <v>42729.524143518516</v>
      </c>
      <c r="J73" s="7">
        <v>0</v>
      </c>
      <c r="K73" s="109" t="str">
        <f t="shared" si="0"/>
        <v>4031/4032</v>
      </c>
      <c r="L73" s="22" t="str">
        <f>VLOOKUP(A73,'Trips&amp;Operators'!$C$1:$G$99999,5,FALSE)</f>
        <v>STEWART MICHAEL</v>
      </c>
      <c r="M73" s="6">
        <f t="shared" si="1"/>
        <v>2.6539351849351078E-2</v>
      </c>
      <c r="N73" s="7">
        <f t="shared" si="2"/>
        <v>38.216666663065553</v>
      </c>
      <c r="O73" s="7"/>
      <c r="P73" s="7"/>
      <c r="Q73" s="23"/>
      <c r="R73" s="23"/>
      <c r="S73" s="35">
        <f t="shared" si="3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10:51:13-700',mode:absolute,to:'2016-12-25 13:34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3" s="52" t="str">
        <f t="shared" si="6"/>
        <v>N</v>
      </c>
      <c r="X73" s="177">
        <f t="shared" si="7"/>
        <v>1</v>
      </c>
      <c r="Y73" s="67">
        <f t="shared" si="8"/>
        <v>23.299099999999999</v>
      </c>
      <c r="Z73" s="67">
        <f t="shared" si="9"/>
        <v>1.34E-2</v>
      </c>
      <c r="AA73" s="67">
        <f t="shared" si="10"/>
        <v>23.285699999999999</v>
      </c>
      <c r="AB73" s="64" t="e">
        <f>VLOOKUP(A73,Enforcements!$C$7:$K$19,8,0)</f>
        <v>#N/A</v>
      </c>
      <c r="AC73" s="60" t="e">
        <f>VLOOKUP(A73,Enforcements!$C$7:$E$19,3,0)</f>
        <v>#N/A</v>
      </c>
      <c r="AD73" s="61" t="str">
        <f t="shared" si="11"/>
        <v>0160-25</v>
      </c>
      <c r="AE73" s="91" t="str">
        <f t="shared" si="12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73" s="88" t="str">
        <f t="shared" si="13"/>
        <v>"C:\Program Files (x86)\AstroGrep\AstroGrep.exe" /spath="%USERPROFILE%\AppData\Local\Temp\OnboardLogs" /stypes="app*4032*20161225*"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160-25 --locoid 4032 --swversion DE.1.0.8.0 --startMP 204:232991 --initTime 2016-12-25T11:51:13 --startdatetime 2016-12-25T11:56:33 --delay 1 --endMP 204:134 --enddatetime 2016-12-25T12:34:46 --enforcementcount 0 &gt;&gt;C:\Users\stu\Documents\GitHub\eaglep3-reporting\EC\2016-12-25-refined-times.txt</v>
      </c>
      <c r="AI73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{"issue":{"subject":"","project_id":79,"tracker_id":40,"status_id":1,"priority_id":2,"assigned_to_id":23,"start_date":"2016-12-25","description":"","custom_fields":[{"id":1,"name":"Subdivision","value":"EC"},{"id":4,"name":"Milepost","value":"0.0134"},{"id":17,"name":"Train ID","value":"160-25"},{"id":16,"name":"Locomotive ID","value":"4032"},{"id":130,"name":"Impact","value":""},{"id":150,"name":"Time of Event (Mountain Time)","value":"12:34:46"},{"id":151,"name":"Denver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548</v>
      </c>
      <c r="B74" s="7">
        <v>4014</v>
      </c>
      <c r="C74" s="22" t="s">
        <v>205</v>
      </c>
      <c r="D74" s="22" t="s">
        <v>242</v>
      </c>
      <c r="E74" s="13">
        <v>42729.465844907405</v>
      </c>
      <c r="F74" s="13">
        <v>42729.469131944446</v>
      </c>
      <c r="G74" s="7">
        <v>2</v>
      </c>
      <c r="H74" s="22" t="s">
        <v>360</v>
      </c>
      <c r="I74" s="13">
        <v>42729.494189814817</v>
      </c>
      <c r="J74" s="7">
        <v>0</v>
      </c>
      <c r="K74" s="109" t="str">
        <f t="shared" si="0"/>
        <v>4013/4014</v>
      </c>
      <c r="L74" s="22" t="str">
        <f>VLOOKUP(A74,'Trips&amp;Operators'!$C$1:$G$99999,5,FALSE)</f>
        <v>DAVIS MICHAEL</v>
      </c>
      <c r="M74" s="6">
        <f t="shared" si="1"/>
        <v>2.5057870370801538E-2</v>
      </c>
      <c r="N74" s="7">
        <f t="shared" si="2"/>
        <v>36.083333333954215</v>
      </c>
      <c r="O74" s="7"/>
      <c r="P74" s="7"/>
      <c r="Q74" s="23"/>
      <c r="R74" s="23"/>
      <c r="S74" s="35">
        <f t="shared" si="3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10:10:49-700',mode:absolute,to:'2016-12-25 12:51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4" s="52" t="str">
        <f t="shared" si="6"/>
        <v>N</v>
      </c>
      <c r="X74" s="177">
        <f t="shared" si="7"/>
        <v>1</v>
      </c>
      <c r="Y74" s="67">
        <f t="shared" si="8"/>
        <v>4.58E-2</v>
      </c>
      <c r="Z74" s="67">
        <f t="shared" si="9"/>
        <v>23.328199999999999</v>
      </c>
      <c r="AA74" s="67">
        <f t="shared" si="10"/>
        <v>23.282399999999999</v>
      </c>
      <c r="AB74" s="64" t="e">
        <f>VLOOKUP(A74,Enforcements!$C$7:$K$19,8,0)</f>
        <v>#N/A</v>
      </c>
      <c r="AC74" s="60" t="e">
        <f>VLOOKUP(A74,Enforcements!$C$7:$E$19,3,0)</f>
        <v>#N/A</v>
      </c>
      <c r="AD74" s="61" t="str">
        <f t="shared" si="11"/>
        <v>0161-25</v>
      </c>
      <c r="AE74" s="91" t="str">
        <f t="shared" si="12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74" s="88" t="str">
        <f t="shared" si="13"/>
        <v>"C:\Program Files (x86)\AstroGrep\AstroGrep.exe" /spath="%USERPROFILE%\AppData\Local\Temp\OnboardLogs" /stypes="app*4014*20161225*" /stext=" 18:.+((SYSTEM_STATE.+slice.+state.+changed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161-25 --locoid 4014 --swversion DE.1.0.8.0 --startMP 204:458 --initTime 2016-12-25T11:10:49 --startdatetime 2016-12-25T11:15:33 --delay 2 --endMP 204:233282 --enddatetime 2016-12-25T11:51:38 --enforcementcount 0 &gt;&gt;C:\Users\stu\Documents\GitHub\eaglep3-reporting\EC\2016-12-25-refined-times.txt</v>
      </c>
      <c r="AI74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{"issue":{"subject":"","project_id":79,"tracker_id":40,"status_id":1,"priority_id":2,"assigned_to_id":23,"start_date":"2016-12-25","description":"","custom_fields":[{"id":1,"name":"Subdivision","value":"EC"},{"id":4,"name":"Milepost","value":"23.3282"},{"id":17,"name":"Train ID","value":"161-25"},{"id":16,"name":"Locomotive ID","value":"4014"},{"id":130,"name":"Impact","value":""},{"id":150,"name":"Time of Event (Mountain Time)","value":"11:51:38"},{"id":151,"name":"Denver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562</v>
      </c>
      <c r="B75" s="7">
        <v>4013</v>
      </c>
      <c r="C75" s="22" t="s">
        <v>205</v>
      </c>
      <c r="D75" s="22" t="s">
        <v>691</v>
      </c>
      <c r="E75" s="13">
        <v>42729.504016203704</v>
      </c>
      <c r="F75" s="13">
        <v>42729.508344907408</v>
      </c>
      <c r="G75" s="7">
        <v>6</v>
      </c>
      <c r="H75" s="22" t="s">
        <v>429</v>
      </c>
      <c r="I75" s="13">
        <v>42729.536226851851</v>
      </c>
      <c r="J75" s="7">
        <v>0</v>
      </c>
      <c r="K75" s="109" t="str">
        <f t="shared" si="0"/>
        <v>4013/4014</v>
      </c>
      <c r="L75" s="22" t="str">
        <f>VLOOKUP(A75,'Trips&amp;Operators'!$C$1:$G$99999,5,FALSE)</f>
        <v>DAVIS MICHAEL</v>
      </c>
      <c r="M75" s="6">
        <f t="shared" si="1"/>
        <v>2.7881944442924578E-2</v>
      </c>
      <c r="N75" s="7">
        <f t="shared" si="2"/>
        <v>40.149999997811392</v>
      </c>
      <c r="O75" s="7"/>
      <c r="P75" s="7"/>
      <c r="Q75" s="23"/>
      <c r="R75" s="23"/>
      <c r="S75" s="35">
        <f t="shared" si="3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11:05:47-700',mode:absolute,to:'2016-12-25 13:52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5" s="52" t="str">
        <f t="shared" si="6"/>
        <v>N</v>
      </c>
      <c r="X75" s="177">
        <f t="shared" si="7"/>
        <v>1</v>
      </c>
      <c r="Y75" s="67">
        <f t="shared" si="8"/>
        <v>23.295200000000001</v>
      </c>
      <c r="Z75" s="67">
        <f t="shared" si="9"/>
        <v>1.34E-2</v>
      </c>
      <c r="AA75" s="67">
        <f t="shared" si="10"/>
        <v>23.2818</v>
      </c>
      <c r="AB75" s="64" t="e">
        <f>VLOOKUP(A75,Enforcements!$C$7:$K$19,8,0)</f>
        <v>#N/A</v>
      </c>
      <c r="AC75" s="60" t="e">
        <f>VLOOKUP(A75,Enforcements!$C$7:$E$19,3,0)</f>
        <v>#N/A</v>
      </c>
      <c r="AD75" s="61" t="str">
        <f t="shared" si="11"/>
        <v>0162-25</v>
      </c>
      <c r="AE75" s="91" t="str">
        <f t="shared" si="12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75" s="88" t="str">
        <f t="shared" si="13"/>
        <v>"C:\Program Files (x86)\AstroGrep\AstroGrep.exe" /spath="%USERPROFILE%\AppData\Local\Temp\OnboardLogs" /stypes="app*4013*20161225*" /stext=" 19:.+((SYSTEM_STATE.+slice.+state.+changed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162-25 --locoid 4013 --swversion DE.1.0.8.0 --startMP 204:232952 --initTime 2016-12-25T12:05:47 --startdatetime 2016-12-25T12:12:01 --delay 6 --endMP 204:134 --enddatetime 2016-12-25T12:52:10 --enforcementcount 0 &gt;&gt;C:\Users\stu\Documents\GitHub\eaglep3-reporting\EC\2016-12-25-refined-times.txt</v>
      </c>
      <c r="AI75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{"issue":{"subject":"","project_id":79,"tracker_id":40,"status_id":1,"priority_id":2,"assigned_to_id":23,"start_date":"2016-12-25","description":"","custom_fields":[{"id":1,"name":"Subdivision","value":"EC"},{"id":4,"name":"Milepost","value":"0.0134"},{"id":17,"name":"Train ID","value":"162-25"},{"id":16,"name":"Locomotive ID","value":"4013"},{"id":130,"name":"Impact","value":""},{"id":150,"name":"Time of Event (Mountain Time)","value":"12:52:10"},{"id":151,"name":"Denver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550</v>
      </c>
      <c r="B76" s="7">
        <v>4018</v>
      </c>
      <c r="C76" s="22" t="s">
        <v>205</v>
      </c>
      <c r="D76" s="22" t="s">
        <v>679</v>
      </c>
      <c r="E76" s="13">
        <v>42729.475752314815</v>
      </c>
      <c r="F76" s="13">
        <v>42729.479317129626</v>
      </c>
      <c r="G76" s="7">
        <v>1</v>
      </c>
      <c r="H76" s="22" t="s">
        <v>418</v>
      </c>
      <c r="I76" s="13">
        <v>42729.503668981481</v>
      </c>
      <c r="J76" s="7">
        <v>0</v>
      </c>
      <c r="K76" s="109" t="str">
        <f t="shared" si="0"/>
        <v>4017/4018</v>
      </c>
      <c r="L76" s="22" t="str">
        <f>VLOOKUP(A76,'Trips&amp;Operators'!$C$1:$G$99999,5,FALSE)</f>
        <v>ROMERO CHAD</v>
      </c>
      <c r="M76" s="6">
        <f t="shared" si="1"/>
        <v>2.4351851854589768E-2</v>
      </c>
      <c r="N76" s="7">
        <f t="shared" si="2"/>
        <v>35.066666670609266</v>
      </c>
      <c r="O76" s="7"/>
      <c r="P76" s="7"/>
      <c r="Q76" s="23"/>
      <c r="R76" s="23"/>
      <c r="S76" s="35">
        <f t="shared" si="3"/>
        <v>1</v>
      </c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https://search-rtdc-monitor-bjffxe2xuh6vdkpspy63sjmuny.us-east-1.es.amazonaws.com/_plugin/kibana/#/discover/Steve-Slow-Train-Analysis-(2080s-and-2083s)?_g=(refreshInterval:(display:Off,section:0,value:0),time:(from:'2016-12-25 10:25:05-700',mode:absolute,to:'2016-12-25 13:05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6" s="52" t="str">
        <f t="shared" si="6"/>
        <v>N</v>
      </c>
      <c r="X76" s="177">
        <f t="shared" si="7"/>
        <v>1</v>
      </c>
      <c r="Y76" s="67">
        <f t="shared" si="8"/>
        <v>4.4400000000000002E-2</v>
      </c>
      <c r="Z76" s="67">
        <f t="shared" si="9"/>
        <v>23.331700000000001</v>
      </c>
      <c r="AA76" s="67">
        <f t="shared" si="10"/>
        <v>23.287300000000002</v>
      </c>
      <c r="AB76" s="64" t="e">
        <f>VLOOKUP(A76,Enforcements!$C$7:$K$19,8,0)</f>
        <v>#N/A</v>
      </c>
      <c r="AC76" s="60" t="e">
        <f>VLOOKUP(A76,Enforcements!$C$7:$E$19,3,0)</f>
        <v>#N/A</v>
      </c>
      <c r="AD76" s="61" t="str">
        <f t="shared" si="11"/>
        <v>0163-25</v>
      </c>
      <c r="AE76" s="91" t="str">
        <f t="shared" si="12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76" s="88" t="str">
        <f t="shared" si="13"/>
        <v>"C:\Program Files (x86)\AstroGrep\AstroGrep.exe" /spath="%USERPROFILE%\AppData\Local\Temp\OnboardLogs" /stypes="app*4018*20161225*"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163-25 --locoid 4018 --swversion DE.1.0.8.0 --startMP 204:444 --initTime 2016-12-25T11:25:05 --startdatetime 2016-12-25T11:30:13 --delay 1 --endMP 204:233317 --enddatetime 2016-12-25T12:05:17 --enforcementcount 0 &gt;&gt;C:\Users\stu\Documents\GitHub\eaglep3-reporting\EC\2016-12-25-refined-times.txt</v>
      </c>
      <c r="AI76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{"issue":{"subject":"","project_id":79,"tracker_id":40,"status_id":1,"priority_id":2,"assigned_to_id":23,"start_date":"2016-12-25","description":"","custom_fields":[{"id":1,"name":"Subdivision","value":"EC"},{"id":4,"name":"Milepost","value":"23.3317"},{"id":17,"name":"Train ID","value":"163-25"},{"id":16,"name":"Locomotive ID","value":"4018"},{"id":130,"name":"Impact","value":""},{"id":150,"name":"Time of Event (Mountain Time)","value":"12:05:17"},{"id":151,"name":"Denver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446</v>
      </c>
      <c r="B77" s="7">
        <v>4017</v>
      </c>
      <c r="C77" s="22" t="s">
        <v>205</v>
      </c>
      <c r="D77" s="22" t="s">
        <v>411</v>
      </c>
      <c r="E77" s="13">
        <v>42729.506030092591</v>
      </c>
      <c r="F77" s="13">
        <v>42729.518206018518</v>
      </c>
      <c r="G77" s="7">
        <v>1</v>
      </c>
      <c r="H77" s="22" t="s">
        <v>224</v>
      </c>
      <c r="I77" s="13">
        <v>42729.545023148145</v>
      </c>
      <c r="J77" s="7">
        <v>0</v>
      </c>
      <c r="K77" s="109" t="str">
        <f t="shared" ref="K77:K140" si="19">IF(ISEVEN(B77),(B77-1)&amp;"/"&amp;B77,B77&amp;"/"&amp;(B77+1))</f>
        <v>4017/4018</v>
      </c>
      <c r="L77" s="22" t="str">
        <f>VLOOKUP(A77,'Trips&amp;Operators'!$C$1:$G$99999,5,FALSE)</f>
        <v>ROMERO CHAD</v>
      </c>
      <c r="M77" s="6">
        <f t="shared" ref="M77:M140" si="20">I77-F77</f>
        <v>2.6817129626579117E-2</v>
      </c>
      <c r="N77" s="7">
        <f t="shared" ref="N77:N140" si="21">24*60*SUM($M77:$M77)</f>
        <v>38.616666662273929</v>
      </c>
      <c r="O77" s="7"/>
      <c r="P77" s="7"/>
      <c r="Q77" s="23"/>
      <c r="R77" s="23"/>
      <c r="S77" s="35">
        <f t="shared" ref="S77:S140" si="22">SUM(U77:U77)/IF(AG77="EC",12,1)</f>
        <v>1</v>
      </c>
      <c r="T77" s="50" t="str">
        <f t="shared" ref="T77:T140" si="23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4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https://search-rtdc-monitor-bjffxe2xuh6vdkpspy63sjmuny.us-east-1.es.amazonaws.com/_plugin/kibana/#/discover/Steve-Slow-Train-Analysis-(2080s-and-2083s)?_g=(refreshInterval:(display:Off,section:0,value:0),time:(from:'2016-12-25 11:08:41-700',mode:absolute,to:'2016-12-25 14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7" s="52" t="str">
        <f t="shared" ref="W77:W140" si="25">IF(AA77&lt;IF(AG77="EC",23,5.65),"Y","N")</f>
        <v>N</v>
      </c>
      <c r="X77" s="177">
        <f t="shared" ref="X77:X140" si="26">VALUE(LEFT(AD77,4))-VALUE(LEFT(AD76,4))</f>
        <v>1</v>
      </c>
      <c r="Y77" s="67">
        <f t="shared" ref="Y77:Y140" si="27">RIGHT(D77,LEN(D77)-4)/10000</f>
        <v>23.3004</v>
      </c>
      <c r="Z77" s="67">
        <f t="shared" ref="Z77:Z140" si="28">RIGHT(H77,LEN(H77)-4)/10000</f>
        <v>1.54E-2</v>
      </c>
      <c r="AA77" s="67">
        <f t="shared" ref="AA77:AA140" si="29">ABS(Z77-Y77)</f>
        <v>23.285</v>
      </c>
      <c r="AB77" s="64" t="str">
        <f>VLOOKUP(A77,Enforcements!$C$7:$K$19,8,0)</f>
        <v>Signal based authority (5)</v>
      </c>
      <c r="AC77" s="60" t="str">
        <f>VLOOKUP(A77,Enforcements!$C$7:$E$19,3,0)</f>
        <v>SIGNAL</v>
      </c>
      <c r="AD77" s="61" t="str">
        <f t="shared" ref="AD77:AD140" si="30">IF(LEN(A77)=6,"0"&amp;A77,A77)</f>
        <v>0164-25</v>
      </c>
      <c r="AE77" s="91" t="str">
        <f t="shared" ref="AE77:AE140" si="31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77" s="88" t="str">
        <f t="shared" ref="AF77:AF140" si="32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/stypes="app*4017*20161225*" /stext=" 20:.+((SYSTEM_STATE.+slice.+state.+changed )|(ment ac)|(multiple cpu faults)|(system.+state.+changed )|(\[timeout)|(PRM\|1\|D)|(kpr)|(kdp)|(\|lc)|(penalty))" /e /r /s</v>
      </c>
      <c r="AG77" s="1" t="str">
        <f t="shared" ref="AG77:AG140" si="33">IFERROR(IF(VALUE(LEFT(AD77,2))&lt;=2,"EC",IF(OR(VALUE(LEFT(AD77,2))=8,VALUE(LEFT(AD77,2))=18),"NW","Other")),"Other")</f>
        <v>EC</v>
      </c>
      <c r="AH77" s="92" t="str">
        <f t="shared" si="17"/>
        <v>"%USERPROFILE%\Documents\GitHub\eaglep3\Utilities\RefineRTDCRunTimes.py" --tripid 164-25 --locoid 4017 --swversion DE.1.0.8.0 --startMP 204:233004 --initTime 2016-12-25T12:08:41 --startdatetime 2016-12-25T12:26:13 --delay 1 --endMP 204:154 --enddatetime 2016-12-25T13:04:50 --enforcementcount 0 &gt;&gt;C:\Users\stu\Documents\GitHub\eaglep3-reporting\EC\2016-12-25-refined-times.txt</v>
      </c>
      <c r="AI77" s="119" t="str">
        <f t="shared" si="18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ID","value":"164-25"},{"id":16,"name":"Locomotive ID","value":"4017"},{"id":130,"name":"Impact","value":""},{"id":150,"name":"Time of Event (Mountain Time)","value":"13:04:50"},{"id":151,"name":"Denver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557</v>
      </c>
      <c r="B78" s="7">
        <v>4027</v>
      </c>
      <c r="C78" s="22" t="s">
        <v>205</v>
      </c>
      <c r="D78" s="22" t="s">
        <v>228</v>
      </c>
      <c r="E78" s="13">
        <v>42729.486967592595</v>
      </c>
      <c r="F78" s="13">
        <v>42729.489837962959</v>
      </c>
      <c r="G78" s="7">
        <v>1</v>
      </c>
      <c r="H78" s="22" t="s">
        <v>358</v>
      </c>
      <c r="I78" s="13">
        <v>42729.513969907406</v>
      </c>
      <c r="J78" s="7">
        <v>0</v>
      </c>
      <c r="K78" s="109" t="str">
        <f t="shared" si="19"/>
        <v>4027/4028</v>
      </c>
      <c r="L78" s="22" t="str">
        <f>VLOOKUP(A78,'Trips&amp;Operators'!$C$1:$G$99999,5,FALSE)</f>
        <v>BRUDER RICHARD</v>
      </c>
      <c r="M78" s="6">
        <f t="shared" si="20"/>
        <v>2.4131944446708076E-2</v>
      </c>
      <c r="N78" s="7">
        <f t="shared" si="21"/>
        <v>34.750000003259629</v>
      </c>
      <c r="O78" s="7"/>
      <c r="P78" s="7"/>
      <c r="Q78" s="23"/>
      <c r="R78" s="23"/>
      <c r="S78" s="35">
        <f t="shared" si="22"/>
        <v>1</v>
      </c>
      <c r="T78" s="50" t="str">
        <f t="shared" si="23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10:41:14-700',mode:absolute,to:'2016-12-25 13:20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78" s="52" t="str">
        <f t="shared" si="25"/>
        <v>N</v>
      </c>
      <c r="X78" s="177">
        <f t="shared" si="26"/>
        <v>1</v>
      </c>
      <c r="Y78" s="67">
        <f t="shared" si="27"/>
        <v>4.5499999999999999E-2</v>
      </c>
      <c r="Z78" s="67">
        <f t="shared" si="28"/>
        <v>23.3307</v>
      </c>
      <c r="AA78" s="67">
        <f t="shared" si="29"/>
        <v>23.2852</v>
      </c>
      <c r="AB78" s="64" t="e">
        <f>VLOOKUP(A78,Enforcements!$C$7:$K$19,8,0)</f>
        <v>#N/A</v>
      </c>
      <c r="AC78" s="60" t="e">
        <f>VLOOKUP(A78,Enforcements!$C$7:$E$19,3,0)</f>
        <v>#N/A</v>
      </c>
      <c r="AD78" s="61" t="str">
        <f t="shared" si="30"/>
        <v>0165-25</v>
      </c>
      <c r="AE78" s="91" t="str">
        <f t="shared" si="31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78" s="88" t="str">
        <f t="shared" si="32"/>
        <v>"C:\Program Files (x86)\AstroGrep\AstroGrep.exe" /spath="%USERPROFILE%\AppData\Local\Temp\OnboardLogs" /stypes="app*4027*20161225*" /stext=" 19:.+((SYSTEM_STATE.+slice.+state.+changed )|(ment ac)|(multiple cpu faults)|(system.+state.+changed )|(\[timeout)|(PRM\|1\|D)|(kpr)|(kdp)|(\|lc)|(penalty))" /e /r /s</v>
      </c>
      <c r="AG78" s="1" t="str">
        <f t="shared" si="33"/>
        <v>EC</v>
      </c>
      <c r="AH78" s="92" t="str">
        <f t="shared" ref="AH78:AH141" si="34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165-25 --locoid 4027 --swversion DE.1.0.8.0 --startMP 204:455 --initTime 2016-12-25T11:41:14 --startdatetime 2016-12-25T11:45:22 --delay 1 --endMP 204:233307 --enddatetime 2016-12-25T12:20:07 --enforcementcount 0 &gt;&gt;C:\Users\stu\Documents\GitHub\eaglep3-reporting\EC\2016-12-25-refined-times.txt</v>
      </c>
      <c r="AI78" s="119" t="str">
        <f t="shared" ref="AI78:AI141" si="35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{"issue":{"subject":"","project_id":79,"tracker_id":40,"status_id":1,"priority_id":2,"assigned_to_id":23,"start_date":"2016-12-25","description":"","custom_fields":[{"id":1,"name":"Subdivision","value":"EC"},{"id":4,"name":"Milepost","value":"23.3307"},{"id":17,"name":"Train ID","value":"165-25"},{"id":16,"name":"Locomotive ID","value":"4027"},{"id":130,"name":"Impact","value":""},{"id":150,"name":"Time of Event (Mountain Time)","value":"12:20:07"},{"id":151,"name":"Denver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564</v>
      </c>
      <c r="B79" s="7">
        <v>4028</v>
      </c>
      <c r="C79" s="22" t="s">
        <v>205</v>
      </c>
      <c r="D79" s="22" t="s">
        <v>313</v>
      </c>
      <c r="E79" s="13">
        <v>42729.522349537037</v>
      </c>
      <c r="F79" s="13">
        <v>42729.528645833336</v>
      </c>
      <c r="G79" s="7">
        <v>7</v>
      </c>
      <c r="H79" s="22" t="s">
        <v>417</v>
      </c>
      <c r="I79" s="13">
        <v>42729.555243055554</v>
      </c>
      <c r="J79" s="7">
        <v>0</v>
      </c>
      <c r="K79" s="109" t="str">
        <f t="shared" si="19"/>
        <v>4027/4028</v>
      </c>
      <c r="L79" s="22" t="str">
        <f>VLOOKUP(A79,'Trips&amp;Operators'!$C$1:$G$99999,5,FALSE)</f>
        <v>BRUDER RICHARD</v>
      </c>
      <c r="M79" s="6">
        <f t="shared" si="20"/>
        <v>2.6597222218697425E-2</v>
      </c>
      <c r="N79" s="7">
        <f t="shared" si="21"/>
        <v>38.299999994924292</v>
      </c>
      <c r="O79" s="7"/>
      <c r="P79" s="7"/>
      <c r="Q79" s="23"/>
      <c r="R79" s="23"/>
      <c r="S79" s="35">
        <f t="shared" si="22"/>
        <v>1</v>
      </c>
      <c r="T79" s="50" t="str">
        <f t="shared" si="23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11:32:11-700',mode:absolute,to:'2016-12-25 14:19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79" s="52" t="str">
        <f t="shared" si="25"/>
        <v>N</v>
      </c>
      <c r="X79" s="177">
        <f t="shared" si="26"/>
        <v>1</v>
      </c>
      <c r="Y79" s="67">
        <f t="shared" si="27"/>
        <v>23.298400000000001</v>
      </c>
      <c r="Z79" s="67">
        <f t="shared" si="28"/>
        <v>1.5599999999999999E-2</v>
      </c>
      <c r="AA79" s="67">
        <f t="shared" si="29"/>
        <v>23.282800000000002</v>
      </c>
      <c r="AB79" s="64" t="e">
        <f>VLOOKUP(A79,Enforcements!$C$7:$K$19,8,0)</f>
        <v>#N/A</v>
      </c>
      <c r="AC79" s="60" t="e">
        <f>VLOOKUP(A79,Enforcements!$C$7:$E$19,3,0)</f>
        <v>#N/A</v>
      </c>
      <c r="AD79" s="61" t="str">
        <f t="shared" si="30"/>
        <v>0166-25</v>
      </c>
      <c r="AE79" s="91" t="str">
        <f t="shared" si="31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79" s="88" t="str">
        <f t="shared" si="32"/>
        <v>"C:\Program Files (x86)\AstroGrep\AstroGrep.exe" /spath="%USERPROFILE%\AppData\Local\Temp\OnboardLogs" /stypes="app*4028*20161225*" /stext=" 20:.+((SYSTEM_STATE.+slice.+state.+changed )|(ment ac)|(multiple cpu faults)|(system.+state.+changed )|(\[timeout)|(PRM\|1\|D)|(kpr)|(kdp)|(\|lc)|(penalty))" /e /r /s</v>
      </c>
      <c r="AG79" s="1" t="str">
        <f t="shared" si="33"/>
        <v>EC</v>
      </c>
      <c r="AH79" s="92" t="str">
        <f t="shared" si="34"/>
        <v>"%USERPROFILE%\Documents\GitHub\eaglep3\Utilities\RefineRTDCRunTimes.py" --tripid 166-25 --locoid 4028 --swversion DE.1.0.8.0 --startMP 204:232984 --initTime 2016-12-25T12:32:11 --startdatetime 2016-12-25T12:41:15 --delay 7 --endMP 204:156 --enddatetime 2016-12-25T13:19:33 --enforcementcount 0 &gt;&gt;C:\Users\stu\Documents\GitHub\eaglep3-reporting\EC\2016-12-25-refined-times.txt</v>
      </c>
      <c r="AI7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{"issue":{"subject":"","project_id":79,"tracker_id":40,"status_id":1,"priority_id":2,"assigned_to_id":23,"start_date":"2016-12-25","description":"","custom_fields":[{"id":1,"name":"Subdivision","value":"EC"},{"id":4,"name":"Milepost","value":"0.0156"},{"id":17,"name":"Train ID","value":"166-25"},{"id":16,"name":"Locomotive ID","value":"4028"},{"id":130,"name":"Impact","value":""},{"id":150,"name":"Time of Event (Mountain Time)","value":"13:19:33"},{"id":151,"name":"Denver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559</v>
      </c>
      <c r="B80" s="7">
        <v>4009</v>
      </c>
      <c r="C80" s="22" t="s">
        <v>205</v>
      </c>
      <c r="D80" s="22" t="s">
        <v>425</v>
      </c>
      <c r="E80" s="13">
        <v>42729.494652777779</v>
      </c>
      <c r="F80" s="13">
        <v>42729.500289351854</v>
      </c>
      <c r="G80" s="7">
        <v>2</v>
      </c>
      <c r="H80" s="22" t="s">
        <v>349</v>
      </c>
      <c r="I80" s="13">
        <v>42729.525104166663</v>
      </c>
      <c r="J80" s="7">
        <v>0</v>
      </c>
      <c r="K80" s="109" t="str">
        <f t="shared" si="19"/>
        <v>4009/4010</v>
      </c>
      <c r="L80" s="22" t="str">
        <f>VLOOKUP(A80,'Trips&amp;Operators'!$C$1:$G$99999,5,FALSE)</f>
        <v>CRAYTON QUNTRELL</v>
      </c>
      <c r="M80" s="6">
        <f t="shared" si="20"/>
        <v>2.4814814809360541E-2</v>
      </c>
      <c r="N80" s="7">
        <f t="shared" si="21"/>
        <v>35.73333332547918</v>
      </c>
      <c r="O80" s="7"/>
      <c r="P80" s="7"/>
      <c r="Q80" s="23"/>
      <c r="R80" s="23"/>
      <c r="S80" s="35">
        <f t="shared" si="22"/>
        <v>1</v>
      </c>
      <c r="T80" s="50" t="str">
        <f t="shared" si="23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10:52:18-700',mode:absolute,to:'2016-12-25 13:36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0" s="52" t="str">
        <f t="shared" si="25"/>
        <v>N</v>
      </c>
      <c r="X80" s="177">
        <f t="shared" si="26"/>
        <v>1</v>
      </c>
      <c r="Y80" s="67">
        <f t="shared" si="27"/>
        <v>4.3700000000000003E-2</v>
      </c>
      <c r="Z80" s="67">
        <f t="shared" si="28"/>
        <v>23.331900000000001</v>
      </c>
      <c r="AA80" s="67">
        <f t="shared" si="29"/>
        <v>23.2882</v>
      </c>
      <c r="AB80" s="64" t="e">
        <f>VLOOKUP(A80,Enforcements!$C$7:$K$19,8,0)</f>
        <v>#N/A</v>
      </c>
      <c r="AC80" s="60" t="e">
        <f>VLOOKUP(A80,Enforcements!$C$7:$E$19,3,0)</f>
        <v>#N/A</v>
      </c>
      <c r="AD80" s="61" t="str">
        <f t="shared" si="30"/>
        <v>0167-25</v>
      </c>
      <c r="AE80" s="91" t="str">
        <f t="shared" si="31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80" s="88" t="str">
        <f t="shared" si="32"/>
        <v>"C:\Program Files (x86)\AstroGrep\AstroGrep.exe" /spath="%USERPROFILE%\AppData\Local\Temp\OnboardLogs" /stypes="app*4009*20161225*" /stext=" 19:.+((SYSTEM_STATE.+slice.+state.+changed )|(ment ac)|(multiple cpu faults)|(system.+state.+changed )|(\[timeout)|(PRM\|1\|D)|(kpr)|(kdp)|(\|lc)|(penalty))" /e /r /s</v>
      </c>
      <c r="AG80" s="1" t="str">
        <f t="shared" si="33"/>
        <v>EC</v>
      </c>
      <c r="AH80" s="92" t="str">
        <f t="shared" si="34"/>
        <v>"%USERPROFILE%\Documents\GitHub\eaglep3\Utilities\RefineRTDCRunTimes.py" --tripid 167-25 --locoid 4009 --swversion DE.1.0.8.0 --startMP 204:437 --initTime 2016-12-25T11:52:18 --startdatetime 2016-12-25T12:00:25 --delay 2 --endMP 204:233319 --enddatetime 2016-12-25T12:36:09 --enforcementcount 0 &gt;&gt;C:\Users\stu\Documents\GitHub\eaglep3-reporting\EC\2016-12-25-refined-times.txt</v>
      </c>
      <c r="AI8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{"issue":{"subject":"","project_id":79,"tracker_id":40,"status_id":1,"priority_id":2,"assigned_to_id":23,"start_date":"2016-12-25","description":"","custom_fields":[{"id":1,"name":"Subdivision","value":"EC"},{"id":4,"name":"Milepost","value":"23.3319"},{"id":17,"name":"Train ID","value":"167-25"},{"id":16,"name":"Locomotive ID","value":"4009"},{"id":130,"name":"Impact","value":""},{"id":150,"name":"Time of Event (Mountain Time)","value":"12:36:09"},{"id":151,"name":"Denver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567</v>
      </c>
      <c r="B81" s="7">
        <v>4010</v>
      </c>
      <c r="C81" s="22" t="s">
        <v>205</v>
      </c>
      <c r="D81" s="22" t="s">
        <v>257</v>
      </c>
      <c r="E81" s="13">
        <v>42729.530798611115</v>
      </c>
      <c r="F81" s="13">
        <v>42729.539120370369</v>
      </c>
      <c r="G81" s="7">
        <v>1</v>
      </c>
      <c r="H81" s="22" t="s">
        <v>191</v>
      </c>
      <c r="I81" s="13">
        <v>42729.566655092596</v>
      </c>
      <c r="J81" s="7">
        <v>0</v>
      </c>
      <c r="K81" s="109" t="str">
        <f t="shared" si="19"/>
        <v>4009/4010</v>
      </c>
      <c r="L81" s="22" t="str">
        <f>VLOOKUP(A81,'Trips&amp;Operators'!$C$1:$G$99999,5,FALSE)</f>
        <v>CRAYTON QUNTRELL</v>
      </c>
      <c r="M81" s="6">
        <f t="shared" si="20"/>
        <v>2.7534722226846498E-2</v>
      </c>
      <c r="N81" s="7">
        <f t="shared" si="21"/>
        <v>39.650000006658956</v>
      </c>
      <c r="O81" s="7"/>
      <c r="P81" s="7"/>
      <c r="Q81" s="23"/>
      <c r="R81" s="23"/>
      <c r="S81" s="35">
        <f t="shared" si="22"/>
        <v>1</v>
      </c>
      <c r="T81" s="50" t="str">
        <f t="shared" si="23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11:44:21-700',mode:absolute,to:'2016-12-25 14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1" s="52" t="str">
        <f t="shared" si="25"/>
        <v>N</v>
      </c>
      <c r="X81" s="177">
        <f t="shared" si="26"/>
        <v>1</v>
      </c>
      <c r="Y81" s="67">
        <f t="shared" si="27"/>
        <v>23.299399999999999</v>
      </c>
      <c r="Z81" s="67">
        <f t="shared" si="28"/>
        <v>1.49E-2</v>
      </c>
      <c r="AA81" s="67">
        <f t="shared" si="29"/>
        <v>23.284499999999998</v>
      </c>
      <c r="AB81" s="64" t="e">
        <f>VLOOKUP(A81,Enforcements!$C$7:$K$19,8,0)</f>
        <v>#N/A</v>
      </c>
      <c r="AC81" s="60" t="e">
        <f>VLOOKUP(A81,Enforcements!$C$7:$E$19,3,0)</f>
        <v>#N/A</v>
      </c>
      <c r="AD81" s="61" t="str">
        <f t="shared" si="30"/>
        <v>0168-25</v>
      </c>
      <c r="AE81" s="91" t="str">
        <f t="shared" si="31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81" s="88" t="str">
        <f t="shared" si="32"/>
        <v>"C:\Program Files (x86)\AstroGrep\AstroGrep.exe" /spath="%USERPROFILE%\AppData\Local\Temp\OnboardLogs" /stypes="app*4010*20161225*" /stext=" 20:.+((SYSTEM_STATE.+slice.+state.+changed )|(ment ac)|(multiple cpu faults)|(system.+state.+changed )|(\[timeout)|(PRM\|1\|D)|(kpr)|(kdp)|(\|lc)|(penalty))" /e /r /s</v>
      </c>
      <c r="AG81" s="1" t="str">
        <f t="shared" si="33"/>
        <v>EC</v>
      </c>
      <c r="AH81" s="92" t="str">
        <f t="shared" si="34"/>
        <v>"%USERPROFILE%\Documents\GitHub\eaglep3\Utilities\RefineRTDCRunTimes.py" --tripid 168-25 --locoid 4010 --swversion DE.1.0.8.0 --startMP 204:232994 --initTime 2016-12-25T12:44:21 --startdatetime 2016-12-25T12:56:20 --delay 1 --endMP 204:149 --enddatetime 2016-12-25T13:35:59 --enforcementcount 0 &gt;&gt;C:\Users\stu\Documents\GitHub\eaglep3-reporting\EC\2016-12-25-refined-times.txt</v>
      </c>
      <c r="AI8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{"issue":{"subject":"","project_id":79,"tracker_id":40,"status_id":1,"priority_id":2,"assigned_to_id":23,"start_date":"2016-12-25","description":"","custom_fields":[{"id":1,"name":"Subdivision","value":"EC"},{"id":4,"name":"Milepost","value":"0.0149"},{"id":17,"name":"Train ID","value":"168-25"},{"id":16,"name":"Locomotive ID","value":"4010"},{"id":130,"name":"Impact","value":""},{"id":150,"name":"Time of Event (Mountain Time)","value":"13:35:59"},{"id":151,"name":"Denver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561</v>
      </c>
      <c r="B82" s="7">
        <v>4025</v>
      </c>
      <c r="C82" s="22" t="s">
        <v>205</v>
      </c>
      <c r="D82" s="22" t="s">
        <v>314</v>
      </c>
      <c r="E82" s="13">
        <v>42729.503784722219</v>
      </c>
      <c r="F82" s="13">
        <v>42729.511053240742</v>
      </c>
      <c r="G82" s="7">
        <v>1</v>
      </c>
      <c r="H82" s="22" t="s">
        <v>315</v>
      </c>
      <c r="I82" s="13">
        <v>42729.535000000003</v>
      </c>
      <c r="J82" s="7">
        <v>0</v>
      </c>
      <c r="K82" s="109" t="str">
        <f t="shared" si="19"/>
        <v>4025/4026</v>
      </c>
      <c r="L82" s="22" t="str">
        <f>VLOOKUP(A82,'Trips&amp;Operators'!$C$1:$G$99999,5,FALSE)</f>
        <v>ADANE ELSHADAY</v>
      </c>
      <c r="M82" s="6">
        <f t="shared" si="20"/>
        <v>2.3946759261889383E-2</v>
      </c>
      <c r="N82" s="7">
        <f t="shared" si="21"/>
        <v>34.483333337120712</v>
      </c>
      <c r="O82" s="7"/>
      <c r="P82" s="7"/>
      <c r="Q82" s="23"/>
      <c r="R82" s="23"/>
      <c r="S82" s="35">
        <f t="shared" si="22"/>
        <v>1</v>
      </c>
      <c r="T82" s="50" t="str">
        <f t="shared" si="23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11:05:27-700',mode:absolute,to:'2016-12-25 13:50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82" s="52" t="str">
        <f t="shared" si="25"/>
        <v>N</v>
      </c>
      <c r="X82" s="177">
        <f t="shared" si="26"/>
        <v>1</v>
      </c>
      <c r="Y82" s="67">
        <f t="shared" si="27"/>
        <v>4.7300000000000002E-2</v>
      </c>
      <c r="Z82" s="67">
        <f t="shared" si="28"/>
        <v>23.330100000000002</v>
      </c>
      <c r="AA82" s="67">
        <f t="shared" si="29"/>
        <v>23.282800000000002</v>
      </c>
      <c r="AB82" s="64" t="e">
        <f>VLOOKUP(A82,Enforcements!$C$7:$K$19,8,0)</f>
        <v>#N/A</v>
      </c>
      <c r="AC82" s="60" t="e">
        <f>VLOOKUP(A82,Enforcements!$C$7:$E$19,3,0)</f>
        <v>#N/A</v>
      </c>
      <c r="AD82" s="61" t="str">
        <f t="shared" si="30"/>
        <v>0169-25</v>
      </c>
      <c r="AE82" s="91" t="str">
        <f t="shared" si="31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82" s="88" t="str">
        <f t="shared" si="32"/>
        <v>"C:\Program Files (x86)\AstroGrep\AstroGrep.exe" /spath="%USERPROFILE%\AppData\Local\Temp\OnboardLogs" /stypes="app*4025*20161225*" /stext=" 19:.+((SYSTEM_STATE.+slice.+state.+changed )|(ment ac)|(multiple cpu faults)|(system.+state.+changed )|(\[timeout)|(PRM\|1\|D)|(kpr)|(kdp)|(\|lc)|(penalty))" /e /r /s</v>
      </c>
      <c r="AG82" s="1" t="str">
        <f t="shared" si="33"/>
        <v>EC</v>
      </c>
      <c r="AH82" s="92" t="str">
        <f t="shared" si="34"/>
        <v>"%USERPROFILE%\Documents\GitHub\eaglep3\Utilities\RefineRTDCRunTimes.py" --tripid 169-25 --locoid 4025 --swversion DE.1.0.8.0 --startMP 204:473 --initTime 2016-12-25T12:05:27 --startdatetime 2016-12-25T12:15:55 --delay 1 --endMP 204:233301 --enddatetime 2016-12-25T12:50:24 --enforcementcount 0 &gt;&gt;C:\Users\stu\Documents\GitHub\eaglep3-reporting\EC\2016-12-25-refined-times.txt</v>
      </c>
      <c r="AI8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{"issue":{"subject":"","project_id":79,"tracker_id":40,"status_id":1,"priority_id":2,"assigned_to_id":23,"start_date":"2016-12-25","description":"","custom_fields":[{"id":1,"name":"Subdivision","value":"EC"},{"id":4,"name":"Milepost","value":"23.3301"},{"id":17,"name":"Train ID","value":"169-25"},{"id":16,"name":"Locomotive ID","value":"4025"},{"id":130,"name":"Impact","value":""},{"id":150,"name":"Time of Event (Mountain Time)","value":"12:50:24"},{"id":151,"name":"Denver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568</v>
      </c>
      <c r="B83" s="7">
        <v>4026</v>
      </c>
      <c r="C83" s="22" t="s">
        <v>205</v>
      </c>
      <c r="D83" s="22" t="s">
        <v>333</v>
      </c>
      <c r="E83" s="13">
        <v>42729.536759259259</v>
      </c>
      <c r="F83" s="13">
        <v>42729.549988425926</v>
      </c>
      <c r="G83" s="7">
        <v>1</v>
      </c>
      <c r="H83" s="22" t="s">
        <v>357</v>
      </c>
      <c r="I83" s="13">
        <v>42729.575601851851</v>
      </c>
      <c r="J83" s="7">
        <v>0</v>
      </c>
      <c r="K83" s="109" t="str">
        <f t="shared" si="19"/>
        <v>4025/4026</v>
      </c>
      <c r="L83" s="22" t="str">
        <f>VLOOKUP(A83,'Trips&amp;Operators'!$C$1:$G$99999,5,FALSE)</f>
        <v>ADANE ELSHADAY</v>
      </c>
      <c r="M83" s="6">
        <f t="shared" si="20"/>
        <v>2.5613425925257616E-2</v>
      </c>
      <c r="N83" s="7">
        <f t="shared" si="21"/>
        <v>36.883333332370967</v>
      </c>
      <c r="O83" s="7"/>
      <c r="P83" s="7"/>
      <c r="Q83" s="23"/>
      <c r="R83" s="23"/>
      <c r="S83" s="35">
        <f t="shared" si="22"/>
        <v>1</v>
      </c>
      <c r="T83" s="50" t="str">
        <f t="shared" si="23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11:52:56-700',mode:absolute,to:'2016-12-25 14:48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83" s="52" t="str">
        <f t="shared" si="25"/>
        <v>N</v>
      </c>
      <c r="X83" s="177">
        <f t="shared" si="26"/>
        <v>1</v>
      </c>
      <c r="Y83" s="67">
        <f t="shared" si="27"/>
        <v>23.298200000000001</v>
      </c>
      <c r="Z83" s="67">
        <f t="shared" si="28"/>
        <v>1.41E-2</v>
      </c>
      <c r="AA83" s="67">
        <f t="shared" si="29"/>
        <v>23.284100000000002</v>
      </c>
      <c r="AB83" s="64" t="e">
        <f>VLOOKUP(A83,Enforcements!$C$7:$K$19,8,0)</f>
        <v>#N/A</v>
      </c>
      <c r="AC83" s="60" t="e">
        <f>VLOOKUP(A83,Enforcements!$C$7:$E$19,3,0)</f>
        <v>#N/A</v>
      </c>
      <c r="AD83" s="61" t="str">
        <f t="shared" si="30"/>
        <v>0170-25</v>
      </c>
      <c r="AE83" s="91" t="str">
        <f t="shared" si="31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83" s="88" t="str">
        <f t="shared" si="32"/>
        <v>"C:\Program Files (x86)\AstroGrep\AstroGrep.exe" /spath="%USERPROFILE%\AppData\Local\Temp\OnboardLogs" /stypes="app*4026*20161225*" /stext=" 20:.+((SYSTEM_STATE.+slice.+state.+changed )|(ment ac)|(multiple cpu faults)|(system.+state.+changed )|(\[timeout)|(PRM\|1\|D)|(kpr)|(kdp)|(\|lc)|(penalty))" /e /r /s</v>
      </c>
      <c r="AG83" s="1" t="str">
        <f t="shared" si="33"/>
        <v>EC</v>
      </c>
      <c r="AH83" s="92" t="str">
        <f t="shared" si="34"/>
        <v>"%USERPROFILE%\Documents\GitHub\eaglep3\Utilities\RefineRTDCRunTimes.py" --tripid 170-25 --locoid 4026 --swversion DE.1.0.8.0 --startMP 204:232982 --initTime 2016-12-25T12:52:56 --startdatetime 2016-12-25T13:11:59 --delay 1 --endMP 204:141 --enddatetime 2016-12-25T13:48:52 --enforcementcount 0 &gt;&gt;C:\Users\stu\Documents\GitHub\eaglep3-reporting\EC\2016-12-25-refined-times.txt</v>
      </c>
      <c r="AI8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{"issue":{"subject":"","project_id":79,"tracker_id":40,"status_id":1,"priority_id":2,"assigned_to_id":23,"start_date":"2016-12-25","description":"","custom_fields":[{"id":1,"name":"Subdivision","value":"EC"},{"id":4,"name":"Milepost","value":"0.0141"},{"id":17,"name":"Train ID","value":"170-25"},{"id":16,"name":"Locomotive ID","value":"4026"},{"id":130,"name":"Impact","value":""},{"id":150,"name":"Time of Event (Mountain Time)","value":"13:48:52"},{"id":151,"name":"Denver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563</v>
      </c>
      <c r="B84" s="7">
        <v>4042</v>
      </c>
      <c r="C84" s="22" t="s">
        <v>205</v>
      </c>
      <c r="D84" s="22" t="s">
        <v>314</v>
      </c>
      <c r="E84" s="13">
        <v>42729.515543981484</v>
      </c>
      <c r="F84" s="13">
        <v>42729.521006944444</v>
      </c>
      <c r="G84" s="7">
        <v>1</v>
      </c>
      <c r="H84" s="22" t="s">
        <v>354</v>
      </c>
      <c r="I84" s="13">
        <v>42729.546736111108</v>
      </c>
      <c r="J84" s="7">
        <v>0</v>
      </c>
      <c r="K84" s="109" t="str">
        <f t="shared" si="19"/>
        <v>4041/4042</v>
      </c>
      <c r="L84" s="22" t="str">
        <f>VLOOKUP(A84,'Trips&amp;Operators'!$C$1:$G$99999,5,FALSE)</f>
        <v>KILLION DAVID</v>
      </c>
      <c r="M84" s="6">
        <f t="shared" si="20"/>
        <v>2.5729166663950309E-2</v>
      </c>
      <c r="N84" s="7">
        <f t="shared" si="21"/>
        <v>37.049999996088445</v>
      </c>
      <c r="O84" s="7"/>
      <c r="P84" s="7"/>
      <c r="Q84" s="23"/>
      <c r="R84" s="23"/>
      <c r="S84" s="35">
        <f t="shared" si="22"/>
        <v>1</v>
      </c>
      <c r="T84" s="50" t="str">
        <f t="shared" si="23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11:22:23-700',mode:absolute,to:'2016-12-25 14:07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4" s="52" t="str">
        <f t="shared" si="25"/>
        <v>N</v>
      </c>
      <c r="X84" s="177">
        <f t="shared" si="26"/>
        <v>1</v>
      </c>
      <c r="Y84" s="67">
        <f t="shared" si="27"/>
        <v>4.7300000000000002E-2</v>
      </c>
      <c r="Z84" s="67">
        <f t="shared" si="28"/>
        <v>23.330400000000001</v>
      </c>
      <c r="AA84" s="67">
        <f t="shared" si="29"/>
        <v>23.283100000000001</v>
      </c>
      <c r="AB84" s="64" t="e">
        <f>VLOOKUP(A84,Enforcements!$C$7:$K$19,8,0)</f>
        <v>#N/A</v>
      </c>
      <c r="AC84" s="60" t="e">
        <f>VLOOKUP(A84,Enforcements!$C$7:$E$19,3,0)</f>
        <v>#N/A</v>
      </c>
      <c r="AD84" s="61" t="str">
        <f t="shared" si="30"/>
        <v>0171-25</v>
      </c>
      <c r="AE84" s="91" t="str">
        <f t="shared" si="31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84" s="88" t="str">
        <f t="shared" si="32"/>
        <v>"C:\Program Files (x86)\AstroGrep\AstroGrep.exe" /spath="%USERPROFILE%\AppData\Local\Temp\OnboardLogs" /stypes="app*4042*20161225*" /stext=" 20:.+((SYSTEM_STATE.+slice.+state.+changed )|(ment ac)|(multiple cpu faults)|(system.+state.+changed )|(\[timeout)|(PRM\|1\|D)|(kpr)|(kdp)|(\|lc)|(penalty))" /e /r /s</v>
      </c>
      <c r="AG84" s="1" t="str">
        <f t="shared" si="33"/>
        <v>EC</v>
      </c>
      <c r="AH84" s="92" t="str">
        <f t="shared" si="34"/>
        <v>"%USERPROFILE%\Documents\GitHub\eaglep3\Utilities\RefineRTDCRunTimes.py" --tripid 171-25 --locoid 4042 --swversion DE.1.0.8.0 --startMP 204:473 --initTime 2016-12-25T12:22:23 --startdatetime 2016-12-25T12:30:15 --delay 1 --endMP 204:233304 --enddatetime 2016-12-25T13:07:18 --enforcementcount 0 &gt;&gt;C:\Users\stu\Documents\GitHub\eaglep3-reporting\EC\2016-12-25-refined-times.txt</v>
      </c>
      <c r="AI8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{"issue":{"subject":"","project_id":79,"tracker_id":40,"status_id":1,"priority_id":2,"assigned_to_id":23,"start_date":"2016-12-25","description":"","custom_fields":[{"id":1,"name":"Subdivision","value":"EC"},{"id":4,"name":"Milepost","value":"23.3304"},{"id":17,"name":"Train ID","value":"171-25"},{"id":16,"name":"Locomotive ID","value":"4042"},{"id":130,"name":"Impact","value":""},{"id":150,"name":"Time of Event (Mountain Time)","value":"13:07:18"},{"id":151,"name":"Denver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572</v>
      </c>
      <c r="B85" s="7">
        <v>4041</v>
      </c>
      <c r="C85" s="22" t="s">
        <v>205</v>
      </c>
      <c r="D85" s="22" t="s">
        <v>689</v>
      </c>
      <c r="E85" s="13">
        <v>42729.552546296298</v>
      </c>
      <c r="F85" s="13">
        <v>42729.559918981482</v>
      </c>
      <c r="G85" s="7">
        <v>1</v>
      </c>
      <c r="H85" s="22" t="s">
        <v>267</v>
      </c>
      <c r="I85" s="13">
        <v>42729.587222222224</v>
      </c>
      <c r="J85" s="7">
        <v>0</v>
      </c>
      <c r="K85" s="109" t="str">
        <f t="shared" si="19"/>
        <v>4041/4042</v>
      </c>
      <c r="L85" s="22" t="str">
        <f>VLOOKUP(A85,'Trips&amp;Operators'!$C$1:$G$99999,5,FALSE)</f>
        <v>KILLION DAVID</v>
      </c>
      <c r="M85" s="6">
        <f t="shared" si="20"/>
        <v>2.7303240742185153E-2</v>
      </c>
      <c r="N85" s="7">
        <f t="shared" si="21"/>
        <v>39.31666666874662</v>
      </c>
      <c r="O85" s="7"/>
      <c r="P85" s="7"/>
      <c r="Q85" s="23"/>
      <c r="R85" s="23"/>
      <c r="S85" s="35">
        <f t="shared" si="22"/>
        <v>1</v>
      </c>
      <c r="T85" s="50" t="str">
        <f t="shared" si="23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12:15:40-700',mode:absolute,to:'2016-12-25 15:05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5" s="52" t="str">
        <f t="shared" si="25"/>
        <v>N</v>
      </c>
      <c r="X85" s="177">
        <f t="shared" si="26"/>
        <v>1</v>
      </c>
      <c r="Y85" s="67">
        <f t="shared" si="27"/>
        <v>23.299600000000002</v>
      </c>
      <c r="Z85" s="67">
        <f t="shared" si="28"/>
        <v>1.61E-2</v>
      </c>
      <c r="AA85" s="67">
        <f t="shared" si="29"/>
        <v>23.2835</v>
      </c>
      <c r="AB85" s="64" t="e">
        <f>VLOOKUP(A85,Enforcements!$C$7:$K$19,8,0)</f>
        <v>#N/A</v>
      </c>
      <c r="AC85" s="60" t="e">
        <f>VLOOKUP(A85,Enforcements!$C$7:$E$19,3,0)</f>
        <v>#N/A</v>
      </c>
      <c r="AD85" s="61" t="str">
        <f t="shared" si="30"/>
        <v>0172-25</v>
      </c>
      <c r="AE85" s="91" t="str">
        <f t="shared" si="31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85" s="88" t="str">
        <f t="shared" si="32"/>
        <v>"C:\Program Files (x86)\AstroGrep\AstroGrep.exe" /spath="%USERPROFILE%\AppData\Local\Temp\OnboardLogs" /stypes="app*4041*20161225*" /stext=" 21:.+((SYSTEM_STATE.+slice.+state.+changed )|(ment ac)|(multiple cpu faults)|(system.+state.+changed )|(\[timeout)|(PRM\|1\|D)|(kpr)|(kdp)|(\|lc)|(penalty))" /e /r /s</v>
      </c>
      <c r="AG85" s="1" t="str">
        <f t="shared" si="33"/>
        <v>EC</v>
      </c>
      <c r="AH85" s="92" t="str">
        <f t="shared" si="34"/>
        <v>"%USERPROFILE%\Documents\GitHub\eaglep3\Utilities\RefineRTDCRunTimes.py" --tripid 172-25 --locoid 4041 --swversion DE.1.0.8.0 --startMP 204:232996 --initTime 2016-12-25T13:15:40 --startdatetime 2016-12-25T13:26:17 --delay 1 --endMP 204:161 --enddatetime 2016-12-25T14:05:36 --enforcementcount 0 &gt;&gt;C:\Users\stu\Documents\GitHub\eaglep3-reporting\EC\2016-12-25-refined-times.txt</v>
      </c>
      <c r="AI8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{"issue":{"subject":"","project_id":79,"tracker_id":40,"status_id":1,"priority_id":2,"assigned_to_id":23,"start_date":"2016-12-25","description":"","custom_fields":[{"id":1,"name":"Subdivision","value":"EC"},{"id":4,"name":"Milepost","value":"0.0161"},{"id":17,"name":"Train ID","value":"172-25"},{"id":16,"name":"Locomotive ID","value":"4041"},{"id":130,"name":"Impact","value":""},{"id":150,"name":"Time of Event (Mountain Time)","value":"14:05:36"},{"id":151,"name":"Denver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566</v>
      </c>
      <c r="B86" s="7">
        <v>4031</v>
      </c>
      <c r="C86" s="22" t="s">
        <v>205</v>
      </c>
      <c r="D86" s="22" t="s">
        <v>265</v>
      </c>
      <c r="E86" s="13">
        <v>42729.52652777778</v>
      </c>
      <c r="F86" s="13">
        <v>42729.531527777777</v>
      </c>
      <c r="G86" s="7">
        <v>2</v>
      </c>
      <c r="H86" s="22" t="s">
        <v>359</v>
      </c>
      <c r="I86" s="13">
        <v>42729.556331018517</v>
      </c>
      <c r="J86" s="7">
        <v>0</v>
      </c>
      <c r="K86" s="109" t="str">
        <f t="shared" si="19"/>
        <v>4031/4032</v>
      </c>
      <c r="L86" s="22" t="str">
        <f>VLOOKUP(A86,'Trips&amp;Operators'!$C$1:$G$99999,5,FALSE)</f>
        <v>STEWART MICHAEL</v>
      </c>
      <c r="M86" s="6">
        <f t="shared" si="20"/>
        <v>2.4803240739856847E-2</v>
      </c>
      <c r="N86" s="7">
        <f t="shared" si="21"/>
        <v>35.716666665393859</v>
      </c>
      <c r="O86" s="7"/>
      <c r="P86" s="7"/>
      <c r="Q86" s="23"/>
      <c r="R86" s="23"/>
      <c r="S86" s="35">
        <f t="shared" si="22"/>
        <v>1</v>
      </c>
      <c r="T86" s="50" t="str">
        <f t="shared" si="23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11:38:12-700',mode:absolute,to:'2016-12-25 14:21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6" s="52" t="str">
        <f t="shared" si="25"/>
        <v>N</v>
      </c>
      <c r="X86" s="177">
        <f t="shared" si="26"/>
        <v>1</v>
      </c>
      <c r="Y86" s="67">
        <f t="shared" si="27"/>
        <v>4.6699999999999998E-2</v>
      </c>
      <c r="Z86" s="67">
        <f t="shared" si="28"/>
        <v>23.331399999999999</v>
      </c>
      <c r="AA86" s="67">
        <f t="shared" si="29"/>
        <v>23.284699999999997</v>
      </c>
      <c r="AB86" s="64" t="e">
        <f>VLOOKUP(A86,Enforcements!$C$7:$K$19,8,0)</f>
        <v>#N/A</v>
      </c>
      <c r="AC86" s="60" t="e">
        <f>VLOOKUP(A86,Enforcements!$C$7:$E$19,3,0)</f>
        <v>#N/A</v>
      </c>
      <c r="AD86" s="61" t="str">
        <f t="shared" si="30"/>
        <v>0173-25</v>
      </c>
      <c r="AE86" s="91" t="str">
        <f t="shared" si="31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86" s="88" t="str">
        <f t="shared" si="32"/>
        <v>"C:\Program Files (x86)\AstroGrep\AstroGrep.exe" /spath="%USERPROFILE%\AppData\Local\Temp\OnboardLogs" /stypes="app*4031*20161225*" /stext=" 20:.+((SYSTEM_STATE.+slice.+state.+changed )|(ment ac)|(multiple cpu faults)|(system.+state.+changed )|(\[timeout)|(PRM\|1\|D)|(kpr)|(kdp)|(\|lc)|(penalty))" /e /r /s</v>
      </c>
      <c r="AG86" s="1" t="str">
        <f t="shared" si="33"/>
        <v>EC</v>
      </c>
      <c r="AH86" s="92" t="str">
        <f t="shared" si="34"/>
        <v>"%USERPROFILE%\Documents\GitHub\eaglep3\Utilities\RefineRTDCRunTimes.py" --tripid 173-25 --locoid 4031 --swversion DE.1.0.8.0 --startMP 204:467 --initTime 2016-12-25T12:38:12 --startdatetime 2016-12-25T12:45:24 --delay 2 --endMP 204:233314 --enddatetime 2016-12-25T13:21:07 --enforcementcount 0 &gt;&gt;C:\Users\stu\Documents\GitHub\eaglep3-reporting\EC\2016-12-25-refined-times.txt</v>
      </c>
      <c r="AI8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{"issue":{"subject":"","project_id":79,"tracker_id":40,"status_id":1,"priority_id":2,"assigned_to_id":23,"start_date":"2016-12-25","description":"","custom_fields":[{"id":1,"name":"Subdivision","value":"EC"},{"id":4,"name":"Milepost","value":"23.3314"},{"id":17,"name":"Train ID","value":"173-25"},{"id":16,"name":"Locomotive ID","value":"4031"},{"id":130,"name":"Impact","value":""},{"id":150,"name":"Time of Event (Mountain Time)","value":"13:21:07"},{"id":151,"name":"Denver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574</v>
      </c>
      <c r="B87" s="7">
        <v>4032</v>
      </c>
      <c r="C87" s="22" t="s">
        <v>205</v>
      </c>
      <c r="D87" s="22" t="s">
        <v>330</v>
      </c>
      <c r="E87" s="13">
        <v>42729.567164351851</v>
      </c>
      <c r="F87" s="13">
        <v>42729.570393518516</v>
      </c>
      <c r="G87" s="7">
        <v>1</v>
      </c>
      <c r="H87" s="22" t="s">
        <v>692</v>
      </c>
      <c r="I87" s="13">
        <v>42729.597013888888</v>
      </c>
      <c r="J87" s="7">
        <v>0</v>
      </c>
      <c r="K87" s="109" t="str">
        <f t="shared" si="19"/>
        <v>4031/4032</v>
      </c>
      <c r="L87" s="22" t="str">
        <f>VLOOKUP(A87,'Trips&amp;Operators'!$C$1:$G$99999,5,FALSE)</f>
        <v>STEWART MICHAEL</v>
      </c>
      <c r="M87" s="6">
        <f t="shared" si="20"/>
        <v>2.662037037225673E-2</v>
      </c>
      <c r="N87" s="7">
        <f t="shared" si="21"/>
        <v>38.333333336049691</v>
      </c>
      <c r="O87" s="7"/>
      <c r="P87" s="7"/>
      <c r="Q87" s="23"/>
      <c r="R87" s="23"/>
      <c r="S87" s="35">
        <f t="shared" si="22"/>
        <v>1</v>
      </c>
      <c r="T87" s="50" t="str">
        <f t="shared" si="23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12:36:43-700',mode:absolute,to:'2016-12-25 15:19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7" s="52" t="str">
        <f t="shared" si="25"/>
        <v>N</v>
      </c>
      <c r="X87" s="177">
        <f t="shared" si="26"/>
        <v>1</v>
      </c>
      <c r="Y87" s="67">
        <f t="shared" si="27"/>
        <v>23.296900000000001</v>
      </c>
      <c r="Z87" s="67">
        <f t="shared" si="28"/>
        <v>1.72E-2</v>
      </c>
      <c r="AA87" s="67">
        <f t="shared" si="29"/>
        <v>23.279700000000002</v>
      </c>
      <c r="AB87" s="64" t="e">
        <f>VLOOKUP(A87,Enforcements!$C$7:$K$19,8,0)</f>
        <v>#N/A</v>
      </c>
      <c r="AC87" s="60" t="e">
        <f>VLOOKUP(A87,Enforcements!$C$7:$E$19,3,0)</f>
        <v>#N/A</v>
      </c>
      <c r="AD87" s="61" t="str">
        <f t="shared" si="30"/>
        <v>0174-25</v>
      </c>
      <c r="AE87" s="91" t="str">
        <f t="shared" si="31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87" s="88" t="str">
        <f t="shared" si="32"/>
        <v>"C:\Program Files (x86)\AstroGrep\AstroGrep.exe" /spath="%USERPROFILE%\AppData\Local\Temp\OnboardLogs" /stypes="app*4032*20161225*" /stext=" 21:.+((SYSTEM_STATE.+slice.+state.+changed )|(ment ac)|(multiple cpu faults)|(system.+state.+changed )|(\[timeout)|(PRM\|1\|D)|(kpr)|(kdp)|(\|lc)|(penalty))" /e /r /s</v>
      </c>
      <c r="AG87" s="1" t="str">
        <f t="shared" si="33"/>
        <v>EC</v>
      </c>
      <c r="AH87" s="92" t="str">
        <f t="shared" si="34"/>
        <v>"%USERPROFILE%\Documents\GitHub\eaglep3\Utilities\RefineRTDCRunTimes.py" --tripid 174-25 --locoid 4032 --swversion DE.1.0.8.0 --startMP 204:232969 --initTime 2016-12-25T13:36:43 --startdatetime 2016-12-25T13:41:22 --delay 1 --endMP 204:172 --enddatetime 2016-12-25T14:19:42 --enforcementcount 0 &gt;&gt;C:\Users\stu\Documents\GitHub\eaglep3-reporting\EC\2016-12-25-refined-times.txt</v>
      </c>
      <c r="AI87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{"issue":{"subject":"","project_id":79,"tracker_id":40,"status_id":1,"priority_id":2,"assigned_to_id":23,"start_date":"2016-12-25","description":"","custom_fields":[{"id":1,"name":"Subdivision","value":"EC"},{"id":4,"name":"Milepost","value":"0.0172"},{"id":17,"name":"Train ID","value":"174-25"},{"id":16,"name":"Locomotive ID","value":"4032"},{"id":130,"name":"Impact","value":""},{"id":150,"name":"Time of Event (Mountain Time)","value":"14:19:42"},{"id":151,"name":"Denver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569</v>
      </c>
      <c r="B88" s="7">
        <v>4014</v>
      </c>
      <c r="C88" s="22" t="s">
        <v>205</v>
      </c>
      <c r="D88" s="22" t="s">
        <v>285</v>
      </c>
      <c r="E88" s="13">
        <v>42729.538460648146</v>
      </c>
      <c r="F88" s="13">
        <v>42729.542037037034</v>
      </c>
      <c r="G88" s="7">
        <v>1</v>
      </c>
      <c r="H88" s="22" t="s">
        <v>693</v>
      </c>
      <c r="I88" s="13">
        <v>42729.567395833335</v>
      </c>
      <c r="J88" s="7">
        <v>0</v>
      </c>
      <c r="K88" s="109" t="str">
        <f t="shared" si="19"/>
        <v>4013/4014</v>
      </c>
      <c r="L88" s="22" t="str">
        <f>VLOOKUP(A88,'Trips&amp;Operators'!$C$1:$G$99999,5,FALSE)</f>
        <v>DAVIS MICHAEL</v>
      </c>
      <c r="M88" s="6">
        <f t="shared" si="20"/>
        <v>2.5358796301588882E-2</v>
      </c>
      <c r="N88" s="7">
        <f t="shared" si="21"/>
        <v>36.51666667428799</v>
      </c>
      <c r="O88" s="7"/>
      <c r="P88" s="7"/>
      <c r="Q88" s="23"/>
      <c r="R88" s="23"/>
      <c r="S88" s="35">
        <f t="shared" si="22"/>
        <v>1</v>
      </c>
      <c r="T88" s="50" t="str">
        <f t="shared" si="23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11:55:23-700',mode:absolute,to:'2016-12-25 14:37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8" s="52" t="str">
        <f t="shared" si="25"/>
        <v>N</v>
      </c>
      <c r="X88" s="177">
        <f t="shared" si="26"/>
        <v>1</v>
      </c>
      <c r="Y88" s="67">
        <f t="shared" si="27"/>
        <v>4.4900000000000002E-2</v>
      </c>
      <c r="Z88" s="67">
        <f t="shared" si="28"/>
        <v>23.330200000000001</v>
      </c>
      <c r="AA88" s="67">
        <f t="shared" si="29"/>
        <v>23.285300000000003</v>
      </c>
      <c r="AB88" s="64" t="e">
        <f>VLOOKUP(A88,Enforcements!$C$7:$K$19,8,0)</f>
        <v>#N/A</v>
      </c>
      <c r="AC88" s="60" t="e">
        <f>VLOOKUP(A88,Enforcements!$C$7:$E$19,3,0)</f>
        <v>#N/A</v>
      </c>
      <c r="AD88" s="61" t="str">
        <f t="shared" si="30"/>
        <v>0175-25</v>
      </c>
      <c r="AE88" s="91" t="str">
        <f t="shared" si="31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88" s="88" t="str">
        <f t="shared" si="32"/>
        <v>"C:\Program Files (x86)\AstroGrep\AstroGrep.exe" /spath="%USERPROFILE%\AppData\Local\Temp\OnboardLogs" /stypes="app*4014*20161225*" /stext=" 20:.+((SYSTEM_STATE.+slice.+state.+changed )|(ment ac)|(multiple cpu faults)|(system.+state.+changed )|(\[timeout)|(PRM\|1\|D)|(kpr)|(kdp)|(\|lc)|(penalty))" /e /r /s</v>
      </c>
      <c r="AG88" s="1" t="str">
        <f t="shared" si="33"/>
        <v>EC</v>
      </c>
      <c r="AH88" s="92" t="str">
        <f t="shared" si="34"/>
        <v>"%USERPROFILE%\Documents\GitHub\eaglep3\Utilities\RefineRTDCRunTimes.py" --tripid 175-25 --locoid 4014 --swversion DE.1.0.8.0 --startMP 204:449 --initTime 2016-12-25T12:55:23 --startdatetime 2016-12-25T13:00:32 --delay 1 --endMP 204:233302 --enddatetime 2016-12-25T13:37:03 --enforcementcount 0 &gt;&gt;C:\Users\stu\Documents\GitHub\eaglep3-reporting\EC\2016-12-25-refined-times.txt</v>
      </c>
      <c r="AI8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{"issue":{"subject":"","project_id":79,"tracker_id":40,"status_id":1,"priority_id":2,"assigned_to_id":23,"start_date":"2016-12-25","description":"","custom_fields":[{"id":1,"name":"Subdivision","value":"EC"},{"id":4,"name":"Milepost","value":"23.3302"},{"id":17,"name":"Train ID","value":"175-25"},{"id":16,"name":"Locomotive ID","value":"4014"},{"id":130,"name":"Impact","value":""},{"id":150,"name":"Time of Event (Mountain Time)","value":"13:37:03"},{"id":151,"name":"Denver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577</v>
      </c>
      <c r="B89" s="7">
        <v>4013</v>
      </c>
      <c r="C89" s="22" t="s">
        <v>205</v>
      </c>
      <c r="D89" s="22" t="s">
        <v>694</v>
      </c>
      <c r="E89" s="13">
        <v>42729.577199074076</v>
      </c>
      <c r="F89" s="13">
        <v>42729.581192129626</v>
      </c>
      <c r="G89" s="7">
        <v>1</v>
      </c>
      <c r="H89" s="22" t="s">
        <v>261</v>
      </c>
      <c r="I89" s="13">
        <v>42729.60832175926</v>
      </c>
      <c r="J89" s="7">
        <v>0</v>
      </c>
      <c r="K89" s="109" t="str">
        <f t="shared" si="19"/>
        <v>4013/4014</v>
      </c>
      <c r="L89" s="22" t="str">
        <f>VLOOKUP(A89,'Trips&amp;Operators'!$C$1:$G$99999,5,FALSE)</f>
        <v>DAVIS MICHAEL</v>
      </c>
      <c r="M89" s="6">
        <f t="shared" si="20"/>
        <v>2.7129629634146113E-2</v>
      </c>
      <c r="N89" s="7">
        <f t="shared" si="21"/>
        <v>39.066666673170403</v>
      </c>
      <c r="O89" s="7"/>
      <c r="P89" s="7"/>
      <c r="Q89" s="23"/>
      <c r="R89" s="23"/>
      <c r="S89" s="35">
        <f t="shared" si="22"/>
        <v>1</v>
      </c>
      <c r="T89" s="50" t="str">
        <f t="shared" si="23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12:51:10-700',mode:absolute,to:'2016-12-25 15:35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9" s="52" t="str">
        <f t="shared" si="25"/>
        <v>N</v>
      </c>
      <c r="X89" s="177">
        <f t="shared" si="26"/>
        <v>1</v>
      </c>
      <c r="Y89" s="67">
        <f t="shared" si="27"/>
        <v>23.298500000000001</v>
      </c>
      <c r="Z89" s="67">
        <f t="shared" si="28"/>
        <v>1.47E-2</v>
      </c>
      <c r="AA89" s="67">
        <f t="shared" si="29"/>
        <v>23.283799999999999</v>
      </c>
      <c r="AB89" s="64" t="e">
        <f>VLOOKUP(A89,Enforcements!$C$7:$K$19,8,0)</f>
        <v>#N/A</v>
      </c>
      <c r="AC89" s="60" t="e">
        <f>VLOOKUP(A89,Enforcements!$C$7:$E$19,3,0)</f>
        <v>#N/A</v>
      </c>
      <c r="AD89" s="61" t="str">
        <f t="shared" si="30"/>
        <v>0176-25</v>
      </c>
      <c r="AE89" s="91" t="str">
        <f t="shared" si="31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89" s="88" t="str">
        <f t="shared" si="32"/>
        <v>"C:\Program Files (x86)\AstroGrep\AstroGrep.exe" /spath="%USERPROFILE%\AppData\Local\Temp\OnboardLogs" /stypes="app*4013*20161225*" /stext=" 21:.+((SYSTEM_STATE.+slice.+state.+changed )|(ment ac)|(multiple cpu faults)|(system.+state.+changed )|(\[timeout)|(PRM\|1\|D)|(kpr)|(kdp)|(\|lc)|(penalty))" /e /r /s</v>
      </c>
      <c r="AG89" s="1" t="str">
        <f t="shared" si="33"/>
        <v>EC</v>
      </c>
      <c r="AH89" s="92" t="str">
        <f t="shared" si="34"/>
        <v>"%USERPROFILE%\Documents\GitHub\eaglep3\Utilities\RefineRTDCRunTimes.py" --tripid 176-25 --locoid 4013 --swversion DE.1.0.8.0 --startMP 204:232985 --initTime 2016-12-25T13:51:10 --startdatetime 2016-12-25T13:56:55 --delay 1 --endMP 204:147 --enddatetime 2016-12-25T14:35:59 --enforcementcount 0 &gt;&gt;C:\Users\stu\Documents\GitHub\eaglep3-reporting\EC\2016-12-25-refined-times.txt</v>
      </c>
      <c r="AI8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ID","value":"176-25"},{"id":16,"name":"Locomotive ID","value":"4013"},{"id":130,"name":"Impact","value":""},{"id":150,"name":"Time of Event (Mountain Time)","value":"14:35:59"},{"id":151,"name":"Denver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571</v>
      </c>
      <c r="B90" s="7">
        <v>4018</v>
      </c>
      <c r="C90" s="22" t="s">
        <v>205</v>
      </c>
      <c r="D90" s="22" t="s">
        <v>311</v>
      </c>
      <c r="E90" s="13">
        <v>42729.548009259262</v>
      </c>
      <c r="F90" s="13">
        <v>42729.552233796298</v>
      </c>
      <c r="G90" s="7">
        <v>1</v>
      </c>
      <c r="H90" s="22" t="s">
        <v>422</v>
      </c>
      <c r="I90" s="13">
        <v>42729.576354166667</v>
      </c>
      <c r="J90" s="7">
        <v>0</v>
      </c>
      <c r="K90" s="109" t="str">
        <f t="shared" si="19"/>
        <v>4017/4018</v>
      </c>
      <c r="L90" s="22" t="str">
        <f>VLOOKUP(A90,'Trips&amp;Operators'!$C$1:$G$99999,5,FALSE)</f>
        <v>ROMERO CHAD</v>
      </c>
      <c r="M90" s="6">
        <f t="shared" si="20"/>
        <v>2.4120370369928423E-2</v>
      </c>
      <c r="N90" s="7">
        <f t="shared" si="21"/>
        <v>34.73333333269693</v>
      </c>
      <c r="O90" s="7"/>
      <c r="P90" s="7"/>
      <c r="Q90" s="23"/>
      <c r="R90" s="23"/>
      <c r="S90" s="35">
        <f t="shared" si="22"/>
        <v>1</v>
      </c>
      <c r="T90" s="50" t="str">
        <f t="shared" si="23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12:09:08-700',mode:absolute,to:'2016-12-25 14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90" s="52" t="str">
        <f t="shared" si="25"/>
        <v>N</v>
      </c>
      <c r="X90" s="177">
        <f t="shared" si="26"/>
        <v>1</v>
      </c>
      <c r="Y90" s="67">
        <f t="shared" si="27"/>
        <v>4.3299999999999998E-2</v>
      </c>
      <c r="Z90" s="67">
        <f t="shared" si="28"/>
        <v>23.330500000000001</v>
      </c>
      <c r="AA90" s="67">
        <f t="shared" si="29"/>
        <v>23.287200000000002</v>
      </c>
      <c r="AB90" s="64" t="e">
        <f>VLOOKUP(A90,Enforcements!$C$7:$K$19,8,0)</f>
        <v>#N/A</v>
      </c>
      <c r="AC90" s="60" t="e">
        <f>VLOOKUP(A90,Enforcements!$C$7:$E$19,3,0)</f>
        <v>#N/A</v>
      </c>
      <c r="AD90" s="61" t="str">
        <f t="shared" si="30"/>
        <v>0177-25</v>
      </c>
      <c r="AE90" s="91" t="str">
        <f t="shared" si="31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90" s="88" t="str">
        <f t="shared" si="32"/>
        <v>"C:\Program Files (x86)\AstroGrep\AstroGrep.exe" /spath="%USERPROFILE%\AppData\Local\Temp\OnboardLogs" /stypes="app*4018*20161225*" /stext=" 20:.+((SYSTEM_STATE.+slice.+state.+changed )|(ment ac)|(multiple cpu faults)|(system.+state.+changed )|(\[timeout)|(PRM\|1\|D)|(kpr)|(kdp)|(\|lc)|(penalty))" /e /r /s</v>
      </c>
      <c r="AG90" s="1" t="str">
        <f t="shared" si="33"/>
        <v>EC</v>
      </c>
      <c r="AH90" s="92" t="str">
        <f t="shared" si="34"/>
        <v>"%USERPROFILE%\Documents\GitHub\eaglep3\Utilities\RefineRTDCRunTimes.py" --tripid 177-25 --locoid 4018 --swversion DE.1.0.8.0 --startMP 204:433 --initTime 2016-12-25T13:09:08 --startdatetime 2016-12-25T13:15:13 --delay 1 --endMP 204:233305 --enddatetime 2016-12-25T13:49:57 --enforcementcount 0 &gt;&gt;C:\Users\stu\Documents\GitHub\eaglep3-reporting\EC\2016-12-25-refined-times.txt</v>
      </c>
      <c r="AI9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{"issue":{"subject":"","project_id":79,"tracker_id":40,"status_id":1,"priority_id":2,"assigned_to_id":23,"start_date":"2016-12-25","description":"","custom_fields":[{"id":1,"name":"Subdivision","value":"EC"},{"id":4,"name":"Milepost","value":"23.3305"},{"id":17,"name":"Train ID","value":"177-25"},{"id":16,"name":"Locomotive ID","value":"4018"},{"id":130,"name":"Impact","value":""},{"id":150,"name":"Time of Event (Mountain Time)","value":"13:49:57"},{"id":151,"name":"Denver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578</v>
      </c>
      <c r="B91" s="7">
        <v>4017</v>
      </c>
      <c r="C91" s="22" t="s">
        <v>205</v>
      </c>
      <c r="D91" s="22" t="s">
        <v>695</v>
      </c>
      <c r="E91" s="13">
        <v>42729.578657407408</v>
      </c>
      <c r="F91" s="13">
        <v>42729.591122685182</v>
      </c>
      <c r="G91" s="7">
        <v>1</v>
      </c>
      <c r="H91" s="22" t="s">
        <v>234</v>
      </c>
      <c r="I91" s="13">
        <v>42729.61891203704</v>
      </c>
      <c r="J91" s="7">
        <v>0</v>
      </c>
      <c r="K91" s="109" t="str">
        <f t="shared" si="19"/>
        <v>4017/4018</v>
      </c>
      <c r="L91" s="22" t="str">
        <f>VLOOKUP(A91,'Trips&amp;Operators'!$C$1:$G$99999,5,FALSE)</f>
        <v>ROMERO CHAD</v>
      </c>
      <c r="M91" s="6">
        <f t="shared" si="20"/>
        <v>2.7789351857791189E-2</v>
      </c>
      <c r="N91" s="7">
        <f t="shared" si="21"/>
        <v>40.016666675219312</v>
      </c>
      <c r="O91" s="7"/>
      <c r="P91" s="7"/>
      <c r="Q91" s="23"/>
      <c r="R91" s="23"/>
      <c r="S91" s="35">
        <f t="shared" si="22"/>
        <v>1</v>
      </c>
      <c r="T91" s="50" t="str">
        <f t="shared" si="23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12:53:16-700',mode:absolute,to:'2016-12-25 15:51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91" s="52" t="str">
        <f t="shared" si="25"/>
        <v>N</v>
      </c>
      <c r="X91" s="177">
        <f t="shared" si="26"/>
        <v>1</v>
      </c>
      <c r="Y91" s="67">
        <f t="shared" si="27"/>
        <v>23.298999999999999</v>
      </c>
      <c r="Z91" s="67">
        <f t="shared" si="28"/>
        <v>1.4500000000000001E-2</v>
      </c>
      <c r="AA91" s="67">
        <f t="shared" si="29"/>
        <v>23.284499999999998</v>
      </c>
      <c r="AB91" s="64" t="e">
        <f>VLOOKUP(A91,Enforcements!$C$7:$K$19,8,0)</f>
        <v>#N/A</v>
      </c>
      <c r="AC91" s="60" t="e">
        <f>VLOOKUP(A91,Enforcements!$C$7:$E$19,3,0)</f>
        <v>#N/A</v>
      </c>
      <c r="AD91" s="61" t="str">
        <f t="shared" si="30"/>
        <v>0178-25</v>
      </c>
      <c r="AE91" s="91" t="str">
        <f t="shared" si="31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91" s="88" t="str">
        <f t="shared" si="32"/>
        <v>"C:\Program Files (x86)\AstroGrep\AstroGrep.exe" /spath="%USERPROFILE%\AppData\Local\Temp\OnboardLogs" /stypes="app*4017*20161225*" /stext=" 21:.+((SYSTEM_STATE.+slice.+state.+changed )|(ment ac)|(multiple cpu faults)|(system.+state.+changed )|(\[timeout)|(PRM\|1\|D)|(kpr)|(kdp)|(\|lc)|(penalty))" /e /r /s</v>
      </c>
      <c r="AG91" s="1" t="str">
        <f t="shared" si="33"/>
        <v>EC</v>
      </c>
      <c r="AH91" s="92" t="str">
        <f t="shared" si="34"/>
        <v>"%USERPROFILE%\Documents\GitHub\eaglep3\Utilities\RefineRTDCRunTimes.py" --tripid 178-25 --locoid 4017 --swversion DE.1.0.8.0 --startMP 204:232990 --initTime 2016-12-25T13:53:16 --startdatetime 2016-12-25T14:11:13 --delay 1 --endMP 204:145 --enddatetime 2016-12-25T14:51:14 --enforcementcount 0 &gt;&gt;C:\Users\stu\Documents\GitHub\eaglep3-reporting\EC\2016-12-25-refined-times.txt</v>
      </c>
      <c r="AI9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{"issue":{"subject":"","project_id":79,"tracker_id":40,"status_id":1,"priority_id":2,"assigned_to_id":23,"start_date":"2016-12-25","description":"","custom_fields":[{"id":1,"name":"Subdivision","value":"EC"},{"id":4,"name":"Milepost","value":"0.0145"},{"id":17,"name":"Train ID","value":"178-25"},{"id":16,"name":"Locomotive ID","value":"4017"},{"id":130,"name":"Impact","value":""},{"id":150,"name":"Time of Event (Mountain Time)","value":"14:51:14"},{"id":151,"name":"Denver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7" t="s">
        <v>573</v>
      </c>
      <c r="B92" s="7">
        <v>4027</v>
      </c>
      <c r="C92" s="22" t="s">
        <v>205</v>
      </c>
      <c r="D92" s="22" t="s">
        <v>679</v>
      </c>
      <c r="E92" s="13">
        <v>42729.556817129633</v>
      </c>
      <c r="F92" s="13">
        <v>42729.562662037039</v>
      </c>
      <c r="G92" s="7">
        <v>1</v>
      </c>
      <c r="H92" s="22" t="s">
        <v>288</v>
      </c>
      <c r="I92" s="13">
        <v>42729.587071759262</v>
      </c>
      <c r="J92" s="7">
        <v>0</v>
      </c>
      <c r="K92" s="109" t="str">
        <f t="shared" si="19"/>
        <v>4027/4028</v>
      </c>
      <c r="L92" s="22" t="str">
        <f>VLOOKUP(A92,'Trips&amp;Operators'!$C$1:$G$99999,5,FALSE)</f>
        <v>BRUDER RICHARD</v>
      </c>
      <c r="M92" s="6">
        <f t="shared" si="20"/>
        <v>2.4409722223936114E-2</v>
      </c>
      <c r="N92" s="7">
        <f t="shared" si="21"/>
        <v>35.150000002468005</v>
      </c>
      <c r="O92" s="7"/>
      <c r="P92" s="7"/>
      <c r="Q92" s="23"/>
      <c r="R92" s="23"/>
      <c r="S92" s="35">
        <f t="shared" si="22"/>
        <v>1</v>
      </c>
      <c r="T92" s="50" t="str">
        <f t="shared" si="23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12:21:49-700',mode:absolute,to:'2016-12-25 15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92" s="52" t="str">
        <f t="shared" si="25"/>
        <v>N</v>
      </c>
      <c r="X92" s="177">
        <f t="shared" si="26"/>
        <v>1</v>
      </c>
      <c r="Y92" s="67">
        <f t="shared" si="27"/>
        <v>4.4400000000000002E-2</v>
      </c>
      <c r="Z92" s="67">
        <f t="shared" si="28"/>
        <v>23.3308</v>
      </c>
      <c r="AA92" s="67">
        <f t="shared" si="29"/>
        <v>23.2864</v>
      </c>
      <c r="AB92" s="64" t="e">
        <f>VLOOKUP(A92,Enforcements!$C$7:$K$19,8,0)</f>
        <v>#N/A</v>
      </c>
      <c r="AC92" s="60" t="e">
        <f>VLOOKUP(A92,Enforcements!$C$7:$E$19,3,0)</f>
        <v>#N/A</v>
      </c>
      <c r="AD92" s="61" t="str">
        <f t="shared" si="30"/>
        <v>0179-25</v>
      </c>
      <c r="AE92" s="91" t="str">
        <f t="shared" si="31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92" s="88" t="str">
        <f t="shared" si="32"/>
        <v>"C:\Program Files (x86)\AstroGrep\AstroGrep.exe" /spath="%USERPROFILE%\AppData\Local\Temp\OnboardLogs" /stypes="app*4027*20161225*" /stext=" 21:.+((SYSTEM_STATE.+slice.+state.+changed )|(ment ac)|(multiple cpu faults)|(system.+state.+changed )|(\[timeout)|(PRM\|1\|D)|(kpr)|(kdp)|(\|lc)|(penalty))" /e /r /s</v>
      </c>
      <c r="AG92" s="1" t="str">
        <f t="shared" si="33"/>
        <v>EC</v>
      </c>
      <c r="AH92" s="92" t="str">
        <f t="shared" si="34"/>
        <v>"%USERPROFILE%\Documents\GitHub\eaglep3\Utilities\RefineRTDCRunTimes.py" --tripid 179-25 --locoid 4027 --swversion DE.1.0.8.0 --startMP 204:444 --initTime 2016-12-25T13:21:49 --startdatetime 2016-12-25T13:30:14 --delay 1 --endMP 204:233308 --enddatetime 2016-12-25T14:05:23 --enforcementcount 0 &gt;&gt;C:\Users\stu\Documents\GitHub\eaglep3-reporting\EC\2016-12-25-refined-times.txt</v>
      </c>
      <c r="AI9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{"issue":{"subject":"","project_id":79,"tracker_id":40,"status_id":1,"priority_id":2,"assigned_to_id":23,"start_date":"2016-12-25","description":"","custom_fields":[{"id":1,"name":"Subdivision","value":"EC"},{"id":4,"name":"Milepost","value":"23.3308"},{"id":17,"name":"Train ID","value":"179-25"},{"id":16,"name":"Locomotive ID","value":"4027"},{"id":130,"name":"Impact","value":""},{"id":150,"name":"Time of Event (Mountain Time)","value":"14:05:23"},{"id":151,"name":"Denver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7" t="s">
        <v>581</v>
      </c>
      <c r="B93" s="7">
        <v>4028</v>
      </c>
      <c r="C93" s="22" t="s">
        <v>205</v>
      </c>
      <c r="D93" s="22" t="s">
        <v>270</v>
      </c>
      <c r="E93" s="13">
        <v>42729.595752314817</v>
      </c>
      <c r="F93" s="13">
        <v>42729.601736111108</v>
      </c>
      <c r="G93" s="7">
        <v>1</v>
      </c>
      <c r="H93" s="22" t="s">
        <v>326</v>
      </c>
      <c r="I93" s="13">
        <v>42729.628437500003</v>
      </c>
      <c r="J93" s="7">
        <v>0</v>
      </c>
      <c r="K93" s="109" t="str">
        <f t="shared" si="19"/>
        <v>4027/4028</v>
      </c>
      <c r="L93" s="22" t="str">
        <f>VLOOKUP(A93,'Trips&amp;Operators'!$C$1:$G$99999,5,FALSE)</f>
        <v>BRUDER RICHARD</v>
      </c>
      <c r="M93" s="6">
        <f t="shared" si="20"/>
        <v>2.6701388895162381E-2</v>
      </c>
      <c r="N93" s="7">
        <f t="shared" si="21"/>
        <v>38.450000009033829</v>
      </c>
      <c r="O93" s="7"/>
      <c r="P93" s="7"/>
      <c r="Q93" s="23"/>
      <c r="R93" s="23"/>
      <c r="S93" s="35">
        <f t="shared" si="22"/>
        <v>1</v>
      </c>
      <c r="T93" s="50" t="str">
        <f t="shared" si="23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13:17:53-700',mode:absolute,to:'2016-12-25 16:04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93" s="52" t="str">
        <f t="shared" si="25"/>
        <v>N</v>
      </c>
      <c r="X93" s="177">
        <f t="shared" si="26"/>
        <v>1</v>
      </c>
      <c r="Y93" s="67">
        <f t="shared" si="27"/>
        <v>23.299299999999999</v>
      </c>
      <c r="Z93" s="67">
        <f t="shared" si="28"/>
        <v>1.52E-2</v>
      </c>
      <c r="AA93" s="67">
        <f t="shared" si="29"/>
        <v>23.284099999999999</v>
      </c>
      <c r="AB93" s="64" t="e">
        <f>VLOOKUP(A93,Enforcements!$C$7:$K$19,8,0)</f>
        <v>#N/A</v>
      </c>
      <c r="AC93" s="60" t="e">
        <f>VLOOKUP(A93,Enforcements!$C$7:$E$19,3,0)</f>
        <v>#N/A</v>
      </c>
      <c r="AD93" s="61" t="str">
        <f t="shared" si="30"/>
        <v>0180-25</v>
      </c>
      <c r="AE93" s="91" t="str">
        <f t="shared" si="31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93" s="88" t="str">
        <f t="shared" si="32"/>
        <v>"C:\Program Files (x86)\AstroGrep\AstroGrep.exe" /spath="%USERPROFILE%\AppData\Local\Temp\OnboardLogs" /stypes="app*4028*20161225*" /stext=" 22:.+((SYSTEM_STATE.+slice.+state.+changed )|(ment ac)|(multiple cpu faults)|(system.+state.+changed )|(\[timeout)|(PRM\|1\|D)|(kpr)|(kdp)|(\|lc)|(penalty))" /e /r /s</v>
      </c>
      <c r="AG93" s="1" t="str">
        <f t="shared" si="33"/>
        <v>EC</v>
      </c>
      <c r="AH93" s="92" t="str">
        <f t="shared" si="34"/>
        <v>"%USERPROFILE%\Documents\GitHub\eaglep3\Utilities\RefineRTDCRunTimes.py" --tripid 180-25 --locoid 4028 --swversion DE.1.0.8.0 --startMP 204:232993 --initTime 2016-12-25T14:17:53 --startdatetime 2016-12-25T14:26:30 --delay 1 --endMP 204:152 --enddatetime 2016-12-25T15:04:57 --enforcementcount 0 &gt;&gt;C:\Users\stu\Documents\GitHub\eaglep3-reporting\EC\2016-12-25-refined-times.txt</v>
      </c>
      <c r="AI9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{"issue":{"subject":"","project_id":79,"tracker_id":40,"status_id":1,"priority_id":2,"assigned_to_id":23,"start_date":"2016-12-25","description":"","custom_fields":[{"id":1,"name":"Subdivision","value":"EC"},{"id":4,"name":"Milepost","value":"0.0152"},{"id":17,"name":"Train ID","value":"180-25"},{"id":16,"name":"Locomotive ID","value":"4028"},{"id":130,"name":"Impact","value":""},{"id":150,"name":"Time of Event (Mountain Time)","value":"15:04:57"},{"id":151,"name":"Denver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576</v>
      </c>
      <c r="B94" s="7">
        <v>4009</v>
      </c>
      <c r="C94" s="22" t="s">
        <v>205</v>
      </c>
      <c r="D94" s="22" t="s">
        <v>256</v>
      </c>
      <c r="E94" s="13">
        <v>42729.568344907406</v>
      </c>
      <c r="F94" s="13">
        <v>42729.57309027778</v>
      </c>
      <c r="G94" s="7">
        <v>1</v>
      </c>
      <c r="H94" s="22" t="s">
        <v>355</v>
      </c>
      <c r="I94" s="13">
        <v>42729.597777777781</v>
      </c>
      <c r="J94" s="7">
        <v>0</v>
      </c>
      <c r="K94" s="109" t="str">
        <f t="shared" si="19"/>
        <v>4009/4010</v>
      </c>
      <c r="L94" s="22" t="str">
        <f>VLOOKUP(A94,'Trips&amp;Operators'!$C$1:$G$99999,5,FALSE)</f>
        <v>CRAYTON QUNTRELL</v>
      </c>
      <c r="M94" s="6">
        <f t="shared" si="20"/>
        <v>2.4687500001164153E-2</v>
      </c>
      <c r="N94" s="7">
        <f t="shared" si="21"/>
        <v>35.550000001676381</v>
      </c>
      <c r="O94" s="7"/>
      <c r="P94" s="7"/>
      <c r="Q94" s="23"/>
      <c r="R94" s="23"/>
      <c r="S94" s="35">
        <f t="shared" si="22"/>
        <v>1</v>
      </c>
      <c r="T94" s="50" t="str">
        <f t="shared" si="23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12:38:25-700',mode:absolute,to:'2016-12-25 15:20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4" s="52" t="str">
        <f t="shared" si="25"/>
        <v>N</v>
      </c>
      <c r="X94" s="177">
        <f t="shared" si="26"/>
        <v>1</v>
      </c>
      <c r="Y94" s="67">
        <f t="shared" si="27"/>
        <v>4.6399999999999997E-2</v>
      </c>
      <c r="Z94" s="67">
        <f t="shared" si="28"/>
        <v>23.330300000000001</v>
      </c>
      <c r="AA94" s="67">
        <f t="shared" si="29"/>
        <v>23.283900000000003</v>
      </c>
      <c r="AB94" s="64" t="e">
        <f>VLOOKUP(A94,Enforcements!$C$7:$K$19,8,0)</f>
        <v>#N/A</v>
      </c>
      <c r="AC94" s="60" t="e">
        <f>VLOOKUP(A94,Enforcements!$C$7:$E$19,3,0)</f>
        <v>#N/A</v>
      </c>
      <c r="AD94" s="61" t="str">
        <f t="shared" si="30"/>
        <v>0181-25</v>
      </c>
      <c r="AE94" s="91" t="str">
        <f t="shared" si="31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94" s="88" t="str">
        <f t="shared" si="32"/>
        <v>"C:\Program Files (x86)\AstroGrep\AstroGrep.exe" /spath="%USERPROFILE%\AppData\Local\Temp\OnboardLogs" /stypes="app*4009*20161225*" /stext=" 21:.+((SYSTEM_STATE.+slice.+state.+changed )|(ment ac)|(multiple cpu faults)|(system.+state.+changed )|(\[timeout)|(PRM\|1\|D)|(kpr)|(kdp)|(\|lc)|(penalty))" /e /r /s</v>
      </c>
      <c r="AG94" s="1" t="str">
        <f t="shared" si="33"/>
        <v>EC</v>
      </c>
      <c r="AH94" s="92" t="str">
        <f t="shared" si="34"/>
        <v>"%USERPROFILE%\Documents\GitHub\eaglep3\Utilities\RefineRTDCRunTimes.py" --tripid 181-25 --locoid 4009 --swversion DE.1.0.8.0 --startMP 204:464 --initTime 2016-12-25T13:38:25 --startdatetime 2016-12-25T13:45:15 --delay 1 --endMP 204:233303 --enddatetime 2016-12-25T14:20:48 --enforcementcount 0 &gt;&gt;C:\Users\stu\Documents\GitHub\eaglep3-reporting\EC\2016-12-25-refined-times.txt</v>
      </c>
      <c r="AI9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{"issue":{"subject":"","project_id":79,"tracker_id":40,"status_id":1,"priority_id":2,"assigned_to_id":23,"start_date":"2016-12-25","description":"","custom_fields":[{"id":1,"name":"Subdivision","value":"EC"},{"id":4,"name":"Milepost","value":"23.3303"},{"id":17,"name":"Train ID","value":"181-25"},{"id":16,"name":"Locomotive ID","value":"4009"},{"id":130,"name":"Impact","value":""},{"id":150,"name":"Time of Event (Mountain Time)","value":"14:20:48"},{"id":151,"name":"Denver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583</v>
      </c>
      <c r="B95" s="7">
        <v>4010</v>
      </c>
      <c r="C95" s="22" t="s">
        <v>205</v>
      </c>
      <c r="D95" s="22" t="s">
        <v>278</v>
      </c>
      <c r="E95" s="13">
        <v>42729.60497685185</v>
      </c>
      <c r="F95" s="13">
        <v>42729.61209490741</v>
      </c>
      <c r="G95" s="7">
        <v>1</v>
      </c>
      <c r="H95" s="22" t="s">
        <v>417</v>
      </c>
      <c r="I95" s="13">
        <v>42729.639374999999</v>
      </c>
      <c r="J95" s="7">
        <v>0</v>
      </c>
      <c r="K95" s="109" t="str">
        <f t="shared" si="19"/>
        <v>4009/4010</v>
      </c>
      <c r="L95" s="22" t="str">
        <f>VLOOKUP(A95,'Trips&amp;Operators'!$C$1:$G$99999,5,FALSE)</f>
        <v>CRAYTON QUNTRELL</v>
      </c>
      <c r="M95" s="6">
        <f t="shared" si="20"/>
        <v>2.7280092588625848E-2</v>
      </c>
      <c r="N95" s="7">
        <f t="shared" si="21"/>
        <v>39.283333327621222</v>
      </c>
      <c r="O95" s="7"/>
      <c r="P95" s="7"/>
      <c r="Q95" s="23"/>
      <c r="R95" s="23"/>
      <c r="S95" s="35">
        <f t="shared" si="22"/>
        <v>1</v>
      </c>
      <c r="T95" s="50" t="str">
        <f t="shared" si="23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13:31:10-700',mode:absolute,to:'2016-12-25 16:20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5" s="52" t="str">
        <f t="shared" si="25"/>
        <v>N</v>
      </c>
      <c r="X95" s="177">
        <f t="shared" si="26"/>
        <v>1</v>
      </c>
      <c r="Y95" s="67">
        <f t="shared" si="27"/>
        <v>23.2986</v>
      </c>
      <c r="Z95" s="67">
        <f t="shared" si="28"/>
        <v>1.5599999999999999E-2</v>
      </c>
      <c r="AA95" s="67">
        <f t="shared" si="29"/>
        <v>23.283000000000001</v>
      </c>
      <c r="AB95" s="64" t="e">
        <f>VLOOKUP(A95,Enforcements!$C$7:$K$19,8,0)</f>
        <v>#N/A</v>
      </c>
      <c r="AC95" s="60" t="e">
        <f>VLOOKUP(A95,Enforcements!$C$7:$E$19,3,0)</f>
        <v>#N/A</v>
      </c>
      <c r="AD95" s="61" t="str">
        <f t="shared" si="30"/>
        <v>0182-25</v>
      </c>
      <c r="AE95" s="91" t="str">
        <f t="shared" si="31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95" s="88" t="str">
        <f t="shared" si="32"/>
        <v>"C:\Program Files (x86)\AstroGrep\AstroGrep.exe" /spath="%USERPROFILE%\AppData\Local\Temp\OnboardLogs" /stypes="app*4010*20161225*" /stext=" 22:.+((SYSTEM_STATE.+slice.+state.+changed )|(ment ac)|(multiple cpu faults)|(system.+state.+changed )|(\[timeout)|(PRM\|1\|D)|(kpr)|(kdp)|(\|lc)|(penalty))" /e /r /s</v>
      </c>
      <c r="AG95" s="1" t="str">
        <f t="shared" si="33"/>
        <v>EC</v>
      </c>
      <c r="AH95" s="92" t="str">
        <f t="shared" si="34"/>
        <v>"%USERPROFILE%\Documents\GitHub\eaglep3\Utilities\RefineRTDCRunTimes.py" --tripid 182-25 --locoid 4010 --swversion DE.1.0.8.0 --startMP 204:232986 --initTime 2016-12-25T14:31:10 --startdatetime 2016-12-25T14:41:25 --delay 1 --endMP 204:156 --enddatetime 2016-12-25T15:20:42 --enforcementcount 0 &gt;&gt;C:\Users\stu\Documents\GitHub\eaglep3-reporting\EC\2016-12-25-refined-times.txt</v>
      </c>
      <c r="AI9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{"issue":{"subject":"","project_id":79,"tracker_id":40,"status_id":1,"priority_id":2,"assigned_to_id":23,"start_date":"2016-12-25","description":"","custom_fields":[{"id":1,"name":"Subdivision","value":"EC"},{"id":4,"name":"Milepost","value":"0.0156"},{"id":17,"name":"Train ID","value":"182-25"},{"id":16,"name":"Locomotive ID","value":"4010"},{"id":130,"name":"Impact","value":""},{"id":150,"name":"Time of Event (Mountain Time)","value":"15:20:42"},{"id":151,"name":"Denver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1" customFormat="1" x14ac:dyDescent="0.25">
      <c r="A96" s="37" t="s">
        <v>447</v>
      </c>
      <c r="B96" s="7">
        <v>4025</v>
      </c>
      <c r="C96" s="22" t="s">
        <v>205</v>
      </c>
      <c r="D96" s="22" t="s">
        <v>269</v>
      </c>
      <c r="E96" s="13">
        <v>42729.578541666669</v>
      </c>
      <c r="F96" s="13">
        <v>42729.584201388891</v>
      </c>
      <c r="G96" s="7">
        <v>1</v>
      </c>
      <c r="H96" s="22" t="s">
        <v>693</v>
      </c>
      <c r="I96" s="13">
        <v>42729.609965277778</v>
      </c>
      <c r="J96" s="7">
        <v>0</v>
      </c>
      <c r="K96" s="109" t="str">
        <f t="shared" si="19"/>
        <v>4025/4026</v>
      </c>
      <c r="L96" s="22" t="str">
        <f>VLOOKUP(A96,'Trips&amp;Operators'!$C$1:$G$99999,5,FALSE)</f>
        <v>ADANE ELSHADAY</v>
      </c>
      <c r="M96" s="6">
        <f t="shared" si="20"/>
        <v>2.5763888887013309E-2</v>
      </c>
      <c r="N96" s="7">
        <f t="shared" si="21"/>
        <v>37.099999997299165</v>
      </c>
      <c r="O96" s="7"/>
      <c r="P96" s="7"/>
      <c r="Q96" s="23"/>
      <c r="R96" s="23"/>
      <c r="S96" s="35">
        <f t="shared" si="22"/>
        <v>1</v>
      </c>
      <c r="T96" s="50" t="str">
        <f t="shared" si="23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12:53:06-700',mode:absolute,to:'2016-12-25 15:38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96" s="52" t="str">
        <f t="shared" si="25"/>
        <v>N</v>
      </c>
      <c r="X96" s="177">
        <f t="shared" si="26"/>
        <v>1</v>
      </c>
      <c r="Y96" s="67">
        <f t="shared" si="27"/>
        <v>4.6199999999999998E-2</v>
      </c>
      <c r="Z96" s="67">
        <f t="shared" si="28"/>
        <v>23.330200000000001</v>
      </c>
      <c r="AA96" s="67">
        <f t="shared" si="29"/>
        <v>23.284000000000002</v>
      </c>
      <c r="AB96" s="64" t="str">
        <f>VLOOKUP(A96,Enforcements!$C$7:$K$19,8,0)</f>
        <v>Bulletin (2)</v>
      </c>
      <c r="AC96" s="60" t="str">
        <f>VLOOKUP(A96,Enforcements!$C$7:$E$19,3,0)</f>
        <v>GRADE CROSSING</v>
      </c>
      <c r="AD96" s="61" t="str">
        <f t="shared" si="30"/>
        <v>0183-25</v>
      </c>
      <c r="AE96" s="91" t="str">
        <f t="shared" si="31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96" s="88" t="str">
        <f t="shared" si="32"/>
        <v>"C:\Program Files (x86)\AstroGrep\AstroGrep.exe" /spath="%USERPROFILE%\AppData\Local\Temp\OnboardLogs" /stypes="app*4025*20161225*" /stext=" 21:.+((SYSTEM_STATE.+slice.+state.+changed )|(ment ac)|(multiple cpu faults)|(system.+state.+changed )|(\[timeout)|(PRM\|1\|D)|(kpr)|(kdp)|(\|lc)|(penalty))" /e /r /s</v>
      </c>
      <c r="AG96" s="1" t="str">
        <f t="shared" si="33"/>
        <v>EC</v>
      </c>
      <c r="AH96" s="92" t="str">
        <f t="shared" si="34"/>
        <v>"%USERPROFILE%\Documents\GitHub\eaglep3\Utilities\RefineRTDCRunTimes.py" --tripid 183-25 --locoid 4025 --swversion DE.1.0.8.0 --startMP 204:462 --initTime 2016-12-25T13:53:06 --startdatetime 2016-12-25T14:01:15 --delay 1 --endMP 204:233302 --enddatetime 2016-12-25T14:38:21 --enforcementcount 0 &gt;&gt;C:\Users\stu\Documents\GitHub\eaglep3-reporting\EC\2016-12-25-refined-times.txt</v>
      </c>
      <c r="AI9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{"issue":{"subject":"","project_id":79,"tracker_id":40,"status_id":1,"priority_id":2,"assigned_to_id":23,"start_date":"2016-12-25","description":"","custom_fields":[{"id":1,"name":"Subdivision","value":"EC"},{"id":4,"name":"Milepost","value":"23.3302"},{"id":17,"name":"Train ID","value":"183-25"},{"id":16,"name":"Locomotive ID","value":"4025"},{"id":130,"name":"Impact","value":""},{"id":150,"name":"Time of Event (Mountain Time)","value":"14:38:21"},{"id":151,"name":"Denver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1" customFormat="1" x14ac:dyDescent="0.25">
      <c r="A97" s="37" t="s">
        <v>585</v>
      </c>
      <c r="B97" s="7">
        <v>4026</v>
      </c>
      <c r="C97" s="22" t="s">
        <v>205</v>
      </c>
      <c r="D97" s="22" t="s">
        <v>277</v>
      </c>
      <c r="E97" s="13">
        <v>42729.612442129626</v>
      </c>
      <c r="F97" s="13">
        <v>42729.61346064815</v>
      </c>
      <c r="G97" s="7">
        <v>1</v>
      </c>
      <c r="H97" s="22" t="s">
        <v>726</v>
      </c>
      <c r="I97" s="13">
        <v>42729.640925925924</v>
      </c>
      <c r="J97" s="7">
        <v>0</v>
      </c>
      <c r="K97" s="109" t="str">
        <f t="shared" si="19"/>
        <v>4025/4026</v>
      </c>
      <c r="L97" s="22" t="str">
        <f>VLOOKUP(A97,'Trips&amp;Operators'!$C$1:$G$99999,5,FALSE)</f>
        <v>ADANE ELSHADAY</v>
      </c>
      <c r="M97" s="6">
        <f t="shared" si="20"/>
        <v>2.7465277773444541E-2</v>
      </c>
      <c r="N97" s="7"/>
      <c r="O97" s="7"/>
      <c r="P97" s="7">
        <f>24*60*SUM($M97:$M98)</f>
        <v>49.299999999348074</v>
      </c>
      <c r="Q97" s="23"/>
      <c r="R97" s="23" t="s">
        <v>781</v>
      </c>
      <c r="S97" s="35">
        <f>SUM(U97:U98)/IF(AG97="EC",12,1)</f>
        <v>0.75</v>
      </c>
      <c r="T97" s="50" t="str">
        <f t="shared" si="23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6</v>
      </c>
      <c r="V9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13:41:55-700',mode:absolute,to:'2016-12-25 16:22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7" s="52" t="str">
        <f t="shared" si="25"/>
        <v>Y</v>
      </c>
      <c r="X97" s="177">
        <f t="shared" si="26"/>
        <v>1</v>
      </c>
      <c r="Y97" s="67">
        <f t="shared" si="27"/>
        <v>23.3</v>
      </c>
      <c r="Z97" s="67">
        <f t="shared" si="28"/>
        <v>5.3819999999999997</v>
      </c>
      <c r="AA97" s="67">
        <f t="shared" si="29"/>
        <v>17.917999999999999</v>
      </c>
      <c r="AB97" s="64" t="e">
        <f>VLOOKUP(A97,Enforcements!$C$7:$K$19,8,0)</f>
        <v>#N/A</v>
      </c>
      <c r="AC97" s="60" t="e">
        <f>VLOOKUP(A97,Enforcements!$C$7:$E$19,3,0)</f>
        <v>#N/A</v>
      </c>
      <c r="AD97" s="61" t="str">
        <f t="shared" si="30"/>
        <v>0184-25</v>
      </c>
      <c r="AE97" s="91" t="str">
        <f t="shared" si="31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97" s="88" t="str">
        <f t="shared" si="32"/>
        <v>"C:\Program Files (x86)\AstroGrep\AstroGrep.exe" /spath="%USERPROFILE%\AppData\Local\Temp\OnboardLogs" /stypes="app*4026*20161225*" /stext=" 22:.+((SYSTEM_STATE.+slice.+state.+changed )|(ment ac)|(multiple cpu faults)|(system.+state.+changed )|(\[timeout)|(PRM\|1\|D)|(kpr)|(kdp)|(\|lc)|(penalty))" /e /r /s</v>
      </c>
      <c r="AG97" s="1" t="str">
        <f t="shared" si="33"/>
        <v>EC</v>
      </c>
      <c r="AH97" s="92" t="str">
        <f t="shared" si="34"/>
        <v>"%USERPROFILE%\Documents\GitHub\eaglep3\Utilities\RefineRTDCRunTimes.py" --tripid 184-25 --locoid 4026 --swversion DE.1.0.8.0 --startMP 204:233000 --initTime 2016-12-25T14:41:55 --startdatetime 2016-12-25T14:43:23 --delay 1 --endMP 204:53820 --enddatetime 2016-12-25T15:22:56 --enforcementcount 0 &gt;&gt;C:\Users\stu\Documents\GitHub\eaglep3-reporting\EC\2016-12-25-refined-times.txt</v>
      </c>
      <c r="AI97" s="119" t="str">
        <f t="shared" si="35"/>
        <v>echo {"issue":{"subject":"EC0508RH 56-2T 2S fluctuating aspects","project_id":79,"tracker_id":40,"status_id":1,"priority_id":2,"assigned_to_id":23,"start_date":"2016-12-25","description":"From 15:20:00 - 15:22:34, EC0508RH 56-2T 2S fluctuated between 270 and STOP &amp; PROCEED. Do logs show anything unusual?","custom_fields":[{"id":1,"name":"Subdivision","value":"EC"},{"id":4,"name":"Milepost","value":"5.382"},{"id":17,"name":"Train ID","value":"184-25"},{"id":16,"name":"Locomotive ID","value":"4026"},{"id":130,"name":"Impact","value":"Unexpected Cut-Out or Disengaged"},{"id":150,"name":"Time of Event (Mountain Time)","value":"15:22:56"},{"id":151,"name":"Denver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97" s="53" t="s">
        <v>782</v>
      </c>
      <c r="AK97" s="53" t="s">
        <v>131</v>
      </c>
      <c r="AL97" s="53" t="s">
        <v>130</v>
      </c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7" t="s">
        <v>585</v>
      </c>
      <c r="B98" s="7">
        <v>4026</v>
      </c>
      <c r="C98" s="22" t="s">
        <v>205</v>
      </c>
      <c r="D98" s="22" t="s">
        <v>727</v>
      </c>
      <c r="E98" s="13">
        <v>42729.64371527778</v>
      </c>
      <c r="F98" s="13">
        <v>42729.644386574073</v>
      </c>
      <c r="G98" s="7">
        <v>0</v>
      </c>
      <c r="H98" s="22" t="s">
        <v>211</v>
      </c>
      <c r="I98" s="13">
        <v>42729.65115740741</v>
      </c>
      <c r="J98" s="7">
        <v>0</v>
      </c>
      <c r="K98" s="109" t="str">
        <f t="shared" si="19"/>
        <v>4025/4026</v>
      </c>
      <c r="L98" s="22" t="str">
        <f>VLOOKUP(A98,'Trips&amp;Operators'!$C$1:$G$99999,5,FALSE)</f>
        <v>ADANE ELSHADAY</v>
      </c>
      <c r="M98" s="6">
        <f t="shared" si="20"/>
        <v>6.7708333372138441E-3</v>
      </c>
      <c r="N98" s="7"/>
      <c r="O98" s="7"/>
      <c r="P98" s="7"/>
      <c r="Q98" s="23"/>
      <c r="R98" s="23"/>
      <c r="S98" s="35"/>
      <c r="T98" s="50" t="str">
        <f t="shared" si="23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3</v>
      </c>
      <c r="V9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14:26:57-700',mode:absolute,to:'2016-12-25 16:37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98" s="52" t="str">
        <f t="shared" si="25"/>
        <v>Y</v>
      </c>
      <c r="X98" s="177">
        <f t="shared" si="26"/>
        <v>0</v>
      </c>
      <c r="Y98" s="67">
        <f t="shared" si="27"/>
        <v>3.6787999999999998</v>
      </c>
      <c r="Z98" s="67">
        <f t="shared" si="28"/>
        <v>1.4999999999999999E-2</v>
      </c>
      <c r="AA98" s="67">
        <f t="shared" si="29"/>
        <v>3.6637999999999997</v>
      </c>
      <c r="AB98" s="64" t="e">
        <f>VLOOKUP(A98,Enforcements!$C$7:$K$19,8,0)</f>
        <v>#N/A</v>
      </c>
      <c r="AC98" s="60" t="e">
        <f>VLOOKUP(A98,Enforcements!$C$7:$E$19,3,0)</f>
        <v>#N/A</v>
      </c>
      <c r="AD98" s="61" t="str">
        <f t="shared" si="30"/>
        <v>0184-25</v>
      </c>
      <c r="AE98" s="91" t="str">
        <f t="shared" si="31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98" s="88" t="str">
        <f t="shared" si="32"/>
        <v>"C:\Program Files (x86)\AstroGrep\AstroGrep.exe" /spath="%USERPROFILE%\AppData\Local\Temp\OnboardLogs" /stypes="app*4026*20161225*" /stext=" 22:.+((SYSTEM_STATE.+slice.+state.+changed )|(ment ac)|(multiple cpu faults)|(system.+state.+changed )|(\[timeout)|(PRM\|1\|D)|(kpr)|(kdp)|(\|lc)|(penalty))" /e /r /s</v>
      </c>
      <c r="AG98" s="1" t="str">
        <f t="shared" si="33"/>
        <v>EC</v>
      </c>
      <c r="AH98" s="92" t="str">
        <f t="shared" si="34"/>
        <v>"%USERPROFILE%\Documents\GitHub\eaglep3\Utilities\RefineRTDCRunTimes.py" --tripid 184-25 --locoid 4026 --swversion DE.1.0.8.0 --startMP 204:36788 --initTime 2016-12-25T15:26:57 --startdatetime 2016-12-25T15:27:55 --delay 0 --endMP 204:150 --enddatetime 2016-12-25T15:37:40 --enforcementcount 0 &gt;&gt;C:\Users\stu\Documents\GitHub\eaglep3-reporting\EC\2016-12-25-refined-times.txt</v>
      </c>
      <c r="AI9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{"issue":{"subject":"","project_id":79,"tracker_id":40,"status_id":1,"priority_id":2,"assigned_to_id":23,"start_date":"2016-12-25","description":"","custom_fields":[{"id":1,"name":"Subdivision","value":"EC"},{"id":4,"name":"Milepost","value":"0.015"},{"id":17,"name":"Train ID","value":"184-25"},{"id":16,"name":"Locomotive ID","value":"4026"},{"id":130,"name":"Impact","value":""},{"id":150,"name":"Time of Event (Mountain Time)","value":"15:37:40"},{"id":151,"name":"Denver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x14ac:dyDescent="0.25">
      <c r="A99" s="37" t="s">
        <v>579</v>
      </c>
      <c r="B99" s="7">
        <v>4042</v>
      </c>
      <c r="C99" s="22" t="s">
        <v>205</v>
      </c>
      <c r="D99" s="22" t="s">
        <v>230</v>
      </c>
      <c r="E99" s="13">
        <v>42729.588425925926</v>
      </c>
      <c r="F99" s="13">
        <v>42729.593969907408</v>
      </c>
      <c r="G99" s="7">
        <v>1</v>
      </c>
      <c r="H99" s="22" t="s">
        <v>280</v>
      </c>
      <c r="I99" s="13">
        <v>42729.619004629632</v>
      </c>
      <c r="J99" s="7">
        <v>0</v>
      </c>
      <c r="K99" s="109" t="str">
        <f t="shared" si="19"/>
        <v>4041/4042</v>
      </c>
      <c r="L99" s="22" t="str">
        <f>VLOOKUP(A99,'Trips&amp;Operators'!$C$1:$G$99999,5,FALSE)</f>
        <v>KILLION DAVID</v>
      </c>
      <c r="M99" s="6">
        <f t="shared" si="20"/>
        <v>2.5034722224518191E-2</v>
      </c>
      <c r="N99" s="7">
        <f t="shared" si="21"/>
        <v>36.050000003306195</v>
      </c>
      <c r="O99" s="7"/>
      <c r="P99" s="7"/>
      <c r="Q99" s="23"/>
      <c r="R99" s="23"/>
      <c r="S99" s="35">
        <f t="shared" si="22"/>
        <v>1</v>
      </c>
      <c r="T99" s="50" t="str">
        <f t="shared" si="23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13:07:20-700',mode:absolute,to:'2016-12-25 15:51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99" s="52" t="str">
        <f t="shared" si="25"/>
        <v>N</v>
      </c>
      <c r="X99" s="177">
        <f t="shared" si="26"/>
        <v>1</v>
      </c>
      <c r="Y99" s="67">
        <f t="shared" si="27"/>
        <v>4.5999999999999999E-2</v>
      </c>
      <c r="Z99" s="67">
        <f t="shared" si="28"/>
        <v>23.329899999999999</v>
      </c>
      <c r="AA99" s="67">
        <f t="shared" si="29"/>
        <v>23.283899999999999</v>
      </c>
      <c r="AB99" s="64" t="e">
        <f>VLOOKUP(A99,Enforcements!$C$7:$K$19,8,0)</f>
        <v>#N/A</v>
      </c>
      <c r="AC99" s="60" t="e">
        <f>VLOOKUP(A99,Enforcements!$C$7:$E$19,3,0)</f>
        <v>#N/A</v>
      </c>
      <c r="AD99" s="61" t="str">
        <f t="shared" si="30"/>
        <v>0185-25</v>
      </c>
      <c r="AE99" s="91" t="str">
        <f t="shared" si="31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99" s="88" t="str">
        <f t="shared" si="32"/>
        <v>"C:\Program Files (x86)\AstroGrep\AstroGrep.exe" /spath="%USERPROFILE%\AppData\Local\Temp\OnboardLogs" /stypes="app*4042*20161225*" /stext=" 21:.+((SYSTEM_STATE.+slice.+state.+changed )|(ment ac)|(multiple cpu faults)|(system.+state.+changed )|(\[timeout)|(PRM\|1\|D)|(kpr)|(kdp)|(\|lc)|(penalty))" /e /r /s</v>
      </c>
      <c r="AG99" s="1" t="str">
        <f t="shared" si="33"/>
        <v>EC</v>
      </c>
      <c r="AH99" s="92" t="str">
        <f t="shared" si="34"/>
        <v>"%USERPROFILE%\Documents\GitHub\eaglep3\Utilities\RefineRTDCRunTimes.py" --tripid 185-25 --locoid 4042 --swversion DE.1.0.8.0 --startMP 204:460 --initTime 2016-12-25T14:07:20 --startdatetime 2016-12-25T14:15:19 --delay 1 --endMP 204:233299 --enddatetime 2016-12-25T14:51:22 --enforcementcount 0 &gt;&gt;C:\Users\stu\Documents\GitHub\eaglep3-reporting\EC\2016-12-25-refined-times.txt</v>
      </c>
      <c r="AI9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{"issue":{"subject":"","project_id":79,"tracker_id":40,"status_id":1,"priority_id":2,"assigned_to_id":23,"start_date":"2016-12-25","description":"","custom_fields":[{"id":1,"name":"Subdivision","value":"EC"},{"id":4,"name":"Milepost","value":"23.3299"},{"id":17,"name":"Train ID","value":"185-25"},{"id":16,"name":"Locomotive ID","value":"4042"},{"id":130,"name":"Impact","value":""},{"id":150,"name":"Time of Event (Mountain Time)","value":"14:51:22"},{"id":151,"name":"Denver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</row>
    <row r="100" spans="1:91" x14ac:dyDescent="0.25">
      <c r="A100" s="37" t="s">
        <v>587</v>
      </c>
      <c r="B100" s="7">
        <v>4041</v>
      </c>
      <c r="C100" s="22" t="s">
        <v>205</v>
      </c>
      <c r="D100" s="22" t="s">
        <v>333</v>
      </c>
      <c r="E100" s="13">
        <v>42729.628946759258</v>
      </c>
      <c r="F100" s="13">
        <v>42729.632824074077</v>
      </c>
      <c r="G100" s="7">
        <v>1</v>
      </c>
      <c r="H100" s="22" t="s">
        <v>274</v>
      </c>
      <c r="I100" s="13">
        <v>42729.661481481482</v>
      </c>
      <c r="J100" s="7">
        <v>0</v>
      </c>
      <c r="K100" s="109" t="str">
        <f t="shared" si="19"/>
        <v>4041/4042</v>
      </c>
      <c r="L100" s="22" t="str">
        <f>VLOOKUP(A100,'Trips&amp;Operators'!$C$1:$G$99999,5,FALSE)</f>
        <v>KILLION DAVID</v>
      </c>
      <c r="M100" s="6">
        <f t="shared" si="20"/>
        <v>2.8657407405262347E-2</v>
      </c>
      <c r="N100" s="7">
        <f t="shared" si="21"/>
        <v>41.26666666357778</v>
      </c>
      <c r="O100" s="7"/>
      <c r="P100" s="7"/>
      <c r="Q100" s="23"/>
      <c r="R100" s="23"/>
      <c r="S100" s="35">
        <f t="shared" si="22"/>
        <v>1</v>
      </c>
      <c r="T100" s="50" t="str">
        <f t="shared" si="23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14:05:41-700',mode:absolute,to:'2016-12-25 16:52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0" s="52" t="str">
        <f t="shared" si="25"/>
        <v>N</v>
      </c>
      <c r="X100" s="177">
        <f t="shared" si="26"/>
        <v>1</v>
      </c>
      <c r="Y100" s="67">
        <f t="shared" si="27"/>
        <v>23.298200000000001</v>
      </c>
      <c r="Z100" s="67">
        <f t="shared" si="28"/>
        <v>1.38E-2</v>
      </c>
      <c r="AA100" s="67">
        <f t="shared" si="29"/>
        <v>23.284400000000002</v>
      </c>
      <c r="AB100" s="64" t="e">
        <f>VLOOKUP(A100,Enforcements!$C$7:$K$19,8,0)</f>
        <v>#N/A</v>
      </c>
      <c r="AC100" s="60" t="e">
        <f>VLOOKUP(A100,Enforcements!$C$7:$E$19,3,0)</f>
        <v>#N/A</v>
      </c>
      <c r="AD100" s="61" t="str">
        <f t="shared" si="30"/>
        <v>0186-25</v>
      </c>
      <c r="AE100" s="91" t="str">
        <f t="shared" si="31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100" s="88" t="str">
        <f t="shared" si="32"/>
        <v>"C:\Program Files (x86)\AstroGrep\AstroGrep.exe" /spath="%USERPROFILE%\AppData\Local\Temp\OnboardLogs" /stypes="app*4041*20161225*" /stext=" 22:.+((SYSTEM_STATE.+slice.+state.+changed )|(ment ac)|(multiple cpu faults)|(system.+state.+changed )|(\[timeout)|(PRM\|1\|D)|(kpr)|(kdp)|(\|lc)|(penalty))" /e /r /s</v>
      </c>
      <c r="AG100" s="1" t="str">
        <f t="shared" si="33"/>
        <v>EC</v>
      </c>
      <c r="AH100" s="92" t="str">
        <f t="shared" si="34"/>
        <v>"%USERPROFILE%\Documents\GitHub\eaglep3\Utilities\RefineRTDCRunTimes.py" --tripid 186-25 --locoid 4041 --swversion DE.1.0.8.0 --startMP 204:232982 --initTime 2016-12-25T15:05:41 --startdatetime 2016-12-25T15:11:16 --delay 1 --endMP 204:138 --enddatetime 2016-12-25T15:52:32 --enforcementcount 0 &gt;&gt;C:\Users\stu\Documents\GitHub\eaglep3-reporting\EC\2016-12-25-refined-times.txt</v>
      </c>
      <c r="AI10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{"issue":{"subject":"","project_id":79,"tracker_id":40,"status_id":1,"priority_id":2,"assigned_to_id":23,"start_date":"2016-12-25","description":"","custom_fields":[{"id":1,"name":"Subdivision","value":"EC"},{"id":4,"name":"Milepost","value":"0.0138"},{"id":17,"name":"Train ID","value":"186-25"},{"id":16,"name":"Locomotive ID","value":"4041"},{"id":130,"name":"Impact","value":""},{"id":150,"name":"Time of Event (Mountain Time)","value":"15:52:32"},{"id":151,"name":"Denver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</row>
    <row r="101" spans="1:91" s="21" customFormat="1" x14ac:dyDescent="0.25">
      <c r="A101" s="37" t="s">
        <v>582</v>
      </c>
      <c r="B101" s="7">
        <v>4031</v>
      </c>
      <c r="C101" s="22" t="s">
        <v>205</v>
      </c>
      <c r="D101" s="22" t="s">
        <v>410</v>
      </c>
      <c r="E101" s="13">
        <v>42729.599537037036</v>
      </c>
      <c r="F101" s="13">
        <v>42729.604421296295</v>
      </c>
      <c r="G101" s="7">
        <v>1</v>
      </c>
      <c r="H101" s="22" t="s">
        <v>325</v>
      </c>
      <c r="I101" s="13">
        <v>42729.629027777781</v>
      </c>
      <c r="J101" s="7">
        <v>0</v>
      </c>
      <c r="K101" s="109" t="str">
        <f t="shared" si="19"/>
        <v>4031/4032</v>
      </c>
      <c r="L101" s="22" t="str">
        <f>VLOOKUP(A101,'Trips&amp;Operators'!$C$1:$G$99999,5,FALSE)</f>
        <v>STEWART MICHAEL</v>
      </c>
      <c r="M101" s="6">
        <f t="shared" si="20"/>
        <v>2.4606481485534459E-2</v>
      </c>
      <c r="N101" s="7">
        <f t="shared" si="21"/>
        <v>35.433333339169621</v>
      </c>
      <c r="O101" s="7"/>
      <c r="P101" s="7"/>
      <c r="Q101" s="23"/>
      <c r="R101" s="23"/>
      <c r="S101" s="35">
        <f t="shared" si="22"/>
        <v>1</v>
      </c>
      <c r="T101" s="50" t="str">
        <f t="shared" si="23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13:23:20-700',mode:absolute,to:'2016-12-25 16:05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1" s="52" t="str">
        <f t="shared" si="25"/>
        <v>N</v>
      </c>
      <c r="X101" s="177">
        <f t="shared" si="26"/>
        <v>1</v>
      </c>
      <c r="Y101" s="67">
        <f t="shared" si="27"/>
        <v>4.8000000000000001E-2</v>
      </c>
      <c r="Z101" s="67">
        <f t="shared" si="28"/>
        <v>23.33</v>
      </c>
      <c r="AA101" s="67">
        <f t="shared" si="29"/>
        <v>23.282</v>
      </c>
      <c r="AB101" s="64" t="e">
        <f>VLOOKUP(A101,Enforcements!$C$7:$K$19,8,0)</f>
        <v>#N/A</v>
      </c>
      <c r="AC101" s="60" t="e">
        <f>VLOOKUP(A101,Enforcements!$C$7:$E$19,3,0)</f>
        <v>#N/A</v>
      </c>
      <c r="AD101" s="61" t="str">
        <f t="shared" si="30"/>
        <v>0187-25</v>
      </c>
      <c r="AE101" s="91" t="str">
        <f t="shared" si="31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101" s="88" t="str">
        <f t="shared" si="32"/>
        <v>"C:\Program Files (x86)\AstroGrep\AstroGrep.exe" /spath="%USERPROFILE%\AppData\Local\Temp\OnboardLogs" /stypes="app*4031*20161225*" /stext=" 22:.+((SYSTEM_STATE.+slice.+state.+changed )|(ment ac)|(multiple cpu faults)|(system.+state.+changed )|(\[timeout)|(PRM\|1\|D)|(kpr)|(kdp)|(\|lc)|(penalty))" /e /r /s</v>
      </c>
      <c r="AG101" s="1" t="str">
        <f t="shared" si="33"/>
        <v>EC</v>
      </c>
      <c r="AH101" s="92" t="str">
        <f t="shared" si="34"/>
        <v>"%USERPROFILE%\Documents\GitHub\eaglep3\Utilities\RefineRTDCRunTimes.py" --tripid 187-25 --locoid 4031 --swversion DE.1.0.8.0 --startMP 204:480 --initTime 2016-12-25T14:23:20 --startdatetime 2016-12-25T14:30:22 --delay 1 --endMP 204:233300 --enddatetime 2016-12-25T15:05:48 --enforcementcount 0 &gt;&gt;C:\Users\stu\Documents\GitHub\eaglep3-reporting\EC\2016-12-25-refined-times.txt</v>
      </c>
      <c r="AI10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{"issue":{"subject":"","project_id":79,"tracker_id":40,"status_id":1,"priority_id":2,"assigned_to_id":23,"start_date":"2016-12-25","description":"","custom_fields":[{"id":1,"name":"Subdivision","value":"EC"},{"id":4,"name":"Milepost","value":"23.33"},{"id":17,"name":"Train ID","value":"187-25"},{"id":16,"name":"Locomotive ID","value":"4031"},{"id":130,"name":"Impact","value":""},{"id":150,"name":"Time of Event (Mountain Time)","value":"15:05:48"},{"id":151,"name":"Denver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590</v>
      </c>
      <c r="B102" s="7">
        <v>4032</v>
      </c>
      <c r="C102" s="22" t="s">
        <v>205</v>
      </c>
      <c r="D102" s="22" t="s">
        <v>332</v>
      </c>
      <c r="E102" s="13">
        <v>42729.640300925923</v>
      </c>
      <c r="F102" s="13">
        <v>42729.64334490741</v>
      </c>
      <c r="G102" s="7">
        <v>1</v>
      </c>
      <c r="H102" s="22" t="s">
        <v>211</v>
      </c>
      <c r="I102" s="13">
        <v>42729.669988425929</v>
      </c>
      <c r="J102" s="7">
        <v>0</v>
      </c>
      <c r="K102" s="109" t="str">
        <f t="shared" si="19"/>
        <v>4031/4032</v>
      </c>
      <c r="L102" s="22" t="str">
        <f>VLOOKUP(A102,'Trips&amp;Operators'!$C$1:$G$99999,5,FALSE)</f>
        <v>STEWART MICHAEL</v>
      </c>
      <c r="M102" s="6">
        <f t="shared" si="20"/>
        <v>2.6643518518540077E-2</v>
      </c>
      <c r="N102" s="7">
        <f t="shared" si="21"/>
        <v>38.366666666697711</v>
      </c>
      <c r="O102" s="7"/>
      <c r="P102" s="7"/>
      <c r="Q102" s="23"/>
      <c r="R102" s="23"/>
      <c r="S102" s="35">
        <f t="shared" si="22"/>
        <v>1</v>
      </c>
      <c r="T102" s="50" t="str">
        <f t="shared" si="23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14:22:02-700',mode:absolute,to:'2016-12-25 17:04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2" s="52" t="str">
        <f t="shared" si="25"/>
        <v>N</v>
      </c>
      <c r="X102" s="177">
        <f t="shared" si="26"/>
        <v>1</v>
      </c>
      <c r="Y102" s="67">
        <f t="shared" si="27"/>
        <v>23.298300000000001</v>
      </c>
      <c r="Z102" s="67">
        <f t="shared" si="28"/>
        <v>1.4999999999999999E-2</v>
      </c>
      <c r="AA102" s="67">
        <f t="shared" si="29"/>
        <v>23.283300000000001</v>
      </c>
      <c r="AB102" s="64" t="e">
        <f>VLOOKUP(A102,Enforcements!$C$7:$K$19,8,0)</f>
        <v>#N/A</v>
      </c>
      <c r="AC102" s="60" t="e">
        <f>VLOOKUP(A102,Enforcements!$C$7:$E$19,3,0)</f>
        <v>#N/A</v>
      </c>
      <c r="AD102" s="61" t="str">
        <f t="shared" si="30"/>
        <v>0188-25</v>
      </c>
      <c r="AE102" s="91" t="str">
        <f t="shared" si="31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102" s="88" t="str">
        <f t="shared" si="32"/>
        <v>"C:\Program Files (x86)\AstroGrep\AstroGrep.exe" /spath="%USERPROFILE%\AppData\Local\Temp\OnboardLogs" /stypes="app*4032*20161225*" /stext=" 23:.+((SYSTEM_STATE.+slice.+state.+changed )|(ment ac)|(multiple cpu faults)|(system.+state.+changed )|(\[timeout)|(PRM\|1\|D)|(kpr)|(kdp)|(\|lc)|(penalty))" /e /r /s</v>
      </c>
      <c r="AG102" s="1" t="str">
        <f t="shared" si="33"/>
        <v>EC</v>
      </c>
      <c r="AH102" s="92" t="str">
        <f t="shared" si="34"/>
        <v>"%USERPROFILE%\Documents\GitHub\eaglep3\Utilities\RefineRTDCRunTimes.py" --tripid 188-25 --locoid 4032 --swversion DE.1.0.8.0 --startMP 204:232983 --initTime 2016-12-25T15:22:02 --startdatetime 2016-12-25T15:26:25 --delay 1 --endMP 204:150 --enddatetime 2016-12-25T16:04:47 --enforcementcount 0 &gt;&gt;C:\Users\stu\Documents\GitHub\eaglep3-reporting\EC\2016-12-25-refined-times.txt</v>
      </c>
      <c r="AI10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{"issue":{"subject":"","project_id":79,"tracker_id":40,"status_id":1,"priority_id":2,"assigned_to_id":23,"start_date":"2016-12-25","description":"","custom_fields":[{"id":1,"name":"Subdivision","value":"EC"},{"id":4,"name":"Milepost","value":"0.015"},{"id":17,"name":"Train ID","value":"188-25"},{"id":16,"name":"Locomotive ID","value":"4032"},{"id":130,"name":"Impact","value":""},{"id":150,"name":"Time of Event (Mountain Time)","value":"16:04:47"},{"id":151,"name":"Denver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448</v>
      </c>
      <c r="B103" s="7">
        <v>4014</v>
      </c>
      <c r="C103" s="22" t="s">
        <v>205</v>
      </c>
      <c r="D103" s="22" t="s">
        <v>228</v>
      </c>
      <c r="E103" s="13">
        <v>42729.610925925925</v>
      </c>
      <c r="F103" s="13">
        <v>42729.615046296298</v>
      </c>
      <c r="G103" s="7">
        <v>1</v>
      </c>
      <c r="H103" s="22" t="s">
        <v>422</v>
      </c>
      <c r="I103" s="13">
        <v>42729.640601851854</v>
      </c>
      <c r="J103" s="7">
        <v>0</v>
      </c>
      <c r="K103" s="109" t="str">
        <f t="shared" si="19"/>
        <v>4013/4014</v>
      </c>
      <c r="L103" s="22" t="str">
        <f>VLOOKUP(A103,'Trips&amp;Operators'!$C$1:$G$99999,5,FALSE)</f>
        <v>DAVIS MICHAEL</v>
      </c>
      <c r="M103" s="6">
        <f t="shared" si="20"/>
        <v>2.5555555555911269E-2</v>
      </c>
      <c r="N103" s="7">
        <f t="shared" si="21"/>
        <v>36.800000000512227</v>
      </c>
      <c r="O103" s="7"/>
      <c r="P103" s="7"/>
      <c r="Q103" s="23"/>
      <c r="R103" s="23"/>
      <c r="S103" s="35">
        <f t="shared" si="22"/>
        <v>1</v>
      </c>
      <c r="T103" s="50" t="str">
        <f t="shared" si="23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13:39:44-700',mode:absolute,to:'2016-12-25 16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3" s="52" t="str">
        <f t="shared" si="25"/>
        <v>N</v>
      </c>
      <c r="X103" s="177">
        <f t="shared" si="26"/>
        <v>1</v>
      </c>
      <c r="Y103" s="67">
        <f t="shared" si="27"/>
        <v>4.5499999999999999E-2</v>
      </c>
      <c r="Z103" s="67">
        <f t="shared" si="28"/>
        <v>23.330500000000001</v>
      </c>
      <c r="AA103" s="67">
        <f t="shared" si="29"/>
        <v>23.285</v>
      </c>
      <c r="AB103" s="64" t="str">
        <f>VLOOKUP(A103,Enforcements!$C$7:$K$19,8,0)</f>
        <v>Speed (6)</v>
      </c>
      <c r="AC103" s="60" t="str">
        <f>VLOOKUP(A103,Enforcements!$C$7:$E$19,3,0)</f>
        <v>PERMANENT SPEED RESTRICTION</v>
      </c>
      <c r="AD103" s="61" t="str">
        <f t="shared" si="30"/>
        <v>0189-25</v>
      </c>
      <c r="AE103" s="91" t="str">
        <f t="shared" si="31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03" s="88" t="str">
        <f t="shared" si="32"/>
        <v>"C:\Program Files (x86)\AstroGrep\AstroGrep.exe" /spath="%USERPROFILE%\AppData\Local\Temp\OnboardLogs" /stypes="app*4014*20161225*" /stext=" 22:.+((SYSTEM_STATE.+slice.+state.+changed )|(ment ac)|(multiple cpu faults)|(system.+state.+changed )|(\[timeout)|(PRM\|1\|D)|(kpr)|(kdp)|(\|lc)|(penalty))" /e /r /s</v>
      </c>
      <c r="AG103" s="1" t="str">
        <f t="shared" si="33"/>
        <v>EC</v>
      </c>
      <c r="AH103" s="92" t="str">
        <f t="shared" si="34"/>
        <v>"%USERPROFILE%\Documents\GitHub\eaglep3\Utilities\RefineRTDCRunTimes.py" --tripid 189-25 --locoid 4014 --swversion DE.1.0.8.0 --startMP 204:455 --initTime 2016-12-25T14:39:44 --startdatetime 2016-12-25T14:45:40 --delay 1 --endMP 204:233305 --enddatetime 2016-12-25T15:22:28 --enforcementcount 0 &gt;&gt;C:\Users\stu\Documents\GitHub\eaglep3-reporting\EC\2016-12-25-refined-times.txt</v>
      </c>
      <c r="AI10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{"issue":{"subject":"","project_id":79,"tracker_id":40,"status_id":1,"priority_id":2,"assigned_to_id":23,"start_date":"2016-12-25","description":"","custom_fields":[{"id":1,"name":"Subdivision","value":"EC"},{"id":4,"name":"Milepost","value":"23.3305"},{"id":17,"name":"Train ID","value":"189-25"},{"id":16,"name":"Locomotive ID","value":"4014"},{"id":130,"name":"Impact","value":""},{"id":150,"name":"Time of Event (Mountain Time)","value":"15:22:28"},{"id":151,"name":"Denver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592</v>
      </c>
      <c r="B104" s="7">
        <v>4013</v>
      </c>
      <c r="C104" s="22" t="s">
        <v>205</v>
      </c>
      <c r="D104" s="22" t="s">
        <v>330</v>
      </c>
      <c r="E104" s="13">
        <v>42729.649930555555</v>
      </c>
      <c r="F104" s="13">
        <v>42729.653900462959</v>
      </c>
      <c r="G104" s="7">
        <v>1</v>
      </c>
      <c r="H104" s="22" t="s">
        <v>429</v>
      </c>
      <c r="I104" s="13">
        <v>42729.681759259256</v>
      </c>
      <c r="J104" s="7">
        <v>0</v>
      </c>
      <c r="K104" s="109" t="str">
        <f t="shared" si="19"/>
        <v>4013/4014</v>
      </c>
      <c r="L104" s="22" t="str">
        <f>VLOOKUP(A104,'Trips&amp;Operators'!$C$1:$G$99999,5,FALSE)</f>
        <v>DAVIS MICHAEL</v>
      </c>
      <c r="M104" s="6">
        <f t="shared" si="20"/>
        <v>2.7858796296641231E-2</v>
      </c>
      <c r="N104" s="7">
        <f t="shared" si="21"/>
        <v>40.116666667163372</v>
      </c>
      <c r="O104" s="7"/>
      <c r="P104" s="7"/>
      <c r="Q104" s="23"/>
      <c r="R104" s="23"/>
      <c r="S104" s="35">
        <f t="shared" si="22"/>
        <v>1</v>
      </c>
      <c r="T104" s="50" t="str">
        <f t="shared" si="23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14:35:54-700',mode:absolute,to:'2016-12-25 17:21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4" s="52" t="str">
        <f t="shared" si="25"/>
        <v>N</v>
      </c>
      <c r="X104" s="177">
        <f t="shared" si="26"/>
        <v>1</v>
      </c>
      <c r="Y104" s="67">
        <f t="shared" si="27"/>
        <v>23.296900000000001</v>
      </c>
      <c r="Z104" s="67">
        <f t="shared" si="28"/>
        <v>1.34E-2</v>
      </c>
      <c r="AA104" s="67">
        <f t="shared" si="29"/>
        <v>23.2835</v>
      </c>
      <c r="AB104" s="64" t="e">
        <f>VLOOKUP(A104,Enforcements!$C$7:$K$19,8,0)</f>
        <v>#N/A</v>
      </c>
      <c r="AC104" s="60" t="e">
        <f>VLOOKUP(A104,Enforcements!$C$7:$E$19,3,0)</f>
        <v>#N/A</v>
      </c>
      <c r="AD104" s="61" t="str">
        <f t="shared" si="30"/>
        <v>0190-25</v>
      </c>
      <c r="AE104" s="91" t="str">
        <f t="shared" si="31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104" s="88" t="str">
        <f t="shared" si="32"/>
        <v>"C:\Program Files (x86)\AstroGrep\AstroGrep.exe" /spath="%USERPROFILE%\AppData\Local\Temp\OnboardLogs" /stypes="app*4013*20161225*" /stext=" 23:.+((SYSTEM_STATE.+slice.+state.+changed )|(ment ac)|(multiple cpu faults)|(system.+state.+changed )|(\[timeout)|(PRM\|1\|D)|(kpr)|(kdp)|(\|lc)|(penalty))" /e /r /s</v>
      </c>
      <c r="AG104" s="1" t="str">
        <f t="shared" si="33"/>
        <v>EC</v>
      </c>
      <c r="AH104" s="92" t="str">
        <f t="shared" si="34"/>
        <v>"%USERPROFILE%\Documents\GitHub\eaglep3\Utilities\RefineRTDCRunTimes.py" --tripid 190-25 --locoid 4013 --swversion DE.1.0.8.0 --startMP 204:232969 --initTime 2016-12-25T15:35:54 --startdatetime 2016-12-25T15:41:37 --delay 1 --endMP 204:134 --enddatetime 2016-12-25T16:21:44 --enforcementcount 0 &gt;&gt;C:\Users\stu\Documents\GitHub\eaglep3-reporting\EC\2016-12-25-refined-times.txt</v>
      </c>
      <c r="AI10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{"issue":{"subject":"","project_id":79,"tracker_id":40,"status_id":1,"priority_id":2,"assigned_to_id":23,"start_date":"2016-12-25","description":"","custom_fields":[{"id":1,"name":"Subdivision","value":"EC"},{"id":4,"name":"Milepost","value":"0.0134"},{"id":17,"name":"Train ID","value":"190-25"},{"id":16,"name":"Locomotive ID","value":"4013"},{"id":130,"name":"Impact","value":""},{"id":150,"name":"Time of Event (Mountain Time)","value":"16:21:44"},{"id":151,"name":"Denver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586</v>
      </c>
      <c r="B105" s="7">
        <v>4018</v>
      </c>
      <c r="C105" s="22" t="s">
        <v>205</v>
      </c>
      <c r="D105" s="22" t="s">
        <v>414</v>
      </c>
      <c r="E105" s="13">
        <v>42729.620138888888</v>
      </c>
      <c r="F105" s="13">
        <v>42729.625150462962</v>
      </c>
      <c r="G105" s="7">
        <v>1</v>
      </c>
      <c r="H105" s="22" t="s">
        <v>354</v>
      </c>
      <c r="I105" s="13">
        <v>42729.649456018517</v>
      </c>
      <c r="J105" s="7">
        <v>0</v>
      </c>
      <c r="K105" s="109" t="str">
        <f t="shared" si="19"/>
        <v>4017/4018</v>
      </c>
      <c r="L105" s="22" t="str">
        <f>VLOOKUP(A105,'Trips&amp;Operators'!$C$1:$G$99999,5,FALSE)</f>
        <v>ROMERO CHAD</v>
      </c>
      <c r="M105" s="6">
        <f t="shared" si="20"/>
        <v>2.4305555554747116E-2</v>
      </c>
      <c r="N105" s="7">
        <f t="shared" si="21"/>
        <v>34.999999998835847</v>
      </c>
      <c r="O105" s="7"/>
      <c r="P105" s="7"/>
      <c r="Q105" s="23"/>
      <c r="R105" s="23"/>
      <c r="S105" s="35">
        <f t="shared" si="22"/>
        <v>1</v>
      </c>
      <c r="T105" s="50" t="str">
        <f t="shared" si="23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13:53:00-700',mode:absolute,to:'2016-12-25 16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5" s="52" t="str">
        <f t="shared" si="25"/>
        <v>N</v>
      </c>
      <c r="X105" s="177">
        <f t="shared" si="26"/>
        <v>1</v>
      </c>
      <c r="Y105" s="67">
        <f t="shared" si="27"/>
        <v>4.5699999999999998E-2</v>
      </c>
      <c r="Z105" s="67">
        <f t="shared" si="28"/>
        <v>23.330400000000001</v>
      </c>
      <c r="AA105" s="67">
        <f t="shared" si="29"/>
        <v>23.284700000000001</v>
      </c>
      <c r="AB105" s="64" t="e">
        <f>VLOOKUP(A105,Enforcements!$C$7:$K$19,8,0)</f>
        <v>#N/A</v>
      </c>
      <c r="AC105" s="60" t="e">
        <f>VLOOKUP(A105,Enforcements!$C$7:$E$19,3,0)</f>
        <v>#N/A</v>
      </c>
      <c r="AD105" s="61" t="str">
        <f t="shared" si="30"/>
        <v>0191-25</v>
      </c>
      <c r="AE105" s="91" t="str">
        <f t="shared" si="31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05" s="88" t="str">
        <f t="shared" si="32"/>
        <v>"C:\Program Files (x86)\AstroGrep\AstroGrep.exe" /spath="%USERPROFILE%\AppData\Local\Temp\OnboardLogs" /stypes="app*4018*20161225*" /stext=" 22:.+((SYSTEM_STATE.+slice.+state.+changed )|(ment ac)|(multiple cpu faults)|(system.+state.+changed )|(\[timeout)|(PRM\|1\|D)|(kpr)|(kdp)|(\|lc)|(penalty))" /e /r /s</v>
      </c>
      <c r="AG105" s="1" t="str">
        <f t="shared" si="33"/>
        <v>EC</v>
      </c>
      <c r="AH105" s="92" t="str">
        <f t="shared" si="34"/>
        <v>"%USERPROFILE%\Documents\GitHub\eaglep3\Utilities\RefineRTDCRunTimes.py" --tripid 191-25 --locoid 4018 --swversion DE.1.0.8.0 --startMP 204:457 --initTime 2016-12-25T14:53:00 --startdatetime 2016-12-25T15:00:13 --delay 1 --endMP 204:233304 --enddatetime 2016-12-25T15:35:13 --enforcementcount 0 &gt;&gt;C:\Users\stu\Documents\GitHub\eaglep3-reporting\EC\2016-12-25-refined-times.txt</v>
      </c>
      <c r="AI10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{"issue":{"subject":"","project_id":79,"tracker_id":40,"status_id":1,"priority_id":2,"assigned_to_id":23,"start_date":"2016-12-25","description":"","custom_fields":[{"id":1,"name":"Subdivision","value":"EC"},{"id":4,"name":"Milepost","value":"23.3304"},{"id":17,"name":"Train ID","value":"191-25"},{"id":16,"name":"Locomotive ID","value":"4018"},{"id":130,"name":"Impact","value":""},{"id":150,"name":"Time of Event (Mountain Time)","value":"15:35:13"},{"id":151,"name":"Denver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593</v>
      </c>
      <c r="B106" s="7">
        <v>4017</v>
      </c>
      <c r="C106" s="22" t="s">
        <v>205</v>
      </c>
      <c r="D106" s="22" t="s">
        <v>730</v>
      </c>
      <c r="E106" s="13">
        <v>42729.650833333333</v>
      </c>
      <c r="F106" s="13">
        <v>42729.664166666669</v>
      </c>
      <c r="G106" s="7">
        <v>1</v>
      </c>
      <c r="H106" s="22" t="s">
        <v>423</v>
      </c>
      <c r="I106" s="13">
        <v>42729.690497685187</v>
      </c>
      <c r="J106" s="7">
        <v>0</v>
      </c>
      <c r="K106" s="109" t="str">
        <f t="shared" si="19"/>
        <v>4017/4018</v>
      </c>
      <c r="L106" s="22" t="str">
        <f>VLOOKUP(A106,'Trips&amp;Operators'!$C$1:$G$99999,5,FALSE)</f>
        <v>ROMERO CHAD</v>
      </c>
      <c r="M106" s="6">
        <f t="shared" si="20"/>
        <v>2.6331018518249039E-2</v>
      </c>
      <c r="N106" s="7">
        <f t="shared" si="21"/>
        <v>37.916666666278616</v>
      </c>
      <c r="O106" s="7"/>
      <c r="P106" s="7"/>
      <c r="Q106" s="23"/>
      <c r="R106" s="23"/>
      <c r="S106" s="35">
        <f t="shared" si="22"/>
        <v>1</v>
      </c>
      <c r="T106" s="50" t="str">
        <f t="shared" si="23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14:37:12-700',mode:absolute,to:'2016-12-25 17:34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6" s="52" t="str">
        <f t="shared" si="25"/>
        <v>N</v>
      </c>
      <c r="X106" s="177">
        <f t="shared" si="26"/>
        <v>1</v>
      </c>
      <c r="Y106" s="67">
        <f t="shared" si="27"/>
        <v>23.2974</v>
      </c>
      <c r="Z106" s="67">
        <f t="shared" si="28"/>
        <v>1.2699999999999999E-2</v>
      </c>
      <c r="AA106" s="67">
        <f t="shared" si="29"/>
        <v>23.284700000000001</v>
      </c>
      <c r="AB106" s="64" t="e">
        <f>VLOOKUP(A106,Enforcements!$C$7:$K$19,8,0)</f>
        <v>#N/A</v>
      </c>
      <c r="AC106" s="60" t="e">
        <f>VLOOKUP(A106,Enforcements!$C$7:$E$19,3,0)</f>
        <v>#N/A</v>
      </c>
      <c r="AD106" s="61" t="str">
        <f t="shared" si="30"/>
        <v>0192-25</v>
      </c>
      <c r="AE106" s="91" t="str">
        <f t="shared" si="31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106" s="88" t="str">
        <f t="shared" si="32"/>
        <v>"C:\Program Files (x86)\AstroGrep\AstroGrep.exe" /spath="%USERPROFILE%\AppData\Local\Temp\OnboardLogs" /stypes="app*4017*20161225*" /stext=" 23:.+((SYSTEM_STATE.+slice.+state.+changed )|(ment ac)|(multiple cpu faults)|(system.+state.+changed )|(\[timeout)|(PRM\|1\|D)|(kpr)|(kdp)|(\|lc)|(penalty))" /e /r /s</v>
      </c>
      <c r="AG106" s="1" t="str">
        <f t="shared" si="33"/>
        <v>EC</v>
      </c>
      <c r="AH106" s="92" t="str">
        <f t="shared" si="34"/>
        <v>"%USERPROFILE%\Documents\GitHub\eaglep3\Utilities\RefineRTDCRunTimes.py" --tripid 192-25 --locoid 4017 --swversion DE.1.0.8.0 --startMP 204:232974 --initTime 2016-12-25T15:37:12 --startdatetime 2016-12-25T15:56:24 --delay 1 --endMP 204:127 --enddatetime 2016-12-25T16:34:19 --enforcementcount 0 &gt;&gt;C:\Users\stu\Documents\GitHub\eaglep3-reporting\EC\2016-12-25-refined-times.txt</v>
      </c>
      <c r="AI10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{"issue":{"subject":"","project_id":79,"tracker_id":40,"status_id":1,"priority_id":2,"assigned_to_id":23,"start_date":"2016-12-25","description":"","custom_fields":[{"id":1,"name":"Subdivision","value":"EC"},{"id":4,"name":"Milepost","value":"0.0127"},{"id":17,"name":"Train ID","value":"192-25"},{"id":16,"name":"Locomotive ID","value":"4017"},{"id":130,"name":"Impact","value":""},{"id":150,"name":"Time of Event (Mountain Time)","value":"16:34:19"},{"id":151,"name":"Denver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588</v>
      </c>
      <c r="B107" s="7">
        <v>4027</v>
      </c>
      <c r="C107" s="22" t="s">
        <v>205</v>
      </c>
      <c r="D107" s="22" t="s">
        <v>230</v>
      </c>
      <c r="E107" s="13">
        <v>42729.629930555559</v>
      </c>
      <c r="F107" s="13">
        <v>42729.635578703703</v>
      </c>
      <c r="G107" s="7">
        <v>1</v>
      </c>
      <c r="H107" s="22" t="s">
        <v>355</v>
      </c>
      <c r="I107" s="13">
        <v>42729.659849537034</v>
      </c>
      <c r="J107" s="7">
        <v>0</v>
      </c>
      <c r="K107" s="109" t="str">
        <f t="shared" si="19"/>
        <v>4027/4028</v>
      </c>
      <c r="L107" s="22" t="str">
        <f>VLOOKUP(A107,'Trips&amp;Operators'!$C$1:$G$99999,5,FALSE)</f>
        <v>BRUDER RICHARD</v>
      </c>
      <c r="M107" s="6">
        <f t="shared" si="20"/>
        <v>2.4270833331684116E-2</v>
      </c>
      <c r="N107" s="7">
        <f t="shared" si="21"/>
        <v>34.949999997625127</v>
      </c>
      <c r="O107" s="7"/>
      <c r="P107" s="7"/>
      <c r="Q107" s="23"/>
      <c r="R107" s="23"/>
      <c r="S107" s="35">
        <f t="shared" si="22"/>
        <v>1</v>
      </c>
      <c r="T107" s="50" t="str">
        <f t="shared" si="23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14:07:06-700',mode:absolute,to:'2016-12-25 16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07" s="52" t="str">
        <f t="shared" si="25"/>
        <v>N</v>
      </c>
      <c r="X107" s="177">
        <f t="shared" si="26"/>
        <v>1</v>
      </c>
      <c r="Y107" s="67">
        <f t="shared" si="27"/>
        <v>4.5999999999999999E-2</v>
      </c>
      <c r="Z107" s="67">
        <f t="shared" si="28"/>
        <v>23.330300000000001</v>
      </c>
      <c r="AA107" s="67">
        <f t="shared" si="29"/>
        <v>23.284300000000002</v>
      </c>
      <c r="AB107" s="64" t="e">
        <f>VLOOKUP(A107,Enforcements!$C$7:$K$19,8,0)</f>
        <v>#N/A</v>
      </c>
      <c r="AC107" s="60" t="e">
        <f>VLOOKUP(A107,Enforcements!$C$7:$E$19,3,0)</f>
        <v>#N/A</v>
      </c>
      <c r="AD107" s="61" t="str">
        <f t="shared" si="30"/>
        <v>0193-25</v>
      </c>
      <c r="AE107" s="91" t="str">
        <f t="shared" si="31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107" s="88" t="str">
        <f t="shared" si="32"/>
        <v>"C:\Program Files (x86)\AstroGrep\AstroGrep.exe" /spath="%USERPROFILE%\AppData\Local\Temp\OnboardLogs" /stypes="app*4027*20161225*" /stext=" 22:.+((SYSTEM_STATE.+slice.+state.+changed )|(ment ac)|(multiple cpu faults)|(system.+state.+changed )|(\[timeout)|(PRM\|1\|D)|(kpr)|(kdp)|(\|lc)|(penalty))" /e /r /s</v>
      </c>
      <c r="AG107" s="1" t="str">
        <f t="shared" si="33"/>
        <v>EC</v>
      </c>
      <c r="AH107" s="92" t="str">
        <f t="shared" si="34"/>
        <v>"%USERPROFILE%\Documents\GitHub\eaglep3\Utilities\RefineRTDCRunTimes.py" --tripid 193-25 --locoid 4027 --swversion DE.1.0.8.0 --startMP 204:460 --initTime 2016-12-25T15:07:06 --startdatetime 2016-12-25T15:15:14 --delay 1 --endMP 204:233303 --enddatetime 2016-12-25T15:50:11 --enforcementcount 0 &gt;&gt;C:\Users\stu\Documents\GitHub\eaglep3-reporting\EC\2016-12-25-refined-times.txt</v>
      </c>
      <c r="AI107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{"issue":{"subject":"","project_id":79,"tracker_id":40,"status_id":1,"priority_id":2,"assigned_to_id":23,"start_date":"2016-12-25","description":"","custom_fields":[{"id":1,"name":"Subdivision","value":"EC"},{"id":4,"name":"Milepost","value":"23.3303"},{"id":17,"name":"Train ID","value":"193-25"},{"id":16,"name":"Locomotive ID","value":"4027"},{"id":130,"name":"Impact","value":""},{"id":150,"name":"Time of Event (Mountain Time)","value":"15:50:11"},{"id":151,"name":"Denver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596</v>
      </c>
      <c r="B108" s="7">
        <v>4028</v>
      </c>
      <c r="C108" s="22" t="s">
        <v>205</v>
      </c>
      <c r="D108" s="22" t="s">
        <v>266</v>
      </c>
      <c r="E108" s="13">
        <v>42729.668692129628</v>
      </c>
      <c r="F108" s="13">
        <v>42729.674490740741</v>
      </c>
      <c r="G108" s="7">
        <v>1</v>
      </c>
      <c r="H108" s="22" t="s">
        <v>350</v>
      </c>
      <c r="I108" s="13">
        <v>42729.701041666667</v>
      </c>
      <c r="J108" s="7">
        <v>0</v>
      </c>
      <c r="K108" s="109" t="str">
        <f t="shared" si="19"/>
        <v>4027/4028</v>
      </c>
      <c r="L108" s="22" t="str">
        <f>VLOOKUP(A108,'Trips&amp;Operators'!$C$1:$G$99999,5,FALSE)</f>
        <v>BRUDER RICHARD</v>
      </c>
      <c r="M108" s="6">
        <f t="shared" si="20"/>
        <v>2.6550925926130731E-2</v>
      </c>
      <c r="N108" s="7">
        <f t="shared" si="21"/>
        <v>38.233333333628252</v>
      </c>
      <c r="O108" s="7"/>
      <c r="P108" s="7"/>
      <c r="Q108" s="23"/>
      <c r="R108" s="23"/>
      <c r="S108" s="35">
        <f t="shared" si="22"/>
        <v>1</v>
      </c>
      <c r="T108" s="50" t="str">
        <f t="shared" si="23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15:02:55-700',mode:absolute,to:'2016-12-25 17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08" s="52" t="str">
        <f t="shared" si="25"/>
        <v>N</v>
      </c>
      <c r="X108" s="177">
        <f t="shared" si="26"/>
        <v>1</v>
      </c>
      <c r="Y108" s="67">
        <f t="shared" si="27"/>
        <v>23.297699999999999</v>
      </c>
      <c r="Z108" s="67">
        <f t="shared" si="28"/>
        <v>1.5800000000000002E-2</v>
      </c>
      <c r="AA108" s="67">
        <f t="shared" si="29"/>
        <v>23.2819</v>
      </c>
      <c r="AB108" s="64" t="e">
        <f>VLOOKUP(A108,Enforcements!$C$7:$K$19,8,0)</f>
        <v>#N/A</v>
      </c>
      <c r="AC108" s="60" t="e">
        <f>VLOOKUP(A108,Enforcements!$C$7:$E$19,3,0)</f>
        <v>#N/A</v>
      </c>
      <c r="AD108" s="61" t="str">
        <f t="shared" si="30"/>
        <v>0194-25</v>
      </c>
      <c r="AE108" s="91" t="str">
        <f t="shared" si="31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108" s="88" t="str">
        <f t="shared" si="32"/>
        <v>"C:\Program Files (x86)\AstroGrep\AstroGrep.exe" /spath="%USERPROFILE%\AppData\Local\Temp\OnboardLogs" /stypes="app*4028*20161225*" /stext=" 23:.+((SYSTEM_STATE.+slice.+state.+changed )|(ment ac)|(multiple cpu faults)|(system.+state.+changed )|(\[timeout)|(PRM\|1\|D)|(kpr)|(kdp)|(\|lc)|(penalty))" /e /r /s</v>
      </c>
      <c r="AG108" s="1" t="str">
        <f t="shared" si="33"/>
        <v>EC</v>
      </c>
      <c r="AH108" s="92" t="str">
        <f t="shared" si="34"/>
        <v>"%USERPROFILE%\Documents\GitHub\eaglep3\Utilities\RefineRTDCRunTimes.py" --tripid 194-25 --locoid 4028 --swversion DE.1.0.8.0 --startMP 204:232977 --initTime 2016-12-25T16:02:55 --startdatetime 2016-12-25T16:11:16 --delay 1 --endMP 204:158 --enddatetime 2016-12-25T16:49:30 --enforcementcount 0 &gt;&gt;C:\Users\stu\Documents\GitHub\eaglep3-reporting\EC\2016-12-25-refined-times.txt</v>
      </c>
      <c r="AI10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{"issue":{"subject":"","project_id":79,"tracker_id":40,"status_id":1,"priority_id":2,"assigned_to_id":23,"start_date":"2016-12-25","description":"","custom_fields":[{"id":1,"name":"Subdivision","value":"EC"},{"id":4,"name":"Milepost","value":"0.0158"},{"id":17,"name":"Train ID","value":"194-25"},{"id":16,"name":"Locomotive ID","value":"4028"},{"id":130,"name":"Impact","value":""},{"id":150,"name":"Time of Event (Mountain Time)","value":"16:49:30"},{"id":151,"name":"Denver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591</v>
      </c>
      <c r="B109" s="7">
        <v>4009</v>
      </c>
      <c r="C109" s="22" t="s">
        <v>205</v>
      </c>
      <c r="D109" s="22" t="s">
        <v>242</v>
      </c>
      <c r="E109" s="13">
        <v>42729.641319444447</v>
      </c>
      <c r="F109" s="13">
        <v>42729.646041666667</v>
      </c>
      <c r="G109" s="7">
        <v>1</v>
      </c>
      <c r="H109" s="22" t="s">
        <v>354</v>
      </c>
      <c r="I109" s="13">
        <v>42729.670856481483</v>
      </c>
      <c r="J109" s="7">
        <v>0</v>
      </c>
      <c r="K109" s="109" t="str">
        <f t="shared" si="19"/>
        <v>4009/4010</v>
      </c>
      <c r="L109" s="22" t="str">
        <f>VLOOKUP(A109,'Trips&amp;Operators'!$C$1:$G$99999,5,FALSE)</f>
        <v>CRAYTON QUNTRELL</v>
      </c>
      <c r="M109" s="6">
        <f t="shared" si="20"/>
        <v>2.4814814816636499E-2</v>
      </c>
      <c r="N109" s="7">
        <f t="shared" si="21"/>
        <v>35.733333335956559</v>
      </c>
      <c r="O109" s="7"/>
      <c r="P109" s="7"/>
      <c r="Q109" s="23"/>
      <c r="R109" s="23"/>
      <c r="S109" s="35">
        <f t="shared" si="22"/>
        <v>1</v>
      </c>
      <c r="T109" s="50" t="str">
        <f t="shared" si="23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14:23:30-700',mode:absolute,to:'2016-12-25 17:06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9" s="52" t="str">
        <f t="shared" si="25"/>
        <v>N</v>
      </c>
      <c r="X109" s="177">
        <f t="shared" si="26"/>
        <v>1</v>
      </c>
      <c r="Y109" s="67">
        <f t="shared" si="27"/>
        <v>4.58E-2</v>
      </c>
      <c r="Z109" s="67">
        <f t="shared" si="28"/>
        <v>23.330400000000001</v>
      </c>
      <c r="AA109" s="67">
        <f t="shared" si="29"/>
        <v>23.284600000000001</v>
      </c>
      <c r="AB109" s="64" t="e">
        <f>VLOOKUP(A109,Enforcements!$C$7:$K$19,8,0)</f>
        <v>#N/A</v>
      </c>
      <c r="AC109" s="60" t="e">
        <f>VLOOKUP(A109,Enforcements!$C$7:$E$19,3,0)</f>
        <v>#N/A</v>
      </c>
      <c r="AD109" s="61" t="str">
        <f t="shared" si="30"/>
        <v>0195-25</v>
      </c>
      <c r="AE109" s="91" t="str">
        <f t="shared" si="31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09" s="88" t="str">
        <f t="shared" si="32"/>
        <v>"C:\Program Files (x86)\AstroGrep\AstroGrep.exe" /spath="%USERPROFILE%\AppData\Local\Temp\OnboardLogs" /stypes="app*4009*20161225*" /stext=" 23:.+((SYSTEM_STATE.+slice.+state.+changed )|(ment ac)|(multiple cpu faults)|(system.+state.+changed )|(\[timeout)|(PRM\|1\|D)|(kpr)|(kdp)|(\|lc)|(penalty))" /e /r /s</v>
      </c>
      <c r="AG109" s="1" t="str">
        <f t="shared" si="33"/>
        <v>EC</v>
      </c>
      <c r="AH109" s="92" t="str">
        <f t="shared" si="34"/>
        <v>"%USERPROFILE%\Documents\GitHub\eaglep3\Utilities\RefineRTDCRunTimes.py" --tripid 195-25 --locoid 4009 --swversion DE.1.0.8.0 --startMP 204:458 --initTime 2016-12-25T15:23:30 --startdatetime 2016-12-25T15:30:18 --delay 1 --endMP 204:233304 --enddatetime 2016-12-25T16:06:02 --enforcementcount 0 &gt;&gt;C:\Users\stu\Documents\GitHub\eaglep3-reporting\EC\2016-12-25-refined-times.txt</v>
      </c>
      <c r="AI10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{"issue":{"subject":"","project_id":79,"tracker_id":40,"status_id":1,"priority_id":2,"assigned_to_id":23,"start_date":"2016-12-25","description":"","custom_fields":[{"id":1,"name":"Subdivision","value":"EC"},{"id":4,"name":"Milepost","value":"23.3304"},{"id":17,"name":"Train ID","value":"195-25"},{"id":16,"name":"Locomotive ID","value":"4009"},{"id":130,"name":"Impact","value":""},{"id":150,"name":"Time of Event (Mountain Time)","value":"16:06:02"},{"id":151,"name":"Denver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599</v>
      </c>
      <c r="B110" s="7">
        <v>4010</v>
      </c>
      <c r="C110" s="22" t="s">
        <v>205</v>
      </c>
      <c r="D110" s="22" t="s">
        <v>270</v>
      </c>
      <c r="E110" s="13">
        <v>42729.681087962963</v>
      </c>
      <c r="F110" s="13">
        <v>42729.685162037036</v>
      </c>
      <c r="G110" s="7">
        <v>1</v>
      </c>
      <c r="H110" s="22" t="s">
        <v>326</v>
      </c>
      <c r="I110" s="13">
        <v>42729.712418981479</v>
      </c>
      <c r="J110" s="7">
        <v>0</v>
      </c>
      <c r="K110" s="109" t="str">
        <f t="shared" si="19"/>
        <v>4009/4010</v>
      </c>
      <c r="L110" s="22" t="str">
        <f>VLOOKUP(A110,'Trips&amp;Operators'!$C$1:$G$99999,5,FALSE)</f>
        <v>CRAYTON QUNTRELL</v>
      </c>
      <c r="M110" s="6">
        <f t="shared" si="20"/>
        <v>2.7256944442342501E-2</v>
      </c>
      <c r="N110" s="7">
        <f t="shared" si="21"/>
        <v>39.249999996973202</v>
      </c>
      <c r="O110" s="7"/>
      <c r="P110" s="7"/>
      <c r="Q110" s="23"/>
      <c r="R110" s="23"/>
      <c r="S110" s="35">
        <f t="shared" si="22"/>
        <v>1</v>
      </c>
      <c r="T110" s="50" t="str">
        <f t="shared" si="23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15:20:46-700',mode:absolute,to:'2016-12-25 18:05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0" s="52" t="str">
        <f t="shared" si="25"/>
        <v>N</v>
      </c>
      <c r="X110" s="177">
        <f t="shared" si="26"/>
        <v>1</v>
      </c>
      <c r="Y110" s="67">
        <f t="shared" si="27"/>
        <v>23.299299999999999</v>
      </c>
      <c r="Z110" s="67">
        <f t="shared" si="28"/>
        <v>1.52E-2</v>
      </c>
      <c r="AA110" s="67">
        <f t="shared" si="29"/>
        <v>23.284099999999999</v>
      </c>
      <c r="AB110" s="64" t="e">
        <f>VLOOKUP(A110,Enforcements!$C$7:$K$19,8,0)</f>
        <v>#N/A</v>
      </c>
      <c r="AC110" s="60" t="e">
        <f>VLOOKUP(A110,Enforcements!$C$7:$E$19,3,0)</f>
        <v>#N/A</v>
      </c>
      <c r="AD110" s="61" t="str">
        <f t="shared" si="30"/>
        <v>0196-25</v>
      </c>
      <c r="AE110" s="91" t="str">
        <f t="shared" si="31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110" s="88" t="str">
        <f t="shared" si="32"/>
        <v>"C:\Program Files (x86)\AstroGrep\AstroGrep.exe" /spath="%USERPROFILE%\AppData\Local\Temp\OnboardLogs" /stypes="app*4010*20161226*" /stext=" 00:.+((SYSTEM_STATE.+slice.+state.+changed )|(ment ac)|(multiple cpu faults)|(system.+state.+changed )|(\[timeout)|(PRM\|1\|D)|(kpr)|(kdp)|(\|lc)|(penalty))" /e /r /s</v>
      </c>
      <c r="AG110" s="1" t="str">
        <f t="shared" si="33"/>
        <v>EC</v>
      </c>
      <c r="AH110" s="92" t="str">
        <f t="shared" si="34"/>
        <v>"%USERPROFILE%\Documents\GitHub\eaglep3\Utilities\RefineRTDCRunTimes.py" --tripid 196-25 --locoid 4010 --swversion DE.1.0.8.0 --startMP 204:232993 --initTime 2016-12-25T16:20:46 --startdatetime 2016-12-25T16:26:38 --delay 1 --endMP 204:152 --enddatetime 2016-12-25T17:05:53 --enforcementcount 0 &gt;&gt;C:\Users\stu\Documents\GitHub\eaglep3-reporting\EC\2016-12-25-refined-times.txt</v>
      </c>
      <c r="AI11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{"issue":{"subject":"","project_id":79,"tracker_id":40,"status_id":1,"priority_id":2,"assigned_to_id":23,"start_date":"2016-12-25","description":"","custom_fields":[{"id":1,"name":"Subdivision","value":"EC"},{"id":4,"name":"Milepost","value":"0.0152"},{"id":17,"name":"Train ID","value":"196-25"},{"id":16,"name":"Locomotive ID","value":"4010"},{"id":130,"name":"Impact","value":""},{"id":150,"name":"Time of Event (Mountain Time)","value":"17:05:53"},{"id":151,"name":"Denver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449</v>
      </c>
      <c r="B111" s="7">
        <v>4025</v>
      </c>
      <c r="C111" s="22" t="s">
        <v>205</v>
      </c>
      <c r="D111" s="22" t="s">
        <v>286</v>
      </c>
      <c r="E111" s="13">
        <v>42729.654097222221</v>
      </c>
      <c r="F111" s="13">
        <v>42729.656597222223</v>
      </c>
      <c r="G111" s="7">
        <v>1</v>
      </c>
      <c r="H111" s="22" t="s">
        <v>315</v>
      </c>
      <c r="I111" s="13">
        <v>42729.680914351855</v>
      </c>
      <c r="J111" s="7">
        <v>0</v>
      </c>
      <c r="K111" s="109" t="str">
        <f t="shared" si="19"/>
        <v>4025/4026</v>
      </c>
      <c r="L111" s="22" t="str">
        <f>VLOOKUP(A111,'Trips&amp;Operators'!$C$1:$G$99999,5,FALSE)</f>
        <v>ADANE ELSHADAY</v>
      </c>
      <c r="M111" s="6">
        <f t="shared" si="20"/>
        <v>2.4317129631526768E-2</v>
      </c>
      <c r="N111" s="7">
        <f t="shared" si="21"/>
        <v>35.016666669398546</v>
      </c>
      <c r="O111" s="7"/>
      <c r="P111" s="7"/>
      <c r="Q111" s="23"/>
      <c r="R111" s="23"/>
      <c r="S111" s="35">
        <f t="shared" si="22"/>
        <v>1</v>
      </c>
      <c r="T111" s="50" t="str">
        <f t="shared" si="23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14:41:54-700',mode:absolute,to:'2016-12-25 17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11" s="52" t="str">
        <f t="shared" si="25"/>
        <v>N</v>
      </c>
      <c r="X111" s="177">
        <f t="shared" si="26"/>
        <v>1</v>
      </c>
      <c r="Y111" s="67">
        <f t="shared" si="27"/>
        <v>4.4200000000000003E-2</v>
      </c>
      <c r="Z111" s="67">
        <f t="shared" si="28"/>
        <v>23.330100000000002</v>
      </c>
      <c r="AA111" s="67">
        <f t="shared" si="29"/>
        <v>23.285900000000002</v>
      </c>
      <c r="AB111" s="64" t="str">
        <f>VLOOKUP(A111,Enforcements!$C$7:$K$19,8,0)</f>
        <v>Bulletin (2)</v>
      </c>
      <c r="AC111" s="60" t="str">
        <f>VLOOKUP(A111,Enforcements!$C$7:$E$19,3,0)</f>
        <v>GRADE CROSSING</v>
      </c>
      <c r="AD111" s="61" t="str">
        <f t="shared" si="30"/>
        <v>0197-25</v>
      </c>
      <c r="AE111" s="91" t="str">
        <f t="shared" si="31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111" s="88" t="str">
        <f t="shared" si="32"/>
        <v>"C:\Program Files (x86)\AstroGrep\AstroGrep.exe" /spath="%USERPROFILE%\AppData\Local\Temp\OnboardLogs" /stypes="app*4025*20161225*" /stext=" 23:.+((SYSTEM_STATE.+slice.+state.+changed )|(ment ac)|(multiple cpu faults)|(system.+state.+changed )|(\[timeout)|(PRM\|1\|D)|(kpr)|(kdp)|(\|lc)|(penalty))" /e /r /s</v>
      </c>
      <c r="AG111" s="1" t="str">
        <f t="shared" si="33"/>
        <v>EC</v>
      </c>
      <c r="AH111" s="92" t="str">
        <f t="shared" si="34"/>
        <v>"%USERPROFILE%\Documents\GitHub\eaglep3\Utilities\RefineRTDCRunTimes.py" --tripid 197-25 --locoid 4025 --swversion DE.1.0.8.0 --startMP 204:442 --initTime 2016-12-25T15:41:54 --startdatetime 2016-12-25T15:45:30 --delay 1 --endMP 204:233301 --enddatetime 2016-12-25T16:20:31 --enforcementcount 0 &gt;&gt;C:\Users\stu\Documents\GitHub\eaglep3-reporting\EC\2016-12-25-refined-times.txt</v>
      </c>
      <c r="AI11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{"issue":{"subject":"","project_id":79,"tracker_id":40,"status_id":1,"priority_id":2,"assigned_to_id":23,"start_date":"2016-12-25","description":"","custom_fields":[{"id":1,"name":"Subdivision","value":"EC"},{"id":4,"name":"Milepost","value":"23.3301"},{"id":17,"name":"Train ID","value":"197-25"},{"id":16,"name":"Locomotive ID","value":"4025"},{"id":130,"name":"Impact","value":""},{"id":150,"name":"Time of Event (Mountain Time)","value":"16:20:31"},{"id":151,"name":"Denver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450</v>
      </c>
      <c r="B112" s="7">
        <v>4026</v>
      </c>
      <c r="C112" s="22" t="s">
        <v>205</v>
      </c>
      <c r="D112" s="22" t="s">
        <v>330</v>
      </c>
      <c r="E112" s="13">
        <v>42729.682974537034</v>
      </c>
      <c r="F112" s="13">
        <v>42729.695567129631</v>
      </c>
      <c r="G112" s="7">
        <v>1</v>
      </c>
      <c r="H112" s="22" t="s">
        <v>261</v>
      </c>
      <c r="I112" s="13">
        <v>42729.721608796295</v>
      </c>
      <c r="J112" s="7">
        <v>0</v>
      </c>
      <c r="K112" s="109" t="str">
        <f t="shared" si="19"/>
        <v>4025/4026</v>
      </c>
      <c r="L112" s="22" t="str">
        <f>VLOOKUP(A112,'Trips&amp;Operators'!$C$1:$G$99999,5,FALSE)</f>
        <v>ADANE ELSHADAY</v>
      </c>
      <c r="M112" s="6">
        <f t="shared" si="20"/>
        <v>2.6041666664241347E-2</v>
      </c>
      <c r="N112" s="7">
        <f t="shared" si="21"/>
        <v>37.49999999650754</v>
      </c>
      <c r="O112" s="7"/>
      <c r="P112" s="7"/>
      <c r="Q112" s="23"/>
      <c r="R112" s="23"/>
      <c r="S112" s="35">
        <f t="shared" si="22"/>
        <v>1</v>
      </c>
      <c r="T112" s="50" t="str">
        <f t="shared" si="23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15:23:29-700',mode:absolute,to:'2016-12-25 18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12" s="52" t="str">
        <f t="shared" si="25"/>
        <v>N</v>
      </c>
      <c r="X112" s="177">
        <f t="shared" si="26"/>
        <v>1</v>
      </c>
      <c r="Y112" s="67">
        <f t="shared" si="27"/>
        <v>23.296900000000001</v>
      </c>
      <c r="Z112" s="67">
        <f t="shared" si="28"/>
        <v>1.47E-2</v>
      </c>
      <c r="AA112" s="67">
        <f t="shared" si="29"/>
        <v>23.2822</v>
      </c>
      <c r="AB112" s="64" t="str">
        <f>VLOOKUP(A112,Enforcements!$C$7:$K$19,8,0)</f>
        <v>Speed (6)</v>
      </c>
      <c r="AC112" s="60" t="str">
        <f>VLOOKUP(A112,Enforcements!$C$7:$E$19,3,0)</f>
        <v>PERMANENT SPEED RESTRICTION</v>
      </c>
      <c r="AD112" s="61" t="str">
        <f t="shared" si="30"/>
        <v>0198-25</v>
      </c>
      <c r="AE112" s="91" t="str">
        <f t="shared" si="31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112" s="88" t="str">
        <f t="shared" si="32"/>
        <v>"C:\Program Files (x86)\AstroGrep\AstroGrep.exe" /spath="%USERPROFILE%\AppData\Local\Temp\OnboardLogs" /stypes="app*4026*20161226*" /stext=" 00:.+((SYSTEM_STATE.+slice.+state.+changed )|(ment ac)|(multiple cpu faults)|(system.+state.+changed )|(\[timeout)|(PRM\|1\|D)|(kpr)|(kdp)|(\|lc)|(penalty))" /e /r /s</v>
      </c>
      <c r="AG112" s="1" t="str">
        <f t="shared" si="33"/>
        <v>EC</v>
      </c>
      <c r="AH112" s="92" t="str">
        <f t="shared" si="34"/>
        <v>"%USERPROFILE%\Documents\GitHub\eaglep3\Utilities\RefineRTDCRunTimes.py" --tripid 198-25 --locoid 4026 --swversion DE.1.0.8.0 --startMP 204:232969 --initTime 2016-12-25T16:23:29 --startdatetime 2016-12-25T16:41:37 --delay 1 --endMP 204:147 --enddatetime 2016-12-25T17:19:07 --enforcementcount 0 &gt;&gt;C:\Users\stu\Documents\GitHub\eaglep3-reporting\EC\2016-12-25-refined-times.txt</v>
      </c>
      <c r="AI11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{"issue":{"subject":"","project_id":79,"tracker_id":40,"status_id":1,"priority_id":2,"assigned_to_id":23,"start_date":"2016-12-25","description":"","custom_fields":[{"id":1,"name":"Subdivision","value":"EC"},{"id":4,"name":"Milepost","value":"0.0147"},{"id":17,"name":"Train ID","value":"198-25"},{"id":16,"name":"Locomotive ID","value":"4026"},{"id":130,"name":"Impact","value":""},{"id":150,"name":"Time of Event (Mountain Time)","value":"17:19:07"},{"id":151,"name":"Denver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595</v>
      </c>
      <c r="B113" s="7">
        <v>4042</v>
      </c>
      <c r="C113" s="22" t="s">
        <v>205</v>
      </c>
      <c r="D113" s="22" t="s">
        <v>242</v>
      </c>
      <c r="E113" s="13">
        <v>42729.662800925929</v>
      </c>
      <c r="F113" s="13">
        <v>42729.66684027778</v>
      </c>
      <c r="G113" s="7">
        <v>1</v>
      </c>
      <c r="H113" s="22" t="s">
        <v>288</v>
      </c>
      <c r="I113" s="13">
        <v>42729.693229166667</v>
      </c>
      <c r="J113" s="7">
        <v>0</v>
      </c>
      <c r="K113" s="109" t="str">
        <f t="shared" si="19"/>
        <v>4041/4042</v>
      </c>
      <c r="L113" s="22" t="str">
        <f>VLOOKUP(A113,'Trips&amp;Operators'!$C$1:$G$99999,5,FALSE)</f>
        <v>KILLION DAVID</v>
      </c>
      <c r="M113" s="6">
        <f t="shared" si="20"/>
        <v>2.6388888887595385E-2</v>
      </c>
      <c r="N113" s="7">
        <f t="shared" si="21"/>
        <v>37.999999998137355</v>
      </c>
      <c r="O113" s="7"/>
      <c r="P113" s="7"/>
      <c r="Q113" s="23"/>
      <c r="R113" s="23"/>
      <c r="S113" s="35">
        <f t="shared" si="22"/>
        <v>1</v>
      </c>
      <c r="T113" s="50" t="str">
        <f t="shared" si="23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14:54:26-700',mode:absolute,to:'2016-12-25 17:38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3" s="52" t="str">
        <f t="shared" si="25"/>
        <v>N</v>
      </c>
      <c r="X113" s="177">
        <f t="shared" si="26"/>
        <v>1</v>
      </c>
      <c r="Y113" s="67">
        <f t="shared" si="27"/>
        <v>4.58E-2</v>
      </c>
      <c r="Z113" s="67">
        <f t="shared" si="28"/>
        <v>23.3308</v>
      </c>
      <c r="AA113" s="67">
        <f t="shared" si="29"/>
        <v>23.285</v>
      </c>
      <c r="AB113" s="64" t="e">
        <f>VLOOKUP(A113,Enforcements!$C$7:$K$19,8,0)</f>
        <v>#N/A</v>
      </c>
      <c r="AC113" s="60" t="e">
        <f>VLOOKUP(A113,Enforcements!$C$7:$E$19,3,0)</f>
        <v>#N/A</v>
      </c>
      <c r="AD113" s="61" t="str">
        <f t="shared" si="30"/>
        <v>0199-25</v>
      </c>
      <c r="AE113" s="91" t="str">
        <f t="shared" si="31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13" s="88" t="str">
        <f t="shared" si="32"/>
        <v>"C:\Program Files (x86)\AstroGrep\AstroGrep.exe" /spath="%USERPROFILE%\AppData\Local\Temp\OnboardLogs" /stypes="app*4042*20161225*" /stext=" 23:.+((SYSTEM_STATE.+slice.+state.+changed )|(ment ac)|(multiple cpu faults)|(system.+state.+changed )|(\[timeout)|(PRM\|1\|D)|(kpr)|(kdp)|(\|lc)|(penalty))" /e /r /s</v>
      </c>
      <c r="AG113" s="1" t="str">
        <f t="shared" si="33"/>
        <v>EC</v>
      </c>
      <c r="AH113" s="92" t="str">
        <f t="shared" si="34"/>
        <v>"%USERPROFILE%\Documents\GitHub\eaglep3\Utilities\RefineRTDCRunTimes.py" --tripid 199-25 --locoid 4042 --swversion DE.1.0.8.0 --startMP 204:458 --initTime 2016-12-25T15:54:26 --startdatetime 2016-12-25T16:00:15 --delay 1 --endMP 204:233308 --enddatetime 2016-12-25T16:38:15 --enforcementcount 0 &gt;&gt;C:\Users\stu\Documents\GitHub\eaglep3-reporting\EC\2016-12-25-refined-times.txt</v>
      </c>
      <c r="AI11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{"issue":{"subject":"","project_id":79,"tracker_id":40,"status_id":1,"priority_id":2,"assigned_to_id":23,"start_date":"2016-12-25","description":"","custom_fields":[{"id":1,"name":"Subdivision","value":"EC"},{"id":4,"name":"Milepost","value":"23.3308"},{"id":17,"name":"Train ID","value":"199-25"},{"id":16,"name":"Locomotive ID","value":"4042"},{"id":130,"name":"Impact","value":""},{"id":150,"name":"Time of Event (Mountain Time)","value":"16:38:15"},{"id":151,"name":"Denver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603</v>
      </c>
      <c r="B114" s="7">
        <v>4041</v>
      </c>
      <c r="C114" s="22" t="s">
        <v>205</v>
      </c>
      <c r="D114" s="22" t="s">
        <v>694</v>
      </c>
      <c r="E114" s="13">
        <v>42729.698946759258</v>
      </c>
      <c r="F114" s="13">
        <v>42729.705740740741</v>
      </c>
      <c r="G114" s="7">
        <v>1</v>
      </c>
      <c r="H114" s="22" t="s">
        <v>350</v>
      </c>
      <c r="I114" s="13">
        <v>42729.732847222222</v>
      </c>
      <c r="J114" s="7">
        <v>0</v>
      </c>
      <c r="K114" s="109" t="str">
        <f t="shared" si="19"/>
        <v>4041/4042</v>
      </c>
      <c r="L114" s="22" t="str">
        <f>VLOOKUP(A114,'Trips&amp;Operators'!$C$1:$G$99999,5,FALSE)</f>
        <v>KILLION DAVID</v>
      </c>
      <c r="M114" s="6">
        <f t="shared" si="20"/>
        <v>2.7106481480586808E-2</v>
      </c>
      <c r="N114" s="7">
        <f t="shared" si="21"/>
        <v>39.033333332045004</v>
      </c>
      <c r="O114" s="7"/>
      <c r="P114" s="7"/>
      <c r="Q114" s="23"/>
      <c r="R114" s="23"/>
      <c r="S114" s="35">
        <f t="shared" si="22"/>
        <v>1</v>
      </c>
      <c r="T114" s="50" t="str">
        <f t="shared" si="23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15:46:29-700',mode:absolute,to:'2016-12-25 18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4" s="52" t="str">
        <f t="shared" si="25"/>
        <v>N</v>
      </c>
      <c r="X114" s="177">
        <f t="shared" si="26"/>
        <v>1</v>
      </c>
      <c r="Y114" s="67">
        <f t="shared" si="27"/>
        <v>23.298500000000001</v>
      </c>
      <c r="Z114" s="67">
        <f t="shared" si="28"/>
        <v>1.5800000000000002E-2</v>
      </c>
      <c r="AA114" s="67">
        <f t="shared" si="29"/>
        <v>23.282700000000002</v>
      </c>
      <c r="AB114" s="64" t="e">
        <f>VLOOKUP(A114,Enforcements!$C$7:$K$19,8,0)</f>
        <v>#N/A</v>
      </c>
      <c r="AC114" s="60" t="e">
        <f>VLOOKUP(A114,Enforcements!$C$7:$E$19,3,0)</f>
        <v>#N/A</v>
      </c>
      <c r="AD114" s="61" t="str">
        <f t="shared" si="30"/>
        <v>0200-25</v>
      </c>
      <c r="AE114" s="91" t="str">
        <f t="shared" si="31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114" s="88" t="str">
        <f t="shared" si="32"/>
        <v>"C:\Program Files (x86)\AstroGrep\AstroGrep.exe" /spath="%USERPROFILE%\AppData\Local\Temp\OnboardLogs" /stypes="app*4041*20161226*" /stext=" 00:.+((SYSTEM_STATE.+slice.+state.+changed )|(ment ac)|(multiple cpu faults)|(system.+state.+changed )|(\[timeout)|(PRM\|1\|D)|(kpr)|(kdp)|(\|lc)|(penalty))" /e /r /s</v>
      </c>
      <c r="AG114" s="1" t="str">
        <f t="shared" si="33"/>
        <v>EC</v>
      </c>
      <c r="AH114" s="92" t="str">
        <f t="shared" si="34"/>
        <v>"%USERPROFILE%\Documents\GitHub\eaglep3\Utilities\RefineRTDCRunTimes.py" --tripid 200-25 --locoid 4041 --swversion DE.1.0.8.0 --startMP 204:232985 --initTime 2016-12-25T16:46:29 --startdatetime 2016-12-25T16:56:16 --delay 1 --endMP 204:158 --enddatetime 2016-12-25T17:35:18 --enforcementcount 0 &gt;&gt;C:\Users\stu\Documents\GitHub\eaglep3-reporting\EC\2016-12-25-refined-times.txt</v>
      </c>
      <c r="AI11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{"issue":{"subject":"","project_id":79,"tracker_id":40,"status_id":1,"priority_id":2,"assigned_to_id":23,"start_date":"2016-12-25","description":"","custom_fields":[{"id":1,"name":"Subdivision","value":"EC"},{"id":4,"name":"Milepost","value":"0.0158"},{"id":17,"name":"Train ID","value":"200-25"},{"id":16,"name":"Locomotive ID","value":"4041"},{"id":130,"name":"Impact","value":""},{"id":150,"name":"Time of Event (Mountain Time)","value":"17:35:18"},{"id":151,"name":"Denver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597</v>
      </c>
      <c r="B115" s="7">
        <v>4031</v>
      </c>
      <c r="C115" s="22" t="s">
        <v>205</v>
      </c>
      <c r="D115" s="22" t="s">
        <v>228</v>
      </c>
      <c r="E115" s="13">
        <v>42729.67260416667</v>
      </c>
      <c r="F115" s="13">
        <v>42729.716874999998</v>
      </c>
      <c r="G115" s="7">
        <v>1</v>
      </c>
      <c r="H115" s="22" t="s">
        <v>287</v>
      </c>
      <c r="I115" s="13">
        <v>42729.743946759256</v>
      </c>
      <c r="J115" s="7">
        <v>0</v>
      </c>
      <c r="K115" s="109" t="str">
        <f t="shared" si="19"/>
        <v>4031/4032</v>
      </c>
      <c r="L115" s="22" t="str">
        <f>VLOOKUP(A115,'Trips&amp;Operators'!$C$1:$G$99999,5,FALSE)</f>
        <v>STEWART MICHAEL</v>
      </c>
      <c r="M115" s="6">
        <f t="shared" si="20"/>
        <v>2.7071759257523809E-2</v>
      </c>
      <c r="N115" s="7">
        <f t="shared" si="21"/>
        <v>38.983333330834284</v>
      </c>
      <c r="O115" s="7"/>
      <c r="P115" s="7"/>
      <c r="Q115" s="23"/>
      <c r="R115" s="23"/>
      <c r="S115" s="35">
        <f t="shared" si="22"/>
        <v>1</v>
      </c>
      <c r="T115" s="50" t="str">
        <f t="shared" si="23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15:08:33-700',mode:absolute,to:'2016-12-25 18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5" s="52" t="str">
        <f t="shared" si="25"/>
        <v>N</v>
      </c>
      <c r="X115" s="177">
        <f t="shared" si="26"/>
        <v>1</v>
      </c>
      <c r="Y115" s="67">
        <f t="shared" si="27"/>
        <v>4.5499999999999999E-2</v>
      </c>
      <c r="Z115" s="67">
        <f t="shared" si="28"/>
        <v>23.329499999999999</v>
      </c>
      <c r="AA115" s="67">
        <f t="shared" si="29"/>
        <v>23.283999999999999</v>
      </c>
      <c r="AB115" s="64" t="e">
        <f>VLOOKUP(A115,Enforcements!$C$7:$K$19,8,0)</f>
        <v>#N/A</v>
      </c>
      <c r="AC115" s="60" t="e">
        <f>VLOOKUP(A115,Enforcements!$C$7:$E$19,3,0)</f>
        <v>#N/A</v>
      </c>
      <c r="AD115" s="61" t="str">
        <f t="shared" si="30"/>
        <v>0201-25</v>
      </c>
      <c r="AE115" s="91" t="str">
        <f t="shared" si="31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115" s="88" t="str">
        <f t="shared" si="32"/>
        <v>"C:\Program Files (x86)\AstroGrep\AstroGrep.exe" /spath="%USERPROFILE%\AppData\Local\Temp\OnboardLogs" /stypes="app*4031*20161226*" /stext=" 00:.+((SYSTEM_STATE.+slice.+state.+changed )|(ment ac)|(multiple cpu faults)|(system.+state.+changed )|(\[timeout)|(PRM\|1\|D)|(kpr)|(kdp)|(\|lc)|(penalty))" /e /r /s</v>
      </c>
      <c r="AG115" s="1" t="str">
        <f t="shared" si="33"/>
        <v>EC</v>
      </c>
      <c r="AH115" s="92" t="str">
        <f t="shared" si="34"/>
        <v>"%USERPROFILE%\Documents\GitHub\eaglep3\Utilities\RefineRTDCRunTimes.py" --tripid 201-25 --locoid 4031 --swversion DE.1.0.8.0 --startMP 204:455 --initTime 2016-12-25T16:08:33 --startdatetime 2016-12-25T17:12:18 --delay 1 --endMP 204:233295 --enddatetime 2016-12-25T17:51:17 --enforcementcount 0 &gt;&gt;C:\Users\stu\Documents\GitHub\eaglep3-reporting\EC\2016-12-25-refined-times.txt</v>
      </c>
      <c r="AI11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{"issue":{"subject":"","project_id":79,"tracker_id":40,"status_id":1,"priority_id":2,"assigned_to_id":23,"start_date":"2016-12-25","description":"","custom_fields":[{"id":1,"name":"Subdivision","value":"EC"},{"id":4,"name":"Milepost","value":"23.3295"},{"id":17,"name":"Train ID","value":"201-25"},{"id":16,"name":"Locomotive ID","value":"4031"},{"id":130,"name":"Impact","value":""},{"id":150,"name":"Time of Event (Mountain Time)","value":"17:51:17"},{"id":151,"name":"Denver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606</v>
      </c>
      <c r="B116" s="7">
        <v>4032</v>
      </c>
      <c r="C116" s="22" t="s">
        <v>205</v>
      </c>
      <c r="D116" s="22" t="s">
        <v>257</v>
      </c>
      <c r="E116" s="13">
        <v>42729.715428240743</v>
      </c>
      <c r="F116" s="13">
        <v>42729.716874999998</v>
      </c>
      <c r="G116" s="7">
        <v>1</v>
      </c>
      <c r="H116" s="22" t="s">
        <v>224</v>
      </c>
      <c r="I116" s="13">
        <v>42729.743946759256</v>
      </c>
      <c r="J116" s="7">
        <v>0</v>
      </c>
      <c r="K116" s="109" t="str">
        <f t="shared" si="19"/>
        <v>4031/4032</v>
      </c>
      <c r="L116" s="22" t="str">
        <f>VLOOKUP(A116,'Trips&amp;Operators'!$C$1:$G$99999,5,FALSE)</f>
        <v>STEWART MICHAEL</v>
      </c>
      <c r="M116" s="6">
        <f t="shared" si="20"/>
        <v>2.7071759257523809E-2</v>
      </c>
      <c r="N116" s="7">
        <f t="shared" si="21"/>
        <v>38.983333330834284</v>
      </c>
      <c r="O116" s="7"/>
      <c r="P116" s="7"/>
      <c r="Q116" s="23"/>
      <c r="R116" s="23"/>
      <c r="S116" s="35">
        <f t="shared" si="22"/>
        <v>1</v>
      </c>
      <c r="T116" s="50" t="str">
        <f t="shared" si="23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16:10:13-700',mode:absolute,to:'2016-12-25 18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6" s="52" t="str">
        <f t="shared" si="25"/>
        <v>N</v>
      </c>
      <c r="X116" s="177">
        <f t="shared" si="26"/>
        <v>1</v>
      </c>
      <c r="Y116" s="67">
        <f t="shared" si="27"/>
        <v>23.299399999999999</v>
      </c>
      <c r="Z116" s="67">
        <f t="shared" si="28"/>
        <v>1.54E-2</v>
      </c>
      <c r="AA116" s="67">
        <f t="shared" si="29"/>
        <v>23.283999999999999</v>
      </c>
      <c r="AB116" s="64" t="e">
        <f>VLOOKUP(A116,Enforcements!$C$7:$K$19,8,0)</f>
        <v>#N/A</v>
      </c>
      <c r="AC116" s="60" t="e">
        <f>VLOOKUP(A116,Enforcements!$C$7:$E$19,3,0)</f>
        <v>#N/A</v>
      </c>
      <c r="AD116" s="61" t="str">
        <f t="shared" si="30"/>
        <v>0202-25</v>
      </c>
      <c r="AE116" s="91" t="str">
        <f t="shared" si="31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116" s="88" t="str">
        <f t="shared" si="32"/>
        <v>"C:\Program Files (x86)\AstroGrep\AstroGrep.exe" /spath="%USERPROFILE%\AppData\Local\Temp\OnboardLogs" /stypes="app*4032*20161226*" /stext=" 00:.+((SYSTEM_STATE.+slice.+state.+changed )|(ment ac)|(multiple cpu faults)|(system.+state.+changed )|(\[timeout)|(PRM\|1\|D)|(kpr)|(kdp)|(\|lc)|(penalty))" /e /r /s</v>
      </c>
      <c r="AG116" s="1" t="str">
        <f t="shared" si="33"/>
        <v>EC</v>
      </c>
      <c r="AH116" s="92" t="str">
        <f t="shared" si="34"/>
        <v>"%USERPROFILE%\Documents\GitHub\eaglep3\Utilities\RefineRTDCRunTimes.py" --tripid 202-25 --locoid 4032 --swversion DE.1.0.8.0 --startMP 204:232994 --initTime 2016-12-25T17:10:13 --startdatetime 2016-12-25T17:12:18 --delay 1 --endMP 204:154 --enddatetime 2016-12-25T17:51:17 --enforcementcount 0 &gt;&gt;C:\Users\stu\Documents\GitHub\eaglep3-reporting\EC\2016-12-25-refined-times.txt</v>
      </c>
      <c r="AI11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ID","value":"202-25"},{"id":16,"name":"Locomotive ID","value":"4032"},{"id":130,"name":"Impact","value":""},{"id":150,"name":"Time of Event (Mountain Time)","value":"17:51:17"},{"id":151,"name":"Denver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600</v>
      </c>
      <c r="B117" s="7">
        <v>4014</v>
      </c>
      <c r="C117" s="22" t="s">
        <v>205</v>
      </c>
      <c r="D117" s="22" t="s">
        <v>286</v>
      </c>
      <c r="E117" s="13">
        <v>42729.685173611113</v>
      </c>
      <c r="F117" s="13">
        <v>42729.687847222223</v>
      </c>
      <c r="G117" s="7">
        <v>1</v>
      </c>
      <c r="H117" s="22" t="s">
        <v>685</v>
      </c>
      <c r="I117" s="13">
        <v>42729.713009259256</v>
      </c>
      <c r="J117" s="7">
        <v>0</v>
      </c>
      <c r="K117" s="109" t="str">
        <f t="shared" si="19"/>
        <v>4013/4014</v>
      </c>
      <c r="L117" s="22" t="str">
        <f>VLOOKUP(A117,'Trips&amp;Operators'!$C$1:$G$99999,5,FALSE)</f>
        <v>DAVIS MICHAEL</v>
      </c>
      <c r="M117" s="6">
        <f t="shared" si="20"/>
        <v>2.5162037032714579E-2</v>
      </c>
      <c r="N117" s="7">
        <f t="shared" si="21"/>
        <v>36.233333327108994</v>
      </c>
      <c r="O117" s="7"/>
      <c r="P117" s="7"/>
      <c r="Q117" s="23"/>
      <c r="R117" s="23"/>
      <c r="S117" s="35">
        <f t="shared" si="22"/>
        <v>1</v>
      </c>
      <c r="T117" s="50" t="str">
        <f t="shared" si="23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15:26:39-700',mode:absolute,to:'2016-12-25 18:06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7" s="52" t="str">
        <f t="shared" si="25"/>
        <v>N</v>
      </c>
      <c r="X117" s="177">
        <f t="shared" si="26"/>
        <v>1</v>
      </c>
      <c r="Y117" s="67">
        <f t="shared" si="27"/>
        <v>4.4200000000000003E-2</v>
      </c>
      <c r="Z117" s="67">
        <f t="shared" si="28"/>
        <v>23.328299999999999</v>
      </c>
      <c r="AA117" s="67">
        <f t="shared" si="29"/>
        <v>23.284099999999999</v>
      </c>
      <c r="AB117" s="64" t="e">
        <f>VLOOKUP(A117,Enforcements!$C$7:$K$19,8,0)</f>
        <v>#N/A</v>
      </c>
      <c r="AC117" s="60" t="e">
        <f>VLOOKUP(A117,Enforcements!$C$7:$E$19,3,0)</f>
        <v>#N/A</v>
      </c>
      <c r="AD117" s="61" t="str">
        <f t="shared" si="30"/>
        <v>0203-25</v>
      </c>
      <c r="AE117" s="91" t="str">
        <f t="shared" si="31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17" s="88" t="str">
        <f t="shared" si="32"/>
        <v>"C:\Program Files (x86)\AstroGrep\AstroGrep.exe" /spath="%USERPROFILE%\AppData\Local\Temp\OnboardLogs" /stypes="app*4014*20161226*" /stext=" 00:.+((SYSTEM_STATE.+slice.+state.+changed )|(ment ac)|(multiple cpu faults)|(system.+state.+changed )|(\[timeout)|(PRM\|1\|D)|(kpr)|(kdp)|(\|lc)|(penalty))" /e /r /s</v>
      </c>
      <c r="AG117" s="1" t="str">
        <f t="shared" si="33"/>
        <v>EC</v>
      </c>
      <c r="AH117" s="92" t="str">
        <f t="shared" si="34"/>
        <v>"%USERPROFILE%\Documents\GitHub\eaglep3\Utilities\RefineRTDCRunTimes.py" --tripid 203-25 --locoid 4014 --swversion DE.1.0.8.0 --startMP 204:442 --initTime 2016-12-25T16:26:39 --startdatetime 2016-12-25T16:30:30 --delay 1 --endMP 204:233283 --enddatetime 2016-12-25T17:06:44 --enforcementcount 0 &gt;&gt;C:\Users\stu\Documents\GitHub\eaglep3-reporting\EC\2016-12-25-refined-times.txt</v>
      </c>
      <c r="AI117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{"issue":{"subject":"","project_id":79,"tracker_id":40,"status_id":1,"priority_id":2,"assigned_to_id":23,"start_date":"2016-12-25","description":"","custom_fields":[{"id":1,"name":"Subdivision","value":"EC"},{"id":4,"name":"Milepost","value":"23.3283"},{"id":17,"name":"Train ID","value":"203-25"},{"id":16,"name":"Locomotive ID","value":"4014"},{"id":130,"name":"Impact","value":""},{"id":150,"name":"Time of Event (Mountain Time)","value":"17:06:44"},{"id":151,"name":"Denver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609</v>
      </c>
      <c r="B118" s="7">
        <v>4013</v>
      </c>
      <c r="C118" s="22" t="s">
        <v>205</v>
      </c>
      <c r="D118" s="22" t="s">
        <v>682</v>
      </c>
      <c r="E118" s="13">
        <v>42729.721006944441</v>
      </c>
      <c r="F118" s="13">
        <v>42729.727037037039</v>
      </c>
      <c r="G118" s="7">
        <v>1</v>
      </c>
      <c r="H118" s="22" t="s">
        <v>357</v>
      </c>
      <c r="I118" s="13">
        <v>42729.756539351853</v>
      </c>
      <c r="J118" s="7">
        <v>0</v>
      </c>
      <c r="K118" s="109" t="str">
        <f t="shared" si="19"/>
        <v>4013/4014</v>
      </c>
      <c r="L118" s="22" t="str">
        <f>VLOOKUP(A118,'Trips&amp;Operators'!$C$1:$G$99999,5,FALSE)</f>
        <v>DAVIS MICHAEL</v>
      </c>
      <c r="M118" s="6">
        <f t="shared" si="20"/>
        <v>2.9502314813726116E-2</v>
      </c>
      <c r="N118" s="7">
        <f t="shared" si="21"/>
        <v>42.483333331765607</v>
      </c>
      <c r="O118" s="7"/>
      <c r="P118" s="7"/>
      <c r="Q118" s="23"/>
      <c r="R118" s="23"/>
      <c r="S118" s="35">
        <f t="shared" si="22"/>
        <v>1</v>
      </c>
      <c r="T118" s="50" t="str">
        <f t="shared" si="23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16:18:15-700',mode:absolute,to:'2016-12-25 19:09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8" s="52" t="str">
        <f t="shared" si="25"/>
        <v>N</v>
      </c>
      <c r="X118" s="177">
        <f t="shared" si="26"/>
        <v>1</v>
      </c>
      <c r="Y118" s="67">
        <f t="shared" si="27"/>
        <v>23.2989</v>
      </c>
      <c r="Z118" s="67">
        <f t="shared" si="28"/>
        <v>1.41E-2</v>
      </c>
      <c r="AA118" s="67">
        <f t="shared" si="29"/>
        <v>23.284800000000001</v>
      </c>
      <c r="AB118" s="64" t="e">
        <f>VLOOKUP(A118,Enforcements!$C$7:$K$19,8,0)</f>
        <v>#N/A</v>
      </c>
      <c r="AC118" s="60" t="e">
        <f>VLOOKUP(A118,Enforcements!$C$7:$E$19,3,0)</f>
        <v>#N/A</v>
      </c>
      <c r="AD118" s="61" t="str">
        <f t="shared" si="30"/>
        <v>0204-25</v>
      </c>
      <c r="AE118" s="91" t="str">
        <f t="shared" si="31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118" s="88" t="str">
        <f t="shared" si="32"/>
        <v>"C:\Program Files (x86)\AstroGrep\AstroGrep.exe" /spath="%USERPROFILE%\AppData\Local\Temp\OnboardLogs" /stypes="app*4013*20161226*" /stext=" 01:.+((SYSTEM_STATE.+slice.+state.+changed )|(ment ac)|(multiple cpu faults)|(system.+state.+changed )|(\[timeout)|(PRM\|1\|D)|(kpr)|(kdp)|(\|lc)|(penalty))" /e /r /s</v>
      </c>
      <c r="AG118" s="1" t="str">
        <f t="shared" si="33"/>
        <v>EC</v>
      </c>
      <c r="AH118" s="92" t="str">
        <f t="shared" si="34"/>
        <v>"%USERPROFILE%\Documents\GitHub\eaglep3\Utilities\RefineRTDCRunTimes.py" --tripid 204-25 --locoid 4013 --swversion DE.1.0.8.0 --startMP 204:232989 --initTime 2016-12-25T17:18:15 --startdatetime 2016-12-25T17:26:56 --delay 1 --endMP 204:141 --enddatetime 2016-12-25T18:09:25 --enforcementcount 0 &gt;&gt;C:\Users\stu\Documents\GitHub\eaglep3-reporting\EC\2016-12-25-refined-times.txt</v>
      </c>
      <c r="AI11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{"issue":{"subject":"","project_id":79,"tracker_id":40,"status_id":1,"priority_id":2,"assigned_to_id":23,"start_date":"2016-12-25","description":"","custom_fields":[{"id":1,"name":"Subdivision","value":"EC"},{"id":4,"name":"Milepost","value":"0.0141"},{"id":17,"name":"Train ID","value":"204-25"},{"id":16,"name":"Locomotive ID","value":"4013"},{"id":130,"name":"Impact","value":""},{"id":150,"name":"Time of Event (Mountain Time)","value":"18:09:25"},{"id":151,"name":"Denver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602</v>
      </c>
      <c r="B119" s="7">
        <v>4018</v>
      </c>
      <c r="C119" s="22" t="s">
        <v>205</v>
      </c>
      <c r="D119" s="22" t="s">
        <v>228</v>
      </c>
      <c r="E119" s="13">
        <v>42729.692245370374</v>
      </c>
      <c r="F119" s="13">
        <v>42729.698067129626</v>
      </c>
      <c r="G119" s="7">
        <v>1</v>
      </c>
      <c r="H119" s="22" t="s">
        <v>420</v>
      </c>
      <c r="I119" s="13">
        <v>42729.722638888888</v>
      </c>
      <c r="J119" s="7">
        <v>0</v>
      </c>
      <c r="K119" s="109" t="str">
        <f t="shared" si="19"/>
        <v>4017/4018</v>
      </c>
      <c r="L119" s="22" t="str">
        <f>VLOOKUP(A119,'Trips&amp;Operators'!$C$1:$G$99999,5,FALSE)</f>
        <v>ROMERO CHAD</v>
      </c>
      <c r="M119" s="6">
        <f t="shared" si="20"/>
        <v>2.457175926247146E-2</v>
      </c>
      <c r="N119" s="7">
        <f t="shared" si="21"/>
        <v>35.383333337958902</v>
      </c>
      <c r="O119" s="7"/>
      <c r="P119" s="7"/>
      <c r="Q119" s="23"/>
      <c r="R119" s="23"/>
      <c r="S119" s="35">
        <f t="shared" si="22"/>
        <v>1</v>
      </c>
      <c r="T119" s="50" t="str">
        <f t="shared" si="23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15:36:50-700',mode:absolute,to:'2016-12-25 18:20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9" s="52" t="str">
        <f t="shared" si="25"/>
        <v>N</v>
      </c>
      <c r="X119" s="177">
        <f t="shared" si="26"/>
        <v>1</v>
      </c>
      <c r="Y119" s="67">
        <f t="shared" si="27"/>
        <v>4.5499999999999999E-2</v>
      </c>
      <c r="Z119" s="67">
        <f t="shared" si="28"/>
        <v>23.327999999999999</v>
      </c>
      <c r="AA119" s="67">
        <f t="shared" si="29"/>
        <v>23.282499999999999</v>
      </c>
      <c r="AB119" s="64" t="e">
        <f>VLOOKUP(A119,Enforcements!$C$7:$K$19,8,0)</f>
        <v>#N/A</v>
      </c>
      <c r="AC119" s="60" t="e">
        <f>VLOOKUP(A119,Enforcements!$C$7:$E$19,3,0)</f>
        <v>#N/A</v>
      </c>
      <c r="AD119" s="61" t="str">
        <f t="shared" si="30"/>
        <v>0205-25</v>
      </c>
      <c r="AE119" s="91" t="str">
        <f t="shared" si="31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19" s="88" t="str">
        <f t="shared" si="32"/>
        <v>"C:\Program Files (x86)\AstroGrep\AstroGrep.exe" /spath="%USERPROFILE%\AppData\Local\Temp\OnboardLogs" /stypes="app*4018*20161226*" /stext=" 00:.+((SYSTEM_STATE.+slice.+state.+changed )|(ment ac)|(multiple cpu faults)|(system.+state.+changed )|(\[timeout)|(PRM\|1\|D)|(kpr)|(kdp)|(\|lc)|(penalty))" /e /r /s</v>
      </c>
      <c r="AG119" s="1" t="str">
        <f t="shared" si="33"/>
        <v>EC</v>
      </c>
      <c r="AH119" s="92" t="str">
        <f t="shared" si="34"/>
        <v>"%USERPROFILE%\Documents\GitHub\eaglep3\Utilities\RefineRTDCRunTimes.py" --tripid 205-25 --locoid 4018 --swversion DE.1.0.8.0 --startMP 204:455 --initTime 2016-12-25T16:36:50 --startdatetime 2016-12-25T16:45:13 --delay 1 --endMP 204:233280 --enddatetime 2016-12-25T17:20:36 --enforcementcount 0 &gt;&gt;C:\Users\stu\Documents\GitHub\eaglep3-reporting\EC\2016-12-25-refined-times.txt</v>
      </c>
      <c r="AI11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{"issue":{"subject":"","project_id":79,"tracker_id":40,"status_id":1,"priority_id":2,"assigned_to_id":23,"start_date":"2016-12-25","description":"","custom_fields":[{"id":1,"name":"Subdivision","value":"EC"},{"id":4,"name":"Milepost","value":"23.328"},{"id":17,"name":"Train ID","value":"205-25"},{"id":16,"name":"Locomotive ID","value":"4018"},{"id":130,"name":"Impact","value":""},{"id":150,"name":"Time of Event (Mountain Time)","value":"17:20:36"},{"id":151,"name":"Denver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613</v>
      </c>
      <c r="B120" s="7">
        <v>4017</v>
      </c>
      <c r="C120" s="22" t="s">
        <v>205</v>
      </c>
      <c r="D120" s="22" t="s">
        <v>327</v>
      </c>
      <c r="E120" s="13">
        <v>42729.726180555554</v>
      </c>
      <c r="F120" s="13">
        <v>42729.736956018518</v>
      </c>
      <c r="G120" s="7">
        <v>1</v>
      </c>
      <c r="H120" s="22" t="s">
        <v>268</v>
      </c>
      <c r="I120" s="13">
        <v>42729.765266203707</v>
      </c>
      <c r="J120" s="7">
        <v>0</v>
      </c>
      <c r="K120" s="109" t="str">
        <f t="shared" si="19"/>
        <v>4017/4018</v>
      </c>
      <c r="L120" s="22" t="str">
        <f>VLOOKUP(A120,'Trips&amp;Operators'!$C$1:$G$99999,5,FALSE)</f>
        <v>ROMERO CHAD</v>
      </c>
      <c r="M120" s="6">
        <f t="shared" si="20"/>
        <v>2.8310185189184267E-2</v>
      </c>
      <c r="N120" s="7">
        <f t="shared" si="21"/>
        <v>40.766666672425345</v>
      </c>
      <c r="O120" s="7"/>
      <c r="P120" s="7"/>
      <c r="Q120" s="23"/>
      <c r="R120" s="23"/>
      <c r="S120" s="35">
        <f t="shared" si="22"/>
        <v>1</v>
      </c>
      <c r="T120" s="50" t="str">
        <f t="shared" si="23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16:25:42-700',mode:absolute,to:'2016-12-25 19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20" s="52" t="str">
        <f t="shared" si="25"/>
        <v>N</v>
      </c>
      <c r="X120" s="177">
        <f t="shared" si="26"/>
        <v>1</v>
      </c>
      <c r="Y120" s="67">
        <f t="shared" si="27"/>
        <v>23.296700000000001</v>
      </c>
      <c r="Z120" s="67">
        <f t="shared" si="28"/>
        <v>1.6E-2</v>
      </c>
      <c r="AA120" s="67">
        <f t="shared" si="29"/>
        <v>23.280700000000003</v>
      </c>
      <c r="AB120" s="64" t="e">
        <f>VLOOKUP(A120,Enforcements!$C$7:$K$19,8,0)</f>
        <v>#N/A</v>
      </c>
      <c r="AC120" s="60" t="e">
        <f>VLOOKUP(A120,Enforcements!$C$7:$E$19,3,0)</f>
        <v>#N/A</v>
      </c>
      <c r="AD120" s="61" t="str">
        <f t="shared" si="30"/>
        <v>0206-25</v>
      </c>
      <c r="AE120" s="91" t="str">
        <f t="shared" si="31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120" s="88" t="str">
        <f t="shared" si="32"/>
        <v>"C:\Program Files (x86)\AstroGrep\AstroGrep.exe" /spath="%USERPROFILE%\AppData\Local\Temp\OnboardLogs" /stypes="app*4017*20161226*" /stext=" 01:.+((SYSTEM_STATE.+slice.+state.+changed )|(ment ac)|(multiple cpu faults)|(system.+state.+changed )|(\[timeout)|(PRM\|1\|D)|(kpr)|(kdp)|(\|lc)|(penalty))" /e /r /s</v>
      </c>
      <c r="AG120" s="1" t="str">
        <f t="shared" si="33"/>
        <v>EC</v>
      </c>
      <c r="AH120" s="92" t="str">
        <f t="shared" si="34"/>
        <v>"%USERPROFILE%\Documents\GitHub\eaglep3\Utilities\RefineRTDCRunTimes.py" --tripid 206-25 --locoid 4017 --swversion DE.1.0.8.0 --startMP 204:232967 --initTime 2016-12-25T17:25:42 --startdatetime 2016-12-25T17:41:13 --delay 1 --endMP 204:160 --enddatetime 2016-12-25T18:21:59 --enforcementcount 0 &gt;&gt;C:\Users\stu\Documents\GitHub\eaglep3-reporting\EC\2016-12-25-refined-times.txt</v>
      </c>
      <c r="AI12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{"issue":{"subject":"","project_id":79,"tracker_id":40,"status_id":1,"priority_id":2,"assigned_to_id":23,"start_date":"2016-12-25","description":"","custom_fields":[{"id":1,"name":"Subdivision","value":"EC"},{"id":4,"name":"Milepost","value":"0.016"},{"id":17,"name":"Train ID","value":"206-25"},{"id":16,"name":"Locomotive ID","value":"4017"},{"id":130,"name":"Impact","value":""},{"id":150,"name":"Time of Event (Mountain Time)","value":"18:21:59"},{"id":151,"name":"Denver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604</v>
      </c>
      <c r="B121" s="7">
        <v>4027</v>
      </c>
      <c r="C121" s="22" t="s">
        <v>205</v>
      </c>
      <c r="D121" s="22" t="s">
        <v>286</v>
      </c>
      <c r="E121" s="13">
        <v>42729.704212962963</v>
      </c>
      <c r="F121" s="13">
        <v>42729.708495370367</v>
      </c>
      <c r="G121" s="7">
        <v>1</v>
      </c>
      <c r="H121" s="22" t="s">
        <v>321</v>
      </c>
      <c r="I121" s="13">
        <v>42729.733020833337</v>
      </c>
      <c r="J121" s="7">
        <v>0</v>
      </c>
      <c r="K121" s="109" t="str">
        <f t="shared" si="19"/>
        <v>4027/4028</v>
      </c>
      <c r="L121" s="22" t="str">
        <f>VLOOKUP(A121,'Trips&amp;Operators'!$C$1:$G$99999,5,FALSE)</f>
        <v>BRUDER RICHARD</v>
      </c>
      <c r="M121" s="6">
        <f t="shared" si="20"/>
        <v>2.4525462969904765E-2</v>
      </c>
      <c r="N121" s="7">
        <f t="shared" si="21"/>
        <v>35.316666676662862</v>
      </c>
      <c r="O121" s="7"/>
      <c r="P121" s="7"/>
      <c r="Q121" s="23"/>
      <c r="R121" s="23"/>
      <c r="S121" s="35">
        <f t="shared" si="22"/>
        <v>1</v>
      </c>
      <c r="T121" s="50" t="str">
        <f t="shared" si="23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15:54:04-700',mode:absolute,to:'2016-12-25 18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21" s="52" t="str">
        <f t="shared" si="25"/>
        <v>N</v>
      </c>
      <c r="X121" s="177">
        <f t="shared" si="26"/>
        <v>1</v>
      </c>
      <c r="Y121" s="67">
        <f t="shared" si="27"/>
        <v>4.4200000000000003E-2</v>
      </c>
      <c r="Z121" s="67">
        <f t="shared" si="28"/>
        <v>23.331199999999999</v>
      </c>
      <c r="AA121" s="67">
        <f t="shared" si="29"/>
        <v>23.286999999999999</v>
      </c>
      <c r="AB121" s="64" t="e">
        <f>VLOOKUP(A121,Enforcements!$C$7:$K$19,8,0)</f>
        <v>#N/A</v>
      </c>
      <c r="AC121" s="60" t="e">
        <f>VLOOKUP(A121,Enforcements!$C$7:$E$19,3,0)</f>
        <v>#N/A</v>
      </c>
      <c r="AD121" s="61" t="str">
        <f t="shared" si="30"/>
        <v>0207-25</v>
      </c>
      <c r="AE121" s="91" t="str">
        <f t="shared" si="31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121" s="88" t="str">
        <f t="shared" si="32"/>
        <v>"C:\Program Files (x86)\AstroGrep\AstroGrep.exe" /spath="%USERPROFILE%\AppData\Local\Temp\OnboardLogs" /stypes="app*4027*20161226*" /stext=" 00:.+((SYSTEM_STATE.+slice.+state.+changed )|(ment ac)|(multiple cpu faults)|(system.+state.+changed )|(\[timeout)|(PRM\|1\|D)|(kpr)|(kdp)|(\|lc)|(penalty))" /e /r /s</v>
      </c>
      <c r="AG121" s="1" t="str">
        <f t="shared" si="33"/>
        <v>EC</v>
      </c>
      <c r="AH121" s="92" t="str">
        <f t="shared" si="34"/>
        <v>"%USERPROFILE%\Documents\GitHub\eaglep3\Utilities\RefineRTDCRunTimes.py" --tripid 207-25 --locoid 4027 --swversion DE.1.0.8.0 --startMP 204:442 --initTime 2016-12-25T16:54:04 --startdatetime 2016-12-25T17:00:14 --delay 1 --endMP 204:233312 --enddatetime 2016-12-25T17:35:33 --enforcementcount 0 &gt;&gt;C:\Users\stu\Documents\GitHub\eaglep3-reporting\EC\2016-12-25-refined-times.txt</v>
      </c>
      <c r="AI12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{"issue":{"subject":"","project_id":79,"tracker_id":40,"status_id":1,"priority_id":2,"assigned_to_id":23,"start_date":"2016-12-25","description":"","custom_fields":[{"id":1,"name":"Subdivision","value":"EC"},{"id":4,"name":"Milepost","value":"23.3312"},{"id":17,"name":"Train ID","value":"207-25"},{"id":16,"name":"Locomotive ID","value":"4027"},{"id":130,"name":"Impact","value":""},{"id":150,"name":"Time of Event (Mountain Time)","value":"17:35:33"},{"id":151,"name":"Denver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616</v>
      </c>
      <c r="B122" s="7">
        <v>4028</v>
      </c>
      <c r="C122" s="22" t="s">
        <v>205</v>
      </c>
      <c r="D122" s="22" t="s">
        <v>270</v>
      </c>
      <c r="E122" s="13">
        <v>42729.73877314815</v>
      </c>
      <c r="F122" s="13">
        <v>42729.747453703705</v>
      </c>
      <c r="G122" s="7">
        <v>1</v>
      </c>
      <c r="H122" s="22" t="s">
        <v>731</v>
      </c>
      <c r="I122" s="13">
        <v>42729.774560185186</v>
      </c>
      <c r="J122" s="7">
        <v>0</v>
      </c>
      <c r="K122" s="109" t="str">
        <f t="shared" si="19"/>
        <v>4027/4028</v>
      </c>
      <c r="L122" s="22" t="str">
        <f>VLOOKUP(A122,'Trips&amp;Operators'!$C$1:$G$99999,5,FALSE)</f>
        <v>BRUDER RICHARD</v>
      </c>
      <c r="M122" s="6">
        <f t="shared" si="20"/>
        <v>2.7106481480586808E-2</v>
      </c>
      <c r="N122" s="7">
        <f t="shared" si="21"/>
        <v>39.033333332045004</v>
      </c>
      <c r="O122" s="7"/>
      <c r="P122" s="7"/>
      <c r="Q122" s="23"/>
      <c r="R122" s="23"/>
      <c r="S122" s="35">
        <f t="shared" si="22"/>
        <v>1</v>
      </c>
      <c r="T122" s="50" t="str">
        <f t="shared" si="23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16:43:50-700',mode:absolute,to:'2016-12-25 19:35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122" s="52" t="str">
        <f t="shared" si="25"/>
        <v>N</v>
      </c>
      <c r="X122" s="177">
        <f t="shared" si="26"/>
        <v>1</v>
      </c>
      <c r="Y122" s="67">
        <f t="shared" si="27"/>
        <v>23.299299999999999</v>
      </c>
      <c r="Z122" s="67">
        <f t="shared" si="28"/>
        <v>8.8000000000000005E-3</v>
      </c>
      <c r="AA122" s="67">
        <f t="shared" si="29"/>
        <v>23.290499999999998</v>
      </c>
      <c r="AB122" s="64" t="e">
        <f>VLOOKUP(A122,Enforcements!$C$7:$K$19,8,0)</f>
        <v>#N/A</v>
      </c>
      <c r="AC122" s="60" t="e">
        <f>VLOOKUP(A122,Enforcements!$C$7:$E$19,3,0)</f>
        <v>#N/A</v>
      </c>
      <c r="AD122" s="61" t="str">
        <f t="shared" si="30"/>
        <v>0208-25</v>
      </c>
      <c r="AE122" s="91" t="str">
        <f t="shared" si="31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122" s="88" t="str">
        <f t="shared" si="32"/>
        <v>"C:\Program Files (x86)\AstroGrep\AstroGrep.exe" /spath="%USERPROFILE%\AppData\Local\Temp\OnboardLogs" /stypes="app*4028*20161226*" /stext=" 01:.+((SYSTEM_STATE.+slice.+state.+changed )|(ment ac)|(multiple cpu faults)|(system.+state.+changed )|(\[timeout)|(PRM\|1\|D)|(kpr)|(kdp)|(\|lc)|(penalty))" /e /r /s</v>
      </c>
      <c r="AG122" s="1" t="str">
        <f t="shared" si="33"/>
        <v>EC</v>
      </c>
      <c r="AH122" s="92" t="str">
        <f t="shared" si="34"/>
        <v>"%USERPROFILE%\Documents\GitHub\eaglep3\Utilities\RefineRTDCRunTimes.py" --tripid 208-25 --locoid 4028 --swversion DE.1.0.8.0 --startMP 204:232993 --initTime 2016-12-25T17:43:50 --startdatetime 2016-12-25T17:56:20 --delay 1 --endMP 204:88 --enddatetime 2016-12-25T18:35:22 --enforcementcount 0 &gt;&gt;C:\Users\stu\Documents\GitHub\eaglep3-reporting\EC\2016-12-25-refined-times.txt</v>
      </c>
      <c r="AI12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{"issue":{"subject":"","project_id":79,"tracker_id":40,"status_id":1,"priority_id":2,"assigned_to_id":23,"start_date":"2016-12-25","description":"","custom_fields":[{"id":1,"name":"Subdivision","value":"EC"},{"id":4,"name":"Milepost","value":"0.0088"},{"id":17,"name":"Train ID","value":"208-25"},{"id":16,"name":"Locomotive ID","value":"4028"},{"id":130,"name":"Impact","value":""},{"id":150,"name":"Time of Event (Mountain Time)","value":"18:35:22"},{"id":151,"name":"Denver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607</v>
      </c>
      <c r="B123" s="7">
        <v>4009</v>
      </c>
      <c r="C123" s="22" t="s">
        <v>205</v>
      </c>
      <c r="D123" s="22" t="s">
        <v>269</v>
      </c>
      <c r="E123" s="13">
        <v>42729.717349537037</v>
      </c>
      <c r="F123" s="13">
        <v>42729.719050925924</v>
      </c>
      <c r="G123" s="7">
        <v>1</v>
      </c>
      <c r="H123" s="22" t="s">
        <v>420</v>
      </c>
      <c r="I123" s="13">
        <v>42729.743842592594</v>
      </c>
      <c r="J123" s="7">
        <v>0</v>
      </c>
      <c r="K123" s="109" t="str">
        <f t="shared" si="19"/>
        <v>4009/4010</v>
      </c>
      <c r="L123" s="22" t="str">
        <f>VLOOKUP(A123,'Trips&amp;Operators'!$C$1:$G$99999,5,FALSE)</f>
        <v>CHANDLER KELVIN</v>
      </c>
      <c r="M123" s="6">
        <f t="shared" si="20"/>
        <v>2.4791666670353152E-2</v>
      </c>
      <c r="N123" s="7">
        <f t="shared" si="21"/>
        <v>35.700000005308539</v>
      </c>
      <c r="O123" s="7"/>
      <c r="P123" s="7"/>
      <c r="Q123" s="23"/>
      <c r="R123" s="23"/>
      <c r="S123" s="35">
        <f t="shared" si="22"/>
        <v>1</v>
      </c>
      <c r="T123" s="50" t="str">
        <f t="shared" si="23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16:12:59-700',mode:absolute,to:'2016-12-25 18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3" s="52" t="str">
        <f t="shared" si="25"/>
        <v>N</v>
      </c>
      <c r="X123" s="177">
        <f t="shared" si="26"/>
        <v>1</v>
      </c>
      <c r="Y123" s="67">
        <f t="shared" si="27"/>
        <v>4.6199999999999998E-2</v>
      </c>
      <c r="Z123" s="67">
        <f t="shared" si="28"/>
        <v>23.327999999999999</v>
      </c>
      <c r="AA123" s="67">
        <f t="shared" si="29"/>
        <v>23.2818</v>
      </c>
      <c r="AB123" s="64" t="e">
        <f>VLOOKUP(A123,Enforcements!$C$7:$K$19,8,0)</f>
        <v>#N/A</v>
      </c>
      <c r="AC123" s="60" t="e">
        <f>VLOOKUP(A123,Enforcements!$C$7:$E$19,3,0)</f>
        <v>#N/A</v>
      </c>
      <c r="AD123" s="61" t="str">
        <f t="shared" si="30"/>
        <v>0209-25</v>
      </c>
      <c r="AE123" s="91" t="str">
        <f t="shared" si="31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23" s="88" t="str">
        <f t="shared" si="32"/>
        <v>"C:\Program Files (x86)\AstroGrep\AstroGrep.exe" /spath="%USERPROFILE%\AppData\Local\Temp\OnboardLogs" /stypes="app*4009*20161226*" /stext=" 00:.+((SYSTEM_STATE.+slice.+state.+changed )|(ment ac)|(multiple cpu faults)|(system.+state.+changed )|(\[timeout)|(PRM\|1\|D)|(kpr)|(kdp)|(\|lc)|(penalty))" /e /r /s</v>
      </c>
      <c r="AG123" s="1" t="str">
        <f t="shared" si="33"/>
        <v>EC</v>
      </c>
      <c r="AH123" s="92" t="str">
        <f t="shared" si="34"/>
        <v>"%USERPROFILE%\Documents\GitHub\eaglep3\Utilities\RefineRTDCRunTimes.py" --tripid 209-25 --locoid 4009 --swversion DE.1.0.8.0 --startMP 204:462 --initTime 2016-12-25T17:12:59 --startdatetime 2016-12-25T17:15:26 --delay 1 --endMP 204:233280 --enddatetime 2016-12-25T17:51:08 --enforcementcount 0 &gt;&gt;C:\Users\stu\Documents\GitHub\eaglep3-reporting\EC\2016-12-25-refined-times.txt</v>
      </c>
      <c r="AI12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{"issue":{"subject":"","project_id":79,"tracker_id":40,"status_id":1,"priority_id":2,"assigned_to_id":23,"start_date":"2016-12-25","description":"","custom_fields":[{"id":1,"name":"Subdivision","value":"EC"},{"id":4,"name":"Milepost","value":"23.328"},{"id":17,"name":"Train ID","value":"209-25"},{"id":16,"name":"Locomotive ID","value":"4009"},{"id":130,"name":"Impact","value":""},{"id":150,"name":"Time of Event (Mountain Time)","value":"17:51:08"},{"id":151,"name":"Denver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452</v>
      </c>
      <c r="B124" s="7">
        <v>4010</v>
      </c>
      <c r="C124" s="22" t="s">
        <v>205</v>
      </c>
      <c r="D124" s="22" t="s">
        <v>289</v>
      </c>
      <c r="E124" s="13">
        <v>42729.756608796299</v>
      </c>
      <c r="F124" s="13">
        <v>42729.758125</v>
      </c>
      <c r="G124" s="7">
        <v>1</v>
      </c>
      <c r="H124" s="22" t="s">
        <v>692</v>
      </c>
      <c r="I124" s="13">
        <v>42729.786365740743</v>
      </c>
      <c r="J124" s="7">
        <v>0</v>
      </c>
      <c r="K124" s="109" t="str">
        <f t="shared" si="19"/>
        <v>4009/4010</v>
      </c>
      <c r="L124" s="22" t="str">
        <f>VLOOKUP(A124,'Trips&amp;Operators'!$C$1:$G$99999,5,FALSE)</f>
        <v>CHANDLER KELVIN</v>
      </c>
      <c r="M124" s="6">
        <f t="shared" si="20"/>
        <v>2.8240740743058268E-2</v>
      </c>
      <c r="N124" s="7">
        <f t="shared" si="21"/>
        <v>40.666666670003906</v>
      </c>
      <c r="O124" s="7"/>
      <c r="P124" s="7"/>
      <c r="Q124" s="23"/>
      <c r="R124" s="23"/>
      <c r="S124" s="35">
        <f t="shared" si="22"/>
        <v>1</v>
      </c>
      <c r="T124" s="50" t="str">
        <f t="shared" si="23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17:09:31-700',mode:absolute,to:'2016-12-25 19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4" s="52" t="str">
        <f t="shared" si="25"/>
        <v>N</v>
      </c>
      <c r="X124" s="177">
        <f t="shared" si="26"/>
        <v>1</v>
      </c>
      <c r="Y124" s="67">
        <f t="shared" si="27"/>
        <v>23.2973</v>
      </c>
      <c r="Z124" s="67">
        <f t="shared" si="28"/>
        <v>1.72E-2</v>
      </c>
      <c r="AA124" s="67">
        <f t="shared" si="29"/>
        <v>23.280100000000001</v>
      </c>
      <c r="AB124" s="64" t="str">
        <f>VLOOKUP(A124,Enforcements!$C$7:$K$19,8,0)</f>
        <v>Speed (6)</v>
      </c>
      <c r="AC124" s="60" t="str">
        <f>VLOOKUP(A124,Enforcements!$C$7:$E$19,3,0)</f>
        <v>PERMANENT SPEED RESTRICTION</v>
      </c>
      <c r="AD124" s="61" t="str">
        <f t="shared" si="30"/>
        <v>0210-25</v>
      </c>
      <c r="AE124" s="91" t="str">
        <f t="shared" si="31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124" s="88" t="str">
        <f t="shared" si="32"/>
        <v>"C:\Program Files (x86)\AstroGrep\AstroGrep.exe" /spath="%USERPROFILE%\AppData\Local\Temp\OnboardLogs" /stypes="app*4010*20161226*" /stext=" 01:.+((SYSTEM_STATE.+slice.+state.+changed )|(ment ac)|(multiple cpu faults)|(system.+state.+changed )|(\[timeout)|(PRM\|1\|D)|(kpr)|(kdp)|(\|lc)|(penalty))" /e /r /s</v>
      </c>
      <c r="AG124" s="1" t="str">
        <f t="shared" si="33"/>
        <v>EC</v>
      </c>
      <c r="AH124" s="92" t="str">
        <f t="shared" si="34"/>
        <v>"%USERPROFILE%\Documents\GitHub\eaglep3\Utilities\RefineRTDCRunTimes.py" --tripid 210-25 --locoid 4010 --swversion DE.1.0.8.0 --startMP 204:232973 --initTime 2016-12-25T18:09:31 --startdatetime 2016-12-25T18:11:42 --delay 1 --endMP 204:172 --enddatetime 2016-12-25T18:52:22 --enforcementcount 0 &gt;&gt;C:\Users\stu\Documents\GitHub\eaglep3-reporting\EC\2016-12-25-refined-times.txt</v>
      </c>
      <c r="AI12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{"issue":{"subject":"","project_id":79,"tracker_id":40,"status_id":1,"priority_id":2,"assigned_to_id":23,"start_date":"2016-12-25","description":"","custom_fields":[{"id":1,"name":"Subdivision","value":"EC"},{"id":4,"name":"Milepost","value":"0.0172"},{"id":17,"name":"Train ID","value":"210-25"},{"id":16,"name":"Locomotive ID","value":"4010"},{"id":130,"name":"Impact","value":""},{"id":150,"name":"Time of Event (Mountain Time)","value":"18:52:22"},{"id":151,"name":"Denver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610</v>
      </c>
      <c r="B125" s="7">
        <v>4025</v>
      </c>
      <c r="C125" s="22" t="s">
        <v>205</v>
      </c>
      <c r="D125" s="22" t="s">
        <v>269</v>
      </c>
      <c r="E125" s="13">
        <v>42729.723576388889</v>
      </c>
      <c r="F125" s="13">
        <v>42729.729351851849</v>
      </c>
      <c r="G125" s="7">
        <v>1</v>
      </c>
      <c r="H125" s="22" t="s">
        <v>415</v>
      </c>
      <c r="I125" s="13">
        <v>42729.754583333335</v>
      </c>
      <c r="J125" s="7">
        <v>0</v>
      </c>
      <c r="K125" s="109" t="str">
        <f t="shared" si="19"/>
        <v>4025/4026</v>
      </c>
      <c r="L125" s="22" t="str">
        <f>VLOOKUP(A125,'Trips&amp;Operators'!$C$1:$G$99999,5,FALSE)</f>
        <v>CRAYTON QUNTRELL</v>
      </c>
      <c r="M125" s="6">
        <f t="shared" si="20"/>
        <v>2.5231481486116536E-2</v>
      </c>
      <c r="N125" s="7">
        <f t="shared" si="21"/>
        <v>36.333333340007812</v>
      </c>
      <c r="O125" s="7"/>
      <c r="P125" s="7"/>
      <c r="Q125" s="23"/>
      <c r="R125" s="23"/>
      <c r="S125" s="35">
        <f t="shared" si="22"/>
        <v>1</v>
      </c>
      <c r="T125" s="50" t="str">
        <f t="shared" si="23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16:21:57-700',mode:absolute,to:'2016-12-25 19:06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25" s="52" t="str">
        <f t="shared" si="25"/>
        <v>N</v>
      </c>
      <c r="X125" s="177">
        <f t="shared" si="26"/>
        <v>1</v>
      </c>
      <c r="Y125" s="67">
        <f t="shared" si="27"/>
        <v>4.6199999999999998E-2</v>
      </c>
      <c r="Z125" s="67">
        <f t="shared" si="28"/>
        <v>23.3291</v>
      </c>
      <c r="AA125" s="67">
        <f t="shared" si="29"/>
        <v>23.282900000000001</v>
      </c>
      <c r="AB125" s="64" t="e">
        <f>VLOOKUP(A125,Enforcements!$C$7:$K$19,8,0)</f>
        <v>#N/A</v>
      </c>
      <c r="AC125" s="60" t="e">
        <f>VLOOKUP(A125,Enforcements!$C$7:$E$19,3,0)</f>
        <v>#N/A</v>
      </c>
      <c r="AD125" s="61" t="str">
        <f t="shared" si="30"/>
        <v>0211-25</v>
      </c>
      <c r="AE125" s="91" t="str">
        <f t="shared" si="31"/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AF125" s="88" t="str">
        <f t="shared" si="32"/>
        <v>"C:\Program Files (x86)\AstroGrep\AstroGrep.exe" /spath="%USERPROFILE%\AppData\Local\Temp\OnboardLogs" /stypes="app*4025*20161226*" /stext=" 01:.+((SYSTEM_STATE.+slice.+state.+changed )|(ment ac)|(multiple cpu faults)|(system.+state.+changed )|(\[timeout)|(PRM\|1\|D)|(kpr)|(kdp)|(\|lc)|(penalty))" /e /r /s</v>
      </c>
      <c r="AG125" s="1" t="str">
        <f t="shared" si="33"/>
        <v>EC</v>
      </c>
      <c r="AH125" s="92" t="str">
        <f t="shared" si="34"/>
        <v>"%USERPROFILE%\Documents\GitHub\eaglep3\Utilities\RefineRTDCRunTimes.py" --tripid 211-25 --locoid 4025 --swversion DE.1.0.8.0 --startMP 204:462 --initTime 2016-12-25T17:21:57 --startdatetime 2016-12-25T17:30:16 --delay 1 --endMP 204:233291 --enddatetime 2016-12-25T18:06:36 --enforcementcount 0 &gt;&gt;C:\Users\stu\Documents\GitHub\eaglep3-reporting\EC\2016-12-25-refined-times.txt</v>
      </c>
      <c r="AI12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{"issue":{"subject":"","project_id":79,"tracker_id":40,"status_id":1,"priority_id":2,"assigned_to_id":23,"start_date":"2016-12-25","description":"","custom_fields":[{"id":1,"name":"Subdivision","value":"EC"},{"id":4,"name":"Milepost","value":"23.3291"},{"id":17,"name":"Train ID","value":"211-25"},{"id":16,"name":"Locomotive ID","value":"4025"},{"id":130,"name":"Impact","value":""},{"id":150,"name":"Time of Event (Mountain Time)","value":"18:06:36"},{"id":151,"name":"Denver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621</v>
      </c>
      <c r="B126" s="7">
        <v>4026</v>
      </c>
      <c r="C126" s="22" t="s">
        <v>205</v>
      </c>
      <c r="D126" s="22" t="s">
        <v>416</v>
      </c>
      <c r="E126" s="13">
        <v>42729.763738425929</v>
      </c>
      <c r="F126" s="13">
        <v>42729.768495370372</v>
      </c>
      <c r="G126" s="7">
        <v>1</v>
      </c>
      <c r="H126" s="22" t="s">
        <v>732</v>
      </c>
      <c r="I126" s="13">
        <v>42729.795439814814</v>
      </c>
      <c r="J126" s="7">
        <v>0</v>
      </c>
      <c r="K126" s="109" t="str">
        <f t="shared" si="19"/>
        <v>4025/4026</v>
      </c>
      <c r="L126" s="22" t="str">
        <f>VLOOKUP(A126,'Trips&amp;Operators'!$C$1:$G$99999,5,FALSE)</f>
        <v>CRAYTON QUNTRELL</v>
      </c>
      <c r="M126" s="6">
        <f t="shared" si="20"/>
        <v>2.6944444442051463E-2</v>
      </c>
      <c r="N126" s="7">
        <f t="shared" si="21"/>
        <v>38.799999996554106</v>
      </c>
      <c r="O126" s="7"/>
      <c r="P126" s="7"/>
      <c r="Q126" s="23"/>
      <c r="R126" s="23"/>
      <c r="S126" s="35">
        <f t="shared" si="22"/>
        <v>1</v>
      </c>
      <c r="T126" s="50" t="str">
        <f t="shared" si="23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17:19:47-700',mode:absolute,to:'2016-12-25 20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26" s="52" t="str">
        <f t="shared" si="25"/>
        <v>N</v>
      </c>
      <c r="X126" s="177">
        <f t="shared" si="26"/>
        <v>1</v>
      </c>
      <c r="Y126" s="67">
        <f t="shared" si="27"/>
        <v>23.297599999999999</v>
      </c>
      <c r="Z126" s="67">
        <f t="shared" si="28"/>
        <v>1.5299999999999999E-2</v>
      </c>
      <c r="AA126" s="67">
        <f t="shared" si="29"/>
        <v>23.282299999999999</v>
      </c>
      <c r="AB126" s="64" t="e">
        <f>VLOOKUP(A126,Enforcements!$C$7:$K$19,8,0)</f>
        <v>#N/A</v>
      </c>
      <c r="AC126" s="60" t="e">
        <f>VLOOKUP(A126,Enforcements!$C$7:$E$19,3,0)</f>
        <v>#N/A</v>
      </c>
      <c r="AD126" s="61" t="str">
        <f t="shared" si="30"/>
        <v>0212-25</v>
      </c>
      <c r="AE126" s="91" t="str">
        <f t="shared" si="31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126" s="88" t="str">
        <f t="shared" si="32"/>
        <v>"C:\Program Files (x86)\AstroGrep\AstroGrep.exe" /spath="%USERPROFILE%\AppData\Local\Temp\OnboardLogs" /stypes="app*4026*20161226*" /stext=" 02:.+((SYSTEM_STATE.+slice.+state.+changed )|(ment ac)|(multiple cpu faults)|(system.+state.+changed )|(\[timeout)|(PRM\|1\|D)|(kpr)|(kdp)|(\|lc)|(penalty))" /e /r /s</v>
      </c>
      <c r="AG126" s="1" t="str">
        <f t="shared" si="33"/>
        <v>EC</v>
      </c>
      <c r="AH126" s="92" t="str">
        <f t="shared" si="34"/>
        <v>"%USERPROFILE%\Documents\GitHub\eaglep3\Utilities\RefineRTDCRunTimes.py" --tripid 212-25 --locoid 4026 --swversion DE.1.0.8.0 --startMP 204:232976 --initTime 2016-12-25T18:19:47 --startdatetime 2016-12-25T18:26:38 --delay 1 --endMP 204:153 --enddatetime 2016-12-25T19:05:26 --enforcementcount 0 &gt;&gt;C:\Users\stu\Documents\GitHub\eaglep3-reporting\EC\2016-12-25-refined-times.txt</v>
      </c>
      <c r="AI12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{"issue":{"subject":"","project_id":79,"tracker_id":40,"status_id":1,"priority_id":2,"assigned_to_id":23,"start_date":"2016-12-25","description":"","custom_fields":[{"id":1,"name":"Subdivision","value":"EC"},{"id":4,"name":"Milepost","value":"0.0153"},{"id":17,"name":"Train ID","value":"212-25"},{"id":16,"name":"Locomotive ID","value":"4026"},{"id":130,"name":"Impact","value":""},{"id":150,"name":"Time of Event (Mountain Time)","value":"19:05:26"},{"id":151,"name":"Denver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615</v>
      </c>
      <c r="B127" s="7">
        <v>4042</v>
      </c>
      <c r="C127" s="22" t="s">
        <v>205</v>
      </c>
      <c r="D127" s="22" t="s">
        <v>194</v>
      </c>
      <c r="E127" s="13">
        <v>42729.736493055556</v>
      </c>
      <c r="F127" s="13">
        <v>42729.739745370367</v>
      </c>
      <c r="G127" s="7">
        <v>1</v>
      </c>
      <c r="H127" s="22" t="s">
        <v>733</v>
      </c>
      <c r="I127" s="13">
        <v>42729.763877314814</v>
      </c>
      <c r="J127" s="7">
        <v>0</v>
      </c>
      <c r="K127" s="109" t="str">
        <f t="shared" si="19"/>
        <v>4041/4042</v>
      </c>
      <c r="L127" s="22" t="str">
        <f>VLOOKUP(A127,'Trips&amp;Operators'!$C$1:$G$99999,5,FALSE)</f>
        <v>NEWELL JAMES</v>
      </c>
      <c r="M127" s="6">
        <f t="shared" si="20"/>
        <v>2.4131944446708076E-2</v>
      </c>
      <c r="N127" s="7">
        <f t="shared" si="21"/>
        <v>34.750000003259629</v>
      </c>
      <c r="O127" s="7"/>
      <c r="P127" s="7"/>
      <c r="Q127" s="23"/>
      <c r="R127" s="23"/>
      <c r="S127" s="35">
        <f t="shared" si="22"/>
        <v>1</v>
      </c>
      <c r="T127" s="50" t="str">
        <f t="shared" si="23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16:40:33-700',mode:absolute,to:'2016-12-25 19:19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7" s="52" t="str">
        <f t="shared" si="25"/>
        <v>N</v>
      </c>
      <c r="X127" s="177">
        <f t="shared" si="26"/>
        <v>1</v>
      </c>
      <c r="Y127" s="67">
        <f t="shared" si="27"/>
        <v>4.5100000000000001E-2</v>
      </c>
      <c r="Z127" s="67">
        <f t="shared" si="28"/>
        <v>23.328600000000002</v>
      </c>
      <c r="AA127" s="67">
        <f t="shared" si="29"/>
        <v>23.2835</v>
      </c>
      <c r="AB127" s="64" t="e">
        <f>VLOOKUP(A127,Enforcements!$C$7:$K$19,8,0)</f>
        <v>#N/A</v>
      </c>
      <c r="AC127" s="60" t="e">
        <f>VLOOKUP(A127,Enforcements!$C$7:$E$19,3,0)</f>
        <v>#N/A</v>
      </c>
      <c r="AD127" s="61" t="str">
        <f t="shared" si="30"/>
        <v>0213-25</v>
      </c>
      <c r="AE127" s="91" t="str">
        <f t="shared" si="31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27" s="88" t="str">
        <f t="shared" si="32"/>
        <v>"C:\Program Files (x86)\AstroGrep\AstroGrep.exe" /spath="%USERPROFILE%\AppData\Local\Temp\OnboardLogs" /stypes="app*4042*20161226*" /stext=" 01:.+((SYSTEM_STATE.+slice.+state.+changed )|(ment ac)|(multiple cpu faults)|(system.+state.+changed )|(\[timeout)|(PRM\|1\|D)|(kpr)|(kdp)|(\|lc)|(penalty))" /e /r /s</v>
      </c>
      <c r="AG127" s="1" t="str">
        <f t="shared" si="33"/>
        <v>EC</v>
      </c>
      <c r="AH127" s="92" t="str">
        <f t="shared" si="34"/>
        <v>"%USERPROFILE%\Documents\GitHub\eaglep3\Utilities\RefineRTDCRunTimes.py" --tripid 213-25 --locoid 4042 --swversion DE.1.0.8.0 --startMP 204:451 --initTime 2016-12-25T17:40:33 --startdatetime 2016-12-25T17:45:14 --delay 1 --endMP 204:233286 --enddatetime 2016-12-25T18:19:59 --enforcementcount 0 &gt;&gt;C:\Users\stu\Documents\GitHub\eaglep3-reporting\EC\2016-12-25-refined-times.txt</v>
      </c>
      <c r="AI127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{"issue":{"subject":"","project_id":79,"tracker_id":40,"status_id":1,"priority_id":2,"assigned_to_id":23,"start_date":"2016-12-25","description":"","custom_fields":[{"id":1,"name":"Subdivision","value":"EC"},{"id":4,"name":"Milepost","value":"23.3286"},{"id":17,"name":"Train ID","value":"213-25"},{"id":16,"name":"Locomotive ID","value":"4042"},{"id":130,"name":"Impact","value":""},{"id":150,"name":"Time of Event (Mountain Time)","value":"18:19:59"},{"id":151,"name":"Denver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1" customFormat="1" x14ac:dyDescent="0.25">
      <c r="A128" s="37" t="s">
        <v>623</v>
      </c>
      <c r="B128" s="7">
        <v>4041</v>
      </c>
      <c r="C128" s="22" t="s">
        <v>205</v>
      </c>
      <c r="D128" s="22" t="s">
        <v>330</v>
      </c>
      <c r="E128" s="13">
        <v>42729.772997685184</v>
      </c>
      <c r="F128" s="13">
        <v>42729.778634259259</v>
      </c>
      <c r="G128" s="7">
        <v>1</v>
      </c>
      <c r="H128" s="22" t="s">
        <v>423</v>
      </c>
      <c r="I128" s="13">
        <v>42729.804814814815</v>
      </c>
      <c r="J128" s="7">
        <v>0</v>
      </c>
      <c r="K128" s="109" t="str">
        <f t="shared" si="19"/>
        <v>4041/4042</v>
      </c>
      <c r="L128" s="22" t="str">
        <f>VLOOKUP(A128,'Trips&amp;Operators'!$C$1:$G$99999,5,FALSE)</f>
        <v>NEWELL JAMES</v>
      </c>
      <c r="M128" s="6">
        <f t="shared" si="20"/>
        <v>2.6180555556493346E-2</v>
      </c>
      <c r="N128" s="7">
        <f t="shared" si="21"/>
        <v>37.700000001350418</v>
      </c>
      <c r="O128" s="7"/>
      <c r="P128" s="7"/>
      <c r="Q128" s="23"/>
      <c r="R128" s="23"/>
      <c r="S128" s="35">
        <f t="shared" si="22"/>
        <v>1</v>
      </c>
      <c r="T128" s="50" t="str">
        <f t="shared" si="23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17:33:07-700',mode:absolute,to:'2016-12-25 20:18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28" s="52" t="str">
        <f t="shared" si="25"/>
        <v>N</v>
      </c>
      <c r="X128" s="177">
        <f t="shared" si="26"/>
        <v>1</v>
      </c>
      <c r="Y128" s="67">
        <f t="shared" si="27"/>
        <v>23.296900000000001</v>
      </c>
      <c r="Z128" s="67">
        <f t="shared" si="28"/>
        <v>1.2699999999999999E-2</v>
      </c>
      <c r="AA128" s="67">
        <f t="shared" si="29"/>
        <v>23.284200000000002</v>
      </c>
      <c r="AB128" s="64" t="e">
        <f>VLOOKUP(A128,Enforcements!$C$7:$K$19,8,0)</f>
        <v>#N/A</v>
      </c>
      <c r="AC128" s="60" t="e">
        <f>VLOOKUP(A128,Enforcements!$C$7:$E$19,3,0)</f>
        <v>#N/A</v>
      </c>
      <c r="AD128" s="61" t="str">
        <f t="shared" si="30"/>
        <v>0214-25</v>
      </c>
      <c r="AE128" s="91" t="str">
        <f t="shared" si="31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128" s="88" t="str">
        <f t="shared" si="32"/>
        <v>"C:\Program Files (x86)\AstroGrep\AstroGrep.exe" /spath="%USERPROFILE%\AppData\Local\Temp\OnboardLogs" /stypes="app*4041*20161226*" /stext=" 02:.+((SYSTEM_STATE.+slice.+state.+changed )|(ment ac)|(multiple cpu faults)|(system.+state.+changed )|(\[timeout)|(PRM\|1\|D)|(kpr)|(kdp)|(\|lc)|(penalty))" /e /r /s</v>
      </c>
      <c r="AG128" s="1" t="str">
        <f t="shared" si="33"/>
        <v>EC</v>
      </c>
      <c r="AH128" s="92" t="str">
        <f t="shared" si="34"/>
        <v>"%USERPROFILE%\Documents\GitHub\eaglep3\Utilities\RefineRTDCRunTimes.py" --tripid 214-25 --locoid 4041 --swversion DE.1.0.8.0 --startMP 204:232969 --initTime 2016-12-25T18:33:07 --startdatetime 2016-12-25T18:41:14 --delay 1 --endMP 204:127 --enddatetime 2016-12-25T19:18:56 --enforcementcount 0 &gt;&gt;C:\Users\stu\Documents\GitHub\eaglep3-reporting\EC\2016-12-25-refined-times.txt</v>
      </c>
      <c r="AI12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{"issue":{"subject":"","project_id":79,"tracker_id":40,"status_id":1,"priority_id":2,"assigned_to_id":23,"start_date":"2016-12-25","description":"","custom_fields":[{"id":1,"name":"Subdivision","value":"EC"},{"id":4,"name":"Milepost","value":"0.0127"},{"id":17,"name":"Train ID","value":"214-25"},{"id":16,"name":"Locomotive ID","value":"4041"},{"id":130,"name":"Impact","value":""},{"id":150,"name":"Time of Event (Mountain Time)","value":"19:18:56"},{"id":151,"name":"Denver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617</v>
      </c>
      <c r="B129" s="7">
        <v>4031</v>
      </c>
      <c r="C129" s="22" t="s">
        <v>205</v>
      </c>
      <c r="D129" s="22" t="s">
        <v>734</v>
      </c>
      <c r="E129" s="13">
        <v>42729.745752314811</v>
      </c>
      <c r="F129" s="13">
        <v>42729.750231481485</v>
      </c>
      <c r="G129" s="7">
        <v>1</v>
      </c>
      <c r="H129" s="22" t="s">
        <v>317</v>
      </c>
      <c r="I129" s="13">
        <v>42729.775925925926</v>
      </c>
      <c r="J129" s="7">
        <v>0</v>
      </c>
      <c r="K129" s="109" t="str">
        <f t="shared" si="19"/>
        <v>4031/4032</v>
      </c>
      <c r="L129" s="22" t="str">
        <f>VLOOKUP(A129,'Trips&amp;Operators'!$C$1:$G$99999,5,FALSE)</f>
        <v>KILLION DAVID</v>
      </c>
      <c r="M129" s="6">
        <f t="shared" si="20"/>
        <v>2.569444444088731E-2</v>
      </c>
      <c r="N129" s="7">
        <f t="shared" si="21"/>
        <v>36.999999994877726</v>
      </c>
      <c r="O129" s="7"/>
      <c r="P129" s="7"/>
      <c r="Q129" s="23"/>
      <c r="R129" s="23"/>
      <c r="S129" s="35">
        <f t="shared" si="22"/>
        <v>1</v>
      </c>
      <c r="T129" s="50" t="str">
        <f t="shared" si="23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16:53:53-700',mode:absolute,to:'2016-12-25 19:37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29" s="52" t="str">
        <f t="shared" si="25"/>
        <v>N</v>
      </c>
      <c r="X129" s="177">
        <f t="shared" si="26"/>
        <v>1</v>
      </c>
      <c r="Y129" s="67">
        <f t="shared" si="27"/>
        <v>4.8399999999999999E-2</v>
      </c>
      <c r="Z129" s="67">
        <f t="shared" si="28"/>
        <v>23.329699999999999</v>
      </c>
      <c r="AA129" s="67">
        <f t="shared" si="29"/>
        <v>23.281299999999998</v>
      </c>
      <c r="AB129" s="64" t="e">
        <f>VLOOKUP(A129,Enforcements!$C$7:$K$19,8,0)</f>
        <v>#N/A</v>
      </c>
      <c r="AC129" s="60" t="e">
        <f>VLOOKUP(A129,Enforcements!$C$7:$E$19,3,0)</f>
        <v>#N/A</v>
      </c>
      <c r="AD129" s="61" t="str">
        <f t="shared" si="30"/>
        <v>0215-25</v>
      </c>
      <c r="AE129" s="91" t="str">
        <f t="shared" si="31"/>
        <v>aws s3 cp s3://rtdc.mdm.uploadarchive.raw/RTDC4031/ "%USERPROFILE%\AppData\Local\Temp\OnboardLogs"\RTDC4031\2016-12-25 --exclude "*" --recursive --include "*20161225*" &amp; "%USERPROFILE%\Documents\GitHub\mrs-test-scripts\Headless Mode &amp; Sideloading\WalkAndUnGZ.bat" "%USERPROFILE%\AppData\Local\Temp\OnboardLogs"\RTDC4031\2016-12-25 &amp; aws s3 cp s3://rtdc.mdm.uploadarchive.raw/RTDC4031/ "%USERPROFILE%\AppData\Local\Temp\OnboardLogs"\RTDC4031\2016-12-26 --exclude "*" --recursive --include "*20161226*" &amp; "%USERPROFILE%\Documents\GitHub\mrs-test-scripts\Headless Mode &amp; Sideloading\WalkAndUnGZ.bat" "%USERPROFILE%\AppData\Local\Temp\OnboardLogs"\RTDC4031\2016-12-26</v>
      </c>
      <c r="AF129" s="88" t="str">
        <f t="shared" si="32"/>
        <v>"C:\Program Files (x86)\AstroGrep\AstroGrep.exe" /spath="%USERPROFILE%\AppData\Local\Temp\OnboardLogs" /stypes="app*4031*20161226*" /stext=" 01:.+((SYSTEM_STATE.+slice.+state.+changed )|(ment ac)|(multiple cpu faults)|(system.+state.+changed )|(\[timeout)|(PRM\|1\|D)|(kpr)|(kdp)|(\|lc)|(penalty))" /e /r /s</v>
      </c>
      <c r="AG129" s="1" t="str">
        <f t="shared" si="33"/>
        <v>EC</v>
      </c>
      <c r="AH129" s="92" t="str">
        <f t="shared" si="34"/>
        <v>"%USERPROFILE%\Documents\GitHub\eaglep3\Utilities\RefineRTDCRunTimes.py" --tripid 215-25 --locoid 4031 --swversion DE.1.0.8.0 --startMP 204:484 --initTime 2016-12-25T17:53:53 --startdatetime 2016-12-25T18:00:20 --delay 1 --endMP 204:233297 --enddatetime 2016-12-25T18:37:20 --enforcementcount 0 &gt;&gt;C:\Users\stu\Documents\GitHub\eaglep3-reporting\EC\2016-12-25-refined-times.txt</v>
      </c>
      <c r="AI12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ID","value":"215-25"},{"id":16,"name":"Locomotive ID","value":"4031"},{"id":130,"name":"Impact","value":""},{"id":150,"name":"Time of Event (Mountain Time)","value":"18:37:20"},{"id":151,"name":"Denver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453</v>
      </c>
      <c r="B130" s="7">
        <v>4032</v>
      </c>
      <c r="C130" s="22" t="s">
        <v>205</v>
      </c>
      <c r="D130" s="22" t="s">
        <v>266</v>
      </c>
      <c r="E130" s="13">
        <v>42729.782349537039</v>
      </c>
      <c r="F130" s="13">
        <v>42729.789155092592</v>
      </c>
      <c r="G130" s="7">
        <v>1</v>
      </c>
      <c r="H130" s="22" t="s">
        <v>735</v>
      </c>
      <c r="I130" s="13">
        <v>42729.816423611112</v>
      </c>
      <c r="J130" s="7">
        <v>0</v>
      </c>
      <c r="K130" s="109" t="str">
        <f t="shared" si="19"/>
        <v>4031/4032</v>
      </c>
      <c r="L130" s="22" t="str">
        <f>VLOOKUP(A130,'Trips&amp;Operators'!$C$1:$G$99999,5,FALSE)</f>
        <v>KILLION DAVID</v>
      </c>
      <c r="M130" s="6">
        <f t="shared" si="20"/>
        <v>2.7268518519122154E-2</v>
      </c>
      <c r="N130" s="7">
        <f t="shared" si="21"/>
        <v>39.266666667535901</v>
      </c>
      <c r="O130" s="7"/>
      <c r="P130" s="7"/>
      <c r="Q130" s="23"/>
      <c r="R130" s="23"/>
      <c r="S130" s="35">
        <f t="shared" si="22"/>
        <v>1</v>
      </c>
      <c r="T130" s="50" t="str">
        <f t="shared" si="23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17:46:35-700',mode:absolute,to:'2016-12-25 20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0" s="52" t="str">
        <f t="shared" si="25"/>
        <v>N</v>
      </c>
      <c r="X130" s="177">
        <f t="shared" si="26"/>
        <v>1</v>
      </c>
      <c r="Y130" s="67">
        <f t="shared" si="27"/>
        <v>23.297699999999999</v>
      </c>
      <c r="Z130" s="67">
        <f t="shared" si="28"/>
        <v>6.4000000000000003E-3</v>
      </c>
      <c r="AA130" s="67">
        <f t="shared" si="29"/>
        <v>23.2913</v>
      </c>
      <c r="AB130" s="64" t="str">
        <f>VLOOKUP(A130,Enforcements!$C$7:$K$19,8,0)</f>
        <v>Form based authority (4)</v>
      </c>
      <c r="AC130" s="60" t="str">
        <f>VLOOKUP(A130,Enforcements!$C$7:$E$19,3,0)</f>
        <v>TRACK WARRANT AUTHORITY</v>
      </c>
      <c r="AD130" s="61" t="str">
        <f t="shared" si="30"/>
        <v>0216-25</v>
      </c>
      <c r="AE130" s="91" t="str">
        <f t="shared" si="31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130" s="88" t="str">
        <f t="shared" si="32"/>
        <v>"C:\Program Files (x86)\AstroGrep\AstroGrep.exe" /spath="%USERPROFILE%\AppData\Local\Temp\OnboardLogs" /stypes="app*4032*20161226*" /stext=" 02:.+((SYSTEM_STATE.+slice.+state.+changed )|(ment ac)|(multiple cpu faults)|(system.+state.+changed )|(\[timeout)|(PRM\|1\|D)|(kpr)|(kdp)|(\|lc)|(penalty))" /e /r /s</v>
      </c>
      <c r="AG130" s="1" t="str">
        <f t="shared" si="33"/>
        <v>EC</v>
      </c>
      <c r="AH130" s="92" t="str">
        <f t="shared" si="34"/>
        <v>"%USERPROFILE%\Documents\GitHub\eaglep3\Utilities\RefineRTDCRunTimes.py" --tripid 216-25 --locoid 4032 --swversion DE.1.0.8.0 --startMP 204:232977 --initTime 2016-12-25T18:46:35 --startdatetime 2016-12-25T18:56:23 --delay 1 --endMP 204:64 --enddatetime 2016-12-25T19:35:39 --enforcementcount 0 &gt;&gt;C:\Users\stu\Documents\GitHub\eaglep3-reporting\EC\2016-12-25-refined-times.txt</v>
      </c>
      <c r="AI13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{"issue":{"subject":"","project_id":79,"tracker_id":40,"status_id":1,"priority_id":2,"assigned_to_id":23,"start_date":"2016-12-25","description":"","custom_fields":[{"id":1,"name":"Subdivision","value":"EC"},{"id":4,"name":"Milepost","value":"0.0064"},{"id":17,"name":"Train ID","value":"216-25"},{"id":16,"name":"Locomotive ID","value":"4032"},{"id":130,"name":"Impact","value":""},{"id":150,"name":"Time of Event (Mountain Time)","value":"19:35:39"},{"id":151,"name":"Denver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619</v>
      </c>
      <c r="B131" s="7">
        <v>4014</v>
      </c>
      <c r="C131" s="22" t="s">
        <v>205</v>
      </c>
      <c r="D131" s="22" t="s">
        <v>255</v>
      </c>
      <c r="E131" s="13">
        <v>42729.759039351855</v>
      </c>
      <c r="F131" s="13">
        <v>42729.760729166665</v>
      </c>
      <c r="G131" s="7">
        <v>1</v>
      </c>
      <c r="H131" s="22" t="s">
        <v>361</v>
      </c>
      <c r="I131" s="13">
        <v>42729.785590277781</v>
      </c>
      <c r="J131" s="7">
        <v>0</v>
      </c>
      <c r="K131" s="109" t="str">
        <f t="shared" si="19"/>
        <v>4013/4014</v>
      </c>
      <c r="L131" s="22" t="str">
        <f>VLOOKUP(A131,'Trips&amp;Operators'!$C$1:$G$99999,5,FALSE)</f>
        <v>SMITH MICHAEL</v>
      </c>
      <c r="M131" s="6">
        <f t="shared" si="20"/>
        <v>2.4861111116479151E-2</v>
      </c>
      <c r="N131" s="7">
        <f t="shared" si="21"/>
        <v>35.800000007729977</v>
      </c>
      <c r="O131" s="7"/>
      <c r="P131" s="7"/>
      <c r="Q131" s="23"/>
      <c r="R131" s="23"/>
      <c r="S131" s="35">
        <f t="shared" si="22"/>
        <v>1</v>
      </c>
      <c r="T131" s="50" t="str">
        <f t="shared" si="23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17:13:01-700',mode:absolute,to:'2016-12-25 19:51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1" s="52" t="str">
        <f t="shared" si="25"/>
        <v>N</v>
      </c>
      <c r="X131" s="177">
        <f t="shared" si="26"/>
        <v>1</v>
      </c>
      <c r="Y131" s="67">
        <f t="shared" si="27"/>
        <v>4.53E-2</v>
      </c>
      <c r="Z131" s="67">
        <f t="shared" si="28"/>
        <v>23.327200000000001</v>
      </c>
      <c r="AA131" s="67">
        <f t="shared" si="29"/>
        <v>23.2819</v>
      </c>
      <c r="AB131" s="64" t="e">
        <f>VLOOKUP(A131,Enforcements!$C$7:$K$19,8,0)</f>
        <v>#N/A</v>
      </c>
      <c r="AC131" s="60" t="e">
        <f>VLOOKUP(A131,Enforcements!$C$7:$E$19,3,0)</f>
        <v>#N/A</v>
      </c>
      <c r="AD131" s="61" t="str">
        <f t="shared" si="30"/>
        <v>0217-25</v>
      </c>
      <c r="AE131" s="91" t="str">
        <f t="shared" si="31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31" s="88" t="str">
        <f t="shared" si="32"/>
        <v>"C:\Program Files (x86)\AstroGrep\AstroGrep.exe" /spath="%USERPROFILE%\AppData\Local\Temp\OnboardLogs" /stypes="app*4014*20161226*" /stext=" 01:.+((SYSTEM_STATE.+slice.+state.+changed )|(ment ac)|(multiple cpu faults)|(system.+state.+changed )|(\[timeout)|(PRM\|1\|D)|(kpr)|(kdp)|(\|lc)|(penalty))" /e /r /s</v>
      </c>
      <c r="AG131" s="1" t="str">
        <f t="shared" si="33"/>
        <v>EC</v>
      </c>
      <c r="AH131" s="92" t="str">
        <f t="shared" si="34"/>
        <v>"%USERPROFILE%\Documents\GitHub\eaglep3\Utilities\RefineRTDCRunTimes.py" --tripid 217-25 --locoid 4014 --swversion DE.1.0.8.0 --startMP 204:453 --initTime 2016-12-25T18:13:01 --startdatetime 2016-12-25T18:15:27 --delay 1 --endMP 204:233272 --enddatetime 2016-12-25T18:51:15 --enforcementcount 0 &gt;&gt;C:\Users\stu\Documents\GitHub\eaglep3-reporting\EC\2016-12-25-refined-times.txt</v>
      </c>
      <c r="AI13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{"issue":{"subject":"","project_id":79,"tracker_id":40,"status_id":1,"priority_id":2,"assigned_to_id":23,"start_date":"2016-12-25","description":"","custom_fields":[{"id":1,"name":"Subdivision","value":"EC"},{"id":4,"name":"Milepost","value":"23.3272"},{"id":17,"name":"Train ID","value":"217-25"},{"id":16,"name":"Locomotive ID","value":"4014"},{"id":130,"name":"Impact","value":""},{"id":150,"name":"Time of Event (Mountain Time)","value":"18:51:15"},{"id":151,"name":"Denver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626</v>
      </c>
      <c r="B132" s="7">
        <v>4013</v>
      </c>
      <c r="C132" s="22" t="s">
        <v>205</v>
      </c>
      <c r="D132" s="22" t="s">
        <v>328</v>
      </c>
      <c r="E132" s="13">
        <v>42729.790439814817</v>
      </c>
      <c r="F132" s="13">
        <v>42729.799513888887</v>
      </c>
      <c r="G132" s="7">
        <v>1</v>
      </c>
      <c r="H132" s="22" t="s">
        <v>192</v>
      </c>
      <c r="I132" s="13">
        <v>42729.827569444446</v>
      </c>
      <c r="J132" s="7">
        <v>0</v>
      </c>
      <c r="K132" s="109" t="str">
        <f t="shared" si="19"/>
        <v>4013/4014</v>
      </c>
      <c r="L132" s="22" t="str">
        <f>VLOOKUP(A132,'Trips&amp;Operators'!$C$1:$G$99999,5,FALSE)</f>
        <v>SMITH MICHAEL</v>
      </c>
      <c r="M132" s="6">
        <f t="shared" si="20"/>
        <v>2.8055555558239575E-2</v>
      </c>
      <c r="N132" s="7">
        <f t="shared" si="21"/>
        <v>40.400000003864989</v>
      </c>
      <c r="O132" s="7"/>
      <c r="P132" s="7"/>
      <c r="Q132" s="23"/>
      <c r="R132" s="23"/>
      <c r="S132" s="35">
        <f t="shared" si="22"/>
        <v>1</v>
      </c>
      <c r="T132" s="50" t="str">
        <f t="shared" si="23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17:58:14-700',mode:absolute,to:'2016-12-25 20:51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2" s="52" t="str">
        <f t="shared" si="25"/>
        <v>N</v>
      </c>
      <c r="X132" s="177">
        <f t="shared" si="26"/>
        <v>1</v>
      </c>
      <c r="Y132" s="67">
        <f t="shared" si="27"/>
        <v>23.295500000000001</v>
      </c>
      <c r="Z132" s="67">
        <f t="shared" si="28"/>
        <v>1.43E-2</v>
      </c>
      <c r="AA132" s="67">
        <f t="shared" si="29"/>
        <v>23.281200000000002</v>
      </c>
      <c r="AB132" s="64" t="e">
        <f>VLOOKUP(A132,Enforcements!$C$7:$K$19,8,0)</f>
        <v>#N/A</v>
      </c>
      <c r="AC132" s="60" t="e">
        <f>VLOOKUP(A132,Enforcements!$C$7:$E$19,3,0)</f>
        <v>#N/A</v>
      </c>
      <c r="AD132" s="61" t="str">
        <f t="shared" si="30"/>
        <v>0218-25</v>
      </c>
      <c r="AE132" s="91" t="str">
        <f t="shared" si="31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132" s="88" t="str">
        <f t="shared" si="32"/>
        <v>"C:\Program Files (x86)\AstroGrep\AstroGrep.exe" /spath="%USERPROFILE%\AppData\Local\Temp\OnboardLogs" /stypes="app*4013*20161226*" /stext=" 02:.+((SYSTEM_STATE.+slice.+state.+changed )|(ment ac)|(multiple cpu faults)|(system.+state.+changed )|(\[timeout)|(PRM\|1\|D)|(kpr)|(kdp)|(\|lc)|(penalty))" /e /r /s</v>
      </c>
      <c r="AG132" s="1" t="str">
        <f t="shared" si="33"/>
        <v>EC</v>
      </c>
      <c r="AH132" s="92" t="str">
        <f t="shared" si="34"/>
        <v>"%USERPROFILE%\Documents\GitHub\eaglep3\Utilities\RefineRTDCRunTimes.py" --tripid 218-25 --locoid 4013 --swversion DE.1.0.8.0 --startMP 204:232955 --initTime 2016-12-25T18:58:14 --startdatetime 2016-12-25T19:11:18 --delay 1 --endMP 204:143 --enddatetime 2016-12-25T19:51:42 --enforcementcount 0 &gt;&gt;C:\Users\stu\Documents\GitHub\eaglep3-reporting\EC\2016-12-25-refined-times.txt</v>
      </c>
      <c r="AI132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{"issue":{"subject":"","project_id":79,"tracker_id":40,"status_id":1,"priority_id":2,"assigned_to_id":23,"start_date":"2016-12-25","description":"","custom_fields":[{"id":1,"name":"Subdivision","value":"EC"},{"id":4,"name":"Milepost","value":"0.0143"},{"id":17,"name":"Train ID","value":"218-25"},{"id":16,"name":"Locomotive ID","value":"4013"},{"id":130,"name":"Impact","value":""},{"id":150,"name":"Time of Event (Mountain Time)","value":"19:51:42"},{"id":151,"name":"Denver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622</v>
      </c>
      <c r="B133" s="7">
        <v>4018</v>
      </c>
      <c r="C133" s="22" t="s">
        <v>205</v>
      </c>
      <c r="D133" s="22" t="s">
        <v>242</v>
      </c>
      <c r="E133" s="13">
        <v>42729.767199074071</v>
      </c>
      <c r="F133" s="13">
        <v>42729.771134259259</v>
      </c>
      <c r="G133" s="7">
        <v>2</v>
      </c>
      <c r="H133" s="22" t="s">
        <v>736</v>
      </c>
      <c r="I133" s="13">
        <v>42729.795254629629</v>
      </c>
      <c r="J133" s="7">
        <v>0</v>
      </c>
      <c r="K133" s="109" t="str">
        <f t="shared" si="19"/>
        <v>4017/4018</v>
      </c>
      <c r="L133" s="22" t="str">
        <f>VLOOKUP(A133,'Trips&amp;Operators'!$C$1:$G$99999,5,FALSE)</f>
        <v>STAMBAUGH JAMES</v>
      </c>
      <c r="M133" s="6">
        <f t="shared" si="20"/>
        <v>2.4120370369928423E-2</v>
      </c>
      <c r="N133" s="7">
        <f t="shared" si="21"/>
        <v>34.73333333269693</v>
      </c>
      <c r="O133" s="7"/>
      <c r="P133" s="7"/>
      <c r="Q133" s="23"/>
      <c r="R133" s="23"/>
      <c r="S133" s="35">
        <f t="shared" si="22"/>
        <v>1</v>
      </c>
      <c r="T133" s="50" t="str">
        <f t="shared" si="23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17:24:46-700',mode:absolute,to:'2016-12-25 20:05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3" s="52" t="str">
        <f t="shared" si="25"/>
        <v>N</v>
      </c>
      <c r="X133" s="177">
        <f t="shared" si="26"/>
        <v>1</v>
      </c>
      <c r="Y133" s="67">
        <f t="shared" si="27"/>
        <v>4.58E-2</v>
      </c>
      <c r="Z133" s="67">
        <f t="shared" si="28"/>
        <v>23.3306</v>
      </c>
      <c r="AA133" s="67">
        <f t="shared" si="29"/>
        <v>23.284800000000001</v>
      </c>
      <c r="AB133" s="64" t="e">
        <f>VLOOKUP(A133,Enforcements!$C$7:$K$19,8,0)</f>
        <v>#N/A</v>
      </c>
      <c r="AC133" s="60" t="e">
        <f>VLOOKUP(A133,Enforcements!$C$7:$E$19,3,0)</f>
        <v>#N/A</v>
      </c>
      <c r="AD133" s="61" t="str">
        <f t="shared" si="30"/>
        <v>0219-25</v>
      </c>
      <c r="AE133" s="91" t="str">
        <f t="shared" si="31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33" s="88" t="str">
        <f t="shared" si="32"/>
        <v>"C:\Program Files (x86)\AstroGrep\AstroGrep.exe" /spath="%USERPROFILE%\AppData\Local\Temp\OnboardLogs" /stypes="app*4018*20161226*" /stext=" 02:.+((SYSTEM_STATE.+slice.+state.+changed )|(ment ac)|(multiple cpu faults)|(system.+state.+changed )|(\[timeout)|(PRM\|1\|D)|(kpr)|(kdp)|(\|lc)|(penalty))" /e /r /s</v>
      </c>
      <c r="AG133" s="1" t="str">
        <f t="shared" si="33"/>
        <v>EC</v>
      </c>
      <c r="AH133" s="92" t="str">
        <f t="shared" si="34"/>
        <v>"%USERPROFILE%\Documents\GitHub\eaglep3\Utilities\RefineRTDCRunTimes.py" --tripid 219-25 --locoid 4018 --swversion DE.1.0.8.0 --startMP 204:458 --initTime 2016-12-25T18:24:46 --startdatetime 2016-12-25T18:30:26 --delay 2 --endMP 204:233306 --enddatetime 2016-12-25T19:05:10 --enforcementcount 0 &gt;&gt;C:\Users\stu\Documents\GitHub\eaglep3-reporting\EC\2016-12-25-refined-times.txt</v>
      </c>
      <c r="AI133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{"issue":{"subject":"","project_id":79,"tracker_id":40,"status_id":1,"priority_id":2,"assigned_to_id":23,"start_date":"2016-12-25","description":"","custom_fields":[{"id":1,"name":"Subdivision","value":"EC"},{"id":4,"name":"Milepost","value":"23.3306"},{"id":17,"name":"Train ID","value":"219-25"},{"id":16,"name":"Locomotive ID","value":"4018"},{"id":130,"name":"Impact","value":""},{"id":150,"name":"Time of Event (Mountain Time)","value":"19:05:10"},{"id":151,"name":"Denver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631</v>
      </c>
      <c r="B134" s="7">
        <v>4017</v>
      </c>
      <c r="C134" s="22" t="s">
        <v>205</v>
      </c>
      <c r="D134" s="22" t="s">
        <v>416</v>
      </c>
      <c r="E134" s="13">
        <v>42729.807870370372</v>
      </c>
      <c r="F134" s="13">
        <v>42729.810023148151</v>
      </c>
      <c r="G134" s="7">
        <v>1</v>
      </c>
      <c r="H134" s="22" t="s">
        <v>224</v>
      </c>
      <c r="I134" s="13">
        <v>42729.836099537039</v>
      </c>
      <c r="J134" s="7">
        <v>0</v>
      </c>
      <c r="K134" s="109" t="str">
        <f t="shared" si="19"/>
        <v>4017/4018</v>
      </c>
      <c r="L134" s="22" t="str">
        <f>VLOOKUP(A134,'Trips&amp;Operators'!$C$1:$G$99999,5,FALSE)</f>
        <v>STAMBAUGH JAMES</v>
      </c>
      <c r="M134" s="6">
        <f t="shared" si="20"/>
        <v>2.6076388887304347E-2</v>
      </c>
      <c r="N134" s="7">
        <f t="shared" si="21"/>
        <v>37.54999999771826</v>
      </c>
      <c r="O134" s="7"/>
      <c r="P134" s="7"/>
      <c r="Q134" s="23"/>
      <c r="R134" s="23"/>
      <c r="S134" s="35">
        <f t="shared" si="22"/>
        <v>1</v>
      </c>
      <c r="T134" s="50" t="str">
        <f t="shared" si="23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18:23:20-700',mode:absolute,to:'2016-12-25 21:03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4" s="52" t="str">
        <f t="shared" si="25"/>
        <v>N</v>
      </c>
      <c r="X134" s="177">
        <f t="shared" si="26"/>
        <v>1</v>
      </c>
      <c r="Y134" s="67">
        <f t="shared" si="27"/>
        <v>23.297599999999999</v>
      </c>
      <c r="Z134" s="67">
        <f t="shared" si="28"/>
        <v>1.54E-2</v>
      </c>
      <c r="AA134" s="67">
        <f t="shared" si="29"/>
        <v>23.2822</v>
      </c>
      <c r="AB134" s="64" t="e">
        <f>VLOOKUP(A134,Enforcements!$C$7:$K$19,8,0)</f>
        <v>#N/A</v>
      </c>
      <c r="AC134" s="60" t="e">
        <f>VLOOKUP(A134,Enforcements!$C$7:$E$19,3,0)</f>
        <v>#N/A</v>
      </c>
      <c r="AD134" s="61" t="str">
        <f t="shared" si="30"/>
        <v>0220-25</v>
      </c>
      <c r="AE134" s="91" t="str">
        <f t="shared" si="31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134" s="88" t="str">
        <f t="shared" si="32"/>
        <v>"C:\Program Files (x86)\AstroGrep\AstroGrep.exe" /spath="%USERPROFILE%\AppData\Local\Temp\OnboardLogs" /stypes="app*4017*20161226*" /stext=" 03:.+((SYSTEM_STATE.+slice.+state.+changed )|(ment ac)|(multiple cpu faults)|(system.+state.+changed )|(\[timeout)|(PRM\|1\|D)|(kpr)|(kdp)|(\|lc)|(penalty))" /e /r /s</v>
      </c>
      <c r="AG134" s="1" t="str">
        <f t="shared" si="33"/>
        <v>EC</v>
      </c>
      <c r="AH134" s="92" t="str">
        <f t="shared" si="34"/>
        <v>"%USERPROFILE%\Documents\GitHub\eaglep3\Utilities\RefineRTDCRunTimes.py" --tripid 220-25 --locoid 4017 --swversion DE.1.0.8.0 --startMP 204:232976 --initTime 2016-12-25T19:23:20 --startdatetime 2016-12-25T19:26:26 --delay 1 --endMP 204:154 --enddatetime 2016-12-25T20:03:59 --enforcementcount 0 &gt;&gt;C:\Users\stu\Documents\GitHub\eaglep3-reporting\EC\2016-12-25-refined-times.txt</v>
      </c>
      <c r="AI134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{"issue":{"subject":"","project_id":79,"tracker_id":40,"status_id":1,"priority_id":2,"assigned_to_id":23,"start_date":"2016-12-25","description":"","custom_fields":[{"id":1,"name":"Subdivision","value":"EC"},{"id":4,"name":"Milepost","value":"0.0154"},{"id":17,"name":"Train ID","value":"220-25"},{"id":16,"name":"Locomotive ID","value":"4017"},{"id":130,"name":"Impact","value":""},{"id":150,"name":"Time of Event (Mountain Time)","value":"20:03:59"},{"id":151,"name":"Denver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627</v>
      </c>
      <c r="B135" s="7">
        <v>4009</v>
      </c>
      <c r="C135" s="22" t="s">
        <v>205</v>
      </c>
      <c r="D135" s="22" t="s">
        <v>351</v>
      </c>
      <c r="E135" s="13">
        <v>42729.790821759256</v>
      </c>
      <c r="F135" s="13">
        <v>42729.791990740741</v>
      </c>
      <c r="G135" s="7">
        <v>1</v>
      </c>
      <c r="H135" s="22" t="s">
        <v>325</v>
      </c>
      <c r="I135" s="13">
        <v>42729.816793981481</v>
      </c>
      <c r="J135" s="7">
        <v>0</v>
      </c>
      <c r="K135" s="109" t="str">
        <f t="shared" si="19"/>
        <v>4009/4010</v>
      </c>
      <c r="L135" s="22" t="str">
        <f>VLOOKUP(A135,'Trips&amp;Operators'!$C$1:$G$99999,5,FALSE)</f>
        <v>CHANDLER KELVIN</v>
      </c>
      <c r="M135" s="6">
        <f t="shared" si="20"/>
        <v>2.4803240739856847E-2</v>
      </c>
      <c r="N135" s="7">
        <f t="shared" si="21"/>
        <v>35.716666665393859</v>
      </c>
      <c r="O135" s="7"/>
      <c r="P135" s="7"/>
      <c r="Q135" s="23"/>
      <c r="R135" s="23"/>
      <c r="S135" s="35">
        <f t="shared" si="22"/>
        <v>1</v>
      </c>
      <c r="T135" s="50" t="str">
        <f t="shared" si="23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17:58:47-700',mode:absolute,to:'2016-12-25 20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5" s="52" t="str">
        <f t="shared" si="25"/>
        <v>N</v>
      </c>
      <c r="X135" s="177">
        <f t="shared" si="26"/>
        <v>1</v>
      </c>
      <c r="Y135" s="67">
        <f t="shared" si="27"/>
        <v>4.7500000000000001E-2</v>
      </c>
      <c r="Z135" s="67">
        <f t="shared" si="28"/>
        <v>23.33</v>
      </c>
      <c r="AA135" s="67">
        <f t="shared" si="29"/>
        <v>23.282499999999999</v>
      </c>
      <c r="AB135" s="64" t="e">
        <f>VLOOKUP(A135,Enforcements!$C$7:$K$19,8,0)</f>
        <v>#N/A</v>
      </c>
      <c r="AC135" s="60" t="e">
        <f>VLOOKUP(A135,Enforcements!$C$7:$E$19,3,0)</f>
        <v>#N/A</v>
      </c>
      <c r="AD135" s="61" t="str">
        <f t="shared" si="30"/>
        <v>0221-25</v>
      </c>
      <c r="AE135" s="91" t="str">
        <f t="shared" si="31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35" s="88" t="str">
        <f t="shared" si="32"/>
        <v>"C:\Program Files (x86)\AstroGrep\AstroGrep.exe" /spath="%USERPROFILE%\AppData\Local\Temp\OnboardLogs" /stypes="app*4009*20161226*" /stext=" 02:.+((SYSTEM_STATE.+slice.+state.+changed )|(ment ac)|(multiple cpu faults)|(system.+state.+changed )|(\[timeout)|(PRM\|1\|D)|(kpr)|(kdp)|(\|lc)|(penalty))" /e /r /s</v>
      </c>
      <c r="AG135" s="1" t="str">
        <f t="shared" si="33"/>
        <v>EC</v>
      </c>
      <c r="AH135" s="92" t="str">
        <f t="shared" si="34"/>
        <v>"%USERPROFILE%\Documents\GitHub\eaglep3\Utilities\RefineRTDCRunTimes.py" --tripid 221-25 --locoid 4009 --swversion DE.1.0.8.0 --startMP 204:475 --initTime 2016-12-25T18:58:47 --startdatetime 2016-12-25T19:00:28 --delay 1 --endMP 204:233300 --enddatetime 2016-12-25T19:36:11 --enforcementcount 0 &gt;&gt;C:\Users\stu\Documents\GitHub\eaglep3-reporting\EC\2016-12-25-refined-times.txt</v>
      </c>
      <c r="AI135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{"issue":{"subject":"","project_id":79,"tracker_id":40,"status_id":1,"priority_id":2,"assigned_to_id":23,"start_date":"2016-12-25","description":"","custom_fields":[{"id":1,"name":"Subdivision","value":"EC"},{"id":4,"name":"Milepost","value":"23.33"},{"id":17,"name":"Train ID","value":"221-25"},{"id":16,"name":"Locomotive ID","value":"4009"},{"id":130,"name":"Impact","value":""},{"id":150,"name":"Time of Event (Mountain Time)","value":"19:36:11"},{"id":151,"name":"Denver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454</v>
      </c>
      <c r="B136" s="7">
        <v>4010</v>
      </c>
      <c r="C136" s="22" t="s">
        <v>205</v>
      </c>
      <c r="D136" s="22" t="s">
        <v>737</v>
      </c>
      <c r="E136" s="13">
        <v>42729.826724537037</v>
      </c>
      <c r="F136" s="13">
        <v>42729.831064814818</v>
      </c>
      <c r="G136" s="7">
        <v>1</v>
      </c>
      <c r="H136" s="22" t="s">
        <v>738</v>
      </c>
      <c r="I136" s="13">
        <v>42729.859189814815</v>
      </c>
      <c r="J136" s="7">
        <v>0</v>
      </c>
      <c r="K136" s="109" t="str">
        <f t="shared" si="19"/>
        <v>4009/4010</v>
      </c>
      <c r="L136" s="22" t="str">
        <f>VLOOKUP(A136,'Trips&amp;Operators'!$C$1:$G$99999,5,FALSE)</f>
        <v>CHANDLER KELVIN</v>
      </c>
      <c r="M136" s="6">
        <f t="shared" si="20"/>
        <v>2.8124999997089617E-2</v>
      </c>
      <c r="N136" s="7">
        <f t="shared" si="21"/>
        <v>40.499999995809048</v>
      </c>
      <c r="O136" s="7"/>
      <c r="P136" s="7"/>
      <c r="Q136" s="23"/>
      <c r="R136" s="23"/>
      <c r="S136" s="35">
        <f t="shared" si="22"/>
        <v>1</v>
      </c>
      <c r="T136" s="50" t="str">
        <f t="shared" si="23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18:50:29-700',mode:absolute,to:'2016-12-25 21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6" s="52" t="str">
        <f t="shared" si="25"/>
        <v>N</v>
      </c>
      <c r="X136" s="177">
        <f t="shared" si="26"/>
        <v>1</v>
      </c>
      <c r="Y136" s="67">
        <f t="shared" si="27"/>
        <v>23.297000000000001</v>
      </c>
      <c r="Z136" s="67">
        <f t="shared" si="28"/>
        <v>1.9599999999999999E-2</v>
      </c>
      <c r="AA136" s="67">
        <f t="shared" si="29"/>
        <v>23.2774</v>
      </c>
      <c r="AB136" s="64" t="e">
        <f>VLOOKUP(A136,Enforcements!$C$7:$K$19,8,0)</f>
        <v>#N/A</v>
      </c>
      <c r="AC136" s="60" t="e">
        <f>VLOOKUP(A136,Enforcements!$C$7:$E$19,3,0)</f>
        <v>#N/A</v>
      </c>
      <c r="AD136" s="61" t="str">
        <f t="shared" si="30"/>
        <v>0222-25</v>
      </c>
      <c r="AE136" s="91" t="str">
        <f t="shared" si="31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136" s="88" t="str">
        <f t="shared" si="32"/>
        <v>"C:\Program Files (x86)\AstroGrep\AstroGrep.exe" /spath="%USERPROFILE%\AppData\Local\Temp\OnboardLogs" /stypes="app*4010*20161226*" /stext=" 03:.+((SYSTEM_STATE.+slice.+state.+changed )|(ment ac)|(multiple cpu faults)|(system.+state.+changed )|(\[timeout)|(PRM\|1\|D)|(kpr)|(kdp)|(\|lc)|(penalty))" /e /r /s</v>
      </c>
      <c r="AG136" s="1" t="str">
        <f t="shared" si="33"/>
        <v>EC</v>
      </c>
      <c r="AH136" s="92" t="str">
        <f t="shared" si="34"/>
        <v>"%USERPROFILE%\Documents\GitHub\eaglep3\Utilities\RefineRTDCRunTimes.py" --tripid 222-25 --locoid 4010 --swversion DE.1.0.8.0 --startMP 204:232970 --initTime 2016-12-25T19:50:29 --startdatetime 2016-12-25T19:56:44 --delay 1 --endMP 204:196 --enddatetime 2016-12-25T20:37:14 --enforcementcount 0 &gt;&gt;C:\Users\stu\Documents\GitHub\eaglep3-reporting\EC\2016-12-25-refined-times.txt</v>
      </c>
      <c r="AI136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{"issue":{"subject":"","project_id":79,"tracker_id":40,"status_id":1,"priority_id":2,"assigned_to_id":23,"start_date":"2016-12-25","description":"","custom_fields":[{"id":1,"name":"Subdivision","value":"EC"},{"id":4,"name":"Milepost","value":"0.0196"},{"id":17,"name":"Train ID","value":"222-25"},{"id":16,"name":"Locomotive ID","value":"4010"},{"id":130,"name":"Impact","value":""},{"id":150,"name":"Time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630</v>
      </c>
      <c r="B137" s="7">
        <v>4042</v>
      </c>
      <c r="C137" s="22" t="s">
        <v>205</v>
      </c>
      <c r="D137" s="22" t="s">
        <v>311</v>
      </c>
      <c r="E137" s="13">
        <v>42729.805960648147</v>
      </c>
      <c r="F137" s="13">
        <v>42729.812650462962</v>
      </c>
      <c r="G137" s="7">
        <v>1</v>
      </c>
      <c r="H137" s="22" t="s">
        <v>739</v>
      </c>
      <c r="I137" s="13">
        <v>42729.836736111109</v>
      </c>
      <c r="J137" s="7">
        <v>0</v>
      </c>
      <c r="K137" s="109" t="str">
        <f t="shared" si="19"/>
        <v>4041/4042</v>
      </c>
      <c r="L137" s="22" t="str">
        <f>VLOOKUP(A137,'Trips&amp;Operators'!$C$1:$G$99999,5,FALSE)</f>
        <v>NEWELL JAMES</v>
      </c>
      <c r="M137" s="6">
        <f t="shared" si="20"/>
        <v>2.4085648146865424E-2</v>
      </c>
      <c r="N137" s="7">
        <f t="shared" si="21"/>
        <v>34.68333333148621</v>
      </c>
      <c r="O137" s="7"/>
      <c r="P137" s="7"/>
      <c r="Q137" s="23"/>
      <c r="R137" s="23"/>
      <c r="S137" s="35">
        <f t="shared" si="22"/>
        <v>1</v>
      </c>
      <c r="T137" s="50" t="str">
        <f t="shared" si="23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18:20:35-700',mode:absolute,to:'2016-12-25 21:04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2" t="str">
        <f t="shared" si="25"/>
        <v>N</v>
      </c>
      <c r="X137" s="177">
        <f t="shared" si="26"/>
        <v>1</v>
      </c>
      <c r="Y137" s="67">
        <f t="shared" si="27"/>
        <v>4.3299999999999998E-2</v>
      </c>
      <c r="Z137" s="67">
        <f t="shared" si="28"/>
        <v>23.333100000000002</v>
      </c>
      <c r="AA137" s="67">
        <f t="shared" si="29"/>
        <v>23.289800000000003</v>
      </c>
      <c r="AB137" s="64" t="e">
        <f>VLOOKUP(A137,Enforcements!$C$7:$K$19,8,0)</f>
        <v>#N/A</v>
      </c>
      <c r="AC137" s="60" t="e">
        <f>VLOOKUP(A137,Enforcements!$C$7:$E$19,3,0)</f>
        <v>#N/A</v>
      </c>
      <c r="AD137" s="61" t="str">
        <f t="shared" si="30"/>
        <v>0223-25</v>
      </c>
      <c r="AE137" s="91" t="str">
        <f t="shared" si="31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37" s="88" t="str">
        <f t="shared" si="32"/>
        <v>"C:\Program Files (x86)\AstroGrep\AstroGrep.exe" /spath="%USERPROFILE%\AppData\Local\Temp\OnboardLogs" /stypes="app*4042*20161226*" /stext=" 03:.+((SYSTEM_STATE.+slice.+state.+changed )|(ment ac)|(multiple cpu faults)|(system.+state.+changed )|(\[timeout)|(PRM\|1\|D)|(kpr)|(kdp)|(\|lc)|(penalty))" /e /r /s</v>
      </c>
      <c r="AG137" s="1" t="str">
        <f t="shared" si="33"/>
        <v>EC</v>
      </c>
      <c r="AH137" s="92" t="str">
        <f t="shared" si="34"/>
        <v>"%USERPROFILE%\Documents\GitHub\eaglep3\Utilities\RefineRTDCRunTimes.py" --tripid 223-25 --locoid 4042 --swversion DE.1.0.8.0 --startMP 204:433 --initTime 2016-12-25T19:20:35 --startdatetime 2016-12-25T19:30:13 --delay 1 --endMP 204:233331 --enddatetime 2016-12-25T20:04:54 --enforcementcount 0 &gt;&gt;C:\Users\stu\Documents\GitHub\eaglep3-reporting\EC\2016-12-25-refined-times.txt</v>
      </c>
      <c r="AI137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{"issue":{"subject":"","project_id":79,"tracker_id":40,"status_id":1,"priority_id":2,"assigned_to_id":23,"start_date":"2016-12-25","description":"","custom_fields":[{"id":1,"name":"Subdivision","value":"EC"},{"id":4,"name":"Milepost","value":"23.3331"},{"id":17,"name":"Train ID","value":"223-25"},{"id":16,"name":"Locomotive ID","value":"4042"},{"id":130,"name":"Impact","value":""},{"id":150,"name":"Time of Event (Mountain Time)","value":"20:04:54"},{"id":151,"name":"Denver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636</v>
      </c>
      <c r="B138" s="7">
        <v>4041</v>
      </c>
      <c r="C138" s="22" t="s">
        <v>205</v>
      </c>
      <c r="D138" s="22" t="s">
        <v>740</v>
      </c>
      <c r="E138" s="13">
        <v>42729.838506944441</v>
      </c>
      <c r="F138" s="13">
        <v>42729.852546296293</v>
      </c>
      <c r="G138" s="7">
        <v>1</v>
      </c>
      <c r="H138" s="22" t="s">
        <v>234</v>
      </c>
      <c r="I138" s="13">
        <v>42729.877615740741</v>
      </c>
      <c r="J138" s="7">
        <v>0</v>
      </c>
      <c r="K138" s="109" t="str">
        <f t="shared" si="19"/>
        <v>4041/4042</v>
      </c>
      <c r="L138" s="22" t="str">
        <f>VLOOKUP(A138,'Trips&amp;Operators'!$C$1:$G$99999,5,FALSE)</f>
        <v>NEWELL JAMES</v>
      </c>
      <c r="M138" s="6">
        <f t="shared" si="20"/>
        <v>2.5069444447581191E-2</v>
      </c>
      <c r="N138" s="7">
        <f t="shared" si="21"/>
        <v>36.100000004516914</v>
      </c>
      <c r="O138" s="7"/>
      <c r="P138" s="7"/>
      <c r="Q138" s="23"/>
      <c r="R138" s="23"/>
      <c r="S138" s="35">
        <f t="shared" si="22"/>
        <v>1</v>
      </c>
      <c r="T138" s="50" t="str">
        <f t="shared" si="23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19:07:27-700',mode:absolute,to:'2016-12-25 22:03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2" t="str">
        <f t="shared" si="25"/>
        <v>N</v>
      </c>
      <c r="X138" s="177">
        <f t="shared" si="26"/>
        <v>1</v>
      </c>
      <c r="Y138" s="67">
        <f t="shared" si="27"/>
        <v>23.300999999999998</v>
      </c>
      <c r="Z138" s="67">
        <f t="shared" si="28"/>
        <v>1.4500000000000001E-2</v>
      </c>
      <c r="AA138" s="67">
        <f t="shared" si="29"/>
        <v>23.286499999999997</v>
      </c>
      <c r="AB138" s="64" t="e">
        <f>VLOOKUP(A138,Enforcements!$C$7:$K$19,8,0)</f>
        <v>#N/A</v>
      </c>
      <c r="AC138" s="60" t="e">
        <f>VLOOKUP(A138,Enforcements!$C$7:$E$19,3,0)</f>
        <v>#N/A</v>
      </c>
      <c r="AD138" s="61" t="str">
        <f t="shared" si="30"/>
        <v>0224-25</v>
      </c>
      <c r="AE138" s="91" t="str">
        <f t="shared" si="31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138" s="88" t="str">
        <f t="shared" si="32"/>
        <v>"C:\Program Files (x86)\AstroGrep\AstroGrep.exe" /spath="%USERPROFILE%\AppData\Local\Temp\OnboardLogs" /stypes="app*4041*20161226*" /stext=" 04:.+((SYSTEM_STATE.+slice.+state.+changed )|(ment ac)|(multiple cpu faults)|(system.+state.+changed )|(\[timeout)|(PRM\|1\|D)|(kpr)|(kdp)|(\|lc)|(penalty))" /e /r /s</v>
      </c>
      <c r="AG138" s="1" t="str">
        <f t="shared" si="33"/>
        <v>EC</v>
      </c>
      <c r="AH138" s="92" t="str">
        <f t="shared" si="34"/>
        <v>"%USERPROFILE%\Documents\GitHub\eaglep3\Utilities\RefineRTDCRunTimes.py" --tripid 224-25 --locoid 4041 --swversion DE.1.0.8.0 --startMP 204:233010 --initTime 2016-12-25T20:07:27 --startdatetime 2016-12-25T20:27:40 --delay 1 --endMP 204:145 --enddatetime 2016-12-25T21:03:46 --enforcementcount 0 &gt;&gt;C:\Users\stu\Documents\GitHub\eaglep3-reporting\EC\2016-12-25-refined-times.txt</v>
      </c>
      <c r="AI138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{"issue":{"subject":"","project_id":79,"tracker_id":40,"status_id":1,"priority_id":2,"assigned_to_id":23,"start_date":"2016-12-25","description":"","custom_fields":[{"id":1,"name":"Subdivision","value":"EC"},{"id":4,"name":"Milepost","value":"0.0145"},{"id":17,"name":"Train ID","value":"224-25"},{"id":16,"name":"Locomotive ID","value":"4041"},{"id":130,"name":"Impact","value":""},{"id":150,"name":"Time of Event (Mountain Time)","value":"21:03:46"},{"id":151,"name":"Denver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634</v>
      </c>
      <c r="B139" s="7">
        <v>4014</v>
      </c>
      <c r="C139" s="22" t="s">
        <v>205</v>
      </c>
      <c r="D139" s="22" t="s">
        <v>425</v>
      </c>
      <c r="E139" s="13">
        <v>42729.830601851849</v>
      </c>
      <c r="F139" s="13">
        <v>42729.833703703705</v>
      </c>
      <c r="G139" s="7">
        <v>1</v>
      </c>
      <c r="H139" s="22" t="s">
        <v>741</v>
      </c>
      <c r="I139" s="13">
        <v>42729.858912037038</v>
      </c>
      <c r="J139" s="7">
        <v>0</v>
      </c>
      <c r="K139" s="109" t="str">
        <f t="shared" si="19"/>
        <v>4013/4014</v>
      </c>
      <c r="L139" s="22" t="str">
        <f>VLOOKUP(A139,'Trips&amp;Operators'!$C$1:$G$99999,5,FALSE)</f>
        <v>SMITH MICHAEL</v>
      </c>
      <c r="M139" s="6">
        <f t="shared" si="20"/>
        <v>2.5208333332557231E-2</v>
      </c>
      <c r="N139" s="7">
        <f t="shared" si="21"/>
        <v>36.299999998882413</v>
      </c>
      <c r="O139" s="7"/>
      <c r="P139" s="7"/>
      <c r="Q139" s="23"/>
      <c r="R139" s="23"/>
      <c r="S139" s="35">
        <f t="shared" si="22"/>
        <v>1</v>
      </c>
      <c r="T139" s="50" t="str">
        <f t="shared" si="23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18:56:04-700',mode:absolute,to:'2016-12-25 21:36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39" s="52" t="str">
        <f t="shared" si="25"/>
        <v>N</v>
      </c>
      <c r="X139" s="177">
        <f t="shared" si="26"/>
        <v>1</v>
      </c>
      <c r="Y139" s="67">
        <f t="shared" si="27"/>
        <v>4.3700000000000003E-2</v>
      </c>
      <c r="Z139" s="67">
        <f t="shared" si="28"/>
        <v>23.328700000000001</v>
      </c>
      <c r="AA139" s="67">
        <f t="shared" si="29"/>
        <v>23.285</v>
      </c>
      <c r="AB139" s="64" t="e">
        <f>VLOOKUP(A139,Enforcements!$C$7:$K$19,8,0)</f>
        <v>#N/A</v>
      </c>
      <c r="AC139" s="60" t="e">
        <f>VLOOKUP(A139,Enforcements!$C$7:$E$19,3,0)</f>
        <v>#N/A</v>
      </c>
      <c r="AD139" s="61" t="str">
        <f t="shared" si="30"/>
        <v>0225-25</v>
      </c>
      <c r="AE139" s="91" t="str">
        <f t="shared" si="31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39" s="88" t="str">
        <f t="shared" si="32"/>
        <v>"C:\Program Files (x86)\AstroGrep\AstroGrep.exe" /spath="%USERPROFILE%\AppData\Local\Temp\OnboardLogs" /stypes="app*4014*20161226*" /stext=" 03:.+((SYSTEM_STATE.+slice.+state.+changed )|(ment ac)|(multiple cpu faults)|(system.+state.+changed )|(\[timeout)|(PRM\|1\|D)|(kpr)|(kdp)|(\|lc)|(penalty))" /e /r /s</v>
      </c>
      <c r="AG139" s="1" t="str">
        <f t="shared" si="33"/>
        <v>EC</v>
      </c>
      <c r="AH139" s="92" t="str">
        <f t="shared" si="34"/>
        <v>"%USERPROFILE%\Documents\GitHub\eaglep3\Utilities\RefineRTDCRunTimes.py" --tripid 225-25 --locoid 4014 --swversion DE.1.0.8.0 --startMP 204:437 --initTime 2016-12-25T19:56:04 --startdatetime 2016-12-25T20:00:32 --delay 1 --endMP 204:233287 --enddatetime 2016-12-25T20:36:50 --enforcementcount 0 &gt;&gt;C:\Users\stu\Documents\GitHub\eaglep3-reporting\EC\2016-12-25-refined-times.txt</v>
      </c>
      <c r="AI139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{"issue":{"subject":"","project_id":79,"tracker_id":40,"status_id":1,"priority_id":2,"assigned_to_id":23,"start_date":"2016-12-25","description":"","custom_fields":[{"id":1,"name":"Subdivision","value":"EC"},{"id":4,"name":"Milepost","value":"23.3287"},{"id":17,"name":"Train ID","value":"225-25"},{"id":16,"name":"Locomotive ID","value":"4014"},{"id":130,"name":"Impact","value":""},{"id":150,"name":"Time of Event (Mountain Time)","value":"20:36:50"},{"id":151,"name":"Denver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639</v>
      </c>
      <c r="B140" s="7">
        <v>4013</v>
      </c>
      <c r="C140" s="22" t="s">
        <v>205</v>
      </c>
      <c r="D140" s="22" t="s">
        <v>416</v>
      </c>
      <c r="E140" s="13">
        <v>42729.864965277775</v>
      </c>
      <c r="F140" s="13">
        <v>42729.872418981482</v>
      </c>
      <c r="G140" s="7">
        <v>1</v>
      </c>
      <c r="H140" s="22" t="s">
        <v>268</v>
      </c>
      <c r="I140" s="13">
        <v>42729.900266203702</v>
      </c>
      <c r="J140" s="7">
        <v>0</v>
      </c>
      <c r="K140" s="109" t="str">
        <f t="shared" si="19"/>
        <v>4013/4014</v>
      </c>
      <c r="L140" s="22" t="str">
        <f>VLOOKUP(A140,'Trips&amp;Operators'!$C$1:$G$99999,5,FALSE)</f>
        <v>SMITH MICHAEL</v>
      </c>
      <c r="M140" s="6">
        <f t="shared" si="20"/>
        <v>2.7847222219861578E-2</v>
      </c>
      <c r="N140" s="7">
        <f t="shared" si="21"/>
        <v>40.099999996600673</v>
      </c>
      <c r="O140" s="7"/>
      <c r="P140" s="7"/>
      <c r="Q140" s="23"/>
      <c r="R140" s="23"/>
      <c r="S140" s="35">
        <f t="shared" si="22"/>
        <v>1</v>
      </c>
      <c r="T140" s="50" t="str">
        <f t="shared" si="23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4"/>
        <v>https://search-rtdc-monitor-bjffxe2xuh6vdkpspy63sjmuny.us-east-1.es.amazonaws.com/_plugin/kibana/#/discover/Steve-Slow-Train-Analysis-(2080s-and-2083s)?_g=(refreshInterval:(display:Off,section:0,value:0),time:(from:'2016-12-25 19:45:33-700',mode:absolute,to:'2016-12-25 22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0" s="52" t="str">
        <f t="shared" si="25"/>
        <v>N</v>
      </c>
      <c r="X140" s="177">
        <f t="shared" si="26"/>
        <v>1</v>
      </c>
      <c r="Y140" s="67">
        <f t="shared" si="27"/>
        <v>23.297599999999999</v>
      </c>
      <c r="Z140" s="67">
        <f t="shared" si="28"/>
        <v>1.6E-2</v>
      </c>
      <c r="AA140" s="67">
        <f t="shared" si="29"/>
        <v>23.281600000000001</v>
      </c>
      <c r="AB140" s="64" t="e">
        <f>VLOOKUP(A140,Enforcements!$C$7:$K$19,8,0)</f>
        <v>#N/A</v>
      </c>
      <c r="AC140" s="60" t="e">
        <f>VLOOKUP(A140,Enforcements!$C$7:$E$19,3,0)</f>
        <v>#N/A</v>
      </c>
      <c r="AD140" s="61" t="str">
        <f t="shared" si="30"/>
        <v>0226-25</v>
      </c>
      <c r="AE140" s="91" t="str">
        <f t="shared" si="31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140" s="88" t="str">
        <f t="shared" si="32"/>
        <v>"C:\Program Files (x86)\AstroGrep\AstroGrep.exe" /spath="%USERPROFILE%\AppData\Local\Temp\OnboardLogs" /stypes="app*4013*20161226*" /stext=" 04:.+((SYSTEM_STATE.+slice.+state.+changed )|(ment ac)|(multiple cpu faults)|(system.+state.+changed )|(\[timeout)|(PRM\|1\|D)|(kpr)|(kdp)|(\|lc)|(penalty))" /e /r /s</v>
      </c>
      <c r="AG140" s="1" t="str">
        <f t="shared" si="33"/>
        <v>EC</v>
      </c>
      <c r="AH140" s="92" t="str">
        <f t="shared" si="34"/>
        <v>"%USERPROFILE%\Documents\GitHub\eaglep3\Utilities\RefineRTDCRunTimes.py" --tripid 226-25 --locoid 4013 --swversion DE.1.0.8.0 --startMP 204:232976 --initTime 2016-12-25T20:45:33 --startdatetime 2016-12-25T20:56:17 --delay 1 --endMP 204:160 --enddatetime 2016-12-25T21:36:23 --enforcementcount 0 &gt;&gt;C:\Users\stu\Documents\GitHub\eaglep3-reporting\EC\2016-12-25-refined-times.txt</v>
      </c>
      <c r="AI140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{"issue":{"subject":"","project_id":79,"tracker_id":40,"status_id":1,"priority_id":2,"assigned_to_id":23,"start_date":"2016-12-25","description":"","custom_fields":[{"id":1,"name":"Subdivision","value":"EC"},{"id":4,"name":"Milepost","value":"0.016"},{"id":17,"name":"Train ID","value":"226-25"},{"id":16,"name":"Locomotive ID","value":"4013"},{"id":130,"name":"Impact","value":""},{"id":150,"name":"Time of Event (Mountain Time)","value":"21:36:23"},{"id":151,"name":"Denver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635</v>
      </c>
      <c r="B141" s="7">
        <v>4018</v>
      </c>
      <c r="C141" s="22" t="s">
        <v>205</v>
      </c>
      <c r="D141" s="22" t="s">
        <v>242</v>
      </c>
      <c r="E141" s="13">
        <v>42729.837719907409</v>
      </c>
      <c r="F141" s="13">
        <v>42729.854849537034</v>
      </c>
      <c r="G141" s="7">
        <v>1</v>
      </c>
      <c r="H141" s="22" t="s">
        <v>742</v>
      </c>
      <c r="I141" s="13">
        <v>42729.879212962966</v>
      </c>
      <c r="J141" s="7">
        <v>0</v>
      </c>
      <c r="K141" s="109" t="str">
        <f t="shared" ref="K141:K203" si="36">IF(ISEVEN(B141),(B141-1)&amp;"/"&amp;B141,B141&amp;"/"&amp;(B141+1))</f>
        <v>4017/4018</v>
      </c>
      <c r="L141" s="22" t="str">
        <f>VLOOKUP(A141,'Trips&amp;Operators'!$C$1:$G$99999,5,FALSE)</f>
        <v>STAMBAUGH JAMES</v>
      </c>
      <c r="M141" s="6">
        <f t="shared" ref="M141:M203" si="37">I141-F141</f>
        <v>2.436342593136942E-2</v>
      </c>
      <c r="N141" s="7">
        <f t="shared" ref="N141:N203" si="38">24*60*SUM($M141:$M141)</f>
        <v>35.083333341171965</v>
      </c>
      <c r="O141" s="7"/>
      <c r="P141" s="7"/>
      <c r="Q141" s="23"/>
      <c r="R141" s="23"/>
      <c r="S141" s="35">
        <f t="shared" ref="S141:S203" si="39">SUM(U141:U141)/IF(AG141="EC",12,1)</f>
        <v>1</v>
      </c>
      <c r="T141" s="50" t="str">
        <f t="shared" ref="T141:T203" si="40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3" si="41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https://search-rtdc-monitor-bjffxe2xuh6vdkpspy63sjmuny.us-east-1.es.amazonaws.com/_plugin/kibana/#/discover/Steve-Slow-Train-Analysis-(2080s-and-2083s)?_g=(refreshInterval:(display:Off,section:0,value:0),time:(from:'2016-12-25 19:06:19-700',mode:absolute,to:'2016-12-25 22:06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1" s="52" t="str">
        <f t="shared" ref="W141:W203" si="42">IF(AA141&lt;IF(AG141="EC",23,5.65),"Y","N")</f>
        <v>N</v>
      </c>
      <c r="X141" s="177">
        <f t="shared" ref="X141:X203" si="43">VALUE(LEFT(AD141,4))-VALUE(LEFT(AD140,4))</f>
        <v>1</v>
      </c>
      <c r="Y141" s="67">
        <f t="shared" ref="Y141:Y203" si="44">RIGHT(D141,LEN(D141)-4)/10000</f>
        <v>4.58E-2</v>
      </c>
      <c r="Z141" s="67">
        <f t="shared" ref="Z141:Z203" si="45">RIGHT(H141,LEN(H141)-4)/10000</f>
        <v>23.333600000000001</v>
      </c>
      <c r="AA141" s="67">
        <f t="shared" ref="AA141:AA203" si="46">ABS(Z141-Y141)</f>
        <v>23.287800000000001</v>
      </c>
      <c r="AB141" s="64" t="e">
        <f>VLOOKUP(A141,Enforcements!$C$7:$K$19,8,0)</f>
        <v>#N/A</v>
      </c>
      <c r="AC141" s="60" t="e">
        <f>VLOOKUP(A141,Enforcements!$C$7:$E$19,3,0)</f>
        <v>#N/A</v>
      </c>
      <c r="AD141" s="61" t="str">
        <f t="shared" ref="AD141:AD203" si="47">IF(LEN(A141)=6,"0"&amp;A141,A141)</f>
        <v>0227-25</v>
      </c>
      <c r="AE141" s="91" t="str">
        <f t="shared" ref="AE141:AE203" si="48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41" s="88" t="str">
        <f t="shared" ref="AF141:AF203" si="49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/stypes="app*4018*20161226*" /stext=" 04:.+((SYSTEM_STATE.+slice.+state.+changed )|(ment ac)|(multiple cpu faults)|(system.+state.+changed )|(\[timeout)|(PRM\|1\|D)|(kpr)|(kdp)|(\|lc)|(penalty))" /e /r /s</v>
      </c>
      <c r="AG141" s="1" t="str">
        <f t="shared" ref="AG141:AG203" si="50">IFERROR(IF(VALUE(LEFT(AD141,2))&lt;=2,"EC",IF(OR(VALUE(LEFT(AD141,2))=8,VALUE(LEFT(AD141,2))=18),"NW","Other")),"Other")</f>
        <v>EC</v>
      </c>
      <c r="AH141" s="92" t="str">
        <f t="shared" si="34"/>
        <v>"%USERPROFILE%\Documents\GitHub\eaglep3\Utilities\RefineRTDCRunTimes.py" --tripid 227-25 --locoid 4018 --swversion DE.1.0.8.0 --startMP 204:458 --initTime 2016-12-25T20:06:19 --startdatetime 2016-12-25T20:30:59 --delay 1 --endMP 204:233336 --enddatetime 2016-12-25T21:06:04 --enforcementcount 0 &gt;&gt;C:\Users\stu\Documents\GitHub\eaglep3-reporting\EC\2016-12-25-refined-times.txt</v>
      </c>
      <c r="AI141" s="119" t="str">
        <f t="shared" si="35"/>
        <v>echo {"issue":{"subject":"","project_id":79,"tracker_id":40,"status_id":1,"priority_id":2,"assigned_to_id":23,"start_date":"2016-12-25","description":"","custom_fields":[{"id":1,"name":"Subdivision","value":"EC"},{"id":4,"name":"Milepost","value":"23.3336"},{"id":17,"name":"Train ID","value":"227-25"},{"id":16,"name":"Locomotive ID","value":"4018"},{"id":130,"name":"Impact","value":""},{"id":150,"name":"Time of Event (Mountain Time)","value":"21:06:04"},{"id":151,"name":"Denver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x14ac:dyDescent="0.25">
      <c r="A142" s="37" t="s">
        <v>456</v>
      </c>
      <c r="B142" s="7">
        <v>4017</v>
      </c>
      <c r="C142" s="22" t="s">
        <v>205</v>
      </c>
      <c r="D142" s="22" t="s">
        <v>411</v>
      </c>
      <c r="E142" s="13">
        <v>42729.889421296299</v>
      </c>
      <c r="F142" s="13">
        <v>42729.893530092595</v>
      </c>
      <c r="G142" s="7">
        <v>2</v>
      </c>
      <c r="H142" s="22" t="s">
        <v>743</v>
      </c>
      <c r="I142" s="13">
        <v>42729.919166666667</v>
      </c>
      <c r="J142" s="7">
        <v>0</v>
      </c>
      <c r="K142" s="109" t="str">
        <f t="shared" si="36"/>
        <v>4017/4018</v>
      </c>
      <c r="L142" s="22" t="str">
        <f>VLOOKUP(A142,'Trips&amp;Operators'!$C$1:$G$99999,5,FALSE)</f>
        <v>STAMBAUGH JAMES</v>
      </c>
      <c r="M142" s="6">
        <f t="shared" si="37"/>
        <v>2.5636574071540963E-2</v>
      </c>
      <c r="N142" s="7">
        <f t="shared" si="38"/>
        <v>36.916666663018987</v>
      </c>
      <c r="O142" s="7"/>
      <c r="P142" s="7"/>
      <c r="Q142" s="23"/>
      <c r="R142" s="23"/>
      <c r="S142" s="35">
        <f t="shared" si="39"/>
        <v>1</v>
      </c>
      <c r="T142" s="50" t="str">
        <f t="shared" si="40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20:20:46-700',mode:absolute,to:'2016-12-25 23:03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2" s="52" t="str">
        <f t="shared" si="42"/>
        <v>N</v>
      </c>
      <c r="X142" s="177">
        <f t="shared" si="43"/>
        <v>1</v>
      </c>
      <c r="Y142" s="67">
        <f t="shared" si="44"/>
        <v>23.3004</v>
      </c>
      <c r="Z142" s="67">
        <f t="shared" si="45"/>
        <v>2.23E-2</v>
      </c>
      <c r="AA142" s="67">
        <f t="shared" si="46"/>
        <v>23.278099999999998</v>
      </c>
      <c r="AB142" s="64" t="e">
        <f>VLOOKUP(A142,Enforcements!$C$7:$K$19,8,0)</f>
        <v>#N/A</v>
      </c>
      <c r="AC142" s="60" t="e">
        <f>VLOOKUP(A142,Enforcements!$C$7:$E$19,3,0)</f>
        <v>#N/A</v>
      </c>
      <c r="AD142" s="61" t="str">
        <f t="shared" si="47"/>
        <v>0228-25</v>
      </c>
      <c r="AE142" s="91" t="str">
        <f t="shared" si="48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142" s="88" t="str">
        <f t="shared" si="49"/>
        <v>"C:\Program Files (x86)\AstroGrep\AstroGrep.exe" /spath="%USERPROFILE%\AppData\Local\Temp\OnboardLogs" /stypes="app*4017*20161226*" /stext=" 05:.+((SYSTEM_STATE.+slice.+state.+changed )|(ment ac)|(multiple cpu faults)|(system.+state.+changed )|(\[timeout)|(PRM\|1\|D)|(kpr)|(kdp)|(\|lc)|(penalty))" /e /r /s</v>
      </c>
      <c r="AG142" s="1" t="str">
        <f t="shared" si="50"/>
        <v>EC</v>
      </c>
      <c r="AH142" s="92" t="str">
        <f t="shared" ref="AH142:AH204" si="51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228-25 --locoid 4017 --swversion DE.1.0.8.0 --startMP 204:233004 --initTime 2016-12-25T21:20:46 --startdatetime 2016-12-25T21:26:41 --delay 2 --endMP 204:223 --enddatetime 2016-12-25T22:03:36 --enforcementcount 0 &gt;&gt;C:\Users\stu\Documents\GitHub\eaglep3-reporting\EC\2016-12-25-refined-times.txt</v>
      </c>
      <c r="AI142" s="119" t="str">
        <f t="shared" ref="AI142:AI204" si="52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{"issue":{"subject":"","project_id":79,"tracker_id":40,"status_id":1,"priority_id":2,"assigned_to_id":23,"start_date":"2016-12-25","description":"","custom_fields":[{"id":1,"name":"Subdivision","value":"EC"},{"id":4,"name":"Milepost","value":"0.0223"},{"id":17,"name":"Train ID","value":"228-25"},{"id":16,"name":"Locomotive ID","value":"4017"},{"id":130,"name":"Impact","value":""},{"id":150,"name":"Time of Event (Mountain Time)","value":"22:03:36"},{"id":151,"name":"Denver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455</v>
      </c>
      <c r="B143" s="7">
        <v>4009</v>
      </c>
      <c r="C143" s="22" t="s">
        <v>205</v>
      </c>
      <c r="D143" s="22" t="s">
        <v>275</v>
      </c>
      <c r="E143" s="13">
        <v>42729.87395833333</v>
      </c>
      <c r="F143" s="13">
        <v>42729.875335648147</v>
      </c>
      <c r="G143" s="7">
        <v>1</v>
      </c>
      <c r="H143" s="22" t="s">
        <v>744</v>
      </c>
      <c r="I143" s="13">
        <v>42729.900891203702</v>
      </c>
      <c r="J143" s="7">
        <v>0</v>
      </c>
      <c r="K143" s="109" t="str">
        <f t="shared" si="36"/>
        <v>4009/4010</v>
      </c>
      <c r="L143" s="22" t="str">
        <f>VLOOKUP(A143,'Trips&amp;Operators'!$C$1:$G$99999,5,FALSE)</f>
        <v>CHANDLER KELVIN</v>
      </c>
      <c r="M143" s="6">
        <f t="shared" si="37"/>
        <v>2.5555555555911269E-2</v>
      </c>
      <c r="N143" s="7">
        <f t="shared" si="38"/>
        <v>36.800000000512227</v>
      </c>
      <c r="O143" s="7"/>
      <c r="P143" s="7"/>
      <c r="Q143" s="23"/>
      <c r="R143" s="23"/>
      <c r="S143" s="35">
        <f t="shared" si="39"/>
        <v>1</v>
      </c>
      <c r="T143" s="50" t="str">
        <f t="shared" si="40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19:58:30-700',mode:absolute,to:'2016-12-25 22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3" s="52" t="str">
        <f t="shared" si="42"/>
        <v>N</v>
      </c>
      <c r="X143" s="177">
        <f t="shared" si="43"/>
        <v>1</v>
      </c>
      <c r="Y143" s="67">
        <f t="shared" si="44"/>
        <v>4.7699999999999999E-2</v>
      </c>
      <c r="Z143" s="67">
        <f t="shared" si="45"/>
        <v>23.322299999999998</v>
      </c>
      <c r="AA143" s="67">
        <f t="shared" si="46"/>
        <v>23.2746</v>
      </c>
      <c r="AB143" s="64" t="str">
        <f>VLOOKUP(A143,Enforcements!$C$7:$K$19,8,0)</f>
        <v>Signal based authority (5)</v>
      </c>
      <c r="AC143" s="60" t="str">
        <f>VLOOKUP(A143,Enforcements!$C$7:$E$19,3,0)</f>
        <v>SIGNAL</v>
      </c>
      <c r="AD143" s="61" t="str">
        <f t="shared" si="47"/>
        <v>0229-25</v>
      </c>
      <c r="AE143" s="91" t="str">
        <f t="shared" si="48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43" s="88" t="str">
        <f t="shared" si="49"/>
        <v>"C:\Program Files (x86)\AstroGrep\AstroGrep.exe" /spath="%USERPROFILE%\AppData\Local\Temp\OnboardLogs" /stypes="app*4009*20161226*" /stext=" 04:.+((SYSTEM_STATE.+slice.+state.+changed )|(ment ac)|(multiple cpu faults)|(system.+state.+changed )|(\[timeout)|(PRM\|1\|D)|(kpr)|(kdp)|(\|lc)|(penalty))" /e /r /s</v>
      </c>
      <c r="AG143" s="1" t="str">
        <f t="shared" si="50"/>
        <v>EC</v>
      </c>
      <c r="AH143" s="92" t="str">
        <f t="shared" si="51"/>
        <v>"%USERPROFILE%\Documents\GitHub\eaglep3\Utilities\RefineRTDCRunTimes.py" --tripid 229-25 --locoid 4009 --swversion DE.1.0.8.0 --startMP 204:477 --initTime 2016-12-25T20:58:30 --startdatetime 2016-12-25T21:00:29 --delay 1 --endMP 204:233223 --enddatetime 2016-12-25T21:37:17 --enforcementcount 0 &gt;&gt;C:\Users\stu\Documents\GitHub\eaglep3-reporting\EC\2016-12-25-refined-times.txt</v>
      </c>
      <c r="AI143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{"issue":{"subject":"","project_id":79,"tracker_id":40,"status_id":1,"priority_id":2,"assigned_to_id":23,"start_date":"2016-12-25","description":"","custom_fields":[{"id":1,"name":"Subdivision","value":"EC"},{"id":4,"name":"Milepost","value":"23.3223"},{"id":17,"name":"Train ID","value":"229-25"},{"id":16,"name":"Locomotive ID","value":"4009"},{"id":130,"name":"Impact","value":""},{"id":150,"name":"Time of Event (Mountain Time)","value":"21:37:17"},{"id":151,"name":"Denver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457</v>
      </c>
      <c r="B144" s="7">
        <v>4010</v>
      </c>
      <c r="C144" s="22" t="s">
        <v>205</v>
      </c>
      <c r="D144" s="22" t="s">
        <v>329</v>
      </c>
      <c r="E144" s="13">
        <v>42729.914143518516</v>
      </c>
      <c r="F144" s="13">
        <v>42729.915277777778</v>
      </c>
      <c r="G144" s="7">
        <v>1</v>
      </c>
      <c r="H144" s="22" t="s">
        <v>419</v>
      </c>
      <c r="I144" s="13">
        <v>42729.943159722221</v>
      </c>
      <c r="J144" s="7">
        <v>0</v>
      </c>
      <c r="K144" s="109" t="str">
        <f t="shared" si="36"/>
        <v>4009/4010</v>
      </c>
      <c r="L144" s="22" t="str">
        <f>VLOOKUP(A144,'Trips&amp;Operators'!$C$1:$G$99999,5,FALSE)</f>
        <v>CHANDLER KELVIN</v>
      </c>
      <c r="M144" s="6">
        <f t="shared" si="37"/>
        <v>2.7881944442924578E-2</v>
      </c>
      <c r="N144" s="7">
        <f t="shared" si="38"/>
        <v>40.149999997811392</v>
      </c>
      <c r="O144" s="7"/>
      <c r="P144" s="7"/>
      <c r="Q144" s="23"/>
      <c r="R144" s="23"/>
      <c r="S144" s="35">
        <f t="shared" si="39"/>
        <v>1</v>
      </c>
      <c r="T144" s="50" t="str">
        <f t="shared" si="40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20:56:22-700',mode:absolute,to:'2016-12-25 23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4" s="52" t="str">
        <f t="shared" si="42"/>
        <v>N</v>
      </c>
      <c r="X144" s="177">
        <f t="shared" si="43"/>
        <v>1</v>
      </c>
      <c r="Y144" s="67">
        <f t="shared" si="44"/>
        <v>23.3002</v>
      </c>
      <c r="Z144" s="67">
        <f t="shared" si="45"/>
        <v>1.7999999999999999E-2</v>
      </c>
      <c r="AA144" s="67">
        <f t="shared" si="46"/>
        <v>23.2822</v>
      </c>
      <c r="AB144" s="64" t="e">
        <f>VLOOKUP(A144,Enforcements!$C$7:$K$19,8,0)</f>
        <v>#N/A</v>
      </c>
      <c r="AC144" s="60" t="e">
        <f>VLOOKUP(A144,Enforcements!$C$7:$E$19,3,0)</f>
        <v>#N/A</v>
      </c>
      <c r="AD144" s="61" t="str">
        <f t="shared" si="47"/>
        <v>0230-25</v>
      </c>
      <c r="AE144" s="91" t="str">
        <f t="shared" si="48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144" s="88" t="str">
        <f t="shared" si="49"/>
        <v>"C:\Program Files (x86)\AstroGrep\AstroGrep.exe" /spath="%USERPROFILE%\AppData\Local\Temp\OnboardLogs" /stypes="app*4010*20161226*" /stext=" 05:.+((SYSTEM_STATE.+slice.+state.+changed )|(ment ac)|(multiple cpu faults)|(system.+state.+changed )|(\[timeout)|(PRM\|1\|D)|(kpr)|(kdp)|(\|lc)|(penalty))" /e /r /s</v>
      </c>
      <c r="AG144" s="1" t="str">
        <f t="shared" si="50"/>
        <v>EC</v>
      </c>
      <c r="AH144" s="92" t="str">
        <f t="shared" si="51"/>
        <v>"%USERPROFILE%\Documents\GitHub\eaglep3\Utilities\RefineRTDCRunTimes.py" --tripid 230-25 --locoid 4010 --swversion DE.1.0.8.0 --startMP 204:233002 --initTime 2016-12-25T21:56:22 --startdatetime 2016-12-25T21:58:00 --delay 1 --endMP 204:180 --enddatetime 2016-12-25T22:38:09 --enforcementcount 0 &gt;&gt;C:\Users\stu\Documents\GitHub\eaglep3-reporting\EC\2016-12-25-refined-times.txt</v>
      </c>
      <c r="AI144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{"issue":{"subject":"","project_id":79,"tracker_id":40,"status_id":1,"priority_id":2,"assigned_to_id":23,"start_date":"2016-12-25","description":"","custom_fields":[{"id":1,"name":"Subdivision","value":"EC"},{"id":4,"name":"Milepost","value":"0.018"},{"id":17,"name":"Train ID","value":"230-25"},{"id":16,"name":"Locomotive ID","value":"4010"},{"id":130,"name":"Impact","value":""},{"id":150,"name":"Time of Event (Mountain Time)","value":"22:38:09"},{"id":151,"name":"Denver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640</v>
      </c>
      <c r="B145" s="7">
        <v>4042</v>
      </c>
      <c r="C145" s="22" t="s">
        <v>205</v>
      </c>
      <c r="D145" s="22" t="s">
        <v>228</v>
      </c>
      <c r="E145" s="13">
        <v>42729.879710648151</v>
      </c>
      <c r="F145" s="13">
        <v>42729.895983796298</v>
      </c>
      <c r="G145" s="7">
        <v>1</v>
      </c>
      <c r="H145" s="22" t="s">
        <v>317</v>
      </c>
      <c r="I145" s="13">
        <v>42729.920034722221</v>
      </c>
      <c r="J145" s="7">
        <v>0</v>
      </c>
      <c r="K145" s="109" t="str">
        <f t="shared" si="36"/>
        <v>4041/4042</v>
      </c>
      <c r="L145" s="22" t="str">
        <f>VLOOKUP(A145,'Trips&amp;Operators'!$C$1:$G$99999,5,FALSE)</f>
        <v>NEWELL JAMES</v>
      </c>
      <c r="M145" s="6">
        <f t="shared" si="37"/>
        <v>2.4050925923802424E-2</v>
      </c>
      <c r="N145" s="7">
        <f t="shared" si="38"/>
        <v>34.633333330275491</v>
      </c>
      <c r="O145" s="7"/>
      <c r="P145" s="7"/>
      <c r="Q145" s="23"/>
      <c r="R145" s="23"/>
      <c r="S145" s="35">
        <f t="shared" si="39"/>
        <v>1</v>
      </c>
      <c r="T145" s="50" t="str">
        <f t="shared" si="40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20:06:47-700',mode:absolute,to:'2016-12-25 23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2" t="str">
        <f t="shared" si="42"/>
        <v>N</v>
      </c>
      <c r="X145" s="177">
        <f t="shared" si="43"/>
        <v>1</v>
      </c>
      <c r="Y145" s="67">
        <f t="shared" si="44"/>
        <v>4.5499999999999999E-2</v>
      </c>
      <c r="Z145" s="67">
        <f t="shared" si="45"/>
        <v>23.329699999999999</v>
      </c>
      <c r="AA145" s="67">
        <f t="shared" si="46"/>
        <v>23.284199999999998</v>
      </c>
      <c r="AB145" s="64" t="e">
        <f>VLOOKUP(A145,Enforcements!$C$7:$K$19,8,0)</f>
        <v>#N/A</v>
      </c>
      <c r="AC145" s="60" t="e">
        <f>VLOOKUP(A145,Enforcements!$C$7:$E$19,3,0)</f>
        <v>#N/A</v>
      </c>
      <c r="AD145" s="61" t="str">
        <f t="shared" si="47"/>
        <v>0231-25</v>
      </c>
      <c r="AE145" s="91" t="str">
        <f t="shared" si="48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45" s="88" t="str">
        <f t="shared" si="49"/>
        <v>"C:\Program Files (x86)\AstroGrep\AstroGrep.exe" /spath="%USERPROFILE%\AppData\Local\Temp\OnboardLogs" /stypes="app*4042*20161226*" /stext=" 05:.+((SYSTEM_STATE.+slice.+state.+changed )|(ment ac)|(multiple cpu faults)|(system.+state.+changed )|(\[timeout)|(PRM\|1\|D)|(kpr)|(kdp)|(\|lc)|(penalty))" /e /r /s</v>
      </c>
      <c r="AG145" s="1" t="str">
        <f t="shared" si="50"/>
        <v>EC</v>
      </c>
      <c r="AH145" s="92" t="str">
        <f t="shared" si="51"/>
        <v>"%USERPROFILE%\Documents\GitHub\eaglep3\Utilities\RefineRTDCRunTimes.py" --tripid 231-25 --locoid 4042 --swversion DE.1.0.8.0 --startMP 204:455 --initTime 2016-12-25T21:06:47 --startdatetime 2016-12-25T21:30:13 --delay 1 --endMP 204:233297 --enddatetime 2016-12-25T22:04:51 --enforcementcount 0 &gt;&gt;C:\Users\stu\Documents\GitHub\eaglep3-reporting\EC\2016-12-25-refined-times.txt</v>
      </c>
      <c r="AI145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{"issue":{"subject":"","project_id":79,"tracker_id":40,"status_id":1,"priority_id":2,"assigned_to_id":23,"start_date":"2016-12-25","description":"","custom_fields":[{"id":1,"name":"Subdivision","value":"EC"},{"id":4,"name":"Milepost","value":"23.3297"},{"id":17,"name":"Train ID","value":"231-25"},{"id":16,"name":"Locomotive ID","value":"4042"},{"id":130,"name":"Impact","value":""},{"id":150,"name":"Time of Event (Mountain Time)","value":"22:04:51"},{"id":151,"name":"Denver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646</v>
      </c>
      <c r="B146" s="7">
        <v>4041</v>
      </c>
      <c r="C146" s="22" t="s">
        <v>205</v>
      </c>
      <c r="D146" s="22" t="s">
        <v>411</v>
      </c>
      <c r="E146" s="13">
        <v>42729.932210648149</v>
      </c>
      <c r="F146" s="13">
        <v>42729.934884259259</v>
      </c>
      <c r="G146" s="7">
        <v>0</v>
      </c>
      <c r="H146" s="22" t="s">
        <v>357</v>
      </c>
      <c r="I146" s="13">
        <v>42729.960972222223</v>
      </c>
      <c r="J146" s="7">
        <v>0</v>
      </c>
      <c r="K146" s="109" t="str">
        <f t="shared" si="36"/>
        <v>4041/4042</v>
      </c>
      <c r="L146" s="22" t="str">
        <f>VLOOKUP(A146,'Trips&amp;Operators'!$C$1:$G$99999,5,FALSE)</f>
        <v>NEWELL JAMES</v>
      </c>
      <c r="M146" s="6">
        <f t="shared" si="37"/>
        <v>2.6087962964083999E-2</v>
      </c>
      <c r="N146" s="7">
        <f t="shared" si="38"/>
        <v>37.566666668280959</v>
      </c>
      <c r="O146" s="7"/>
      <c r="P146" s="7"/>
      <c r="Q146" s="23"/>
      <c r="R146" s="23"/>
      <c r="S146" s="35">
        <f t="shared" si="39"/>
        <v>1</v>
      </c>
      <c r="T146" s="50" t="str">
        <f t="shared" si="40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21:22:23-700',mode:absolute,to:'2016-12-26 00:03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2" t="str">
        <f t="shared" si="42"/>
        <v>N</v>
      </c>
      <c r="X146" s="177">
        <f t="shared" si="43"/>
        <v>1</v>
      </c>
      <c r="Y146" s="67">
        <f t="shared" si="44"/>
        <v>23.3004</v>
      </c>
      <c r="Z146" s="67">
        <f t="shared" si="45"/>
        <v>1.41E-2</v>
      </c>
      <c r="AA146" s="67">
        <f t="shared" si="46"/>
        <v>23.286300000000001</v>
      </c>
      <c r="AB146" s="64" t="e">
        <f>VLOOKUP(A146,Enforcements!$C$7:$K$19,8,0)</f>
        <v>#N/A</v>
      </c>
      <c r="AC146" s="60" t="e">
        <f>VLOOKUP(A146,Enforcements!$C$7:$E$19,3,0)</f>
        <v>#N/A</v>
      </c>
      <c r="AD146" s="61" t="str">
        <f t="shared" si="47"/>
        <v>0232-25</v>
      </c>
      <c r="AE146" s="91" t="str">
        <f t="shared" si="48"/>
        <v>aws s3 cp s3://rtdc.mdm.uploadarchive.raw/RTDC4041/ "%USERPROFILE%\AppData\Local\Temp\OnboardLogs"\RTDC4041\2016-12-25 --exclude "*" --recursive --include "*20161225*" &amp; "%USERPROFILE%\Documents\GitHub\mrs-test-scripts\Headless Mode &amp; Sideloading\WalkAndUnGZ.bat" "%USERPROFILE%\AppData\Local\Temp\OnboardLogs"\RTDC4041\2016-12-25 &amp; 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</v>
      </c>
      <c r="AF146" s="88" t="str">
        <f t="shared" si="49"/>
        <v>"C:\Program Files (x86)\AstroGrep\AstroGrep.exe" /spath="%USERPROFILE%\AppData\Local\Temp\OnboardLogs" /stypes="app*4041*20161226*" /stext=" 06:.+((SYSTEM_STATE.+slice.+state.+changed )|(ment ac)|(multiple cpu faults)|(system.+state.+changed )|(\[timeout)|(PRM\|1\|D)|(kpr)|(kdp)|(\|lc)|(penalty))" /e /r /s</v>
      </c>
      <c r="AG146" s="1" t="str">
        <f t="shared" si="50"/>
        <v>EC</v>
      </c>
      <c r="AH146" s="92" t="str">
        <f t="shared" si="51"/>
        <v>"%USERPROFILE%\Documents\GitHub\eaglep3\Utilities\RefineRTDCRunTimes.py" --tripid 232-25 --locoid 4041 --swversion DE.1.0.8.0 --startMP 204:233004 --initTime 2016-12-25T22:22:23 --startdatetime 2016-12-25T22:26:14 --delay 0 --endMP 204:141 --enddatetime 2016-12-25T23:03:48 --enforcementcount 0 &gt;&gt;C:\Users\stu\Documents\GitHub\eaglep3-reporting\EC\2016-12-25-refined-times.txt</v>
      </c>
      <c r="AI146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{"issue":{"subject":"","project_id":79,"tracker_id":40,"status_id":1,"priority_id":2,"assigned_to_id":23,"start_date":"2016-12-25","description":"","custom_fields":[{"id":1,"name":"Subdivision","value":"EC"},{"id":4,"name":"Milepost","value":"0.0141"},{"id":17,"name":"Train ID","value":"232-25"},{"id":16,"name":"Locomotive ID","value":"4041"},{"id":130,"name":"Impact","value":""},{"id":150,"name":"Time of Event (Mountain Time)","value":"23:03:48"},{"id":151,"name":"Denver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643</v>
      </c>
      <c r="B147" s="7">
        <v>4014</v>
      </c>
      <c r="C147" s="22" t="s">
        <v>205</v>
      </c>
      <c r="D147" s="22" t="s">
        <v>314</v>
      </c>
      <c r="E147" s="13">
        <v>42729.902581018519</v>
      </c>
      <c r="F147" s="13">
        <v>42729.916875000003</v>
      </c>
      <c r="G147" s="7">
        <v>1</v>
      </c>
      <c r="H147" s="22" t="s">
        <v>745</v>
      </c>
      <c r="I147" s="13">
        <v>42729.942337962966</v>
      </c>
      <c r="J147" s="7">
        <v>0</v>
      </c>
      <c r="K147" s="109" t="str">
        <f t="shared" si="36"/>
        <v>4013/4014</v>
      </c>
      <c r="L147" s="22" t="str">
        <f>VLOOKUP(A147,'Trips&amp;Operators'!$C$1:$G$99999,5,FALSE)</f>
        <v>SMITH MICHAEL</v>
      </c>
      <c r="M147" s="6">
        <f t="shared" si="37"/>
        <v>2.5462962963501923E-2</v>
      </c>
      <c r="N147" s="7">
        <f t="shared" si="38"/>
        <v>36.666666667442769</v>
      </c>
      <c r="O147" s="7"/>
      <c r="P147" s="7"/>
      <c r="Q147" s="23"/>
      <c r="R147" s="23"/>
      <c r="S147" s="35">
        <f t="shared" si="39"/>
        <v>1</v>
      </c>
      <c r="T147" s="50" t="str">
        <f t="shared" si="40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20:39:43-700',mode:absolute,to:'2016-12-25 23:36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47" s="52" t="str">
        <f t="shared" si="42"/>
        <v>N</v>
      </c>
      <c r="X147" s="177">
        <f t="shared" si="43"/>
        <v>1</v>
      </c>
      <c r="Y147" s="67">
        <f t="shared" si="44"/>
        <v>4.7300000000000002E-2</v>
      </c>
      <c r="Z147" s="67">
        <f t="shared" si="45"/>
        <v>23.3263</v>
      </c>
      <c r="AA147" s="67">
        <f t="shared" si="46"/>
        <v>23.279</v>
      </c>
      <c r="AB147" s="64" t="e">
        <f>VLOOKUP(A147,Enforcements!$C$7:$K$19,8,0)</f>
        <v>#N/A</v>
      </c>
      <c r="AC147" s="60" t="e">
        <f>VLOOKUP(A147,Enforcements!$C$7:$E$19,3,0)</f>
        <v>#N/A</v>
      </c>
      <c r="AD147" s="61" t="str">
        <f t="shared" si="47"/>
        <v>0233-25</v>
      </c>
      <c r="AE147" s="91" t="str">
        <f t="shared" si="48"/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AF147" s="88" t="str">
        <f t="shared" si="49"/>
        <v>"C:\Program Files (x86)\AstroGrep\AstroGrep.exe" /spath="%USERPROFILE%\AppData\Local\Temp\OnboardLogs" /stypes="app*4014*20161226*" /stext=" 05:.+((SYSTEM_STATE.+slice.+state.+changed )|(ment ac)|(multiple cpu faults)|(system.+state.+changed )|(\[timeout)|(PRM\|1\|D)|(kpr)|(kdp)|(\|lc)|(penalty))" /e /r /s</v>
      </c>
      <c r="AG147" s="1" t="str">
        <f t="shared" si="50"/>
        <v>EC</v>
      </c>
      <c r="AH147" s="92" t="str">
        <f t="shared" si="51"/>
        <v>"%USERPROFILE%\Documents\GitHub\eaglep3\Utilities\RefineRTDCRunTimes.py" --tripid 233-25 --locoid 4014 --swversion DE.1.0.8.0 --startMP 204:473 --initTime 2016-12-25T21:39:43 --startdatetime 2016-12-25T22:00:18 --delay 1 --endMP 204:233263 --enddatetime 2016-12-25T22:36:58 --enforcementcount 0 &gt;&gt;C:\Users\stu\Documents\GitHub\eaglep3-reporting\EC\2016-12-25-refined-times.txt</v>
      </c>
      <c r="AI147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{"issue":{"subject":"","project_id":79,"tracker_id":40,"status_id":1,"priority_id":2,"assigned_to_id":23,"start_date":"2016-12-25","description":"","custom_fields":[{"id":1,"name":"Subdivision","value":"EC"},{"id":4,"name":"Milepost","value":"23.3263"},{"id":17,"name":"Train ID","value":"233-25"},{"id":16,"name":"Locomotive ID","value":"4014"},{"id":130,"name":"Impact","value":""},{"id":150,"name":"Time of Event (Mountain Time)","value":"22:36:58"},{"id":151,"name":"Denver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648</v>
      </c>
      <c r="B148" s="7">
        <v>4013</v>
      </c>
      <c r="C148" s="22" t="s">
        <v>205</v>
      </c>
      <c r="D148" s="22" t="s">
        <v>746</v>
      </c>
      <c r="E148" s="13">
        <v>42729.945254629631</v>
      </c>
      <c r="F148" s="13">
        <v>42729.955868055556</v>
      </c>
      <c r="G148" s="7">
        <v>1</v>
      </c>
      <c r="H148" s="22" t="s">
        <v>244</v>
      </c>
      <c r="I148" s="13">
        <v>42729.984224537038</v>
      </c>
      <c r="J148" s="7">
        <v>0</v>
      </c>
      <c r="K148" s="109" t="str">
        <f t="shared" si="36"/>
        <v>4013/4014</v>
      </c>
      <c r="L148" s="22" t="str">
        <f>VLOOKUP(A148,'Trips&amp;Operators'!$C$1:$G$99999,5,FALSE)</f>
        <v>SMITH MICHAEL</v>
      </c>
      <c r="M148" s="6">
        <f t="shared" si="37"/>
        <v>2.8356481481750961E-2</v>
      </c>
      <c r="N148" s="7">
        <f t="shared" si="38"/>
        <v>40.833333333721384</v>
      </c>
      <c r="O148" s="7"/>
      <c r="P148" s="7"/>
      <c r="Q148" s="23"/>
      <c r="R148" s="23"/>
      <c r="S148" s="35">
        <f t="shared" si="39"/>
        <v>1</v>
      </c>
      <c r="T148" s="50" t="str">
        <f t="shared" si="40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21:41:10-700',mode:absolute,to:'2016-12-26 00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48" s="52" t="str">
        <f t="shared" si="42"/>
        <v>N</v>
      </c>
      <c r="X148" s="177">
        <f t="shared" si="43"/>
        <v>1</v>
      </c>
      <c r="Y148" s="67">
        <f t="shared" si="44"/>
        <v>23.294899999999998</v>
      </c>
      <c r="Z148" s="67">
        <f t="shared" si="45"/>
        <v>1.6299999999999999E-2</v>
      </c>
      <c r="AA148" s="67">
        <f t="shared" si="46"/>
        <v>23.278599999999997</v>
      </c>
      <c r="AB148" s="64" t="e">
        <f>VLOOKUP(A148,Enforcements!$C$7:$K$19,8,0)</f>
        <v>#N/A</v>
      </c>
      <c r="AC148" s="60" t="e">
        <f>VLOOKUP(A148,Enforcements!$C$7:$E$19,3,0)</f>
        <v>#N/A</v>
      </c>
      <c r="AD148" s="61" t="str">
        <f t="shared" si="47"/>
        <v>0234-25</v>
      </c>
      <c r="AE148" s="91" t="str">
        <f t="shared" si="48"/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AF148" s="88" t="str">
        <f t="shared" si="49"/>
        <v>"C:\Program Files (x86)\AstroGrep\AstroGrep.exe" /spath="%USERPROFILE%\AppData\Local\Temp\OnboardLogs" /stypes="app*4013*20161226*" /stext=" 06:.+((SYSTEM_STATE.+slice.+state.+changed )|(ment ac)|(multiple cpu faults)|(system.+state.+changed )|(\[timeout)|(PRM\|1\|D)|(kpr)|(kdp)|(\|lc)|(penalty))" /e /r /s</v>
      </c>
      <c r="AG148" s="1" t="str">
        <f t="shared" si="50"/>
        <v>EC</v>
      </c>
      <c r="AH148" s="92" t="str">
        <f t="shared" si="51"/>
        <v>"%USERPROFILE%\Documents\GitHub\eaglep3\Utilities\RefineRTDCRunTimes.py" --tripid 234-25 --locoid 4013 --swversion DE.1.0.8.0 --startMP 204:232949 --initTime 2016-12-25T22:41:10 --startdatetime 2016-12-25T22:56:27 --delay 1 --endMP 204:163 --enddatetime 2016-12-25T23:37:17 --enforcementcount 0 &gt;&gt;C:\Users\stu\Documents\GitHub\eaglep3-reporting\EC\2016-12-25-refined-times.txt</v>
      </c>
      <c r="AI148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{"issue":{"subject":"","project_id":79,"tracker_id":40,"status_id":1,"priority_id":2,"assigned_to_id":23,"start_date":"2016-12-25","description":"","custom_fields":[{"id":1,"name":"Subdivision","value":"EC"},{"id":4,"name":"Milepost","value":"0.0163"},{"id":17,"name":"Train ID","value":"234-25"},{"id":16,"name":"Locomotive ID","value":"4013"},{"id":130,"name":"Impact","value":""},{"id":150,"name":"Time of Event (Mountain Time)","value":"23:37:17"},{"id":151,"name":"Denver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644</v>
      </c>
      <c r="B149" s="7">
        <v>4018</v>
      </c>
      <c r="C149" s="22" t="s">
        <v>205</v>
      </c>
      <c r="D149" s="22" t="s">
        <v>747</v>
      </c>
      <c r="E149" s="13">
        <v>42729.922025462962</v>
      </c>
      <c r="F149" s="13">
        <v>42729.937893518516</v>
      </c>
      <c r="G149" s="7">
        <v>1</v>
      </c>
      <c r="H149" s="22" t="s">
        <v>325</v>
      </c>
      <c r="I149" s="13">
        <v>42729.961898148147</v>
      </c>
      <c r="J149" s="7">
        <v>0</v>
      </c>
      <c r="K149" s="109" t="str">
        <f t="shared" si="36"/>
        <v>4017/4018</v>
      </c>
      <c r="L149" s="22" t="str">
        <f>VLOOKUP(A149,'Trips&amp;Operators'!$C$1:$G$99999,5,FALSE)</f>
        <v>STAMBAUGH JAMES</v>
      </c>
      <c r="M149" s="6">
        <f t="shared" si="37"/>
        <v>2.400462963123573E-2</v>
      </c>
      <c r="N149" s="7">
        <f t="shared" si="38"/>
        <v>34.566666668979451</v>
      </c>
      <c r="O149" s="7"/>
      <c r="P149" s="7"/>
      <c r="Q149" s="23"/>
      <c r="R149" s="23"/>
      <c r="S149" s="35">
        <f t="shared" si="39"/>
        <v>1</v>
      </c>
      <c r="T149" s="50" t="str">
        <f t="shared" si="40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21:07:43-700',mode:absolute,to:'2016-12-26 00:05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9" s="52" t="str">
        <f t="shared" si="42"/>
        <v>N</v>
      </c>
      <c r="X149" s="177">
        <f t="shared" si="43"/>
        <v>1</v>
      </c>
      <c r="Y149" s="67">
        <f t="shared" si="44"/>
        <v>5.2400000000000002E-2</v>
      </c>
      <c r="Z149" s="67">
        <f t="shared" si="45"/>
        <v>23.33</v>
      </c>
      <c r="AA149" s="67">
        <f t="shared" si="46"/>
        <v>23.2776</v>
      </c>
      <c r="AB149" s="64" t="e">
        <f>VLOOKUP(A149,Enforcements!$C$7:$K$19,8,0)</f>
        <v>#N/A</v>
      </c>
      <c r="AC149" s="60" t="e">
        <f>VLOOKUP(A149,Enforcements!$C$7:$E$19,3,0)</f>
        <v>#N/A</v>
      </c>
      <c r="AD149" s="61" t="str">
        <f t="shared" si="47"/>
        <v>0235-25</v>
      </c>
      <c r="AE149" s="91" t="str">
        <f t="shared" si="48"/>
        <v>aws s3 cp s3://rtdc.mdm.uploadarchive.raw/RTDC4018/ "%USERPROFILE%\AppData\Local\Temp\OnboardLogs"\RTDC4018\2016-12-25 --exclude "*" --recursive --include "*20161225*" &amp; "%USERPROFILE%\Documents\GitHub\mrs-test-scripts\Headless Mode &amp; Sideloading\WalkAndUnGZ.bat" "%USERPROFILE%\AppData\Local\Temp\OnboardLogs"\RTDC4018\2016-12-25 &amp; 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</v>
      </c>
      <c r="AF149" s="88" t="str">
        <f t="shared" si="49"/>
        <v>"C:\Program Files (x86)\AstroGrep\AstroGrep.exe" /spath="%USERPROFILE%\AppData\Local\Temp\OnboardLogs" /stypes="app*4018*20161226*" /stext=" 06:.+((SYSTEM_STATE.+slice.+state.+changed )|(ment ac)|(multiple cpu faults)|(system.+state.+changed )|(\[timeout)|(PRM\|1\|D)|(kpr)|(kdp)|(\|lc)|(penalty))" /e /r /s</v>
      </c>
      <c r="AG149" s="1" t="str">
        <f t="shared" si="50"/>
        <v>EC</v>
      </c>
      <c r="AH149" s="92" t="str">
        <f t="shared" si="51"/>
        <v>"%USERPROFILE%\Documents\GitHub\eaglep3\Utilities\RefineRTDCRunTimes.py" --tripid 235-25 --locoid 4018 --swversion DE.1.0.8.0 --startMP 204:524 --initTime 2016-12-25T22:07:43 --startdatetime 2016-12-25T22:30:34 --delay 1 --endMP 204:233300 --enddatetime 2016-12-25T23:05:08 --enforcementcount 0 &gt;&gt;C:\Users\stu\Documents\GitHub\eaglep3-reporting\EC\2016-12-25-refined-times.txt</v>
      </c>
      <c r="AI149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{"issue":{"subject":"","project_id":79,"tracker_id":40,"status_id":1,"priority_id":2,"assigned_to_id":23,"start_date":"2016-12-25","description":"","custom_fields":[{"id":1,"name":"Subdivision","value":"EC"},{"id":4,"name":"Milepost","value":"23.33"},{"id":17,"name":"Train ID","value":"235-25"},{"id":16,"name":"Locomotive ID","value":"4018"},{"id":130,"name":"Impact","value":""},{"id":150,"name":"Time of Event (Mountain Time)","value":"23:05:08"},{"id":151,"name":"Denver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651</v>
      </c>
      <c r="B150" s="7">
        <v>4017</v>
      </c>
      <c r="C150" s="22" t="s">
        <v>205</v>
      </c>
      <c r="D150" s="22" t="s">
        <v>332</v>
      </c>
      <c r="E150" s="13">
        <v>42729.973680555559</v>
      </c>
      <c r="F150" s="13">
        <v>42729.976898148147</v>
      </c>
      <c r="G150" s="7">
        <v>1</v>
      </c>
      <c r="H150" s="22" t="s">
        <v>268</v>
      </c>
      <c r="I150" s="13">
        <v>42730.003657407404</v>
      </c>
      <c r="J150" s="7">
        <v>0</v>
      </c>
      <c r="K150" s="109" t="str">
        <f t="shared" si="36"/>
        <v>4017/4018</v>
      </c>
      <c r="L150" s="22" t="str">
        <f>VLOOKUP(A150,'Trips&amp;Operators'!$C$1:$G$99999,5,FALSE)</f>
        <v>STAMBAUGH JAMES</v>
      </c>
      <c r="M150" s="6">
        <f t="shared" si="37"/>
        <v>2.675925925723277E-2</v>
      </c>
      <c r="N150" s="7">
        <f t="shared" si="38"/>
        <v>38.533333330415189</v>
      </c>
      <c r="O150" s="7"/>
      <c r="P150" s="7"/>
      <c r="Q150" s="23"/>
      <c r="R150" s="23"/>
      <c r="S150" s="35">
        <f t="shared" si="39"/>
        <v>1</v>
      </c>
      <c r="T150" s="50" t="str">
        <f t="shared" si="40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22:22:06-700',mode:absolute,to:'2016-12-26 01:05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0" s="52" t="str">
        <f t="shared" si="42"/>
        <v>N</v>
      </c>
      <c r="X150" s="177">
        <f t="shared" si="43"/>
        <v>1</v>
      </c>
      <c r="Y150" s="67">
        <f t="shared" si="44"/>
        <v>23.298300000000001</v>
      </c>
      <c r="Z150" s="67">
        <f t="shared" si="45"/>
        <v>1.6E-2</v>
      </c>
      <c r="AA150" s="67">
        <f t="shared" si="46"/>
        <v>23.282300000000003</v>
      </c>
      <c r="AB150" s="64" t="e">
        <f>VLOOKUP(A150,Enforcements!$C$7:$K$19,8,0)</f>
        <v>#N/A</v>
      </c>
      <c r="AC150" s="60" t="e">
        <f>VLOOKUP(A150,Enforcements!$C$7:$E$19,3,0)</f>
        <v>#N/A</v>
      </c>
      <c r="AD150" s="61" t="str">
        <f t="shared" si="47"/>
        <v>0236-25</v>
      </c>
      <c r="AE150" s="91" t="str">
        <f t="shared" si="48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150" s="88" t="str">
        <f t="shared" si="49"/>
        <v>"C:\Program Files (x86)\AstroGrep\AstroGrep.exe" /spath="%USERPROFILE%\AppData\Local\Temp\OnboardLogs" /stypes="app*4017*20161226*" /stext=" 07:.+((SYSTEM_STATE.+slice.+state.+changed )|(ment ac)|(multiple cpu faults)|(system.+state.+changed )|(\[timeout)|(PRM\|1\|D)|(kpr)|(kdp)|(\|lc)|(penalty))" /e /r /s</v>
      </c>
      <c r="AG150" s="1" t="str">
        <f t="shared" si="50"/>
        <v>EC</v>
      </c>
      <c r="AH150" s="92" t="str">
        <f t="shared" si="51"/>
        <v>"%USERPROFILE%\Documents\GitHub\eaglep3\Utilities\RefineRTDCRunTimes.py" --tripid 236-25 --locoid 4017 --swversion DE.1.0.8.0 --startMP 204:232983 --initTime 2016-12-25T23:22:06 --startdatetime 2016-12-25T23:26:44 --delay 1 --endMP 204:160 --enddatetime 2016-12-26T00:05:16 --enforcementcount 0 &gt;&gt;C:\Users\stu\Documents\GitHub\eaglep3-reporting\EC\2016-12-25-refined-times.txt</v>
      </c>
      <c r="AI150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ID","value":"236-25"},{"id":16,"name":"Locomotive ID","value":"4017"},{"id":130,"name":"Impact","value":""},{"id":150,"name":"Time of Event (Mountain Time)","value":"00:05:16"},{"id":151,"name":"Denver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649</v>
      </c>
      <c r="B151" s="7">
        <v>4009</v>
      </c>
      <c r="C151" s="22" t="s">
        <v>205</v>
      </c>
      <c r="D151" s="22" t="s">
        <v>314</v>
      </c>
      <c r="E151" s="13">
        <v>42729.957152777781</v>
      </c>
      <c r="F151" s="13">
        <v>42729.958749999998</v>
      </c>
      <c r="G151" s="7">
        <v>1</v>
      </c>
      <c r="H151" s="22" t="s">
        <v>322</v>
      </c>
      <c r="I151" s="13">
        <v>42729.984074074076</v>
      </c>
      <c r="J151" s="7">
        <v>0</v>
      </c>
      <c r="K151" s="109" t="str">
        <f t="shared" si="36"/>
        <v>4009/4010</v>
      </c>
      <c r="L151" s="22" t="str">
        <f>VLOOKUP(A151,'Trips&amp;Operators'!$C$1:$G$99999,5,FALSE)</f>
        <v>CHANDLER KELVIN</v>
      </c>
      <c r="M151" s="6">
        <f t="shared" si="37"/>
        <v>2.5324074078525882E-2</v>
      </c>
      <c r="N151" s="7">
        <f t="shared" si="38"/>
        <v>36.46666667307727</v>
      </c>
      <c r="O151" s="7"/>
      <c r="P151" s="7"/>
      <c r="Q151" s="23"/>
      <c r="R151" s="23"/>
      <c r="S151" s="35">
        <f t="shared" si="39"/>
        <v>1</v>
      </c>
      <c r="T151" s="50" t="str">
        <f t="shared" si="40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21:58:18-700',mode:absolute,to:'2016-12-26 00:37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1" s="52" t="str">
        <f t="shared" si="42"/>
        <v>N</v>
      </c>
      <c r="X151" s="177">
        <f t="shared" si="43"/>
        <v>1</v>
      </c>
      <c r="Y151" s="67">
        <f t="shared" si="44"/>
        <v>4.7300000000000002E-2</v>
      </c>
      <c r="Z151" s="67">
        <f t="shared" si="45"/>
        <v>23.3293</v>
      </c>
      <c r="AA151" s="67">
        <f t="shared" si="46"/>
        <v>23.282</v>
      </c>
      <c r="AB151" s="64" t="e">
        <f>VLOOKUP(A151,Enforcements!$C$7:$K$19,8,0)</f>
        <v>#N/A</v>
      </c>
      <c r="AC151" s="60" t="e">
        <f>VLOOKUP(A151,Enforcements!$C$7:$E$19,3,0)</f>
        <v>#N/A</v>
      </c>
      <c r="AD151" s="61" t="str">
        <f t="shared" si="47"/>
        <v>0237-25</v>
      </c>
      <c r="AE151" s="91" t="str">
        <f t="shared" si="48"/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AF151" s="88" t="str">
        <f t="shared" si="49"/>
        <v>"C:\Program Files (x86)\AstroGrep\AstroGrep.exe" /spath="%USERPROFILE%\AppData\Local\Temp\OnboardLogs" /stypes="app*4009*20161226*" /stext=" 06:.+((SYSTEM_STATE.+slice.+state.+changed )|(ment ac)|(multiple cpu faults)|(system.+state.+changed )|(\[timeout)|(PRM\|1\|D)|(kpr)|(kdp)|(\|lc)|(penalty))" /e /r /s</v>
      </c>
      <c r="AG151" s="1" t="str">
        <f t="shared" si="50"/>
        <v>EC</v>
      </c>
      <c r="AH151" s="92" t="str">
        <f t="shared" si="51"/>
        <v>"%USERPROFILE%\Documents\GitHub\eaglep3\Utilities\RefineRTDCRunTimes.py" --tripid 237-25 --locoid 4009 --swversion DE.1.0.8.0 --startMP 204:473 --initTime 2016-12-25T22:58:18 --startdatetime 2016-12-25T23:00:36 --delay 1 --endMP 204:233293 --enddatetime 2016-12-25T23:37:04 --enforcementcount 0 &gt;&gt;C:\Users\stu\Documents\GitHub\eaglep3-reporting\EC\2016-12-25-refined-times.txt</v>
      </c>
      <c r="AI151" s="119" t="str">
        <f t="shared" si="52"/>
        <v>echo {"issue":{"subject":"","project_id":79,"tracker_id":40,"status_id":1,"priority_id":2,"assigned_to_id":23,"start_date":"2016-12-25","description":"","custom_fields":[{"id":1,"name":"Subdivision","value":"EC"},{"id":4,"name":"Milepost","value":"23.3293"},{"id":17,"name":"Train ID","value":"237-25"},{"id":16,"name":"Locomotive ID","value":"4009"},{"id":130,"name":"Impact","value":""},{"id":150,"name":"Time of Event (Mountain Time)","value":"23:37:04"},{"id":151,"name":"Denver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653</v>
      </c>
      <c r="B152" s="7">
        <v>4010</v>
      </c>
      <c r="C152" s="22" t="s">
        <v>205</v>
      </c>
      <c r="D152" s="22" t="s">
        <v>416</v>
      </c>
      <c r="E152" s="13">
        <v>42729.996319444443</v>
      </c>
      <c r="F152" s="13">
        <v>42729.998287037037</v>
      </c>
      <c r="G152" s="7">
        <v>2</v>
      </c>
      <c r="H152" s="22" t="s">
        <v>268</v>
      </c>
      <c r="I152" s="13">
        <v>42730.025625000002</v>
      </c>
      <c r="J152" s="7">
        <v>0</v>
      </c>
      <c r="K152" s="109" t="str">
        <f t="shared" si="36"/>
        <v>4009/4010</v>
      </c>
      <c r="L152" s="22" t="str">
        <f>VLOOKUP(A152,'Trips&amp;Operators'!$C$1:$G$99999,5,FALSE)</f>
        <v>CHANDLER KELVIN</v>
      </c>
      <c r="M152" s="6">
        <f t="shared" si="37"/>
        <v>2.7337962965248153E-2</v>
      </c>
      <c r="N152" s="7">
        <f t="shared" si="38"/>
        <v>39.36666666995734</v>
      </c>
      <c r="O152" s="7"/>
      <c r="P152" s="7"/>
      <c r="Q152" s="23"/>
      <c r="R152" s="23"/>
      <c r="S152" s="35">
        <f t="shared" si="39"/>
        <v>1</v>
      </c>
      <c r="T152" s="50" t="str">
        <f t="shared" si="40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22:54:42-700',mode:absolute,to:'2016-12-26 01:36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2" s="52" t="str">
        <f t="shared" si="42"/>
        <v>N</v>
      </c>
      <c r="X152" s="177">
        <f t="shared" si="43"/>
        <v>1</v>
      </c>
      <c r="Y152" s="67">
        <f t="shared" si="44"/>
        <v>23.297599999999999</v>
      </c>
      <c r="Z152" s="67">
        <f t="shared" si="45"/>
        <v>1.6E-2</v>
      </c>
      <c r="AA152" s="67">
        <f t="shared" si="46"/>
        <v>23.281600000000001</v>
      </c>
      <c r="AB152" s="64" t="e">
        <f>VLOOKUP(A152,Enforcements!$C$7:$K$19,8,0)</f>
        <v>#N/A</v>
      </c>
      <c r="AC152" s="60" t="e">
        <f>VLOOKUP(A152,Enforcements!$C$7:$E$19,3,0)</f>
        <v>#N/A</v>
      </c>
      <c r="AD152" s="61" t="str">
        <f t="shared" si="47"/>
        <v>0238-25</v>
      </c>
      <c r="AE152" s="91" t="str">
        <f t="shared" si="48"/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AF152" s="88" t="str">
        <f t="shared" si="49"/>
        <v>"C:\Program Files (x86)\AstroGrep\AstroGrep.exe" /spath="%USERPROFILE%\AppData\Local\Temp\OnboardLogs" /stypes="app*4010*20161226*" /stext=" 07:.+((SYSTEM_STATE.+slice.+state.+changed )|(ment ac)|(multiple cpu faults)|(system.+state.+changed )|(\[timeout)|(PRM\|1\|D)|(kpr)|(kdp)|(\|lc)|(penalty))" /e /r /s</v>
      </c>
      <c r="AG152" s="1" t="str">
        <f t="shared" si="50"/>
        <v>EC</v>
      </c>
      <c r="AH152" s="92" t="str">
        <f t="shared" si="51"/>
        <v>"%USERPROFILE%\Documents\GitHub\eaglep3\Utilities\RefineRTDCRunTimes.py" --tripid 238-25 --locoid 4010 --swversion DE.1.0.8.0 --startMP 204:232976 --initTime 2016-12-25T23:54:42 --startdatetime 2016-12-25T23:57:32 --delay 2 --endMP 204:160 --enddatetime 2016-12-26T00:36:54 --enforcementcount 0 &gt;&gt;C:\Users\stu\Documents\GitHub\eaglep3-reporting\EC\2016-12-25-refined-times.txt</v>
      </c>
      <c r="AI152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{"issue":{"subject":"","project_id":79,"tracker_id":40,"status_id":1,"priority_id":2,"assigned_to_id":23,"start_date":"2016-12-26","description":"","custom_fields":[{"id":1,"name":"Subdivision","value":"EC"},{"id":4,"name":"Milepost","value":"0.016"},{"id":17,"name":"Train ID","value":"238-25"},{"id":16,"name":"Locomotive ID","value":"4010"},{"id":130,"name":"Impact","value":""},{"id":150,"name":"Time of Event (Mountain Time)","value":"00:36:54"},{"id":151,"name":"Denver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650</v>
      </c>
      <c r="B153" s="7">
        <v>4042</v>
      </c>
      <c r="C153" s="22" t="s">
        <v>205</v>
      </c>
      <c r="D153" s="22" t="s">
        <v>269</v>
      </c>
      <c r="E153" s="13">
        <v>42729.962604166663</v>
      </c>
      <c r="F153" s="13">
        <v>42729.979317129626</v>
      </c>
      <c r="G153" s="7">
        <v>1</v>
      </c>
      <c r="H153" s="22" t="s">
        <v>316</v>
      </c>
      <c r="I153" s="13">
        <v>42730.003379629627</v>
      </c>
      <c r="J153" s="7">
        <v>0</v>
      </c>
      <c r="K153" s="109" t="str">
        <f t="shared" si="36"/>
        <v>4041/4042</v>
      </c>
      <c r="L153" s="22" t="str">
        <f>VLOOKUP(A153,'Trips&amp;Operators'!$C$1:$G$99999,5,FALSE)</f>
        <v>NEWELL JAMES</v>
      </c>
      <c r="M153" s="6">
        <f t="shared" si="37"/>
        <v>2.4062500000582077E-2</v>
      </c>
      <c r="N153" s="7">
        <f t="shared" si="38"/>
        <v>34.65000000083819</v>
      </c>
      <c r="O153" s="7"/>
      <c r="P153" s="7"/>
      <c r="Q153" s="23"/>
      <c r="R153" s="23"/>
      <c r="S153" s="35">
        <f t="shared" si="39"/>
        <v>1</v>
      </c>
      <c r="T153" s="50" t="str">
        <f t="shared" si="40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22:06:09-700',mode:absolute,to:'2016-12-26 01:04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2" t="str">
        <f t="shared" si="42"/>
        <v>N</v>
      </c>
      <c r="X153" s="177">
        <f t="shared" si="43"/>
        <v>1</v>
      </c>
      <c r="Y153" s="67">
        <f t="shared" si="44"/>
        <v>4.6199999999999998E-2</v>
      </c>
      <c r="Z153" s="67">
        <f t="shared" si="45"/>
        <v>23.328499999999998</v>
      </c>
      <c r="AA153" s="67">
        <f t="shared" si="46"/>
        <v>23.282299999999999</v>
      </c>
      <c r="AB153" s="64" t="e">
        <f>VLOOKUP(A153,Enforcements!$C$7:$K$19,8,0)</f>
        <v>#N/A</v>
      </c>
      <c r="AC153" s="60" t="e">
        <f>VLOOKUP(A153,Enforcements!$C$7:$E$19,3,0)</f>
        <v>#N/A</v>
      </c>
      <c r="AD153" s="61" t="str">
        <f t="shared" si="47"/>
        <v>0239-25</v>
      </c>
      <c r="AE153" s="91" t="str">
        <f t="shared" si="48"/>
        <v>aws s3 cp s3://rtdc.mdm.uploadarchive.raw/RTDC4042/ "%USERPROFILE%\AppData\Local\Temp\OnboardLogs"\RTDC4042\2016-12-25 --exclude "*" --recursive --include "*20161225*" &amp; "%USERPROFILE%\Documents\GitHub\mrs-test-scripts\Headless Mode &amp; Sideloading\WalkAndUnGZ.bat" "%USERPROFILE%\AppData\Local\Temp\OnboardLogs"\RTDC4042\2016-12-25 &amp; aws s3 cp s3://rtdc.mdm.uploadarchive.raw/RTDC4042/ "%USERPROFILE%\AppData\Local\Temp\OnboardLogs"\RTDC4042\2016-12-26 --exclude "*" --recursive --include "*20161226*" &amp; "%USERPROFILE%\Documents\GitHub\mrs-test-scripts\Headless Mode &amp; Sideloading\WalkAndUnGZ.bat" "%USERPROFILE%\AppData\Local\Temp\OnboardLogs"\RTDC4042\2016-12-26</v>
      </c>
      <c r="AF153" s="88" t="str">
        <f t="shared" si="49"/>
        <v>"C:\Program Files (x86)\AstroGrep\AstroGrep.exe" /spath="%USERPROFILE%\AppData\Local\Temp\OnboardLogs" /stypes="app*4042*20161226*" /stext=" 07:.+((SYSTEM_STATE.+slice.+state.+changed )|(ment ac)|(multiple cpu faults)|(system.+state.+changed )|(\[timeout)|(PRM\|1\|D)|(kpr)|(kdp)|(\|lc)|(penalty))" /e /r /s</v>
      </c>
      <c r="AG153" s="1" t="str">
        <f t="shared" si="50"/>
        <v>EC</v>
      </c>
      <c r="AH153" s="92" t="str">
        <f t="shared" si="51"/>
        <v>"%USERPROFILE%\Documents\GitHub\eaglep3\Utilities\RefineRTDCRunTimes.py" --tripid 239-25 --locoid 4042 --swversion DE.1.0.8.0 --startMP 204:462 --initTime 2016-12-25T23:06:09 --startdatetime 2016-12-25T23:30:13 --delay 1 --endMP 204:233285 --enddatetime 2016-12-26T00:04:52 --enforcementcount 0 &gt;&gt;C:\Users\stu\Documents\GitHub\eaglep3-reporting\EC\2016-12-25-refined-times.txt</v>
      </c>
      <c r="AI153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{"issue":{"subject":"","project_id":79,"tracker_id":40,"status_id":1,"priority_id":2,"assigned_to_id":23,"start_date":"2016-12-26","description":"","custom_fields":[{"id":1,"name":"Subdivision","value":"EC"},{"id":4,"name":"Milepost","value":"23.3285"},{"id":17,"name":"Train ID","value":"239-25"},{"id":16,"name":"Locomotive ID","value":"4042"},{"id":130,"name":"Impact","value":""},{"id":150,"name":"Time of Event (Mountain Time)","value":"00:04:52"},{"id":151,"name":"Denver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655</v>
      </c>
      <c r="B154" s="7">
        <v>4041</v>
      </c>
      <c r="C154" s="22" t="s">
        <v>205</v>
      </c>
      <c r="D154" s="22" t="s">
        <v>682</v>
      </c>
      <c r="E154" s="13">
        <v>42730.014490740738</v>
      </c>
      <c r="F154" s="13">
        <v>42730.018206018518</v>
      </c>
      <c r="G154" s="7">
        <v>1</v>
      </c>
      <c r="H154" s="22" t="s">
        <v>261</v>
      </c>
      <c r="I154" s="13">
        <v>42730.044212962966</v>
      </c>
      <c r="J154" s="7">
        <v>0</v>
      </c>
      <c r="K154" s="109" t="str">
        <f t="shared" si="36"/>
        <v>4041/4042</v>
      </c>
      <c r="L154" s="22" t="str">
        <f>VLOOKUP(A154,'Trips&amp;Operators'!$C$1:$G$99999,5,FALSE)</f>
        <v>NEWELL JAMES</v>
      </c>
      <c r="M154" s="6">
        <f t="shared" si="37"/>
        <v>2.6006944448454306E-2</v>
      </c>
      <c r="N154" s="7">
        <f t="shared" si="38"/>
        <v>37.4500000057742</v>
      </c>
      <c r="O154" s="7"/>
      <c r="P154" s="7"/>
      <c r="Q154" s="23"/>
      <c r="R154" s="23"/>
      <c r="S154" s="35">
        <f t="shared" si="39"/>
        <v>1</v>
      </c>
      <c r="T154" s="50" t="str">
        <f t="shared" si="40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23:20:52-700',mode:absolute,to:'2016-12-26 02:03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2" t="str">
        <f t="shared" si="42"/>
        <v>N</v>
      </c>
      <c r="X154" s="177">
        <f t="shared" si="43"/>
        <v>1</v>
      </c>
      <c r="Y154" s="67">
        <f t="shared" si="44"/>
        <v>23.2989</v>
      </c>
      <c r="Z154" s="67">
        <f t="shared" si="45"/>
        <v>1.47E-2</v>
      </c>
      <c r="AA154" s="67">
        <f t="shared" si="46"/>
        <v>23.284199999999998</v>
      </c>
      <c r="AB154" s="64" t="e">
        <f>VLOOKUP(A154,Enforcements!$C$7:$K$19,8,0)</f>
        <v>#N/A</v>
      </c>
      <c r="AC154" s="60" t="e">
        <f>VLOOKUP(A154,Enforcements!$C$7:$E$19,3,0)</f>
        <v>#N/A</v>
      </c>
      <c r="AD154" s="61" t="str">
        <f t="shared" si="47"/>
        <v>0240-25</v>
      </c>
      <c r="AE154" s="91" t="str">
        <f t="shared" si="48"/>
        <v>aws s3 cp s3://rtdc.mdm.uploadarchive.raw/RTDC4041/ "%USERPROFILE%\AppData\Local\Temp\OnboardLogs"\RTDC4041\2016-12-26 --exclude "*" --recursive --include "*20161226*" &amp; "%USERPROFILE%\Documents\GitHub\mrs-test-scripts\Headless Mode &amp; Sideloading\WalkAndUnGZ.bat" "%USERPROFILE%\AppData\Local\Temp\OnboardLogs"\RTDC4041\2016-12-26 &amp; aws s3 cp s3://rtdc.mdm.uploadarchive.raw/RTDC4041/ "%USERPROFILE%\AppData\Local\Temp\OnboardLogs"\RTDC4041\2016-12-27 --exclude "*" --recursive --include "*20161227*" &amp; "%USERPROFILE%\Documents\GitHub\mrs-test-scripts\Headless Mode &amp; Sideloading\WalkAndUnGZ.bat" "%USERPROFILE%\AppData\Local\Temp\OnboardLogs"\RTDC4041\2016-12-27</v>
      </c>
      <c r="AF154" s="88" t="str">
        <f t="shared" si="49"/>
        <v>"C:\Program Files (x86)\AstroGrep\AstroGrep.exe" /spath="%USERPROFILE%\AppData\Local\Temp\OnboardLogs" /stypes="app*4041*20161226*" /stext=" 08:.+((SYSTEM_STATE.+slice.+state.+changed )|(ment ac)|(multiple cpu faults)|(system.+state.+changed )|(\[timeout)|(PRM\|1\|D)|(kpr)|(kdp)|(\|lc)|(penalty))" /e /r /s</v>
      </c>
      <c r="AG154" s="1" t="str">
        <f t="shared" si="50"/>
        <v>EC</v>
      </c>
      <c r="AH154" s="92" t="str">
        <f t="shared" si="51"/>
        <v>"%USERPROFILE%\Documents\GitHub\eaglep3\Utilities\RefineRTDCRunTimes.py" --tripid 240-25 --locoid 4041 --swversion DE.1.0.8.0 --startMP 204:232989 --initTime 2016-12-26T00:20:52 --startdatetime 2016-12-26T00:26:13 --delay 1 --endMP 204:147 --enddatetime 2016-12-26T01:03:40 --enforcementcount 0 &gt;&gt;C:\Users\stu\Documents\GitHub\eaglep3-reporting\EC\2016-12-25-refined-times.txt</v>
      </c>
      <c r="AI154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{"issue":{"subject":"","project_id":79,"tracker_id":40,"status_id":1,"priority_id":2,"assigned_to_id":23,"start_date":"2016-12-26","description":"","custom_fields":[{"id":1,"name":"Subdivision","value":"EC"},{"id":4,"name":"Milepost","value":"0.0147"},{"id":17,"name":"Train ID","value":"240-25"},{"id":16,"name":"Locomotive ID","value":"4041"},{"id":130,"name":"Impact","value":""},{"id":150,"name":"Time of Event (Mountain Time)","value":"01:03:40"},{"id":151,"name":"Denver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652</v>
      </c>
      <c r="B155" s="7">
        <v>4014</v>
      </c>
      <c r="C155" s="22" t="s">
        <v>205</v>
      </c>
      <c r="D155" s="22" t="s">
        <v>230</v>
      </c>
      <c r="E155" s="13">
        <v>42729.986608796295</v>
      </c>
      <c r="F155" s="13">
        <v>42730.000219907408</v>
      </c>
      <c r="G155" s="7">
        <v>1</v>
      </c>
      <c r="H155" s="22" t="s">
        <v>748</v>
      </c>
      <c r="I155" s="13">
        <v>42730.025833333333</v>
      </c>
      <c r="J155" s="7">
        <v>0</v>
      </c>
      <c r="K155" s="109" t="str">
        <f t="shared" si="36"/>
        <v>4013/4014</v>
      </c>
      <c r="L155" s="22" t="str">
        <f>VLOOKUP(A155,'Trips&amp;Operators'!$C$1:$G$99999,5,FALSE)</f>
        <v>SMITH MICHAEL</v>
      </c>
      <c r="M155" s="6">
        <f t="shared" si="37"/>
        <v>2.5613425925257616E-2</v>
      </c>
      <c r="N155" s="7">
        <f t="shared" si="38"/>
        <v>36.883333332370967</v>
      </c>
      <c r="O155" s="7"/>
      <c r="P155" s="7"/>
      <c r="Q155" s="23"/>
      <c r="R155" s="23"/>
      <c r="S155" s="35">
        <f t="shared" si="39"/>
        <v>1</v>
      </c>
      <c r="T155" s="50" t="str">
        <f t="shared" si="40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22:40:43-700',mode:absolute,to:'2016-12-26 01:37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55" s="52" t="str">
        <f t="shared" si="42"/>
        <v>N</v>
      </c>
      <c r="X155" s="177">
        <f t="shared" si="43"/>
        <v>1</v>
      </c>
      <c r="Y155" s="67">
        <f t="shared" si="44"/>
        <v>4.5999999999999999E-2</v>
      </c>
      <c r="Z155" s="67">
        <f t="shared" si="45"/>
        <v>23.3261</v>
      </c>
      <c r="AA155" s="67">
        <f t="shared" si="46"/>
        <v>23.280100000000001</v>
      </c>
      <c r="AB155" s="64" t="e">
        <f>VLOOKUP(A155,Enforcements!$C$7:$K$19,8,0)</f>
        <v>#N/A</v>
      </c>
      <c r="AC155" s="60" t="e">
        <f>VLOOKUP(A155,Enforcements!$C$7:$E$19,3,0)</f>
        <v>#N/A</v>
      </c>
      <c r="AD155" s="61" t="str">
        <f t="shared" si="47"/>
        <v>0241-25</v>
      </c>
      <c r="AE155" s="91" t="str">
        <f t="shared" si="48"/>
        <v>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 &amp; 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</v>
      </c>
      <c r="AF155" s="88" t="str">
        <f t="shared" si="49"/>
        <v>"C:\Program Files (x86)\AstroGrep\AstroGrep.exe" /spath="%USERPROFILE%\AppData\Local\Temp\OnboardLogs" /stypes="app*4014*20161226*" /stext=" 07:.+((SYSTEM_STATE.+slice.+state.+changed )|(ment ac)|(multiple cpu faults)|(system.+state.+changed )|(\[timeout)|(PRM\|1\|D)|(kpr)|(kdp)|(\|lc)|(penalty))" /e /r /s</v>
      </c>
      <c r="AG155" s="1" t="str">
        <f t="shared" si="50"/>
        <v>EC</v>
      </c>
      <c r="AH155" s="92" t="str">
        <f t="shared" si="51"/>
        <v>"%USERPROFILE%\Documents\GitHub\eaglep3\Utilities\RefineRTDCRunTimes.py" --tripid 241-25 --locoid 4014 --swversion DE.1.0.8.0 --startMP 204:460 --initTime 2016-12-25T23:40:43 --startdatetime 2016-12-26T00:00:19 --delay 1 --endMP 204:233261 --enddatetime 2016-12-26T00:37:12 --enforcementcount 0 &gt;&gt;C:\Users\stu\Documents\GitHub\eaglep3-reporting\EC\2016-12-25-refined-times.txt</v>
      </c>
      <c r="AI155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{"issue":{"subject":"","project_id":79,"tracker_id":40,"status_id":1,"priority_id":2,"assigned_to_id":23,"start_date":"2016-12-26","description":"","custom_fields":[{"id":1,"name":"Subdivision","value":"EC"},{"id":4,"name":"Milepost","value":"23.3261"},{"id":17,"name":"Train ID","value":"241-25"},{"id":16,"name":"Locomotive ID","value":"4014"},{"id":130,"name":"Impact","value":""},{"id":150,"name":"Time of Event (Mountain Time)","value":"00:37:12"},{"id":151,"name":"Denver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657</v>
      </c>
      <c r="B156" s="7">
        <v>4013</v>
      </c>
      <c r="C156" s="22" t="s">
        <v>205</v>
      </c>
      <c r="D156" s="22" t="s">
        <v>352</v>
      </c>
      <c r="E156" s="13">
        <v>42730.02915509259</v>
      </c>
      <c r="F156" s="13">
        <v>42730.039166666669</v>
      </c>
      <c r="G156" s="7">
        <v>1</v>
      </c>
      <c r="H156" s="22" t="s">
        <v>261</v>
      </c>
      <c r="I156" s="13">
        <v>42730.067071759258</v>
      </c>
      <c r="J156" s="7">
        <v>0</v>
      </c>
      <c r="K156" s="109" t="str">
        <f t="shared" si="36"/>
        <v>4013/4014</v>
      </c>
      <c r="L156" s="22" t="str">
        <f>VLOOKUP(A156,'Trips&amp;Operators'!$C$1:$G$99999,5,FALSE)</f>
        <v>SMITH MICHAEL</v>
      </c>
      <c r="M156" s="6">
        <f t="shared" si="37"/>
        <v>2.7905092589207925E-2</v>
      </c>
      <c r="N156" s="7">
        <f t="shared" si="38"/>
        <v>40.183333328459412</v>
      </c>
      <c r="O156" s="7"/>
      <c r="P156" s="7"/>
      <c r="Q156" s="23"/>
      <c r="R156" s="23"/>
      <c r="S156" s="35">
        <f t="shared" si="39"/>
        <v>1</v>
      </c>
      <c r="T156" s="50" t="str">
        <f t="shared" si="40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23:41:59-700',mode:absolute,to:'2016-12-26 02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56" s="52" t="str">
        <f t="shared" si="42"/>
        <v>N</v>
      </c>
      <c r="X156" s="177">
        <f t="shared" si="43"/>
        <v>1</v>
      </c>
      <c r="Y156" s="67">
        <f t="shared" si="44"/>
        <v>23.296600000000002</v>
      </c>
      <c r="Z156" s="67">
        <f t="shared" si="45"/>
        <v>1.47E-2</v>
      </c>
      <c r="AA156" s="67">
        <f t="shared" si="46"/>
        <v>23.2819</v>
      </c>
      <c r="AB156" s="64" t="e">
        <f>VLOOKUP(A156,Enforcements!$C$7:$K$19,8,0)</f>
        <v>#N/A</v>
      </c>
      <c r="AC156" s="60" t="e">
        <f>VLOOKUP(A156,Enforcements!$C$7:$E$19,3,0)</f>
        <v>#N/A</v>
      </c>
      <c r="AD156" s="61" t="str">
        <f t="shared" si="47"/>
        <v>0242-25</v>
      </c>
      <c r="AE156" s="91" t="str">
        <f t="shared" si="48"/>
        <v>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 &amp; aws s3 cp s3://rtdc.mdm.uploadarchive.raw/RTDC4013/ "%USERPROFILE%\AppData\Local\Temp\OnboardLogs"\RTDC4013\2016-12-27 --exclude "*" --recursive --include "*20161227*" &amp; "%USERPROFILE%\Documents\GitHub\mrs-test-scripts\Headless Mode &amp; Sideloading\WalkAndUnGZ.bat" "%USERPROFILE%\AppData\Local\Temp\OnboardLogs"\RTDC4013\2016-12-27</v>
      </c>
      <c r="AF156" s="88" t="str">
        <f t="shared" si="49"/>
        <v>"C:\Program Files (x86)\AstroGrep\AstroGrep.exe" /spath="%USERPROFILE%\AppData\Local\Temp\OnboardLogs" /stypes="app*4013*20161226*" /stext=" 08:.+((SYSTEM_STATE.+slice.+state.+changed )|(ment ac)|(multiple cpu faults)|(system.+state.+changed )|(\[timeout)|(PRM\|1\|D)|(kpr)|(kdp)|(\|lc)|(penalty))" /e /r /s</v>
      </c>
      <c r="AG156" s="1" t="str">
        <f t="shared" si="50"/>
        <v>EC</v>
      </c>
      <c r="AH156" s="92" t="str">
        <f t="shared" si="51"/>
        <v>"%USERPROFILE%\Documents\GitHub\eaglep3\Utilities\RefineRTDCRunTimes.py" --tripid 242-25 --locoid 4013 --swversion DE.1.0.8.0 --startMP 204:232966 --initTime 2016-12-26T00:41:59 --startdatetime 2016-12-26T00:56:24 --delay 1 --endMP 204:147 --enddatetime 2016-12-26T01:36:35 --enforcementcount 0 &gt;&gt;C:\Users\stu\Documents\GitHub\eaglep3-reporting\EC\2016-12-25-refined-times.txt</v>
      </c>
      <c r="AI156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{"issue":{"subject":"","project_id":79,"tracker_id":40,"status_id":1,"priority_id":2,"assigned_to_id":23,"start_date":"2016-12-26","description":"","custom_fields":[{"id":1,"name":"Subdivision","value":"EC"},{"id":4,"name":"Milepost","value":"0.0147"},{"id":17,"name":"Train ID","value":"242-25"},{"id":16,"name":"Locomotive ID","value":"4013"},{"id":130,"name":"Impact","value":""},{"id":150,"name":"Time of Event (Mountain Time)","value":"01:36:35"},{"id":151,"name":"Denver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654</v>
      </c>
      <c r="B157" s="7">
        <v>4018</v>
      </c>
      <c r="C157" s="22" t="s">
        <v>205</v>
      </c>
      <c r="D157" s="22" t="s">
        <v>414</v>
      </c>
      <c r="E157" s="13">
        <v>42730.00509259259</v>
      </c>
      <c r="F157" s="13">
        <v>42730.021087962959</v>
      </c>
      <c r="G157" s="7">
        <v>2</v>
      </c>
      <c r="H157" s="22" t="s">
        <v>670</v>
      </c>
      <c r="I157" s="13">
        <v>42730.046018518522</v>
      </c>
      <c r="J157" s="7">
        <v>0</v>
      </c>
      <c r="K157" s="109" t="str">
        <f t="shared" si="36"/>
        <v>4017/4018</v>
      </c>
      <c r="L157" s="22" t="str">
        <f>VLOOKUP(A157,'Trips&amp;Operators'!$C$1:$G$99999,5,FALSE)</f>
        <v>STAMBAUGH JAMES</v>
      </c>
      <c r="M157" s="6">
        <f t="shared" si="37"/>
        <v>2.493055556260515E-2</v>
      </c>
      <c r="N157" s="7">
        <f t="shared" si="38"/>
        <v>35.900000010151416</v>
      </c>
      <c r="O157" s="7"/>
      <c r="P157" s="7"/>
      <c r="Q157" s="23"/>
      <c r="R157" s="23"/>
      <c r="S157" s="35">
        <f t="shared" si="39"/>
        <v>1</v>
      </c>
      <c r="T157" s="50" t="str">
        <f t="shared" si="40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23:07:20-700',mode:absolute,to:'2016-12-26 02:06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7" s="52" t="str">
        <f t="shared" si="42"/>
        <v>N</v>
      </c>
      <c r="X157" s="177">
        <f t="shared" si="43"/>
        <v>1</v>
      </c>
      <c r="Y157" s="67">
        <f t="shared" si="44"/>
        <v>4.5699999999999998E-2</v>
      </c>
      <c r="Z157" s="67">
        <f t="shared" si="45"/>
        <v>23.334700000000002</v>
      </c>
      <c r="AA157" s="67">
        <f t="shared" si="46"/>
        <v>23.289000000000001</v>
      </c>
      <c r="AB157" s="64" t="e">
        <f>VLOOKUP(A157,Enforcements!$C$7:$K$19,8,0)</f>
        <v>#N/A</v>
      </c>
      <c r="AC157" s="60" t="e">
        <f>VLOOKUP(A157,Enforcements!$C$7:$E$19,3,0)</f>
        <v>#N/A</v>
      </c>
      <c r="AD157" s="61" t="str">
        <f t="shared" si="47"/>
        <v>0243-25</v>
      </c>
      <c r="AE157" s="91" t="str">
        <f t="shared" si="48"/>
        <v>aws s3 cp s3://rtdc.mdm.uploadarchive.raw/RTDC4018/ "%USERPROFILE%\AppData\Local\Temp\OnboardLogs"\RTDC4018\2016-12-26 --exclude "*" --recursive --include "*20161226*" &amp; "%USERPROFILE%\Documents\GitHub\mrs-test-scripts\Headless Mode &amp; Sideloading\WalkAndUnGZ.bat" "%USERPROFILE%\AppData\Local\Temp\OnboardLogs"\RTDC4018\2016-12-26 &amp; aws s3 cp s3://rtdc.mdm.uploadarchive.raw/RTDC4018/ "%USERPROFILE%\AppData\Local\Temp\OnboardLogs"\RTDC4018\2016-12-27 --exclude "*" --recursive --include "*20161227*" &amp; "%USERPROFILE%\Documents\GitHub\mrs-test-scripts\Headless Mode &amp; Sideloading\WalkAndUnGZ.bat" "%USERPROFILE%\AppData\Local\Temp\OnboardLogs"\RTDC4018\2016-12-27</v>
      </c>
      <c r="AF157" s="88" t="str">
        <f t="shared" si="49"/>
        <v>"C:\Program Files (x86)\AstroGrep\AstroGrep.exe" /spath="%USERPROFILE%\AppData\Local\Temp\OnboardLogs" /stypes="app*4018*20161226*" /stext=" 08:.+((SYSTEM_STATE.+slice.+state.+changed )|(ment ac)|(multiple cpu faults)|(system.+state.+changed )|(\[timeout)|(PRM\|1\|D)|(kpr)|(kdp)|(\|lc)|(penalty))" /e /r /s</v>
      </c>
      <c r="AG157" s="1" t="str">
        <f t="shared" si="50"/>
        <v>EC</v>
      </c>
      <c r="AH157" s="92" t="str">
        <f t="shared" si="51"/>
        <v>"%USERPROFILE%\Documents\GitHub\eaglep3\Utilities\RefineRTDCRunTimes.py" --tripid 243-25 --locoid 4018 --swversion DE.1.0.8.0 --startMP 204:457 --initTime 2016-12-26T00:07:20 --startdatetime 2016-12-26T00:30:22 --delay 2 --endMP 204:233347 --enddatetime 2016-12-26T01:06:16 --enforcementcount 0 &gt;&gt;C:\Users\stu\Documents\GitHub\eaglep3-reporting\EC\2016-12-25-refined-times.txt</v>
      </c>
      <c r="AI157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{"issue":{"subject":"","project_id":79,"tracker_id":40,"status_id":1,"priority_id":2,"assigned_to_id":23,"start_date":"2016-12-26","description":"","custom_fields":[{"id":1,"name":"Subdivision","value":"EC"},{"id":4,"name":"Milepost","value":"23.3347"},{"id":17,"name":"Train ID","value":"243-25"},{"id":16,"name":"Locomotive ID","value":"4018"},{"id":130,"name":"Impact","value":""},{"id":150,"name":"Time of Event (Mountain Time)","value":"01:06:16"},{"id":151,"name":"Denver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659</v>
      </c>
      <c r="B158" s="7">
        <v>4017</v>
      </c>
      <c r="C158" s="22" t="s">
        <v>205</v>
      </c>
      <c r="D158" s="22" t="s">
        <v>749</v>
      </c>
      <c r="E158" s="13">
        <v>42730.056516203702</v>
      </c>
      <c r="F158" s="13">
        <v>42730.059953703705</v>
      </c>
      <c r="G158" s="7">
        <v>1</v>
      </c>
      <c r="H158" s="22" t="s">
        <v>334</v>
      </c>
      <c r="I158" s="13">
        <v>42730.085474537038</v>
      </c>
      <c r="J158" s="7">
        <v>0</v>
      </c>
      <c r="K158" s="109" t="str">
        <f t="shared" si="36"/>
        <v>4017/4018</v>
      </c>
      <c r="L158" s="22" t="str">
        <f>VLOOKUP(A158,'Trips&amp;Operators'!$C$1:$G$99999,5,FALSE)</f>
        <v>STAMBAUGH JAMES</v>
      </c>
      <c r="M158" s="6">
        <f t="shared" si="37"/>
        <v>2.5520833332848269E-2</v>
      </c>
      <c r="N158" s="7">
        <f t="shared" si="38"/>
        <v>36.749999999301508</v>
      </c>
      <c r="O158" s="7"/>
      <c r="P158" s="7"/>
      <c r="Q158" s="23"/>
      <c r="R158" s="23"/>
      <c r="S158" s="35">
        <f t="shared" si="39"/>
        <v>1</v>
      </c>
      <c r="T158" s="50" t="str">
        <f t="shared" si="40"/>
        <v>Southbound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https://search-rtdc-monitor-bjffxe2xuh6vdkpspy63sjmuny.us-east-1.es.amazonaws.com/_plugin/kibana/#/discover/Steve-Slow-Train-Analysis-(2080s-and-2083s)?_g=(refreshInterval:(display:Off,section:0,value:0),time:(from:'2016-12-26 00:21:23-700',mode:absolute,to:'2016-12-26 03:03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8" s="52" t="str">
        <f t="shared" si="42"/>
        <v>N</v>
      </c>
      <c r="X158" s="177">
        <f t="shared" si="43"/>
        <v>1</v>
      </c>
      <c r="Y158" s="67">
        <f t="shared" si="44"/>
        <v>23.304200000000002</v>
      </c>
      <c r="Z158" s="67">
        <f t="shared" si="45"/>
        <v>1.6500000000000001E-2</v>
      </c>
      <c r="AA158" s="67">
        <f t="shared" si="46"/>
        <v>23.287700000000001</v>
      </c>
      <c r="AB158" s="64" t="e">
        <f>VLOOKUP(A158,Enforcements!$C$7:$K$19,8,0)</f>
        <v>#N/A</v>
      </c>
      <c r="AC158" s="60" t="e">
        <f>VLOOKUP(A158,Enforcements!$C$7:$E$19,3,0)</f>
        <v>#N/A</v>
      </c>
      <c r="AD158" s="61" t="str">
        <f t="shared" si="47"/>
        <v>0244-25</v>
      </c>
      <c r="AE158" s="91" t="str">
        <f t="shared" si="48"/>
        <v>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 &amp; aws s3 cp s3://rtdc.mdm.uploadarchive.raw/RTDC4017/ "%USERPROFILE%\AppData\Local\Temp\OnboardLogs"\RTDC4017\2016-12-27 --exclude "*" --recursive --include "*20161227*" &amp; "%USERPROFILE%\Documents\GitHub\mrs-test-scripts\Headless Mode &amp; Sideloading\WalkAndUnGZ.bat" "%USERPROFILE%\AppData\Local\Temp\OnboardLogs"\RTDC4017\2016-12-27</v>
      </c>
      <c r="AF158" s="88" t="str">
        <f t="shared" si="49"/>
        <v>"C:\Program Files (x86)\AstroGrep\AstroGrep.exe" /spath="%USERPROFILE%\AppData\Local\Temp\OnboardLogs" /stypes="app*4017*20161226*" /stext=" 09:.+((SYSTEM_STATE.+slice.+state.+changed )|(ment ac)|(multiple cpu faults)|(system.+state.+changed )|(\[timeout)|(PRM\|1\|D)|(kpr)|(kdp)|(\|lc)|(penalty))" /e /r /s</v>
      </c>
      <c r="AG158" s="1" t="str">
        <f t="shared" si="50"/>
        <v>EC</v>
      </c>
      <c r="AH158" s="92" t="str">
        <f t="shared" si="51"/>
        <v>"%USERPROFILE%\Documents\GitHub\eaglep3\Utilities\RefineRTDCRunTimes.py" --tripid 244-25 --locoid 4017 --swversion DE.1.0.8.0 --startMP 204:233042 --initTime 2016-12-26T01:21:23 --startdatetime 2016-12-26T01:26:20 --delay 1 --endMP 204:165 --enddatetime 2016-12-26T02:03:05 --enforcementcount 0 &gt;&gt;C:\Users\stu\Documents\GitHub\eaglep3-reporting\EC\2016-12-25-refined-times.txt</v>
      </c>
      <c r="AI158" s="119" t="str">
        <f t="shared" si="52"/>
        <v>echo {"issue":{"subject":"","project_id":79,"tracker_id":40,"status_id":1,"priority_id":2,"assigned_to_id":23,"start_date":"2016-12-26","description":"","custom_fields":[{"id":1,"name":"Subdivision","value":"EC"},{"id":4,"name":"Milepost","value":"0.0165"},{"id":17,"name":"Train ID","value":"244-25"},{"id":16,"name":"Locomotive ID","value":"4017"},{"id":130,"name":"Impact","value":""},{"id":150,"name":"Time of Event (Mountain Time)","value":"02:03:05"},{"id":151,"name":"Denver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487</v>
      </c>
      <c r="B159" s="7">
        <v>4045</v>
      </c>
      <c r="C159" s="22" t="s">
        <v>205</v>
      </c>
      <c r="D159" s="22" t="s">
        <v>696</v>
      </c>
      <c r="E159" s="13">
        <v>42729.229479166665</v>
      </c>
      <c r="F159" s="13">
        <v>42729.236342592594</v>
      </c>
      <c r="G159" s="7">
        <v>1</v>
      </c>
      <c r="H159" s="22" t="s">
        <v>438</v>
      </c>
      <c r="I159" s="13">
        <v>42729.245995370373</v>
      </c>
      <c r="J159" s="7">
        <v>0</v>
      </c>
      <c r="K159" s="109" t="str">
        <f t="shared" si="36"/>
        <v>4045/4046</v>
      </c>
      <c r="L159" s="22" t="str">
        <f>VLOOKUP(A159,'Trips&amp;Operators'!$C$1:$G$99999,5,FALSE)</f>
        <v>YORK EDGAR</v>
      </c>
      <c r="M159" s="6">
        <f t="shared" si="37"/>
        <v>9.6527777786832303E-3</v>
      </c>
      <c r="N159" s="7">
        <f t="shared" si="38"/>
        <v>13.900000001303852</v>
      </c>
      <c r="O159" s="7"/>
      <c r="P159" s="7"/>
      <c r="Q159" s="23"/>
      <c r="R159" s="23"/>
      <c r="S159" s="35">
        <f t="shared" si="39"/>
        <v>1</v>
      </c>
      <c r="T159" s="50" t="str">
        <f t="shared" si="40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04:30:27-700',mode:absolute,to:'2016-12-25 06:54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9" s="52" t="str">
        <f t="shared" si="42"/>
        <v>N</v>
      </c>
      <c r="X159" s="177">
        <f t="shared" si="43"/>
        <v>1556</v>
      </c>
      <c r="Y159" s="67">
        <f t="shared" si="44"/>
        <v>5.8620999999999999</v>
      </c>
      <c r="Z159" s="67">
        <f t="shared" si="45"/>
        <v>7.4700000000000003E-2</v>
      </c>
      <c r="AA159" s="67">
        <f t="shared" si="46"/>
        <v>5.7873999999999999</v>
      </c>
      <c r="AB159" s="64" t="e">
        <f>VLOOKUP(A159,Enforcements!$C$7:$K$19,8,0)</f>
        <v>#N/A</v>
      </c>
      <c r="AC159" s="60" t="e">
        <f>VLOOKUP(A159,Enforcements!$C$7:$E$19,3,0)</f>
        <v>#N/A</v>
      </c>
      <c r="AD159" s="61" t="str">
        <f t="shared" si="47"/>
        <v>1800-25</v>
      </c>
      <c r="AE159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59" s="88" t="str">
        <f t="shared" si="49"/>
        <v>"C:\Program Files (x86)\AstroGrep\AstroGrep.exe" /spath="%USERPROFILE%\AppData\Local\Temp\OnboardLogs" /stypes="app*4045*20161225*" /stext=" 12:.+((SYSTEM_STATE.+slice.+state.+changed )|(ment ac)|(multiple cpu faults)|(system.+state.+changed )|(\[timeout)|(PRM\|1\|D)|(kpr)|(kdp)|(\|lc)|(penalty))" /e /r /s</v>
      </c>
      <c r="AG159" s="1" t="str">
        <f t="shared" si="50"/>
        <v>NW</v>
      </c>
      <c r="AH159" s="92" t="str">
        <f t="shared" si="51"/>
        <v>"%USERPROFILE%\Documents\GitHub\eaglep3\Utilities\RefineRTDCRunTimes.py" --tripid 1800-25 --locoid 4045 --swversion DE.1.0.8.0 --startMP 300:58621 --initTime 2016-12-25T05:30:27 --startdatetime 2016-12-25T05:40:20 --delay 1 --endMP 204:747 --enddatetime 2016-12-25T05:54:14 --enforcementcount 0 &gt;&gt;C:\Users\stu\Documents\GitHub\eaglep3-reporting\EC\2016-12-25-refined-times.txt</v>
      </c>
      <c r="AI159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{"issue":{"subject":"","project_id":79,"tracker_id":40,"status_id":1,"priority_id":2,"assigned_to_id":23,"start_date":"2016-12-25","description":"","custom_fields":[{"id":1,"name":"Subdivision","value":"NW"},{"id":4,"name":"Milepost","value":"0.0747"},{"id":17,"name":"Train ID","value":"1800-25"},{"id":16,"name":"Locomotive ID","value":"4045"},{"id":130,"name":"Impact","value":""},{"id":150,"name":"Time of Event (Mountain Time)","value":"05:54:14"},{"id":151,"name":"Denver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493</v>
      </c>
      <c r="B160" s="7">
        <v>4046</v>
      </c>
      <c r="C160" s="22" t="s">
        <v>205</v>
      </c>
      <c r="D160" s="22" t="s">
        <v>439</v>
      </c>
      <c r="E160" s="13">
        <v>42729.246898148151</v>
      </c>
      <c r="F160" s="13">
        <v>42729.265347222223</v>
      </c>
      <c r="G160" s="7">
        <v>1</v>
      </c>
      <c r="H160" s="22" t="s">
        <v>697</v>
      </c>
      <c r="I160" s="13">
        <v>42729.273576388892</v>
      </c>
      <c r="J160" s="7">
        <v>0</v>
      </c>
      <c r="K160" s="109" t="str">
        <f t="shared" si="36"/>
        <v>4045/4046</v>
      </c>
      <c r="L160" s="22" t="str">
        <f>VLOOKUP(A160,'Trips&amp;Operators'!$C$1:$G$99999,5,FALSE)</f>
        <v>YORK EDGAR</v>
      </c>
      <c r="M160" s="6">
        <f t="shared" si="37"/>
        <v>8.2291666694800369E-3</v>
      </c>
      <c r="N160" s="7">
        <f t="shared" si="38"/>
        <v>11.850000004051253</v>
      </c>
      <c r="O160" s="7"/>
      <c r="P160" s="7"/>
      <c r="Q160" s="23"/>
      <c r="R160" s="23"/>
      <c r="S160" s="35">
        <f t="shared" si="39"/>
        <v>1</v>
      </c>
      <c r="T160" s="50" t="str">
        <f t="shared" si="40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04:55:32-700',mode:absolute,to:'2016-12-25 07:33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0" s="52" t="str">
        <f t="shared" si="42"/>
        <v>N</v>
      </c>
      <c r="X160" s="177">
        <f t="shared" si="43"/>
        <v>1</v>
      </c>
      <c r="Y160" s="67">
        <f t="shared" si="44"/>
        <v>0.1032</v>
      </c>
      <c r="Z160" s="67">
        <f t="shared" si="45"/>
        <v>5.8097000000000003</v>
      </c>
      <c r="AA160" s="67">
        <f t="shared" si="46"/>
        <v>5.7065000000000001</v>
      </c>
      <c r="AB160" s="64" t="e">
        <f>VLOOKUP(A160,Enforcements!$C$7:$K$19,8,0)</f>
        <v>#N/A</v>
      </c>
      <c r="AC160" s="60" t="e">
        <f>VLOOKUP(A160,Enforcements!$C$7:$E$19,3,0)</f>
        <v>#N/A</v>
      </c>
      <c r="AD160" s="61" t="str">
        <f t="shared" si="47"/>
        <v>1801-25</v>
      </c>
      <c r="AE160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60" s="88" t="str">
        <f t="shared" si="49"/>
        <v>"C:\Program Files (x86)\AstroGrep\AstroGrep.exe" /spath="%USERPROFILE%\AppData\Local\Temp\OnboardLogs" /stypes="app*4046*20161225*" /stext=" 13:.+((SYSTEM_STATE.+slice.+state.+changed )|(ment ac)|(multiple cpu faults)|(system.+state.+changed )|(\[timeout)|(PRM\|1\|D)|(kpr)|(kdp)|(\|lc)|(penalty))" /e /r /s</v>
      </c>
      <c r="AG160" s="1" t="str">
        <f t="shared" si="50"/>
        <v>NW</v>
      </c>
      <c r="AH160" s="92" t="str">
        <f t="shared" si="51"/>
        <v>"%USERPROFILE%\Documents\GitHub\eaglep3\Utilities\RefineRTDCRunTimes.py" --tripid 1801-25 --locoid 4046 --swversion DE.1.0.8.0 --startMP 204:1032 --initTime 2016-12-25T05:55:32 --startdatetime 2016-12-25T06:22:06 --delay 1 --endMP 300:58097 --enddatetime 2016-12-25T06:33:57 --enforcementcount 0 &gt;&gt;C:\Users\stu\Documents\GitHub\eaglep3-reporting\EC\2016-12-25-refined-times.txt</v>
      </c>
      <c r="AI160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{"issue":{"subject":"","project_id":79,"tracker_id":40,"status_id":1,"priority_id":2,"assigned_to_id":23,"start_date":"2016-12-25","description":"","custom_fields":[{"id":1,"name":"Subdivision","value":"NW"},{"id":4,"name":"Milepost","value":"5.8097"},{"id":17,"name":"Train ID","value":"1801-25"},{"id":16,"name":"Locomotive ID","value":"4046"},{"id":130,"name":"Impact","value":""},{"id":150,"name":"Time of Event (Mountain Time)","value":"06:33:57"},{"id":151,"name":"Denver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s="21" customFormat="1" x14ac:dyDescent="0.25">
      <c r="A161" s="37" t="s">
        <v>498</v>
      </c>
      <c r="B161" s="7">
        <v>4045</v>
      </c>
      <c r="C161" s="22" t="s">
        <v>205</v>
      </c>
      <c r="D161" s="22" t="s">
        <v>335</v>
      </c>
      <c r="E161" s="13">
        <v>42729.275763888887</v>
      </c>
      <c r="F161" s="13">
        <v>42729.277418981481</v>
      </c>
      <c r="G161" s="7">
        <v>0</v>
      </c>
      <c r="H161" s="22" t="s">
        <v>698</v>
      </c>
      <c r="I161" s="13">
        <v>42729.287442129629</v>
      </c>
      <c r="J161" s="7">
        <v>0</v>
      </c>
      <c r="K161" s="109" t="str">
        <f t="shared" si="36"/>
        <v>4045/4046</v>
      </c>
      <c r="L161" s="22" t="str">
        <f>VLOOKUP(A161,'Trips&amp;Operators'!$C$1:$G$99999,5,FALSE)</f>
        <v>YORK EDGAR</v>
      </c>
      <c r="M161" s="6">
        <f t="shared" si="37"/>
        <v>1.0023148148320615E-2</v>
      </c>
      <c r="N161" s="7">
        <f t="shared" si="38"/>
        <v>14.433333333581686</v>
      </c>
      <c r="O161" s="7"/>
      <c r="P161" s="7"/>
      <c r="Q161" s="23"/>
      <c r="R161" s="23"/>
      <c r="S161" s="35">
        <f t="shared" si="39"/>
        <v>1</v>
      </c>
      <c r="T161" s="50" t="str">
        <f t="shared" si="40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05:37:06-700',mode:absolute,to:'2016-12-25 07:53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1" s="52" t="str">
        <f t="shared" si="42"/>
        <v>N</v>
      </c>
      <c r="X161" s="177">
        <f t="shared" si="43"/>
        <v>1</v>
      </c>
      <c r="Y161" s="67">
        <f t="shared" si="44"/>
        <v>5.8608000000000002</v>
      </c>
      <c r="Z161" s="67">
        <f t="shared" si="45"/>
        <v>7.2900000000000006E-2</v>
      </c>
      <c r="AA161" s="67">
        <f t="shared" si="46"/>
        <v>5.7879000000000005</v>
      </c>
      <c r="AB161" s="64" t="e">
        <f>VLOOKUP(A161,Enforcements!$C$7:$K$19,8,0)</f>
        <v>#N/A</v>
      </c>
      <c r="AC161" s="60" t="e">
        <f>VLOOKUP(A161,Enforcements!$C$7:$E$19,3,0)</f>
        <v>#N/A</v>
      </c>
      <c r="AD161" s="61" t="str">
        <f t="shared" si="47"/>
        <v>1802-25</v>
      </c>
      <c r="AE161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61" s="88" t="str">
        <f t="shared" si="49"/>
        <v>"C:\Program Files (x86)\AstroGrep\AstroGrep.exe" /spath="%USERPROFILE%\AppData\Local\Temp\OnboardLogs" /stypes="app*4045*20161225*" /stext=" 13:.+((SYSTEM_STATE.+slice.+state.+changed )|(ment ac)|(multiple cpu faults)|(system.+state.+changed )|(\[timeout)|(PRM\|1\|D)|(kpr)|(kdp)|(\|lc)|(penalty))" /e /r /s</v>
      </c>
      <c r="AG161" s="1" t="str">
        <f t="shared" si="50"/>
        <v>NW</v>
      </c>
      <c r="AH161" s="92" t="str">
        <f t="shared" si="51"/>
        <v>"%USERPROFILE%\Documents\GitHub\eaglep3\Utilities\RefineRTDCRunTimes.py" --tripid 1802-25 --locoid 4045 --swversion DE.1.0.8.0 --startMP 300:58608 --initTime 2016-12-25T06:37:06 --startdatetime 2016-12-25T06:39:29 --delay 0 --endMP 204:729 --enddatetime 2016-12-25T06:53:55 --enforcementcount 0 &gt;&gt;C:\Users\stu\Documents\GitHub\eaglep3-reporting\EC\2016-12-25-refined-times.txt</v>
      </c>
      <c r="AI161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{"issue":{"subject":"","project_id":79,"tracker_id":40,"status_id":1,"priority_id":2,"assigned_to_id":23,"start_date":"2016-12-25","description":"","custom_fields":[{"id":1,"name":"Subdivision","value":"NW"},{"id":4,"name":"Milepost","value":"0.0729"},{"id":17,"name":"Train ID","value":"1802-25"},{"id":16,"name":"Locomotive ID","value":"4045"},{"id":130,"name":"Impact","value":""},{"id":150,"name":"Time of Event (Mountain Time)","value":"06:53:55"},{"id":151,"name":"Denver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501</v>
      </c>
      <c r="B162" s="7">
        <v>4046</v>
      </c>
      <c r="C162" s="22" t="s">
        <v>205</v>
      </c>
      <c r="D162" s="22" t="s">
        <v>699</v>
      </c>
      <c r="E162" s="13">
        <v>42729.288460648146</v>
      </c>
      <c r="F162" s="13">
        <v>42729.306527777779</v>
      </c>
      <c r="G162" s="7">
        <v>1</v>
      </c>
      <c r="H162" s="22" t="s">
        <v>363</v>
      </c>
      <c r="I162" s="13">
        <v>42729.314756944441</v>
      </c>
      <c r="J162" s="7">
        <v>0</v>
      </c>
      <c r="K162" s="109" t="str">
        <f t="shared" si="36"/>
        <v>4045/4046</v>
      </c>
      <c r="L162" s="22" t="str">
        <f>VLOOKUP(A162,'Trips&amp;Operators'!$C$1:$G$99999,5,FALSE)</f>
        <v>YORK EDGAR</v>
      </c>
      <c r="M162" s="6">
        <f t="shared" si="37"/>
        <v>8.2291666622040793E-3</v>
      </c>
      <c r="N162" s="7">
        <f t="shared" si="38"/>
        <v>11.849999993573874</v>
      </c>
      <c r="O162" s="7"/>
      <c r="P162" s="7"/>
      <c r="Q162" s="23"/>
      <c r="R162" s="23"/>
      <c r="S162" s="35">
        <f t="shared" si="39"/>
        <v>1</v>
      </c>
      <c r="T162" s="50" t="str">
        <f t="shared" si="40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05:55:23-700',mode:absolute,to:'2016-12-25 08:33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2" s="52" t="str">
        <f t="shared" si="42"/>
        <v>N</v>
      </c>
      <c r="X162" s="177">
        <f t="shared" si="43"/>
        <v>1</v>
      </c>
      <c r="Y162" s="67">
        <f t="shared" si="44"/>
        <v>0.1018</v>
      </c>
      <c r="Z162" s="67">
        <f t="shared" si="45"/>
        <v>5.8935000000000004</v>
      </c>
      <c r="AA162" s="67">
        <f t="shared" si="46"/>
        <v>5.7917000000000005</v>
      </c>
      <c r="AB162" s="64" t="e">
        <f>VLOOKUP(A162,Enforcements!$C$7:$K$19,8,0)</f>
        <v>#N/A</v>
      </c>
      <c r="AC162" s="60" t="e">
        <f>VLOOKUP(A162,Enforcements!$C$7:$E$19,3,0)</f>
        <v>#N/A</v>
      </c>
      <c r="AD162" s="61" t="str">
        <f t="shared" si="47"/>
        <v>1803-25</v>
      </c>
      <c r="AE162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62" s="88" t="str">
        <f t="shared" si="49"/>
        <v>"C:\Program Files (x86)\AstroGrep\AstroGrep.exe" /spath="%USERPROFILE%\AppData\Local\Temp\OnboardLogs" /stypes="app*4046*20161225*" /stext=" 14:.+((SYSTEM_STATE.+slice.+state.+changed )|(ment ac)|(multiple cpu faults)|(system.+state.+changed )|(\[timeout)|(PRM\|1\|D)|(kpr)|(kdp)|(\|lc)|(penalty))" /e /r /s</v>
      </c>
      <c r="AG162" s="1" t="str">
        <f t="shared" si="50"/>
        <v>NW</v>
      </c>
      <c r="AH162" s="92" t="str">
        <f t="shared" si="51"/>
        <v>"%USERPROFILE%\Documents\GitHub\eaglep3\Utilities\RefineRTDCRunTimes.py" --tripid 1803-25 --locoid 4046 --swversion DE.1.0.8.0 --startMP 204:1018 --initTime 2016-12-25T06:55:23 --startdatetime 2016-12-25T07:21:24 --delay 1 --endMP 300:58935 --enddatetime 2016-12-25T07:33:15 --enforcementcount 0 &gt;&gt;C:\Users\stu\Documents\GitHub\eaglep3-reporting\EC\2016-12-25-refined-times.txt</v>
      </c>
      <c r="AI162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{"issue":{"subject":"","project_id":79,"tracker_id":40,"status_id":1,"priority_id":2,"assigned_to_id":23,"start_date":"2016-12-25","description":"","custom_fields":[{"id":1,"name":"Subdivision","value":"NW"},{"id":4,"name":"Milepost","value":"5.8935"},{"id":17,"name":"Train ID","value":"1803-25"},{"id":16,"name":"Locomotive ID","value":"4046"},{"id":130,"name":"Impact","value":""},{"id":150,"name":"Time of Event (Mountain Time)","value":"07:33:15"},{"id":151,"name":"Denver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506</v>
      </c>
      <c r="B163" s="7">
        <v>4045</v>
      </c>
      <c r="C163" s="22" t="s">
        <v>205</v>
      </c>
      <c r="D163" s="22" t="s">
        <v>700</v>
      </c>
      <c r="E163" s="13">
        <v>42729.316319444442</v>
      </c>
      <c r="F163" s="13">
        <v>42729.318310185183</v>
      </c>
      <c r="G163" s="7">
        <v>1</v>
      </c>
      <c r="H163" s="22" t="s">
        <v>701</v>
      </c>
      <c r="I163" s="13">
        <v>42729.329108796293</v>
      </c>
      <c r="J163" s="7">
        <v>0</v>
      </c>
      <c r="K163" s="109" t="str">
        <f t="shared" si="36"/>
        <v>4045/4046</v>
      </c>
      <c r="L163" s="22" t="str">
        <f>VLOOKUP(A163,'Trips&amp;Operators'!$C$1:$G$99999,5,FALSE)</f>
        <v>YORK EDGAR</v>
      </c>
      <c r="M163" s="6">
        <f t="shared" si="37"/>
        <v>1.0798611110658385E-2</v>
      </c>
      <c r="N163" s="7">
        <f t="shared" si="38"/>
        <v>15.549999999348074</v>
      </c>
      <c r="O163" s="7"/>
      <c r="P163" s="7"/>
      <c r="Q163" s="23"/>
      <c r="R163" s="23"/>
      <c r="S163" s="35">
        <f t="shared" si="39"/>
        <v>1</v>
      </c>
      <c r="T163" s="50" t="str">
        <f t="shared" si="40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06:35:30-700',mode:absolute,to:'2016-12-25 08:53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3" s="52" t="str">
        <f t="shared" si="42"/>
        <v>N</v>
      </c>
      <c r="X163" s="177">
        <f t="shared" si="43"/>
        <v>1</v>
      </c>
      <c r="Y163" s="67">
        <f t="shared" si="44"/>
        <v>5.8615000000000004</v>
      </c>
      <c r="Z163" s="67">
        <f t="shared" si="45"/>
        <v>7.3599999999999999E-2</v>
      </c>
      <c r="AA163" s="67">
        <f t="shared" si="46"/>
        <v>5.7879000000000005</v>
      </c>
      <c r="AB163" s="64" t="e">
        <f>VLOOKUP(A163,Enforcements!$C$7:$K$19,8,0)</f>
        <v>#N/A</v>
      </c>
      <c r="AC163" s="60" t="e">
        <f>VLOOKUP(A163,Enforcements!$C$7:$E$19,3,0)</f>
        <v>#N/A</v>
      </c>
      <c r="AD163" s="61" t="str">
        <f t="shared" si="47"/>
        <v>1804-25</v>
      </c>
      <c r="AE163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63" s="88" t="str">
        <f t="shared" si="49"/>
        <v>"C:\Program Files (x86)\AstroGrep\AstroGrep.exe" /spath="%USERPROFILE%\AppData\Local\Temp\OnboardLogs" /stypes="app*4045*20161225*" /stext=" 14:.+((SYSTEM_STATE.+slice.+state.+changed )|(ment ac)|(multiple cpu faults)|(system.+state.+changed )|(\[timeout)|(PRM\|1\|D)|(kpr)|(kdp)|(\|lc)|(penalty))" /e /r /s</v>
      </c>
      <c r="AG163" s="1" t="str">
        <f t="shared" si="50"/>
        <v>NW</v>
      </c>
      <c r="AH163" s="92" t="str">
        <f t="shared" si="51"/>
        <v>"%USERPROFILE%\Documents\GitHub\eaglep3\Utilities\RefineRTDCRunTimes.py" --tripid 1804-25 --locoid 4045 --swversion DE.1.0.8.0 --startMP 300:58615 --initTime 2016-12-25T07:35:30 --startdatetime 2016-12-25T07:38:22 --delay 1 --endMP 204:736 --enddatetime 2016-12-25T07:53:55 --enforcementcount 0 &gt;&gt;C:\Users\stu\Documents\GitHub\eaglep3-reporting\EC\2016-12-25-refined-times.txt</v>
      </c>
      <c r="AI163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{"issue":{"subject":"","project_id":79,"tracker_id":40,"status_id":1,"priority_id":2,"assigned_to_id":23,"start_date":"2016-12-25","description":"","custom_fields":[{"id":1,"name":"Subdivision","value":"NW"},{"id":4,"name":"Milepost","value":"0.0736"},{"id":17,"name":"Train ID","value":"1804-25"},{"id":16,"name":"Locomotive ID","value":"4045"},{"id":130,"name":"Impact","value":""},{"id":150,"name":"Time of Event (Mountain Time)","value":"07:53:55"},{"id":151,"name":"Denver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512</v>
      </c>
      <c r="B164" s="7">
        <v>4046</v>
      </c>
      <c r="C164" s="22" t="s">
        <v>205</v>
      </c>
      <c r="D164" s="22" t="s">
        <v>439</v>
      </c>
      <c r="E164" s="13">
        <v>42729.330648148149</v>
      </c>
      <c r="F164" s="13">
        <v>42729.348333333335</v>
      </c>
      <c r="G164" s="7">
        <v>0</v>
      </c>
      <c r="H164" s="22" t="s">
        <v>702</v>
      </c>
      <c r="I164" s="13">
        <v>42729.357314814813</v>
      </c>
      <c r="J164" s="7">
        <v>0</v>
      </c>
      <c r="K164" s="109" t="str">
        <f t="shared" si="36"/>
        <v>4045/4046</v>
      </c>
      <c r="L164" s="22" t="str">
        <f>VLOOKUP(A164,'Trips&amp;Operators'!$C$1:$G$99999,5,FALSE)</f>
        <v>YORK EDGAR</v>
      </c>
      <c r="M164" s="6">
        <f t="shared" si="37"/>
        <v>8.9814814782585017E-3</v>
      </c>
      <c r="N164" s="7">
        <f t="shared" si="38"/>
        <v>12.933333328692243</v>
      </c>
      <c r="O164" s="7"/>
      <c r="P164" s="7"/>
      <c r="Q164" s="23"/>
      <c r="R164" s="23"/>
      <c r="S164" s="35">
        <f t="shared" si="39"/>
        <v>1</v>
      </c>
      <c r="T164" s="50" t="str">
        <f t="shared" si="40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06:56:08-700',mode:absolute,to:'2016-12-25 09:34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4" s="52" t="str">
        <f t="shared" si="42"/>
        <v>N</v>
      </c>
      <c r="X164" s="177">
        <f t="shared" si="43"/>
        <v>1</v>
      </c>
      <c r="Y164" s="67">
        <f t="shared" si="44"/>
        <v>0.1032</v>
      </c>
      <c r="Z164" s="67">
        <f t="shared" si="45"/>
        <v>5.8944000000000001</v>
      </c>
      <c r="AA164" s="67">
        <f t="shared" si="46"/>
        <v>5.7911999999999999</v>
      </c>
      <c r="AB164" s="64" t="e">
        <f>VLOOKUP(A164,Enforcements!$C$7:$K$19,8,0)</f>
        <v>#N/A</v>
      </c>
      <c r="AC164" s="60" t="e">
        <f>VLOOKUP(A164,Enforcements!$C$7:$E$19,3,0)</f>
        <v>#N/A</v>
      </c>
      <c r="AD164" s="61" t="str">
        <f t="shared" si="47"/>
        <v>1805-25</v>
      </c>
      <c r="AE164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64" s="88" t="str">
        <f t="shared" si="49"/>
        <v>"C:\Program Files (x86)\AstroGrep\AstroGrep.exe" /spath="%USERPROFILE%\AppData\Local\Temp\OnboardLogs" /stypes="app*4046*20161225*" /stext=" 15:.+((SYSTEM_STATE.+slice.+state.+changed )|(ment ac)|(multiple cpu faults)|(system.+state.+changed )|(\[timeout)|(PRM\|1\|D)|(kpr)|(kdp)|(\|lc)|(penalty))" /e /r /s</v>
      </c>
      <c r="AG164" s="1" t="str">
        <f t="shared" si="50"/>
        <v>NW</v>
      </c>
      <c r="AH164" s="92" t="str">
        <f t="shared" si="51"/>
        <v>"%USERPROFILE%\Documents\GitHub\eaglep3\Utilities\RefineRTDCRunTimes.py" --tripid 1805-25 --locoid 4046 --swversion DE.1.0.8.0 --startMP 204:1032 --initTime 2016-12-25T07:56:08 --startdatetime 2016-12-25T08:21:36 --delay 0 --endMP 300:58944 --enddatetime 2016-12-25T08:34:32 --enforcementcount 0 &gt;&gt;C:\Users\stu\Documents\GitHub\eaglep3-reporting\EC\2016-12-25-refined-times.txt</v>
      </c>
      <c r="AI164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{"issue":{"subject":"","project_id":79,"tracker_id":40,"status_id":1,"priority_id":2,"assigned_to_id":23,"start_date":"2016-12-25","description":"","custom_fields":[{"id":1,"name":"Subdivision","value":"NW"},{"id":4,"name":"Milepost","value":"5.8944"},{"id":17,"name":"Train ID","value":"1805-25"},{"id":16,"name":"Locomotive ID","value":"4046"},{"id":130,"name":"Impact","value":""},{"id":150,"name":"Time of Event (Mountain Time)","value":"08:34:32"},{"id":151,"name":"Denver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517</v>
      </c>
      <c r="B165" s="7">
        <v>4045</v>
      </c>
      <c r="C165" s="22" t="s">
        <v>205</v>
      </c>
      <c r="D165" s="22" t="s">
        <v>700</v>
      </c>
      <c r="E165" s="13">
        <v>42729.359259259261</v>
      </c>
      <c r="F165" s="13">
        <v>42729.362407407411</v>
      </c>
      <c r="G165" s="7">
        <v>1</v>
      </c>
      <c r="H165" s="22" t="s">
        <v>312</v>
      </c>
      <c r="I165" s="13">
        <v>42729.370729166665</v>
      </c>
      <c r="J165" s="7">
        <v>0</v>
      </c>
      <c r="K165" s="109" t="str">
        <f t="shared" si="36"/>
        <v>4045/4046</v>
      </c>
      <c r="L165" s="22" t="str">
        <f>VLOOKUP(A165,'Trips&amp;Operators'!$C$1:$G$99999,5,FALSE)</f>
        <v>YORK EDGAR</v>
      </c>
      <c r="M165" s="6">
        <f t="shared" si="37"/>
        <v>8.3217592546134256E-3</v>
      </c>
      <c r="N165" s="7">
        <f t="shared" si="38"/>
        <v>11.983333326643333</v>
      </c>
      <c r="O165" s="7"/>
      <c r="P165" s="7"/>
      <c r="Q165" s="23"/>
      <c r="R165" s="23"/>
      <c r="S165" s="35">
        <f t="shared" si="39"/>
        <v>1</v>
      </c>
      <c r="T165" s="50" t="str">
        <f t="shared" si="40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07:37:20-700',mode:absolute,to:'2016-12-25 09:53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5" s="52" t="str">
        <f t="shared" si="42"/>
        <v>N</v>
      </c>
      <c r="X165" s="177">
        <f t="shared" si="43"/>
        <v>1</v>
      </c>
      <c r="Y165" s="67">
        <f t="shared" si="44"/>
        <v>5.8615000000000004</v>
      </c>
      <c r="Z165" s="67">
        <f t="shared" si="45"/>
        <v>7.4499999999999997E-2</v>
      </c>
      <c r="AA165" s="67">
        <f t="shared" si="46"/>
        <v>5.7870000000000008</v>
      </c>
      <c r="AB165" s="64" t="e">
        <f>VLOOKUP(A165,Enforcements!$C$7:$K$19,8,0)</f>
        <v>#N/A</v>
      </c>
      <c r="AC165" s="60" t="e">
        <f>VLOOKUP(A165,Enforcements!$C$7:$E$19,3,0)</f>
        <v>#N/A</v>
      </c>
      <c r="AD165" s="61" t="str">
        <f t="shared" si="47"/>
        <v>1806-25</v>
      </c>
      <c r="AE165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65" s="88" t="str">
        <f t="shared" si="49"/>
        <v>"C:\Program Files (x86)\AstroGrep\AstroGrep.exe" /spath="%USERPROFILE%\AppData\Local\Temp\OnboardLogs" /stypes="app*4045*20161225*" /stext=" 15:.+((SYSTEM_STATE.+slice.+state.+changed )|(ment ac)|(multiple cpu faults)|(system.+state.+changed )|(\[timeout)|(PRM\|1\|D)|(kpr)|(kdp)|(\|lc)|(penalty))" /e /r /s</v>
      </c>
      <c r="AG165" s="1" t="str">
        <f t="shared" si="50"/>
        <v>NW</v>
      </c>
      <c r="AH165" s="92" t="str">
        <f t="shared" si="51"/>
        <v>"%USERPROFILE%\Documents\GitHub\eaglep3\Utilities\RefineRTDCRunTimes.py" --tripid 1806-25 --locoid 4045 --swversion DE.1.0.8.0 --startMP 300:58615 --initTime 2016-12-25T08:37:20 --startdatetime 2016-12-25T08:41:52 --delay 1 --endMP 204:745 --enddatetime 2016-12-25T08:53:51 --enforcementcount 0 &gt;&gt;C:\Users\stu\Documents\GitHub\eaglep3-reporting\EC\2016-12-25-refined-times.txt</v>
      </c>
      <c r="AI165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{"issue":{"subject":"","project_id":79,"tracker_id":40,"status_id":1,"priority_id":2,"assigned_to_id":23,"start_date":"2016-12-25","description":"","custom_fields":[{"id":1,"name":"Subdivision","value":"NW"},{"id":4,"name":"Milepost","value":"0.0745"},{"id":17,"name":"Train ID","value":"1806-25"},{"id":16,"name":"Locomotive ID","value":"4045"},{"id":130,"name":"Impact","value":""},{"id":150,"name":"Time of Event (Mountain Time)","value":"08:53:51"},{"id":151,"name":"Denver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523</v>
      </c>
      <c r="B166" s="7">
        <v>4046</v>
      </c>
      <c r="C166" s="22" t="s">
        <v>205</v>
      </c>
      <c r="D166" s="22" t="s">
        <v>435</v>
      </c>
      <c r="E166" s="13">
        <v>42729.371655092589</v>
      </c>
      <c r="F166" s="13">
        <v>42729.389745370368</v>
      </c>
      <c r="G166" s="7">
        <v>0</v>
      </c>
      <c r="H166" s="22" t="s">
        <v>363</v>
      </c>
      <c r="I166" s="13">
        <v>42729.398587962962</v>
      </c>
      <c r="J166" s="7">
        <v>0</v>
      </c>
      <c r="K166" s="109" t="str">
        <f t="shared" si="36"/>
        <v>4045/4046</v>
      </c>
      <c r="L166" s="22" t="str">
        <f>VLOOKUP(A166,'Trips&amp;Operators'!$C$1:$G$99999,5,FALSE)</f>
        <v>YORK EDGAR</v>
      </c>
      <c r="M166" s="6">
        <f t="shared" si="37"/>
        <v>8.8425925932824612E-3</v>
      </c>
      <c r="N166" s="7">
        <f t="shared" si="38"/>
        <v>12.733333334326744</v>
      </c>
      <c r="O166" s="7"/>
      <c r="P166" s="7"/>
      <c r="Q166" s="23"/>
      <c r="R166" s="23"/>
      <c r="S166" s="35">
        <f t="shared" si="39"/>
        <v>1</v>
      </c>
      <c r="T166" s="50" t="str">
        <f t="shared" si="40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07:55:11-700',mode:absolute,to:'2016-12-25 10:33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6" s="52" t="str">
        <f t="shared" si="42"/>
        <v>N</v>
      </c>
      <c r="X166" s="177">
        <f t="shared" si="43"/>
        <v>1</v>
      </c>
      <c r="Y166" s="67">
        <f t="shared" si="44"/>
        <v>0.1027</v>
      </c>
      <c r="Z166" s="67">
        <f t="shared" si="45"/>
        <v>5.8935000000000004</v>
      </c>
      <c r="AA166" s="67">
        <f t="shared" si="46"/>
        <v>5.7908000000000008</v>
      </c>
      <c r="AB166" s="64" t="e">
        <f>VLOOKUP(A166,Enforcements!$C$7:$K$19,8,0)</f>
        <v>#N/A</v>
      </c>
      <c r="AC166" s="60" t="e">
        <f>VLOOKUP(A166,Enforcements!$C$7:$E$19,3,0)</f>
        <v>#N/A</v>
      </c>
      <c r="AD166" s="61" t="str">
        <f t="shared" si="47"/>
        <v>1807-25</v>
      </c>
      <c r="AE166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66" s="88" t="str">
        <f t="shared" si="49"/>
        <v>"C:\Program Files (x86)\AstroGrep\AstroGrep.exe" /spath="%USERPROFILE%\AppData\Local\Temp\OnboardLogs" /stypes="app*4046*20161225*" /stext=" 16:.+((SYSTEM_STATE.+slice.+state.+changed )|(ment ac)|(multiple cpu faults)|(system.+state.+changed )|(\[timeout)|(PRM\|1\|D)|(kpr)|(kdp)|(\|lc)|(penalty))" /e /r /s</v>
      </c>
      <c r="AG166" s="1" t="str">
        <f t="shared" si="50"/>
        <v>NW</v>
      </c>
      <c r="AH166" s="92" t="str">
        <f t="shared" si="51"/>
        <v>"%USERPROFILE%\Documents\GitHub\eaglep3\Utilities\RefineRTDCRunTimes.py" --tripid 1807-25 --locoid 4046 --swversion DE.1.0.8.0 --startMP 204:1027 --initTime 2016-12-25T08:55:11 --startdatetime 2016-12-25T09:21:14 --delay 0 --endMP 300:58935 --enddatetime 2016-12-25T09:33:58 --enforcementcount 0 &gt;&gt;C:\Users\stu\Documents\GitHub\eaglep3-reporting\EC\2016-12-25-refined-times.txt</v>
      </c>
      <c r="AI166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{"issue":{"subject":"","project_id":79,"tracker_id":40,"status_id":1,"priority_id":2,"assigned_to_id":23,"start_date":"2016-12-25","description":"","custom_fields":[{"id":1,"name":"Subdivision","value":"NW"},{"id":4,"name":"Milepost","value":"5.8935"},{"id":17,"name":"Train ID","value":"1807-25"},{"id":16,"name":"Locomotive ID","value":"4046"},{"id":130,"name":"Impact","value":""},{"id":150,"name":"Time of Event (Mountain Time)","value":"09:33:58"},{"id":151,"name":"Denver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x14ac:dyDescent="0.25">
      <c r="A167" s="37" t="s">
        <v>529</v>
      </c>
      <c r="B167" s="7">
        <v>4045</v>
      </c>
      <c r="C167" s="22" t="s">
        <v>205</v>
      </c>
      <c r="D167" s="22" t="s">
        <v>696</v>
      </c>
      <c r="E167" s="13">
        <v>42729.400196759256</v>
      </c>
      <c r="F167" s="13">
        <v>42729.403738425928</v>
      </c>
      <c r="G167" s="7">
        <v>1</v>
      </c>
      <c r="H167" s="22" t="s">
        <v>703</v>
      </c>
      <c r="I167" s="13">
        <v>42729.412534722222</v>
      </c>
      <c r="J167" s="7">
        <v>0</v>
      </c>
      <c r="K167" s="109" t="str">
        <f t="shared" si="36"/>
        <v>4045/4046</v>
      </c>
      <c r="L167" s="22" t="str">
        <f>VLOOKUP(A167,'Trips&amp;Operators'!$C$1:$G$99999,5,FALSE)</f>
        <v>YORK EDGAR</v>
      </c>
      <c r="M167" s="6">
        <f t="shared" si="37"/>
        <v>8.7962962934398092E-3</v>
      </c>
      <c r="N167" s="7">
        <f t="shared" si="38"/>
        <v>12.666666662553325</v>
      </c>
      <c r="O167" s="7"/>
      <c r="P167" s="7"/>
      <c r="Q167" s="23"/>
      <c r="R167" s="23"/>
      <c r="S167" s="35">
        <f t="shared" si="39"/>
        <v>1</v>
      </c>
      <c r="T167" s="50" t="str">
        <f t="shared" si="40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08:36:17-700',mode:absolute,to:'2016-12-25 10:54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7" s="52" t="str">
        <f t="shared" si="42"/>
        <v>N</v>
      </c>
      <c r="X167" s="177">
        <f t="shared" si="43"/>
        <v>1</v>
      </c>
      <c r="Y167" s="67">
        <f t="shared" si="44"/>
        <v>5.8620999999999999</v>
      </c>
      <c r="Z167" s="67">
        <f t="shared" si="45"/>
        <v>7.4300000000000005E-2</v>
      </c>
      <c r="AA167" s="67">
        <f t="shared" si="46"/>
        <v>5.7877999999999998</v>
      </c>
      <c r="AB167" s="64" t="e">
        <f>VLOOKUP(A167,Enforcements!$C$7:$K$19,8,0)</f>
        <v>#N/A</v>
      </c>
      <c r="AC167" s="60" t="e">
        <f>VLOOKUP(A167,Enforcements!$C$7:$E$19,3,0)</f>
        <v>#N/A</v>
      </c>
      <c r="AD167" s="61" t="str">
        <f t="shared" si="47"/>
        <v>1808-25</v>
      </c>
      <c r="AE167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67" s="88" t="str">
        <f t="shared" si="49"/>
        <v>"C:\Program Files (x86)\AstroGrep\AstroGrep.exe" /spath="%USERPROFILE%\AppData\Local\Temp\OnboardLogs" /stypes="app*4045*20161225*" /stext=" 16:.+((SYSTEM_STATE.+slice.+state.+changed )|(ment ac)|(multiple cpu faults)|(system.+state.+changed )|(\[timeout)|(PRM\|1\|D)|(kpr)|(kdp)|(\|lc)|(penalty))" /e /r /s</v>
      </c>
      <c r="AG167" s="1" t="str">
        <f t="shared" si="50"/>
        <v>NW</v>
      </c>
      <c r="AH167" s="92" t="str">
        <f t="shared" si="51"/>
        <v>"%USERPROFILE%\Documents\GitHub\eaglep3\Utilities\RefineRTDCRunTimes.py" --tripid 1808-25 --locoid 4045 --swversion DE.1.0.8.0 --startMP 300:58621 --initTime 2016-12-25T09:36:17 --startdatetime 2016-12-25T09:41:23 --delay 1 --endMP 204:743 --enddatetime 2016-12-25T09:54:03 --enforcementcount 0 &gt;&gt;C:\Users\stu\Documents\GitHub\eaglep3-reporting\EC\2016-12-25-refined-times.txt</v>
      </c>
      <c r="AI167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{"issue":{"subject":"","project_id":79,"tracker_id":40,"status_id":1,"priority_id":2,"assigned_to_id":23,"start_date":"2016-12-25","description":"","custom_fields":[{"id":1,"name":"Subdivision","value":"NW"},{"id":4,"name":"Milepost","value":"0.0743"},{"id":17,"name":"Train ID","value":"1808-25"},{"id":16,"name":"Locomotive ID","value":"4045"},{"id":130,"name":"Impact","value":""},{"id":150,"name":"Time of Event (Mountain Time)","value":"09:54:03"},{"id":151,"name":"Denver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</row>
    <row r="168" spans="1:91" s="21" customFormat="1" x14ac:dyDescent="0.25">
      <c r="A168" s="37" t="s">
        <v>533</v>
      </c>
      <c r="B168" s="7">
        <v>4046</v>
      </c>
      <c r="C168" s="22" t="s">
        <v>205</v>
      </c>
      <c r="D168" s="22" t="s">
        <v>704</v>
      </c>
      <c r="E168" s="13">
        <v>42729.413831018515</v>
      </c>
      <c r="F168" s="13">
        <v>42729.431400462963</v>
      </c>
      <c r="G168" s="7">
        <v>1</v>
      </c>
      <c r="H168" s="22" t="s">
        <v>705</v>
      </c>
      <c r="I168" s="13">
        <v>42729.440462962964</v>
      </c>
      <c r="J168" s="7">
        <v>0</v>
      </c>
      <c r="K168" s="109" t="str">
        <f t="shared" si="36"/>
        <v>4045/4046</v>
      </c>
      <c r="L168" s="22" t="str">
        <f>VLOOKUP(A168,'Trips&amp;Operators'!$C$1:$G$99999,5,FALSE)</f>
        <v>YORK EDGAR</v>
      </c>
      <c r="M168" s="6">
        <f t="shared" si="37"/>
        <v>9.0625000011641532E-3</v>
      </c>
      <c r="N168" s="7">
        <f t="shared" si="38"/>
        <v>13.050000001676381</v>
      </c>
      <c r="O168" s="7"/>
      <c r="P168" s="7"/>
      <c r="Q168" s="23"/>
      <c r="R168" s="23"/>
      <c r="S168" s="35">
        <f t="shared" si="39"/>
        <v>1</v>
      </c>
      <c r="T168" s="50" t="str">
        <f t="shared" si="40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08:55:55-700',mode:absolute,to:'2016-12-25 11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8" s="52" t="str">
        <f t="shared" si="42"/>
        <v>N</v>
      </c>
      <c r="X168" s="177">
        <f t="shared" si="43"/>
        <v>1</v>
      </c>
      <c r="Y168" s="67">
        <f t="shared" si="44"/>
        <v>0.1028</v>
      </c>
      <c r="Z168" s="67">
        <f t="shared" si="45"/>
        <v>5.8936999999999999</v>
      </c>
      <c r="AA168" s="67">
        <f t="shared" si="46"/>
        <v>5.7908999999999997</v>
      </c>
      <c r="AB168" s="64" t="e">
        <f>VLOOKUP(A168,Enforcements!$C$7:$K$19,8,0)</f>
        <v>#N/A</v>
      </c>
      <c r="AC168" s="60" t="e">
        <f>VLOOKUP(A168,Enforcements!$C$7:$E$19,3,0)</f>
        <v>#N/A</v>
      </c>
      <c r="AD168" s="61" t="str">
        <f t="shared" si="47"/>
        <v>1809-25</v>
      </c>
      <c r="AE168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68" s="88" t="str">
        <f t="shared" si="49"/>
        <v>"C:\Program Files (x86)\AstroGrep\AstroGrep.exe" /spath="%USERPROFILE%\AppData\Local\Temp\OnboardLogs" /stypes="app*4046*20161225*" /stext=" 17:.+((SYSTEM_STATE.+slice.+state.+changed )|(ment ac)|(multiple cpu faults)|(system.+state.+changed )|(\[timeout)|(PRM\|1\|D)|(kpr)|(kdp)|(\|lc)|(penalty))" /e /r /s</v>
      </c>
      <c r="AG168" s="1" t="str">
        <f t="shared" si="50"/>
        <v>NW</v>
      </c>
      <c r="AH168" s="92" t="str">
        <f t="shared" si="51"/>
        <v>"%USERPROFILE%\Documents\GitHub\eaglep3\Utilities\RefineRTDCRunTimes.py" --tripid 1809-25 --locoid 4046 --swversion DE.1.0.8.0 --startMP 204:1028 --initTime 2016-12-25T09:55:55 --startdatetime 2016-12-25T10:21:13 --delay 1 --endMP 300:58937 --enddatetime 2016-12-25T10:34:16 --enforcementcount 0 &gt;&gt;C:\Users\stu\Documents\GitHub\eaglep3-reporting\EC\2016-12-25-refined-times.txt</v>
      </c>
      <c r="AI168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{"issue":{"subject":"","project_id":79,"tracker_id":40,"status_id":1,"priority_id":2,"assigned_to_id":23,"start_date":"2016-12-25","description":"","custom_fields":[{"id":1,"name":"Subdivision","value":"NW"},{"id":4,"name":"Milepost","value":"5.8937"},{"id":17,"name":"Train ID","value":"1809-25"},{"id":16,"name":"Locomotive ID","value":"4046"},{"id":130,"name":"Impact","value":""},{"id":150,"name":"Time of Event (Mountain Time)","value":"10:34:16"},{"id":151,"name":"Denver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1" customFormat="1" x14ac:dyDescent="0.25">
      <c r="A169" s="37" t="s">
        <v>541</v>
      </c>
      <c r="B169" s="7">
        <v>4045</v>
      </c>
      <c r="C169" s="22" t="s">
        <v>205</v>
      </c>
      <c r="D169" s="22" t="s">
        <v>700</v>
      </c>
      <c r="E169" s="13">
        <v>42729.441979166666</v>
      </c>
      <c r="F169" s="13">
        <v>42729.443564814814</v>
      </c>
      <c r="G169" s="7">
        <v>1</v>
      </c>
      <c r="H169" s="22" t="s">
        <v>703</v>
      </c>
      <c r="I169" s="13">
        <v>42729.454189814816</v>
      </c>
      <c r="J169" s="7">
        <v>0</v>
      </c>
      <c r="K169" s="109" t="str">
        <f t="shared" si="36"/>
        <v>4045/4046</v>
      </c>
      <c r="L169" s="22" t="str">
        <f>VLOOKUP(A169,'Trips&amp;Operators'!$C$1:$G$99999,5,FALSE)</f>
        <v>YORK EDGAR</v>
      </c>
      <c r="M169" s="6">
        <f t="shared" si="37"/>
        <v>1.0625000002619345E-2</v>
      </c>
      <c r="N169" s="7">
        <f t="shared" si="38"/>
        <v>15.300000003771856</v>
      </c>
      <c r="O169" s="7"/>
      <c r="P169" s="7"/>
      <c r="Q169" s="23"/>
      <c r="R169" s="23"/>
      <c r="S169" s="35">
        <f t="shared" si="39"/>
        <v>1</v>
      </c>
      <c r="T169" s="50" t="str">
        <f t="shared" si="40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09:36:27-700',mode:absolute,to:'2016-12-25 11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9" s="52" t="str">
        <f t="shared" si="42"/>
        <v>N</v>
      </c>
      <c r="X169" s="177">
        <f t="shared" si="43"/>
        <v>1</v>
      </c>
      <c r="Y169" s="67">
        <f t="shared" si="44"/>
        <v>5.8615000000000004</v>
      </c>
      <c r="Z169" s="67">
        <f t="shared" si="45"/>
        <v>7.4300000000000005E-2</v>
      </c>
      <c r="AA169" s="67">
        <f t="shared" si="46"/>
        <v>5.7872000000000003</v>
      </c>
      <c r="AB169" s="64" t="e">
        <f>VLOOKUP(A169,Enforcements!$C$7:$K$19,8,0)</f>
        <v>#N/A</v>
      </c>
      <c r="AC169" s="60" t="e">
        <f>VLOOKUP(A169,Enforcements!$C$7:$E$19,3,0)</f>
        <v>#N/A</v>
      </c>
      <c r="AD169" s="61" t="str">
        <f t="shared" si="47"/>
        <v>1810-25</v>
      </c>
      <c r="AE169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69" s="88" t="str">
        <f t="shared" si="49"/>
        <v>"C:\Program Files (x86)\AstroGrep\AstroGrep.exe" /spath="%USERPROFILE%\AppData\Local\Temp\OnboardLogs" /stypes="app*4045*20161225*" /stext=" 17:.+((SYSTEM_STATE.+slice.+state.+changed )|(ment ac)|(multiple cpu faults)|(system.+state.+changed )|(\[timeout)|(PRM\|1\|D)|(kpr)|(kdp)|(\|lc)|(penalty))" /e /r /s</v>
      </c>
      <c r="AG169" s="1" t="str">
        <f t="shared" si="50"/>
        <v>NW</v>
      </c>
      <c r="AH169" s="92" t="str">
        <f t="shared" si="51"/>
        <v>"%USERPROFILE%\Documents\GitHub\eaglep3\Utilities\RefineRTDCRunTimes.py" --tripid 1810-25 --locoid 4045 --swversion DE.1.0.8.0 --startMP 300:58615 --initTime 2016-12-25T10:36:27 --startdatetime 2016-12-25T10:38:44 --delay 1 --endMP 204:743 --enddatetime 2016-12-25T10:54:02 --enforcementcount 0 &gt;&gt;C:\Users\stu\Documents\GitHub\eaglep3-reporting\EC\2016-12-25-refined-times.txt</v>
      </c>
      <c r="AI169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{"issue":{"subject":"","project_id":79,"tracker_id":40,"status_id":1,"priority_id":2,"assigned_to_id":23,"start_date":"2016-12-25","description":"","custom_fields":[{"id":1,"name":"Subdivision","value":"NW"},{"id":4,"name":"Milepost","value":"0.0743"},{"id":17,"name":"Train ID","value":"1810-25"},{"id":16,"name":"Locomotive ID","value":"4045"},{"id":130,"name":"Impact","value":""},{"id":150,"name":"Time of Event (Mountain Time)","value":"10:54:02"},{"id":151,"name":"Denver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544</v>
      </c>
      <c r="B170" s="7">
        <v>4046</v>
      </c>
      <c r="C170" s="22" t="s">
        <v>205</v>
      </c>
      <c r="D170" s="22" t="s">
        <v>706</v>
      </c>
      <c r="E170" s="13">
        <v>42729.45516203704</v>
      </c>
      <c r="F170" s="13">
        <v>42729.47320601852</v>
      </c>
      <c r="G170" s="7">
        <v>2</v>
      </c>
      <c r="H170" s="22" t="s">
        <v>440</v>
      </c>
      <c r="I170" s="13">
        <v>42729.481817129628</v>
      </c>
      <c r="J170" s="7">
        <v>0</v>
      </c>
      <c r="K170" s="109" t="str">
        <f t="shared" si="36"/>
        <v>4045/4046</v>
      </c>
      <c r="L170" s="22" t="str">
        <f>VLOOKUP(A170,'Trips&amp;Operators'!$C$1:$G$99999,5,FALSE)</f>
        <v>YORK EDGAR</v>
      </c>
      <c r="M170" s="6">
        <f t="shared" si="37"/>
        <v>8.6111111086211167E-3</v>
      </c>
      <c r="N170" s="7">
        <f t="shared" si="38"/>
        <v>12.399999996414408</v>
      </c>
      <c r="O170" s="7"/>
      <c r="P170" s="7"/>
      <c r="Q170" s="23"/>
      <c r="R170" s="23"/>
      <c r="S170" s="35">
        <f t="shared" si="39"/>
        <v>1</v>
      </c>
      <c r="T170" s="50" t="str">
        <f t="shared" si="40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09:55:26-700',mode:absolute,to:'2016-12-25 12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0" s="52" t="str">
        <f t="shared" si="42"/>
        <v>N</v>
      </c>
      <c r="X170" s="177">
        <f t="shared" si="43"/>
        <v>1</v>
      </c>
      <c r="Y170" s="67">
        <f t="shared" si="44"/>
        <v>0.10390000000000001</v>
      </c>
      <c r="Z170" s="67">
        <f t="shared" si="45"/>
        <v>5.8940999999999999</v>
      </c>
      <c r="AA170" s="67">
        <f t="shared" si="46"/>
        <v>5.7901999999999996</v>
      </c>
      <c r="AB170" s="64" t="e">
        <f>VLOOKUP(A170,Enforcements!$C$7:$K$19,8,0)</f>
        <v>#N/A</v>
      </c>
      <c r="AC170" s="60" t="e">
        <f>VLOOKUP(A170,Enforcements!$C$7:$E$19,3,0)</f>
        <v>#N/A</v>
      </c>
      <c r="AD170" s="61" t="str">
        <f t="shared" si="47"/>
        <v>1811-25</v>
      </c>
      <c r="AE170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70" s="88" t="str">
        <f t="shared" si="49"/>
        <v>"C:\Program Files (x86)\AstroGrep\AstroGrep.exe" /spath="%USERPROFILE%\AppData\Local\Temp\OnboardLogs" /stypes="app*4046*20161225*" /stext=" 18:.+((SYSTEM_STATE.+slice.+state.+changed )|(ment ac)|(multiple cpu faults)|(system.+state.+changed )|(\[timeout)|(PRM\|1\|D)|(kpr)|(kdp)|(\|lc)|(penalty))" /e /r /s</v>
      </c>
      <c r="AG170" s="1" t="str">
        <f t="shared" si="50"/>
        <v>NW</v>
      </c>
      <c r="AH170" s="92" t="str">
        <f t="shared" si="51"/>
        <v>"%USERPROFILE%\Documents\GitHub\eaglep3\Utilities\RefineRTDCRunTimes.py" --tripid 1811-25 --locoid 4046 --swversion DE.1.0.8.0 --startMP 204:1039 --initTime 2016-12-25T10:55:26 --startdatetime 2016-12-25T11:21:25 --delay 2 --endMP 300:58941 --enddatetime 2016-12-25T11:33:49 --enforcementcount 0 &gt;&gt;C:\Users\stu\Documents\GitHub\eaglep3-reporting\EC\2016-12-25-refined-times.txt</v>
      </c>
      <c r="AI170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{"issue":{"subject":"","project_id":79,"tracker_id":40,"status_id":1,"priority_id":2,"assigned_to_id":23,"start_date":"2016-12-25","description":"","custom_fields":[{"id":1,"name":"Subdivision","value":"NW"},{"id":4,"name":"Milepost","value":"5.8941"},{"id":17,"name":"Train ID","value":"1811-25"},{"id":16,"name":"Locomotive ID","value":"4046"},{"id":130,"name":"Impact","value":""},{"id":150,"name":"Time of Event (Mountain Time)","value":"11:33:49"},{"id":151,"name":"Denver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556</v>
      </c>
      <c r="B171" s="7">
        <v>4045</v>
      </c>
      <c r="C171" s="22" t="s">
        <v>205</v>
      </c>
      <c r="D171" s="22" t="s">
        <v>364</v>
      </c>
      <c r="E171" s="13">
        <v>42729.483842592592</v>
      </c>
      <c r="F171" s="13">
        <v>42729.48678240741</v>
      </c>
      <c r="G171" s="7">
        <v>1</v>
      </c>
      <c r="H171" s="22" t="s">
        <v>707</v>
      </c>
      <c r="I171" s="13">
        <v>42729.495983796296</v>
      </c>
      <c r="J171" s="7">
        <v>0</v>
      </c>
      <c r="K171" s="109" t="str">
        <f t="shared" si="36"/>
        <v>4045/4046</v>
      </c>
      <c r="L171" s="22" t="str">
        <f>VLOOKUP(A171,'Trips&amp;Operators'!$C$1:$G$99999,5,FALSE)</f>
        <v>YORK EDGAR</v>
      </c>
      <c r="M171" s="6">
        <f t="shared" si="37"/>
        <v>9.2013888861401938E-3</v>
      </c>
      <c r="N171" s="7">
        <f t="shared" si="38"/>
        <v>13.249999996041879</v>
      </c>
      <c r="O171" s="7"/>
      <c r="P171" s="7"/>
      <c r="Q171" s="23"/>
      <c r="R171" s="23"/>
      <c r="S171" s="35">
        <f t="shared" si="39"/>
        <v>1</v>
      </c>
      <c r="T171" s="50" t="str">
        <f t="shared" si="40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10:36:44-700',mode:absolute,to:'2016-12-25 12:54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1" s="52" t="str">
        <f t="shared" si="42"/>
        <v>N</v>
      </c>
      <c r="X171" s="177">
        <f t="shared" si="43"/>
        <v>1</v>
      </c>
      <c r="Y171" s="67">
        <f t="shared" si="44"/>
        <v>5.8616999999999999</v>
      </c>
      <c r="Z171" s="67">
        <f t="shared" si="45"/>
        <v>7.4099999999999999E-2</v>
      </c>
      <c r="AA171" s="67">
        <f t="shared" si="46"/>
        <v>5.7876000000000003</v>
      </c>
      <c r="AB171" s="64" t="e">
        <f>VLOOKUP(A171,Enforcements!$C$7:$K$19,8,0)</f>
        <v>#N/A</v>
      </c>
      <c r="AC171" s="60" t="e">
        <f>VLOOKUP(A171,Enforcements!$C$7:$E$19,3,0)</f>
        <v>#N/A</v>
      </c>
      <c r="AD171" s="61" t="str">
        <f t="shared" si="47"/>
        <v>1812-25</v>
      </c>
      <c r="AE171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71" s="88" t="str">
        <f t="shared" si="49"/>
        <v>"C:\Program Files (x86)\AstroGrep\AstroGrep.exe" /spath="%USERPROFILE%\AppData\Local\Temp\OnboardLogs" /stypes="app*4045*20161225*" /stext=" 18:.+((SYSTEM_STATE.+slice.+state.+changed )|(ment ac)|(multiple cpu faults)|(system.+state.+changed )|(\[timeout)|(PRM\|1\|D)|(kpr)|(kdp)|(\|lc)|(penalty))" /e /r /s</v>
      </c>
      <c r="AG171" s="1" t="str">
        <f t="shared" si="50"/>
        <v>NW</v>
      </c>
      <c r="AH171" s="92" t="str">
        <f t="shared" si="51"/>
        <v>"%USERPROFILE%\Documents\GitHub\eaglep3\Utilities\RefineRTDCRunTimes.py" --tripid 1812-25 --locoid 4045 --swversion DE.1.0.8.0 --startMP 300:58617 --initTime 2016-12-25T11:36:44 --startdatetime 2016-12-25T11:40:58 --delay 1 --endMP 204:741 --enddatetime 2016-12-25T11:54:13 --enforcementcount 0 &gt;&gt;C:\Users\stu\Documents\GitHub\eaglep3-reporting\EC\2016-12-25-refined-times.txt</v>
      </c>
      <c r="AI171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{"issue":{"subject":"","project_id":79,"tracker_id":40,"status_id":1,"priority_id":2,"assigned_to_id":23,"start_date":"2016-12-25","description":"","custom_fields":[{"id":1,"name":"Subdivision","value":"NW"},{"id":4,"name":"Milepost","value":"0.0741"},{"id":17,"name":"Train ID","value":"1812-25"},{"id":16,"name":"Locomotive ID","value":"4045"},{"id":130,"name":"Impact","value":""},{"id":150,"name":"Time of Event (Mountain Time)","value":"11:54:13"},{"id":151,"name":"Denver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560</v>
      </c>
      <c r="B172" s="7">
        <v>4046</v>
      </c>
      <c r="C172" s="22" t="s">
        <v>205</v>
      </c>
      <c r="D172" s="22" t="s">
        <v>699</v>
      </c>
      <c r="E172" s="13">
        <v>42729.497060185182</v>
      </c>
      <c r="F172" s="13">
        <v>42729.514733796299</v>
      </c>
      <c r="G172" s="7">
        <v>0</v>
      </c>
      <c r="H172" s="22" t="s">
        <v>282</v>
      </c>
      <c r="I172" s="13">
        <v>42729.523344907408</v>
      </c>
      <c r="J172" s="7">
        <v>0</v>
      </c>
      <c r="K172" s="109" t="str">
        <f t="shared" si="36"/>
        <v>4045/4046</v>
      </c>
      <c r="L172" s="22" t="str">
        <f>VLOOKUP(A172,'Trips&amp;Operators'!$C$1:$G$99999,5,FALSE)</f>
        <v>YORK EDGAR</v>
      </c>
      <c r="M172" s="6">
        <f t="shared" si="37"/>
        <v>8.6111111086211167E-3</v>
      </c>
      <c r="N172" s="7">
        <f t="shared" si="38"/>
        <v>12.399999996414408</v>
      </c>
      <c r="O172" s="7"/>
      <c r="P172" s="7"/>
      <c r="Q172" s="23"/>
      <c r="R172" s="23"/>
      <c r="S172" s="35">
        <f t="shared" si="39"/>
        <v>1</v>
      </c>
      <c r="T172" s="50" t="str">
        <f t="shared" si="40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10:55:46-700',mode:absolute,to:'2016-12-25 13:33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2" s="52" t="str">
        <f t="shared" si="42"/>
        <v>N</v>
      </c>
      <c r="X172" s="177">
        <f t="shared" si="43"/>
        <v>1</v>
      </c>
      <c r="Y172" s="67">
        <f t="shared" si="44"/>
        <v>0.1018</v>
      </c>
      <c r="Z172" s="67">
        <f t="shared" si="45"/>
        <v>5.8933</v>
      </c>
      <c r="AA172" s="67">
        <f t="shared" si="46"/>
        <v>5.7915000000000001</v>
      </c>
      <c r="AB172" s="64" t="e">
        <f>VLOOKUP(A172,Enforcements!$C$7:$K$19,8,0)</f>
        <v>#N/A</v>
      </c>
      <c r="AC172" s="60" t="e">
        <f>VLOOKUP(A172,Enforcements!$C$7:$E$19,3,0)</f>
        <v>#N/A</v>
      </c>
      <c r="AD172" s="61" t="str">
        <f t="shared" si="47"/>
        <v>1813-25</v>
      </c>
      <c r="AE172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72" s="88" t="str">
        <f t="shared" si="49"/>
        <v>"C:\Program Files (x86)\AstroGrep\AstroGrep.exe" /spath="%USERPROFILE%\AppData\Local\Temp\OnboardLogs" /stypes="app*4046*20161225*" /stext=" 19:.+((SYSTEM_STATE.+slice.+state.+changed )|(ment ac)|(multiple cpu faults)|(system.+state.+changed )|(\[timeout)|(PRM\|1\|D)|(kpr)|(kdp)|(\|lc)|(penalty))" /e /r /s</v>
      </c>
      <c r="AG172" s="1" t="str">
        <f t="shared" si="50"/>
        <v>NW</v>
      </c>
      <c r="AH172" s="92" t="str">
        <f t="shared" si="51"/>
        <v>"%USERPROFILE%\Documents\GitHub\eaglep3\Utilities\RefineRTDCRunTimes.py" --tripid 1813-25 --locoid 4046 --swversion DE.1.0.8.0 --startMP 204:1018 --initTime 2016-12-25T11:55:46 --startdatetime 2016-12-25T12:21:13 --delay 0 --endMP 300:58933 --enddatetime 2016-12-25T12:33:37 --enforcementcount 0 &gt;&gt;C:\Users\stu\Documents\GitHub\eaglep3-reporting\EC\2016-12-25-refined-times.txt</v>
      </c>
      <c r="AI172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{"issue":{"subject":"","project_id":79,"tracker_id":40,"status_id":1,"priority_id":2,"assigned_to_id":23,"start_date":"2016-12-25","description":"","custom_fields":[{"id":1,"name":"Subdivision","value":"NW"},{"id":4,"name":"Milepost","value":"5.8933"},{"id":17,"name":"Train ID","value":"1813-25"},{"id":16,"name":"Locomotive ID","value":"4046"},{"id":130,"name":"Impact","value":""},{"id":150,"name":"Time of Event (Mountain Time)","value":"12:33:37"},{"id":151,"name":"Denver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x14ac:dyDescent="0.25">
      <c r="A173" s="37" t="s">
        <v>565</v>
      </c>
      <c r="B173" s="7">
        <v>4045</v>
      </c>
      <c r="C173" s="22" t="s">
        <v>205</v>
      </c>
      <c r="D173" s="22" t="s">
        <v>708</v>
      </c>
      <c r="E173" s="13">
        <v>42729.525509259256</v>
      </c>
      <c r="F173" s="13">
        <v>42729.52684027778</v>
      </c>
      <c r="G173" s="7">
        <v>1</v>
      </c>
      <c r="H173" s="22" t="s">
        <v>709</v>
      </c>
      <c r="I173" s="13">
        <v>42729.537662037037</v>
      </c>
      <c r="J173" s="7">
        <v>0</v>
      </c>
      <c r="K173" s="109" t="str">
        <f t="shared" si="36"/>
        <v>4045/4046</v>
      </c>
      <c r="L173" s="22" t="str">
        <f>VLOOKUP(A173,'Trips&amp;Operators'!$C$1:$G$99999,5,FALSE)</f>
        <v>YORK EDGAR</v>
      </c>
      <c r="M173" s="6">
        <f t="shared" si="37"/>
        <v>1.0821759256941732E-2</v>
      </c>
      <c r="N173" s="7">
        <f t="shared" si="38"/>
        <v>15.583333329996094</v>
      </c>
      <c r="O173" s="7"/>
      <c r="P173" s="7"/>
      <c r="Q173" s="23"/>
      <c r="R173" s="23"/>
      <c r="S173" s="35">
        <f t="shared" si="39"/>
        <v>1</v>
      </c>
      <c r="T173" s="50" t="str">
        <f t="shared" si="40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11:36:44-700',mode:absolute,to:'2016-12-25 13:54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3" s="52" t="str">
        <f t="shared" si="42"/>
        <v>N</v>
      </c>
      <c r="X173" s="177">
        <f t="shared" si="43"/>
        <v>1</v>
      </c>
      <c r="Y173" s="67">
        <f t="shared" si="44"/>
        <v>5.8611000000000004</v>
      </c>
      <c r="Z173" s="67">
        <f t="shared" si="45"/>
        <v>7.5399999999999995E-2</v>
      </c>
      <c r="AA173" s="67">
        <f t="shared" si="46"/>
        <v>5.7857000000000003</v>
      </c>
      <c r="AB173" s="64" t="e">
        <f>VLOOKUP(A173,Enforcements!$C$7:$K$19,8,0)</f>
        <v>#N/A</v>
      </c>
      <c r="AC173" s="60" t="e">
        <f>VLOOKUP(A173,Enforcements!$C$7:$E$19,3,0)</f>
        <v>#N/A</v>
      </c>
      <c r="AD173" s="61" t="str">
        <f t="shared" si="47"/>
        <v>1814-25</v>
      </c>
      <c r="AE173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73" s="88" t="str">
        <f t="shared" si="49"/>
        <v>"C:\Program Files (x86)\AstroGrep\AstroGrep.exe" /spath="%USERPROFILE%\AppData\Local\Temp\OnboardLogs" /stypes="app*4045*20161225*" /stext=" 19:.+((SYSTEM_STATE.+slice.+state.+changed )|(ment ac)|(multiple cpu faults)|(system.+state.+changed )|(\[timeout)|(PRM\|1\|D)|(kpr)|(kdp)|(\|lc)|(penalty))" /e /r /s</v>
      </c>
      <c r="AG173" s="1" t="str">
        <f t="shared" si="50"/>
        <v>NW</v>
      </c>
      <c r="AH173" s="92" t="str">
        <f t="shared" si="51"/>
        <v>"%USERPROFILE%\Documents\GitHub\eaglep3\Utilities\RefineRTDCRunTimes.py" --tripid 1814-25 --locoid 4045 --swversion DE.1.0.8.0 --startMP 300:58611 --initTime 2016-12-25T12:36:44 --startdatetime 2016-12-25T12:38:39 --delay 1 --endMP 204:754 --enddatetime 2016-12-25T12:54:14 --enforcementcount 0 &gt;&gt;C:\Users\stu\Documents\GitHub\eaglep3-reporting\EC\2016-12-25-refined-times.txt</v>
      </c>
      <c r="AI173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{"issue":{"subject":"","project_id":79,"tracker_id":40,"status_id":1,"priority_id":2,"assigned_to_id":23,"start_date":"2016-12-25","description":"","custom_fields":[{"id":1,"name":"Subdivision","value":"NW"},{"id":4,"name":"Milepost","value":"0.0754"},{"id":17,"name":"Train ID","value":"1814-25"},{"id":16,"name":"Locomotive ID","value":"4045"},{"id":130,"name":"Impact","value":""},{"id":150,"name":"Time of Event (Mountain Time)","value":"12:54:14"},{"id":151,"name":"Denver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x14ac:dyDescent="0.25">
      <c r="A174" s="37" t="s">
        <v>570</v>
      </c>
      <c r="B174" s="7">
        <v>4046</v>
      </c>
      <c r="C174" s="22" t="s">
        <v>205</v>
      </c>
      <c r="D174" s="22" t="s">
        <v>710</v>
      </c>
      <c r="E174" s="13">
        <v>42729.539166666669</v>
      </c>
      <c r="F174" s="13">
        <v>42729.556597222225</v>
      </c>
      <c r="G174" s="7">
        <v>1</v>
      </c>
      <c r="H174" s="22" t="s">
        <v>433</v>
      </c>
      <c r="I174" s="13">
        <v>42729.565208333333</v>
      </c>
      <c r="J174" s="7">
        <v>0</v>
      </c>
      <c r="K174" s="109" t="str">
        <f t="shared" si="36"/>
        <v>4045/4046</v>
      </c>
      <c r="L174" s="22" t="str">
        <f>VLOOKUP(A174,'Trips&amp;Operators'!$C$1:$G$99999,5,FALSE)</f>
        <v>YORK EDGAR</v>
      </c>
      <c r="M174" s="6">
        <f t="shared" si="37"/>
        <v>8.6111111086211167E-3</v>
      </c>
      <c r="N174" s="7">
        <f t="shared" si="38"/>
        <v>12.399999996414408</v>
      </c>
      <c r="O174" s="7"/>
      <c r="P174" s="7"/>
      <c r="Q174" s="23"/>
      <c r="R174" s="23"/>
      <c r="S174" s="35">
        <f t="shared" si="39"/>
        <v>1</v>
      </c>
      <c r="T174" s="50" t="str">
        <f t="shared" si="40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11:56:24-700',mode:absolute,to:'2016-12-25 14:33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4" s="52" t="str">
        <f t="shared" si="42"/>
        <v>N</v>
      </c>
      <c r="X174" s="177">
        <f t="shared" si="43"/>
        <v>1</v>
      </c>
      <c r="Y174" s="67">
        <f t="shared" si="44"/>
        <v>0.1046</v>
      </c>
      <c r="Z174" s="67">
        <f t="shared" si="45"/>
        <v>5.8930999999999996</v>
      </c>
      <c r="AA174" s="67">
        <f t="shared" si="46"/>
        <v>5.7885</v>
      </c>
      <c r="AB174" s="64" t="e">
        <f>VLOOKUP(A174,Enforcements!$C$7:$K$19,8,0)</f>
        <v>#N/A</v>
      </c>
      <c r="AC174" s="60" t="e">
        <f>VLOOKUP(A174,Enforcements!$C$7:$E$19,3,0)</f>
        <v>#N/A</v>
      </c>
      <c r="AD174" s="61" t="str">
        <f t="shared" si="47"/>
        <v>1815-25</v>
      </c>
      <c r="AE174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74" s="88" t="str">
        <f t="shared" si="49"/>
        <v>"C:\Program Files (x86)\AstroGrep\AstroGrep.exe" /spath="%USERPROFILE%\AppData\Local\Temp\OnboardLogs" /stypes="app*4046*20161225*" /stext=" 20:.+((SYSTEM_STATE.+slice.+state.+changed )|(ment ac)|(multiple cpu faults)|(system.+state.+changed )|(\[timeout)|(PRM\|1\|D)|(kpr)|(kdp)|(\|lc)|(penalty))" /e /r /s</v>
      </c>
      <c r="AG174" s="1" t="str">
        <f t="shared" si="50"/>
        <v>NW</v>
      </c>
      <c r="AH174" s="92" t="str">
        <f t="shared" si="51"/>
        <v>"%USERPROFILE%\Documents\GitHub\eaglep3\Utilities\RefineRTDCRunTimes.py" --tripid 1815-25 --locoid 4046 --swversion DE.1.0.8.0 --startMP 204:1046 --initTime 2016-12-25T12:56:24 --startdatetime 2016-12-25T13:21:30 --delay 1 --endMP 300:58931 --enddatetime 2016-12-25T13:33:54 --enforcementcount 0 &gt;&gt;C:\Users\stu\Documents\GitHub\eaglep3-reporting\EC\2016-12-25-refined-times.txt</v>
      </c>
      <c r="AI174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{"issue":{"subject":"","project_id":79,"tracker_id":40,"status_id":1,"priority_id":2,"assigned_to_id":23,"start_date":"2016-12-25","description":"","custom_fields":[{"id":1,"name":"Subdivision","value":"NW"},{"id":4,"name":"Milepost","value":"5.8931"},{"id":17,"name":"Train ID","value":"1815-25"},{"id":16,"name":"Locomotive ID","value":"4046"},{"id":130,"name":"Impact","value":""},{"id":150,"name":"Time of Event (Mountain Time)","value":"13:33:54"},{"id":151,"name":"Denver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575</v>
      </c>
      <c r="B175" s="7">
        <v>4045</v>
      </c>
      <c r="C175" s="22" t="s">
        <v>205</v>
      </c>
      <c r="D175" s="22" t="s">
        <v>364</v>
      </c>
      <c r="E175" s="13">
        <v>42729.567685185182</v>
      </c>
      <c r="F175" s="13">
        <v>42729.56894675926</v>
      </c>
      <c r="G175" s="7">
        <v>1</v>
      </c>
      <c r="H175" s="22" t="s">
        <v>711</v>
      </c>
      <c r="I175" s="13">
        <v>42729.578946759262</v>
      </c>
      <c r="J175" s="7">
        <v>0</v>
      </c>
      <c r="K175" s="109" t="str">
        <f t="shared" si="36"/>
        <v>4045/4046</v>
      </c>
      <c r="L175" s="22" t="str">
        <f>VLOOKUP(A175,'Trips&amp;Operators'!$C$1:$G$99999,5,FALSE)</f>
        <v>YORK EDGAR</v>
      </c>
      <c r="M175" s="6">
        <f t="shared" si="37"/>
        <v>1.0000000002037268E-2</v>
      </c>
      <c r="N175" s="7">
        <f t="shared" si="38"/>
        <v>14.400000002933666</v>
      </c>
      <c r="O175" s="7"/>
      <c r="P175" s="7"/>
      <c r="Q175" s="23"/>
      <c r="R175" s="23"/>
      <c r="S175" s="35">
        <f t="shared" si="39"/>
        <v>1</v>
      </c>
      <c r="T175" s="50" t="str">
        <f t="shared" si="40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12:37:28-700',mode:absolute,to:'2016-12-25 14:53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5" s="52" t="str">
        <f t="shared" si="42"/>
        <v>N</v>
      </c>
      <c r="X175" s="177">
        <f t="shared" si="43"/>
        <v>1</v>
      </c>
      <c r="Y175" s="67">
        <f t="shared" si="44"/>
        <v>5.8616999999999999</v>
      </c>
      <c r="Z175" s="67">
        <f t="shared" si="45"/>
        <v>8.6900000000000005E-2</v>
      </c>
      <c r="AA175" s="67">
        <f t="shared" si="46"/>
        <v>5.7747999999999999</v>
      </c>
      <c r="AB175" s="64" t="e">
        <f>VLOOKUP(A175,Enforcements!$C$7:$K$19,8,0)</f>
        <v>#N/A</v>
      </c>
      <c r="AC175" s="60" t="e">
        <f>VLOOKUP(A175,Enforcements!$C$7:$E$19,3,0)</f>
        <v>#N/A</v>
      </c>
      <c r="AD175" s="61" t="str">
        <f t="shared" si="47"/>
        <v>1816-25</v>
      </c>
      <c r="AE175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75" s="88" t="str">
        <f t="shared" si="49"/>
        <v>"C:\Program Files (x86)\AstroGrep\AstroGrep.exe" /spath="%USERPROFILE%\AppData\Local\Temp\OnboardLogs" /stypes="app*4045*20161225*" /stext=" 20:.+((SYSTEM_STATE.+slice.+state.+changed )|(ment ac)|(multiple cpu faults)|(system.+state.+changed )|(\[timeout)|(PRM\|1\|D)|(kpr)|(kdp)|(\|lc)|(penalty))" /e /r /s</v>
      </c>
      <c r="AG175" s="1" t="str">
        <f t="shared" si="50"/>
        <v>NW</v>
      </c>
      <c r="AH175" s="92" t="str">
        <f t="shared" si="51"/>
        <v>"%USERPROFILE%\Documents\GitHub\eaglep3\Utilities\RefineRTDCRunTimes.py" --tripid 1816-25 --locoid 4045 --swversion DE.1.0.8.0 --startMP 300:58617 --initTime 2016-12-25T13:37:28 --startdatetime 2016-12-25T13:39:17 --delay 1 --endMP 204:869 --enddatetime 2016-12-25T13:53:41 --enforcementcount 0 &gt;&gt;C:\Users\stu\Documents\GitHub\eaglep3-reporting\EC\2016-12-25-refined-times.txt</v>
      </c>
      <c r="AI175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{"issue":{"subject":"","project_id":79,"tracker_id":40,"status_id":1,"priority_id":2,"assigned_to_id":23,"start_date":"2016-12-25","description":"","custom_fields":[{"id":1,"name":"Subdivision","value":"NW"},{"id":4,"name":"Milepost","value":"0.0869"},{"id":17,"name":"Train ID","value":"1816-25"},{"id":16,"name":"Locomotive ID","value":"4045"},{"id":130,"name":"Impact","value":""},{"id":150,"name":"Time of Event (Mountain Time)","value":"13:53:41"},{"id":151,"name":"Denver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580</v>
      </c>
      <c r="B176" s="7">
        <v>4046</v>
      </c>
      <c r="C176" s="22" t="s">
        <v>205</v>
      </c>
      <c r="D176" s="22" t="s">
        <v>712</v>
      </c>
      <c r="E176" s="13">
        <v>42729.591550925928</v>
      </c>
      <c r="F176" s="13">
        <v>42729.59814814815</v>
      </c>
      <c r="G176" s="7">
        <v>1</v>
      </c>
      <c r="H176" s="22" t="s">
        <v>713</v>
      </c>
      <c r="I176" s="13">
        <v>42729.607708333337</v>
      </c>
      <c r="J176" s="7">
        <v>0</v>
      </c>
      <c r="K176" s="109" t="str">
        <f t="shared" si="36"/>
        <v>4045/4046</v>
      </c>
      <c r="L176" s="22" t="str">
        <f>VLOOKUP(A176,'Trips&amp;Operators'!$C$1:$G$99999,5,FALSE)</f>
        <v>HELVIE ADAM</v>
      </c>
      <c r="M176" s="6">
        <f t="shared" si="37"/>
        <v>9.560185186273884E-3</v>
      </c>
      <c r="N176" s="7">
        <f t="shared" si="38"/>
        <v>13.766666668234393</v>
      </c>
      <c r="O176" s="7"/>
      <c r="P176" s="7"/>
      <c r="Q176" s="23"/>
      <c r="R176" s="23"/>
      <c r="S176" s="35">
        <f t="shared" si="39"/>
        <v>1</v>
      </c>
      <c r="T176" s="50" t="str">
        <f t="shared" si="40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13:11:50-700',mode:absolute,to:'2016-12-25 15:35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6" s="52" t="str">
        <f t="shared" si="42"/>
        <v>N</v>
      </c>
      <c r="X176" s="177">
        <f t="shared" si="43"/>
        <v>1</v>
      </c>
      <c r="Y176" s="67">
        <f t="shared" si="44"/>
        <v>0.1174</v>
      </c>
      <c r="Z176" s="67">
        <f t="shared" si="45"/>
        <v>5.8943000000000003</v>
      </c>
      <c r="AA176" s="67">
        <f t="shared" si="46"/>
        <v>5.7769000000000004</v>
      </c>
      <c r="AB176" s="64" t="e">
        <f>VLOOKUP(A176,Enforcements!$C$7:$K$19,8,0)</f>
        <v>#N/A</v>
      </c>
      <c r="AC176" s="60" t="e">
        <f>VLOOKUP(A176,Enforcements!$C$7:$E$19,3,0)</f>
        <v>#N/A</v>
      </c>
      <c r="AD176" s="61" t="str">
        <f t="shared" si="47"/>
        <v>1817-25</v>
      </c>
      <c r="AE176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76" s="88" t="str">
        <f t="shared" si="49"/>
        <v>"C:\Program Files (x86)\AstroGrep\AstroGrep.exe" /spath="%USERPROFILE%\AppData\Local\Temp\OnboardLogs" /stypes="app*4046*20161225*" /stext=" 21:.+((SYSTEM_STATE.+slice.+state.+changed )|(ment ac)|(multiple cpu faults)|(system.+state.+changed )|(\[timeout)|(PRM\|1\|D)|(kpr)|(kdp)|(\|lc)|(penalty))" /e /r /s</v>
      </c>
      <c r="AG176" s="1" t="str">
        <f t="shared" si="50"/>
        <v>NW</v>
      </c>
      <c r="AH176" s="92" t="str">
        <f t="shared" si="51"/>
        <v>"%USERPROFILE%\Documents\GitHub\eaglep3\Utilities\RefineRTDCRunTimes.py" --tripid 1817-25 --locoid 4046 --swversion DE.1.0.8.0 --startMP 204:1174 --initTime 2016-12-25T14:11:50 --startdatetime 2016-12-25T14:21:20 --delay 1 --endMP 300:58943 --enddatetime 2016-12-25T14:35:06 --enforcementcount 0 &gt;&gt;C:\Users\stu\Documents\GitHub\eaglep3-reporting\EC\2016-12-25-refined-times.txt</v>
      </c>
      <c r="AI176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{"issue":{"subject":"","project_id":79,"tracker_id":40,"status_id":1,"priority_id":2,"assigned_to_id":23,"start_date":"2016-12-25","description":"","custom_fields":[{"id":1,"name":"Subdivision","value":"NW"},{"id":4,"name":"Milepost","value":"5.8943"},{"id":17,"name":"Train ID","value":"1817-25"},{"id":16,"name":"Locomotive ID","value":"4046"},{"id":130,"name":"Impact","value":""},{"id":150,"name":"Time of Event (Mountain Time)","value":"14:35:06"},{"id":151,"name":"Denver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584</v>
      </c>
      <c r="B177" s="7">
        <v>4045</v>
      </c>
      <c r="C177" s="22" t="s">
        <v>205</v>
      </c>
      <c r="D177" s="22" t="s">
        <v>696</v>
      </c>
      <c r="E177" s="13">
        <v>42729.608958333331</v>
      </c>
      <c r="F177" s="13">
        <v>42729.610405092593</v>
      </c>
      <c r="G177" s="7">
        <v>1</v>
      </c>
      <c r="H177" s="22" t="s">
        <v>709</v>
      </c>
      <c r="I177" s="13">
        <v>42729.621134259258</v>
      </c>
      <c r="J177" s="7">
        <v>0</v>
      </c>
      <c r="K177" s="109" t="str">
        <f t="shared" si="36"/>
        <v>4045/4046</v>
      </c>
      <c r="L177" s="22" t="str">
        <f>VLOOKUP(A177,'Trips&amp;Operators'!$C$1:$G$99999,5,FALSE)</f>
        <v>HELVIE ADAM</v>
      </c>
      <c r="M177" s="6">
        <f t="shared" si="37"/>
        <v>1.0729166664532386E-2</v>
      </c>
      <c r="N177" s="7">
        <f t="shared" si="38"/>
        <v>15.449999996926636</v>
      </c>
      <c r="O177" s="7"/>
      <c r="P177" s="7"/>
      <c r="Q177" s="23"/>
      <c r="R177" s="23"/>
      <c r="S177" s="35">
        <f t="shared" si="39"/>
        <v>1</v>
      </c>
      <c r="T177" s="50" t="str">
        <f t="shared" si="40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13:36:54-700',mode:absolute,to:'2016-12-25 15:54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7" s="52" t="str">
        <f t="shared" si="42"/>
        <v>N</v>
      </c>
      <c r="X177" s="177">
        <f t="shared" si="43"/>
        <v>1</v>
      </c>
      <c r="Y177" s="67">
        <f t="shared" si="44"/>
        <v>5.8620999999999999</v>
      </c>
      <c r="Z177" s="67">
        <f t="shared" si="45"/>
        <v>7.5399999999999995E-2</v>
      </c>
      <c r="AA177" s="67">
        <f t="shared" si="46"/>
        <v>5.7866999999999997</v>
      </c>
      <c r="AB177" s="64" t="e">
        <f>VLOOKUP(A177,Enforcements!$C$7:$K$19,8,0)</f>
        <v>#N/A</v>
      </c>
      <c r="AC177" s="60" t="e">
        <f>VLOOKUP(A177,Enforcements!$C$7:$E$19,3,0)</f>
        <v>#N/A</v>
      </c>
      <c r="AD177" s="61" t="str">
        <f t="shared" si="47"/>
        <v>1818-25</v>
      </c>
      <c r="AE177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77" s="88" t="str">
        <f t="shared" si="49"/>
        <v>"C:\Program Files (x86)\AstroGrep\AstroGrep.exe" /spath="%USERPROFILE%\AppData\Local\Temp\OnboardLogs" /stypes="app*4045*20161225*" /stext=" 21:.+((SYSTEM_STATE.+slice.+state.+changed )|(ment ac)|(multiple cpu faults)|(system.+state.+changed )|(\[timeout)|(PRM\|1\|D)|(kpr)|(kdp)|(\|lc)|(penalty))" /e /r /s</v>
      </c>
      <c r="AG177" s="1" t="str">
        <f t="shared" si="50"/>
        <v>NW</v>
      </c>
      <c r="AH177" s="92" t="str">
        <f t="shared" si="51"/>
        <v>"%USERPROFILE%\Documents\GitHub\eaglep3\Utilities\RefineRTDCRunTimes.py" --tripid 1818-25 --locoid 4045 --swversion DE.1.0.8.0 --startMP 300:58621 --initTime 2016-12-25T14:36:54 --startdatetime 2016-12-25T14:38:59 --delay 1 --endMP 204:754 --enddatetime 2016-12-25T14:54:26 --enforcementcount 0 &gt;&gt;C:\Users\stu\Documents\GitHub\eaglep3-reporting\EC\2016-12-25-refined-times.txt</v>
      </c>
      <c r="AI177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{"issue":{"subject":"","project_id":79,"tracker_id":40,"status_id":1,"priority_id":2,"assigned_to_id":23,"start_date":"2016-12-25","description":"","custom_fields":[{"id":1,"name":"Subdivision","value":"NW"},{"id":4,"name":"Milepost","value":"0.0754"},{"id":17,"name":"Train ID","value":"1818-25"},{"id":16,"name":"Locomotive ID","value":"4045"},{"id":130,"name":"Impact","value":""},{"id":150,"name":"Time of Event (Mountain Time)","value":"14:54:26"},{"id":151,"name":"Denver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s="21" customFormat="1" x14ac:dyDescent="0.25">
      <c r="A178" s="37" t="s">
        <v>589</v>
      </c>
      <c r="B178" s="7">
        <v>4046</v>
      </c>
      <c r="C178" s="22" t="s">
        <v>205</v>
      </c>
      <c r="D178" s="22" t="s">
        <v>437</v>
      </c>
      <c r="E178" s="13">
        <v>42729.637465277781</v>
      </c>
      <c r="F178" s="13">
        <v>42729.639814814815</v>
      </c>
      <c r="G178" s="7">
        <v>1</v>
      </c>
      <c r="H178" s="22" t="s">
        <v>714</v>
      </c>
      <c r="I178" s="13">
        <v>42729.649363425924</v>
      </c>
      <c r="J178" s="7">
        <v>0</v>
      </c>
      <c r="K178" s="109" t="str">
        <f t="shared" si="36"/>
        <v>4045/4046</v>
      </c>
      <c r="L178" s="22" t="str">
        <f>VLOOKUP(A178,'Trips&amp;Operators'!$C$1:$G$99999,5,FALSE)</f>
        <v>HELVIE ADAM</v>
      </c>
      <c r="M178" s="6">
        <f t="shared" si="37"/>
        <v>9.5486111094942316E-3</v>
      </c>
      <c r="N178" s="7">
        <f t="shared" si="38"/>
        <v>13.749999997671694</v>
      </c>
      <c r="O178" s="7"/>
      <c r="P178" s="7"/>
      <c r="Q178" s="23"/>
      <c r="R178" s="23"/>
      <c r="S178" s="35">
        <f t="shared" si="39"/>
        <v>1</v>
      </c>
      <c r="T178" s="50" t="str">
        <f t="shared" si="40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14:17:57-700',mode:absolute,to:'2016-12-25 16:35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8" s="52" t="str">
        <f t="shared" si="42"/>
        <v>N</v>
      </c>
      <c r="X178" s="177">
        <f t="shared" si="43"/>
        <v>1</v>
      </c>
      <c r="Y178" s="67">
        <f t="shared" si="44"/>
        <v>0.1021</v>
      </c>
      <c r="Z178" s="67">
        <f t="shared" si="45"/>
        <v>5.8939000000000004</v>
      </c>
      <c r="AA178" s="67">
        <f t="shared" si="46"/>
        <v>5.7918000000000003</v>
      </c>
      <c r="AB178" s="64" t="e">
        <f>VLOOKUP(A178,Enforcements!$C$7:$K$19,8,0)</f>
        <v>#N/A</v>
      </c>
      <c r="AC178" s="60" t="e">
        <f>VLOOKUP(A178,Enforcements!$C$7:$E$19,3,0)</f>
        <v>#N/A</v>
      </c>
      <c r="AD178" s="61" t="str">
        <f t="shared" si="47"/>
        <v>1819-25</v>
      </c>
      <c r="AE178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78" s="88" t="str">
        <f t="shared" si="49"/>
        <v>"C:\Program Files (x86)\AstroGrep\AstroGrep.exe" /spath="%USERPROFILE%\AppData\Local\Temp\OnboardLogs" /stypes="app*4046*20161225*" /stext=" 22:.+((SYSTEM_STATE.+slice.+state.+changed )|(ment ac)|(multiple cpu faults)|(system.+state.+changed )|(\[timeout)|(PRM\|1\|D)|(kpr)|(kdp)|(\|lc)|(penalty))" /e /r /s</v>
      </c>
      <c r="AG178" s="1" t="str">
        <f t="shared" si="50"/>
        <v>NW</v>
      </c>
      <c r="AH178" s="92" t="str">
        <f t="shared" si="51"/>
        <v>"%USERPROFILE%\Documents\GitHub\eaglep3\Utilities\RefineRTDCRunTimes.py" --tripid 1819-25 --locoid 4046 --swversion DE.1.0.8.0 --startMP 204:1021 --initTime 2016-12-25T15:17:57 --startdatetime 2016-12-25T15:21:20 --delay 1 --endMP 300:58939 --enddatetime 2016-12-25T15:35:05 --enforcementcount 0 &gt;&gt;C:\Users\stu\Documents\GitHub\eaglep3-reporting\EC\2016-12-25-refined-times.txt</v>
      </c>
      <c r="AI178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{"issue":{"subject":"","project_id":79,"tracker_id":40,"status_id":1,"priority_id":2,"assigned_to_id":23,"start_date":"2016-12-25","description":"","custom_fields":[{"id":1,"name":"Subdivision","value":"NW"},{"id":4,"name":"Milepost","value":"5.8939"},{"id":17,"name":"Train ID","value":"1819-25"},{"id":16,"name":"Locomotive ID","value":"4046"},{"id":130,"name":"Impact","value":""},{"id":150,"name":"Time of Event (Mountain Time)","value":"15:35:05"},{"id":151,"name":"Denver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7" t="s">
        <v>594</v>
      </c>
      <c r="B179" s="7">
        <v>4045</v>
      </c>
      <c r="C179" s="22" t="s">
        <v>205</v>
      </c>
      <c r="D179" s="22" t="s">
        <v>700</v>
      </c>
      <c r="E179" s="13">
        <v>42729.651192129626</v>
      </c>
      <c r="F179" s="13">
        <v>42729.652499999997</v>
      </c>
      <c r="G179" s="7">
        <v>1</v>
      </c>
      <c r="H179" s="22" t="s">
        <v>715</v>
      </c>
      <c r="I179" s="13">
        <v>42729.662627314814</v>
      </c>
      <c r="J179" s="7">
        <v>0</v>
      </c>
      <c r="K179" s="109" t="str">
        <f t="shared" si="36"/>
        <v>4045/4046</v>
      </c>
      <c r="L179" s="22" t="str">
        <f>VLOOKUP(A179,'Trips&amp;Operators'!$C$1:$G$99999,5,FALSE)</f>
        <v>HELVIE ADAM</v>
      </c>
      <c r="M179" s="6">
        <f t="shared" si="37"/>
        <v>1.0127314817509614E-2</v>
      </c>
      <c r="N179" s="7">
        <f t="shared" si="38"/>
        <v>14.583333337213844</v>
      </c>
      <c r="O179" s="7"/>
      <c r="P179" s="7"/>
      <c r="Q179" s="23"/>
      <c r="R179" s="23"/>
      <c r="S179" s="35">
        <f t="shared" si="39"/>
        <v>1</v>
      </c>
      <c r="T179" s="50" t="str">
        <f t="shared" si="40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14:37:43-700',mode:absolute,to:'2016-12-25 16:54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9" s="52" t="str">
        <f t="shared" si="42"/>
        <v>N</v>
      </c>
      <c r="X179" s="177">
        <f t="shared" si="43"/>
        <v>1</v>
      </c>
      <c r="Y179" s="67">
        <f t="shared" si="44"/>
        <v>5.8615000000000004</v>
      </c>
      <c r="Z179" s="67">
        <f t="shared" si="45"/>
        <v>7.0599999999999996E-2</v>
      </c>
      <c r="AA179" s="67">
        <f t="shared" si="46"/>
        <v>5.7909000000000006</v>
      </c>
      <c r="AB179" s="64" t="e">
        <f>VLOOKUP(A179,Enforcements!$C$7:$K$19,8,0)</f>
        <v>#N/A</v>
      </c>
      <c r="AC179" s="60" t="e">
        <f>VLOOKUP(A179,Enforcements!$C$7:$E$19,3,0)</f>
        <v>#N/A</v>
      </c>
      <c r="AD179" s="61" t="str">
        <f t="shared" si="47"/>
        <v>1820-25</v>
      </c>
      <c r="AE179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79" s="88" t="str">
        <f t="shared" si="49"/>
        <v>"C:\Program Files (x86)\AstroGrep\AstroGrep.exe" /spath="%USERPROFILE%\AppData\Local\Temp\OnboardLogs" /stypes="app*4045*20161225*" /stext=" 22:.+((SYSTEM_STATE.+slice.+state.+changed )|(ment ac)|(multiple cpu faults)|(system.+state.+changed )|(\[timeout)|(PRM\|1\|D)|(kpr)|(kdp)|(\|lc)|(penalty))" /e /r /s</v>
      </c>
      <c r="AG179" s="1" t="str">
        <f t="shared" si="50"/>
        <v>NW</v>
      </c>
      <c r="AH179" s="92" t="str">
        <f t="shared" si="51"/>
        <v>"%USERPROFILE%\Documents\GitHub\eaglep3\Utilities\RefineRTDCRunTimes.py" --tripid 1820-25 --locoid 4045 --swversion DE.1.0.8.0 --startMP 300:58615 --initTime 2016-12-25T15:37:43 --startdatetime 2016-12-25T15:39:36 --delay 1 --endMP 204:706 --enddatetime 2016-12-25T15:54:11 --enforcementcount 0 &gt;&gt;C:\Users\stu\Documents\GitHub\eaglep3-reporting\EC\2016-12-25-refined-times.txt</v>
      </c>
      <c r="AI179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{"issue":{"subject":"","project_id":79,"tracker_id":40,"status_id":1,"priority_id":2,"assigned_to_id":23,"start_date":"2016-12-25","description":"","custom_fields":[{"id":1,"name":"Subdivision","value":"NW"},{"id":4,"name":"Milepost","value":"0.0706"},{"id":17,"name":"Train ID","value":"1820-25"},{"id":16,"name":"Locomotive ID","value":"4045"},{"id":130,"name":"Impact","value":""},{"id":150,"name":"Time of Event (Mountain Time)","value":"15:54:11"},{"id":151,"name":"Denver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x14ac:dyDescent="0.25">
      <c r="A180" s="37" t="s">
        <v>598</v>
      </c>
      <c r="B180" s="7">
        <v>4046</v>
      </c>
      <c r="C180" s="22" t="s">
        <v>205</v>
      </c>
      <c r="D180" s="22" t="s">
        <v>436</v>
      </c>
      <c r="E180" s="13">
        <v>42729.679328703707</v>
      </c>
      <c r="F180" s="13">
        <v>42729.681423611109</v>
      </c>
      <c r="G180" s="7">
        <v>1</v>
      </c>
      <c r="H180" s="22" t="s">
        <v>716</v>
      </c>
      <c r="I180" s="13">
        <v>42729.69054398148</v>
      </c>
      <c r="J180" s="7">
        <v>0</v>
      </c>
      <c r="K180" s="109" t="str">
        <f t="shared" si="36"/>
        <v>4045/4046</v>
      </c>
      <c r="L180" s="22" t="str">
        <f>VLOOKUP(A180,'Trips&amp;Operators'!$C$1:$G$99999,5,FALSE)</f>
        <v>HELVIE ADAM</v>
      </c>
      <c r="M180" s="6">
        <f t="shared" si="37"/>
        <v>9.1203703705104999E-3</v>
      </c>
      <c r="N180" s="7">
        <f t="shared" si="38"/>
        <v>13.13333333353512</v>
      </c>
      <c r="O180" s="7"/>
      <c r="P180" s="7"/>
      <c r="Q180" s="23"/>
      <c r="R180" s="23"/>
      <c r="S180" s="35">
        <f t="shared" si="39"/>
        <v>1</v>
      </c>
      <c r="T180" s="50" t="str">
        <f t="shared" si="40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15:18:14-700',mode:absolute,to:'2016-12-25 17:34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0" s="52" t="str">
        <f t="shared" si="42"/>
        <v>N</v>
      </c>
      <c r="X180" s="177">
        <f t="shared" si="43"/>
        <v>1</v>
      </c>
      <c r="Y180" s="67">
        <f t="shared" si="44"/>
        <v>0.1014</v>
      </c>
      <c r="Z180" s="67">
        <f t="shared" si="45"/>
        <v>5.8948</v>
      </c>
      <c r="AA180" s="67">
        <f t="shared" si="46"/>
        <v>5.7934000000000001</v>
      </c>
      <c r="AB180" s="64" t="e">
        <f>VLOOKUP(A180,Enforcements!$C$7:$K$19,8,0)</f>
        <v>#N/A</v>
      </c>
      <c r="AC180" s="60" t="e">
        <f>VLOOKUP(A180,Enforcements!$C$7:$E$19,3,0)</f>
        <v>#N/A</v>
      </c>
      <c r="AD180" s="61" t="str">
        <f t="shared" si="47"/>
        <v>1821-25</v>
      </c>
      <c r="AE180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80" s="88" t="str">
        <f t="shared" si="49"/>
        <v>"C:\Program Files (x86)\AstroGrep\AstroGrep.exe" /spath="%USERPROFILE%\AppData\Local\Temp\OnboardLogs" /stypes="app*4046*20161225*" /stext=" 23:.+((SYSTEM_STATE.+slice.+state.+changed )|(ment ac)|(multiple cpu faults)|(system.+state.+changed )|(\[timeout)|(PRM\|1\|D)|(kpr)|(kdp)|(\|lc)|(penalty))" /e /r /s</v>
      </c>
      <c r="AG180" s="1" t="str">
        <f t="shared" si="50"/>
        <v>NW</v>
      </c>
      <c r="AH180" s="92" t="str">
        <f t="shared" si="51"/>
        <v>"%USERPROFILE%\Documents\GitHub\eaglep3\Utilities\RefineRTDCRunTimes.py" --tripid 1821-25 --locoid 4046 --swversion DE.1.0.8.0 --startMP 204:1014 --initTime 2016-12-25T16:18:14 --startdatetime 2016-12-25T16:21:15 --delay 1 --endMP 300:58948 --enddatetime 2016-12-25T16:34:23 --enforcementcount 0 &gt;&gt;C:\Users\stu\Documents\GitHub\eaglep3-reporting\EC\2016-12-25-refined-times.txt</v>
      </c>
      <c r="AI180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{"issue":{"subject":"","project_id":79,"tracker_id":40,"status_id":1,"priority_id":2,"assigned_to_id":23,"start_date":"2016-12-25","description":"","custom_fields":[{"id":1,"name":"Subdivision","value":"NW"},{"id":4,"name":"Milepost","value":"5.8948"},{"id":17,"name":"Train ID","value":"1821-25"},{"id":16,"name":"Locomotive ID","value":"4046"},{"id":130,"name":"Impact","value":""},{"id":150,"name":"Time of Event (Mountain Time)","value":"16:34:23"},{"id":151,"name":"Denver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601</v>
      </c>
      <c r="B181" s="7">
        <v>4045</v>
      </c>
      <c r="C181" s="22" t="s">
        <v>205</v>
      </c>
      <c r="D181" s="22" t="s">
        <v>441</v>
      </c>
      <c r="E181" s="13">
        <v>42729.691967592589</v>
      </c>
      <c r="F181" s="13">
        <v>42729.693668981483</v>
      </c>
      <c r="G181" s="7">
        <v>1</v>
      </c>
      <c r="H181" s="22" t="s">
        <v>717</v>
      </c>
      <c r="I181" s="13">
        <v>42729.704375000001</v>
      </c>
      <c r="J181" s="7">
        <v>0</v>
      </c>
      <c r="K181" s="109" t="str">
        <f t="shared" si="36"/>
        <v>4045/4046</v>
      </c>
      <c r="L181" s="22" t="str">
        <f>VLOOKUP(A181,'Trips&amp;Operators'!$C$1:$G$99999,5,FALSE)</f>
        <v>HELVIE ADAM</v>
      </c>
      <c r="M181" s="6">
        <f t="shared" si="37"/>
        <v>1.0706018518249039E-2</v>
      </c>
      <c r="N181" s="7">
        <f t="shared" si="38"/>
        <v>15.416666666278616</v>
      </c>
      <c r="O181" s="7"/>
      <c r="P181" s="7"/>
      <c r="Q181" s="23"/>
      <c r="R181" s="23"/>
      <c r="S181" s="35">
        <f t="shared" si="39"/>
        <v>1</v>
      </c>
      <c r="T181" s="50" t="str">
        <f t="shared" si="40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15:36:26-700',mode:absolute,to:'2016-12-25 17:54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1" s="52" t="str">
        <f t="shared" si="42"/>
        <v>N</v>
      </c>
      <c r="X181" s="177">
        <f t="shared" si="43"/>
        <v>1</v>
      </c>
      <c r="Y181" s="67">
        <f t="shared" si="44"/>
        <v>5.8625999999999996</v>
      </c>
      <c r="Z181" s="67">
        <f t="shared" si="45"/>
        <v>7.6600000000000001E-2</v>
      </c>
      <c r="AA181" s="67">
        <f t="shared" si="46"/>
        <v>5.7859999999999996</v>
      </c>
      <c r="AB181" s="64" t="e">
        <f>VLOOKUP(A181,Enforcements!$C$7:$K$19,8,0)</f>
        <v>#N/A</v>
      </c>
      <c r="AC181" s="60" t="e">
        <f>VLOOKUP(A181,Enforcements!$C$7:$E$19,3,0)</f>
        <v>#N/A</v>
      </c>
      <c r="AD181" s="61" t="str">
        <f t="shared" si="47"/>
        <v>1822-25</v>
      </c>
      <c r="AE181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81" s="88" t="str">
        <f t="shared" si="49"/>
        <v>"C:\Program Files (x86)\AstroGrep\AstroGrep.exe" /spath="%USERPROFILE%\AppData\Local\Temp\OnboardLogs" /stypes="app*4045*20161225*" /stext=" 23:.+((SYSTEM_STATE.+slice.+state.+changed )|(ment ac)|(multiple cpu faults)|(system.+state.+changed )|(\[timeout)|(PRM\|1\|D)|(kpr)|(kdp)|(\|lc)|(penalty))" /e /r /s</v>
      </c>
      <c r="AG181" s="1" t="str">
        <f t="shared" si="50"/>
        <v>NW</v>
      </c>
      <c r="AH181" s="92" t="str">
        <f t="shared" si="51"/>
        <v>"%USERPROFILE%\Documents\GitHub\eaglep3\Utilities\RefineRTDCRunTimes.py" --tripid 1822-25 --locoid 4045 --swversion DE.1.0.8.0 --startMP 300:58626 --initTime 2016-12-25T16:36:26 --startdatetime 2016-12-25T16:38:53 --delay 1 --endMP 204:766 --enddatetime 2016-12-25T16:54:18 --enforcementcount 0 &gt;&gt;C:\Users\stu\Documents\GitHub\eaglep3-reporting\EC\2016-12-25-refined-times.txt</v>
      </c>
      <c r="AI181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{"issue":{"subject":"","project_id":79,"tracker_id":40,"status_id":1,"priority_id":2,"assigned_to_id":23,"start_date":"2016-12-25","description":"","custom_fields":[{"id":1,"name":"Subdivision","value":"NW"},{"id":4,"name":"Milepost","value":"0.0766"},{"id":17,"name":"Train ID","value":"1822-25"},{"id":16,"name":"Locomotive ID","value":"4045"},{"id":130,"name":"Impact","value":""},{"id":150,"name":"Time of Event (Mountain Time)","value":"16:54:18"},{"id":151,"name":"Denver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608</v>
      </c>
      <c r="B182" s="7">
        <v>4046</v>
      </c>
      <c r="C182" s="22" t="s">
        <v>205</v>
      </c>
      <c r="D182" s="22" t="s">
        <v>718</v>
      </c>
      <c r="E182" s="13">
        <v>42729.72078703704</v>
      </c>
      <c r="F182" s="13">
        <v>42729.723113425927</v>
      </c>
      <c r="G182" s="7">
        <v>1</v>
      </c>
      <c r="H182" s="22" t="s">
        <v>713</v>
      </c>
      <c r="I182" s="13">
        <v>42729.73238425926</v>
      </c>
      <c r="J182" s="7">
        <v>0</v>
      </c>
      <c r="K182" s="109" t="str">
        <f t="shared" si="36"/>
        <v>4045/4046</v>
      </c>
      <c r="L182" s="22" t="str">
        <f>VLOOKUP(A182,'Trips&amp;Operators'!$C$1:$G$99999,5,FALSE)</f>
        <v>HELVIE ADAM</v>
      </c>
      <c r="M182" s="6">
        <f t="shared" si="37"/>
        <v>9.2708333322661929E-3</v>
      </c>
      <c r="N182" s="7">
        <f t="shared" si="38"/>
        <v>13.349999998463318</v>
      </c>
      <c r="O182" s="7"/>
      <c r="P182" s="7"/>
      <c r="Q182" s="23"/>
      <c r="R182" s="23"/>
      <c r="S182" s="35">
        <f t="shared" si="39"/>
        <v>1</v>
      </c>
      <c r="T182" s="50" t="str">
        <f t="shared" si="40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16:17:56-700',mode:absolute,to:'2016-12-25 18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2" s="52" t="str">
        <f t="shared" si="42"/>
        <v>N</v>
      </c>
      <c r="X182" s="177">
        <f t="shared" si="43"/>
        <v>1</v>
      </c>
      <c r="Y182" s="67">
        <f t="shared" si="44"/>
        <v>0.10440000000000001</v>
      </c>
      <c r="Z182" s="67">
        <f t="shared" si="45"/>
        <v>5.8943000000000003</v>
      </c>
      <c r="AA182" s="67">
        <f t="shared" si="46"/>
        <v>5.7899000000000003</v>
      </c>
      <c r="AB182" s="64" t="e">
        <f>VLOOKUP(A182,Enforcements!$C$7:$K$19,8,0)</f>
        <v>#N/A</v>
      </c>
      <c r="AC182" s="60" t="e">
        <f>VLOOKUP(A182,Enforcements!$C$7:$E$19,3,0)</f>
        <v>#N/A</v>
      </c>
      <c r="AD182" s="61" t="str">
        <f t="shared" si="47"/>
        <v>1823-25</v>
      </c>
      <c r="AE182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82" s="88" t="str">
        <f t="shared" si="49"/>
        <v>"C:\Program Files (x86)\AstroGrep\AstroGrep.exe" /spath="%USERPROFILE%\AppData\Local\Temp\OnboardLogs" /stypes="app*4046*20161226*" /stext=" 00:.+((SYSTEM_STATE.+slice.+state.+changed )|(ment ac)|(multiple cpu faults)|(system.+state.+changed )|(\[timeout)|(PRM\|1\|D)|(kpr)|(kdp)|(\|lc)|(penalty))" /e /r /s</v>
      </c>
      <c r="AG182" s="1" t="str">
        <f t="shared" si="50"/>
        <v>NW</v>
      </c>
      <c r="AH182" s="92" t="str">
        <f t="shared" si="51"/>
        <v>"%USERPROFILE%\Documents\GitHub\eaglep3\Utilities\RefineRTDCRunTimes.py" --tripid 1823-25 --locoid 4046 --swversion DE.1.0.8.0 --startMP 204:1044 --initTime 2016-12-25T17:17:56 --startdatetime 2016-12-25T17:21:17 --delay 1 --endMP 300:58943 --enddatetime 2016-12-25T17:34:38 --enforcementcount 0 &gt;&gt;C:\Users\stu\Documents\GitHub\eaglep3-reporting\EC\2016-12-25-refined-times.txt</v>
      </c>
      <c r="AI182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{"issue":{"subject":"","project_id":79,"tracker_id":40,"status_id":1,"priority_id":2,"assigned_to_id":23,"start_date":"2016-12-25","description":"","custom_fields":[{"id":1,"name":"Subdivision","value":"NW"},{"id":4,"name":"Milepost","value":"5.8943"},{"id":17,"name":"Train ID","value":"1823-25"},{"id":16,"name":"Locomotive ID","value":"4046"},{"id":130,"name":"Impact","value":""},{"id":150,"name":"Time of Event (Mountain Time)","value":"17:34:38"},{"id":151,"name":"Denver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614</v>
      </c>
      <c r="B183" s="7">
        <v>4045</v>
      </c>
      <c r="C183" s="22" t="s">
        <v>205</v>
      </c>
      <c r="D183" s="22" t="s">
        <v>719</v>
      </c>
      <c r="E183" s="13">
        <v>42729.734120370369</v>
      </c>
      <c r="F183" s="13">
        <v>42729.735312500001</v>
      </c>
      <c r="G183" s="7">
        <v>1</v>
      </c>
      <c r="H183" s="22" t="s">
        <v>409</v>
      </c>
      <c r="I183" s="13">
        <v>42729.746562499997</v>
      </c>
      <c r="J183" s="7">
        <v>0</v>
      </c>
      <c r="K183" s="109" t="str">
        <f t="shared" si="36"/>
        <v>4045/4046</v>
      </c>
      <c r="L183" s="22" t="str">
        <f>VLOOKUP(A183,'Trips&amp;Operators'!$C$1:$G$99999,5,FALSE)</f>
        <v>HELVIE ADAM</v>
      </c>
      <c r="M183" s="6">
        <f t="shared" si="37"/>
        <v>1.1249999995925464E-2</v>
      </c>
      <c r="N183" s="7">
        <f t="shared" si="38"/>
        <v>16.199999994132668</v>
      </c>
      <c r="O183" s="7"/>
      <c r="P183" s="7"/>
      <c r="Q183" s="23"/>
      <c r="R183" s="23"/>
      <c r="S183" s="35">
        <f t="shared" si="39"/>
        <v>1</v>
      </c>
      <c r="T183" s="50" t="str">
        <f t="shared" si="40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16:37:08-700',mode:absolute,to:'2016-12-25 18:55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3" s="52" t="str">
        <f t="shared" si="42"/>
        <v>N</v>
      </c>
      <c r="X183" s="177">
        <f t="shared" si="43"/>
        <v>1</v>
      </c>
      <c r="Y183" s="67">
        <f t="shared" si="44"/>
        <v>5.8624999999999998</v>
      </c>
      <c r="Z183" s="67">
        <f t="shared" si="45"/>
        <v>7.5700000000000003E-2</v>
      </c>
      <c r="AA183" s="67">
        <f t="shared" si="46"/>
        <v>5.7867999999999995</v>
      </c>
      <c r="AB183" s="64" t="e">
        <f>VLOOKUP(A183,Enforcements!$C$7:$K$19,8,0)</f>
        <v>#N/A</v>
      </c>
      <c r="AC183" s="60" t="e">
        <f>VLOOKUP(A183,Enforcements!$C$7:$E$19,3,0)</f>
        <v>#N/A</v>
      </c>
      <c r="AD183" s="61" t="str">
        <f t="shared" si="47"/>
        <v>1824-25</v>
      </c>
      <c r="AE183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83" s="88" t="str">
        <f t="shared" si="49"/>
        <v>"C:\Program Files (x86)\AstroGrep\AstroGrep.exe" /spath="%USERPROFILE%\AppData\Local\Temp\OnboardLogs" /stypes="app*4045*20161226*" /stext=" 00:.+((SYSTEM_STATE.+slice.+state.+changed )|(ment ac)|(multiple cpu faults)|(system.+state.+changed )|(\[timeout)|(PRM\|1\|D)|(kpr)|(kdp)|(\|lc)|(penalty))" /e /r /s</v>
      </c>
      <c r="AG183" s="1" t="str">
        <f t="shared" si="50"/>
        <v>NW</v>
      </c>
      <c r="AH183" s="92" t="str">
        <f t="shared" si="51"/>
        <v>"%USERPROFILE%\Documents\GitHub\eaglep3\Utilities\RefineRTDCRunTimes.py" --tripid 1824-25 --locoid 4045 --swversion DE.1.0.8.0 --startMP 300:58625 --initTime 2016-12-25T17:37:08 --startdatetime 2016-12-25T17:38:51 --delay 1 --endMP 204:757 --enddatetime 2016-12-25T17:55:03 --enforcementcount 0 &gt;&gt;C:\Users\stu\Documents\GitHub\eaglep3-reporting\EC\2016-12-25-refined-times.txt</v>
      </c>
      <c r="AI183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{"issue":{"subject":"","project_id":79,"tracker_id":40,"status_id":1,"priority_id":2,"assigned_to_id":23,"start_date":"2016-12-25","description":"","custom_fields":[{"id":1,"name":"Subdivision","value":"NW"},{"id":4,"name":"Milepost","value":"0.0757"},{"id":17,"name":"Train ID","value":"1824-25"},{"id":16,"name":"Locomotive ID","value":"4045"},{"id":130,"name":"Impact","value":""},{"id":150,"name":"Time of Event (Mountain Time)","value":"17:55:03"},{"id":151,"name":"Denver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s="21" customFormat="1" x14ac:dyDescent="0.25">
      <c r="A184" s="37" t="s">
        <v>620</v>
      </c>
      <c r="B184" s="7">
        <v>4046</v>
      </c>
      <c r="C184" s="22" t="s">
        <v>205</v>
      </c>
      <c r="D184" s="22" t="s">
        <v>434</v>
      </c>
      <c r="E184" s="13">
        <v>42729.761608796296</v>
      </c>
      <c r="F184" s="13">
        <v>42729.764884259261</v>
      </c>
      <c r="G184" s="7">
        <v>1</v>
      </c>
      <c r="H184" s="22" t="s">
        <v>363</v>
      </c>
      <c r="I184" s="13">
        <v>42729.773958333331</v>
      </c>
      <c r="J184" s="7">
        <v>0</v>
      </c>
      <c r="K184" s="109" t="str">
        <f t="shared" si="36"/>
        <v>4045/4046</v>
      </c>
      <c r="L184" s="22" t="str">
        <f>VLOOKUP(A184,'Trips&amp;Operators'!$C$1:$G$99999,5,FALSE)</f>
        <v>HELVIE ADAM</v>
      </c>
      <c r="M184" s="6">
        <f t="shared" si="37"/>
        <v>9.074074070667848E-3</v>
      </c>
      <c r="N184" s="7">
        <f t="shared" si="38"/>
        <v>13.066666661761701</v>
      </c>
      <c r="O184" s="7"/>
      <c r="P184" s="7"/>
      <c r="Q184" s="23"/>
      <c r="R184" s="23"/>
      <c r="S184" s="35">
        <f t="shared" si="39"/>
        <v>1</v>
      </c>
      <c r="T184" s="50" t="str">
        <f t="shared" si="40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17:16:43-700',mode:absolute,to:'2016-12-25 19:34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4" s="52" t="str">
        <f t="shared" si="42"/>
        <v>N</v>
      </c>
      <c r="X184" s="177">
        <f t="shared" si="43"/>
        <v>1</v>
      </c>
      <c r="Y184" s="67">
        <f t="shared" si="44"/>
        <v>0.10299999999999999</v>
      </c>
      <c r="Z184" s="67">
        <f t="shared" si="45"/>
        <v>5.8935000000000004</v>
      </c>
      <c r="AA184" s="67">
        <f t="shared" si="46"/>
        <v>5.7905000000000006</v>
      </c>
      <c r="AB184" s="64" t="e">
        <f>VLOOKUP(A184,Enforcements!$C$7:$K$19,8,0)</f>
        <v>#N/A</v>
      </c>
      <c r="AC184" s="60" t="e">
        <f>VLOOKUP(A184,Enforcements!$C$7:$E$19,3,0)</f>
        <v>#N/A</v>
      </c>
      <c r="AD184" s="61" t="str">
        <f t="shared" si="47"/>
        <v>1825-25</v>
      </c>
      <c r="AE184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84" s="88" t="str">
        <f t="shared" si="49"/>
        <v>"C:\Program Files (x86)\AstroGrep\AstroGrep.exe" /spath="%USERPROFILE%\AppData\Local\Temp\OnboardLogs" /stypes="app*4046*20161226*" /stext=" 01:.+((SYSTEM_STATE.+slice.+state.+changed )|(ment ac)|(multiple cpu faults)|(system.+state.+changed )|(\[timeout)|(PRM\|1\|D)|(kpr)|(kdp)|(\|lc)|(penalty))" /e /r /s</v>
      </c>
      <c r="AG184" s="1" t="str">
        <f t="shared" si="50"/>
        <v>NW</v>
      </c>
      <c r="AH184" s="92" t="str">
        <f t="shared" si="51"/>
        <v>"%USERPROFILE%\Documents\GitHub\eaglep3\Utilities\RefineRTDCRunTimes.py" --tripid 1825-25 --locoid 4046 --swversion DE.1.0.8.0 --startMP 204:1030 --initTime 2016-12-25T18:16:43 --startdatetime 2016-12-25T18:21:26 --delay 1 --endMP 300:58935 --enddatetime 2016-12-25T18:34:30 --enforcementcount 0 &gt;&gt;C:\Users\stu\Documents\GitHub\eaglep3-reporting\EC\2016-12-25-refined-times.txt</v>
      </c>
      <c r="AI184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{"issue":{"subject":"","project_id":79,"tracker_id":40,"status_id":1,"priority_id":2,"assigned_to_id":23,"start_date":"2016-12-25","description":"","custom_fields":[{"id":1,"name":"Subdivision","value":"NW"},{"id":4,"name":"Milepost","value":"5.8935"},{"id":17,"name":"Train ID","value":"1825-25"},{"id":16,"name":"Locomotive ID","value":"4046"},{"id":130,"name":"Impact","value":""},{"id":150,"name":"Time of Event (Mountain Time)","value":"18:34:30"},{"id":151,"name":"Denver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1" customFormat="1" x14ac:dyDescent="0.25">
      <c r="A185" s="37" t="s">
        <v>624</v>
      </c>
      <c r="B185" s="7">
        <v>4045</v>
      </c>
      <c r="C185" s="22" t="s">
        <v>205</v>
      </c>
      <c r="D185" s="22" t="s">
        <v>441</v>
      </c>
      <c r="E185" s="13">
        <v>42729.774872685186</v>
      </c>
      <c r="F185" s="13">
        <v>42729.776238425926</v>
      </c>
      <c r="G185" s="7">
        <v>1</v>
      </c>
      <c r="H185" s="22" t="s">
        <v>362</v>
      </c>
      <c r="I185" s="13">
        <v>42729.788657407407</v>
      </c>
      <c r="J185" s="7">
        <v>0</v>
      </c>
      <c r="K185" s="109" t="str">
        <f t="shared" si="36"/>
        <v>4045/4046</v>
      </c>
      <c r="L185" s="22" t="str">
        <f>VLOOKUP(A185,'Trips&amp;Operators'!$C$1:$G$99999,5,FALSE)</f>
        <v>HELVIE ADAM</v>
      </c>
      <c r="M185" s="6">
        <f t="shared" si="37"/>
        <v>1.2418981481459923E-2</v>
      </c>
      <c r="N185" s="7">
        <f t="shared" si="38"/>
        <v>17.883333333302289</v>
      </c>
      <c r="O185" s="7"/>
      <c r="P185" s="7"/>
      <c r="Q185" s="23"/>
      <c r="R185" s="23"/>
      <c r="S185" s="35">
        <f t="shared" si="39"/>
        <v>1</v>
      </c>
      <c r="T185" s="50" t="str">
        <f t="shared" si="40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17:35:49-700',mode:absolute,to:'2016-12-25 19:55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5" s="52" t="str">
        <f t="shared" si="42"/>
        <v>N</v>
      </c>
      <c r="X185" s="177">
        <f t="shared" si="43"/>
        <v>1</v>
      </c>
      <c r="Y185" s="67">
        <f t="shared" si="44"/>
        <v>5.8625999999999996</v>
      </c>
      <c r="Z185" s="67">
        <f t="shared" si="45"/>
        <v>7.22E-2</v>
      </c>
      <c r="AA185" s="67">
        <f t="shared" si="46"/>
        <v>5.7904</v>
      </c>
      <c r="AB185" s="64" t="e">
        <f>VLOOKUP(A185,Enforcements!$C$7:$K$19,8,0)</f>
        <v>#N/A</v>
      </c>
      <c r="AC185" s="60" t="e">
        <f>VLOOKUP(A185,Enforcements!$C$7:$E$19,3,0)</f>
        <v>#N/A</v>
      </c>
      <c r="AD185" s="61" t="str">
        <f t="shared" si="47"/>
        <v>1826-25</v>
      </c>
      <c r="AE185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85" s="88" t="str">
        <f t="shared" si="49"/>
        <v>"C:\Program Files (x86)\AstroGrep\AstroGrep.exe" /spath="%USERPROFILE%\AppData\Local\Temp\OnboardLogs" /stypes="app*4045*20161226*" /stext=" 01:.+((SYSTEM_STATE.+slice.+state.+changed )|(ment ac)|(multiple cpu faults)|(system.+state.+changed )|(\[timeout)|(PRM\|1\|D)|(kpr)|(kdp)|(\|lc)|(penalty))" /e /r /s</v>
      </c>
      <c r="AG185" s="1" t="str">
        <f t="shared" si="50"/>
        <v>NW</v>
      </c>
      <c r="AH185" s="92" t="str">
        <f t="shared" si="51"/>
        <v>"%USERPROFILE%\Documents\GitHub\eaglep3\Utilities\RefineRTDCRunTimes.py" --tripid 1826-25 --locoid 4045 --swversion DE.1.0.8.0 --startMP 300:58626 --initTime 2016-12-25T18:35:49 --startdatetime 2016-12-25T18:37:47 --delay 1 --endMP 204:722 --enddatetime 2016-12-25T18:55:40 --enforcementcount 0 &gt;&gt;C:\Users\stu\Documents\GitHub\eaglep3-reporting\EC\2016-12-25-refined-times.txt</v>
      </c>
      <c r="AI185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{"issue":{"subject":"","project_id":79,"tracker_id":40,"status_id":1,"priority_id":2,"assigned_to_id":23,"start_date":"2016-12-25","description":"","custom_fields":[{"id":1,"name":"Subdivision","value":"NW"},{"id":4,"name":"Milepost","value":"0.0722"},{"id":17,"name":"Train ID","value":"1826-25"},{"id":16,"name":"Locomotive ID","value":"4045"},{"id":130,"name":"Impact","value":""},{"id":150,"name":"Time of Event (Mountain Time)","value":"18:55:40"},{"id":151,"name":"Denver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629</v>
      </c>
      <c r="B186" s="7">
        <v>4046</v>
      </c>
      <c r="C186" s="22" t="s">
        <v>205</v>
      </c>
      <c r="D186" s="22" t="s">
        <v>720</v>
      </c>
      <c r="E186" s="13">
        <v>42729.804525462961</v>
      </c>
      <c r="F186" s="13">
        <v>42729.806435185186</v>
      </c>
      <c r="G186" s="7">
        <v>1</v>
      </c>
      <c r="H186" s="22" t="s">
        <v>702</v>
      </c>
      <c r="I186" s="13">
        <v>42729.815289351849</v>
      </c>
      <c r="J186" s="7">
        <v>0</v>
      </c>
      <c r="K186" s="109" t="str">
        <f t="shared" si="36"/>
        <v>4045/4046</v>
      </c>
      <c r="L186" s="22" t="str">
        <f>VLOOKUP(A186,'Trips&amp;Operators'!$C$1:$G$99999,5,FALSE)</f>
        <v>HELVIE ADAM</v>
      </c>
      <c r="M186" s="6">
        <f t="shared" si="37"/>
        <v>8.8541666627861559E-3</v>
      </c>
      <c r="N186" s="7">
        <f t="shared" si="38"/>
        <v>12.749999994412065</v>
      </c>
      <c r="O186" s="7"/>
      <c r="P186" s="7"/>
      <c r="Q186" s="23"/>
      <c r="R186" s="23"/>
      <c r="S186" s="35">
        <f t="shared" si="39"/>
        <v>1</v>
      </c>
      <c r="T186" s="50" t="str">
        <f t="shared" si="40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18:18:31-700',mode:absolute,to:'2016-12-25 20:34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6" s="52" t="str">
        <f t="shared" si="42"/>
        <v>N</v>
      </c>
      <c r="X186" s="177">
        <f t="shared" si="43"/>
        <v>1</v>
      </c>
      <c r="Y186" s="67">
        <f t="shared" si="44"/>
        <v>0.1037</v>
      </c>
      <c r="Z186" s="67">
        <f t="shared" si="45"/>
        <v>5.8944000000000001</v>
      </c>
      <c r="AA186" s="67">
        <f t="shared" si="46"/>
        <v>5.7907000000000002</v>
      </c>
      <c r="AB186" s="64" t="e">
        <f>VLOOKUP(A186,Enforcements!$C$7:$K$19,8,0)</f>
        <v>#N/A</v>
      </c>
      <c r="AC186" s="60" t="e">
        <f>VLOOKUP(A186,Enforcements!$C$7:$E$19,3,0)</f>
        <v>#N/A</v>
      </c>
      <c r="AD186" s="61" t="str">
        <f t="shared" si="47"/>
        <v>1827-25</v>
      </c>
      <c r="AE186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86" s="88" t="str">
        <f t="shared" si="49"/>
        <v>"C:\Program Files (x86)\AstroGrep\AstroGrep.exe" /spath="%USERPROFILE%\AppData\Local\Temp\OnboardLogs" /stypes="app*4046*20161226*" /stext=" 02:.+((SYSTEM_STATE.+slice.+state.+changed )|(ment ac)|(multiple cpu faults)|(system.+state.+changed )|(\[timeout)|(PRM\|1\|D)|(kpr)|(kdp)|(\|lc)|(penalty))" /e /r /s</v>
      </c>
      <c r="AG186" s="1" t="str">
        <f t="shared" si="50"/>
        <v>NW</v>
      </c>
      <c r="AH186" s="92" t="str">
        <f t="shared" si="51"/>
        <v>"%USERPROFILE%\Documents\GitHub\eaglep3\Utilities\RefineRTDCRunTimes.py" --tripid 1827-25 --locoid 4046 --swversion DE.1.0.8.0 --startMP 204:1037 --initTime 2016-12-25T19:18:31 --startdatetime 2016-12-25T19:21:16 --delay 1 --endMP 300:58944 --enddatetime 2016-12-25T19:34:01 --enforcementcount 0 &gt;&gt;C:\Users\stu\Documents\GitHub\eaglep3-reporting\EC\2016-12-25-refined-times.txt</v>
      </c>
      <c r="AI186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{"issue":{"subject":"","project_id":79,"tracker_id":40,"status_id":1,"priority_id":2,"assigned_to_id":23,"start_date":"2016-12-25","description":"","custom_fields":[{"id":1,"name":"Subdivision","value":"NW"},{"id":4,"name":"Milepost","value":"5.8944"},{"id":17,"name":"Train ID","value":"1827-25"},{"id":16,"name":"Locomotive ID","value":"4046"},{"id":130,"name":"Impact","value":""},{"id":150,"name":"Time of Event (Mountain Time)","value":"19:34:01"},{"id":151,"name":"Denver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x14ac:dyDescent="0.25">
      <c r="A187" s="37" t="s">
        <v>632</v>
      </c>
      <c r="B187" s="7">
        <v>4045</v>
      </c>
      <c r="C187" s="22" t="s">
        <v>205</v>
      </c>
      <c r="D187" s="22" t="s">
        <v>700</v>
      </c>
      <c r="E187" s="13">
        <v>42729.818657407406</v>
      </c>
      <c r="F187" s="13">
        <v>42729.819849537038</v>
      </c>
      <c r="G187" s="7">
        <v>1</v>
      </c>
      <c r="H187" s="22" t="s">
        <v>362</v>
      </c>
      <c r="I187" s="13">
        <v>42729.829837962963</v>
      </c>
      <c r="J187" s="7">
        <v>0</v>
      </c>
      <c r="K187" s="109" t="str">
        <f t="shared" si="36"/>
        <v>4045/4046</v>
      </c>
      <c r="L187" s="22" t="str">
        <f>VLOOKUP(A187,'Trips&amp;Operators'!$C$1:$G$99999,5,FALSE)</f>
        <v>HELVIE ADAM</v>
      </c>
      <c r="M187" s="6">
        <f t="shared" si="37"/>
        <v>9.9884259252576157E-3</v>
      </c>
      <c r="N187" s="7">
        <f t="shared" si="38"/>
        <v>14.383333332370967</v>
      </c>
      <c r="O187" s="7"/>
      <c r="P187" s="7"/>
      <c r="Q187" s="23"/>
      <c r="R187" s="23"/>
      <c r="S187" s="35">
        <f t="shared" si="39"/>
        <v>1</v>
      </c>
      <c r="T187" s="50" t="str">
        <f t="shared" si="40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18:38:52-700',mode:absolute,to:'2016-12-25 20:54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7" s="52" t="str">
        <f t="shared" si="42"/>
        <v>N</v>
      </c>
      <c r="X187" s="177">
        <f t="shared" si="43"/>
        <v>1</v>
      </c>
      <c r="Y187" s="67">
        <f t="shared" si="44"/>
        <v>5.8615000000000004</v>
      </c>
      <c r="Z187" s="67">
        <f t="shared" si="45"/>
        <v>7.22E-2</v>
      </c>
      <c r="AA187" s="67">
        <f t="shared" si="46"/>
        <v>5.7893000000000008</v>
      </c>
      <c r="AB187" s="64" t="e">
        <f>VLOOKUP(A187,Enforcements!$C$7:$K$19,8,0)</f>
        <v>#N/A</v>
      </c>
      <c r="AC187" s="60" t="e">
        <f>VLOOKUP(A187,Enforcements!$C$7:$E$19,3,0)</f>
        <v>#N/A</v>
      </c>
      <c r="AD187" s="61" t="str">
        <f t="shared" si="47"/>
        <v>1828-25</v>
      </c>
      <c r="AE187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87" s="88" t="str">
        <f t="shared" si="49"/>
        <v>"C:\Program Files (x86)\AstroGrep\AstroGrep.exe" /spath="%USERPROFILE%\AppData\Local\Temp\OnboardLogs" /stypes="app*4045*20161226*" /stext=" 02:.+((SYSTEM_STATE.+slice.+state.+changed )|(ment ac)|(multiple cpu faults)|(system.+state.+changed )|(\[timeout)|(PRM\|1\|D)|(kpr)|(kdp)|(\|lc)|(penalty))" /e /r /s</v>
      </c>
      <c r="AG187" s="1" t="str">
        <f t="shared" si="50"/>
        <v>NW</v>
      </c>
      <c r="AH187" s="92" t="str">
        <f t="shared" si="51"/>
        <v>"%USERPROFILE%\Documents\GitHub\eaglep3\Utilities\RefineRTDCRunTimes.py" --tripid 1828-25 --locoid 4045 --swversion DE.1.0.8.0 --startMP 300:58615 --initTime 2016-12-25T19:38:52 --startdatetime 2016-12-25T19:40:35 --delay 1 --endMP 204:722 --enddatetime 2016-12-25T19:54:58 --enforcementcount 0 &gt;&gt;C:\Users\stu\Documents\GitHub\eaglep3-reporting\EC\2016-12-25-refined-times.txt</v>
      </c>
      <c r="AI187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{"issue":{"subject":"","project_id":79,"tracker_id":40,"status_id":1,"priority_id":2,"assigned_to_id":23,"start_date":"2016-12-25","description":"","custom_fields":[{"id":1,"name":"Subdivision","value":"NW"},{"id":4,"name":"Milepost","value":"0.0722"},{"id":17,"name":"Train ID","value":"1828-25"},{"id":16,"name":"Locomotive ID","value":"4045"},{"id":130,"name":"Impact","value":""},{"id":150,"name":"Time of Event (Mountain Time)","value":"19:54:58"},{"id":151,"name":"Denver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637</v>
      </c>
      <c r="B188" s="7">
        <v>4046</v>
      </c>
      <c r="C188" s="22" t="s">
        <v>205</v>
      </c>
      <c r="D188" s="22" t="s">
        <v>721</v>
      </c>
      <c r="E188" s="13">
        <v>42729.844988425924</v>
      </c>
      <c r="F188" s="13">
        <v>42729.848090277781</v>
      </c>
      <c r="G188" s="7">
        <v>1</v>
      </c>
      <c r="H188" s="22" t="s">
        <v>363</v>
      </c>
      <c r="I188" s="13">
        <v>42729.857141203705</v>
      </c>
      <c r="J188" s="7">
        <v>0</v>
      </c>
      <c r="K188" s="109" t="str">
        <f t="shared" si="36"/>
        <v>4045/4046</v>
      </c>
      <c r="L188" s="22" t="str">
        <f>VLOOKUP(A188,'Trips&amp;Operators'!$C$1:$G$99999,5,FALSE)</f>
        <v>HELVIE ADAM</v>
      </c>
      <c r="M188" s="6">
        <f t="shared" si="37"/>
        <v>9.0509259243845008E-3</v>
      </c>
      <c r="N188" s="7">
        <f t="shared" si="38"/>
        <v>13.033333331113681</v>
      </c>
      <c r="O188" s="7"/>
      <c r="P188" s="7"/>
      <c r="Q188" s="23"/>
      <c r="R188" s="23"/>
      <c r="S188" s="35">
        <f t="shared" si="39"/>
        <v>1</v>
      </c>
      <c r="T188" s="50" t="str">
        <f t="shared" si="40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19:16:47-700',mode:absolute,to:'2016-12-25 21:34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8" s="52" t="str">
        <f t="shared" si="42"/>
        <v>N</v>
      </c>
      <c r="X188" s="177">
        <f t="shared" si="43"/>
        <v>1</v>
      </c>
      <c r="Y188" s="67">
        <f t="shared" si="44"/>
        <v>0.1004</v>
      </c>
      <c r="Z188" s="67">
        <f t="shared" si="45"/>
        <v>5.8935000000000004</v>
      </c>
      <c r="AA188" s="67">
        <f t="shared" si="46"/>
        <v>5.7931000000000008</v>
      </c>
      <c r="AB188" s="64" t="e">
        <f>VLOOKUP(A188,Enforcements!$C$7:$K$19,8,0)</f>
        <v>#N/A</v>
      </c>
      <c r="AC188" s="60" t="e">
        <f>VLOOKUP(A188,Enforcements!$C$7:$E$19,3,0)</f>
        <v>#N/A</v>
      </c>
      <c r="AD188" s="61" t="str">
        <f t="shared" si="47"/>
        <v>1829-25</v>
      </c>
      <c r="AE188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88" s="88" t="str">
        <f t="shared" si="49"/>
        <v>"C:\Program Files (x86)\AstroGrep\AstroGrep.exe" /spath="%USERPROFILE%\AppData\Local\Temp\OnboardLogs" /stypes="app*4046*20161226*" /stext=" 03:.+((SYSTEM_STATE.+slice.+state.+changed )|(ment ac)|(multiple cpu faults)|(system.+state.+changed )|(\[timeout)|(PRM\|1\|D)|(kpr)|(kdp)|(\|lc)|(penalty))" /e /r /s</v>
      </c>
      <c r="AG188" s="1" t="str">
        <f t="shared" si="50"/>
        <v>NW</v>
      </c>
      <c r="AH188" s="92" t="str">
        <f t="shared" si="51"/>
        <v>"%USERPROFILE%\Documents\GitHub\eaglep3\Utilities\RefineRTDCRunTimes.py" --tripid 1829-25 --locoid 4046 --swversion DE.1.0.8.0 --startMP 204:1004 --initTime 2016-12-25T20:16:47 --startdatetime 2016-12-25T20:21:15 --delay 1 --endMP 300:58935 --enddatetime 2016-12-25T20:34:17 --enforcementcount 0 &gt;&gt;C:\Users\stu\Documents\GitHub\eaglep3-reporting\EC\2016-12-25-refined-times.txt</v>
      </c>
      <c r="AI188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{"issue":{"subject":"","project_id":79,"tracker_id":40,"status_id":1,"priority_id":2,"assigned_to_id":23,"start_date":"2016-12-25","description":"","custom_fields":[{"id":1,"name":"Subdivision","value":"NW"},{"id":4,"name":"Milepost","value":"5.8935"},{"id":17,"name":"Train ID","value":"1829-25"},{"id":16,"name":"Locomotive ID","value":"4046"},{"id":130,"name":"Impact","value":""},{"id":150,"name":"Time of Event (Mountain Time)","value":"20:34:17"},{"id":151,"name":"Denver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638</v>
      </c>
      <c r="B189" s="7">
        <v>4045</v>
      </c>
      <c r="C189" s="22" t="s">
        <v>205</v>
      </c>
      <c r="D189" s="22" t="s">
        <v>722</v>
      </c>
      <c r="E189" s="13">
        <v>42729.858124999999</v>
      </c>
      <c r="F189" s="13">
        <v>42729.860046296293</v>
      </c>
      <c r="G189" s="7">
        <v>1</v>
      </c>
      <c r="H189" s="22" t="s">
        <v>703</v>
      </c>
      <c r="I189" s="13">
        <v>42729.870844907404</v>
      </c>
      <c r="J189" s="7">
        <v>0</v>
      </c>
      <c r="K189" s="109" t="str">
        <f t="shared" si="36"/>
        <v>4045/4046</v>
      </c>
      <c r="L189" s="22" t="str">
        <f>VLOOKUP(A189,'Trips&amp;Operators'!$C$1:$G$99999,5,FALSE)</f>
        <v>HELVIE ADAM</v>
      </c>
      <c r="M189" s="6">
        <f t="shared" si="37"/>
        <v>1.0798611110658385E-2</v>
      </c>
      <c r="N189" s="7">
        <f t="shared" si="38"/>
        <v>15.549999999348074</v>
      </c>
      <c r="O189" s="7"/>
      <c r="P189" s="7"/>
      <c r="Q189" s="23"/>
      <c r="R189" s="23"/>
      <c r="S189" s="35">
        <f t="shared" si="39"/>
        <v>1</v>
      </c>
      <c r="T189" s="50" t="str">
        <f t="shared" si="40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19:35:42-700',mode:absolute,to:'2016-12-25 21:54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9" s="52" t="str">
        <f t="shared" si="42"/>
        <v>N</v>
      </c>
      <c r="X189" s="177">
        <f t="shared" si="43"/>
        <v>1</v>
      </c>
      <c r="Y189" s="67">
        <f t="shared" si="44"/>
        <v>5.8619000000000003</v>
      </c>
      <c r="Z189" s="67">
        <f t="shared" si="45"/>
        <v>7.4300000000000005E-2</v>
      </c>
      <c r="AA189" s="67">
        <f t="shared" si="46"/>
        <v>5.7876000000000003</v>
      </c>
      <c r="AB189" s="64" t="e">
        <f>VLOOKUP(A189,Enforcements!$C$7:$K$19,8,0)</f>
        <v>#N/A</v>
      </c>
      <c r="AC189" s="60" t="e">
        <f>VLOOKUP(A189,Enforcements!$C$7:$E$19,3,0)</f>
        <v>#N/A</v>
      </c>
      <c r="AD189" s="61" t="str">
        <f t="shared" si="47"/>
        <v>1830-25</v>
      </c>
      <c r="AE189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89" s="88" t="str">
        <f t="shared" si="49"/>
        <v>"C:\Program Files (x86)\AstroGrep\AstroGrep.exe" /spath="%USERPROFILE%\AppData\Local\Temp\OnboardLogs" /stypes="app*4045*20161226*" /stext=" 03:.+((SYSTEM_STATE.+slice.+state.+changed )|(ment ac)|(multiple cpu faults)|(system.+state.+changed )|(\[timeout)|(PRM\|1\|D)|(kpr)|(kdp)|(\|lc)|(penalty))" /e /r /s</v>
      </c>
      <c r="AG189" s="1" t="str">
        <f t="shared" si="50"/>
        <v>NW</v>
      </c>
      <c r="AH189" s="92" t="str">
        <f t="shared" si="51"/>
        <v>"%USERPROFILE%\Documents\GitHub\eaglep3\Utilities\RefineRTDCRunTimes.py" --tripid 1830-25 --locoid 4045 --swversion DE.1.0.8.0 --startMP 300:58619 --initTime 2016-12-25T20:35:42 --startdatetime 2016-12-25T20:38:28 --delay 1 --endMP 204:743 --enddatetime 2016-12-25T20:54:01 --enforcementcount 0 &gt;&gt;C:\Users\stu\Documents\GitHub\eaglep3-reporting\EC\2016-12-25-refined-times.txt</v>
      </c>
      <c r="AI189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{"issue":{"subject":"","project_id":79,"tracker_id":40,"status_id":1,"priority_id":2,"assigned_to_id":23,"start_date":"2016-12-25","description":"","custom_fields":[{"id":1,"name":"Subdivision","value":"NW"},{"id":4,"name":"Milepost","value":"0.0743"},{"id":17,"name":"Train ID","value":"1830-25"},{"id":16,"name":"Locomotive ID","value":"4045"},{"id":130,"name":"Impact","value":""},{"id":150,"name":"Time of Event (Mountain Time)","value":"20:54:01"},{"id":151,"name":"Denver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641</v>
      </c>
      <c r="B190" s="7">
        <v>4046</v>
      </c>
      <c r="C190" s="22" t="s">
        <v>205</v>
      </c>
      <c r="D190" s="22" t="s">
        <v>439</v>
      </c>
      <c r="E190" s="13">
        <v>42729.887141203704</v>
      </c>
      <c r="F190" s="13">
        <v>42729.889791666668</v>
      </c>
      <c r="G190" s="7">
        <v>1</v>
      </c>
      <c r="H190" s="22" t="s">
        <v>723</v>
      </c>
      <c r="I190" s="13">
        <v>42729.899004629631</v>
      </c>
      <c r="J190" s="7">
        <v>0</v>
      </c>
      <c r="K190" s="109" t="str">
        <f t="shared" si="36"/>
        <v>4045/4046</v>
      </c>
      <c r="L190" s="22" t="str">
        <f>VLOOKUP(A190,'Trips&amp;Operators'!$C$1:$G$99999,5,FALSE)</f>
        <v>HELVIE ADAM</v>
      </c>
      <c r="M190" s="6">
        <f t="shared" si="37"/>
        <v>9.2129629629198462E-3</v>
      </c>
      <c r="N190" s="7">
        <f t="shared" si="38"/>
        <v>13.266666666604578</v>
      </c>
      <c r="O190" s="7"/>
      <c r="P190" s="7"/>
      <c r="Q190" s="23"/>
      <c r="R190" s="23"/>
      <c r="S190" s="35">
        <f t="shared" si="39"/>
        <v>1</v>
      </c>
      <c r="T190" s="50" t="str">
        <f t="shared" si="40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20:17:29-700',mode:absolute,to:'2016-12-25 22:34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0" s="52" t="str">
        <f t="shared" si="42"/>
        <v>N</v>
      </c>
      <c r="X190" s="177">
        <f t="shared" si="43"/>
        <v>1</v>
      </c>
      <c r="Y190" s="67">
        <f t="shared" si="44"/>
        <v>0.1032</v>
      </c>
      <c r="Z190" s="67">
        <f t="shared" si="45"/>
        <v>5.8949999999999996</v>
      </c>
      <c r="AA190" s="67">
        <f t="shared" si="46"/>
        <v>5.7917999999999994</v>
      </c>
      <c r="AB190" s="64" t="e">
        <f>VLOOKUP(A190,Enforcements!$C$7:$K$19,8,0)</f>
        <v>#N/A</v>
      </c>
      <c r="AC190" s="60" t="e">
        <f>VLOOKUP(A190,Enforcements!$C$7:$E$19,3,0)</f>
        <v>#N/A</v>
      </c>
      <c r="AD190" s="61" t="str">
        <f t="shared" si="47"/>
        <v>1831-25</v>
      </c>
      <c r="AE190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90" s="88" t="str">
        <f t="shared" si="49"/>
        <v>"C:\Program Files (x86)\AstroGrep\AstroGrep.exe" /spath="%USERPROFILE%\AppData\Local\Temp\OnboardLogs" /stypes="app*4046*20161226*" /stext=" 04:.+((SYSTEM_STATE.+slice.+state.+changed )|(ment ac)|(multiple cpu faults)|(system.+state.+changed )|(\[timeout)|(PRM\|1\|D)|(kpr)|(kdp)|(\|lc)|(penalty))" /e /r /s</v>
      </c>
      <c r="AG190" s="1" t="str">
        <f t="shared" si="50"/>
        <v>NW</v>
      </c>
      <c r="AH190" s="92" t="str">
        <f t="shared" si="51"/>
        <v>"%USERPROFILE%\Documents\GitHub\eaglep3\Utilities\RefineRTDCRunTimes.py" --tripid 1831-25 --locoid 4046 --swversion DE.1.0.8.0 --startMP 204:1032 --initTime 2016-12-25T21:17:29 --startdatetime 2016-12-25T21:21:18 --delay 1 --endMP 300:58950 --enddatetime 2016-12-25T21:34:34 --enforcementcount 0 &gt;&gt;C:\Users\stu\Documents\GitHub\eaglep3-reporting\EC\2016-12-25-refined-times.txt</v>
      </c>
      <c r="AI190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{"issue":{"subject":"","project_id":79,"tracker_id":40,"status_id":1,"priority_id":2,"assigned_to_id":23,"start_date":"2016-12-25","description":"","custom_fields":[{"id":1,"name":"Subdivision","value":"NW"},{"id":4,"name":"Milepost","value":"5.895"},{"id":17,"name":"Train ID","value":"1831-25"},{"id":16,"name":"Locomotive ID","value":"4046"},{"id":130,"name":"Impact","value":""},{"id":150,"name":"Time of Event (Mountain Time)","value":"21:34:34"},{"id":151,"name":"Denver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642</v>
      </c>
      <c r="B191" s="7">
        <v>4045</v>
      </c>
      <c r="C191" s="22" t="s">
        <v>205</v>
      </c>
      <c r="D191" s="22" t="s">
        <v>724</v>
      </c>
      <c r="E191" s="13">
        <v>42729.900289351855</v>
      </c>
      <c r="F191" s="13">
        <v>42729.902083333334</v>
      </c>
      <c r="G191" s="7">
        <v>1</v>
      </c>
      <c r="H191" s="22" t="s">
        <v>408</v>
      </c>
      <c r="I191" s="13">
        <v>42729.912881944445</v>
      </c>
      <c r="J191" s="7">
        <v>0</v>
      </c>
      <c r="K191" s="109" t="str">
        <f t="shared" si="36"/>
        <v>4045/4046</v>
      </c>
      <c r="L191" s="22" t="str">
        <f>VLOOKUP(A191,'Trips&amp;Operators'!$C$1:$G$99999,5,FALSE)</f>
        <v>HELVIE ADAM</v>
      </c>
      <c r="M191" s="6">
        <f t="shared" si="37"/>
        <v>1.0798611110658385E-2</v>
      </c>
      <c r="N191" s="7">
        <f t="shared" si="38"/>
        <v>15.549999999348074</v>
      </c>
      <c r="O191" s="7"/>
      <c r="P191" s="7"/>
      <c r="Q191" s="23"/>
      <c r="R191" s="23"/>
      <c r="S191" s="35">
        <f t="shared" si="39"/>
        <v>1</v>
      </c>
      <c r="T191" s="50" t="str">
        <f t="shared" si="40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20:36:25-700',mode:absolute,to:'2016-12-25 22:54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91" s="52" t="str">
        <f t="shared" si="42"/>
        <v>N</v>
      </c>
      <c r="X191" s="177">
        <f t="shared" si="43"/>
        <v>1</v>
      </c>
      <c r="Y191" s="67">
        <f t="shared" si="44"/>
        <v>5.8638000000000003</v>
      </c>
      <c r="Z191" s="67">
        <f t="shared" si="45"/>
        <v>7.5200000000000003E-2</v>
      </c>
      <c r="AA191" s="67">
        <f t="shared" si="46"/>
        <v>5.7886000000000006</v>
      </c>
      <c r="AB191" s="64" t="e">
        <f>VLOOKUP(A191,Enforcements!$C$7:$K$19,8,0)</f>
        <v>#N/A</v>
      </c>
      <c r="AC191" s="60" t="e">
        <f>VLOOKUP(A191,Enforcements!$C$7:$E$19,3,0)</f>
        <v>#N/A</v>
      </c>
      <c r="AD191" s="61" t="str">
        <f t="shared" si="47"/>
        <v>1832-25</v>
      </c>
      <c r="AE191" s="91" t="str">
        <f t="shared" si="48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191" s="88" t="str">
        <f t="shared" si="49"/>
        <v>"C:\Program Files (x86)\AstroGrep\AstroGrep.exe" /spath="%USERPROFILE%\AppData\Local\Temp\OnboardLogs" /stypes="app*4045*20161226*" /stext=" 04:.+((SYSTEM_STATE.+slice.+state.+changed )|(ment ac)|(multiple cpu faults)|(system.+state.+changed )|(\[timeout)|(PRM\|1\|D)|(kpr)|(kdp)|(\|lc)|(penalty))" /e /r /s</v>
      </c>
      <c r="AG191" s="1" t="str">
        <f t="shared" si="50"/>
        <v>NW</v>
      </c>
      <c r="AH191" s="92" t="str">
        <f t="shared" si="51"/>
        <v>"%USERPROFILE%\Documents\GitHub\eaglep3\Utilities\RefineRTDCRunTimes.py" --tripid 1832-25 --locoid 4045 --swversion DE.1.0.8.0 --startMP 300:58638 --initTime 2016-12-25T21:36:25 --startdatetime 2016-12-25T21:39:00 --delay 1 --endMP 204:752 --enddatetime 2016-12-25T21:54:33 --enforcementcount 0 &gt;&gt;C:\Users\stu\Documents\GitHub\eaglep3-reporting\EC\2016-12-25-refined-times.txt</v>
      </c>
      <c r="AI191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{"issue":{"subject":"","project_id":79,"tracker_id":40,"status_id":1,"priority_id":2,"assigned_to_id":23,"start_date":"2016-12-25","description":"","custom_fields":[{"id":1,"name":"Subdivision","value":"NW"},{"id":4,"name":"Milepost","value":"0.0752"},{"id":17,"name":"Train ID","value":"1832-25"},{"id":16,"name":"Locomotive ID","value":"4045"},{"id":130,"name":"Impact","value":""},{"id":150,"name":"Time of Event (Mountain Time)","value":"21:54:33"},{"id":151,"name":"Denver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645</v>
      </c>
      <c r="B192" s="7">
        <v>4046</v>
      </c>
      <c r="C192" s="22" t="s">
        <v>205</v>
      </c>
      <c r="D192" s="22" t="s">
        <v>706</v>
      </c>
      <c r="E192" s="13">
        <v>42729.928159722222</v>
      </c>
      <c r="F192" s="13">
        <v>42729.931527777779</v>
      </c>
      <c r="G192" s="7">
        <v>1</v>
      </c>
      <c r="H192" s="22" t="s">
        <v>725</v>
      </c>
      <c r="I192" s="13">
        <v>42729.941562499997</v>
      </c>
      <c r="J192" s="7">
        <v>0</v>
      </c>
      <c r="K192" s="109" t="str">
        <f t="shared" si="36"/>
        <v>4045/4046</v>
      </c>
      <c r="L192" s="22" t="str">
        <f>VLOOKUP(A192,'Trips&amp;Operators'!$C$1:$G$99999,5,FALSE)</f>
        <v>HELVIE ADAM</v>
      </c>
      <c r="M192" s="6">
        <f t="shared" si="37"/>
        <v>1.003472221782431E-2</v>
      </c>
      <c r="N192" s="7">
        <f t="shared" si="38"/>
        <v>14.449999993667006</v>
      </c>
      <c r="O192" s="7"/>
      <c r="P192" s="7"/>
      <c r="Q192" s="23"/>
      <c r="R192" s="23"/>
      <c r="S192" s="35">
        <f t="shared" si="39"/>
        <v>1</v>
      </c>
      <c r="T192" s="50" t="str">
        <f t="shared" si="40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21:16:33-700',mode:absolute,to:'2016-12-25 23:35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2" s="52" t="str">
        <f t="shared" si="42"/>
        <v>N</v>
      </c>
      <c r="X192" s="177">
        <f t="shared" si="43"/>
        <v>1</v>
      </c>
      <c r="Y192" s="67">
        <f t="shared" si="44"/>
        <v>0.10390000000000001</v>
      </c>
      <c r="Z192" s="67">
        <f t="shared" si="45"/>
        <v>5.8924000000000003</v>
      </c>
      <c r="AA192" s="67">
        <f t="shared" si="46"/>
        <v>5.7885</v>
      </c>
      <c r="AB192" s="64" t="e">
        <f>VLOOKUP(A192,Enforcements!$C$7:$K$19,8,0)</f>
        <v>#N/A</v>
      </c>
      <c r="AC192" s="60" t="e">
        <f>VLOOKUP(A192,Enforcements!$C$7:$E$19,3,0)</f>
        <v>#N/A</v>
      </c>
      <c r="AD192" s="61" t="str">
        <f t="shared" si="47"/>
        <v>1833-25</v>
      </c>
      <c r="AE192" s="91" t="str">
        <f t="shared" si="48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192" s="88" t="str">
        <f t="shared" si="49"/>
        <v>"C:\Program Files (x86)\AstroGrep\AstroGrep.exe" /spath="%USERPROFILE%\AppData\Local\Temp\OnboardLogs" /stypes="app*4046*20161226*" /stext=" 05:.+((SYSTEM_STATE.+slice.+state.+changed )|(ment ac)|(multiple cpu faults)|(system.+state.+changed )|(\[timeout)|(PRM\|1\|D)|(kpr)|(kdp)|(\|lc)|(penalty))" /e /r /s</v>
      </c>
      <c r="AG192" s="1" t="str">
        <f t="shared" si="50"/>
        <v>NW</v>
      </c>
      <c r="AH192" s="92" t="str">
        <f t="shared" si="51"/>
        <v>"%USERPROFILE%\Documents\GitHub\eaglep3\Utilities\RefineRTDCRunTimes.py" --tripid 1833-25 --locoid 4046 --swversion DE.1.0.8.0 --startMP 204:1039 --initTime 2016-12-25T22:16:33 --startdatetime 2016-12-25T22:21:24 --delay 1 --endMP 300:58924 --enddatetime 2016-12-25T22:35:51 --enforcementcount 0 &gt;&gt;C:\Users\stu\Documents\GitHub\eaglep3-reporting\EC\2016-12-25-refined-times.txt</v>
      </c>
      <c r="AI192" s="119" t="str">
        <f t="shared" si="52"/>
        <v>echo {"issue":{"subject":"","project_id":79,"tracker_id":40,"status_id":1,"priority_id":2,"assigned_to_id":23,"start_date":"2016-12-25","description":"","custom_fields":[{"id":1,"name":"Subdivision","value":"NW"},{"id":4,"name":"Milepost","value":"5.8924"},{"id":17,"name":"Train ID","value":"1833-25"},{"id":16,"name":"Locomotive ID","value":"4046"},{"id":130,"name":"Impact","value":""},{"id":150,"name":"Time of Event (Mountain Time)","value":"22:35:51"},{"id":151,"name":"Denver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91" x14ac:dyDescent="0.25">
      <c r="A193" s="37" t="s">
        <v>466</v>
      </c>
      <c r="B193" s="7">
        <v>4026</v>
      </c>
      <c r="C193" s="22" t="s">
        <v>205</v>
      </c>
      <c r="D193" s="22" t="s">
        <v>750</v>
      </c>
      <c r="E193" s="13">
        <v>42729.114965277775</v>
      </c>
      <c r="F193" s="13">
        <v>42729.117708333331</v>
      </c>
      <c r="G193" s="7">
        <v>3</v>
      </c>
      <c r="H193" s="22" t="s">
        <v>429</v>
      </c>
      <c r="I193" s="13">
        <v>42729.124062499999</v>
      </c>
      <c r="J193" s="7">
        <v>0</v>
      </c>
      <c r="K193" s="109" t="str">
        <f t="shared" si="36"/>
        <v>4025/4026</v>
      </c>
      <c r="L193" s="22" t="str">
        <f>VLOOKUP(A193,'Trips&amp;Operators'!$C$1:$G$99999,5,FALSE)</f>
        <v>OUN ZACK</v>
      </c>
      <c r="M193" s="6">
        <f t="shared" si="37"/>
        <v>6.3541666677338071E-3</v>
      </c>
      <c r="N193" s="7">
        <f t="shared" si="38"/>
        <v>9.1500000015366822</v>
      </c>
      <c r="O193" s="7"/>
      <c r="P193" s="7"/>
      <c r="Q193" s="23"/>
      <c r="R193" s="23"/>
      <c r="S193" s="35">
        <f t="shared" si="39"/>
        <v>1</v>
      </c>
      <c r="T193" s="50" t="str">
        <f t="shared" si="40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01:45:33-700',mode:absolute,to:'2016-12-25 03:58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193" s="52" t="str">
        <f t="shared" si="42"/>
        <v>Y</v>
      </c>
      <c r="X193" s="177">
        <f t="shared" si="43"/>
        <v>-1531</v>
      </c>
      <c r="Y193" s="67">
        <f t="shared" si="44"/>
        <v>2.3130999999999999</v>
      </c>
      <c r="Z193" s="67">
        <f t="shared" si="45"/>
        <v>1.34E-2</v>
      </c>
      <c r="AA193" s="67">
        <f t="shared" si="46"/>
        <v>2.2997000000000001</v>
      </c>
      <c r="AB193" s="64" t="e">
        <f>VLOOKUP(A193,Enforcements!$C$7:$K$19,8,0)</f>
        <v>#N/A</v>
      </c>
      <c r="AC193" s="60" t="e">
        <f>VLOOKUP(A193,Enforcements!$C$7:$E$19,3,0)</f>
        <v>#N/A</v>
      </c>
      <c r="AD193" s="61" t="str">
        <f t="shared" si="47"/>
        <v>0302-25</v>
      </c>
      <c r="AE193" s="91" t="str">
        <f t="shared" si="48"/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AF193" s="88" t="str">
        <f t="shared" si="49"/>
        <v>"C:\Program Files (x86)\AstroGrep\AstroGrep.exe" /spath="%USERPROFILE%\AppData\Local\Temp\OnboardLogs" /stypes="app*4026*20161225*" /stext=" 09:.+((SYSTEM_STATE.+slice.+state.+changed )|(ment ac)|(multiple cpu faults)|(system.+state.+changed )|(\[timeout)|(PRM\|1\|D)|(kpr)|(kdp)|(\|lc)|(penalty))" /e /r /s</v>
      </c>
      <c r="AG193" s="1" t="str">
        <f t="shared" si="50"/>
        <v>Other</v>
      </c>
      <c r="AH193" s="92" t="str">
        <f t="shared" si="51"/>
        <v>"%USERPROFILE%\Documents\GitHub\eaglep3\Utilities\RefineRTDCRunTimes.py" --tripid 302-25 --locoid 4026 --swversion DE.1.0.8.0 --startMP 300:23131 --initTime 2016-12-25T02:45:33 --startdatetime 2016-12-25T02:49:30 --delay 3 --endMP 204:134 --enddatetime 2016-12-25T02:58:39 --enforcementcount 0 &gt;&gt;C:\Users\stu\Documents\GitHub\eaglep3-reporting\EC\2016-12-25-refined-times.txt</v>
      </c>
      <c r="AI193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{"issue":{"subject":"","project_id":79,"tracker_id":40,"status_id":1,"priority_id":2,"assigned_to_id":23,"start_date":"2016-12-25","description":"","custom_fields":[{"id":1,"name":"Subdivision","value":"Other"},{"id":4,"name":"Milepost","value":"0.0134"},{"id":17,"name":"Train ID","value":"302-25"},{"id":16,"name":"Locomotive ID","value":"4026"},{"id":130,"name":"Impact","value":""},{"id":150,"name":"Time of Event (Mountain Time)","value":"02:58:39"},{"id":151,"name":"Denver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91" s="21" customFormat="1" x14ac:dyDescent="0.25">
      <c r="A194" s="37" t="s">
        <v>660</v>
      </c>
      <c r="B194" s="7">
        <v>4030</v>
      </c>
      <c r="C194" s="22" t="s">
        <v>205</v>
      </c>
      <c r="D194" s="22" t="s">
        <v>751</v>
      </c>
      <c r="E194" s="13">
        <v>42730.112199074072</v>
      </c>
      <c r="F194" s="13">
        <v>42730.114918981482</v>
      </c>
      <c r="G194" s="7">
        <v>3</v>
      </c>
      <c r="H194" s="22" t="s">
        <v>357</v>
      </c>
      <c r="I194" s="13">
        <v>42730.121099537035</v>
      </c>
      <c r="J194" s="7">
        <v>0</v>
      </c>
      <c r="K194" s="109" t="str">
        <f t="shared" si="36"/>
        <v>4029/4030</v>
      </c>
      <c r="L194" s="22" t="str">
        <f>VLOOKUP(A194,'Trips&amp;Operators'!$C$1:$G$99999,5,FALSE)</f>
        <v>OUN ZACK</v>
      </c>
      <c r="M194" s="6">
        <f t="shared" si="37"/>
        <v>6.1805555524188094E-3</v>
      </c>
      <c r="N194" s="7">
        <f t="shared" si="38"/>
        <v>8.8999999954830855</v>
      </c>
      <c r="O194" s="7"/>
      <c r="P194" s="7"/>
      <c r="Q194" s="23"/>
      <c r="R194" s="23"/>
      <c r="S194" s="35">
        <f t="shared" si="39"/>
        <v>1</v>
      </c>
      <c r="T194" s="50" t="str">
        <f t="shared" si="40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https://search-rtdc-monitor-bjffxe2xuh6vdkpspy63sjmuny.us-east-1.es.amazonaws.com/_plugin/kibana/#/discover/Steve-Slow-Train-Analysis-(2080s-and-2083s)?_g=(refreshInterval:(display:Off,section:0,value:0),time:(from:'2016-12-26 01:41:34-700',mode:absolute,to:'2016-12-26 03:54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4" s="52" t="str">
        <f t="shared" si="42"/>
        <v>Y</v>
      </c>
      <c r="X194" s="177">
        <f t="shared" si="43"/>
        <v>0</v>
      </c>
      <c r="Y194" s="67">
        <f t="shared" si="44"/>
        <v>2.3148</v>
      </c>
      <c r="Z194" s="67">
        <f t="shared" si="45"/>
        <v>1.41E-2</v>
      </c>
      <c r="AA194" s="67">
        <f t="shared" si="46"/>
        <v>2.3007</v>
      </c>
      <c r="AB194" s="64" t="e">
        <f>VLOOKUP(A194,Enforcements!$C$7:$K$19,8,0)</f>
        <v>#N/A</v>
      </c>
      <c r="AC194" s="60" t="e">
        <f>VLOOKUP(A194,Enforcements!$C$7:$E$19,3,0)</f>
        <v>#N/A</v>
      </c>
      <c r="AD194" s="61" t="str">
        <f t="shared" si="47"/>
        <v>0302-26</v>
      </c>
      <c r="AE194" s="91" t="str">
        <f t="shared" si="48"/>
        <v>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 &amp; aws s3 cp s3://rtdc.mdm.uploadarchive.raw/RTDC4030/ "%USERPROFILE%\AppData\Local\Temp\OnboardLogs"\RTDC4030\2016-12-27 --exclude "*" --recursive --include "*20161227*" &amp; "%USERPROFILE%\Documents\GitHub\mrs-test-scripts\Headless Mode &amp; Sideloading\WalkAndUnGZ.bat" "%USERPROFILE%\AppData\Local\Temp\OnboardLogs"\RTDC4030\2016-12-27</v>
      </c>
      <c r="AF194" s="88" t="str">
        <f t="shared" si="49"/>
        <v>"C:\Program Files (x86)\AstroGrep\AstroGrep.exe" /spath="%USERPROFILE%\AppData\Local\Temp\OnboardLogs" /stypes="app*4030*20161226*" /stext=" 09:.+((SYSTEM_STATE.+slice.+state.+changed )|(ment ac)|(multiple cpu faults)|(system.+state.+changed )|(\[timeout)|(PRM\|1\|D)|(kpr)|(kdp)|(\|lc)|(penalty))" /e /r /s</v>
      </c>
      <c r="AG194" s="1" t="str">
        <f t="shared" si="50"/>
        <v>Other</v>
      </c>
      <c r="AH194" s="92" t="str">
        <f t="shared" si="51"/>
        <v>"%USERPROFILE%\Documents\GitHub\eaglep3\Utilities\RefineRTDCRunTimes.py" --tripid 302-26 --locoid 4030 --swversion DE.1.0.8.0 --startMP 300:23148 --initTime 2016-12-26T02:41:34 --startdatetime 2016-12-26T02:45:29 --delay 3 --endMP 204:141 --enddatetime 2016-12-26T02:54:23 --enforcementcount 0 &gt;&gt;C:\Users\stu\Documents\GitHub\eaglep3-reporting\EC\2016-12-25-refined-times.txt</v>
      </c>
      <c r="AI194" s="119" t="str">
        <f t="shared" si="52"/>
        <v>echo {"issue":{"subject":"","project_id":79,"tracker_id":40,"status_id":1,"priority_id":2,"assigned_to_id":23,"start_date":"2016-12-26","description":"","custom_fields":[{"id":1,"name":"Subdivision","value":"Other"},{"id":4,"name":"Milepost","value":"0.0141"},{"id":17,"name":"Train ID","value":"302-26"},{"id":16,"name":"Locomotive ID","value":"4030"},{"id":130,"name":"Impact","value":""},{"id":150,"name":"Time of Event (Mountain Time)","value":"02:54:23"},{"id":151,"name":"Denver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x14ac:dyDescent="0.25">
      <c r="A195" s="37" t="s">
        <v>625</v>
      </c>
      <c r="B195" s="7">
        <v>4027</v>
      </c>
      <c r="C195" s="22" t="s">
        <v>205</v>
      </c>
      <c r="D195" s="22" t="s">
        <v>752</v>
      </c>
      <c r="E195" s="13">
        <v>42729.776898148149</v>
      </c>
      <c r="F195" s="13">
        <v>42729.778668981482</v>
      </c>
      <c r="G195" s="7">
        <v>1</v>
      </c>
      <c r="H195" s="22" t="s">
        <v>428</v>
      </c>
      <c r="I195" s="13">
        <v>42729.783171296294</v>
      </c>
      <c r="J195" s="7">
        <v>0</v>
      </c>
      <c r="K195" s="109" t="str">
        <f t="shared" si="36"/>
        <v>4027/4028</v>
      </c>
      <c r="L195" s="22" t="str">
        <f>VLOOKUP(A195,'Trips&amp;Operators'!$C$1:$G$99999,5,FALSE)</f>
        <v>BRUDER RICHARD</v>
      </c>
      <c r="M195" s="6">
        <f t="shared" si="37"/>
        <v>4.5023148122709244E-3</v>
      </c>
      <c r="N195" s="7">
        <f t="shared" si="38"/>
        <v>6.4833333296701312</v>
      </c>
      <c r="O195" s="7"/>
      <c r="P195" s="7"/>
      <c r="Q195" s="23"/>
      <c r="R195" s="23"/>
      <c r="S195" s="35">
        <f t="shared" si="39"/>
        <v>1</v>
      </c>
      <c r="T195" s="50" t="str">
        <f t="shared" si="40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17:38:44-700',mode:absolute,to:'2016-12-25 19:47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4027%22')),sort:!(Time,asc))</v>
      </c>
      <c r="W195" s="52" t="str">
        <f t="shared" si="42"/>
        <v>Y</v>
      </c>
      <c r="X195" s="177">
        <f t="shared" si="43"/>
        <v>1</v>
      </c>
      <c r="Y195" s="67">
        <f t="shared" si="44"/>
        <v>3.85E-2</v>
      </c>
      <c r="Z195" s="67">
        <f t="shared" si="45"/>
        <v>2.3294999999999999</v>
      </c>
      <c r="AA195" s="67">
        <f t="shared" si="46"/>
        <v>2.2909999999999999</v>
      </c>
      <c r="AB195" s="64" t="e">
        <f>VLOOKUP(A195,Enforcements!$C$7:$K$19,8,0)</f>
        <v>#N/A</v>
      </c>
      <c r="AC195" s="60" t="e">
        <f>VLOOKUP(A195,Enforcements!$C$7:$E$19,3,0)</f>
        <v>#N/A</v>
      </c>
      <c r="AD195" s="61" t="str">
        <f t="shared" si="47"/>
        <v>0303-25</v>
      </c>
      <c r="AE195" s="91" t="str">
        <f t="shared" si="48"/>
        <v>aws s3 cp s3://rtdc.mdm.uploadarchive.raw/RTDC4027/ "%USERPROFILE%\AppData\Local\Temp\OnboardLogs"\RTDC4027\2016-12-25 --exclude "*" --recursive --include "*20161225*" &amp; "%USERPROFILE%\Documents\GitHub\mrs-test-scripts\Headless Mode &amp; Sideloading\WalkAndUnGZ.bat" "%USERPROFILE%\AppData\Local\Temp\OnboardLogs"\RTDC4027\2016-12-25 &amp; aws s3 cp s3://rtdc.mdm.uploadarchive.raw/RTDC4027/ "%USERPROFILE%\AppData\Local\Temp\OnboardLogs"\RTDC4027\2016-12-26 --exclude "*" --recursive --include "*20161226*" &amp; "%USERPROFILE%\Documents\GitHub\mrs-test-scripts\Headless Mode &amp; Sideloading\WalkAndUnGZ.bat" "%USERPROFILE%\AppData\Local\Temp\OnboardLogs"\RTDC4027\2016-12-26</v>
      </c>
      <c r="AF195" s="88" t="str">
        <f t="shared" si="49"/>
        <v>"C:\Program Files (x86)\AstroGrep\AstroGrep.exe" /spath="%USERPROFILE%\AppData\Local\Temp\OnboardLogs" /stypes="app*4027*20161226*" /stext=" 01:.+((SYSTEM_STATE.+slice.+state.+changed )|(ment ac)|(multiple cpu faults)|(system.+state.+changed )|(\[timeout)|(PRM\|1\|D)|(kpr)|(kdp)|(\|lc)|(penalty))" /e /r /s</v>
      </c>
      <c r="AG195" s="1" t="str">
        <f t="shared" si="50"/>
        <v>Other</v>
      </c>
      <c r="AH195" s="92" t="str">
        <f t="shared" si="51"/>
        <v>"%USERPROFILE%\Documents\GitHub\eaglep3\Utilities\RefineRTDCRunTimes.py" --tripid 303-25 --locoid 4027 --swversion DE.1.0.8.0 --startMP 204:385 --initTime 2016-12-25T18:38:44 --startdatetime 2016-12-25T18:41:17 --delay 1 --endMP 300:23295 --enddatetime 2016-12-25T18:47:46 --enforcementcount 0 &gt;&gt;C:\Users\stu\Documents\GitHub\eaglep3-reporting\EC\2016-12-25-refined-times.txt</v>
      </c>
      <c r="AI195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{"issue":{"subject":"","project_id":79,"tracker_id":40,"status_id":1,"priority_id":2,"assigned_to_id":23,"start_date":"2016-12-25","description":"","custom_fields":[{"id":1,"name":"Subdivision","value":"Other"},{"id":4,"name":"Milepost","value":"2.3295"},{"id":17,"name":"Train ID","value":"303-25"},{"id":16,"name":"Locomotive ID","value":"4027"},{"id":130,"name":"Impact","value":""},{"id":150,"name":"Time of Event (Mountain Time)","value":"18:47:46"},{"id":151,"name":"Denver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91" s="21" customFormat="1" x14ac:dyDescent="0.25">
      <c r="A196" s="37" t="s">
        <v>468</v>
      </c>
      <c r="B196" s="7">
        <v>4032</v>
      </c>
      <c r="C196" s="22" t="s">
        <v>205</v>
      </c>
      <c r="D196" s="22" t="s">
        <v>753</v>
      </c>
      <c r="E196" s="13">
        <v>42729.135115740741</v>
      </c>
      <c r="F196" s="13">
        <v>42729.136597222219</v>
      </c>
      <c r="G196" s="7">
        <v>1</v>
      </c>
      <c r="H196" s="22" t="s">
        <v>754</v>
      </c>
      <c r="I196" s="13">
        <v>42729.143287037034</v>
      </c>
      <c r="J196" s="7">
        <v>0</v>
      </c>
      <c r="K196" s="109" t="str">
        <f t="shared" si="36"/>
        <v>4031/4032</v>
      </c>
      <c r="L196" s="22" t="str">
        <f>VLOOKUP(A196,'Trips&amp;Operators'!$C$1:$G$99999,5,FALSE)</f>
        <v>HAITHCOX MICHAEL</v>
      </c>
      <c r="M196" s="6">
        <f t="shared" si="37"/>
        <v>6.6898148143081926E-3</v>
      </c>
      <c r="N196" s="7">
        <f t="shared" si="38"/>
        <v>9.6333333326037973</v>
      </c>
      <c r="O196" s="7"/>
      <c r="P196" s="7"/>
      <c r="Q196" s="23"/>
      <c r="R196" s="23"/>
      <c r="S196" s="35">
        <f t="shared" si="39"/>
        <v>1</v>
      </c>
      <c r="T196" s="50" t="str">
        <f t="shared" si="40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02:14:34-700',mode:absolute,to:'2016-12-25 04:26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6" s="52" t="str">
        <f t="shared" si="42"/>
        <v>Y</v>
      </c>
      <c r="X196" s="177">
        <f t="shared" si="43"/>
        <v>1</v>
      </c>
      <c r="Y196" s="67">
        <f t="shared" si="44"/>
        <v>2.3067000000000002</v>
      </c>
      <c r="Z196" s="67">
        <f t="shared" si="45"/>
        <v>9.9000000000000008E-3</v>
      </c>
      <c r="AA196" s="67">
        <f t="shared" si="46"/>
        <v>2.2968000000000002</v>
      </c>
      <c r="AB196" s="64" t="e">
        <f>VLOOKUP(A196,Enforcements!$C$7:$K$19,8,0)</f>
        <v>#N/A</v>
      </c>
      <c r="AC196" s="60" t="e">
        <f>VLOOKUP(A196,Enforcements!$C$7:$E$19,3,0)</f>
        <v>#N/A</v>
      </c>
      <c r="AD196" s="61" t="str">
        <f t="shared" si="47"/>
        <v>0304-25</v>
      </c>
      <c r="AE196" s="91" t="str">
        <f t="shared" si="48"/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AF196" s="88" t="str">
        <f t="shared" si="49"/>
        <v>"C:\Program Files (x86)\AstroGrep\AstroGrep.exe" /spath="%USERPROFILE%\AppData\Local\Temp\OnboardLogs" /stypes="app*4032*20161225*" /stext=" 10:.+((SYSTEM_STATE.+slice.+state.+changed )|(ment ac)|(multiple cpu faults)|(system.+state.+changed )|(\[timeout)|(PRM\|1\|D)|(kpr)|(kdp)|(\|lc)|(penalty))" /e /r /s</v>
      </c>
      <c r="AG196" s="1" t="str">
        <f t="shared" si="50"/>
        <v>Other</v>
      </c>
      <c r="AH196" s="92" t="str">
        <f t="shared" si="51"/>
        <v>"%USERPROFILE%\Documents\GitHub\eaglep3\Utilities\RefineRTDCRunTimes.py" --tripid 304-25 --locoid 4032 --swversion DE.1.0.8.0 --startMP 300:23067 --initTime 2016-12-25T03:14:34 --startdatetime 2016-12-25T03:16:42 --delay 1 --endMP 204:99 --enddatetime 2016-12-25T03:26:20 --enforcementcount 0 &gt;&gt;C:\Users\stu\Documents\GitHub\eaglep3-reporting\EC\2016-12-25-refined-times.txt</v>
      </c>
      <c r="AI196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{"issue":{"subject":"","project_id":79,"tracker_id":40,"status_id":1,"priority_id":2,"assigned_to_id":23,"start_date":"2016-12-25","description":"","custom_fields":[{"id":1,"name":"Subdivision","value":"Other"},{"id":4,"name":"Milepost","value":"0.0099"},{"id":17,"name":"Train ID","value":"304-25"},{"id":16,"name":"Locomotive ID","value":"4032"},{"id":130,"name":"Impact","value":""},{"id":150,"name":"Time of Event (Mountain Time)","value":"03:26:20"},{"id":151,"name":"Denver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7" t="s">
        <v>628</v>
      </c>
      <c r="B197" s="7">
        <v>4025</v>
      </c>
      <c r="C197" s="22" t="s">
        <v>205</v>
      </c>
      <c r="D197" s="22" t="s">
        <v>194</v>
      </c>
      <c r="E197" s="13">
        <v>42729.797106481485</v>
      </c>
      <c r="F197" s="13">
        <v>25568.708333333332</v>
      </c>
      <c r="G197" s="7">
        <v>1</v>
      </c>
      <c r="H197" s="22" t="s">
        <v>428</v>
      </c>
      <c r="I197" s="13">
        <v>25568.708333333332</v>
      </c>
      <c r="J197" s="7">
        <v>0</v>
      </c>
      <c r="K197" s="109" t="str">
        <f t="shared" si="36"/>
        <v>4025/4026</v>
      </c>
      <c r="L197" s="22" t="str">
        <f>VLOOKUP(A197,'Trips&amp;Operators'!$C$1:$G$99999,5,FALSE)</f>
        <v>CRAYTON QUNTRELL</v>
      </c>
      <c r="M197" s="6">
        <f t="shared" si="37"/>
        <v>0</v>
      </c>
      <c r="N197" s="7">
        <f t="shared" si="38"/>
        <v>0</v>
      </c>
      <c r="O197" s="7"/>
      <c r="P197" s="7"/>
      <c r="Q197" s="23"/>
      <c r="R197" s="23"/>
      <c r="S197" s="35">
        <f t="shared" si="39"/>
        <v>1</v>
      </c>
      <c r="T197" s="50" t="str">
        <f t="shared" si="40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18:07:50-700',mode:absolute,to:'1969-12-31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97" s="52" t="str">
        <f t="shared" si="42"/>
        <v>Y</v>
      </c>
      <c r="X197" s="177">
        <f t="shared" si="43"/>
        <v>1</v>
      </c>
      <c r="Y197" s="67">
        <f t="shared" si="44"/>
        <v>4.5100000000000001E-2</v>
      </c>
      <c r="Z197" s="67">
        <f t="shared" si="45"/>
        <v>2.3294999999999999</v>
      </c>
      <c r="AA197" s="67">
        <f t="shared" si="46"/>
        <v>2.2843999999999998</v>
      </c>
      <c r="AB197" s="64" t="e">
        <f>VLOOKUP(A197,Enforcements!$C$7:$K$19,8,0)</f>
        <v>#N/A</v>
      </c>
      <c r="AC197" s="60" t="e">
        <f>VLOOKUP(A197,Enforcements!$C$7:$E$19,3,0)</f>
        <v>#N/A</v>
      </c>
      <c r="AD197" s="61" t="str">
        <f t="shared" si="47"/>
        <v>0305-25</v>
      </c>
      <c r="AE197" s="91" t="str">
        <f t="shared" si="48"/>
        <v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v>
      </c>
      <c r="AF197" s="88" t="str">
        <f t="shared" si="49"/>
        <v>"C:\Program Files (x86)\AstroGrep\AstroGrep.exe" /spath="%USERPROFILE%\AppData\Local\Temp\OnboardLogs" /stypes="app*4025*19700101*" /stext=" 00:.+((SYSTEM_STATE.+slice.+state.+changed )|(ment ac)|(multiple cpu faults)|(system.+state.+changed )|(\[timeout)|(PRM\|1\|D)|(kpr)|(kdp)|(\|lc)|(penalty))" /e /r /s</v>
      </c>
      <c r="AG197" s="1" t="str">
        <f t="shared" si="50"/>
        <v>Other</v>
      </c>
      <c r="AH197" s="92" t="str">
        <f t="shared" si="51"/>
        <v>"%USERPROFILE%\Documents\GitHub\eaglep3\Utilities\RefineRTDCRunTimes.py" --tripid 305-25 --locoid 4025 --swversion DE.1.0.8.0 --startMP 204:451 --initTime 2016-12-25T19:07:50 --startdatetime 1969-12-31T17:00:00 --delay 1 --endMP 300:23295 --enddatetime 1969-12-31T17:00:00 --enforcementcount 0 &gt;&gt;C:\Users\stu\Documents\GitHub\eaglep3-reporting\EC\2016-12-25-refined-times.txt</v>
      </c>
      <c r="AI197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{"issue":{"subject":"","project_id":79,"tracker_id":40,"status_id":1,"priority_id":2,"assigned_to_id":23,"start_date":"1969-12-31","description":"","custom_fields":[{"id":1,"name":"Subdivision","value":"Other"},{"id":4,"name":"Milepost","value":"2.3295"},{"id":17,"name":"Train ID","value":"305-25"},{"id":16,"name":"Locomotive ID","value":"4025"},{"id":130,"name":"Impact","value":""},{"id":150,"name":"Time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91" x14ac:dyDescent="0.25">
      <c r="A198" s="37" t="s">
        <v>472</v>
      </c>
      <c r="B198" s="7">
        <v>4030</v>
      </c>
      <c r="C198" s="22" t="s">
        <v>205</v>
      </c>
      <c r="D198" s="22" t="s">
        <v>755</v>
      </c>
      <c r="E198" s="13">
        <v>42729.163495370369</v>
      </c>
      <c r="F198" s="13">
        <v>42729.164629629631</v>
      </c>
      <c r="G198" s="7">
        <v>1</v>
      </c>
      <c r="H198" s="22" t="s">
        <v>350</v>
      </c>
      <c r="I198" s="13">
        <v>42729.170914351853</v>
      </c>
      <c r="J198" s="7">
        <v>0</v>
      </c>
      <c r="K198" s="109" t="str">
        <f t="shared" si="36"/>
        <v>4029/4030</v>
      </c>
      <c r="L198" s="22" t="str">
        <f>VLOOKUP(A198,'Trips&amp;Operators'!$C$1:$G$99999,5,FALSE)</f>
        <v>ISHMAEL JOSEPH</v>
      </c>
      <c r="M198" s="6">
        <f t="shared" si="37"/>
        <v>6.284722221607808E-3</v>
      </c>
      <c r="N198" s="7">
        <f t="shared" si="38"/>
        <v>9.0499999991152436</v>
      </c>
      <c r="O198" s="7"/>
      <c r="P198" s="7"/>
      <c r="Q198" s="23"/>
      <c r="R198" s="23"/>
      <c r="S198" s="35">
        <f t="shared" si="39"/>
        <v>1</v>
      </c>
      <c r="T198" s="50" t="str">
        <f t="shared" si="40"/>
        <v>Southbound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02:55:26-700',mode:absolute,to:'2016-12-25 05:06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98" s="52" t="str">
        <f t="shared" si="42"/>
        <v>Y</v>
      </c>
      <c r="X198" s="177">
        <f t="shared" si="43"/>
        <v>1</v>
      </c>
      <c r="Y198" s="67">
        <f t="shared" si="44"/>
        <v>2.3108</v>
      </c>
      <c r="Z198" s="67">
        <f t="shared" si="45"/>
        <v>1.5800000000000002E-2</v>
      </c>
      <c r="AA198" s="67">
        <f t="shared" si="46"/>
        <v>2.2949999999999999</v>
      </c>
      <c r="AB198" s="64" t="e">
        <f>VLOOKUP(A198,Enforcements!$C$7:$K$19,8,0)</f>
        <v>#N/A</v>
      </c>
      <c r="AC198" s="60" t="e">
        <f>VLOOKUP(A198,Enforcements!$C$7:$E$19,3,0)</f>
        <v>#N/A</v>
      </c>
      <c r="AD198" s="61" t="str">
        <f t="shared" si="47"/>
        <v>0306-25</v>
      </c>
      <c r="AE198" s="91" t="str">
        <f t="shared" si="48"/>
        <v>aws s3 cp s3://rtdc.mdm.uploadarchive.raw/RTDC4030/ "%USERPROFILE%\AppData\Local\Temp\OnboardLogs"\RTDC4030\2016-12-25 --exclude "*" --recursive --include "*20161225*" &amp; "%USERPROFILE%\Documents\GitHub\mrs-test-scripts\Headless Mode &amp; Sideloading\WalkAndUnGZ.bat" "%USERPROFILE%\AppData\Local\Temp\OnboardLogs"\RTDC4030\2016-12-25 &amp; aws s3 cp s3://rtdc.mdm.uploadarchive.raw/RTDC4030/ "%USERPROFILE%\AppData\Local\Temp\OnboardLogs"\RTDC4030\2016-12-26 --exclude "*" --recursive --include "*20161226*" &amp; "%USERPROFILE%\Documents\GitHub\mrs-test-scripts\Headless Mode &amp; Sideloading\WalkAndUnGZ.bat" "%USERPROFILE%\AppData\Local\Temp\OnboardLogs"\RTDC4030\2016-12-26</v>
      </c>
      <c r="AF198" s="88" t="str">
        <f t="shared" si="49"/>
        <v>"C:\Program Files (x86)\AstroGrep\AstroGrep.exe" /spath="%USERPROFILE%\AppData\Local\Temp\OnboardLogs" /stypes="app*4030*20161225*" /stext=" 11:.+((SYSTEM_STATE.+slice.+state.+changed )|(ment ac)|(multiple cpu faults)|(system.+state.+changed )|(\[timeout)|(PRM\|1\|D)|(kpr)|(kdp)|(\|lc)|(penalty))" /e /r /s</v>
      </c>
      <c r="AG198" s="1" t="str">
        <f t="shared" si="50"/>
        <v>Other</v>
      </c>
      <c r="AH198" s="92" t="str">
        <f t="shared" si="51"/>
        <v>"%USERPROFILE%\Documents\GitHub\eaglep3\Utilities\RefineRTDCRunTimes.py" --tripid 306-25 --locoid 4030 --swversion DE.1.0.8.0 --startMP 300:23108 --initTime 2016-12-25T03:55:26 --startdatetime 2016-12-25T03:57:04 --delay 1 --endMP 204:158 --enddatetime 2016-12-25T04:06:07 --enforcementcount 0 &gt;&gt;C:\Users\stu\Documents\GitHub\eaglep3-reporting\EC\2016-12-25-refined-times.txt</v>
      </c>
      <c r="AI198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{"issue":{"subject":"","project_id":79,"tracker_id":40,"status_id":1,"priority_id":2,"assigned_to_id":23,"start_date":"2016-12-25","description":"","custom_fields":[{"id":1,"name":"Subdivision","value":"Other"},{"id":4,"name":"Milepost","value":"0.0158"},{"id":17,"name":"Train ID","value":"306-25"},{"id":16,"name":"Locomotive ID","value":"4030"},{"id":130,"name":"Impact","value":""},{"id":150,"name":"Time of Event (Mountain Time)","value":"04:06:07"},{"id":151,"name":"Denver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91" x14ac:dyDescent="0.25">
      <c r="A199" s="37" t="s">
        <v>633</v>
      </c>
      <c r="B199" s="7">
        <v>4031</v>
      </c>
      <c r="C199" s="22" t="s">
        <v>205</v>
      </c>
      <c r="D199" s="22" t="s">
        <v>756</v>
      </c>
      <c r="E199" s="13">
        <v>42729.818657407406</v>
      </c>
      <c r="F199" s="13">
        <v>25568.708333333332</v>
      </c>
      <c r="G199" s="7">
        <v>1</v>
      </c>
      <c r="H199" s="22" t="s">
        <v>757</v>
      </c>
      <c r="I199" s="13">
        <v>25568.708333333332</v>
      </c>
      <c r="J199" s="7">
        <v>0</v>
      </c>
      <c r="K199" s="109" t="str">
        <f t="shared" si="36"/>
        <v>4031/4032</v>
      </c>
      <c r="L199" s="22" t="str">
        <f>VLOOKUP(A199,'Trips&amp;Operators'!$C$1:$G$99999,5,FALSE)</f>
        <v>KILLION DAVID</v>
      </c>
      <c r="M199" s="6">
        <f t="shared" si="37"/>
        <v>0</v>
      </c>
      <c r="N199" s="7">
        <f t="shared" si="38"/>
        <v>0</v>
      </c>
      <c r="O199" s="7"/>
      <c r="P199" s="7"/>
      <c r="Q199" s="23"/>
      <c r="R199" s="23"/>
      <c r="S199" s="35">
        <f t="shared" si="39"/>
        <v>1</v>
      </c>
      <c r="T199" s="50" t="str">
        <f t="shared" si="40"/>
        <v>NorthBound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18:38:52-700',mode:absolute,to:'1969-12-31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9" s="52" t="str">
        <f t="shared" si="42"/>
        <v>Y</v>
      </c>
      <c r="X199" s="177">
        <f t="shared" si="43"/>
        <v>1</v>
      </c>
      <c r="Y199" s="67">
        <f t="shared" si="44"/>
        <v>3.4700000000000002E-2</v>
      </c>
      <c r="Z199" s="67">
        <f t="shared" si="45"/>
        <v>2.3346</v>
      </c>
      <c r="AA199" s="67">
        <f t="shared" si="46"/>
        <v>2.2999000000000001</v>
      </c>
      <c r="AB199" s="64" t="e">
        <f>VLOOKUP(A199,Enforcements!$C$7:$K$19,8,0)</f>
        <v>#N/A</v>
      </c>
      <c r="AC199" s="60" t="e">
        <f>VLOOKUP(A199,Enforcements!$C$7:$E$19,3,0)</f>
        <v>#N/A</v>
      </c>
      <c r="AD199" s="61" t="str">
        <f t="shared" si="47"/>
        <v>0307-25</v>
      </c>
      <c r="AE199" s="91" t="str">
        <f t="shared" si="48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9" s="88" t="str">
        <f t="shared" si="49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199" s="1" t="str">
        <f t="shared" si="50"/>
        <v>Other</v>
      </c>
      <c r="AH199" s="92" t="str">
        <f t="shared" si="51"/>
        <v>"%USERPROFILE%\Documents\GitHub\eaglep3\Utilities\RefineRTDCRunTimes.py" --tripid 307-25 --locoid 4031 --swversion DE.1.0.8.0 --startMP 204:347 --initTime 2016-12-25T19:38:52 --startdatetime 1969-12-31T17:00:00 --delay 1 --endMP 300:23346 --enddatetime 1969-12-31T17:00:00 --enforcementcount 0 &gt;&gt;C:\Users\stu\Documents\GitHub\eaglep3-reporting\EC\2016-12-25-refined-times.txt</v>
      </c>
      <c r="AI199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ID","value":"307-25"},{"id":16,"name":"Locomotive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91" x14ac:dyDescent="0.25">
      <c r="A200" s="37" t="s">
        <v>475</v>
      </c>
      <c r="B200" s="7">
        <v>4017</v>
      </c>
      <c r="C200" s="22" t="s">
        <v>205</v>
      </c>
      <c r="D200" s="22" t="s">
        <v>758</v>
      </c>
      <c r="E200" s="13">
        <v>42729.176574074074</v>
      </c>
      <c r="F200" s="13">
        <v>42729.177824074075</v>
      </c>
      <c r="G200" s="7">
        <v>1</v>
      </c>
      <c r="H200" s="22" t="s">
        <v>262</v>
      </c>
      <c r="I200" s="13">
        <v>42729.183993055558</v>
      </c>
      <c r="J200" s="7">
        <v>0</v>
      </c>
      <c r="K200" s="109" t="str">
        <f t="shared" si="36"/>
        <v>4017/4018</v>
      </c>
      <c r="L200" s="22" t="str">
        <f>VLOOKUP(A200,'Trips&amp;Operators'!$C$1:$G$99999,5,FALSE)</f>
        <v>DAVIS WENDY</v>
      </c>
      <c r="M200" s="6">
        <f t="shared" si="37"/>
        <v>6.1689814829151146E-3</v>
      </c>
      <c r="N200" s="7">
        <f t="shared" si="38"/>
        <v>8.883333335397765</v>
      </c>
      <c r="O200" s="7"/>
      <c r="P200" s="7"/>
      <c r="Q200" s="23"/>
      <c r="R200" s="23"/>
      <c r="S200" s="35">
        <f t="shared" si="39"/>
        <v>1</v>
      </c>
      <c r="T200" s="50" t="str">
        <f t="shared" si="40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03:14:16-700',mode:absolute,to:'2016-12-25 05:24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0" s="52" t="str">
        <f t="shared" si="42"/>
        <v>Y</v>
      </c>
      <c r="X200" s="177">
        <f t="shared" si="43"/>
        <v>1</v>
      </c>
      <c r="Y200" s="67">
        <f t="shared" si="44"/>
        <v>2.3378999999999999</v>
      </c>
      <c r="Z200" s="67">
        <f t="shared" si="45"/>
        <v>1.3899999999999999E-2</v>
      </c>
      <c r="AA200" s="67">
        <f t="shared" si="46"/>
        <v>2.3239999999999998</v>
      </c>
      <c r="AB200" s="64" t="e">
        <f>VLOOKUP(A200,Enforcements!$C$7:$K$19,8,0)</f>
        <v>#N/A</v>
      </c>
      <c r="AC200" s="60" t="e">
        <f>VLOOKUP(A200,Enforcements!$C$7:$E$19,3,0)</f>
        <v>#N/A</v>
      </c>
      <c r="AD200" s="61" t="str">
        <f t="shared" si="47"/>
        <v>0308-25</v>
      </c>
      <c r="AE200" s="91" t="str">
        <f t="shared" si="48"/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AF200" s="88" t="str">
        <f t="shared" si="49"/>
        <v>"C:\Program Files (x86)\AstroGrep\AstroGrep.exe" /spath="%USERPROFILE%\AppData\Local\Temp\OnboardLogs" /stypes="app*4017*20161225*" /stext=" 11:.+((SYSTEM_STATE.+slice.+state.+changed )|(ment ac)|(multiple cpu faults)|(system.+state.+changed )|(\[timeout)|(PRM\|1\|D)|(kpr)|(kdp)|(\|lc)|(penalty))" /e /r /s</v>
      </c>
      <c r="AG200" s="1" t="str">
        <f t="shared" si="50"/>
        <v>Other</v>
      </c>
      <c r="AH200" s="92" t="str">
        <f t="shared" si="51"/>
        <v>"%USERPROFILE%\Documents\GitHub\eaglep3\Utilities\RefineRTDCRunTimes.py" --tripid 308-25 --locoid 4017 --swversion DE.1.0.8.0 --startMP 300:23379 --initTime 2016-12-25T04:14:16 --startdatetime 2016-12-25T04:16:04 --delay 1 --endMP 204:139 --enddatetime 2016-12-25T04:24:57 --enforcementcount 0 &gt;&gt;C:\Users\stu\Documents\GitHub\eaglep3-reporting\EC\2016-12-25-refined-times.txt</v>
      </c>
      <c r="AI200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{"issue":{"subject":"","project_id":79,"tracker_id":40,"status_id":1,"priority_id":2,"assigned_to_id":23,"start_date":"2016-12-25","description":"","custom_fields":[{"id":1,"name":"Subdivision","value":"Other"},{"id":4,"name":"Milepost","value":"0.0139"},{"id":17,"name":"Train ID","value":"308-25"},{"id":16,"name":"Locomotive ID","value":"4017"},{"id":130,"name":"Impact","value":""},{"id":150,"name":"Time of Event (Mountain Time)","value":"04:24:57"},{"id":151,"name":"Denver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91" x14ac:dyDescent="0.25">
      <c r="A201" s="37" t="s">
        <v>656</v>
      </c>
      <c r="B201" s="7">
        <v>4009</v>
      </c>
      <c r="C201" s="22" t="s">
        <v>205</v>
      </c>
      <c r="D201" s="22" t="s">
        <v>759</v>
      </c>
      <c r="E201" s="13">
        <v>42730.030358796299</v>
      </c>
      <c r="F201" s="13">
        <v>42730.031412037039</v>
      </c>
      <c r="G201" s="7">
        <v>1</v>
      </c>
      <c r="H201" s="22" t="s">
        <v>760</v>
      </c>
      <c r="I201" s="13">
        <v>42730.036747685182</v>
      </c>
      <c r="J201" s="7">
        <v>0</v>
      </c>
      <c r="K201" s="109" t="str">
        <f t="shared" si="36"/>
        <v>4009/4010</v>
      </c>
      <c r="L201" s="22" t="str">
        <f>VLOOKUP(A201,'Trips&amp;Operators'!$C$1:$G$99999,5,FALSE)</f>
        <v>CHANDLER KELVIN</v>
      </c>
      <c r="M201" s="6">
        <f t="shared" si="37"/>
        <v>5.3356481439550407E-3</v>
      </c>
      <c r="N201" s="7">
        <f t="shared" si="38"/>
        <v>7.6833333272952586</v>
      </c>
      <c r="O201" s="7"/>
      <c r="P201" s="7"/>
      <c r="Q201" s="23"/>
      <c r="R201" s="23"/>
      <c r="S201" s="35">
        <f t="shared" si="39"/>
        <v>1</v>
      </c>
      <c r="T201" s="50" t="str">
        <f t="shared" si="40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23:43:43-700',mode:absolute,to:'2016-12-26 01:52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01" s="52" t="str">
        <f t="shared" si="42"/>
        <v>Y</v>
      </c>
      <c r="X201" s="177">
        <f t="shared" si="43"/>
        <v>1</v>
      </c>
      <c r="Y201" s="67">
        <f t="shared" si="44"/>
        <v>4.7100000000000003E-2</v>
      </c>
      <c r="Z201" s="67">
        <f t="shared" si="45"/>
        <v>2.2852000000000001</v>
      </c>
      <c r="AA201" s="67">
        <f t="shared" si="46"/>
        <v>2.2381000000000002</v>
      </c>
      <c r="AB201" s="64" t="e">
        <f>VLOOKUP(A201,Enforcements!$C$7:$K$19,8,0)</f>
        <v>#N/A</v>
      </c>
      <c r="AC201" s="60" t="e">
        <f>VLOOKUP(A201,Enforcements!$C$7:$E$19,3,0)</f>
        <v>#N/A</v>
      </c>
      <c r="AD201" s="61" t="str">
        <f t="shared" si="47"/>
        <v>0309-25</v>
      </c>
      <c r="AE201" s="91" t="str">
        <f t="shared" si="48"/>
        <v>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 &amp; aws s3 cp s3://rtdc.mdm.uploadarchive.raw/RTDC4009/ "%USERPROFILE%\AppData\Local\Temp\OnboardLogs"\RTDC4009\2016-12-27 --exclude "*" --recursive --include "*20161227*" &amp; "%USERPROFILE%\Documents\GitHub\mrs-test-scripts\Headless Mode &amp; Sideloading\WalkAndUnGZ.bat" "%USERPROFILE%\AppData\Local\Temp\OnboardLogs"\RTDC4009\2016-12-27</v>
      </c>
      <c r="AF201" s="88" t="str">
        <f t="shared" si="49"/>
        <v>"C:\Program Files (x86)\AstroGrep\AstroGrep.exe" /spath="%USERPROFILE%\AppData\Local\Temp\OnboardLogs" /stypes="app*4009*20161226*" /stext=" 07:.+((SYSTEM_STATE.+slice.+state.+changed )|(ment ac)|(multiple cpu faults)|(system.+state.+changed )|(\[timeout)|(PRM\|1\|D)|(kpr)|(kdp)|(\|lc)|(penalty))" /e /r /s</v>
      </c>
      <c r="AG201" s="1" t="str">
        <f t="shared" si="50"/>
        <v>Other</v>
      </c>
      <c r="AH201" s="92" t="str">
        <f t="shared" si="51"/>
        <v>"%USERPROFILE%\Documents\GitHub\eaglep3\Utilities\RefineRTDCRunTimes.py" --tripid 309-25 --locoid 4009 --swversion DE.1.0.8.0 --startMP 204:471 --initTime 2016-12-26T00:43:43 --startdatetime 2016-12-26T00:45:14 --delay 1 --endMP 300:22852 --enddatetime 2016-12-26T00:52:55 --enforcementcount 0 &gt;&gt;C:\Users\stu\Documents\GitHub\eaglep3-reporting\EC\2016-12-25-refined-times.txt</v>
      </c>
      <c r="AI201" s="119" t="str">
        <f t="shared" si="52"/>
        <v>echo {"issue":{"subject":"","project_id":79,"tracker_id":40,"status_id":1,"priority_id":2,"assigned_to_id":23,"start_date":"2016-12-26","description":"","custom_fields":[{"id":1,"name":"Subdivision","value":"Other"},{"id":4,"name":"Milepost","value":"2.2852"},{"id":17,"name":"Train ID","value":"309-25"},{"id":16,"name":"Locomotive ID","value":"4009"},{"id":130,"name":"Impact","value":""},{"id":150,"name":"Time of Event (Mountain Time)","value":"00:52:55"},{"id":151,"name":"Denver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91" x14ac:dyDescent="0.25">
      <c r="A202" s="37" t="s">
        <v>476</v>
      </c>
      <c r="B202" s="7">
        <v>4028</v>
      </c>
      <c r="C202" s="22" t="s">
        <v>205</v>
      </c>
      <c r="D202" s="22" t="s">
        <v>761</v>
      </c>
      <c r="E202" s="13">
        <v>42729.180555555555</v>
      </c>
      <c r="F202" s="13">
        <v>42729.181886574072</v>
      </c>
      <c r="G202" s="7">
        <v>1</v>
      </c>
      <c r="H202" s="22" t="s">
        <v>191</v>
      </c>
      <c r="I202" s="13">
        <v>42729.191689814812</v>
      </c>
      <c r="J202" s="7">
        <v>0</v>
      </c>
      <c r="K202" s="109" t="str">
        <f t="shared" si="36"/>
        <v>4027/4028</v>
      </c>
      <c r="L202" s="22" t="str">
        <f>VLOOKUP(A202,'Trips&amp;Operators'!$C$1:$G$99999,5,FALSE)</f>
        <v>ROBINSON KADDIBA</v>
      </c>
      <c r="M202" s="6">
        <f t="shared" si="37"/>
        <v>9.8032407404389232E-3</v>
      </c>
      <c r="N202" s="7">
        <f t="shared" si="38"/>
        <v>14.116666666232049</v>
      </c>
      <c r="O202" s="7"/>
      <c r="P202" s="7"/>
      <c r="Q202" s="23"/>
      <c r="R202" s="23"/>
      <c r="S202" s="35">
        <f t="shared" si="39"/>
        <v>1</v>
      </c>
      <c r="T202" s="50" t="str">
        <f t="shared" si="40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https://search-rtdc-monitor-bjffxe2xuh6vdkpspy63sjmuny.us-east-1.es.amazonaws.com/_plugin/kibana/#/discover/Steve-Slow-Train-Analysis-(2080s-and-2083s)?_g=(refreshInterval:(display:Off,section:0,value:0),time:(from:'2016-12-25 03:20:00-700',mode:absolute,to:'2016-12-25 05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4028%22')),sort:!(Time,asc))</v>
      </c>
      <c r="W202" s="52" t="str">
        <f t="shared" si="42"/>
        <v>Y</v>
      </c>
      <c r="X202" s="177">
        <f t="shared" si="43"/>
        <v>1</v>
      </c>
      <c r="Y202" s="67">
        <f t="shared" si="44"/>
        <v>2.2035999999999998</v>
      </c>
      <c r="Z202" s="67">
        <f t="shared" si="45"/>
        <v>1.49E-2</v>
      </c>
      <c r="AA202" s="67">
        <f t="shared" si="46"/>
        <v>2.1886999999999999</v>
      </c>
      <c r="AB202" s="64" t="e">
        <f>VLOOKUP(A202,Enforcements!$C$7:$K$19,8,0)</f>
        <v>#N/A</v>
      </c>
      <c r="AC202" s="60" t="e">
        <f>VLOOKUP(A202,Enforcements!$C$7:$E$19,3,0)</f>
        <v>#N/A</v>
      </c>
      <c r="AD202" s="61" t="str">
        <f t="shared" si="47"/>
        <v>0310-25</v>
      </c>
      <c r="AE202" s="91" t="str">
        <f t="shared" si="48"/>
        <v>aws s3 cp s3://rtdc.mdm.uploadarchive.raw/RTDC4028/ "%USERPROFILE%\AppData\Local\Temp\OnboardLogs"\RTDC4028\2016-12-25 --exclude "*" --recursive --include "*20161225*" &amp; "%USERPROFILE%\Documents\GitHub\mrs-test-scripts\Headless Mode &amp; Sideloading\WalkAndUnGZ.bat" "%USERPROFILE%\AppData\Local\Temp\OnboardLogs"\RTDC4028\2016-12-25 &amp; aws s3 cp s3://rtdc.mdm.uploadarchive.raw/RTDC4028/ "%USERPROFILE%\AppData\Local\Temp\OnboardLogs"\RTDC4028\2016-12-26 --exclude "*" --recursive --include "*20161226*" &amp; "%USERPROFILE%\Documents\GitHub\mrs-test-scripts\Headless Mode &amp; Sideloading\WalkAndUnGZ.bat" "%USERPROFILE%\AppData\Local\Temp\OnboardLogs"\RTDC4028\2016-12-26</v>
      </c>
      <c r="AF202" s="88" t="str">
        <f t="shared" si="49"/>
        <v>"C:\Program Files (x86)\AstroGrep\AstroGrep.exe" /spath="%USERPROFILE%\AppData\Local\Temp\OnboardLogs" /stypes="app*4028*20161225*" /stext=" 11:.+((SYSTEM_STATE.+slice.+state.+changed )|(ment ac)|(multiple cpu faults)|(system.+state.+changed )|(\[timeout)|(PRM\|1\|D)|(kpr)|(kdp)|(\|lc)|(penalty))" /e /r /s</v>
      </c>
      <c r="AG202" s="1" t="str">
        <f t="shared" si="50"/>
        <v>Other</v>
      </c>
      <c r="AH202" s="92" t="str">
        <f t="shared" si="51"/>
        <v>"%USERPROFILE%\Documents\GitHub\eaglep3\Utilities\RefineRTDCRunTimes.py" --tripid 310-25 --locoid 4028 --swversion DE.1.0.8.0 --startMP 300:22036 --initTime 2016-12-25T04:20:00 --startdatetime 2016-12-25T04:21:55 --delay 1 --endMP 204:149 --enddatetime 2016-12-25T04:36:02 --enforcementcount 0 &gt;&gt;C:\Users\stu\Documents\GitHub\eaglep3-reporting\EC\2016-12-25-refined-times.txt</v>
      </c>
      <c r="AI202" s="119" t="str">
        <f t="shared" si="52"/>
        <v>echo {"issue":{"subject":"","project_id":79,"tracker_id":40,"status_id":1,"priority_id":2,"assigned_to_id":23,"start_date":"2016-12-25","description":"","custom_fields":[{"id":1,"name":"Subdivision","value":"Other"},{"id":4,"name":"Milepost","value":"0.0149"},{"id":17,"name":"Train ID","value":"310-25"},{"id":16,"name":"Locomotive ID","value":"4028"},{"id":130,"name":"Impact","value":""},{"id":150,"name":"Time of Event (Mountain Time)","value":"04:36:02"},{"id":151,"name":"Denver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91" x14ac:dyDescent="0.25">
      <c r="A203" s="37" t="s">
        <v>658</v>
      </c>
      <c r="B203" s="7">
        <v>4042</v>
      </c>
      <c r="C203" s="22" t="s">
        <v>205</v>
      </c>
      <c r="D203" s="22" t="s">
        <v>230</v>
      </c>
      <c r="E203" s="13">
        <v>42730.047280092593</v>
      </c>
      <c r="F203" s="13">
        <v>25568.708333333332</v>
      </c>
      <c r="G203" s="7">
        <v>1</v>
      </c>
      <c r="H203" s="22" t="s">
        <v>431</v>
      </c>
      <c r="I203" s="13">
        <v>25568.708333333332</v>
      </c>
      <c r="J203" s="7">
        <v>0</v>
      </c>
      <c r="K203" s="109" t="str">
        <f t="shared" si="36"/>
        <v>4041/4042</v>
      </c>
      <c r="L203" s="22" t="str">
        <f>VLOOKUP(A203,'Trips&amp;Operators'!$C$1:$G$99999,5,FALSE)</f>
        <v>NEWELL JAMES</v>
      </c>
      <c r="M203" s="6">
        <f t="shared" si="37"/>
        <v>0</v>
      </c>
      <c r="N203" s="7">
        <f t="shared" si="38"/>
        <v>0</v>
      </c>
      <c r="O203" s="7"/>
      <c r="P203" s="7"/>
      <c r="Q203" s="23"/>
      <c r="R203" s="23"/>
      <c r="S203" s="35">
        <f t="shared" si="39"/>
        <v>1</v>
      </c>
      <c r="T203" s="50" t="str">
        <f t="shared" si="40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41"/>
        <v>https://search-rtdc-monitor-bjffxe2xuh6vdkpspy63sjmuny.us-east-1.es.amazonaws.com/_plugin/kibana/#/discover/Steve-Slow-Train-Analysis-(2080s-and-2083s)?_g=(refreshInterval:(display:Off,section:0,value:0),time:(from:'2016-12-26 00:08:05-700',mode:absolute,to:'1969-12-31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3" s="52" t="str">
        <f t="shared" si="42"/>
        <v>Y</v>
      </c>
      <c r="X203" s="177">
        <f t="shared" si="43"/>
        <v>1</v>
      </c>
      <c r="Y203" s="67">
        <f t="shared" si="44"/>
        <v>4.5999999999999999E-2</v>
      </c>
      <c r="Z203" s="67">
        <f t="shared" si="45"/>
        <v>2.3306</v>
      </c>
      <c r="AA203" s="67">
        <f t="shared" si="46"/>
        <v>2.2846000000000002</v>
      </c>
      <c r="AB203" s="64" t="e">
        <f>VLOOKUP(A203,Enforcements!$C$7:$K$19,8,0)</f>
        <v>#N/A</v>
      </c>
      <c r="AC203" s="60" t="e">
        <f>VLOOKUP(A203,Enforcements!$C$7:$E$19,3,0)</f>
        <v>#N/A</v>
      </c>
      <c r="AD203" s="61" t="str">
        <f t="shared" si="47"/>
        <v>0311-25</v>
      </c>
      <c r="AE203" s="91" t="str">
        <f t="shared" si="48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3" s="88" t="str">
        <f t="shared" si="49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3" s="1" t="str">
        <f t="shared" si="50"/>
        <v>Other</v>
      </c>
      <c r="AH203" s="92" t="str">
        <f t="shared" si="51"/>
        <v>"%USERPROFILE%\Documents\GitHub\eaglep3\Utilities\RefineRTDCRunTimes.py" --tripid 311-25 --locoid 4042 --swversion DE.1.0.8.0 --startMP 204:460 --initTime 2016-12-26T01:08:05 --startdatetime 1969-12-31T17:00:00 --delay 1 --endMP 300:23306 --enddatetime 1969-12-31T17:00:00 --enforcementcount 0 &gt;&gt;C:\Users\stu\Documents\GitHub\eaglep3-reporting\EC\2016-12-25-refined-times.txt</v>
      </c>
      <c r="AI203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{"issue":{"subject":"","project_id":79,"tracker_id":40,"status_id":1,"priority_id":2,"assigned_to_id":23,"start_date":"1969-12-31","description":"","custom_fields":[{"id":1,"name":"Subdivision","value":"Other"},{"id":4,"name":"Milepost","value":"2.3306"},{"id":17,"name":"Train ID","value":"311-25"},{"id":16,"name":"Locomotive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91" s="21" customFormat="1" x14ac:dyDescent="0.25">
      <c r="A204" s="37" t="s">
        <v>465</v>
      </c>
      <c r="B204" s="7">
        <v>4003</v>
      </c>
      <c r="C204" s="22" t="s">
        <v>205</v>
      </c>
      <c r="D204" s="22" t="s">
        <v>256</v>
      </c>
      <c r="E204" s="13">
        <v>42729.090185185189</v>
      </c>
      <c r="F204" s="13">
        <v>25568.708333333332</v>
      </c>
      <c r="G204" s="7">
        <v>1</v>
      </c>
      <c r="H204" s="22" t="s">
        <v>432</v>
      </c>
      <c r="I204" s="13">
        <v>25568.708333333332</v>
      </c>
      <c r="J204" s="7">
        <v>0</v>
      </c>
      <c r="K204" s="109" t="str">
        <f t="shared" ref="K204:K214" si="53">IF(ISEVEN(B204),(B204-1)&amp;"/"&amp;B204,B204&amp;"/"&amp;(B204+1))</f>
        <v>4003/4004</v>
      </c>
      <c r="L204" s="22" t="str">
        <f>VLOOKUP(A204,'Trips&amp;Operators'!$C$1:$G$99999,5,FALSE)</f>
        <v>SMITH MICHAEL</v>
      </c>
      <c r="M204" s="6">
        <f t="shared" ref="M204:M214" si="54">I204-F204</f>
        <v>0</v>
      </c>
      <c r="N204" s="7">
        <f t="shared" ref="N204:N214" si="55">24*60*SUM($M204:$M204)</f>
        <v>0</v>
      </c>
      <c r="O204" s="7"/>
      <c r="P204" s="7"/>
      <c r="Q204" s="23"/>
      <c r="R204" s="23"/>
      <c r="S204" s="35">
        <f t="shared" ref="S204:S214" si="56">SUM(U204:U204)/IF(AG204="EC",12,1)</f>
        <v>1</v>
      </c>
      <c r="T204" s="50" t="str">
        <f t="shared" ref="T204:T214" si="57">IF(ISEVEN(LEFT(AD204,4)),"Southbound","NorthBound")</f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ref="V204:V214" si="58">"https://search-rtdc-monitor-bjffxe2xuh6vdkpspy63sjmuny.us-east-1.es.amazonaws.com/_plugin/kibana/#/discover/Steve-Slow-Train-Analysis-(2080s-and-2083s)?_g=(refreshInterval:(display:Off,section:0,value:0),time:(from:'"&amp;TEXT(E204-1/24,"yyyy-MM-DD hh:mm:ss")&amp;utc_offset&amp;"00',mode:absolute,to:'"&amp;TEXT(I204+1/24,"yyyy-MM-DD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204&amp;"%22')),sort:!(Time,asc))"</f>
        <v>https://search-rtdc-monitor-bjffxe2xuh6vdkpspy63sjmuny.us-east-1.es.amazonaws.com/_plugin/kibana/#/discover/Steve-Slow-Train-Analysis-(2080s-and-2083s)?_g=(refreshInterval:(display:Off,section:0,value:0),time:(from:'2016-12-25 01:09:52-700',mode:absolute,to:'1969-12-31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4" s="52" t="str">
        <f t="shared" ref="W204:W214" si="59">IF(AA204&lt;IF(AG204="EC",23,5.65),"Y","N")</f>
        <v>Y</v>
      </c>
      <c r="X204" s="177">
        <f t="shared" ref="X204:X214" si="60">VALUE(LEFT(AD204,4))-VALUE(LEFT(AD203,4))</f>
        <v>2</v>
      </c>
      <c r="Y204" s="67">
        <f t="shared" ref="Y204:Y214" si="61">RIGHT(D204,LEN(D204)-4)/10000</f>
        <v>4.6399999999999997E-2</v>
      </c>
      <c r="Z204" s="67">
        <f t="shared" ref="Z204:Z214" si="62">RIGHT(H204,LEN(H204)-4)/10000</f>
        <v>2.3304</v>
      </c>
      <c r="AA204" s="67">
        <f t="shared" ref="AA204:AA214" si="63">ABS(Z204-Y204)</f>
        <v>2.2839999999999998</v>
      </c>
      <c r="AB204" s="64" t="e">
        <f>VLOOKUP(A204,Enforcements!$C$7:$K$19,8,0)</f>
        <v>#N/A</v>
      </c>
      <c r="AC204" s="60" t="e">
        <f>VLOOKUP(A204,Enforcements!$C$7:$E$19,3,0)</f>
        <v>#N/A</v>
      </c>
      <c r="AD204" s="61" t="str">
        <f t="shared" ref="AD204:AD214" si="64">IF(LEN(A204)=6,"0"&amp;A204,A204)</f>
        <v>0313-24</v>
      </c>
      <c r="AE204" s="91" t="str">
        <f t="shared" ref="AE204:AE214" si="65"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4" s="88" t="str">
        <f t="shared" ref="AF204:AF214" si="66"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4" s="1" t="str">
        <f t="shared" ref="AG204:AG214" si="67">IFERROR(IF(VALUE(LEFT(AD204,2))&lt;=2,"EC",IF(OR(VALUE(LEFT(AD204,2))=8,VALUE(LEFT(AD204,2))=18),"NW","Other")),"Other")</f>
        <v>Other</v>
      </c>
      <c r="AH204" s="92" t="str">
        <f t="shared" si="51"/>
        <v>"%USERPROFILE%\Documents\GitHub\eaglep3\Utilities\RefineRTDCRunTimes.py" --tripid 313-24 --locoid 4003 --swversion DE.1.0.8.0 --startMP 204:464 --initTime 2016-12-25T02:09:52 --startdatetime 1969-12-31T17:00:00 --delay 1 --endMP 300:23304 --enddatetime 1969-12-31T17:00:00 --enforcementcount 0 &gt;&gt;C:\Users\stu\Documents\GitHub\eaglep3-reporting\EC\2016-12-25-refined-times.txt</v>
      </c>
      <c r="AI204" s="119" t="str">
        <f t="shared" si="52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x14ac:dyDescent="0.25">
      <c r="A205" s="37" t="s">
        <v>465</v>
      </c>
      <c r="B205" s="7">
        <v>4003</v>
      </c>
      <c r="C205" s="22" t="s">
        <v>205</v>
      </c>
      <c r="D205" s="22" t="s">
        <v>762</v>
      </c>
      <c r="E205" s="13">
        <v>42729.090185185189</v>
      </c>
      <c r="F205" s="13">
        <v>25568.708333333332</v>
      </c>
      <c r="G205" s="7">
        <v>11</v>
      </c>
      <c r="H205" s="22" t="s">
        <v>432</v>
      </c>
      <c r="I205" s="13">
        <v>25568.708333333332</v>
      </c>
      <c r="J205" s="7">
        <v>0</v>
      </c>
      <c r="K205" s="109" t="str">
        <f t="shared" si="53"/>
        <v>4003/4004</v>
      </c>
      <c r="L205" s="22" t="str">
        <f>VLOOKUP(A205,'Trips&amp;Operators'!$C$1:$G$99999,5,FALSE)</f>
        <v>SMITH MICHAEL</v>
      </c>
      <c r="M205" s="6">
        <f t="shared" si="54"/>
        <v>0</v>
      </c>
      <c r="N205" s="7">
        <f t="shared" si="55"/>
        <v>0</v>
      </c>
      <c r="O205" s="7"/>
      <c r="P205" s="7"/>
      <c r="Q205" s="23"/>
      <c r="R205" s="23"/>
      <c r="S205" s="35">
        <f t="shared" si="56"/>
        <v>0</v>
      </c>
      <c r="T205" s="50" t="str">
        <f t="shared" si="57"/>
        <v>NorthBound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01:09:52-700',mode:absolute,to:'1969-12-31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5" s="52" t="str">
        <f t="shared" si="59"/>
        <v>Y</v>
      </c>
      <c r="X205" s="177">
        <f t="shared" si="60"/>
        <v>0</v>
      </c>
      <c r="Y205" s="67">
        <f t="shared" si="61"/>
        <v>2.3273999999999999</v>
      </c>
      <c r="Z205" s="67">
        <f t="shared" si="62"/>
        <v>2.3304</v>
      </c>
      <c r="AA205" s="67">
        <f t="shared" si="63"/>
        <v>3.0000000000001137E-3</v>
      </c>
      <c r="AB205" s="64" t="e">
        <f>VLOOKUP(A205,Enforcements!$C$7:$K$19,8,0)</f>
        <v>#N/A</v>
      </c>
      <c r="AC205" s="60" t="e">
        <f>VLOOKUP(A205,Enforcements!$C$7:$E$19,3,0)</f>
        <v>#N/A</v>
      </c>
      <c r="AD205" s="61" t="str">
        <f t="shared" si="64"/>
        <v>0313-24</v>
      </c>
      <c r="AE205" s="91" t="str">
        <f t="shared" si="65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5" s="88" t="str">
        <f t="shared" si="66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5" s="1" t="str">
        <f t="shared" si="67"/>
        <v>Other</v>
      </c>
      <c r="AH205" s="92" t="str">
        <f t="shared" ref="AH205:AH214" si="68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313-24 --locoid 4003 --swversion DE.1.0.8.0 --startMP 300:23274 --initTime 2016-12-25T02:09:52 --startdatetime 1969-12-31T17:00:00 --delay 11 --endMP 300:23304 --enddatetime 1969-12-31T17:00:00 --enforcementcount 0 &gt;&gt;C:\Users\stu\Documents\GitHub\eaglep3-reporting\EC\2016-12-25-refined-times.txt</v>
      </c>
      <c r="AI205" s="119" t="str">
        <f t="shared" ref="AI205:AI214" si="69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ID","value":"313-24"},{"id":16,"name":"Locomotive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91" s="21" customFormat="1" x14ac:dyDescent="0.25">
      <c r="A206" s="37" t="s">
        <v>239</v>
      </c>
      <c r="B206" s="7">
        <v>4014</v>
      </c>
      <c r="C206" s="22" t="s">
        <v>205</v>
      </c>
      <c r="D206" s="22" t="s">
        <v>286</v>
      </c>
      <c r="E206" s="13">
        <v>42730.069236111114</v>
      </c>
      <c r="F206" s="13">
        <v>42730.070949074077</v>
      </c>
      <c r="G206" s="7">
        <v>1</v>
      </c>
      <c r="H206" s="22" t="s">
        <v>763</v>
      </c>
      <c r="I206" s="13">
        <v>42730.075960648152</v>
      </c>
      <c r="J206" s="7">
        <v>0</v>
      </c>
      <c r="K206" s="109" t="str">
        <f t="shared" si="53"/>
        <v>4013/4014</v>
      </c>
      <c r="L206" s="22" t="str">
        <f>VLOOKUP(A206,'Trips&amp;Operators'!$C$1:$G$99999,5,FALSE)</f>
        <v>SMITH MICHAEL</v>
      </c>
      <c r="M206" s="6">
        <f t="shared" si="54"/>
        <v>5.0115740741603076E-3</v>
      </c>
      <c r="N206" s="7">
        <f t="shared" si="55"/>
        <v>7.216666666790843</v>
      </c>
      <c r="O206" s="7"/>
      <c r="P206" s="7"/>
      <c r="Q206" s="23"/>
      <c r="R206" s="23"/>
      <c r="S206" s="35">
        <f t="shared" si="56"/>
        <v>1</v>
      </c>
      <c r="T206" s="50" t="str">
        <f t="shared" si="57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https://search-rtdc-monitor-bjffxe2xuh6vdkpspy63sjmuny.us-east-1.es.amazonaws.com/_plugin/kibana/#/discover/Steve-Slow-Train-Analysis-(2080s-and-2083s)?_g=(refreshInterval:(display:Off,section:0,value:0),time:(from:'2016-12-26 00:39:42-700',mode:absolute,to:'2016-12-26 02:49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06" s="52" t="str">
        <f t="shared" si="59"/>
        <v>Y</v>
      </c>
      <c r="X206" s="177">
        <f t="shared" si="60"/>
        <v>0</v>
      </c>
      <c r="Y206" s="67">
        <f t="shared" si="61"/>
        <v>4.4200000000000003E-2</v>
      </c>
      <c r="Z206" s="67">
        <f t="shared" si="62"/>
        <v>2.2816000000000001</v>
      </c>
      <c r="AA206" s="67">
        <f t="shared" si="63"/>
        <v>2.2374000000000001</v>
      </c>
      <c r="AB206" s="64" t="e">
        <f>VLOOKUP(A206,Enforcements!$C$7:$K$19,8,0)</f>
        <v>#N/A</v>
      </c>
      <c r="AC206" s="60" t="e">
        <f>VLOOKUP(A206,Enforcements!$C$7:$E$19,3,0)</f>
        <v>#N/A</v>
      </c>
      <c r="AD206" s="61" t="str">
        <f t="shared" si="64"/>
        <v>0313-25</v>
      </c>
      <c r="AE206" s="91" t="str">
        <f t="shared" si="65"/>
        <v>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 &amp; aws s3 cp s3://rtdc.mdm.uploadarchive.raw/RTDC4014/ "%USERPROFILE%\AppData\Local\Temp\OnboardLogs"\RTDC4014\2016-12-27 --exclude "*" --recursive --include "*20161227*" &amp; "%USERPROFILE%\Documents\GitHub\mrs-test-scripts\Headless Mode &amp; Sideloading\WalkAndUnGZ.bat" "%USERPROFILE%\AppData\Local\Temp\OnboardLogs"\RTDC4014\2016-12-27</v>
      </c>
      <c r="AF206" s="88" t="str">
        <f t="shared" si="66"/>
        <v>"C:\Program Files (x86)\AstroGrep\AstroGrep.exe" /spath="%USERPROFILE%\AppData\Local\Temp\OnboardLogs" /stypes="app*4014*20161226*" /stext=" 08:.+((SYSTEM_STATE.+slice.+state.+changed )|(ment ac)|(multiple cpu faults)|(system.+state.+changed )|(\[timeout)|(PRM\|1\|D)|(kpr)|(kdp)|(\|lc)|(penalty))" /e /r /s</v>
      </c>
      <c r="AG206" s="1" t="str">
        <f t="shared" si="67"/>
        <v>Other</v>
      </c>
      <c r="AH206" s="92" t="str">
        <f t="shared" si="68"/>
        <v>"%USERPROFILE%\Documents\GitHub\eaglep3\Utilities\RefineRTDCRunTimes.py" --tripid 313-25 --locoid 4014 --swversion DE.1.0.8.0 --startMP 204:442 --initTime 2016-12-26T01:39:42 --startdatetime 2016-12-26T01:42:10 --delay 1 --endMP 300:22816 --enddatetime 2016-12-26T01:49:23 --enforcementcount 0 &gt;&gt;C:\Users\stu\Documents\GitHub\eaglep3-reporting\EC\2016-12-25-refined-times.txt</v>
      </c>
      <c r="AI206" s="119" t="str">
        <f t="shared" si="69"/>
        <v>echo {"issue":{"subject":"","project_id":79,"tracker_id":40,"status_id":1,"priority_id":2,"assigned_to_id":23,"start_date":"2016-12-26","description":"","custom_fields":[{"id":1,"name":"Subdivision","value":"Other"},{"id":4,"name":"Milepost","value":"2.2816"},{"id":17,"name":"Train ID","value":"313-25"},{"id":16,"name":"Locomotive ID","value":"4014"},{"id":130,"name":"Impact","value":""},{"id":150,"name":"Time of Event (Mountain Time)","value":"01:49:23"},{"id":151,"name":"Denver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x14ac:dyDescent="0.25">
      <c r="A207" s="37" t="s">
        <v>240</v>
      </c>
      <c r="B207" s="7">
        <v>4018</v>
      </c>
      <c r="C207" s="22" t="s">
        <v>205</v>
      </c>
      <c r="D207" s="22" t="s">
        <v>275</v>
      </c>
      <c r="E207" s="13">
        <v>42730.087060185186</v>
      </c>
      <c r="F207" s="13">
        <v>25568.708333333332</v>
      </c>
      <c r="G207" s="7">
        <v>1</v>
      </c>
      <c r="H207" s="22" t="s">
        <v>764</v>
      </c>
      <c r="I207" s="13">
        <v>25568.708333333332</v>
      </c>
      <c r="J207" s="7">
        <v>0</v>
      </c>
      <c r="K207" s="109" t="str">
        <f t="shared" si="53"/>
        <v>4017/4018</v>
      </c>
      <c r="L207" s="22" t="str">
        <f>VLOOKUP(A207,'Trips&amp;Operators'!$C$1:$G$99999,5,FALSE)</f>
        <v>STAMBAUGH JAMES</v>
      </c>
      <c r="M207" s="6">
        <f t="shared" si="54"/>
        <v>0</v>
      </c>
      <c r="N207" s="7">
        <f t="shared" si="55"/>
        <v>0</v>
      </c>
      <c r="O207" s="7"/>
      <c r="P207" s="7"/>
      <c r="Q207" s="23"/>
      <c r="R207" s="23"/>
      <c r="S207" s="35">
        <f t="shared" si="56"/>
        <v>1</v>
      </c>
      <c r="T207" s="50" t="str">
        <f t="shared" si="57"/>
        <v>NorthBound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https://search-rtdc-monitor-bjffxe2xuh6vdkpspy63sjmuny.us-east-1.es.amazonaws.com/_plugin/kibana/#/discover/Steve-Slow-Train-Analysis-(2080s-and-2083s)?_g=(refreshInterval:(display:Off,section:0,value:0),time:(from:'2016-12-26 01:05:22-700',mode:absolute,to:'1969-12-31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7" s="52" t="str">
        <f t="shared" si="59"/>
        <v>Y</v>
      </c>
      <c r="X207" s="177">
        <f t="shared" si="60"/>
        <v>2</v>
      </c>
      <c r="Y207" s="67">
        <f t="shared" si="61"/>
        <v>4.7699999999999999E-2</v>
      </c>
      <c r="Z207" s="67">
        <f t="shared" si="62"/>
        <v>2.3313999999999999</v>
      </c>
      <c r="AA207" s="67">
        <f t="shared" si="63"/>
        <v>2.2837000000000001</v>
      </c>
      <c r="AB207" s="64" t="e">
        <f>VLOOKUP(A207,Enforcements!$C$7:$K$19,8,0)</f>
        <v>#N/A</v>
      </c>
      <c r="AC207" s="60" t="e">
        <f>VLOOKUP(A207,Enforcements!$C$7:$E$19,3,0)</f>
        <v>#N/A</v>
      </c>
      <c r="AD207" s="61" t="str">
        <f t="shared" si="64"/>
        <v>0315-25</v>
      </c>
      <c r="AE207" s="91" t="str">
        <f t="shared" si="65"/>
        <v>aws s3 cp s3://rtdc.mdm.uploadarchive.raw/RTDC4018/ "%USERPROFILE%\AppData\Local\Temp\OnboardLogs"\RTDC4018\1969-12-31 --exclude "*" --recursive --include "*19691231*" &amp; "%USERPROFILE%\Documents\GitHub\mrs-test-scripts\Headless Mode &amp; Sideloading\WalkAndUnGZ.bat" "%USERPROFILE%\AppData\Local\Temp\OnboardLogs"\RTDC4018\1969-12-31 &amp; aws s3 cp s3://rtdc.mdm.uploadarchive.raw/RTDC4018/ "%USERPROFILE%\AppData\Local\Temp\OnboardLogs"\RTDC4018\1970-01-01 --exclude "*" --recursive --include "*19700101*" &amp; "%USERPROFILE%\Documents\GitHub\mrs-test-scripts\Headless Mode &amp; Sideloading\WalkAndUnGZ.bat" "%USERPROFILE%\AppData\Local\Temp\OnboardLogs"\RTDC4018\1970-01-01</v>
      </c>
      <c r="AF207" s="88" t="str">
        <f t="shared" si="66"/>
        <v>"C:\Program Files (x86)\AstroGrep\AstroGrep.exe" /spath="%USERPROFILE%\AppData\Local\Temp\OnboardLogs" /stypes="app*4018*19700101*" /stext=" 00:.+((SYSTEM_STATE.+slice.+state.+changed )|(ment ac)|(multiple cpu faults)|(system.+state.+changed )|(\[timeout)|(PRM\|1\|D)|(kpr)|(kdp)|(\|lc)|(penalty))" /e /r /s</v>
      </c>
      <c r="AG207" s="1" t="str">
        <f t="shared" si="67"/>
        <v>Other</v>
      </c>
      <c r="AH207" s="92" t="str">
        <f t="shared" si="68"/>
        <v>"%USERPROFILE%\Documents\GitHub\eaglep3\Utilities\RefineRTDCRunTimes.py" --tripid 315-25 --locoid 4018 --swversion DE.1.0.8.0 --startMP 204:477 --initTime 2016-12-26T02:05:22 --startdatetime 1969-12-31T17:00:00 --delay 1 --endMP 300:23314 --enddatetime 1969-12-31T17:00:00 --enforcementcount 0 &gt;&gt;C:\Users\stu\Documents\GitHub\eaglep3-reporting\EC\2016-12-25-refined-times.txt</v>
      </c>
      <c r="AI207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{"issue":{"subject":"","project_id":79,"tracker_id":40,"status_id":1,"priority_id":2,"assigned_to_id":23,"start_date":"1969-12-31","description":"","custom_fields":[{"id":1,"name":"Subdivision","value":"Other"},{"id":4,"name":"Milepost","value":"2.3314"},{"id":17,"name":"Train ID","value":"315-25"},{"id":16,"name":"Locomotive ID","value":"4018"},{"id":130,"name":"Impact","value":""},{"id":150,"name":"Time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91" x14ac:dyDescent="0.25">
      <c r="A208" s="37" t="s">
        <v>483</v>
      </c>
      <c r="B208" s="7">
        <v>4046</v>
      </c>
      <c r="C208" s="22" t="s">
        <v>205</v>
      </c>
      <c r="D208" s="22" t="s">
        <v>728</v>
      </c>
      <c r="E208" s="13">
        <v>42729.222013888888</v>
      </c>
      <c r="F208" s="13">
        <v>42729.22315972222</v>
      </c>
      <c r="G208" s="7">
        <v>1</v>
      </c>
      <c r="H208" s="22" t="s">
        <v>282</v>
      </c>
      <c r="I208" s="13">
        <v>42729.227696759262</v>
      </c>
      <c r="J208" s="7">
        <v>0</v>
      </c>
      <c r="K208" s="109" t="str">
        <f t="shared" si="53"/>
        <v>4045/4046</v>
      </c>
      <c r="L208" s="22" t="str">
        <f>VLOOKUP(A208,'Trips&amp;Operators'!$C$1:$G$99999,5,FALSE)</f>
        <v>YORK EDGAR</v>
      </c>
      <c r="M208" s="6">
        <f t="shared" si="54"/>
        <v>4.5370370426098816E-3</v>
      </c>
      <c r="N208" s="7">
        <f t="shared" si="55"/>
        <v>6.5333333413582295</v>
      </c>
      <c r="O208" s="7"/>
      <c r="P208" s="7"/>
      <c r="Q208" s="23"/>
      <c r="R208" s="23"/>
      <c r="S208" s="35">
        <f t="shared" si="56"/>
        <v>0</v>
      </c>
      <c r="T208" s="50" t="str">
        <f t="shared" si="57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04:19:42-700',mode:absolute,to:'2016-12-25 06:27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208" s="52" t="str">
        <f t="shared" si="59"/>
        <v>Y</v>
      </c>
      <c r="X208" s="177">
        <f t="shared" si="60"/>
        <v>1586</v>
      </c>
      <c r="Y208" s="67">
        <f t="shared" si="61"/>
        <v>3.0146000000000002</v>
      </c>
      <c r="Z208" s="67">
        <f t="shared" si="62"/>
        <v>5.8933</v>
      </c>
      <c r="AA208" s="67">
        <f t="shared" si="63"/>
        <v>2.8786999999999998</v>
      </c>
      <c r="AB208" s="64" t="e">
        <f>VLOOKUP(A208,Enforcements!$C$7:$K$19,8,0)</f>
        <v>#N/A</v>
      </c>
      <c r="AC208" s="60" t="e">
        <f>VLOOKUP(A208,Enforcements!$C$7:$E$19,3,0)</f>
        <v>#N/A</v>
      </c>
      <c r="AD208" s="61" t="str">
        <f t="shared" si="64"/>
        <v>1901-25</v>
      </c>
      <c r="AE208" s="91" t="str">
        <f t="shared" si="65"/>
        <v>aws s3 cp s3://rtdc.mdm.uploadarchive.raw/RTDC4046/ "%USERPROFILE%\AppData\Local\Temp\OnboardLogs"\RTDC4046\2016-12-25 --exclude "*" --recursive --include "*20161225*" &amp; "%USERPROFILE%\Documents\GitHub\mrs-test-scripts\Headless Mode &amp; Sideloading\WalkAndUnGZ.bat" "%USERPROFILE%\AppData\Local\Temp\OnboardLogs"\RTDC4046\2016-12-25 &amp; aws s3 cp s3://rtdc.mdm.uploadarchive.raw/RTDC4046/ "%USERPROFILE%\AppData\Local\Temp\OnboardLogs"\RTDC4046\2016-12-26 --exclude "*" --recursive --include "*20161226*" &amp; "%USERPROFILE%\Documents\GitHub\mrs-test-scripts\Headless Mode &amp; Sideloading\WalkAndUnGZ.bat" "%USERPROFILE%\AppData\Local\Temp\OnboardLogs"\RTDC4046\2016-12-26</v>
      </c>
      <c r="AF208" s="88" t="str">
        <f t="shared" si="66"/>
        <v>"C:\Program Files (x86)\AstroGrep\AstroGrep.exe" /spath="%USERPROFILE%\AppData\Local\Temp\OnboardLogs" /stypes="app*4046*20161225*" /stext=" 12:.+((SYSTEM_STATE.+slice.+state.+changed )|(ment ac)|(multiple cpu faults)|(system.+state.+changed )|(\[timeout)|(PRM\|1\|D)|(kpr)|(kdp)|(\|lc)|(penalty))" /e /r /s</v>
      </c>
      <c r="AG208" s="1" t="str">
        <f t="shared" si="67"/>
        <v>Other</v>
      </c>
      <c r="AH208" s="92" t="str">
        <f t="shared" si="68"/>
        <v>"%USERPROFILE%\Documents\GitHub\eaglep3\Utilities\RefineRTDCRunTimes.py" --tripid 1901-25 --locoid 4046 --swversion DE.1.0.8.0 --startMP 300:30146 --initTime 2016-12-25T05:19:42 --startdatetime 2016-12-25T05:21:21 --delay 1 --endMP 300:58933 --enddatetime 2016-12-25T05:27:53 --enforcementcount 0 &gt;&gt;C:\Users\stu\Documents\GitHub\eaglep3-reporting\EC\2016-12-25-refined-times.txt</v>
      </c>
      <c r="AI208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{"issue":{"subject":"","project_id":79,"tracker_id":40,"status_id":1,"priority_id":2,"assigned_to_id":23,"start_date":"2016-12-25","description":"","custom_fields":[{"id":1,"name":"Subdivision","value":"Other"},{"id":4,"name":"Milepost","value":"5.8933"},{"id":17,"name":"Train ID","value":"1901-25"},{"id":16,"name":"Locomotive ID","value":"4046"},{"id":130,"name":"Impact","value":""},{"id":150,"name":"Time of Event (Mountain Time)","value":"05:27:53"},{"id":151,"name":"Denver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647</v>
      </c>
      <c r="B209" s="7">
        <v>4045</v>
      </c>
      <c r="C209" s="22" t="s">
        <v>205</v>
      </c>
      <c r="D209" s="22" t="s">
        <v>700</v>
      </c>
      <c r="E209" s="13">
        <v>42729.942442129628</v>
      </c>
      <c r="F209" s="13">
        <v>42729.943796296298</v>
      </c>
      <c r="G209" s="7">
        <v>1</v>
      </c>
      <c r="H209" s="22" t="s">
        <v>729</v>
      </c>
      <c r="I209" s="13">
        <v>42729.948101851849</v>
      </c>
      <c r="J209" s="7">
        <v>0</v>
      </c>
      <c r="K209" s="109" t="str">
        <f t="shared" si="53"/>
        <v>4045/4046</v>
      </c>
      <c r="L209" s="22" t="str">
        <f>VLOOKUP(A209,'Trips&amp;Operators'!$C$1:$G$99999,5,FALSE)</f>
        <v>HELVIE ADAM</v>
      </c>
      <c r="M209" s="6">
        <f t="shared" si="54"/>
        <v>4.3055555506725796E-3</v>
      </c>
      <c r="N209" s="7">
        <f t="shared" si="55"/>
        <v>6.1999999929685146</v>
      </c>
      <c r="O209" s="7"/>
      <c r="P209" s="7"/>
      <c r="Q209" s="23"/>
      <c r="R209" s="23"/>
      <c r="S209" s="35">
        <f t="shared" si="56"/>
        <v>0</v>
      </c>
      <c r="T209" s="50" t="str">
        <f t="shared" si="57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21:37:07-700',mode:absolute,to:'2016-12-25 23:45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9" s="52" t="str">
        <f t="shared" si="59"/>
        <v>Y</v>
      </c>
      <c r="X209" s="177">
        <f t="shared" si="60"/>
        <v>1</v>
      </c>
      <c r="Y209" s="67">
        <f t="shared" si="61"/>
        <v>5.8615000000000004</v>
      </c>
      <c r="Z209" s="67">
        <f t="shared" si="62"/>
        <v>2.1646999999999998</v>
      </c>
      <c r="AA209" s="67">
        <f t="shared" si="63"/>
        <v>3.6968000000000005</v>
      </c>
      <c r="AB209" s="64" t="e">
        <f>VLOOKUP(A209,Enforcements!$C$7:$K$19,8,0)</f>
        <v>#N/A</v>
      </c>
      <c r="AC209" s="60" t="e">
        <f>VLOOKUP(A209,Enforcements!$C$7:$E$19,3,0)</f>
        <v>#N/A</v>
      </c>
      <c r="AD209" s="61" t="str">
        <f t="shared" si="64"/>
        <v>1902-25</v>
      </c>
      <c r="AE209" s="91" t="str">
        <f t="shared" si="65"/>
        <v>aws s3 cp s3://rtdc.mdm.uploadarchive.raw/RTDC4045/ "%USERPROFILE%\AppData\Local\Temp\OnboardLogs"\RTDC4045\2016-12-25 --exclude "*" --recursive --include "*20161225*" &amp; "%USERPROFILE%\Documents\GitHub\mrs-test-scripts\Headless Mode &amp; Sideloading\WalkAndUnGZ.bat" "%USERPROFILE%\AppData\Local\Temp\OnboardLogs"\RTDC4045\2016-12-25 &amp; aws s3 cp s3://rtdc.mdm.uploadarchive.raw/RTDC4045/ "%USERPROFILE%\AppData\Local\Temp\OnboardLogs"\RTDC4045\2016-12-26 --exclude "*" --recursive --include "*20161226*" &amp; "%USERPROFILE%\Documents\GitHub\mrs-test-scripts\Headless Mode &amp; Sideloading\WalkAndUnGZ.bat" "%USERPROFILE%\AppData\Local\Temp\OnboardLogs"\RTDC4045\2016-12-26</v>
      </c>
      <c r="AF209" s="88" t="str">
        <f t="shared" si="66"/>
        <v>"C:\Program Files (x86)\AstroGrep\AstroGrep.exe" /spath="%USERPROFILE%\AppData\Local\Temp\OnboardLogs" /stypes="app*4045*20161226*" /stext=" 05:.+((SYSTEM_STATE.+slice.+state.+changed )|(ment ac)|(multiple cpu faults)|(system.+state.+changed )|(\[timeout)|(PRM\|1\|D)|(kpr)|(kdp)|(\|lc)|(penalty))" /e /r /s</v>
      </c>
      <c r="AG209" s="1" t="str">
        <f t="shared" si="67"/>
        <v>Other</v>
      </c>
      <c r="AH209" s="92" t="str">
        <f t="shared" si="68"/>
        <v>"%USERPROFILE%\Documents\GitHub\eaglep3\Utilities\RefineRTDCRunTimes.py" --tripid 1902-25 --locoid 4045 --swversion DE.1.0.8.0 --startMP 300:58615 --initTime 2016-12-25T22:37:07 --startdatetime 2016-12-25T22:39:04 --delay 1 --endMP 300:21647 --enddatetime 2016-12-25T22:45:16 --enforcementcount 0 &gt;&gt;C:\Users\stu\Documents\GitHub\eaglep3-reporting\EC\2016-12-25-refined-times.txt</v>
      </c>
      <c r="AI209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{"issue":{"subject":"","project_id":79,"tracker_id":40,"status_id":1,"priority_id":2,"assigned_to_id":23,"start_date":"2016-12-25","description":"","custom_fields":[{"id":1,"name":"Subdivision","value":"Other"},{"id":4,"name":"Milepost","value":"2.1647"},{"id":17,"name":"Train ID","value":"1902-25"},{"id":16,"name":"Locomotive ID","value":"4045"},{"id":130,"name":"Impact","value":""},{"id":150,"name":"Time of Event (Mountain Time)","value":"22:45:16"},{"id":151,"name":"Denver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463</v>
      </c>
      <c r="B210" s="7">
        <v>4012</v>
      </c>
      <c r="C210" s="22" t="s">
        <v>205</v>
      </c>
      <c r="D210" s="22" t="s">
        <v>765</v>
      </c>
      <c r="E210" s="13">
        <v>42729.072592592594</v>
      </c>
      <c r="F210" s="13">
        <v>42729.074131944442</v>
      </c>
      <c r="G210" s="7">
        <v>1</v>
      </c>
      <c r="H210" s="22" t="s">
        <v>766</v>
      </c>
      <c r="I210" s="13">
        <v>42729.099363425928</v>
      </c>
      <c r="J210" s="7">
        <v>0</v>
      </c>
      <c r="K210" s="109" t="str">
        <f t="shared" si="53"/>
        <v>4011/4012</v>
      </c>
      <c r="L210" s="22" t="str">
        <f>VLOOKUP(A210,'Trips&amp;Operators'!$C$1:$G$99999,5,FALSE)</f>
        <v>HILLS DUSTIN</v>
      </c>
      <c r="M210" s="6">
        <f t="shared" si="54"/>
        <v>2.5231481486116536E-2</v>
      </c>
      <c r="N210" s="7">
        <f t="shared" si="55"/>
        <v>36.333333340007812</v>
      </c>
      <c r="O210" s="7"/>
      <c r="P210" s="7"/>
      <c r="Q210" s="23"/>
      <c r="R210" s="23"/>
      <c r="S210" s="35">
        <f t="shared" si="56"/>
        <v>0</v>
      </c>
      <c r="T210" s="50" t="e">
        <f t="shared" si="57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00:44:32-700',mode:absolute,to:'2016-12-25 03:23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10" s="52" t="str">
        <f t="shared" si="59"/>
        <v>N</v>
      </c>
      <c r="X210" s="177" t="e">
        <f t="shared" si="60"/>
        <v>#VALUE!</v>
      </c>
      <c r="Y210" s="67">
        <f t="shared" si="61"/>
        <v>23.305700000000002</v>
      </c>
      <c r="Z210" s="67">
        <f t="shared" si="62"/>
        <v>1.0500000000000001E-2</v>
      </c>
      <c r="AA210" s="67">
        <f t="shared" si="63"/>
        <v>23.295200000000001</v>
      </c>
      <c r="AB210" s="64" t="e">
        <f>VLOOKUP(A210,Enforcements!$C$7:$K$19,8,0)</f>
        <v>#N/A</v>
      </c>
      <c r="AC210" s="60" t="e">
        <f>VLOOKUP(A210,Enforcements!$C$7:$E$19,3,0)</f>
        <v>#N/A</v>
      </c>
      <c r="AD210" s="61" t="str">
        <f t="shared" si="64"/>
        <v>50-25</v>
      </c>
      <c r="AE210" s="91" t="str">
        <f t="shared" si="65"/>
        <v>aws s3 cp s3://rtdc.mdm.uploadarchive.raw/RTDC4012/ "%USERPROFILE%\AppData\Local\Temp\OnboardLogs"\RTDC4012\2016-12-25 --exclude "*" --recursive --include "*20161225*" &amp; "%USERPROFILE%\Documents\GitHub\mrs-test-scripts\Headless Mode &amp; Sideloading\WalkAndUnGZ.bat" "%USERPROFILE%\AppData\Local\Temp\OnboardLogs"\RTDC4012\2016-12-25 &amp; aws s3 cp s3://rtdc.mdm.uploadarchive.raw/RTDC4012/ "%USERPROFILE%\AppData\Local\Temp\OnboardLogs"\RTDC4012\2016-12-26 --exclude "*" --recursive --include "*20161226*" &amp; "%USERPROFILE%\Documents\GitHub\mrs-test-scripts\Headless Mode &amp; Sideloading\WalkAndUnGZ.bat" "%USERPROFILE%\AppData\Local\Temp\OnboardLogs"\RTDC4012\2016-12-26</v>
      </c>
      <c r="AF210" s="88" t="str">
        <f t="shared" si="66"/>
        <v>"C:\Program Files (x86)\AstroGrep\AstroGrep.exe" /spath="%USERPROFILE%\AppData\Local\Temp\OnboardLogs" /stypes="app*4012*20161225*" /stext=" 09:.+((SYSTEM_STATE.+slice.+state.+changed )|(ment ac)|(multiple cpu faults)|(system.+state.+changed )|(\[timeout)|(PRM\|1\|D)|(kpr)|(kdp)|(\|lc)|(penalty))" /e /r /s</v>
      </c>
      <c r="AG210" s="1" t="str">
        <f t="shared" si="67"/>
        <v>Other</v>
      </c>
      <c r="AH210" s="92" t="str">
        <f t="shared" si="68"/>
        <v>"%USERPROFILE%\Documents\GitHub\eaglep3\Utilities\RefineRTDCRunTimes.py" --tripid 50-25 --locoid 4012 --swversion DE.1.0.8.0 --startMP 204:233057 --initTime 2016-12-25T01:44:32 --startdatetime 2016-12-25T01:46:45 --delay 1 --endMP 204:105 --enddatetime 2016-12-25T02:23:05 --enforcementcount 0 &gt;&gt;C:\Users\stu\Documents\GitHub\eaglep3-reporting\EC\2016-12-25-refined-times.txt</v>
      </c>
      <c r="AI210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{"issue":{"subject":"","project_id":79,"tracker_id":40,"status_id":1,"priority_id":2,"assigned_to_id":23,"start_date":"2016-12-25","description":"","custom_fields":[{"id":1,"name":"Subdivision","value":"Other"},{"id":4,"name":"Milepost","value":"0.0105"},{"id":17,"name":"Train ID","value":"50-25"},{"id":16,"name":"Locomotive ID","value":"4012"},{"id":130,"name":"Impact","value":""},{"id":150,"name":"Time of Event (Mountain Time)","value":"02:23:05"},{"id":151,"name":"Denver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553</v>
      </c>
      <c r="B211" s="7">
        <v>4052</v>
      </c>
      <c r="C211" s="22" t="s">
        <v>205</v>
      </c>
      <c r="D211" s="22" t="s">
        <v>767</v>
      </c>
      <c r="E211" s="13">
        <v>42729.481192129628</v>
      </c>
      <c r="F211" s="13">
        <v>42729.482418981483</v>
      </c>
      <c r="G211" s="7">
        <v>1</v>
      </c>
      <c r="H211" s="22" t="s">
        <v>768</v>
      </c>
      <c r="I211" s="13">
        <v>42729.48778935185</v>
      </c>
      <c r="J211" s="7">
        <v>0</v>
      </c>
      <c r="K211" s="109" t="str">
        <f t="shared" si="53"/>
        <v>4051/4052</v>
      </c>
      <c r="L211" s="22" t="str">
        <f>VLOOKUP(A211,'Trips&amp;Operators'!$C$1:$G$99999,5,FALSE)</f>
        <v>CRAYTON QUNTRELL</v>
      </c>
      <c r="M211" s="6">
        <f t="shared" si="54"/>
        <v>5.3703703670180403E-3</v>
      </c>
      <c r="N211" s="7">
        <f t="shared" si="55"/>
        <v>7.733333328505978</v>
      </c>
      <c r="O211" s="7"/>
      <c r="P211" s="7"/>
      <c r="Q211" s="23"/>
      <c r="R211" s="23"/>
      <c r="S211" s="35">
        <f t="shared" si="56"/>
        <v>0</v>
      </c>
      <c r="T211" s="50" t="e">
        <f t="shared" si="57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10:32:55-700',mode:absolute,to:'2016-12-25 12:42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11" s="52" t="str">
        <f t="shared" si="59"/>
        <v>Y</v>
      </c>
      <c r="X211" s="177" t="e">
        <f t="shared" si="60"/>
        <v>#VALUE!</v>
      </c>
      <c r="Y211" s="67">
        <f t="shared" si="61"/>
        <v>2.2017000000000002</v>
      </c>
      <c r="Z211" s="67">
        <f t="shared" si="62"/>
        <v>8.7599999999999997E-2</v>
      </c>
      <c r="AA211" s="67">
        <f t="shared" si="63"/>
        <v>2.1141000000000001</v>
      </c>
      <c r="AB211" s="64" t="e">
        <f>VLOOKUP(A211,Enforcements!$C$7:$K$19,8,0)</f>
        <v>#N/A</v>
      </c>
      <c r="AC211" s="60" t="e">
        <f>VLOOKUP(A211,Enforcements!$C$7:$E$19,3,0)</f>
        <v>#N/A</v>
      </c>
      <c r="AD211" s="61" t="str">
        <f t="shared" si="64"/>
        <v>52-25</v>
      </c>
      <c r="AE211" s="91" t="str">
        <f t="shared" si="65"/>
        <v>aws s3 cp s3://rtdc.mdm.uploadarchive.raw/RTDC4052/ "%USERPROFILE%\AppData\Local\Temp\OnboardLogs"\RTDC4052\2016-12-25 --exclude "*" --recursive --include "*20161225*" &amp; "%USERPROFILE%\Documents\GitHub\mrs-test-scripts\Headless Mode &amp; Sideloading\WalkAndUnGZ.bat" "%USERPROFILE%\AppData\Local\Temp\OnboardLogs"\RTDC4052\2016-12-25 &amp; aws s3 cp s3://rtdc.mdm.uploadarchive.raw/RTDC4052/ "%USERPROFILE%\AppData\Local\Temp\OnboardLogs"\RTDC4052\2016-12-26 --exclude "*" --recursive --include "*20161226*" &amp; "%USERPROFILE%\Documents\GitHub\mrs-test-scripts\Headless Mode &amp; Sideloading\WalkAndUnGZ.bat" "%USERPROFILE%\AppData\Local\Temp\OnboardLogs"\RTDC4052\2016-12-26</v>
      </c>
      <c r="AF211" s="88" t="str">
        <f t="shared" si="66"/>
        <v>"C:\Program Files (x86)\AstroGrep\AstroGrep.exe" /spath="%USERPROFILE%\AppData\Local\Temp\OnboardLogs" /stypes="app*4052*20161225*" /stext=" 18:.+((SYSTEM_STATE.+slice.+state.+changed )|(ment ac)|(multiple cpu faults)|(system.+state.+changed )|(\[timeout)|(PRM\|1\|D)|(kpr)|(kdp)|(\|lc)|(penalty))" /e /r /s</v>
      </c>
      <c r="AG211" s="1" t="str">
        <f t="shared" si="67"/>
        <v>Other</v>
      </c>
      <c r="AH211" s="92" t="str">
        <f t="shared" si="68"/>
        <v>"%USERPROFILE%\Documents\GitHub\eaglep3\Utilities\RefineRTDCRunTimes.py" --tripid 52-25 --locoid 4052 --swversion DE.1.0.8.0 --startMP 300:22017 --initTime 2016-12-25T11:32:55 --startdatetime 2016-12-25T11:34:41 --delay 1 --endMP 204:876 --enddatetime 2016-12-25T11:42:25 --enforcementcount 0 &gt;&gt;C:\Users\stu\Documents\GitHub\eaglep3-reporting\EC\2016-12-25-refined-times.txt</v>
      </c>
      <c r="AI211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{"issue":{"subject":"","project_id":79,"tracker_id":40,"status_id":1,"priority_id":2,"assigned_to_id":23,"start_date":"2016-12-25","description":"","custom_fields":[{"id":1,"name":"Subdivision","value":"Other"},{"id":4,"name":"Milepost","value":"0.0876"},{"id":17,"name":"Train ID","value":"52-25"},{"id":16,"name":"Locomotive ID","value":"4052"},{"id":130,"name":"Impact","value":""},{"id":150,"name":"Time of Event (Mountain Time)","value":"11:42:25"},{"id":151,"name":"Denver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605</v>
      </c>
      <c r="B212" s="7">
        <v>4054</v>
      </c>
      <c r="C212" s="22" t="s">
        <v>205</v>
      </c>
      <c r="D212" s="22" t="s">
        <v>769</v>
      </c>
      <c r="E212" s="13">
        <v>42729.712997685187</v>
      </c>
      <c r="F212" s="13">
        <v>42729.717465277776</v>
      </c>
      <c r="G212" s="7">
        <v>6</v>
      </c>
      <c r="H212" s="22" t="s">
        <v>426</v>
      </c>
      <c r="I212" s="13">
        <v>42729.723391203705</v>
      </c>
      <c r="J212" s="7">
        <v>0</v>
      </c>
      <c r="K212" s="109" t="str">
        <f t="shared" si="53"/>
        <v>4053/4054</v>
      </c>
      <c r="L212" s="22" t="str">
        <f>VLOOKUP(A212,'Trips&amp;Operators'!$C$1:$G$99999,5,FALSE)</f>
        <v>NEWELL JAMES</v>
      </c>
      <c r="M212" s="6">
        <f t="shared" si="54"/>
        <v>5.9259259287500754E-3</v>
      </c>
      <c r="N212" s="7">
        <f t="shared" si="55"/>
        <v>8.5333333374001086</v>
      </c>
      <c r="O212" s="7"/>
      <c r="P212" s="7"/>
      <c r="Q212" s="23"/>
      <c r="R212" s="23"/>
      <c r="S212" s="35">
        <f t="shared" si="56"/>
        <v>0</v>
      </c>
      <c r="T212" s="50" t="e">
        <f t="shared" si="57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16:06:43-700',mode:absolute,to:'2016-12-25 18:21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4054%22')),sort:!(Time,asc))</v>
      </c>
      <c r="W212" s="52" t="str">
        <f t="shared" si="59"/>
        <v>Y</v>
      </c>
      <c r="X212" s="177" t="e">
        <f t="shared" si="60"/>
        <v>#VALUE!</v>
      </c>
      <c r="Y212" s="67">
        <f t="shared" si="61"/>
        <v>2.2178</v>
      </c>
      <c r="Z212" s="67">
        <f t="shared" si="62"/>
        <v>8.8200000000000001E-2</v>
      </c>
      <c r="AA212" s="67">
        <f t="shared" si="63"/>
        <v>2.1295999999999999</v>
      </c>
      <c r="AB212" s="64" t="e">
        <f>VLOOKUP(A212,Enforcements!$C$7:$K$19,8,0)</f>
        <v>#N/A</v>
      </c>
      <c r="AC212" s="60" t="e">
        <f>VLOOKUP(A212,Enforcements!$C$7:$E$19,3,0)</f>
        <v>#N/A</v>
      </c>
      <c r="AD212" s="61" t="str">
        <f t="shared" si="64"/>
        <v>74-25</v>
      </c>
      <c r="AE212" s="91" t="str">
        <f t="shared" si="65"/>
        <v>aws s3 cp s3://rtdc.mdm.uploadarchive.raw/RTDC4054/ "%USERPROFILE%\AppData\Local\Temp\OnboardLogs"\RTDC4054\2016-12-25 --exclude "*" --recursive --include "*20161225*" &amp; "%USERPROFILE%\Documents\GitHub\mrs-test-scripts\Headless Mode &amp; Sideloading\WalkAndUnGZ.bat" "%USERPROFILE%\AppData\Local\Temp\OnboardLogs"\RTDC4054\2016-12-25 &amp; aws s3 cp s3://rtdc.mdm.uploadarchive.raw/RTDC4054/ "%USERPROFILE%\AppData\Local\Temp\OnboardLogs"\RTDC4054\2016-12-26 --exclude "*" --recursive --include "*20161226*" &amp; "%USERPROFILE%\Documents\GitHub\mrs-test-scripts\Headless Mode &amp; Sideloading\WalkAndUnGZ.bat" "%USERPROFILE%\AppData\Local\Temp\OnboardLogs"\RTDC4054\2016-12-26</v>
      </c>
      <c r="AF212" s="88" t="str">
        <f t="shared" si="66"/>
        <v>"C:\Program Files (x86)\AstroGrep\AstroGrep.exe" /spath="%USERPROFILE%\AppData\Local\Temp\OnboardLogs" /stypes="app*4054*20161226*" /stext=" 00:.+((SYSTEM_STATE.+slice.+state.+changed )|(ment ac)|(multiple cpu faults)|(system.+state.+changed )|(\[timeout)|(PRM\|1\|D)|(kpr)|(kdp)|(\|lc)|(penalty))" /e /r /s</v>
      </c>
      <c r="AG212" s="1" t="str">
        <f t="shared" si="67"/>
        <v>Other</v>
      </c>
      <c r="AH212" s="92" t="str">
        <f t="shared" si="68"/>
        <v>"%USERPROFILE%\Documents\GitHub\eaglep3\Utilities\RefineRTDCRunTimes.py" --tripid 74-25 --locoid 4054 --swversion DE.1.0.8.0 --startMP 300:22178 --initTime 2016-12-25T17:06:43 --startdatetime 2016-12-25T17:13:09 --delay 6 --endMP 204:882 --enddatetime 2016-12-25T17:21:41 --enforcementcount 0 &gt;&gt;C:\Users\stu\Documents\GitHub\eaglep3-reporting\EC\2016-12-25-refined-times.txt</v>
      </c>
      <c r="AI212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{"issue":{"subject":"","project_id":79,"tracker_id":40,"status_id":1,"priority_id":2,"assigned_to_id":23,"start_date":"2016-12-25","description":"","custom_fields":[{"id":1,"name":"Subdivision","value":"Other"},{"id":4,"name":"Milepost","value":"0.0882"},{"id":17,"name":"Train ID","value":"74-25"},{"id":16,"name":"Locomotive ID","value":"4054"},{"id":130,"name":"Impact","value":""},{"id":150,"name":"Time of Event (Mountain Time)","value":"17:21:41"},{"id":151,"name":"Denver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618</v>
      </c>
      <c r="B213" s="7">
        <v>4053</v>
      </c>
      <c r="C213" s="22" t="s">
        <v>205</v>
      </c>
      <c r="D213" s="22" t="s">
        <v>770</v>
      </c>
      <c r="E213" s="13">
        <v>42729.755798611113</v>
      </c>
      <c r="F213" s="13">
        <v>42729.76289351852</v>
      </c>
      <c r="G213" s="7">
        <v>1</v>
      </c>
      <c r="H213" s="22" t="s">
        <v>430</v>
      </c>
      <c r="I213" s="13">
        <v>42729.769571759258</v>
      </c>
      <c r="J213" s="7">
        <v>0</v>
      </c>
      <c r="K213" s="109" t="str">
        <f t="shared" si="53"/>
        <v>4053/4054</v>
      </c>
      <c r="L213" s="22" t="str">
        <f>VLOOKUP(A213,'Trips&amp;Operators'!$C$1:$G$99999,5,FALSE)</f>
        <v>STEWART MICHAEL</v>
      </c>
      <c r="M213" s="6">
        <f t="shared" si="54"/>
        <v>6.6782407375285402E-3</v>
      </c>
      <c r="N213" s="7">
        <f t="shared" si="55"/>
        <v>9.6166666620410979</v>
      </c>
      <c r="O213" s="7"/>
      <c r="P213" s="7"/>
      <c r="Q213" s="23"/>
      <c r="R213" s="23"/>
      <c r="S213" s="35">
        <f t="shared" si="56"/>
        <v>0</v>
      </c>
      <c r="T213" s="50" t="e">
        <f t="shared" si="57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17:08:21-700',mode:absolute,to:'2016-12-25 19:28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4053%22')),sort:!(Time,asc))</v>
      </c>
      <c r="W213" s="52" t="str">
        <f t="shared" si="59"/>
        <v>Y</v>
      </c>
      <c r="X213" s="177" t="e">
        <f t="shared" si="60"/>
        <v>#VALUE!</v>
      </c>
      <c r="Y213" s="67">
        <f t="shared" si="61"/>
        <v>0.11940000000000001</v>
      </c>
      <c r="Z213" s="67">
        <f t="shared" si="62"/>
        <v>2.3308</v>
      </c>
      <c r="AA213" s="67">
        <f t="shared" si="63"/>
        <v>2.2113999999999998</v>
      </c>
      <c r="AB213" s="64" t="e">
        <f>VLOOKUP(A213,Enforcements!$C$7:$K$19,8,0)</f>
        <v>#N/A</v>
      </c>
      <c r="AC213" s="60" t="e">
        <f>VLOOKUP(A213,Enforcements!$C$7:$E$19,3,0)</f>
        <v>#N/A</v>
      </c>
      <c r="AD213" s="61" t="str">
        <f t="shared" si="64"/>
        <v>75-25</v>
      </c>
      <c r="AE213" s="91" t="str">
        <f t="shared" si="65"/>
        <v>aws s3 cp s3://rtdc.mdm.uploadarchive.raw/RTDC4053/ "%USERPROFILE%\AppData\Local\Temp\OnboardLogs"\RTDC4053\2016-12-25 --exclude "*" --recursive --include "*20161225*" &amp; "%USERPROFILE%\Documents\GitHub\mrs-test-scripts\Headless Mode &amp; Sideloading\WalkAndUnGZ.bat" "%USERPROFILE%\AppData\Local\Temp\OnboardLogs"\RTDC4053\2016-12-25 &amp; aws s3 cp s3://rtdc.mdm.uploadarchive.raw/RTDC4053/ "%USERPROFILE%\AppData\Local\Temp\OnboardLogs"\RTDC4053\2016-12-26 --exclude "*" --recursive --include "*20161226*" &amp; "%USERPROFILE%\Documents\GitHub\mrs-test-scripts\Headless Mode &amp; Sideloading\WalkAndUnGZ.bat" "%USERPROFILE%\AppData\Local\Temp\OnboardLogs"\RTDC4053\2016-12-26</v>
      </c>
      <c r="AF213" s="88" t="str">
        <f t="shared" si="66"/>
        <v>"C:\Program Files (x86)\AstroGrep\AstroGrep.exe" /spath="%USERPROFILE%\AppData\Local\Temp\OnboardLogs" /stypes="app*4053*20161226*" /stext=" 01:.+((SYSTEM_STATE.+slice.+state.+changed )|(ment ac)|(multiple cpu faults)|(system.+state.+changed )|(\[timeout)|(PRM\|1\|D)|(kpr)|(kdp)|(\|lc)|(penalty))" /e /r /s</v>
      </c>
      <c r="AG213" s="1" t="str">
        <f t="shared" si="67"/>
        <v>Other</v>
      </c>
      <c r="AH213" s="92" t="str">
        <f t="shared" si="68"/>
        <v>"%USERPROFILE%\Documents\GitHub\eaglep3\Utilities\RefineRTDCRunTimes.py" --tripid 75-25 --locoid 4053 --swversion DE.1.0.8.0 --startMP 204:1194 --initTime 2016-12-25T18:08:21 --startdatetime 2016-12-25T18:18:34 --delay 1 --endMP 300:23308 --enddatetime 2016-12-25T18:28:11 --enforcementcount 0 &gt;&gt;C:\Users\stu\Documents\GitHub\eaglep3-reporting\EC\2016-12-25-refined-times.txt</v>
      </c>
      <c r="AI213" s="119" t="str">
        <f t="shared" si="69"/>
        <v>echo {"issue":{"subject":"","project_id":79,"tracker_id":40,"status_id":1,"priority_id":2,"assigned_to_id":23,"start_date":"2016-12-25","description":"","custom_fields":[{"id":1,"name":"Subdivision","value":"Other"},{"id":4,"name":"Milepost","value":"2.3308"},{"id":17,"name":"Train ID","value":"75-25"},{"id":16,"name":"Locomotive ID","value":"4053"},{"id":130,"name":"Impact","value":""},{"id":150,"name":"Time of Event (Mountain Time)","value":"18:28:11"},{"id":151,"name":"Denver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611</v>
      </c>
      <c r="B214" s="7">
        <v>4029</v>
      </c>
      <c r="C214" s="22" t="s">
        <v>205</v>
      </c>
      <c r="D214" s="22" t="s">
        <v>771</v>
      </c>
      <c r="E214" s="13">
        <v>42729.723865740743</v>
      </c>
      <c r="F214" s="13">
        <v>25568.708333333332</v>
      </c>
      <c r="G214" s="7">
        <v>1</v>
      </c>
      <c r="H214" s="22" t="s">
        <v>432</v>
      </c>
      <c r="I214" s="13">
        <v>25568.708333333332</v>
      </c>
      <c r="J214" s="7">
        <v>0</v>
      </c>
      <c r="K214" s="109" t="str">
        <f t="shared" si="53"/>
        <v>4029/4030</v>
      </c>
      <c r="L214" s="22" t="str">
        <f>VLOOKUP(A214,'Trips&amp;Operators'!$C$1:$G$99999,5,FALSE)</f>
        <v>HOLCOMB KAMDEN</v>
      </c>
      <c r="M214" s="6">
        <f t="shared" si="54"/>
        <v>0</v>
      </c>
      <c r="N214" s="7">
        <f t="shared" si="55"/>
        <v>0</v>
      </c>
      <c r="O214" s="7"/>
      <c r="P214" s="7"/>
      <c r="Q214" s="23"/>
      <c r="R214" s="23"/>
      <c r="S214" s="35">
        <f t="shared" si="56"/>
        <v>0</v>
      </c>
      <c r="T214" s="50" t="e">
        <f t="shared" si="57"/>
        <v>#VALUE!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98" t="str">
        <f t="shared" si="58"/>
        <v>https://search-rtdc-monitor-bjffxe2xuh6vdkpspy63sjmuny.us-east-1.es.amazonaws.com/_plugin/kibana/#/discover/Steve-Slow-Train-Analysis-(2080s-and-2083s)?_g=(refreshInterval:(display:Off,section:0,value:0),time:(from:'2016-12-25 16:22:22-700',mode:absolute,to:'1969-12-31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14" s="52" t="str">
        <f t="shared" si="59"/>
        <v>Y</v>
      </c>
      <c r="X214" s="177" t="e">
        <f t="shared" si="60"/>
        <v>#VALUE!</v>
      </c>
      <c r="Y214" s="67">
        <f t="shared" si="61"/>
        <v>0.15029999999999999</v>
      </c>
      <c r="Z214" s="67">
        <f t="shared" si="62"/>
        <v>2.3304</v>
      </c>
      <c r="AA214" s="67">
        <f t="shared" si="63"/>
        <v>2.1800999999999999</v>
      </c>
      <c r="AB214" s="64" t="e">
        <f>VLOOKUP(A214,Enforcements!$C$7:$K$19,8,0)</f>
        <v>#N/A</v>
      </c>
      <c r="AC214" s="60" t="e">
        <f>VLOOKUP(A214,Enforcements!$C$7:$E$19,3,0)</f>
        <v>#N/A</v>
      </c>
      <c r="AD214" s="61" t="str">
        <f t="shared" si="64"/>
        <v>89-25</v>
      </c>
      <c r="AE214" s="91" t="str">
        <f t="shared" si="65"/>
        <v>aws s3 cp s3://rtdc.mdm.uploadarchive.raw/RTDC4029/ "%USERPROFILE%\AppData\Local\Temp\OnboardLogs"\RTDC4029\1969-12-31 --exclude "*" --recursive --include "*19691231*" &amp; "%USERPROFILE%\Documents\GitHub\mrs-test-scripts\Headless Mode &amp; Sideloading\WalkAndUnGZ.bat" "%USERPROFILE%\AppData\Local\Temp\OnboardLogs"\RTDC4029\1969-12-31 &amp; aws s3 cp s3://rtdc.mdm.uploadarchive.raw/RTDC4029/ "%USERPROFILE%\AppData\Local\Temp\OnboardLogs"\RTDC4029\1970-01-01 --exclude "*" --recursive --include "*19700101*" &amp; "%USERPROFILE%\Documents\GitHub\mrs-test-scripts\Headless Mode &amp; Sideloading\WalkAndUnGZ.bat" "%USERPROFILE%\AppData\Local\Temp\OnboardLogs"\RTDC4029\1970-01-01</v>
      </c>
      <c r="AF214" s="88" t="str">
        <f t="shared" si="66"/>
        <v>"C:\Program Files (x86)\AstroGrep\AstroGrep.exe" /spath="%USERPROFILE%\AppData\Local\Temp\OnboardLogs" /stypes="app*4029*19700101*" /stext=" 00:.+((SYSTEM_STATE.+slice.+state.+changed )|(ment ac)|(multiple cpu faults)|(system.+state.+changed )|(\[timeout)|(PRM\|1\|D)|(kpr)|(kdp)|(\|lc)|(penalty))" /e /r /s</v>
      </c>
      <c r="AG214" s="1" t="str">
        <f t="shared" si="67"/>
        <v>Other</v>
      </c>
      <c r="AH214" s="92" t="str">
        <f t="shared" si="68"/>
        <v>"%USERPROFILE%\Documents\GitHub\eaglep3\Utilities\RefineRTDCRunTimes.py" --tripid 89-25 --locoid 4029 --swversion DE.1.0.8.0 --startMP 204:1503 --initTime 2016-12-25T17:22:22 --startdatetime 1969-12-31T17:00:00 --delay 1 --endMP 300:23304 --enddatetime 1969-12-31T17:00:00 --enforcementcount 0 &gt;&gt;C:\Users\stu\Documents\GitHub\eaglep3-reporting\EC\2016-12-25-refined-times.txt</v>
      </c>
      <c r="AI214" s="119" t="str">
        <f t="shared" si="69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ID","value":"89-25"},{"id":16,"name":"Locomotive ID","value":"4029"},{"id":130,"name":"Impact","value":""},{"id":150,"name":"Time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  <row r="242" spans="1:35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</row>
  </sheetData>
  <autoFilter ref="A12:AG229">
    <sortState ref="A13:AG230">
      <sortCondition ref="AG13:AG215"/>
      <sortCondition ref="AD13:AD215"/>
    </sortState>
  </autoFilter>
  <sortState ref="A13:AH200">
    <sortCondition ref="AG13:AG200"/>
    <sortCondition ref="AD13:AD200"/>
  </sortState>
  <mergeCells count="1">
    <mergeCell ref="A11:P11"/>
  </mergeCells>
  <conditionalFormatting sqref="W11:W12 W243:X1048576 W13:X214">
    <cfRule type="cellIs" dxfId="10" priority="352" operator="equal">
      <formula>"Y"</formula>
    </cfRule>
  </conditionalFormatting>
  <conditionalFormatting sqref="X243:X1048576 X13:X214">
    <cfRule type="cellIs" dxfId="9" priority="335" operator="greaterThan">
      <formula>1</formula>
    </cfRule>
  </conditionalFormatting>
  <conditionalFormatting sqref="X243:X1048576 X12:X214">
    <cfRule type="cellIs" dxfId="8" priority="332" operator="equal">
      <formula>0</formula>
    </cfRule>
  </conditionalFormatting>
  <conditionalFormatting sqref="A13:S214">
    <cfRule type="expression" dxfId="7" priority="326" stopIfTrue="1">
      <formula>$P13&gt;0</formula>
    </cfRule>
    <cfRule type="expression" dxfId="6" priority="327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  <x14:conditionalFormatting xmlns:xm="http://schemas.microsoft.com/office/excel/2006/main">
          <x14:cfRule type="expression" priority="1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AK13:AK214</xm:sqref>
        </x14:dataValidation>
        <x14:dataValidation type="list" allowBlank="1" showInputMessage="1" showErrorMessage="1">
          <x14:formula1>
            <xm:f>'Redmine List Values'!$C$2:$C$15</xm:f>
          </x14:formula1>
          <xm:sqref>AL13:AL214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3"/>
  <sheetViews>
    <sheetView topLeftCell="A2" zoomScale="85" zoomScaleNormal="85" workbookViewId="0">
      <selection activeCell="P13" sqref="P13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9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9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80">
        <f>COUNTIF($O$7:$O$332,"=Y")</f>
        <v>2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1">
        <f>COUNTA($O$7:$O$332)-O2</f>
        <v>15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9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5" t="str">
        <f>"Eagle P3 Braking Events - "&amp;TEXT(Variables!$A$2,"YYYY-mm-dd")</f>
        <v>Eagle P3 Braking Events - 2016-12-25</v>
      </c>
      <c r="B5" s="185"/>
      <c r="C5" s="185"/>
      <c r="D5" s="185"/>
      <c r="E5" s="185"/>
      <c r="F5" s="185"/>
      <c r="G5" s="185"/>
      <c r="H5" s="185"/>
      <c r="I5" s="185"/>
      <c r="J5" s="185"/>
      <c r="K5" s="185"/>
      <c r="L5" s="185"/>
      <c r="M5" s="185"/>
      <c r="N5" s="185"/>
      <c r="O5" s="185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2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226</v>
      </c>
    </row>
    <row r="7" spans="1:30" s="1" customFormat="1" x14ac:dyDescent="0.25">
      <c r="A7" s="36">
        <v>42729.660636574074</v>
      </c>
      <c r="B7" s="31" t="s">
        <v>367</v>
      </c>
      <c r="C7" s="31" t="s">
        <v>449</v>
      </c>
      <c r="D7" s="31" t="s">
        <v>49</v>
      </c>
      <c r="E7" s="31" t="s">
        <v>247</v>
      </c>
      <c r="F7" s="47">
        <v>0</v>
      </c>
      <c r="G7" s="47">
        <v>153</v>
      </c>
      <c r="H7" s="47">
        <v>27039</v>
      </c>
      <c r="I7" s="47">
        <v>27240</v>
      </c>
      <c r="J7" s="31" t="s">
        <v>248</v>
      </c>
      <c r="K7" s="47">
        <v>27053</v>
      </c>
      <c r="L7" s="154" t="s">
        <v>50</v>
      </c>
      <c r="M7" s="155">
        <f t="shared" ref="M7:M23" si="0">CONVERT((I7-K7)/10000,"mi","ft")*IF(L7="Increasing Mileposts (1)",-1,1)</f>
        <v>-98.736000000000004</v>
      </c>
      <c r="N7" s="156" t="str">
        <f>VLOOKUP(C7,'Trips&amp;Operators'!$C$1:$G$99999,5,FALSE)</f>
        <v>ADANE ELSHADAY</v>
      </c>
      <c r="O7" s="183" t="s">
        <v>195</v>
      </c>
      <c r="P7" s="157" t="s">
        <v>783</v>
      </c>
      <c r="Q7" s="31"/>
      <c r="R7" s="100" t="str">
        <f>VLOOKUP(C7,'Train Runs'!$A$13:$AE$9973,31,0)</f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S7" s="103" t="str">
        <f>VLOOKUP(C7,'Train Runs'!$A$13:$AE$9973,22,0)</f>
        <v>https://search-rtdc-monitor-bjffxe2xuh6vdkpspy63sjmuny.us-east-1.es.amazonaws.com/_plugin/kibana/#/discover/Steve-Slow-Train-Analysis-(2080s-and-2083s)?_g=(refreshInterval:(display:Off,section:0,value:0),time:(from:'2016-12-25 14:41:54-700',mode:absolute,to:'2016-12-25 17:20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7" s="105" t="str">
        <f t="shared" ref="T7:T23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/stypes="*4025*201612252*" /stext=" 22:.+((SYSTEM_STATE.+slice.+state.+changed )|(ment ac)|(multiple cpu faults)|(system.+state.+changed )|(\[timeout)|(PRM\|1\|D)|(kpr)|(kdp)|(\|lc)|(penalty))" /e /r /s</v>
      </c>
      <c r="U7" s="9" t="str">
        <f t="shared" ref="U7:U23" si="2">MID(B7,13,4)</f>
        <v>4025</v>
      </c>
      <c r="V7" s="36">
        <f t="shared" ref="V7:V23" si="3">A7-utc_offset/24</f>
        <v>42729.952303240738</v>
      </c>
      <c r="W7" s="50" t="str">
        <f t="shared" ref="W7:W23" si="4">IF(VALUE(LEFT(IF(LEN(C7)=6,"0"&amp;C7,C7),2))&lt;=2,"EC",IF(OR(VALUE(LEFT(IF(LEN(C7)=6,"0"&amp;C7,C7),2))=8,VALUE(LEFT(IF(LEN(C7)=6,"0"&amp;C7,C7),2))=18),"NW","Other"))</f>
        <v>EC</v>
      </c>
      <c r="X7" s="50" t="str">
        <f t="shared" ref="X7:X23" si="5">IF(AND(E7="TRACK WARRANT AUTHORITY",G7&lt;10),"OMIT","KEEP")</f>
        <v>KEEP</v>
      </c>
      <c r="Y7" s="119" t="str">
        <f t="shared" ref="Y7:Y23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arrival","project_id":79,"tracker_id":40,"status_id":1,"priority_id":2,"assigned_to_id":23,"start_date":"2016-12-25","description":"","custom_fields":[{"id":1,"name":"Subdivision","value":"EC"},{"id":4,"name":"Milepost","value":"2.7053"},{"id":17,"name":"Train ID","value":"197-25"},{"id":16,"name":"Locomotive ID","value":"4025"},{"id":130,"name":"Impact","value":""},{"id":150,"name":"Time of Event (Mountain Time)","value":"15:51:19"},{"id":151,"name":"Denver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23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"%USERPROFILE%\AppData\Local\Temp\OnboardLogs"\RTDC4025\*4025*201612252*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"%USERPROFILE%\AppData\Local\Temp\OnboardLogs"\RTDC4025\*4025*201612252* &gt;&gt; 42729-slicedisagreementcheck.txt</v>
      </c>
    </row>
    <row r="8" spans="1:30" s="1" customFormat="1" x14ac:dyDescent="0.25">
      <c r="A8" s="36">
        <v>42729.591828703706</v>
      </c>
      <c r="B8" s="31" t="s">
        <v>367</v>
      </c>
      <c r="C8" s="31" t="s">
        <v>447</v>
      </c>
      <c r="D8" s="31" t="s">
        <v>49</v>
      </c>
      <c r="E8" s="31" t="s">
        <v>247</v>
      </c>
      <c r="F8" s="47">
        <v>0</v>
      </c>
      <c r="G8" s="47">
        <v>297</v>
      </c>
      <c r="H8" s="47">
        <v>52954</v>
      </c>
      <c r="I8" s="47">
        <v>53243</v>
      </c>
      <c r="J8" s="31" t="s">
        <v>248</v>
      </c>
      <c r="K8" s="47">
        <v>53156</v>
      </c>
      <c r="L8" s="154" t="s">
        <v>50</v>
      </c>
      <c r="M8" s="155">
        <f t="shared" si="0"/>
        <v>-45.936</v>
      </c>
      <c r="N8" s="156" t="str">
        <f>VLOOKUP(C8,'Trips&amp;Operators'!$C$1:$G$99999,5,FALSE)</f>
        <v>ADANE ELSHADAY</v>
      </c>
      <c r="O8" s="183" t="s">
        <v>195</v>
      </c>
      <c r="P8" s="157" t="s">
        <v>783</v>
      </c>
      <c r="Q8" s="31"/>
      <c r="R8" s="100" t="str">
        <f>VLOOKUP(C8,'Train Runs'!$A$13:$AE$9973,31,0)</f>
        <v>aws s3 cp s3://rtdc.mdm.uploadarchive.raw/RTDC4025/ "%USERPROFILE%\AppData\Local\Temp\OnboardLogs"\RTDC4025\2016-12-25 --exclude "*" --recursive --include "*20161225*" &amp; "%USERPROFILE%\Documents\GitHub\mrs-test-scripts\Headless Mode &amp; Sideloading\WalkAndUnGZ.bat" "%USERPROFILE%\AppData\Local\Temp\OnboardLogs"\RTDC4025\2016-12-25 &amp; aws s3 cp s3://rtdc.mdm.uploadarchive.raw/RTDC4025/ "%USERPROFILE%\AppData\Local\Temp\OnboardLogs"\RTDC4025\2016-12-26 --exclude "*" --recursive --include "*20161226*" &amp; "%USERPROFILE%\Documents\GitHub\mrs-test-scripts\Headless Mode &amp; Sideloading\WalkAndUnGZ.bat" "%USERPROFILE%\AppData\Local\Temp\OnboardLogs"\RTDC4025\2016-12-26</v>
      </c>
      <c r="S8" s="103" t="str">
        <f>VLOOKUP(C8,'Train Runs'!$A$13:$AE$9973,22,0)</f>
        <v>https://search-rtdc-monitor-bjffxe2xuh6vdkpspy63sjmuny.us-east-1.es.amazonaws.com/_plugin/kibana/#/discover/Steve-Slow-Train-Analysis-(2080s-and-2083s)?_g=(refreshInterval:(display:Off,section:0,value:0),time:(from:'2016-12-25 12:53:06-700',mode:absolute,to:'2016-12-25 15:38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T8" s="105" t="str">
        <f t="shared" si="1"/>
        <v>"C:\Program Files (x86)\AstroGrep\AstroGrep.exe" /spath="%USERPROFILE%\AppData\Local\Temp\OnboardLogs" /stypes="*4025*201612252*" /stext=" 21:.+((SYSTEM_STATE.+slice.+state.+changed )|(ment ac)|(multiple cpu faults)|(system.+state.+changed )|(\[timeout)|(PRM\|1\|D)|(kpr)|(kdp)|(\|lc)|(penalty))" /e /r /s</v>
      </c>
      <c r="U8" s="9" t="str">
        <f t="shared" si="2"/>
        <v>4025</v>
      </c>
      <c r="V8" s="36">
        <f t="shared" si="3"/>
        <v>42729.88349537037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arrival","project_id":79,"tracker_id":40,"status_id":1,"priority_id":2,"assigned_to_id":23,"start_date":"2016-12-25","description":"","custom_fields":[{"id":1,"name":"Subdivision","value":"EC"},{"id":4,"name":"Milepost","value":"5.3156"},{"id":17,"name":"Train ID","value":"183-25"},{"id":16,"name":"Locomotive ID","value":"4025"},{"id":130,"name":"Impact","value":""},{"id":150,"name":"Time of Event (Mountain Time)","value":"14:12:14"},{"id":151,"name":"Denver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"%USERPROFILE%\AppData\Local\Temp\OnboardLogs"\RTDC4025\*4025*201612252*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"%USERPROFILE%\AppData\Local\Temp\OnboardLogs"\RTDC4025\*4025*201612252* &gt;&gt; 42729-slicedisagreementcheck.txt</v>
      </c>
    </row>
    <row r="9" spans="1:30" s="1" customFormat="1" x14ac:dyDescent="0.25">
      <c r="A9" s="36">
        <v>42729.781400462962</v>
      </c>
      <c r="B9" s="31" t="s">
        <v>451</v>
      </c>
      <c r="C9" s="31" t="s">
        <v>452</v>
      </c>
      <c r="D9" s="31" t="s">
        <v>49</v>
      </c>
      <c r="E9" s="31" t="s">
        <v>196</v>
      </c>
      <c r="F9" s="47">
        <v>300</v>
      </c>
      <c r="G9" s="47">
        <v>351</v>
      </c>
      <c r="H9" s="47">
        <v>22739</v>
      </c>
      <c r="I9" s="47">
        <v>21796</v>
      </c>
      <c r="J9" s="31" t="s">
        <v>197</v>
      </c>
      <c r="K9" s="47">
        <v>21848</v>
      </c>
      <c r="L9" s="154" t="s">
        <v>51</v>
      </c>
      <c r="M9" s="155">
        <f t="shared" si="0"/>
        <v>-27.456</v>
      </c>
      <c r="N9" s="156" t="str">
        <f>VLOOKUP(C9,'Trips&amp;Operators'!$C$1:$G$99999,5,FALSE)</f>
        <v>CHANDLER KELVIN</v>
      </c>
      <c r="O9" s="183" t="s">
        <v>195</v>
      </c>
      <c r="P9" s="157"/>
      <c r="Q9" s="31"/>
      <c r="R9" s="100" t="str">
        <f>VLOOKUP(C9,'Train Runs'!$A$13:$AE$9973,31,0)</f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S9" s="103" t="str">
        <f>VLOOKUP(C9,'Train Runs'!$A$13:$AE$9973,22,0)</f>
        <v>https://search-rtdc-monitor-bjffxe2xuh6vdkpspy63sjmuny.us-east-1.es.amazonaws.com/_plugin/kibana/#/discover/Steve-Slow-Train-Analysis-(2080s-and-2083s)?_g=(refreshInterval:(display:Off,section:0,value:0),time:(from:'2016-12-25 17:09:31-700',mode:absolute,to:'2016-12-25 19:52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/stypes="*4010*201612260*" /stext=" 01:.+((SYSTEM_STATE.+slice.+state.+changed )|(ment ac)|(multiple cpu faults)|(system.+state.+changed )|(\[timeout)|(PRM\|1\|D)|(kpr)|(kdp)|(\|lc)|(penalty))" /e /r /s</v>
      </c>
      <c r="U9" s="9" t="str">
        <f t="shared" si="2"/>
        <v>4010</v>
      </c>
      <c r="V9" s="36">
        <f t="shared" si="3"/>
        <v>42730.073067129626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{"issue":{"subject":"","project_id":79,"tracker_id":40,"status_id":1,"priority_id":2,"assigned_to_id":23,"start_date":"2016-12-25","description":"","custom_fields":[{"id":1,"name":"Subdivision","value":"EC"},{"id":4,"name":"Milepost","value":"2.1848"},{"id":17,"name":"Train ID","value":"210-25"},{"id":16,"name":"Locomotive ID","value":"4010"},{"id":130,"name":"Impact","value":""},{"id":150,"name":"Time of Event (Mountain Time)","value":"18:45:13"},{"id":151,"name":"Denver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"%USERPROFILE%\AppData\Local\Temp\OnboardLogs"\RTDC4010\*4010*201612260*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"%USERPROFILE%\AppData\Local\Temp\OnboardLogs"\RTDC4010\*4010*201612260* &gt;&gt; 42729-slicedisagreementcheck.txt</v>
      </c>
    </row>
    <row r="10" spans="1:30" s="1" customFormat="1" x14ac:dyDescent="0.25">
      <c r="A10" s="36">
        <v>42729.230706018519</v>
      </c>
      <c r="B10" s="31" t="s">
        <v>183</v>
      </c>
      <c r="C10" s="31" t="s">
        <v>442</v>
      </c>
      <c r="D10" s="31" t="s">
        <v>49</v>
      </c>
      <c r="E10" s="31" t="s">
        <v>196</v>
      </c>
      <c r="F10" s="47">
        <v>450</v>
      </c>
      <c r="G10" s="47">
        <v>724</v>
      </c>
      <c r="H10" s="47">
        <v>214245</v>
      </c>
      <c r="I10" s="47">
        <v>217386</v>
      </c>
      <c r="J10" s="31" t="s">
        <v>197</v>
      </c>
      <c r="K10" s="47">
        <v>218954</v>
      </c>
      <c r="L10" s="154" t="s">
        <v>50</v>
      </c>
      <c r="M10" s="155">
        <f t="shared" si="0"/>
        <v>827.904</v>
      </c>
      <c r="N10" s="156" t="str">
        <f>VLOOKUP(C10,'Trips&amp;Operators'!$C$1:$G$99999,5,FALSE)</f>
        <v>GEBRETEKLE DAGNEW</v>
      </c>
      <c r="O10" s="183" t="s">
        <v>195</v>
      </c>
      <c r="P10" s="157"/>
      <c r="Q10" s="31"/>
      <c r="R10" s="100" t="str">
        <f>VLOOKUP(C10,'Train Runs'!$A$13:$AE$9973,31,0)</f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S10" s="103" t="str">
        <f>VLOOKUP(C10,'Train Runs'!$A$13:$AE$9973,22,0)</f>
        <v>https://search-rtdc-monitor-bjffxe2xuh6vdkpspy63sjmuny.us-east-1.es.amazonaws.com/_plugin/kibana/#/discover/Steve-Slow-Train-Analysis-(2080s-and-2083s)?_g=(refreshInterval:(display:Off,section:0,value:0),time:(from:'2016-12-25 03:56:28-700',mode:absolute,to:'2016-12-25 06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0" s="105" t="str">
        <f t="shared" si="1"/>
        <v>"C:\Program Files (x86)\AstroGrep\AstroGrep.exe" /spath="%USERPROFILE%\AppData\Local\Temp\OnboardLogs" /stypes="*4009*201612251*" /stext=" 12:.+((SYSTEM_STATE.+slice.+state.+changed )|(ment ac)|(multiple cpu faults)|(system.+state.+changed )|(\[timeout)|(PRM\|1\|D)|(kpr)|(kdp)|(\|lc)|(penalty))" /e /r /s</v>
      </c>
      <c r="U10" s="9" t="str">
        <f t="shared" si="2"/>
        <v>4009</v>
      </c>
      <c r="V10" s="36">
        <f t="shared" si="3"/>
        <v>42729.522372685184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{"issue":{"subject":"","project_id":79,"tracker_id":40,"status_id":1,"priority_id":2,"assigned_to_id":23,"start_date":"2016-12-25","description":"","custom_fields":[{"id":1,"name":"Subdivision","value":"EC"},{"id":4,"name":"Milepost","value":"21.8954"},{"id":17,"name":"Train ID","value":"111-25"},{"id":16,"name":"Locomotive ID","value":"4009"},{"id":130,"name":"Impact","value":""},{"id":150,"name":"Time of Event (Mountain Time)","value":"05:32:13"},{"id":151,"name":"Denver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"%USERPROFILE%\AppData\Local\Temp\OnboardLogs"\RTDC4009\*4009*201612251*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"%USERPROFILE%\AppData\Local\Temp\OnboardLogs"\RTDC4009\*4009*201612251* &gt;&gt; 42729-slicedisagreementcheck.txt</v>
      </c>
    </row>
    <row r="11" spans="1:30" s="1" customFormat="1" x14ac:dyDescent="0.25">
      <c r="A11" s="36">
        <v>42729.637789351851</v>
      </c>
      <c r="B11" s="31" t="s">
        <v>225</v>
      </c>
      <c r="C11" s="31" t="s">
        <v>448</v>
      </c>
      <c r="D11" s="31" t="s">
        <v>49</v>
      </c>
      <c r="E11" s="31" t="s">
        <v>196</v>
      </c>
      <c r="F11" s="47">
        <v>350</v>
      </c>
      <c r="G11" s="47">
        <v>526</v>
      </c>
      <c r="H11" s="47">
        <v>222811</v>
      </c>
      <c r="I11" s="47">
        <v>224364</v>
      </c>
      <c r="J11" s="31" t="s">
        <v>197</v>
      </c>
      <c r="K11" s="47">
        <v>224578</v>
      </c>
      <c r="L11" s="154" t="s">
        <v>50</v>
      </c>
      <c r="M11" s="155">
        <f t="shared" si="0"/>
        <v>112.992</v>
      </c>
      <c r="N11" s="156" t="str">
        <f>VLOOKUP(C11,'Trips&amp;Operators'!$C$1:$G$99999,5,FALSE)</f>
        <v>DAVIS MICHAEL</v>
      </c>
      <c r="O11" s="183" t="s">
        <v>195</v>
      </c>
      <c r="P11" s="157"/>
      <c r="Q11" s="31"/>
      <c r="R11" s="100" t="str">
        <f>VLOOKUP(C11,'Train Runs'!$A$13:$AE$9973,31,0)</f>
        <v>aws s3 cp s3://rtdc.mdm.uploadarchive.raw/RTDC4014/ "%USERPROFILE%\AppData\Local\Temp\OnboardLogs"\RTDC4014\2016-12-25 --exclude "*" --recursive --include "*20161225*" &amp; "%USERPROFILE%\Documents\GitHub\mrs-test-scripts\Headless Mode &amp; Sideloading\WalkAndUnGZ.bat" "%USERPROFILE%\AppData\Local\Temp\OnboardLogs"\RTDC4014\2016-12-25 &amp; aws s3 cp s3://rtdc.mdm.uploadarchive.raw/RTDC4014/ "%USERPROFILE%\AppData\Local\Temp\OnboardLogs"\RTDC4014\2016-12-26 --exclude "*" --recursive --include "*20161226*" &amp; "%USERPROFILE%\Documents\GitHub\mrs-test-scripts\Headless Mode &amp; Sideloading\WalkAndUnGZ.bat" "%USERPROFILE%\AppData\Local\Temp\OnboardLogs"\RTDC4014\2016-12-26</v>
      </c>
      <c r="S11" s="103" t="str">
        <f>VLOOKUP(C11,'Train Runs'!$A$13:$AE$9973,22,0)</f>
        <v>https://search-rtdc-monitor-bjffxe2xuh6vdkpspy63sjmuny.us-east-1.es.amazonaws.com/_plugin/kibana/#/discover/Steve-Slow-Train-Analysis-(2080s-and-2083s)?_g=(refreshInterval:(display:Off,section:0,value:0),time:(from:'2016-12-25 13:39:44-700',mode:absolute,to:'2016-12-25 16:22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T11" s="105" t="str">
        <f t="shared" si="1"/>
        <v>"C:\Program Files (x86)\AstroGrep\AstroGrep.exe" /spath="%USERPROFILE%\AppData\Local\Temp\OnboardLogs" /stypes="*4014*201612252*" /stext=" 22:.+((SYSTEM_STATE.+slice.+state.+changed )|(ment ac)|(multiple cpu faults)|(system.+state.+changed )|(\[timeout)|(PRM\|1\|D)|(kpr)|(kdp)|(\|lc)|(penalty))" /e /r /s</v>
      </c>
      <c r="U11" s="9" t="str">
        <f t="shared" si="2"/>
        <v>4014</v>
      </c>
      <c r="V11" s="36">
        <f t="shared" si="3"/>
        <v>42729.929456018515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{"issue":{"subject":"","project_id":79,"tracker_id":40,"status_id":1,"priority_id":2,"assigned_to_id":23,"start_date":"2016-12-25","description":"","custom_fields":[{"id":1,"name":"Subdivision","value":"EC"},{"id":4,"name":"Milepost","value":"22.4578"},{"id":17,"name":"Train ID","value":"189-25"},{"id":16,"name":"Locomotive ID","value":"4014"},{"id":130,"name":"Impact","value":""},{"id":150,"name":"Time of Event (Mountain Time)","value":"15:18:25"},{"id":151,"name":"Denver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"%USERPROFILE%\AppData\Local\Temp\OnboardLogs"\RTDC4014\*4014*201612252*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"%USERPROFILE%\AppData\Local\Temp\OnboardLogs"\RTDC4014\*4014*201612252* &gt;&gt; 42729-slicedisagreementcheck.txt</v>
      </c>
    </row>
    <row r="12" spans="1:30" s="1" customFormat="1" x14ac:dyDescent="0.25">
      <c r="A12" s="36">
        <v>42729.697546296295</v>
      </c>
      <c r="B12" s="31" t="s">
        <v>370</v>
      </c>
      <c r="C12" s="31" t="s">
        <v>450</v>
      </c>
      <c r="D12" s="31" t="s">
        <v>98</v>
      </c>
      <c r="E12" s="31" t="s">
        <v>196</v>
      </c>
      <c r="F12" s="47">
        <v>350</v>
      </c>
      <c r="G12" s="47">
        <v>406</v>
      </c>
      <c r="H12" s="47">
        <v>226032</v>
      </c>
      <c r="I12" s="47">
        <v>224904</v>
      </c>
      <c r="J12" s="31" t="s">
        <v>197</v>
      </c>
      <c r="K12" s="47">
        <v>228668</v>
      </c>
      <c r="L12" s="154" t="s">
        <v>51</v>
      </c>
      <c r="M12" s="155">
        <f t="shared" si="0"/>
        <v>-1987.3920000000001</v>
      </c>
      <c r="N12" s="156" t="str">
        <f>VLOOKUP(C12,'Trips&amp;Operators'!$C$1:$G$99999,5,FALSE)</f>
        <v>ADANE ELSHADAY</v>
      </c>
      <c r="O12" s="183" t="s">
        <v>195</v>
      </c>
      <c r="P12" s="157"/>
      <c r="Q12" s="31"/>
      <c r="R12" s="100" t="str">
        <f>VLOOKUP(C12,'Train Runs'!$A$13:$AE$9973,31,0)</f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S12" s="103" t="str">
        <f>VLOOKUP(C12,'Train Runs'!$A$13:$AE$9973,22,0)</f>
        <v>https://search-rtdc-monitor-bjffxe2xuh6vdkpspy63sjmuny.us-east-1.es.amazonaws.com/_plugin/kibana/#/discover/Steve-Slow-Train-Analysis-(2080s-and-2083s)?_g=(refreshInterval:(display:Off,section:0,value:0),time:(from:'2016-12-25 15:23:29-700',mode:absolute,to:'2016-12-25 18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2" s="105" t="str">
        <f t="shared" si="1"/>
        <v>"C:\Program Files (x86)\AstroGrep\AstroGrep.exe" /spath="%USERPROFILE%\AppData\Local\Temp\OnboardLogs" /stypes="*4026*201612252*" /stext=" 23:.+((SYSTEM_STATE.+slice.+state.+changed )|(ment ac)|(multiple cpu faults)|(system.+state.+changed )|(\[timeout)|(PRM\|1\|D)|(kpr)|(kdp)|(\|lc)|(penalty))" /e /r /s</v>
      </c>
      <c r="U12" s="9" t="str">
        <f t="shared" si="2"/>
        <v>4026</v>
      </c>
      <c r="V12" s="36">
        <f t="shared" si="3"/>
        <v>42729.989212962959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{"issue":{"subject":"","project_id":79,"tracker_id":40,"status_id":1,"priority_id":2,"assigned_to_id":23,"start_date":"2016-12-25","description":"","custom_fields":[{"id":1,"name":"Subdivision","value":"EC"},{"id":4,"name":"Milepost","value":"22.8668"},{"id":17,"name":"Train ID","value":"198-25"},{"id":16,"name":"Locomotive ID","value":"4026"},{"id":130,"name":"Impact","value":""},{"id":150,"name":"Time of Event (Mountain Time)","value":"16:44:28"},{"id":151,"name":"Denver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"%USERPROFILE%\AppData\Local\Temp\OnboardLogs"\RTDC4026\*4026*201612252*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"%USERPROFILE%\AppData\Local\Temp\OnboardLogs"\RTDC4026\*4026*201612252* &gt;&gt; 42729-slicedisagreementcheck.txt</v>
      </c>
    </row>
    <row r="13" spans="1:30" s="1" customFormat="1" x14ac:dyDescent="0.25">
      <c r="A13" s="36">
        <v>42729.279849537037</v>
      </c>
      <c r="B13" s="31" t="s">
        <v>235</v>
      </c>
      <c r="C13" s="31" t="s">
        <v>443</v>
      </c>
      <c r="D13" s="31" t="s">
        <v>98</v>
      </c>
      <c r="E13" s="31" t="s">
        <v>196</v>
      </c>
      <c r="F13" s="47">
        <v>150</v>
      </c>
      <c r="G13" s="47">
        <v>205</v>
      </c>
      <c r="H13" s="47">
        <v>229014</v>
      </c>
      <c r="I13" s="47">
        <v>228718</v>
      </c>
      <c r="J13" s="31" t="s">
        <v>197</v>
      </c>
      <c r="K13" s="47">
        <v>229055</v>
      </c>
      <c r="L13" s="154" t="s">
        <v>51</v>
      </c>
      <c r="M13" s="155">
        <f t="shared" si="0"/>
        <v>-177.93600000000001</v>
      </c>
      <c r="N13" s="156" t="str">
        <f>VLOOKUP(C13,'Trips&amp;Operators'!$C$1:$G$99999,5,FALSE)</f>
        <v>HAITHCOX MICHAEL</v>
      </c>
      <c r="O13" s="183" t="s">
        <v>195</v>
      </c>
      <c r="P13" s="157"/>
      <c r="Q13" s="31"/>
      <c r="R13" s="100" t="str">
        <f>VLOOKUP(C13,'Train Runs'!$A$13:$AE$9973,31,0)</f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S13" s="103" t="str">
        <f>VLOOKUP(C13,'Train Runs'!$A$13:$AE$9973,22,0)</f>
        <v>https://search-rtdc-monitor-bjffxe2xuh6vdkpspy63sjmuny.us-east-1.es.amazonaws.com/_plugin/kibana/#/discover/Steve-Slow-Train-Analysis-(2080s-and-2083s)?_g=(refreshInterval:(display:Off,section:0,value:0),time:(from:'2016-12-25 05:37:52-700',mode:absolute,to:'2016-12-25 08:22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3" s="105" t="str">
        <f t="shared" si="1"/>
        <v>"C:\Program Files (x86)\AstroGrep\AstroGrep.exe" /spath="%USERPROFILE%\AppData\Local\Temp\OnboardLogs" /stypes="*4032*201612251*" /stext=" 13:.+((SYSTEM_STATE.+slice.+state.+changed )|(ment ac)|(multiple cpu faults)|(system.+state.+changed )|(\[timeout)|(PRM\|1\|D)|(kpr)|(kdp)|(\|lc)|(penalty))" /e /r /s</v>
      </c>
      <c r="U13" s="9" t="str">
        <f t="shared" si="2"/>
        <v>4032</v>
      </c>
      <c r="V13" s="36">
        <f t="shared" si="3"/>
        <v>42729.571516203701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{"issue":{"subject":"","project_id":79,"tracker_id":40,"status_id":1,"priority_id":2,"assigned_to_id":23,"start_date":"2016-12-25","description":"","custom_fields":[{"id":1,"name":"Subdivision","value":"EC"},{"id":4,"name":"Milepost","value":"22.9055"},{"id":17,"name":"Train ID","value":"118-25"},{"id":16,"name":"Locomotive ID","value":"4032"},{"id":130,"name":"Impact","value":""},{"id":150,"name":"Time of Event (Mountain Time)","value":"06:42:59"},{"id":151,"name":"Denver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"%USERPROFILE%\AppData\Local\Temp\OnboardLogs"\RTDC4032\*4032*201612251*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"%USERPROFILE%\AppData\Local\Temp\OnboardLogs"\RTDC4032\*4032*201612251* &gt;&gt; 42729-slicedisagreementcheck.txt</v>
      </c>
    </row>
    <row r="14" spans="1:30" s="1" customFormat="1" x14ac:dyDescent="0.25">
      <c r="A14" s="36">
        <v>42729.695868055554</v>
      </c>
      <c r="B14" s="31" t="s">
        <v>370</v>
      </c>
      <c r="C14" s="31" t="s">
        <v>450</v>
      </c>
      <c r="D14" s="31" t="s">
        <v>98</v>
      </c>
      <c r="E14" s="31" t="s">
        <v>196</v>
      </c>
      <c r="F14" s="47">
        <v>150</v>
      </c>
      <c r="G14" s="47">
        <v>201</v>
      </c>
      <c r="H14" s="47">
        <v>232086</v>
      </c>
      <c r="I14" s="47">
        <v>231800</v>
      </c>
      <c r="J14" s="31" t="s">
        <v>197</v>
      </c>
      <c r="K14" s="47">
        <v>233492</v>
      </c>
      <c r="L14" s="154" t="s">
        <v>51</v>
      </c>
      <c r="M14" s="155">
        <f t="shared" si="0"/>
        <v>-893.37599999999998</v>
      </c>
      <c r="N14" s="156" t="str">
        <f>VLOOKUP(C14,'Trips&amp;Operators'!$C$1:$G$99999,5,FALSE)</f>
        <v>ADANE ELSHADAY</v>
      </c>
      <c r="O14" s="183" t="s">
        <v>195</v>
      </c>
      <c r="P14" s="157"/>
      <c r="Q14" s="31"/>
      <c r="R14" s="100" t="str">
        <f>VLOOKUP(C14,'Train Runs'!$A$13:$AE$9973,31,0)</f>
        <v>aws s3 cp s3://rtdc.mdm.uploadarchive.raw/RTDC4026/ "%USERPROFILE%\AppData\Local\Temp\OnboardLogs"\RTDC4026\2016-12-25 --exclude "*" --recursive --include "*20161225*" &amp; "%USERPROFILE%\Documents\GitHub\mrs-test-scripts\Headless Mode &amp; Sideloading\WalkAndUnGZ.bat" "%USERPROFILE%\AppData\Local\Temp\OnboardLogs"\RTDC4026\2016-12-25 &amp; aws s3 cp s3://rtdc.mdm.uploadarchive.raw/RTDC4026/ "%USERPROFILE%\AppData\Local\Temp\OnboardLogs"\RTDC4026\2016-12-26 --exclude "*" --recursive --include "*20161226*" &amp; "%USERPROFILE%\Documents\GitHub\mrs-test-scripts\Headless Mode &amp; Sideloading\WalkAndUnGZ.bat" "%USERPROFILE%\AppData\Local\Temp\OnboardLogs"\RTDC4026\2016-12-26</v>
      </c>
      <c r="S14" s="103" t="str">
        <f>VLOOKUP(C14,'Train Runs'!$A$13:$AE$9973,22,0)</f>
        <v>https://search-rtdc-monitor-bjffxe2xuh6vdkpspy63sjmuny.us-east-1.es.amazonaws.com/_plugin/kibana/#/discover/Steve-Slow-Train-Analysis-(2080s-and-2083s)?_g=(refreshInterval:(display:Off,section:0,value:0),time:(from:'2016-12-25 15:23:29-700',mode:absolute,to:'2016-12-25 18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T14" s="105" t="str">
        <f t="shared" si="1"/>
        <v>"C:\Program Files (x86)\AstroGrep\AstroGrep.exe" /spath="%USERPROFILE%\AppData\Local\Temp\OnboardLogs" /stypes="*4026*201612252*" /stext=" 23:.+((SYSTEM_STATE.+slice.+state.+changed )|(ment ac)|(multiple cpu faults)|(system.+state.+changed )|(\[timeout)|(PRM\|1\|D)|(kpr)|(kdp)|(\|lc)|(penalty))" /e /r /s</v>
      </c>
      <c r="U14" s="9" t="str">
        <f t="shared" si="2"/>
        <v>4026</v>
      </c>
      <c r="V14" s="36">
        <f t="shared" si="3"/>
        <v>42729.987534722219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{"issue":{"subject":"","project_id":79,"tracker_id":40,"status_id":1,"priority_id":2,"assigned_to_id":23,"start_date":"2016-12-25","description":"","custom_fields":[{"id":1,"name":"Subdivision","value":"EC"},{"id":4,"name":"Milepost","value":"23.3492"},{"id":17,"name":"Train ID","value":"198-25"},{"id":16,"name":"Locomotive ID","value":"4026"},{"id":130,"name":"Impact","value":""},{"id":150,"name":"Time of Event (Mountain Time)","value":"16:42:03"},{"id":151,"name":"Denver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"%USERPROFILE%\AppData\Local\Temp\OnboardLogs"\RTDC4026\*4026*201612252*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"%USERPROFILE%\AppData\Local\Temp\OnboardLogs"\RTDC4026\*4026*201612252* &gt;&gt; 42729-slicedisagreementcheck.txt</v>
      </c>
    </row>
    <row r="15" spans="1:30" s="1" customFormat="1" x14ac:dyDescent="0.25">
      <c r="A15" s="36">
        <v>42729.521655092591</v>
      </c>
      <c r="B15" s="31" t="s">
        <v>445</v>
      </c>
      <c r="C15" s="31" t="s">
        <v>446</v>
      </c>
      <c r="D15" s="31" t="s">
        <v>49</v>
      </c>
      <c r="E15" s="31" t="s">
        <v>198</v>
      </c>
      <c r="F15" s="47">
        <v>0</v>
      </c>
      <c r="G15" s="47">
        <v>464</v>
      </c>
      <c r="H15" s="47">
        <v>194986</v>
      </c>
      <c r="I15" s="47">
        <v>193671</v>
      </c>
      <c r="J15" s="31" t="s">
        <v>199</v>
      </c>
      <c r="K15" s="47">
        <v>191723</v>
      </c>
      <c r="L15" s="154" t="s">
        <v>51</v>
      </c>
      <c r="M15" s="155">
        <f t="shared" si="0"/>
        <v>1028.5440000000001</v>
      </c>
      <c r="N15" s="156" t="str">
        <f>VLOOKUP(C15,'Trips&amp;Operators'!$C$1:$G$99999,5,FALSE)</f>
        <v>ROMERO CHAD</v>
      </c>
      <c r="O15" s="183" t="s">
        <v>195</v>
      </c>
      <c r="P15" s="157" t="s">
        <v>784</v>
      </c>
      <c r="Q15" s="31"/>
      <c r="R15" s="100" t="str">
        <f>VLOOKUP(C15,'Train Runs'!$A$13:$AE$9973,31,0)</f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S15" s="103" t="str">
        <f>VLOOKUP(C15,'Train Runs'!$A$13:$AE$9973,22,0)</f>
        <v>https://search-rtdc-monitor-bjffxe2xuh6vdkpspy63sjmuny.us-east-1.es.amazonaws.com/_plugin/kibana/#/discover/Steve-Slow-Train-Analysis-(2080s-and-2083s)?_g=(refreshInterval:(display:Off,section:0,value:0),time:(from:'2016-12-25 11:08:41-700',mode:absolute,to:'2016-12-25 14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5" s="105" t="str">
        <f t="shared" si="1"/>
        <v>"C:\Program Files (x86)\AstroGrep\AstroGrep.exe" /spath="%USERPROFILE%\AppData\Local\Temp\OnboardLogs" /stypes="*4017*201612251*" /stext=" 19:.+((SYSTEM_STATE.+slice.+state.+changed )|(ment ac)|(multiple cpu faults)|(system.+state.+changed )|(\[timeout)|(PRM\|1\|D)|(kpr)|(kdp)|(\|lc)|(penalty))" /e /r /s</v>
      </c>
      <c r="U15" s="9" t="str">
        <f t="shared" si="2"/>
        <v>4017</v>
      </c>
      <c r="V15" s="36">
        <f t="shared" si="3"/>
        <v>42729.813321759255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{"issue":{"subject":"Pena 4S STOP","project_id":79,"tracker_id":40,"status_id":1,"priority_id":2,"assigned_to_id":23,"start_date":"2016-12-25","description":"","custom_fields":[{"id":1,"name":"Subdivision","value":"EC"},{"id":4,"name":"Milepost","value":"19.1723"},{"id":17,"name":"Train ID","value":"164-25"},{"id":16,"name":"Locomotive ID","value":"4017"},{"id":130,"name":"Impact","value":""},{"id":150,"name":"Time of Event (Mountain Time)","value":"12:31:11"},{"id":151,"name":"Denver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"%USERPROFILE%\AppData\Local\Temp\OnboardLogs"\RTDC4017\*4017*201612251*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"%USERPROFILE%\AppData\Local\Temp\OnboardLogs"\RTDC4017\*4017*201612251* &gt;&gt; 42729-slicedisagreementcheck.txt</v>
      </c>
    </row>
    <row r="16" spans="1:30" s="1" customFormat="1" x14ac:dyDescent="0.25">
      <c r="A16" s="36">
        <v>42729.89739583333</v>
      </c>
      <c r="B16" s="31" t="s">
        <v>183</v>
      </c>
      <c r="C16" s="31" t="s">
        <v>455</v>
      </c>
      <c r="D16" s="31" t="s">
        <v>49</v>
      </c>
      <c r="E16" s="31" t="s">
        <v>198</v>
      </c>
      <c r="F16" s="47">
        <v>0</v>
      </c>
      <c r="G16" s="47">
        <v>676</v>
      </c>
      <c r="H16" s="47">
        <v>212336</v>
      </c>
      <c r="I16" s="47">
        <v>215159</v>
      </c>
      <c r="J16" s="31" t="s">
        <v>199</v>
      </c>
      <c r="K16" s="47">
        <v>217106</v>
      </c>
      <c r="L16" s="154" t="s">
        <v>50</v>
      </c>
      <c r="M16" s="155">
        <f t="shared" si="0"/>
        <v>1028.0160000000001</v>
      </c>
      <c r="N16" s="156" t="str">
        <f>VLOOKUP(C16,'Trips&amp;Operators'!$C$1:$G$99999,5,FALSE)</f>
        <v>CHANDLER KELVIN</v>
      </c>
      <c r="O16" s="183" t="s">
        <v>227</v>
      </c>
      <c r="P16" s="157" t="s">
        <v>785</v>
      </c>
      <c r="Q16" s="31"/>
      <c r="R16" s="100" t="str">
        <f>VLOOKUP(C16,'Train Runs'!$A$13:$AE$9973,31,0)</f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S16" s="103" t="str">
        <f>VLOOKUP(C16,'Train Runs'!$A$13:$AE$9973,22,0)</f>
        <v>https://search-rtdc-monitor-bjffxe2xuh6vdkpspy63sjmuny.us-east-1.es.amazonaws.com/_plugin/kibana/#/discover/Steve-Slow-Train-Analysis-(2080s-and-2083s)?_g=(refreshInterval:(display:Off,section:0,value:0),time:(from:'2016-12-25 19:58:30-700',mode:absolute,to:'2016-12-25 22:37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6" s="105" t="str">
        <f t="shared" si="1"/>
        <v>"C:\Program Files (x86)\AstroGrep\AstroGrep.exe" /spath="%USERPROFILE%\AppData\Local\Temp\OnboardLogs" /stypes="*4009*201612260*" /stext=" 04:.+((SYSTEM_STATE.+slice.+state.+changed )|(ment ac)|(multiple cpu faults)|(system.+state.+changed )|(\[timeout)|(PRM\|1\|D)|(kpr)|(kdp)|(\|lc)|(penalty))" /e /r /s</v>
      </c>
      <c r="U16" s="9" t="str">
        <f t="shared" si="2"/>
        <v>4009</v>
      </c>
      <c r="V16" s="36">
        <f t="shared" si="3"/>
        <v>42730.189062499994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-25","description":"http://stevetu21.github.io/eaglep3/load_kml.html?kml=http://rtdc.gmaps-snips.s3.amazonaws.com/a60ccfb3-741c-4efb-8ac4-4cafae5feba9.kml","custom_fields":[{"id":1,"name":"Subdivision","value":"EC"},{"id":4,"name":"Milepost","value":"21.7106"},{"id":17,"name":"Train ID","value":"229-25"},{"id":16,"name":"Locomotive ID","value":"4009"},{"id":130,"name":"Impact","value":"Enforcement"},{"id":150,"name":"Time of Event (Mountain Time)","value":"21:32:15"},{"id":151,"name":"Denver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4" t="s">
        <v>786</v>
      </c>
      <c r="AA16" s="53" t="s">
        <v>125</v>
      </c>
      <c r="AB16" s="53" t="s">
        <v>138</v>
      </c>
      <c r="AC16" s="138" t="str">
        <f t="shared" si="7"/>
        <v>grep -hSE -A100 "Enforcement Action" "%USERPROFILE%\AppData\Local\Temp\OnboardLogs"\RTDC4009\*4009*201612260*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"%USERPROFILE%\AppData\Local\Temp\OnboardLogs"\RTDC4009\*4009*201612260* &gt;&gt; 42729-slicedisagreementcheck.txt</v>
      </c>
    </row>
    <row r="17" spans="1:30" s="1" customFormat="1" x14ac:dyDescent="0.25">
      <c r="A17" s="36">
        <v>42729.304340277777</v>
      </c>
      <c r="B17" s="31" t="s">
        <v>271</v>
      </c>
      <c r="C17" s="31" t="s">
        <v>444</v>
      </c>
      <c r="D17" s="31" t="s">
        <v>49</v>
      </c>
      <c r="E17" s="31" t="s">
        <v>259</v>
      </c>
      <c r="F17" s="47">
        <v>100</v>
      </c>
      <c r="G17" s="47">
        <v>407</v>
      </c>
      <c r="H17" s="47">
        <v>68280</v>
      </c>
      <c r="I17" s="47">
        <v>67292</v>
      </c>
      <c r="J17" s="31" t="s">
        <v>248</v>
      </c>
      <c r="K17" s="47">
        <v>66500</v>
      </c>
      <c r="L17" s="154" t="s">
        <v>51</v>
      </c>
      <c r="M17" s="155">
        <f t="shared" si="0"/>
        <v>418.17599999999999</v>
      </c>
      <c r="N17" s="156" t="str">
        <f>VLOOKUP(C17,'Trips&amp;Operators'!$C$1:$G$99999,5,FALSE)</f>
        <v>ISHMAEL JOSEPH</v>
      </c>
      <c r="O17" s="183" t="s">
        <v>195</v>
      </c>
      <c r="P17" s="157"/>
      <c r="Q17" s="31"/>
      <c r="R17" s="100" t="str">
        <f>VLOOKUP(C17,'Train Runs'!$A$13:$AE$9973,31,0)</f>
        <v>aws s3 cp s3://rtdc.mdm.uploadarchive.raw/RTDC4013/ "%USERPROFILE%\AppData\Local\Temp\OnboardLogs"\RTDC4013\2016-12-25 --exclude "*" --recursive --include "*20161225*" &amp; "%USERPROFILE%\Documents\GitHub\mrs-test-scripts\Headless Mode &amp; Sideloading\WalkAndUnGZ.bat" "%USERPROFILE%\AppData\Local\Temp\OnboardLogs"\RTDC4013\2016-12-25 &amp; aws s3 cp s3://rtdc.mdm.uploadarchive.raw/RTDC4013/ "%USERPROFILE%\AppData\Local\Temp\OnboardLogs"\RTDC4013\2016-12-26 --exclude "*" --recursive --include "*20161226*" &amp; "%USERPROFILE%\Documents\GitHub\mrs-test-scripts\Headless Mode &amp; Sideloading\WalkAndUnGZ.bat" "%USERPROFILE%\AppData\Local\Temp\OnboardLogs"\RTDC4013\2016-12-26</v>
      </c>
      <c r="S17" s="103" t="str">
        <f>VLOOKUP(C17,'Train Runs'!$A$13:$AE$9973,22,0)</f>
        <v>https://search-rtdc-monitor-bjffxe2xuh6vdkpspy63sjmuny.us-east-1.es.amazonaws.com/_plugin/kibana/#/discover/Steve-Slow-Train-Analysis-(2080s-and-2083s)?_g=(refreshInterval:(display:Off,section:0,value:0),time:(from:'2016-12-25 05:46:39-700',mode:absolute,to:'2016-12-25 08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7" s="105" t="str">
        <f t="shared" si="1"/>
        <v>"C:\Program Files (x86)\AstroGrep\AstroGrep.exe" /spath="%USERPROFILE%\AppData\Local\Temp\OnboardLogs" /stypes="*4013*201612251*" /stext=" 14:.+((SYSTEM_STATE.+slice.+state.+changed )|(ment ac)|(multiple cpu faults)|(system.+state.+changed )|(\[timeout)|(PRM\|1\|D)|(kpr)|(kdp)|(\|lc)|(penalty))" /e /r /s</v>
      </c>
      <c r="U17" s="9" t="str">
        <f t="shared" si="2"/>
        <v>4013</v>
      </c>
      <c r="V17" s="36">
        <f t="shared" si="3"/>
        <v>42729.596006944441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{"issue":{"subject":"","project_id":79,"tracker_id":40,"status_id":1,"priority_id":2,"assigned_to_id":23,"start_date":"2016-12-25","description":"","custom_fields":[{"id":1,"name":"Subdivision","value":"EC"},{"id":4,"name":"Milepost","value":"6.65"},{"id":17,"name":"Train ID","value":"120-25"},{"id":16,"name":"Locomotive ID","value":"4013"},{"id":130,"name":"Impact","value":""},{"id":150,"name":"Time of Event (Mountain Time)","value":"07:18:15"},{"id":151,"name":"Denver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"%USERPROFILE%\AppData\Local\Temp\OnboardLogs"\RTDC4013\*4013*201612251*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"%USERPROFILE%\AppData\Local\Temp\OnboardLogs"\RTDC4013\*4013*201612251* &gt;&gt; 42729-slicedisagreementcheck.txt</v>
      </c>
    </row>
    <row r="18" spans="1:30" s="1" customFormat="1" x14ac:dyDescent="0.25">
      <c r="A18" s="36">
        <v>42729.533576388887</v>
      </c>
      <c r="B18" s="31" t="s">
        <v>445</v>
      </c>
      <c r="C18" s="31" t="s">
        <v>446</v>
      </c>
      <c r="D18" s="31" t="s">
        <v>49</v>
      </c>
      <c r="E18" s="31" t="s">
        <v>259</v>
      </c>
      <c r="F18" s="47">
        <v>100</v>
      </c>
      <c r="G18" s="47">
        <v>361</v>
      </c>
      <c r="H18" s="47">
        <v>67942</v>
      </c>
      <c r="I18" s="47">
        <v>67139</v>
      </c>
      <c r="J18" s="31" t="s">
        <v>248</v>
      </c>
      <c r="K18" s="47">
        <v>66500</v>
      </c>
      <c r="L18" s="154" t="s">
        <v>51</v>
      </c>
      <c r="M18" s="155">
        <f t="shared" si="0"/>
        <v>337.392</v>
      </c>
      <c r="N18" s="156" t="str">
        <f>VLOOKUP(C18,'Trips&amp;Operators'!$C$1:$G$99999,5,FALSE)</f>
        <v>ROMERO CHAD</v>
      </c>
      <c r="O18" s="183" t="s">
        <v>195</v>
      </c>
      <c r="P18" s="157"/>
      <c r="Q18" s="31"/>
      <c r="R18" s="100" t="str">
        <f>VLOOKUP(C18,'Train Runs'!$A$13:$AE$9973,31,0)</f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S18" s="103" t="str">
        <f>VLOOKUP(C18,'Train Runs'!$A$13:$AE$9973,22,0)</f>
        <v>https://search-rtdc-monitor-bjffxe2xuh6vdkpspy63sjmuny.us-east-1.es.amazonaws.com/_plugin/kibana/#/discover/Steve-Slow-Train-Analysis-(2080s-and-2083s)?_g=(refreshInterval:(display:Off,section:0,value:0),time:(from:'2016-12-25 11:08:41-700',mode:absolute,to:'2016-12-25 14:04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8" s="105" t="str">
        <f t="shared" si="1"/>
        <v>"C:\Program Files (x86)\AstroGrep\AstroGrep.exe" /spath="%USERPROFILE%\AppData\Local\Temp\OnboardLogs" /stypes="*4017*201612251*" /stext=" 19:.+((SYSTEM_STATE.+slice.+state.+changed )|(ment ac)|(multiple cpu faults)|(system.+state.+changed )|(\[timeout)|(PRM\|1\|D)|(kpr)|(kdp)|(\|lc)|(penalty))" /e /r /s</v>
      </c>
      <c r="U18" s="9" t="str">
        <f t="shared" si="2"/>
        <v>4017</v>
      </c>
      <c r="V18" s="36">
        <f t="shared" si="3"/>
        <v>42729.825243055551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{"issue":{"subject":"","project_id":79,"tracker_id":40,"status_id":1,"priority_id":2,"assigned_to_id":23,"start_date":"2016-12-25","description":"","custom_fields":[{"id":1,"name":"Subdivision","value":"EC"},{"id":4,"name":"Milepost","value":"6.65"},{"id":17,"name":"Train ID","value":"164-25"},{"id":16,"name":"Locomotive ID","value":"4017"},{"id":130,"name":"Impact","value":""},{"id":150,"name":"Time of Event (Mountain Time)","value":"12:48:21"},{"id":151,"name":"Denver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53"/>
      <c r="AA18" s="53"/>
      <c r="AB18" s="53"/>
      <c r="AC18" s="138" t="str">
        <f t="shared" si="7"/>
        <v>grep -hSE -A100 "Enforcement Action" "%USERPROFILE%\AppData\Local\Temp\OnboardLogs"\RTDC4017\*4017*201612251*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"%USERPROFILE%\AppData\Local\Temp\OnboardLogs"\RTDC4017\*4017*201612251* &gt;&gt; 42729-slicedisagreementcheck.txt</v>
      </c>
    </row>
    <row r="19" spans="1:30" s="1" customFormat="1" x14ac:dyDescent="0.25">
      <c r="A19" s="36">
        <v>42729.816423611112</v>
      </c>
      <c r="B19" s="31" t="s">
        <v>235</v>
      </c>
      <c r="C19" s="31" t="s">
        <v>453</v>
      </c>
      <c r="D19" s="31" t="s">
        <v>49</v>
      </c>
      <c r="E19" s="31" t="s">
        <v>200</v>
      </c>
      <c r="F19" s="47">
        <v>0</v>
      </c>
      <c r="G19" s="47">
        <v>28</v>
      </c>
      <c r="H19" s="47">
        <v>52</v>
      </c>
      <c r="I19" s="47">
        <v>34</v>
      </c>
      <c r="J19" s="31" t="s">
        <v>201</v>
      </c>
      <c r="K19" s="47">
        <v>1</v>
      </c>
      <c r="L19" s="154" t="s">
        <v>51</v>
      </c>
      <c r="M19" s="155">
        <f t="shared" si="0"/>
        <v>17.423999999999999</v>
      </c>
      <c r="N19" s="156" t="str">
        <f>VLOOKUP(C19,'Trips&amp;Operators'!$C$1:$G$99999,5,FALSE)</f>
        <v>KILLION DAVID</v>
      </c>
      <c r="O19" s="183" t="s">
        <v>195</v>
      </c>
      <c r="P19" s="157"/>
      <c r="Q19" s="31"/>
      <c r="R19" s="100" t="str">
        <f>VLOOKUP(C19,'Train Runs'!$A$13:$AE$9973,31,0)</f>
        <v>aws s3 cp s3://rtdc.mdm.uploadarchive.raw/RTDC4032/ "%USERPROFILE%\AppData\Local\Temp\OnboardLogs"\RTDC4032\2016-12-25 --exclude "*" --recursive --include "*20161225*" &amp; "%USERPROFILE%\Documents\GitHub\mrs-test-scripts\Headless Mode &amp; Sideloading\WalkAndUnGZ.bat" "%USERPROFILE%\AppData\Local\Temp\OnboardLogs"\RTDC4032\2016-12-25 &amp; aws s3 cp s3://rtdc.mdm.uploadarchive.raw/RTDC4032/ "%USERPROFILE%\AppData\Local\Temp\OnboardLogs"\RTDC4032\2016-12-26 --exclude "*" --recursive --include "*20161226*" &amp; "%USERPROFILE%\Documents\GitHub\mrs-test-scripts\Headless Mode &amp; Sideloading\WalkAndUnGZ.bat" "%USERPROFILE%\AppData\Local\Temp\OnboardLogs"\RTDC4032\2016-12-26</v>
      </c>
      <c r="S19" s="103" t="str">
        <f>VLOOKUP(C19,'Train Runs'!$A$13:$AE$9973,22,0)</f>
        <v>https://search-rtdc-monitor-bjffxe2xuh6vdkpspy63sjmuny.us-east-1.es.amazonaws.com/_plugin/kibana/#/discover/Steve-Slow-Train-Analysis-(2080s-and-2083s)?_g=(refreshInterval:(display:Off,section:0,value:0),time:(from:'2016-12-25 17:46:35-700',mode:absolute,to:'2016-12-25 20:35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9" s="105" t="str">
        <f t="shared" si="1"/>
        <v>"C:\Program Files (x86)\AstroGrep\AstroGrep.exe" /spath="%USERPROFILE%\AppData\Local\Temp\OnboardLogs" /stypes="*4032*201612260*" /stext=" 02:.+((SYSTEM_STATE.+slice.+state.+changed )|(ment ac)|(multiple cpu faults)|(system.+state.+changed )|(\[timeout)|(PRM\|1\|D)|(kpr)|(kdp)|(\|lc)|(penalty))" /e /r /s</v>
      </c>
      <c r="U19" s="9" t="str">
        <f t="shared" si="2"/>
        <v>4032</v>
      </c>
      <c r="V19" s="36">
        <f t="shared" si="3"/>
        <v>42730.108090277776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{"issue":{"subject":"","project_id":79,"tracker_id":40,"status_id":1,"priority_id":2,"assigned_to_id":23,"start_date":"2016-12-25","description":"","custom_fields":[{"id":1,"name":"Subdivision","value":"EC"},{"id":4,"name":"Milepost","value":"0.0001"},{"id":17,"name":"Train ID","value":"216-25"},{"id":16,"name":"Locomotive ID","value":"4032"},{"id":130,"name":"Impact","value":""},{"id":150,"name":"Time of Event (Mountain Time)","value":"19:35:39"},{"id":151,"name":"Denver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"%USERPROFILE%\AppData\Local\Temp\OnboardLogs"\RTDC4032\*4032*201612260*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"%USERPROFILE%\AppData\Local\Temp\OnboardLogs"\RTDC4032\*4032*201612260* &gt;&gt; 42729-slicedisagreementcheck.txt</v>
      </c>
    </row>
    <row r="20" spans="1:30" x14ac:dyDescent="0.25">
      <c r="A20" s="36">
        <v>42729.859189814815</v>
      </c>
      <c r="B20" s="31" t="s">
        <v>451</v>
      </c>
      <c r="C20" s="31" t="s">
        <v>454</v>
      </c>
      <c r="D20" s="31" t="s">
        <v>49</v>
      </c>
      <c r="E20" s="31" t="s">
        <v>200</v>
      </c>
      <c r="F20" s="47">
        <v>0</v>
      </c>
      <c r="G20" s="47">
        <v>68</v>
      </c>
      <c r="H20" s="47">
        <v>243</v>
      </c>
      <c r="I20" s="47">
        <v>167</v>
      </c>
      <c r="J20" s="31" t="s">
        <v>201</v>
      </c>
      <c r="K20" s="47">
        <v>1</v>
      </c>
      <c r="L20" s="154" t="s">
        <v>51</v>
      </c>
      <c r="M20" s="155">
        <f t="shared" si="0"/>
        <v>87.647999999999996</v>
      </c>
      <c r="N20" s="156" t="str">
        <f>VLOOKUP(C20,'Trips&amp;Operators'!$C$1:$G$99999,5,FALSE)</f>
        <v>CHANDLER KELVIN</v>
      </c>
      <c r="O20" s="183" t="s">
        <v>195</v>
      </c>
      <c r="P20" s="157"/>
      <c r="Q20" s="31"/>
      <c r="R20" s="100" t="str">
        <f>VLOOKUP(C20,'Train Runs'!$A$13:$AE$9973,31,0)</f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S20" s="103" t="str">
        <f>VLOOKUP(C20,'Train Runs'!$A$13:$AE$9973,22,0)</f>
        <v>https://search-rtdc-monitor-bjffxe2xuh6vdkpspy63sjmuny.us-east-1.es.amazonaws.com/_plugin/kibana/#/discover/Steve-Slow-Train-Analysis-(2080s-and-2083s)?_g=(refreshInterval:(display:Off,section:0,value:0),time:(from:'2016-12-25 18:50:29-700',mode:absolute,to:'2016-12-25 21:37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0" s="105" t="str">
        <f t="shared" si="1"/>
        <v>"C:\Program Files (x86)\AstroGrep\AstroGrep.exe" /spath="%USERPROFILE%\AppData\Local\Temp\OnboardLogs" /stypes="*4010*201612260*" /stext=" 03:.+((SYSTEM_STATE.+slice.+state.+changed )|(ment ac)|(multiple cpu faults)|(system.+state.+changed )|(\[timeout)|(PRM\|1\|D)|(kpr)|(kdp)|(\|lc)|(penalty))" /e /r /s</v>
      </c>
      <c r="U20" s="9" t="str">
        <f t="shared" si="2"/>
        <v>4010</v>
      </c>
      <c r="V20" s="36">
        <f t="shared" si="3"/>
        <v>42730.150856481479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{"issue":{"subject":"","project_id":79,"tracker_id":40,"status_id":1,"priority_id":2,"assigned_to_id":23,"start_date":"2016-12-25","description":"","custom_fields":[{"id":1,"name":"Subdivision","value":"EC"},{"id":4,"name":"Milepost","value":"0.0001"},{"id":17,"name":"Train ID","value":"222-25"},{"id":16,"name":"Locomotive ID","value":"4010"},{"id":130,"name":"Impact","value":""},{"id":150,"name":"Time of Event (Mountain Time)","value":"20:37:14"},{"id":151,"name":"Denver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"%USERPROFILE%\AppData\Local\Temp\OnboardLogs"\RTDC4010\*4010*201612260*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"%USERPROFILE%\AppData\Local\Temp\OnboardLogs"\RTDC4010\*4010*201612260* &gt;&gt; 42729-slicedisagreementcheck.txt</v>
      </c>
    </row>
    <row r="21" spans="1:30" x14ac:dyDescent="0.25">
      <c r="A21" s="36">
        <v>42729.919166666667</v>
      </c>
      <c r="B21" s="31" t="s">
        <v>445</v>
      </c>
      <c r="C21" s="31" t="s">
        <v>456</v>
      </c>
      <c r="D21" s="31" t="s">
        <v>49</v>
      </c>
      <c r="E21" s="31" t="s">
        <v>200</v>
      </c>
      <c r="F21" s="47">
        <v>0</v>
      </c>
      <c r="G21" s="47">
        <v>72</v>
      </c>
      <c r="H21" s="47">
        <v>240</v>
      </c>
      <c r="I21" s="47">
        <v>187</v>
      </c>
      <c r="J21" s="31" t="s">
        <v>201</v>
      </c>
      <c r="K21" s="47">
        <v>1</v>
      </c>
      <c r="L21" s="154" t="s">
        <v>51</v>
      </c>
      <c r="M21" s="155">
        <f t="shared" si="0"/>
        <v>98.207999999999998</v>
      </c>
      <c r="N21" s="156" t="str">
        <f>VLOOKUP(C21,'Trips&amp;Operators'!$C$1:$G$99999,5,FALSE)</f>
        <v>STAMBAUGH JAMES</v>
      </c>
      <c r="O21" s="183" t="s">
        <v>195</v>
      </c>
      <c r="P21" s="157"/>
      <c r="Q21" s="31"/>
      <c r="R21" s="100" t="str">
        <f>VLOOKUP(C21,'Train Runs'!$A$13:$AE$9973,31,0)</f>
        <v>aws s3 cp s3://rtdc.mdm.uploadarchive.raw/RTDC4017/ "%USERPROFILE%\AppData\Local\Temp\OnboardLogs"\RTDC4017\2016-12-25 --exclude "*" --recursive --include "*20161225*" &amp; "%USERPROFILE%\Documents\GitHub\mrs-test-scripts\Headless Mode &amp; Sideloading\WalkAndUnGZ.bat" "%USERPROFILE%\AppData\Local\Temp\OnboardLogs"\RTDC4017\2016-12-25 &amp; aws s3 cp s3://rtdc.mdm.uploadarchive.raw/RTDC4017/ "%USERPROFILE%\AppData\Local\Temp\OnboardLogs"\RTDC4017\2016-12-26 --exclude "*" --recursive --include "*20161226*" &amp; "%USERPROFILE%\Documents\GitHub\mrs-test-scripts\Headless Mode &amp; Sideloading\WalkAndUnGZ.bat" "%USERPROFILE%\AppData\Local\Temp\OnboardLogs"\RTDC4017\2016-12-26</v>
      </c>
      <c r="S21" s="103" t="str">
        <f>VLOOKUP(C21,'Train Runs'!$A$13:$AE$9973,22,0)</f>
        <v>https://search-rtdc-monitor-bjffxe2xuh6vdkpspy63sjmuny.us-east-1.es.amazonaws.com/_plugin/kibana/#/discover/Steve-Slow-Train-Analysis-(2080s-and-2083s)?_g=(refreshInterval:(display:Off,section:0,value:0),time:(from:'2016-12-25 20:20:46-700',mode:absolute,to:'2016-12-25 23:03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1" s="105" t="str">
        <f t="shared" si="1"/>
        <v>"C:\Program Files (x86)\AstroGrep\AstroGrep.exe" /spath="%USERPROFILE%\AppData\Local\Temp\OnboardLogs" /stypes="*4017*201612260*" /stext=" 05:.+((SYSTEM_STATE.+slice.+state.+changed )|(ment ac)|(multiple cpu faults)|(system.+state.+changed )|(\[timeout)|(PRM\|1\|D)|(kpr)|(kdp)|(\|lc)|(penalty))" /e /r /s</v>
      </c>
      <c r="U21" s="9" t="str">
        <f t="shared" si="2"/>
        <v>4017</v>
      </c>
      <c r="V21" s="36">
        <f t="shared" si="3"/>
        <v>42730.210833333331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{"issue":{"subject":"","project_id":79,"tracker_id":40,"status_id":1,"priority_id":2,"assigned_to_id":23,"start_date":"2016-12-25","description":"","custom_fields":[{"id":1,"name":"Subdivision","value":"EC"},{"id":4,"name":"Milepost","value":"0.0001"},{"id":17,"name":"Train ID","value":"228-25"},{"id":16,"name":"Locomotive ID","value":"4017"},{"id":130,"name":"Impact","value":""},{"id":150,"name":"Time of Event (Mountain Time)","value":"22:03:36"},{"id":151,"name":"Denver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"%USERPROFILE%\AppData\Local\Temp\OnboardLogs"\RTDC4017\*4017*201612260*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"%USERPROFILE%\AppData\Local\Temp\OnboardLogs"\RTDC4017\*4017*201612260* &gt;&gt; 42729-slicedisagreementcheck.txt</v>
      </c>
    </row>
    <row r="22" spans="1:30" ht="15" customHeight="1" x14ac:dyDescent="0.25">
      <c r="A22" s="36">
        <v>42729.943159722221</v>
      </c>
      <c r="B22" s="31" t="s">
        <v>451</v>
      </c>
      <c r="C22" s="31" t="s">
        <v>457</v>
      </c>
      <c r="D22" s="31" t="s">
        <v>49</v>
      </c>
      <c r="E22" s="31" t="s">
        <v>200</v>
      </c>
      <c r="F22" s="47">
        <v>0</v>
      </c>
      <c r="G22" s="47">
        <v>49</v>
      </c>
      <c r="H22" s="47">
        <v>192</v>
      </c>
      <c r="I22" s="47">
        <v>150</v>
      </c>
      <c r="J22" s="31" t="s">
        <v>201</v>
      </c>
      <c r="K22" s="47">
        <v>1</v>
      </c>
      <c r="L22" s="154" t="s">
        <v>51</v>
      </c>
      <c r="M22" s="155">
        <f t="shared" si="0"/>
        <v>78.671999999999997</v>
      </c>
      <c r="N22" s="156" t="str">
        <f>VLOOKUP(C22,'Trips&amp;Operators'!$C$1:$G$99999,5,FALSE)</f>
        <v>CHANDLER KELVIN</v>
      </c>
      <c r="O22" s="183" t="s">
        <v>195</v>
      </c>
      <c r="P22" s="157"/>
      <c r="Q22" s="31"/>
      <c r="R22" s="100" t="str">
        <f>VLOOKUP(C22,'Train Runs'!$A$13:$AE$9973,31,0)</f>
        <v>aws s3 cp s3://rtdc.mdm.uploadarchive.raw/RTDC4010/ "%USERPROFILE%\AppData\Local\Temp\OnboardLogs"\RTDC4010\2016-12-25 --exclude "*" --recursive --include "*20161225*" &amp; "%USERPROFILE%\Documents\GitHub\mrs-test-scripts\Headless Mode &amp; Sideloading\WalkAndUnGZ.bat" "%USERPROFILE%\AppData\Local\Temp\OnboardLogs"\RTDC4010\2016-12-25 &amp; aws s3 cp s3://rtdc.mdm.uploadarchive.raw/RTDC4010/ "%USERPROFILE%\AppData\Local\Temp\OnboardLogs"\RTDC4010\2016-12-26 --exclude "*" --recursive --include "*20161226*" &amp; "%USERPROFILE%\Documents\GitHub\mrs-test-scripts\Headless Mode &amp; Sideloading\WalkAndUnGZ.bat" "%USERPROFILE%\AppData\Local\Temp\OnboardLogs"\RTDC4010\2016-12-26</v>
      </c>
      <c r="S22" s="103" t="str">
        <f>VLOOKUP(C22,'Train Runs'!$A$13:$AE$9973,22,0)</f>
        <v>https://search-rtdc-monitor-bjffxe2xuh6vdkpspy63sjmuny.us-east-1.es.amazonaws.com/_plugin/kibana/#/discover/Steve-Slow-Train-Analysis-(2080s-and-2083s)?_g=(refreshInterval:(display:Off,section:0,value:0),time:(from:'2016-12-25 20:56:22-700',mode:absolute,to:'2016-12-25 23:38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5" t="str">
        <f t="shared" si="1"/>
        <v>"C:\Program Files (x86)\AstroGrep\AstroGrep.exe" /spath="%USERPROFILE%\AppData\Local\Temp\OnboardLogs" /stypes="*4010*201612260*" /stext=" 05:.+((SYSTEM_STATE.+slice.+state.+changed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6">
        <f t="shared" si="3"/>
        <v>42730.234826388885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{"issue":{"subject":"","project_id":79,"tracker_id":40,"status_id":1,"priority_id":2,"assigned_to_id":23,"start_date":"2016-12-25","description":"","custom_fields":[{"id":1,"name":"Subdivision","value":"EC"},{"id":4,"name":"Milepost","value":"0.0001"},{"id":17,"name":"Train ID","value":"230-25"},{"id":16,"name":"Locomotive ID","value":"4010"},{"id":130,"name":"Impact","value":""},{"id":150,"name":"Time of Event (Mountain Time)","value":"22:38:09"},{"id":151,"name":"Denver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"%USERPROFILE%\AppData\Local\Temp\OnboardLogs"\RTDC4010\*4010*201612260*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"%USERPROFILE%\AppData\Local\Temp\OnboardLogs"\RTDC4010\*4010*201612260* &gt;&gt; 42729-slicedisagreementcheck.txt</v>
      </c>
    </row>
    <row r="23" spans="1:30" x14ac:dyDescent="0.25">
      <c r="A23" s="36">
        <v>42729.233541666668</v>
      </c>
      <c r="B23" s="31" t="s">
        <v>183</v>
      </c>
      <c r="C23" s="31" t="s">
        <v>442</v>
      </c>
      <c r="D23" s="31" t="s">
        <v>49</v>
      </c>
      <c r="E23" s="31" t="s">
        <v>200</v>
      </c>
      <c r="F23" s="47">
        <v>0</v>
      </c>
      <c r="G23" s="47">
        <v>81</v>
      </c>
      <c r="H23" s="47">
        <v>233168</v>
      </c>
      <c r="I23" s="47">
        <v>233329</v>
      </c>
      <c r="J23" s="31" t="s">
        <v>201</v>
      </c>
      <c r="K23" s="47">
        <v>233491</v>
      </c>
      <c r="L23" s="154" t="s">
        <v>50</v>
      </c>
      <c r="M23" s="155">
        <f t="shared" si="0"/>
        <v>85.536000000000001</v>
      </c>
      <c r="N23" s="156" t="str">
        <f>VLOOKUP(C23,'Trips&amp;Operators'!$C$1:$G$99999,5,FALSE)</f>
        <v>GEBRETEKLE DAGNEW</v>
      </c>
      <c r="O23" s="183" t="s">
        <v>227</v>
      </c>
      <c r="P23" s="157" t="s">
        <v>829</v>
      </c>
      <c r="Q23" s="31"/>
      <c r="R23" s="100" t="str">
        <f>VLOOKUP(C23,'Train Runs'!$A$13:$AE$9973,31,0)</f>
        <v>aws s3 cp s3://rtdc.mdm.uploadarchive.raw/RTDC4009/ "%USERPROFILE%\AppData\Local\Temp\OnboardLogs"\RTDC4009\2016-12-25 --exclude "*" --recursive --include "*20161225*" &amp; "%USERPROFILE%\Documents\GitHub\mrs-test-scripts\Headless Mode &amp; Sideloading\WalkAndUnGZ.bat" "%USERPROFILE%\AppData\Local\Temp\OnboardLogs"\RTDC4009\2016-12-25 &amp; aws s3 cp s3://rtdc.mdm.uploadarchive.raw/RTDC4009/ "%USERPROFILE%\AppData\Local\Temp\OnboardLogs"\RTDC4009\2016-12-26 --exclude "*" --recursive --include "*20161226*" &amp; "%USERPROFILE%\Documents\GitHub\mrs-test-scripts\Headless Mode &amp; Sideloading\WalkAndUnGZ.bat" "%USERPROFILE%\AppData\Local\Temp\OnboardLogs"\RTDC4009\2016-12-26</v>
      </c>
      <c r="S23" s="103" t="str">
        <f>VLOOKUP(C23,'Train Runs'!$A$13:$AE$9973,22,0)</f>
        <v>https://search-rtdc-monitor-bjffxe2xuh6vdkpspy63sjmuny.us-east-1.es.amazonaws.com/_plugin/kibana/#/discover/Steve-Slow-Train-Analysis-(2080s-and-2083s)?_g=(refreshInterval:(display:Off,section:0,value:0),time:(from:'2016-12-25 03:56:28-700',mode:absolute,to:'2016-12-25 06:36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3" s="105" t="str">
        <f t="shared" si="1"/>
        <v>"C:\Program Files (x86)\AstroGrep\AstroGrep.exe" /spath="%USERPROFILE%\AppData\Local\Temp\OnboardLogs" /stypes="*4009*201612251*" /stext=" 12:.+((SYSTEM_STATE.+slice.+state.+changed )|(ment ac)|(multiple cpu faults)|(system.+state.+changed )|(\[timeout)|(PRM\|1\|D)|(kpr)|(kdp)|(\|lc)|(penalty))" /e /r /s</v>
      </c>
      <c r="U23" s="9" t="str">
        <f t="shared" si="2"/>
        <v>4009</v>
      </c>
      <c r="V23" s="36">
        <f t="shared" si="3"/>
        <v>42729.525208333333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{"issue":{"subject":"Banner without braking","project_id":79,"tracker_id":40,"status_id":1,"priority_id":2,"assigned_to_id":23,"start_date":"2016-12-25","description":"","custom_fields":[{"id":1,"name":"Subdivision","value":"EC"},{"id":4,"name":"Milepost","value":"23.3491"},{"id":17,"name":"Train ID","value":"111-25"},{"id":16,"name":"Locomotive ID","value":"4009"},{"id":130,"name":"Impact","value":""},{"id":150,"name":"Time of Event (Mountain Time)","value":"05:36:18"},{"id":151,"name":"Denver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"%USERPROFILE%\AppData\Local\Temp\OnboardLogs"\RTDC4009\*4009*201612251*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"%USERPROFILE%\AppData\Local\Temp\OnboardLogs"\RTDC4009\*4009*201612251* &gt;&gt; 42729-slicedisagreementcheck.txt</v>
      </c>
    </row>
    <row r="24" spans="1:30" x14ac:dyDescent="0.25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AC24"/>
    </row>
    <row r="25" spans="1:30" x14ac:dyDescent="0.25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AC25"/>
    </row>
    <row r="26" spans="1:30" x14ac:dyDescent="0.25">
      <c r="A26"/>
      <c r="D26"/>
      <c r="E26"/>
      <c r="F26"/>
      <c r="G26"/>
      <c r="H26"/>
      <c r="I26"/>
      <c r="J26"/>
      <c r="K26"/>
      <c r="L26"/>
      <c r="M26"/>
      <c r="N26"/>
      <c r="O26"/>
      <c r="P26"/>
      <c r="R26"/>
      <c r="S26"/>
      <c r="T26"/>
      <c r="V26"/>
      <c r="AC26"/>
    </row>
    <row r="27" spans="1:30" x14ac:dyDescent="0.25">
      <c r="A27"/>
      <c r="D27"/>
      <c r="E27"/>
      <c r="F27"/>
      <c r="G27"/>
      <c r="H27"/>
      <c r="I27"/>
      <c r="J27"/>
      <c r="K27"/>
      <c r="L27"/>
      <c r="M27"/>
      <c r="N27"/>
      <c r="O27"/>
      <c r="P27"/>
      <c r="R27"/>
      <c r="S27"/>
      <c r="T27"/>
      <c r="V27"/>
      <c r="AC27"/>
    </row>
    <row r="28" spans="1:30" ht="15" customHeight="1" x14ac:dyDescent="0.25">
      <c r="A28"/>
      <c r="D28"/>
      <c r="E28"/>
      <c r="F28"/>
      <c r="G28"/>
      <c r="H28"/>
      <c r="I28"/>
      <c r="J28"/>
      <c r="K28"/>
      <c r="L28"/>
      <c r="M28"/>
      <c r="N28"/>
      <c r="O28"/>
      <c r="P28"/>
      <c r="R28"/>
      <c r="S28"/>
      <c r="T28"/>
      <c r="V28"/>
      <c r="AC28"/>
    </row>
    <row r="29" spans="1:30" ht="15" customHeight="1" x14ac:dyDescent="0.25">
      <c r="A29"/>
      <c r="D29"/>
      <c r="E29"/>
      <c r="F29"/>
      <c r="G29"/>
      <c r="H29"/>
      <c r="I29"/>
      <c r="J29"/>
      <c r="K29"/>
      <c r="L29"/>
      <c r="M29"/>
      <c r="N29"/>
      <c r="O29"/>
      <c r="P29"/>
      <c r="R29"/>
      <c r="S29"/>
      <c r="T29"/>
      <c r="V29"/>
      <c r="AC29"/>
    </row>
    <row r="30" spans="1:30" x14ac:dyDescent="0.25">
      <c r="A30"/>
      <c r="D30"/>
      <c r="E30"/>
      <c r="F30"/>
      <c r="G30"/>
      <c r="H30"/>
      <c r="I30"/>
      <c r="J30"/>
      <c r="K30"/>
      <c r="L30"/>
      <c r="M30"/>
      <c r="N30"/>
      <c r="O30"/>
      <c r="P30"/>
      <c r="R30"/>
      <c r="S30"/>
      <c r="T30"/>
      <c r="V30"/>
      <c r="AC30"/>
    </row>
    <row r="31" spans="1:30" x14ac:dyDescent="0.25">
      <c r="A31"/>
      <c r="D31"/>
      <c r="E31"/>
      <c r="F31"/>
      <c r="G31"/>
      <c r="H31"/>
      <c r="I31"/>
      <c r="J31"/>
      <c r="K31"/>
      <c r="L31"/>
      <c r="M31"/>
      <c r="N31"/>
      <c r="O31"/>
      <c r="P31"/>
      <c r="R31"/>
      <c r="S31"/>
      <c r="T31"/>
      <c r="V31"/>
      <c r="AC31"/>
    </row>
    <row r="32" spans="1:30" x14ac:dyDescent="0.25">
      <c r="A32"/>
      <c r="D32"/>
      <c r="E32"/>
      <c r="F32"/>
      <c r="G32"/>
      <c r="H32"/>
      <c r="I32"/>
      <c r="J32"/>
      <c r="K32"/>
      <c r="L32"/>
      <c r="M32"/>
      <c r="N32"/>
      <c r="O32"/>
      <c r="P32"/>
      <c r="R32"/>
      <c r="S32"/>
      <c r="T32"/>
      <c r="V32"/>
      <c r="AC32"/>
    </row>
    <row r="33" spans="1:29" x14ac:dyDescent="0.25">
      <c r="A33"/>
      <c r="D33"/>
      <c r="E33"/>
      <c r="F33"/>
      <c r="G33"/>
      <c r="H33"/>
      <c r="I33"/>
      <c r="J33"/>
      <c r="K33"/>
      <c r="L33"/>
      <c r="M33"/>
      <c r="N33"/>
      <c r="O33"/>
      <c r="P33"/>
      <c r="R33"/>
      <c r="S33"/>
      <c r="T33"/>
      <c r="V33"/>
      <c r="AC33"/>
    </row>
    <row r="34" spans="1:29" x14ac:dyDescent="0.25">
      <c r="A34"/>
      <c r="D34"/>
      <c r="E34"/>
      <c r="F34"/>
      <c r="G34"/>
      <c r="H34"/>
      <c r="I34"/>
      <c r="J34"/>
      <c r="K34"/>
      <c r="L34"/>
      <c r="M34"/>
      <c r="N34"/>
      <c r="O34"/>
      <c r="P34"/>
      <c r="R34"/>
      <c r="S34"/>
      <c r="T34"/>
      <c r="V34"/>
      <c r="AC34"/>
    </row>
    <row r="35" spans="1:29" x14ac:dyDescent="0.25">
      <c r="A35"/>
      <c r="D35"/>
      <c r="E35"/>
      <c r="F35"/>
      <c r="G35"/>
      <c r="H35"/>
      <c r="I35"/>
      <c r="J35"/>
      <c r="K35"/>
      <c r="L35"/>
      <c r="M35"/>
      <c r="N35"/>
      <c r="O35"/>
      <c r="P35"/>
      <c r="R35"/>
      <c r="S35"/>
      <c r="T35"/>
      <c r="V35"/>
      <c r="AC35"/>
    </row>
    <row r="36" spans="1:29" x14ac:dyDescent="0.25">
      <c r="A36"/>
      <c r="D36"/>
      <c r="E36"/>
      <c r="F36"/>
      <c r="G36"/>
      <c r="H36"/>
      <c r="I36"/>
      <c r="J36"/>
      <c r="K36"/>
      <c r="L36"/>
      <c r="M36"/>
      <c r="N36"/>
      <c r="O36"/>
      <c r="P36"/>
      <c r="R36"/>
      <c r="S36"/>
      <c r="T36"/>
      <c r="V36"/>
      <c r="AC36"/>
    </row>
    <row r="37" spans="1:29" x14ac:dyDescent="0.25">
      <c r="A37"/>
      <c r="D37"/>
      <c r="E37"/>
      <c r="F37"/>
      <c r="G37"/>
      <c r="H37"/>
      <c r="I37"/>
      <c r="J37"/>
      <c r="K37"/>
      <c r="L37"/>
      <c r="M37"/>
      <c r="N37"/>
      <c r="O37"/>
      <c r="P37"/>
      <c r="R37"/>
      <c r="S37"/>
      <c r="T37"/>
      <c r="V37"/>
      <c r="AC37"/>
    </row>
    <row r="38" spans="1:29" x14ac:dyDescent="0.25">
      <c r="A38"/>
      <c r="D38"/>
      <c r="E38"/>
      <c r="F38"/>
      <c r="G38"/>
      <c r="H38"/>
      <c r="I38"/>
      <c r="J38"/>
      <c r="K38"/>
      <c r="L38"/>
      <c r="M38"/>
      <c r="N38"/>
      <c r="O38"/>
      <c r="P38"/>
      <c r="R38"/>
      <c r="S38"/>
      <c r="T38"/>
      <c r="V38"/>
      <c r="AC38"/>
    </row>
    <row r="39" spans="1:29" x14ac:dyDescent="0.25">
      <c r="A39"/>
      <c r="D39"/>
      <c r="E39"/>
      <c r="F39"/>
      <c r="G39"/>
      <c r="H39"/>
      <c r="I39"/>
      <c r="J39"/>
      <c r="K39"/>
      <c r="L39"/>
      <c r="M39"/>
      <c r="N39"/>
      <c r="O39"/>
      <c r="P39"/>
      <c r="R39"/>
      <c r="S39"/>
      <c r="T39"/>
      <c r="V39"/>
      <c r="AC39"/>
    </row>
    <row r="40" spans="1:29" x14ac:dyDescent="0.25">
      <c r="A40"/>
      <c r="D40"/>
      <c r="E40"/>
      <c r="F40"/>
      <c r="G40"/>
      <c r="H40"/>
      <c r="I40"/>
      <c r="J40"/>
      <c r="K40"/>
      <c r="L40"/>
      <c r="M40"/>
      <c r="N40"/>
      <c r="O40"/>
      <c r="P40"/>
      <c r="R40"/>
      <c r="S40"/>
      <c r="T40"/>
      <c r="V40"/>
      <c r="AC40"/>
    </row>
    <row r="41" spans="1:29" x14ac:dyDescent="0.25">
      <c r="A41"/>
      <c r="D41"/>
      <c r="E41"/>
      <c r="F41"/>
      <c r="G41"/>
      <c r="H41"/>
      <c r="I41"/>
      <c r="J41"/>
      <c r="K41"/>
      <c r="L41"/>
      <c r="M41"/>
      <c r="N41"/>
      <c r="O41"/>
      <c r="P41"/>
      <c r="R41"/>
      <c r="S41"/>
      <c r="T41"/>
      <c r="V41"/>
      <c r="AC41"/>
    </row>
    <row r="42" spans="1:29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29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29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29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29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29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29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</sheetData>
  <autoFilter ref="A6:AC44">
    <sortState ref="A7:AC44">
      <sortCondition ref="V6:V44"/>
    </sortState>
  </autoFilter>
  <sortState ref="A7:AD23">
    <sortCondition ref="W7:W23"/>
    <sortCondition ref="E7:E23"/>
    <sortCondition ref="K7:K23"/>
    <sortCondition ref="C7:C23"/>
    <sortCondition ref="F7:F23"/>
  </sortState>
  <mergeCells count="1">
    <mergeCell ref="A5:O5"/>
  </mergeCells>
  <conditionalFormatting sqref="O6:P6 R6 O74:O1048576 O7:O23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23">
    <cfRule type="expression" dxfId="1" priority="20">
      <formula>$O7="Y"</formula>
    </cfRule>
  </conditionalFormatting>
  <hyperlinks>
    <hyperlink ref="Z1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AA7:AA23</xm:sqref>
        </x14:dataValidation>
        <x14:dataValidation type="list" allowBlank="1" showInputMessage="1" showErrorMessage="1">
          <x14:formula1>
            <xm:f>'Redmine List Values'!$C$2:$C$15</xm:f>
          </x14:formula1>
          <xm:sqref>AB7:AB23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8"/>
  <sheetViews>
    <sheetView workbookViewId="0">
      <selection activeCell="E3" sqref="E3"/>
    </sheetView>
  </sheetViews>
  <sheetFormatPr defaultRowHeight="15" x14ac:dyDescent="0.25"/>
  <cols>
    <col min="1" max="1" width="9.140625" style="169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9"/>
      <c r="B1" s="186" t="str">
        <f>"Trips that did not appear in PTC Data "&amp;TEXT(Variables!$A$2,"YYYY-mm-dd")</f>
        <v>Trips that did not appear in PTC Data 2016-12-25</v>
      </c>
      <c r="C1" s="186"/>
      <c r="D1" s="186"/>
      <c r="E1" s="186"/>
      <c r="F1" s="186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114</v>
      </c>
      <c r="B3" s="47" t="str">
        <f>A3&amp;"-"&amp;IF(DAY(Variables!$A$2)&lt;10,0,"")&amp;DAY(Variables!$A$2)</f>
        <v>114-25</v>
      </c>
      <c r="C3" s="158"/>
      <c r="D3" s="163"/>
      <c r="E3" s="31" t="s">
        <v>365</v>
      </c>
      <c r="F3" s="22" t="str">
        <f>VLOOKUP(B3,'Trips&amp;Operators'!$C$2:$E$10000,3,FALSE)</f>
        <v>OUN</v>
      </c>
      <c r="G3" s="22" t="str">
        <f>VLOOKUP(B3,'Trips&amp;Operators'!$C$1:$F$10000,4,FALSE)</f>
        <v>ZACK</v>
      </c>
      <c r="H3" s="30" t="str">
        <f>VLOOKUP(B3,'Trips&amp;Operators'!$C$1:$H$10000,5,FALSE)</f>
        <v>OUN ZACK</v>
      </c>
      <c r="I3" s="50" t="str">
        <f t="shared" ref="I3:I5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22114-25%22)),sort:!(Time,asc))</v>
      </c>
      <c r="J3" s="31" t="str">
        <f>VLOOKUP(B3,'Train Runs'!$A$13:$A$99970,1,FALSE)</f>
        <v>114-25</v>
      </c>
      <c r="K3" s="31" t="e">
        <f>IF(VLOOKUP(A3,$K$26:$K$49,1,FALSE),"Cancelled")</f>
        <v>#N/A</v>
      </c>
    </row>
    <row r="4" spans="1:11" x14ac:dyDescent="0.25">
      <c r="A4" s="171">
        <v>240</v>
      </c>
      <c r="B4" s="47" t="str">
        <f>A4&amp;"-"&amp;IF(DAY(Variables!$A$2)&lt;10,0,"")&amp;DAY(Variables!$A$2)</f>
        <v>240-25</v>
      </c>
      <c r="C4" s="158"/>
      <c r="D4" s="163"/>
      <c r="E4" s="31" t="s">
        <v>365</v>
      </c>
      <c r="F4" s="22" t="str">
        <f>VLOOKUP(B4,'Trips&amp;Operators'!$C$2:$E$10000,3,FALSE)</f>
        <v>NEWELL</v>
      </c>
      <c r="G4" s="22" t="str">
        <f>VLOOKUP(B4,'Trips&amp;Operators'!$C$1:$F$10000,4,FALSE)</f>
        <v>JAMES</v>
      </c>
      <c r="H4" s="30" t="str">
        <f>VLOOKUP(B4,'Trips&amp;Operators'!$C$1:$H$10000,5,FALSE)</f>
        <v>NEWELL JAMES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22240-25%22)),sort:!(Time,asc))</v>
      </c>
      <c r="J4" s="31" t="str">
        <f>VLOOKUP(B4,'Train Runs'!$A$13:$A$99970,1,FALSE)</f>
        <v>240-25</v>
      </c>
      <c r="K4" s="31" t="e">
        <f>IF(VLOOKUP(A4,$K$26:$K$49,1,FALSE),"Cancelled")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-25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5" s="31" t="e">
        <f>VLOOKUP(B5,'Train Runs'!$A$13:$A$99970,1,FALSE)</f>
        <v>#N/A</v>
      </c>
      <c r="K5" s="31" t="e">
        <f>IF(VLOOKUP(A5,$K$26:$K$49,1,FALSE),"Cancelled")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-25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ref="I6:I18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6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6" s="31" t="e">
        <f>VLOOKUP(B6,'Train Runs'!$A$13:$A$99970,1,FALSE)</f>
        <v>#N/A</v>
      </c>
      <c r="K6" s="31" t="e">
        <f t="shared" ref="K6:K18" si="2">IF(VLOOKUP(A6,$K$26:$K$49,1,FALSE),"Cancelled")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-25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7" s="31" t="e">
        <f>VLOOKUP(B7,'Train Runs'!$A$13:$A$99970,1,FALSE)</f>
        <v>#N/A</v>
      </c>
      <c r="K7" s="31" t="e">
        <f t="shared" si="2"/>
        <v>#N/A</v>
      </c>
    </row>
    <row r="8" spans="1:11" x14ac:dyDescent="0.25">
      <c r="A8" s="171"/>
      <c r="B8" s="47" t="str">
        <f>A8&amp;"-"&amp;IF(DAY(Variables!$A$2)&lt;10,0,"")&amp;DAY(Variables!$A$2)</f>
        <v>-25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8" s="31" t="e">
        <f>VLOOKUP(B8,'Train Runs'!$A$13:$A$99970,1,FALSE)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-25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9" s="31" t="e">
        <f>VLOOKUP(B9,'Train Runs'!$A$13:$A$99970,1,FALSE)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-25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0" s="31" t="e">
        <f>VLOOKUP(B10,'Train Runs'!$A$13:$A$99970,1,FALSE)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-25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1" s="31" t="e">
        <f>VLOOKUP(B11,'Train Runs'!$A$13:$A$99970,1,FALSE)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-25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2" s="31" t="e">
        <f>VLOOKUP(B12,'Train Runs'!$A$13:$A$99970,1,FALSE)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-25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3" s="31" t="e">
        <f>VLOOKUP(B13,'Train Runs'!$A$13:$A$99970,1,FALSE)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-25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4" s="31" t="e">
        <f>VLOOKUP(B14,'Train Runs'!$A$13:$A$99970,1,FALSE)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-25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5" s="31" t="e">
        <f>VLOOKUP(B15,'Train Runs'!$A$13:$A$99970,1,FALSE)</f>
        <v>#N/A</v>
      </c>
      <c r="K15" s="31" t="e">
        <f t="shared" si="2"/>
        <v>#N/A</v>
      </c>
    </row>
    <row r="16" spans="1:11" x14ac:dyDescent="0.25">
      <c r="A16" s="171"/>
      <c r="B16" s="47" t="str">
        <f>A16&amp;"-"&amp;IF(DAY(Variables!$A$2)&lt;10,0,"")&amp;DAY(Variables!$A$2)</f>
        <v>-25</v>
      </c>
      <c r="C16" s="158"/>
      <c r="D16" s="163"/>
      <c r="E16" s="31"/>
      <c r="F16" s="22" t="e">
        <f>VLOOKUP(B16,'Trips&amp;Operators'!$C$2:$E$10000,3,FALSE)</f>
        <v>#N/A</v>
      </c>
      <c r="G16" s="22" t="e">
        <f>VLOOKUP(B16,'Trips&amp;Operators'!$C$1:$F$10000,4,FALSE)</f>
        <v>#N/A</v>
      </c>
      <c r="H16" s="30" t="e">
        <f>VLOOKUP(B16,'Trips&amp;Operators'!$C$1:$H$10000,5,FALSE)</f>
        <v>#N/A</v>
      </c>
      <c r="I16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6" s="31" t="e">
        <f>VLOOKUP(B16,'Train Runs'!$A$13:$A$99970,1,FALSE)</f>
        <v>#N/A</v>
      </c>
      <c r="K16" s="31" t="e">
        <f t="shared" si="2"/>
        <v>#N/A</v>
      </c>
    </row>
    <row r="17" spans="1:11" x14ac:dyDescent="0.25">
      <c r="A17" s="171"/>
      <c r="B17" s="47" t="str">
        <f>A17&amp;"-"&amp;IF(DAY(Variables!$A$2)&lt;10,0,"")&amp;DAY(Variables!$A$2)</f>
        <v>-25</v>
      </c>
      <c r="C17" s="158"/>
      <c r="D17" s="163"/>
      <c r="E17" s="31"/>
      <c r="F17" s="22" t="e">
        <f>VLOOKUP(B17,'Trips&amp;Operators'!$C$2:$E$10000,3,FALSE)</f>
        <v>#N/A</v>
      </c>
      <c r="G17" s="22" t="e">
        <f>VLOOKUP(B17,'Trips&amp;Operators'!$C$1:$F$10000,4,FALSE)</f>
        <v>#N/A</v>
      </c>
      <c r="H17" s="30" t="e">
        <f>VLOOKUP(B17,'Trips&amp;Operators'!$C$1:$H$10000,5,FALSE)</f>
        <v>#N/A</v>
      </c>
      <c r="I17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7" s="31" t="e">
        <f>VLOOKUP(B17,'Train Runs'!$A$13:$A$99970,1,FALSE)</f>
        <v>#N/A</v>
      </c>
      <c r="K17" s="31" t="e">
        <f t="shared" si="2"/>
        <v>#N/A</v>
      </c>
    </row>
    <row r="18" spans="1:11" x14ac:dyDescent="0.25">
      <c r="A18" s="171"/>
      <c r="B18" s="47" t="str">
        <f>A18&amp;"-"&amp;IF(DAY(Variables!$A$2)&lt;10,0,"")&amp;DAY(Variables!$A$2)</f>
        <v>-25</v>
      </c>
      <c r="C18" s="158"/>
      <c r="D18" s="163"/>
      <c r="E18" s="31"/>
      <c r="F18" s="22" t="e">
        <f>VLOOKUP(B18,'Trips&amp;Operators'!$C$2:$E$10000,3,FALSE)</f>
        <v>#N/A</v>
      </c>
      <c r="G18" s="22" t="e">
        <f>VLOOKUP(B18,'Trips&amp;Operators'!$C$1:$F$10000,4,FALSE)</f>
        <v>#N/A</v>
      </c>
      <c r="H18" s="30" t="e">
        <f>VLOOKUP(B18,'Trips&amp;Operators'!$C$1:$H$10000,5,FALSE)</f>
        <v>#N/A</v>
      </c>
      <c r="I1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-25%22)),sort:!(Time,asc))</v>
      </c>
      <c r="J18" s="31" t="e">
        <f>VLOOKUP(B18,'Train Runs'!$A$13:$A$99970,1,FALSE)</f>
        <v>#N/A</v>
      </c>
      <c r="K18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3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4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4" t="s">
        <v>179</v>
      </c>
      <c r="E1" s="21" t="s">
        <v>180</v>
      </c>
      <c r="F1" s="21" t="s">
        <v>253</v>
      </c>
      <c r="G1" s="8" t="s">
        <v>252</v>
      </c>
    </row>
    <row r="2" spans="1:7" x14ac:dyDescent="0.25">
      <c r="A2" s="8">
        <v>42729.033668981479</v>
      </c>
      <c r="B2" s="21" t="s">
        <v>204</v>
      </c>
      <c r="C2" s="21" t="s">
        <v>458</v>
      </c>
      <c r="D2" s="164">
        <v>2220000</v>
      </c>
      <c r="E2" s="21" t="s">
        <v>344</v>
      </c>
      <c r="F2" s="21" t="s">
        <v>345</v>
      </c>
      <c r="G2" s="8" t="str">
        <f>E2&amp;" "&amp;F2</f>
        <v>HILLS DUSTIN</v>
      </c>
    </row>
    <row r="3" spans="1:7" x14ac:dyDescent="0.25">
      <c r="A3" s="8">
        <v>42729.036238425928</v>
      </c>
      <c r="B3" s="21" t="s">
        <v>366</v>
      </c>
      <c r="C3" s="21" t="s">
        <v>459</v>
      </c>
      <c r="D3" s="164">
        <v>2000000</v>
      </c>
      <c r="E3" s="21" t="s">
        <v>209</v>
      </c>
      <c r="F3" s="21" t="s">
        <v>251</v>
      </c>
      <c r="G3" s="8" t="str">
        <f t="shared" ref="G3:G66" si="0">E3&amp;" "&amp;F3</f>
        <v>STAMBAUGH JAMES</v>
      </c>
    </row>
    <row r="4" spans="1:7" x14ac:dyDescent="0.25">
      <c r="A4" s="8">
        <v>42729.043946759259</v>
      </c>
      <c r="B4" s="21" t="s">
        <v>272</v>
      </c>
      <c r="C4" s="21" t="s">
        <v>460</v>
      </c>
      <c r="D4" s="164">
        <v>2230000</v>
      </c>
      <c r="E4" s="21" t="s">
        <v>283</v>
      </c>
      <c r="F4" s="21" t="s">
        <v>263</v>
      </c>
      <c r="G4" s="8" t="str">
        <f t="shared" si="0"/>
        <v>SMITH MICHAEL</v>
      </c>
    </row>
    <row r="5" spans="1:7" x14ac:dyDescent="0.25">
      <c r="A5" s="8">
        <v>42729.051238425927</v>
      </c>
      <c r="B5" s="21" t="s">
        <v>293</v>
      </c>
      <c r="C5" s="21" t="s">
        <v>461</v>
      </c>
      <c r="D5" s="164">
        <v>2270000</v>
      </c>
      <c r="E5" s="21" t="s">
        <v>346</v>
      </c>
      <c r="F5" s="21" t="s">
        <v>347</v>
      </c>
      <c r="G5" s="8" t="str">
        <f t="shared" si="0"/>
        <v>BROWN JACOB</v>
      </c>
    </row>
    <row r="6" spans="1:7" x14ac:dyDescent="0.25">
      <c r="A6" s="8">
        <v>42729.067141203705</v>
      </c>
      <c r="B6" s="21" t="s">
        <v>380</v>
      </c>
      <c r="C6" s="21" t="s">
        <v>462</v>
      </c>
      <c r="D6" s="164">
        <v>2000000</v>
      </c>
      <c r="E6" s="21" t="s">
        <v>209</v>
      </c>
      <c r="F6" s="21" t="s">
        <v>251</v>
      </c>
      <c r="G6" s="8" t="str">
        <f t="shared" si="0"/>
        <v>STAMBAUGH JAMES</v>
      </c>
    </row>
    <row r="7" spans="1:7" x14ac:dyDescent="0.25">
      <c r="A7" s="8">
        <v>42729.068680555552</v>
      </c>
      <c r="B7" s="21" t="s">
        <v>204</v>
      </c>
      <c r="C7" s="21" t="s">
        <v>458</v>
      </c>
      <c r="D7" s="164">
        <v>2220000</v>
      </c>
      <c r="E7" s="21" t="s">
        <v>344</v>
      </c>
      <c r="F7" s="21" t="s">
        <v>345</v>
      </c>
      <c r="G7" s="8" t="str">
        <f t="shared" si="0"/>
        <v>HILLS DUSTIN</v>
      </c>
    </row>
    <row r="8" spans="1:7" x14ac:dyDescent="0.25">
      <c r="A8" s="8">
        <v>42729.072951388887</v>
      </c>
      <c r="B8" s="21" t="s">
        <v>210</v>
      </c>
      <c r="C8" s="21" t="s">
        <v>463</v>
      </c>
      <c r="D8" s="164">
        <v>2220000</v>
      </c>
      <c r="E8" s="21" t="s">
        <v>344</v>
      </c>
      <c r="F8" s="21" t="s">
        <v>345</v>
      </c>
      <c r="G8" s="8" t="str">
        <f t="shared" si="0"/>
        <v>HILLS DUSTIN</v>
      </c>
    </row>
    <row r="9" spans="1:7" ht="15.75" thickBot="1" x14ac:dyDescent="0.3">
      <c r="A9" s="25">
        <v>42729.07508101852</v>
      </c>
      <c r="B9" s="21" t="s">
        <v>258</v>
      </c>
      <c r="C9" s="21" t="s">
        <v>464</v>
      </c>
      <c r="D9" s="164">
        <v>2630000</v>
      </c>
      <c r="E9" s="21" t="s">
        <v>382</v>
      </c>
      <c r="F9" s="21" t="s">
        <v>383</v>
      </c>
      <c r="G9" s="8" t="str">
        <f t="shared" si="0"/>
        <v>SAFIEF AEIMEN</v>
      </c>
    </row>
    <row r="10" spans="1:7" x14ac:dyDescent="0.25">
      <c r="A10" s="8">
        <v>42729.09065972222</v>
      </c>
      <c r="B10" s="21" t="s">
        <v>273</v>
      </c>
      <c r="C10" s="21" t="s">
        <v>465</v>
      </c>
      <c r="D10" s="164">
        <v>2230000</v>
      </c>
      <c r="E10" s="21" t="s">
        <v>283</v>
      </c>
      <c r="F10" s="21" t="s">
        <v>263</v>
      </c>
      <c r="G10" s="8" t="str">
        <f t="shared" si="0"/>
        <v>SMITH MICHAEL</v>
      </c>
    </row>
    <row r="11" spans="1:7" x14ac:dyDescent="0.25">
      <c r="A11" s="8">
        <v>42729.116956018515</v>
      </c>
      <c r="B11" s="21" t="s">
        <v>370</v>
      </c>
      <c r="C11" s="21" t="s">
        <v>466</v>
      </c>
      <c r="D11" s="164">
        <v>2110000</v>
      </c>
      <c r="E11" s="21" t="s">
        <v>296</v>
      </c>
      <c r="F11" s="21" t="s">
        <v>297</v>
      </c>
      <c r="G11" s="8" t="str">
        <f t="shared" si="0"/>
        <v>OUN ZACK</v>
      </c>
    </row>
    <row r="12" spans="1:7" x14ac:dyDescent="0.25">
      <c r="A12" s="8">
        <v>42729.130208333336</v>
      </c>
      <c r="B12" s="21" t="s">
        <v>183</v>
      </c>
      <c r="C12" s="21" t="s">
        <v>467</v>
      </c>
      <c r="D12" s="164">
        <v>2110000</v>
      </c>
      <c r="E12" s="21" t="s">
        <v>296</v>
      </c>
      <c r="F12" s="21" t="s">
        <v>297</v>
      </c>
      <c r="G12" s="8" t="str">
        <f t="shared" si="0"/>
        <v>OUN ZACK</v>
      </c>
    </row>
    <row r="13" spans="1:7" x14ac:dyDescent="0.25">
      <c r="A13" s="8">
        <v>42729.135567129626</v>
      </c>
      <c r="B13" s="21" t="s">
        <v>235</v>
      </c>
      <c r="C13" s="21" t="s">
        <v>468</v>
      </c>
      <c r="D13" s="164">
        <v>2090000</v>
      </c>
      <c r="E13" s="21" t="s">
        <v>469</v>
      </c>
      <c r="F13" s="21" t="s">
        <v>263</v>
      </c>
      <c r="G13" s="8" t="str">
        <f t="shared" si="0"/>
        <v>HAITHCOX MICHAEL</v>
      </c>
    </row>
    <row r="14" spans="1:7" x14ac:dyDescent="0.25">
      <c r="A14" s="8">
        <v>42729.151770833334</v>
      </c>
      <c r="B14" s="21" t="s">
        <v>231</v>
      </c>
      <c r="C14" s="21" t="s">
        <v>470</v>
      </c>
      <c r="D14" s="164">
        <v>2090000</v>
      </c>
      <c r="E14" s="21" t="s">
        <v>469</v>
      </c>
      <c r="F14" s="21" t="s">
        <v>263</v>
      </c>
      <c r="G14" s="8" t="str">
        <f t="shared" si="0"/>
        <v>HAITHCOX MICHAEL</v>
      </c>
    </row>
    <row r="15" spans="1:7" x14ac:dyDescent="0.25">
      <c r="A15" s="8">
        <v>42729.163900462961</v>
      </c>
      <c r="B15" s="21" t="s">
        <v>471</v>
      </c>
      <c r="C15" s="21" t="s">
        <v>472</v>
      </c>
      <c r="D15" s="164">
        <v>2100000</v>
      </c>
      <c r="E15" s="21" t="s">
        <v>336</v>
      </c>
      <c r="F15" s="21" t="s">
        <v>337</v>
      </c>
      <c r="G15" s="8" t="str">
        <f t="shared" si="0"/>
        <v>ISHMAEL JOSEPH</v>
      </c>
    </row>
    <row r="16" spans="1:7" x14ac:dyDescent="0.25">
      <c r="A16" s="8">
        <v>42729.169398148151</v>
      </c>
      <c r="B16" s="21" t="s">
        <v>370</v>
      </c>
      <c r="C16" s="21" t="s">
        <v>473</v>
      </c>
      <c r="D16" s="164">
        <v>2110000</v>
      </c>
      <c r="E16" s="21" t="s">
        <v>296</v>
      </c>
      <c r="F16" s="21" t="s">
        <v>297</v>
      </c>
      <c r="G16" s="8" t="str">
        <f t="shared" si="0"/>
        <v>OUN ZACK</v>
      </c>
    </row>
    <row r="17" spans="1:7" x14ac:dyDescent="0.25">
      <c r="A17" s="8">
        <v>42729.173055555555</v>
      </c>
      <c r="B17" s="21" t="s">
        <v>225</v>
      </c>
      <c r="C17" s="21" t="s">
        <v>474</v>
      </c>
      <c r="D17" s="164">
        <v>2100000</v>
      </c>
      <c r="E17" s="21" t="s">
        <v>336</v>
      </c>
      <c r="F17" s="21" t="s">
        <v>337</v>
      </c>
      <c r="G17" s="8" t="str">
        <f t="shared" si="0"/>
        <v>ISHMAEL JOSEPH</v>
      </c>
    </row>
    <row r="18" spans="1:7" x14ac:dyDescent="0.25">
      <c r="A18" s="8">
        <v>42729.177094907405</v>
      </c>
      <c r="B18" s="21" t="s">
        <v>445</v>
      </c>
      <c r="C18" s="21" t="s">
        <v>475</v>
      </c>
      <c r="D18" s="164">
        <v>1990000</v>
      </c>
      <c r="E18" s="21" t="s">
        <v>264</v>
      </c>
      <c r="F18" s="21" t="s">
        <v>377</v>
      </c>
      <c r="G18" s="8" t="str">
        <f t="shared" si="0"/>
        <v>DAVIS WENDY</v>
      </c>
    </row>
    <row r="19" spans="1:7" x14ac:dyDescent="0.25">
      <c r="A19" s="8">
        <v>42729.181064814817</v>
      </c>
      <c r="B19" s="21" t="s">
        <v>291</v>
      </c>
      <c r="C19" s="21" t="s">
        <v>476</v>
      </c>
      <c r="D19" s="164">
        <v>2140000</v>
      </c>
      <c r="E19" s="21" t="s">
        <v>378</v>
      </c>
      <c r="F19" s="21" t="s">
        <v>379</v>
      </c>
      <c r="G19" s="8" t="str">
        <f t="shared" si="0"/>
        <v>ROBINSON KADDIBA</v>
      </c>
    </row>
    <row r="20" spans="1:7" x14ac:dyDescent="0.25">
      <c r="A20" s="8">
        <v>42729.186076388891</v>
      </c>
      <c r="B20" s="21" t="s">
        <v>477</v>
      </c>
      <c r="C20" s="21" t="s">
        <v>478</v>
      </c>
      <c r="D20" s="164">
        <v>1990000</v>
      </c>
      <c r="E20" s="21" t="s">
        <v>264</v>
      </c>
      <c r="F20" s="21" t="s">
        <v>377</v>
      </c>
      <c r="G20" s="8" t="str">
        <f t="shared" si="0"/>
        <v>DAVIS WENDY</v>
      </c>
    </row>
    <row r="21" spans="1:7" x14ac:dyDescent="0.25">
      <c r="A21" s="8">
        <v>42729.192291666666</v>
      </c>
      <c r="B21" s="21" t="s">
        <v>235</v>
      </c>
      <c r="C21" s="21" t="s">
        <v>479</v>
      </c>
      <c r="D21" s="164">
        <v>2090000</v>
      </c>
      <c r="E21" s="21" t="s">
        <v>469</v>
      </c>
      <c r="F21" s="21" t="s">
        <v>263</v>
      </c>
      <c r="G21" s="8" t="str">
        <f t="shared" si="0"/>
        <v>HAITHCOX MICHAEL</v>
      </c>
    </row>
    <row r="22" spans="1:7" x14ac:dyDescent="0.25">
      <c r="A22" s="27">
        <v>42729.195092592592</v>
      </c>
      <c r="B22" s="21" t="s">
        <v>292</v>
      </c>
      <c r="C22" s="21" t="s">
        <v>480</v>
      </c>
      <c r="D22" s="164">
        <v>2140000</v>
      </c>
      <c r="E22" s="21" t="s">
        <v>378</v>
      </c>
      <c r="F22" s="21" t="s">
        <v>379</v>
      </c>
      <c r="G22" s="8" t="str">
        <f t="shared" si="0"/>
        <v>ROBINSON KADDIBA</v>
      </c>
    </row>
    <row r="23" spans="1:7" x14ac:dyDescent="0.25">
      <c r="A23" s="8">
        <v>42729.206354166665</v>
      </c>
      <c r="B23" s="21" t="s">
        <v>183</v>
      </c>
      <c r="C23" s="21" t="s">
        <v>442</v>
      </c>
      <c r="D23" s="164">
        <v>1100000</v>
      </c>
      <c r="E23" s="21" t="s">
        <v>338</v>
      </c>
      <c r="F23" s="21" t="s">
        <v>339</v>
      </c>
      <c r="G23" s="8" t="str">
        <f t="shared" si="0"/>
        <v>GEBRETEKLE DAGNEW</v>
      </c>
    </row>
    <row r="24" spans="1:7" x14ac:dyDescent="0.25">
      <c r="A24" s="8">
        <v>42729.211875000001</v>
      </c>
      <c r="B24" s="21" t="s">
        <v>367</v>
      </c>
      <c r="C24" s="21" t="s">
        <v>481</v>
      </c>
      <c r="D24" s="164">
        <v>2110000</v>
      </c>
      <c r="E24" s="21" t="s">
        <v>296</v>
      </c>
      <c r="F24" s="21" t="s">
        <v>297</v>
      </c>
      <c r="G24" s="8" t="str">
        <f t="shared" si="0"/>
        <v>OUN ZACK</v>
      </c>
    </row>
    <row r="25" spans="1:7" x14ac:dyDescent="0.25">
      <c r="A25" s="8">
        <v>42729.213842592595</v>
      </c>
      <c r="B25" s="21" t="s">
        <v>471</v>
      </c>
      <c r="C25" s="21" t="s">
        <v>482</v>
      </c>
      <c r="D25" s="164">
        <v>2100000</v>
      </c>
      <c r="E25" s="21" t="s">
        <v>336</v>
      </c>
      <c r="F25" s="21" t="s">
        <v>337</v>
      </c>
      <c r="G25" s="8" t="str">
        <f t="shared" si="0"/>
        <v>ISHMAEL JOSEPH</v>
      </c>
    </row>
    <row r="26" spans="1:7" x14ac:dyDescent="0.25">
      <c r="A26" s="8">
        <v>42729.222418981481</v>
      </c>
      <c r="B26" s="21" t="s">
        <v>229</v>
      </c>
      <c r="C26" s="21" t="s">
        <v>483</v>
      </c>
      <c r="D26" s="164">
        <v>1830000</v>
      </c>
      <c r="E26" s="21" t="s">
        <v>484</v>
      </c>
      <c r="F26" s="21" t="s">
        <v>485</v>
      </c>
      <c r="G26" s="8" t="str">
        <f t="shared" si="0"/>
        <v>YORK EDGAR</v>
      </c>
    </row>
    <row r="27" spans="1:7" x14ac:dyDescent="0.25">
      <c r="A27" s="8">
        <v>42729.224108796298</v>
      </c>
      <c r="B27" s="21" t="s">
        <v>445</v>
      </c>
      <c r="C27" s="21" t="s">
        <v>486</v>
      </c>
      <c r="D27" s="164">
        <v>1990000</v>
      </c>
      <c r="E27" s="21" t="s">
        <v>264</v>
      </c>
      <c r="F27" s="21" t="s">
        <v>377</v>
      </c>
      <c r="G27" s="8" t="str">
        <f t="shared" si="0"/>
        <v>DAVIS WENDY</v>
      </c>
    </row>
    <row r="28" spans="1:7" x14ac:dyDescent="0.25">
      <c r="A28" s="8">
        <v>42729.229872685188</v>
      </c>
      <c r="B28" s="21" t="s">
        <v>260</v>
      </c>
      <c r="C28" s="21" t="s">
        <v>487</v>
      </c>
      <c r="D28" s="164">
        <v>1830000</v>
      </c>
      <c r="E28" s="21" t="s">
        <v>484</v>
      </c>
      <c r="F28" s="21" t="s">
        <v>485</v>
      </c>
      <c r="G28" s="8" t="str">
        <f t="shared" si="0"/>
        <v>YORK EDGAR</v>
      </c>
    </row>
    <row r="29" spans="1:7" x14ac:dyDescent="0.25">
      <c r="A29" s="8">
        <v>42729.232557870368</v>
      </c>
      <c r="B29" s="21" t="s">
        <v>291</v>
      </c>
      <c r="C29" s="21" t="s">
        <v>488</v>
      </c>
      <c r="D29" s="164">
        <v>2140000</v>
      </c>
      <c r="E29" s="21" t="s">
        <v>378</v>
      </c>
      <c r="F29" s="21" t="s">
        <v>379</v>
      </c>
      <c r="G29" s="8" t="str">
        <f t="shared" si="0"/>
        <v>ROBINSON KADDIBA</v>
      </c>
    </row>
    <row r="30" spans="1:7" x14ac:dyDescent="0.25">
      <c r="A30" s="8">
        <v>42729.233668981484</v>
      </c>
      <c r="B30" s="21" t="s">
        <v>231</v>
      </c>
      <c r="C30" s="21" t="s">
        <v>489</v>
      </c>
      <c r="D30" s="164">
        <v>2020000</v>
      </c>
      <c r="E30" s="21" t="s">
        <v>381</v>
      </c>
      <c r="F30" s="21" t="s">
        <v>249</v>
      </c>
      <c r="G30" s="8" t="str">
        <f t="shared" si="0"/>
        <v>SHOOK JOHN</v>
      </c>
    </row>
    <row r="31" spans="1:7" x14ac:dyDescent="0.25">
      <c r="A31" s="8">
        <v>42729.236192129632</v>
      </c>
      <c r="B31" s="21" t="s">
        <v>294</v>
      </c>
      <c r="C31" s="21" t="s">
        <v>490</v>
      </c>
      <c r="D31" s="164">
        <v>2090000</v>
      </c>
      <c r="E31" s="21" t="s">
        <v>469</v>
      </c>
      <c r="F31" s="21" t="s">
        <v>263</v>
      </c>
      <c r="G31" s="8" t="str">
        <f t="shared" si="0"/>
        <v>HAITHCOX MICHAEL</v>
      </c>
    </row>
    <row r="32" spans="1:7" x14ac:dyDescent="0.25">
      <c r="A32" s="8">
        <v>42729.243750000001</v>
      </c>
      <c r="B32" s="21" t="s">
        <v>451</v>
      </c>
      <c r="C32" s="21" t="s">
        <v>491</v>
      </c>
      <c r="D32" s="164">
        <v>1100000</v>
      </c>
      <c r="E32" s="21" t="s">
        <v>338</v>
      </c>
      <c r="F32" s="21" t="s">
        <v>339</v>
      </c>
      <c r="G32" s="8" t="str">
        <f t="shared" si="0"/>
        <v>GEBRETEKLE DAGNEW</v>
      </c>
    </row>
    <row r="33" spans="1:7" x14ac:dyDescent="0.25">
      <c r="A33" s="8">
        <v>42729.245995370373</v>
      </c>
      <c r="B33" s="21" t="s">
        <v>225</v>
      </c>
      <c r="C33" s="21" t="s">
        <v>492</v>
      </c>
      <c r="D33" s="164">
        <v>2100000</v>
      </c>
      <c r="E33" s="21" t="s">
        <v>336</v>
      </c>
      <c r="F33" s="21" t="s">
        <v>337</v>
      </c>
      <c r="G33" s="8" t="str">
        <f t="shared" si="0"/>
        <v>ISHMAEL JOSEPH</v>
      </c>
    </row>
    <row r="34" spans="1:7" x14ac:dyDescent="0.25">
      <c r="A34" s="8">
        <v>42729.247129629628</v>
      </c>
      <c r="B34" s="21" t="s">
        <v>229</v>
      </c>
      <c r="C34" s="21" t="s">
        <v>493</v>
      </c>
      <c r="D34" s="164">
        <v>1830000</v>
      </c>
      <c r="E34" s="21" t="s">
        <v>484</v>
      </c>
      <c r="F34" s="21" t="s">
        <v>485</v>
      </c>
      <c r="G34" s="8" t="str">
        <f t="shared" si="0"/>
        <v>YORK EDGAR</v>
      </c>
    </row>
    <row r="35" spans="1:7" x14ac:dyDescent="0.25">
      <c r="A35" s="8">
        <v>42729.253750000003</v>
      </c>
      <c r="B35" s="21" t="s">
        <v>370</v>
      </c>
      <c r="C35" s="21" t="s">
        <v>494</v>
      </c>
      <c r="D35" s="164">
        <v>2110000</v>
      </c>
      <c r="E35" s="21" t="s">
        <v>296</v>
      </c>
      <c r="F35" s="21" t="s">
        <v>297</v>
      </c>
      <c r="G35" s="8" t="str">
        <f t="shared" si="0"/>
        <v>OUN ZACK</v>
      </c>
    </row>
    <row r="36" spans="1:7" x14ac:dyDescent="0.25">
      <c r="A36" s="8">
        <v>42729.257291666669</v>
      </c>
      <c r="B36" s="21" t="s">
        <v>477</v>
      </c>
      <c r="C36" s="21" t="s">
        <v>495</v>
      </c>
      <c r="D36" s="164">
        <v>1990000</v>
      </c>
      <c r="E36" s="21" t="s">
        <v>264</v>
      </c>
      <c r="F36" s="21" t="s">
        <v>377</v>
      </c>
      <c r="G36" s="8" t="str">
        <f t="shared" si="0"/>
        <v>DAVIS WENDY</v>
      </c>
    </row>
    <row r="37" spans="1:7" x14ac:dyDescent="0.25">
      <c r="A37" s="8">
        <v>42729.265034722222</v>
      </c>
      <c r="B37" s="21" t="s">
        <v>232</v>
      </c>
      <c r="C37" s="21" t="s">
        <v>496</v>
      </c>
      <c r="D37" s="164">
        <v>2020000</v>
      </c>
      <c r="E37" s="21" t="s">
        <v>381</v>
      </c>
      <c r="F37" s="21" t="s">
        <v>249</v>
      </c>
      <c r="G37" s="8" t="str">
        <f t="shared" si="0"/>
        <v>SHOOK JOHN</v>
      </c>
    </row>
    <row r="38" spans="1:7" x14ac:dyDescent="0.25">
      <c r="A38" s="8">
        <v>42729.267789351848</v>
      </c>
      <c r="B38" s="21" t="s">
        <v>292</v>
      </c>
      <c r="C38" s="21" t="s">
        <v>497</v>
      </c>
      <c r="D38" s="164">
        <v>2140000</v>
      </c>
      <c r="E38" s="21" t="s">
        <v>378</v>
      </c>
      <c r="F38" s="21" t="s">
        <v>379</v>
      </c>
      <c r="G38" s="8" t="str">
        <f t="shared" si="0"/>
        <v>ROBINSON KADDIBA</v>
      </c>
    </row>
    <row r="39" spans="1:7" x14ac:dyDescent="0.25">
      <c r="A39" s="8">
        <v>42729.276018518518</v>
      </c>
      <c r="B39" s="21" t="s">
        <v>260</v>
      </c>
      <c r="C39" s="21" t="s">
        <v>498</v>
      </c>
      <c r="D39" s="164">
        <v>1830000</v>
      </c>
      <c r="E39" s="21" t="s">
        <v>484</v>
      </c>
      <c r="F39" s="21" t="s">
        <v>485</v>
      </c>
      <c r="G39" s="8" t="str">
        <f t="shared" si="0"/>
        <v>YORK EDGAR</v>
      </c>
    </row>
    <row r="40" spans="1:7" x14ac:dyDescent="0.25">
      <c r="A40" s="8">
        <v>42729.276701388888</v>
      </c>
      <c r="B40" s="26" t="s">
        <v>235</v>
      </c>
      <c r="C40" s="21" t="s">
        <v>443</v>
      </c>
      <c r="D40" s="164">
        <v>2090000</v>
      </c>
      <c r="E40" s="21" t="s">
        <v>469</v>
      </c>
      <c r="F40" s="21" t="s">
        <v>263</v>
      </c>
      <c r="G40" s="8" t="str">
        <f t="shared" si="0"/>
        <v>HAITHCOX MICHAEL</v>
      </c>
    </row>
    <row r="41" spans="1:7" x14ac:dyDescent="0.25">
      <c r="A41" s="8">
        <v>42729.277650462966</v>
      </c>
      <c r="B41" s="21" t="s">
        <v>183</v>
      </c>
      <c r="C41" s="21" t="s">
        <v>499</v>
      </c>
      <c r="D41" s="164">
        <v>1100000</v>
      </c>
      <c r="E41" s="21" t="s">
        <v>338</v>
      </c>
      <c r="F41" s="21" t="s">
        <v>339</v>
      </c>
      <c r="G41" s="8" t="str">
        <f t="shared" si="0"/>
        <v>GEBRETEKLE DAGNEW</v>
      </c>
    </row>
    <row r="42" spans="1:7" x14ac:dyDescent="0.25">
      <c r="A42" s="8">
        <v>42729.283148148148</v>
      </c>
      <c r="B42" s="21" t="s">
        <v>271</v>
      </c>
      <c r="C42" s="21" t="s">
        <v>444</v>
      </c>
      <c r="D42" s="164">
        <v>2100000</v>
      </c>
      <c r="E42" s="21" t="s">
        <v>336</v>
      </c>
      <c r="F42" s="21" t="s">
        <v>337</v>
      </c>
      <c r="G42" s="8" t="str">
        <f t="shared" si="0"/>
        <v>ISHMAEL JOSEPH</v>
      </c>
    </row>
    <row r="43" spans="1:7" x14ac:dyDescent="0.25">
      <c r="A43" s="8">
        <v>42729.287789351853</v>
      </c>
      <c r="B43" s="21" t="s">
        <v>367</v>
      </c>
      <c r="C43" s="21" t="s">
        <v>500</v>
      </c>
      <c r="D43" s="164">
        <v>2110000</v>
      </c>
      <c r="E43" s="21" t="s">
        <v>296</v>
      </c>
      <c r="F43" s="21" t="s">
        <v>297</v>
      </c>
      <c r="G43" s="8" t="str">
        <f t="shared" si="0"/>
        <v>OUN ZACK</v>
      </c>
    </row>
    <row r="44" spans="1:7" x14ac:dyDescent="0.25">
      <c r="A44" s="8">
        <v>42729.28875</v>
      </c>
      <c r="B44" s="21" t="s">
        <v>229</v>
      </c>
      <c r="C44" s="21" t="s">
        <v>501</v>
      </c>
      <c r="D44" s="164">
        <v>1830000</v>
      </c>
      <c r="E44" s="21" t="s">
        <v>484</v>
      </c>
      <c r="F44" s="21" t="s">
        <v>485</v>
      </c>
      <c r="G44" s="8" t="str">
        <f t="shared" si="0"/>
        <v>YORK EDGAR</v>
      </c>
    </row>
    <row r="45" spans="1:7" x14ac:dyDescent="0.25">
      <c r="A45" s="8">
        <v>42729.297071759262</v>
      </c>
      <c r="B45" s="21" t="s">
        <v>445</v>
      </c>
      <c r="C45" s="21" t="s">
        <v>502</v>
      </c>
      <c r="D45" s="164">
        <v>1990000</v>
      </c>
      <c r="E45" s="21" t="s">
        <v>264</v>
      </c>
      <c r="F45" s="21" t="s">
        <v>377</v>
      </c>
      <c r="G45" s="8" t="str">
        <f t="shared" si="0"/>
        <v>DAVIS WENDY</v>
      </c>
    </row>
    <row r="46" spans="1:7" x14ac:dyDescent="0.25">
      <c r="A46" s="8">
        <v>42729.298807870371</v>
      </c>
      <c r="B46" s="21" t="s">
        <v>231</v>
      </c>
      <c r="C46" s="21" t="s">
        <v>503</v>
      </c>
      <c r="D46" s="164">
        <v>2020000</v>
      </c>
      <c r="E46" s="21" t="s">
        <v>381</v>
      </c>
      <c r="F46" s="21" t="s">
        <v>249</v>
      </c>
      <c r="G46" s="8" t="str">
        <f t="shared" si="0"/>
        <v>SHOOK JOHN</v>
      </c>
    </row>
    <row r="47" spans="1:7" x14ac:dyDescent="0.25">
      <c r="A47" s="8">
        <v>42729.306909722225</v>
      </c>
      <c r="B47" s="21" t="s">
        <v>291</v>
      </c>
      <c r="C47" s="21" t="s">
        <v>504</v>
      </c>
      <c r="D47" s="164">
        <v>2140000</v>
      </c>
      <c r="E47" s="21" t="s">
        <v>378</v>
      </c>
      <c r="F47" s="21" t="s">
        <v>379</v>
      </c>
      <c r="G47" s="8" t="str">
        <f t="shared" si="0"/>
        <v>ROBINSON KADDIBA</v>
      </c>
    </row>
    <row r="48" spans="1:7" x14ac:dyDescent="0.25">
      <c r="A48" s="8">
        <v>42729.309062499997</v>
      </c>
      <c r="B48" s="21" t="s">
        <v>294</v>
      </c>
      <c r="C48" s="21" t="s">
        <v>505</v>
      </c>
      <c r="D48" s="164">
        <v>2090000</v>
      </c>
      <c r="E48" s="21" t="s">
        <v>469</v>
      </c>
      <c r="F48" s="21" t="s">
        <v>263</v>
      </c>
      <c r="G48" s="8" t="str">
        <f t="shared" si="0"/>
        <v>HAITHCOX MICHAEL</v>
      </c>
    </row>
    <row r="49" spans="1:7" x14ac:dyDescent="0.25">
      <c r="A49" s="8">
        <v>42729.310347222221</v>
      </c>
      <c r="B49" s="21" t="s">
        <v>271</v>
      </c>
      <c r="C49" s="21" t="s">
        <v>444</v>
      </c>
      <c r="D49" s="164">
        <v>2100000</v>
      </c>
      <c r="E49" s="21" t="s">
        <v>336</v>
      </c>
      <c r="F49" s="21" t="s">
        <v>337</v>
      </c>
      <c r="G49" s="8" t="str">
        <f t="shared" si="0"/>
        <v>ISHMAEL JOSEPH</v>
      </c>
    </row>
    <row r="50" spans="1:7" x14ac:dyDescent="0.25">
      <c r="A50" s="8">
        <v>42729.316712962966</v>
      </c>
      <c r="B50" s="21" t="s">
        <v>260</v>
      </c>
      <c r="C50" s="21" t="s">
        <v>506</v>
      </c>
      <c r="D50" s="164">
        <v>1830000</v>
      </c>
      <c r="E50" s="21" t="s">
        <v>484</v>
      </c>
      <c r="F50" s="21" t="s">
        <v>485</v>
      </c>
      <c r="G50" s="8" t="str">
        <f t="shared" si="0"/>
        <v>YORK EDGAR</v>
      </c>
    </row>
    <row r="51" spans="1:7" x14ac:dyDescent="0.25">
      <c r="A51" s="8">
        <v>42729.316782407404</v>
      </c>
      <c r="B51" s="21" t="s">
        <v>451</v>
      </c>
      <c r="C51" s="21" t="s">
        <v>507</v>
      </c>
      <c r="D51" s="164">
        <v>1100000</v>
      </c>
      <c r="E51" s="21" t="s">
        <v>338</v>
      </c>
      <c r="F51" s="21" t="s">
        <v>339</v>
      </c>
      <c r="G51" s="8" t="str">
        <f t="shared" si="0"/>
        <v>GEBRETEKLE DAGNEW</v>
      </c>
    </row>
    <row r="52" spans="1:7" x14ac:dyDescent="0.25">
      <c r="A52" s="8">
        <v>42729.318969907406</v>
      </c>
      <c r="B52" s="21" t="s">
        <v>225</v>
      </c>
      <c r="C52" s="21" t="s">
        <v>508</v>
      </c>
      <c r="D52" s="164">
        <v>2100000</v>
      </c>
      <c r="E52" s="21" t="s">
        <v>336</v>
      </c>
      <c r="F52" s="21" t="s">
        <v>337</v>
      </c>
      <c r="G52" s="8" t="str">
        <f t="shared" si="0"/>
        <v>ISHMAEL JOSEPH</v>
      </c>
    </row>
    <row r="53" spans="1:7" x14ac:dyDescent="0.25">
      <c r="A53" s="8">
        <v>42729.325381944444</v>
      </c>
      <c r="B53" s="21" t="s">
        <v>370</v>
      </c>
      <c r="C53" s="21" t="s">
        <v>509</v>
      </c>
      <c r="D53" s="164">
        <v>2110000</v>
      </c>
      <c r="E53" s="21" t="s">
        <v>296</v>
      </c>
      <c r="F53" s="21" t="s">
        <v>297</v>
      </c>
      <c r="G53" s="8" t="str">
        <f t="shared" si="0"/>
        <v>OUN ZACK</v>
      </c>
    </row>
    <row r="54" spans="1:7" x14ac:dyDescent="0.25">
      <c r="A54" s="8">
        <v>42729.328298611108</v>
      </c>
      <c r="B54" s="21" t="s">
        <v>477</v>
      </c>
      <c r="C54" s="21" t="s">
        <v>510</v>
      </c>
      <c r="D54" s="164">
        <v>1990000</v>
      </c>
      <c r="E54" s="21" t="s">
        <v>264</v>
      </c>
      <c r="F54" s="21" t="s">
        <v>377</v>
      </c>
      <c r="G54" s="8" t="str">
        <f t="shared" si="0"/>
        <v>DAVIS WENDY</v>
      </c>
    </row>
    <row r="55" spans="1:7" x14ac:dyDescent="0.25">
      <c r="A55" s="8">
        <v>42729.329907407409</v>
      </c>
      <c r="B55" s="21" t="s">
        <v>232</v>
      </c>
      <c r="C55" s="21" t="s">
        <v>511</v>
      </c>
      <c r="D55" s="164">
        <v>2020000</v>
      </c>
      <c r="E55" s="21" t="s">
        <v>381</v>
      </c>
      <c r="F55" s="21" t="s">
        <v>249</v>
      </c>
      <c r="G55" s="8" t="str">
        <f t="shared" si="0"/>
        <v>SHOOK JOHN</v>
      </c>
    </row>
    <row r="56" spans="1:7" x14ac:dyDescent="0.25">
      <c r="A56" s="8">
        <v>42729.330972222226</v>
      </c>
      <c r="B56" s="21" t="s">
        <v>229</v>
      </c>
      <c r="C56" s="21" t="s">
        <v>512</v>
      </c>
      <c r="D56" s="164">
        <v>1830000</v>
      </c>
      <c r="E56" s="21" t="s">
        <v>484</v>
      </c>
      <c r="F56" s="21" t="s">
        <v>485</v>
      </c>
      <c r="G56" s="8" t="str">
        <f t="shared" si="0"/>
        <v>YORK EDGAR</v>
      </c>
    </row>
    <row r="57" spans="1:7" x14ac:dyDescent="0.25">
      <c r="A57" s="8">
        <v>42729.340810185182</v>
      </c>
      <c r="B57" s="21" t="s">
        <v>292</v>
      </c>
      <c r="C57" s="21" t="s">
        <v>513</v>
      </c>
      <c r="D57" s="164">
        <v>2140000</v>
      </c>
      <c r="E57" s="21" t="s">
        <v>378</v>
      </c>
      <c r="F57" s="21" t="s">
        <v>379</v>
      </c>
      <c r="G57" s="8" t="str">
        <f t="shared" si="0"/>
        <v>ROBINSON KADDIBA</v>
      </c>
    </row>
    <row r="58" spans="1:7" x14ac:dyDescent="0.25">
      <c r="A58" s="8">
        <v>42729.348032407404</v>
      </c>
      <c r="B58" s="21" t="s">
        <v>235</v>
      </c>
      <c r="C58" s="21" t="s">
        <v>514</v>
      </c>
      <c r="D58" s="164">
        <v>2090000</v>
      </c>
      <c r="E58" s="21" t="s">
        <v>469</v>
      </c>
      <c r="F58" s="21" t="s">
        <v>263</v>
      </c>
      <c r="G58" s="8" t="str">
        <f t="shared" si="0"/>
        <v>HAITHCOX MICHAEL</v>
      </c>
    </row>
    <row r="59" spans="1:7" x14ac:dyDescent="0.25">
      <c r="A59" s="8">
        <v>42729.350868055553</v>
      </c>
      <c r="B59" s="21" t="s">
        <v>183</v>
      </c>
      <c r="C59" s="21" t="s">
        <v>515</v>
      </c>
      <c r="D59" s="164">
        <v>1100000</v>
      </c>
      <c r="E59" s="21" t="s">
        <v>338</v>
      </c>
      <c r="F59" s="21" t="s">
        <v>339</v>
      </c>
      <c r="G59" s="8" t="str">
        <f t="shared" si="0"/>
        <v>GEBRETEKLE DAGNEW</v>
      </c>
    </row>
    <row r="60" spans="1:7" x14ac:dyDescent="0.25">
      <c r="A60" s="8">
        <v>42729.355671296296</v>
      </c>
      <c r="B60" s="21" t="s">
        <v>271</v>
      </c>
      <c r="C60" s="21" t="s">
        <v>516</v>
      </c>
      <c r="D60" s="164">
        <v>2100000</v>
      </c>
      <c r="E60" s="21" t="s">
        <v>336</v>
      </c>
      <c r="F60" s="21" t="s">
        <v>337</v>
      </c>
      <c r="G60" s="8" t="str">
        <f t="shared" si="0"/>
        <v>ISHMAEL JOSEPH</v>
      </c>
    </row>
    <row r="61" spans="1:7" x14ac:dyDescent="0.25">
      <c r="A61" s="8">
        <v>42729.359525462962</v>
      </c>
      <c r="B61" s="21" t="s">
        <v>260</v>
      </c>
      <c r="C61" s="21" t="s">
        <v>517</v>
      </c>
      <c r="D61" s="164">
        <v>1830000</v>
      </c>
      <c r="E61" s="21" t="s">
        <v>484</v>
      </c>
      <c r="F61" s="21" t="s">
        <v>485</v>
      </c>
      <c r="G61" s="8" t="str">
        <f t="shared" si="0"/>
        <v>YORK EDGAR</v>
      </c>
    </row>
    <row r="62" spans="1:7" x14ac:dyDescent="0.25">
      <c r="A62" s="8">
        <v>42729.360451388886</v>
      </c>
      <c r="B62" s="21" t="s">
        <v>367</v>
      </c>
      <c r="C62" s="21" t="s">
        <v>518</v>
      </c>
      <c r="D62" s="164">
        <v>2110000</v>
      </c>
      <c r="E62" s="21" t="s">
        <v>296</v>
      </c>
      <c r="F62" s="21" t="s">
        <v>297</v>
      </c>
      <c r="G62" s="8" t="str">
        <f t="shared" si="0"/>
        <v>OUN ZACK</v>
      </c>
    </row>
    <row r="63" spans="1:7" x14ac:dyDescent="0.25">
      <c r="A63" s="8">
        <v>42729.371863425928</v>
      </c>
      <c r="B63" s="21" t="s">
        <v>445</v>
      </c>
      <c r="C63" s="21" t="s">
        <v>519</v>
      </c>
      <c r="D63" s="164">
        <v>1990000</v>
      </c>
      <c r="E63" s="21" t="s">
        <v>264</v>
      </c>
      <c r="F63" s="21" t="s">
        <v>377</v>
      </c>
      <c r="G63" s="8" t="str">
        <f t="shared" si="0"/>
        <v>DAVIS WENDY</v>
      </c>
    </row>
    <row r="64" spans="1:7" x14ac:dyDescent="0.25">
      <c r="A64" s="27">
        <v>42729.371863425928</v>
      </c>
      <c r="B64" s="21" t="s">
        <v>231</v>
      </c>
      <c r="C64" s="21" t="s">
        <v>520</v>
      </c>
      <c r="D64" s="164">
        <v>2360000</v>
      </c>
      <c r="E64" s="21" t="s">
        <v>521</v>
      </c>
      <c r="F64" s="21" t="s">
        <v>522</v>
      </c>
      <c r="G64" s="8" t="str">
        <f t="shared" si="0"/>
        <v>BRANDNER MELINDA</v>
      </c>
    </row>
    <row r="65" spans="1:7" x14ac:dyDescent="0.25">
      <c r="A65" s="8">
        <v>42729.37195601852</v>
      </c>
      <c r="B65" s="21" t="s">
        <v>229</v>
      </c>
      <c r="C65" s="21" t="s">
        <v>523</v>
      </c>
      <c r="D65" s="164">
        <v>1830000</v>
      </c>
      <c r="E65" s="21" t="s">
        <v>484</v>
      </c>
      <c r="F65" s="21" t="s">
        <v>485</v>
      </c>
      <c r="G65" s="8" t="str">
        <f t="shared" si="0"/>
        <v>YORK EDGAR</v>
      </c>
    </row>
    <row r="66" spans="1:7" x14ac:dyDescent="0.25">
      <c r="A66" s="8">
        <v>42729.377557870372</v>
      </c>
      <c r="B66" s="21" t="s">
        <v>291</v>
      </c>
      <c r="C66" s="21" t="s">
        <v>524</v>
      </c>
      <c r="D66" s="164">
        <v>2140000</v>
      </c>
      <c r="E66" s="21" t="s">
        <v>378</v>
      </c>
      <c r="F66" s="21" t="s">
        <v>379</v>
      </c>
      <c r="G66" s="8" t="str">
        <f t="shared" si="0"/>
        <v>ROBINSON KADDIBA</v>
      </c>
    </row>
    <row r="67" spans="1:7" x14ac:dyDescent="0.25">
      <c r="A67" s="8">
        <v>42729.381157407406</v>
      </c>
      <c r="B67" s="21" t="s">
        <v>294</v>
      </c>
      <c r="C67" s="21" t="s">
        <v>525</v>
      </c>
      <c r="D67" s="164">
        <v>2090000</v>
      </c>
      <c r="E67" s="21" t="s">
        <v>469</v>
      </c>
      <c r="F67" s="21" t="s">
        <v>263</v>
      </c>
      <c r="G67" s="8" t="str">
        <f t="shared" ref="G67:G130" si="1">E67&amp;" "&amp;F67</f>
        <v>HAITHCOX MICHAEL</v>
      </c>
    </row>
    <row r="68" spans="1:7" x14ac:dyDescent="0.25">
      <c r="A68" s="8">
        <v>42729.388148148151</v>
      </c>
      <c r="B68" s="21" t="s">
        <v>451</v>
      </c>
      <c r="C68" s="21" t="s">
        <v>526</v>
      </c>
      <c r="D68" s="164">
        <v>1100000</v>
      </c>
      <c r="E68" s="21" t="s">
        <v>338</v>
      </c>
      <c r="F68" s="21" t="s">
        <v>339</v>
      </c>
      <c r="G68" s="8" t="str">
        <f t="shared" si="1"/>
        <v>GEBRETEKLE DAGNEW</v>
      </c>
    </row>
    <row r="69" spans="1:7" x14ac:dyDescent="0.25">
      <c r="A69" s="8">
        <v>42729.390381944446</v>
      </c>
      <c r="B69" s="21" t="s">
        <v>225</v>
      </c>
      <c r="C69" s="21" t="s">
        <v>527</v>
      </c>
      <c r="D69" s="164">
        <v>2100000</v>
      </c>
      <c r="E69" s="21" t="s">
        <v>336</v>
      </c>
      <c r="F69" s="21" t="s">
        <v>337</v>
      </c>
      <c r="G69" s="8" t="str">
        <f t="shared" si="1"/>
        <v>ISHMAEL JOSEPH</v>
      </c>
    </row>
    <row r="70" spans="1:7" x14ac:dyDescent="0.25">
      <c r="A70" s="8">
        <v>42729.399780092594</v>
      </c>
      <c r="B70" s="21" t="s">
        <v>370</v>
      </c>
      <c r="C70" s="21" t="s">
        <v>528</v>
      </c>
      <c r="D70" s="164">
        <v>2110000</v>
      </c>
      <c r="E70" s="21" t="s">
        <v>296</v>
      </c>
      <c r="F70" s="21" t="s">
        <v>297</v>
      </c>
      <c r="G70" s="8" t="str">
        <f t="shared" si="1"/>
        <v>OUN ZACK</v>
      </c>
    </row>
    <row r="71" spans="1:7" x14ac:dyDescent="0.25">
      <c r="A71" s="8">
        <v>42729.400497685187</v>
      </c>
      <c r="B71" s="21" t="s">
        <v>260</v>
      </c>
      <c r="C71" s="21" t="s">
        <v>529</v>
      </c>
      <c r="D71" s="164">
        <v>1830000</v>
      </c>
      <c r="E71" s="21" t="s">
        <v>484</v>
      </c>
      <c r="F71" s="21" t="s">
        <v>485</v>
      </c>
      <c r="G71" s="8" t="str">
        <f t="shared" si="1"/>
        <v>YORK EDGAR</v>
      </c>
    </row>
    <row r="72" spans="1:7" x14ac:dyDescent="0.25">
      <c r="A72" s="8">
        <v>42729.401898148149</v>
      </c>
      <c r="B72" s="21" t="s">
        <v>477</v>
      </c>
      <c r="C72" s="21" t="s">
        <v>530</v>
      </c>
      <c r="D72" s="164">
        <v>1990000</v>
      </c>
      <c r="E72" s="21" t="s">
        <v>264</v>
      </c>
      <c r="F72" s="21" t="s">
        <v>377</v>
      </c>
      <c r="G72" s="8" t="str">
        <f t="shared" si="1"/>
        <v>DAVIS WENDY</v>
      </c>
    </row>
    <row r="73" spans="1:7" x14ac:dyDescent="0.25">
      <c r="A73" s="8">
        <v>42729.409826388888</v>
      </c>
      <c r="B73" s="21" t="s">
        <v>232</v>
      </c>
      <c r="C73" s="21" t="s">
        <v>531</v>
      </c>
      <c r="D73" s="164">
        <v>2360000</v>
      </c>
      <c r="E73" s="21" t="s">
        <v>521</v>
      </c>
      <c r="F73" s="21" t="s">
        <v>522</v>
      </c>
      <c r="G73" s="8" t="str">
        <f t="shared" si="1"/>
        <v>BRANDNER MELINDA</v>
      </c>
    </row>
    <row r="74" spans="1:7" x14ac:dyDescent="0.25">
      <c r="A74" s="8">
        <v>42729.412986111114</v>
      </c>
      <c r="B74" s="21" t="s">
        <v>292</v>
      </c>
      <c r="C74" s="21" t="s">
        <v>532</v>
      </c>
      <c r="D74" s="164">
        <v>2140000</v>
      </c>
      <c r="E74" s="21" t="s">
        <v>378</v>
      </c>
      <c r="F74" s="21" t="s">
        <v>379</v>
      </c>
      <c r="G74" s="8" t="str">
        <f t="shared" si="1"/>
        <v>ROBINSON KADDIBA</v>
      </c>
    </row>
    <row r="75" spans="1:7" x14ac:dyDescent="0.25">
      <c r="A75" s="8">
        <v>42729.414305555554</v>
      </c>
      <c r="B75" s="21" t="s">
        <v>229</v>
      </c>
      <c r="C75" s="21" t="s">
        <v>533</v>
      </c>
      <c r="D75" s="164">
        <v>1830000</v>
      </c>
      <c r="E75" s="21" t="s">
        <v>484</v>
      </c>
      <c r="F75" s="21" t="s">
        <v>485</v>
      </c>
      <c r="G75" s="8" t="str">
        <f t="shared" si="1"/>
        <v>YORK EDGAR</v>
      </c>
    </row>
    <row r="76" spans="1:7" x14ac:dyDescent="0.25">
      <c r="A76" s="8">
        <v>42729.417708333334</v>
      </c>
      <c r="B76" s="21" t="s">
        <v>235</v>
      </c>
      <c r="C76" s="21" t="s">
        <v>534</v>
      </c>
      <c r="D76" s="164">
        <v>2090000</v>
      </c>
      <c r="E76" s="21" t="s">
        <v>469</v>
      </c>
      <c r="F76" s="21" t="s">
        <v>263</v>
      </c>
      <c r="G76" s="8" t="str">
        <f t="shared" si="1"/>
        <v>HAITHCOX MICHAEL</v>
      </c>
    </row>
    <row r="77" spans="1:7" x14ac:dyDescent="0.25">
      <c r="A77" s="8">
        <v>42729.423668981479</v>
      </c>
      <c r="B77" s="21" t="s">
        <v>183</v>
      </c>
      <c r="C77" s="21" t="s">
        <v>535</v>
      </c>
      <c r="D77" s="164">
        <v>1100000</v>
      </c>
      <c r="E77" s="21" t="s">
        <v>338</v>
      </c>
      <c r="F77" s="21" t="s">
        <v>339</v>
      </c>
      <c r="G77" s="8" t="str">
        <f t="shared" si="1"/>
        <v>GEBRETEKLE DAGNEW</v>
      </c>
    </row>
    <row r="78" spans="1:7" x14ac:dyDescent="0.25">
      <c r="A78" s="8">
        <v>42729.426446759258</v>
      </c>
      <c r="B78" s="21" t="s">
        <v>271</v>
      </c>
      <c r="C78" s="21" t="s">
        <v>536</v>
      </c>
      <c r="D78" s="164">
        <v>2100000</v>
      </c>
      <c r="E78" s="21" t="s">
        <v>336</v>
      </c>
      <c r="F78" s="21" t="s">
        <v>337</v>
      </c>
      <c r="G78" s="8" t="str">
        <f t="shared" si="1"/>
        <v>ISHMAEL JOSEPH</v>
      </c>
    </row>
    <row r="79" spans="1:7" x14ac:dyDescent="0.25">
      <c r="A79" s="8">
        <v>42729.433819444443</v>
      </c>
      <c r="B79" s="21" t="s">
        <v>367</v>
      </c>
      <c r="C79" s="21" t="s">
        <v>537</v>
      </c>
      <c r="D79" s="164">
        <v>1820000</v>
      </c>
      <c r="E79" s="21" t="s">
        <v>538</v>
      </c>
      <c r="F79" s="21" t="s">
        <v>539</v>
      </c>
      <c r="G79" s="8" t="str">
        <f t="shared" si="1"/>
        <v>ADANE ELSHADAY</v>
      </c>
    </row>
    <row r="80" spans="1:7" x14ac:dyDescent="0.25">
      <c r="A80" s="8">
        <v>42729.439386574071</v>
      </c>
      <c r="B80" s="21" t="s">
        <v>445</v>
      </c>
      <c r="C80" s="21" t="s">
        <v>540</v>
      </c>
      <c r="D80" s="164">
        <v>1990000</v>
      </c>
      <c r="E80" s="21" t="s">
        <v>264</v>
      </c>
      <c r="F80" s="21" t="s">
        <v>377</v>
      </c>
      <c r="G80" s="8" t="str">
        <f t="shared" si="1"/>
        <v>DAVIS WENDY</v>
      </c>
    </row>
    <row r="81" spans="1:7" x14ac:dyDescent="0.25">
      <c r="A81" s="8">
        <v>42729.442303240743</v>
      </c>
      <c r="B81" s="21" t="s">
        <v>260</v>
      </c>
      <c r="C81" s="21" t="s">
        <v>541</v>
      </c>
      <c r="D81" s="164">
        <v>1830000</v>
      </c>
      <c r="E81" s="21" t="s">
        <v>484</v>
      </c>
      <c r="F81" s="21" t="s">
        <v>485</v>
      </c>
      <c r="G81" s="8" t="str">
        <f t="shared" si="1"/>
        <v>YORK EDGAR</v>
      </c>
    </row>
    <row r="82" spans="1:7" x14ac:dyDescent="0.25">
      <c r="A82" s="8">
        <v>42729.445150462961</v>
      </c>
      <c r="B82" s="21" t="s">
        <v>231</v>
      </c>
      <c r="C82" s="21" t="s">
        <v>542</v>
      </c>
      <c r="D82" s="164">
        <v>2020000</v>
      </c>
      <c r="E82" s="21" t="s">
        <v>381</v>
      </c>
      <c r="F82" s="21" t="s">
        <v>249</v>
      </c>
      <c r="G82" s="8" t="str">
        <f t="shared" si="1"/>
        <v>SHOOK JOHN</v>
      </c>
    </row>
    <row r="83" spans="1:7" x14ac:dyDescent="0.25">
      <c r="A83" s="8">
        <v>42729.451909722222</v>
      </c>
      <c r="B83" s="21" t="s">
        <v>291</v>
      </c>
      <c r="C83" s="21" t="s">
        <v>543</v>
      </c>
      <c r="D83" s="164">
        <v>2140000</v>
      </c>
      <c r="E83" s="21" t="s">
        <v>378</v>
      </c>
      <c r="F83" s="21" t="s">
        <v>379</v>
      </c>
      <c r="G83" s="8" t="str">
        <f t="shared" si="1"/>
        <v>ROBINSON KADDIBA</v>
      </c>
    </row>
    <row r="84" spans="1:7" x14ac:dyDescent="0.25">
      <c r="A84" s="8">
        <v>42729.455474537041</v>
      </c>
      <c r="B84" s="21" t="s">
        <v>229</v>
      </c>
      <c r="C84" s="21" t="s">
        <v>544</v>
      </c>
      <c r="D84" s="164">
        <v>1830000</v>
      </c>
      <c r="E84" s="21" t="s">
        <v>484</v>
      </c>
      <c r="F84" s="21" t="s">
        <v>485</v>
      </c>
      <c r="G84" s="8" t="str">
        <f t="shared" si="1"/>
        <v>YORK EDGAR</v>
      </c>
    </row>
    <row r="85" spans="1:7" x14ac:dyDescent="0.25">
      <c r="A85" s="8">
        <v>42729.455983796295</v>
      </c>
      <c r="B85" s="21" t="s">
        <v>294</v>
      </c>
      <c r="C85" s="21" t="s">
        <v>545</v>
      </c>
      <c r="D85" s="164">
        <v>880000</v>
      </c>
      <c r="E85" s="21" t="s">
        <v>384</v>
      </c>
      <c r="F85" s="21" t="s">
        <v>263</v>
      </c>
      <c r="G85" s="8" t="str">
        <f t="shared" si="1"/>
        <v>STEWART MICHAEL</v>
      </c>
    </row>
    <row r="86" spans="1:7" x14ac:dyDescent="0.25">
      <c r="A86" s="8">
        <v>42729.462824074071</v>
      </c>
      <c r="B86" s="21" t="s">
        <v>451</v>
      </c>
      <c r="C86" s="21" t="s">
        <v>546</v>
      </c>
      <c r="D86" s="164">
        <v>1100000</v>
      </c>
      <c r="E86" s="21" t="s">
        <v>338</v>
      </c>
      <c r="F86" s="21" t="s">
        <v>339</v>
      </c>
      <c r="G86" s="8" t="str">
        <f t="shared" si="1"/>
        <v>GEBRETEKLE DAGNEW</v>
      </c>
    </row>
    <row r="87" spans="1:7" x14ac:dyDescent="0.25">
      <c r="A87" s="8">
        <v>42729.464861111112</v>
      </c>
      <c r="B87" s="21" t="s">
        <v>370</v>
      </c>
      <c r="C87" s="21" t="s">
        <v>547</v>
      </c>
      <c r="D87" s="164">
        <v>1820000</v>
      </c>
      <c r="E87" s="21" t="s">
        <v>538</v>
      </c>
      <c r="F87" s="21" t="s">
        <v>539</v>
      </c>
      <c r="G87" s="8" t="str">
        <f t="shared" si="1"/>
        <v>ADANE ELSHADAY</v>
      </c>
    </row>
    <row r="88" spans="1:7" x14ac:dyDescent="0.25">
      <c r="A88" s="8">
        <v>42729.466620370367</v>
      </c>
      <c r="B88" s="21" t="s">
        <v>225</v>
      </c>
      <c r="C88" s="21" t="s">
        <v>548</v>
      </c>
      <c r="D88" s="164">
        <v>920000</v>
      </c>
      <c r="E88" s="21" t="s">
        <v>264</v>
      </c>
      <c r="F88" s="21" t="s">
        <v>263</v>
      </c>
      <c r="G88" s="8" t="str">
        <f t="shared" si="1"/>
        <v>DAVIS MICHAEL</v>
      </c>
    </row>
    <row r="89" spans="1:7" x14ac:dyDescent="0.25">
      <c r="A89" s="8">
        <v>42729.475659722222</v>
      </c>
      <c r="B89" s="21" t="s">
        <v>232</v>
      </c>
      <c r="C89" s="21" t="s">
        <v>549</v>
      </c>
      <c r="D89" s="164">
        <v>2020000</v>
      </c>
      <c r="E89" s="21" t="s">
        <v>381</v>
      </c>
      <c r="F89" s="21" t="s">
        <v>249</v>
      </c>
      <c r="G89" s="8" t="str">
        <f t="shared" si="1"/>
        <v>SHOOK JOHN</v>
      </c>
    </row>
    <row r="90" spans="1:7" x14ac:dyDescent="0.25">
      <c r="A90" s="8">
        <v>42729.476284722223</v>
      </c>
      <c r="B90" s="21" t="s">
        <v>477</v>
      </c>
      <c r="C90" s="21" t="s">
        <v>550</v>
      </c>
      <c r="D90" s="164">
        <v>2470000</v>
      </c>
      <c r="E90" s="21" t="s">
        <v>551</v>
      </c>
      <c r="F90" s="21" t="s">
        <v>552</v>
      </c>
      <c r="G90" s="8" t="str">
        <f t="shared" si="1"/>
        <v>ROMERO CHAD</v>
      </c>
    </row>
    <row r="91" spans="1:7" x14ac:dyDescent="0.25">
      <c r="A91" s="8">
        <v>42729.481666666667</v>
      </c>
      <c r="B91" s="21" t="s">
        <v>155</v>
      </c>
      <c r="C91" s="21" t="s">
        <v>553</v>
      </c>
      <c r="D91" s="164">
        <v>2250000</v>
      </c>
      <c r="E91" s="21" t="s">
        <v>554</v>
      </c>
      <c r="F91" s="21" t="s">
        <v>555</v>
      </c>
      <c r="G91" s="8" t="str">
        <f t="shared" si="1"/>
        <v>CRAYTON QUNTRELL</v>
      </c>
    </row>
    <row r="92" spans="1:7" x14ac:dyDescent="0.25">
      <c r="A92" s="8">
        <v>42729.484224537038</v>
      </c>
      <c r="B92" s="21" t="s">
        <v>260</v>
      </c>
      <c r="C92" s="21" t="s">
        <v>556</v>
      </c>
      <c r="D92" s="164">
        <v>1830000</v>
      </c>
      <c r="E92" s="21" t="s">
        <v>484</v>
      </c>
      <c r="F92" s="21" t="s">
        <v>485</v>
      </c>
      <c r="G92" s="8" t="str">
        <f t="shared" si="1"/>
        <v>YORK EDGAR</v>
      </c>
    </row>
    <row r="93" spans="1:7" x14ac:dyDescent="0.25">
      <c r="A93" s="8">
        <v>42729.487673611111</v>
      </c>
      <c r="B93" s="21" t="s">
        <v>292</v>
      </c>
      <c r="C93" s="21" t="s">
        <v>557</v>
      </c>
      <c r="D93" s="164">
        <v>1770000</v>
      </c>
      <c r="E93" s="21" t="s">
        <v>342</v>
      </c>
      <c r="F93" s="21" t="s">
        <v>343</v>
      </c>
      <c r="G93" s="8" t="str">
        <f t="shared" si="1"/>
        <v>BRUDER RICHARD</v>
      </c>
    </row>
    <row r="94" spans="1:7" x14ac:dyDescent="0.25">
      <c r="A94" s="8">
        <v>42729.494675925926</v>
      </c>
      <c r="B94" s="21" t="s">
        <v>235</v>
      </c>
      <c r="C94" s="21" t="s">
        <v>558</v>
      </c>
      <c r="D94" s="164">
        <v>880000</v>
      </c>
      <c r="E94" s="21" t="s">
        <v>384</v>
      </c>
      <c r="F94" s="21" t="s">
        <v>263</v>
      </c>
      <c r="G94" s="8" t="str">
        <f t="shared" si="1"/>
        <v>STEWART MICHAEL</v>
      </c>
    </row>
    <row r="95" spans="1:7" x14ac:dyDescent="0.25">
      <c r="A95" s="8">
        <v>42729.495625000003</v>
      </c>
      <c r="B95" s="21" t="s">
        <v>183</v>
      </c>
      <c r="C95" s="21" t="s">
        <v>559</v>
      </c>
      <c r="D95" s="164">
        <v>2250000</v>
      </c>
      <c r="E95" s="21" t="s">
        <v>554</v>
      </c>
      <c r="F95" s="21" t="s">
        <v>555</v>
      </c>
      <c r="G95" s="8" t="str">
        <f t="shared" si="1"/>
        <v>CRAYTON QUNTRELL</v>
      </c>
    </row>
    <row r="96" spans="1:7" x14ac:dyDescent="0.25">
      <c r="A96" s="8">
        <v>42729.497361111113</v>
      </c>
      <c r="B96" s="21" t="s">
        <v>229</v>
      </c>
      <c r="C96" s="21" t="s">
        <v>560</v>
      </c>
      <c r="D96" s="164">
        <v>1830000</v>
      </c>
      <c r="E96" s="21" t="s">
        <v>484</v>
      </c>
      <c r="F96" s="21" t="s">
        <v>485</v>
      </c>
      <c r="G96" s="8" t="str">
        <f t="shared" si="1"/>
        <v>YORK EDGAR</v>
      </c>
    </row>
    <row r="97" spans="1:7" x14ac:dyDescent="0.25">
      <c r="A97" s="8">
        <v>42729.504212962966</v>
      </c>
      <c r="B97" s="21" t="s">
        <v>367</v>
      </c>
      <c r="C97" s="21" t="s">
        <v>561</v>
      </c>
      <c r="D97" s="164">
        <v>1820000</v>
      </c>
      <c r="E97" s="21" t="s">
        <v>538</v>
      </c>
      <c r="F97" s="21" t="s">
        <v>539</v>
      </c>
      <c r="G97" s="8" t="str">
        <f t="shared" si="1"/>
        <v>ADANE ELSHADAY</v>
      </c>
    </row>
    <row r="98" spans="1:7" x14ac:dyDescent="0.25">
      <c r="A98" s="8">
        <v>42729.50472222222</v>
      </c>
      <c r="B98" s="21" t="s">
        <v>271</v>
      </c>
      <c r="C98" s="21" t="s">
        <v>562</v>
      </c>
      <c r="D98" s="164">
        <v>920000</v>
      </c>
      <c r="E98" s="21" t="s">
        <v>264</v>
      </c>
      <c r="F98" s="21" t="s">
        <v>263</v>
      </c>
      <c r="G98" s="8" t="str">
        <f t="shared" si="1"/>
        <v>DAVIS MICHAEL</v>
      </c>
    </row>
    <row r="99" spans="1:7" x14ac:dyDescent="0.25">
      <c r="A99" s="8">
        <v>42729.506701388891</v>
      </c>
      <c r="B99" s="21" t="s">
        <v>445</v>
      </c>
      <c r="C99" s="21" t="s">
        <v>446</v>
      </c>
      <c r="D99" s="164">
        <v>2470000</v>
      </c>
      <c r="E99" s="21" t="s">
        <v>551</v>
      </c>
      <c r="F99" s="21" t="s">
        <v>552</v>
      </c>
      <c r="G99" s="8" t="str">
        <f t="shared" si="1"/>
        <v>ROMERO CHAD</v>
      </c>
    </row>
    <row r="100" spans="1:7" x14ac:dyDescent="0.25">
      <c r="A100" s="8">
        <v>42729.516087962962</v>
      </c>
      <c r="B100" s="21" t="s">
        <v>231</v>
      </c>
      <c r="C100" s="21" t="s">
        <v>563</v>
      </c>
      <c r="D100" s="164">
        <v>2030000</v>
      </c>
      <c r="E100" s="21" t="s">
        <v>387</v>
      </c>
      <c r="F100" s="21" t="s">
        <v>250</v>
      </c>
      <c r="G100" s="8" t="str">
        <f t="shared" si="1"/>
        <v>KILLION DAVID</v>
      </c>
    </row>
    <row r="101" spans="1:7" x14ac:dyDescent="0.25">
      <c r="A101" s="8">
        <v>42729.523564814815</v>
      </c>
      <c r="B101" s="21" t="s">
        <v>291</v>
      </c>
      <c r="C101" s="21" t="s">
        <v>564</v>
      </c>
      <c r="D101" s="164">
        <v>1770000</v>
      </c>
      <c r="E101" s="21" t="s">
        <v>342</v>
      </c>
      <c r="F101" s="21" t="s">
        <v>343</v>
      </c>
      <c r="G101" s="8" t="str">
        <f t="shared" si="1"/>
        <v>BRUDER RICHARD</v>
      </c>
    </row>
    <row r="102" spans="1:7" x14ac:dyDescent="0.25">
      <c r="A102" s="8">
        <v>42729.525914351849</v>
      </c>
      <c r="B102" s="21" t="s">
        <v>260</v>
      </c>
      <c r="C102" s="21" t="s">
        <v>565</v>
      </c>
      <c r="D102" s="164">
        <v>1830000</v>
      </c>
      <c r="E102" s="21" t="s">
        <v>484</v>
      </c>
      <c r="F102" s="21" t="s">
        <v>485</v>
      </c>
      <c r="G102" s="8" t="str">
        <f t="shared" si="1"/>
        <v>YORK EDGAR</v>
      </c>
    </row>
    <row r="103" spans="1:7" x14ac:dyDescent="0.25">
      <c r="A103" s="8">
        <v>42729.527326388888</v>
      </c>
      <c r="B103" s="21" t="s">
        <v>294</v>
      </c>
      <c r="C103" s="21" t="s">
        <v>566</v>
      </c>
      <c r="D103" s="164">
        <v>880000</v>
      </c>
      <c r="E103" s="21" t="s">
        <v>384</v>
      </c>
      <c r="F103" s="21" t="s">
        <v>263</v>
      </c>
      <c r="G103" s="8" t="str">
        <f t="shared" si="1"/>
        <v>STEWART MICHAEL</v>
      </c>
    </row>
    <row r="104" spans="1:7" x14ac:dyDescent="0.25">
      <c r="A104" s="8">
        <v>42729.531342592592</v>
      </c>
      <c r="B104" s="21" t="s">
        <v>451</v>
      </c>
      <c r="C104" s="21" t="s">
        <v>567</v>
      </c>
      <c r="D104" s="164">
        <v>2250000</v>
      </c>
      <c r="E104" s="21" t="s">
        <v>554</v>
      </c>
      <c r="F104" s="21" t="s">
        <v>555</v>
      </c>
      <c r="G104" s="8" t="str">
        <f t="shared" si="1"/>
        <v>CRAYTON QUNTRELL</v>
      </c>
    </row>
    <row r="105" spans="1:7" x14ac:dyDescent="0.25">
      <c r="A105" s="8">
        <v>42729.537129629629</v>
      </c>
      <c r="B105" s="21" t="s">
        <v>370</v>
      </c>
      <c r="C105" s="21" t="s">
        <v>568</v>
      </c>
      <c r="D105" s="164">
        <v>1820000</v>
      </c>
      <c r="E105" s="21" t="s">
        <v>538</v>
      </c>
      <c r="F105" s="21" t="s">
        <v>539</v>
      </c>
      <c r="G105" s="8" t="str">
        <f t="shared" si="1"/>
        <v>ADANE ELSHADAY</v>
      </c>
    </row>
    <row r="106" spans="1:7" x14ac:dyDescent="0.25">
      <c r="A106" s="8">
        <v>42729.538854166669</v>
      </c>
      <c r="B106" s="21" t="s">
        <v>225</v>
      </c>
      <c r="C106" s="21" t="s">
        <v>569</v>
      </c>
      <c r="D106" s="164">
        <v>920000</v>
      </c>
      <c r="E106" s="21" t="s">
        <v>264</v>
      </c>
      <c r="F106" s="21" t="s">
        <v>263</v>
      </c>
      <c r="G106" s="8" t="str">
        <f t="shared" si="1"/>
        <v>DAVIS MICHAEL</v>
      </c>
    </row>
    <row r="107" spans="1:7" x14ac:dyDescent="0.25">
      <c r="A107" s="8">
        <v>42729.539456018516</v>
      </c>
      <c r="B107" s="21" t="s">
        <v>229</v>
      </c>
      <c r="C107" s="21" t="s">
        <v>570</v>
      </c>
      <c r="D107" s="164">
        <v>1830000</v>
      </c>
      <c r="E107" s="21" t="s">
        <v>484</v>
      </c>
      <c r="F107" s="21" t="s">
        <v>485</v>
      </c>
      <c r="G107" s="8" t="str">
        <f t="shared" si="1"/>
        <v>YORK EDGAR</v>
      </c>
    </row>
    <row r="108" spans="1:7" x14ac:dyDescent="0.25">
      <c r="A108" s="8">
        <v>42729.54855324074</v>
      </c>
      <c r="B108" s="21" t="s">
        <v>477</v>
      </c>
      <c r="C108" s="21" t="s">
        <v>571</v>
      </c>
      <c r="D108" s="164">
        <v>2470000</v>
      </c>
      <c r="E108" s="21" t="s">
        <v>551</v>
      </c>
      <c r="F108" s="21" t="s">
        <v>552</v>
      </c>
      <c r="G108" s="8" t="str">
        <f t="shared" si="1"/>
        <v>ROMERO CHAD</v>
      </c>
    </row>
    <row r="109" spans="1:7" x14ac:dyDescent="0.25">
      <c r="A109" s="8">
        <v>42729.552986111114</v>
      </c>
      <c r="B109" s="21" t="s">
        <v>232</v>
      </c>
      <c r="C109" s="21" t="s">
        <v>572</v>
      </c>
      <c r="D109" s="164">
        <v>2030000</v>
      </c>
      <c r="E109" s="21" t="s">
        <v>387</v>
      </c>
      <c r="F109" s="21" t="s">
        <v>250</v>
      </c>
      <c r="G109" s="8" t="str">
        <f t="shared" si="1"/>
        <v>KILLION DAVID</v>
      </c>
    </row>
    <row r="110" spans="1:7" x14ac:dyDescent="0.25">
      <c r="A110" s="8">
        <v>42729.557349537034</v>
      </c>
      <c r="B110" s="21" t="s">
        <v>292</v>
      </c>
      <c r="C110" s="21" t="s">
        <v>573</v>
      </c>
      <c r="D110" s="164">
        <v>1770000</v>
      </c>
      <c r="E110" s="21" t="s">
        <v>342</v>
      </c>
      <c r="F110" s="21" t="s">
        <v>343</v>
      </c>
      <c r="G110" s="8" t="str">
        <f t="shared" si="1"/>
        <v>BRUDER RICHARD</v>
      </c>
    </row>
    <row r="111" spans="1:7" x14ac:dyDescent="0.25">
      <c r="A111" s="8">
        <v>42729.567812499998</v>
      </c>
      <c r="B111" s="21" t="s">
        <v>235</v>
      </c>
      <c r="C111" s="21" t="s">
        <v>574</v>
      </c>
      <c r="D111" s="164">
        <v>880000</v>
      </c>
      <c r="E111" s="21" t="s">
        <v>384</v>
      </c>
      <c r="F111" s="21" t="s">
        <v>263</v>
      </c>
      <c r="G111" s="8" t="str">
        <f t="shared" si="1"/>
        <v>STEWART MICHAEL</v>
      </c>
    </row>
    <row r="112" spans="1:7" x14ac:dyDescent="0.25">
      <c r="A112" s="8">
        <v>42729.567939814813</v>
      </c>
      <c r="B112" s="21" t="s">
        <v>260</v>
      </c>
      <c r="C112" s="21" t="s">
        <v>575</v>
      </c>
      <c r="D112" s="164">
        <v>1830000</v>
      </c>
      <c r="E112" s="21" t="s">
        <v>484</v>
      </c>
      <c r="F112" s="21" t="s">
        <v>485</v>
      </c>
      <c r="G112" s="8" t="str">
        <f t="shared" si="1"/>
        <v>YORK EDGAR</v>
      </c>
    </row>
    <row r="113" spans="1:7" x14ac:dyDescent="0.25">
      <c r="A113" s="8">
        <v>42729.568715277775</v>
      </c>
      <c r="B113" s="21" t="s">
        <v>183</v>
      </c>
      <c r="C113" s="21" t="s">
        <v>576</v>
      </c>
      <c r="D113" s="164">
        <v>2250000</v>
      </c>
      <c r="E113" s="21" t="s">
        <v>554</v>
      </c>
      <c r="F113" s="21" t="s">
        <v>555</v>
      </c>
      <c r="G113" s="8" t="str">
        <f t="shared" si="1"/>
        <v>CRAYTON QUNTRELL</v>
      </c>
    </row>
    <row r="114" spans="1:7" x14ac:dyDescent="0.25">
      <c r="A114" s="8">
        <v>42729.577835648146</v>
      </c>
      <c r="B114" s="21" t="s">
        <v>271</v>
      </c>
      <c r="C114" s="21" t="s">
        <v>577</v>
      </c>
      <c r="D114" s="164">
        <v>920000</v>
      </c>
      <c r="E114" s="21" t="s">
        <v>264</v>
      </c>
      <c r="F114" s="21" t="s">
        <v>263</v>
      </c>
      <c r="G114" s="8" t="str">
        <f t="shared" si="1"/>
        <v>DAVIS MICHAEL</v>
      </c>
    </row>
    <row r="115" spans="1:7" x14ac:dyDescent="0.25">
      <c r="A115" s="8">
        <v>42729.579201388886</v>
      </c>
      <c r="B115" s="21" t="s">
        <v>445</v>
      </c>
      <c r="C115" s="21" t="s">
        <v>578</v>
      </c>
      <c r="D115" s="164">
        <v>2470000</v>
      </c>
      <c r="E115" s="21" t="s">
        <v>551</v>
      </c>
      <c r="F115" s="21" t="s">
        <v>552</v>
      </c>
      <c r="G115" s="8" t="str">
        <f t="shared" si="1"/>
        <v>ROMERO CHAD</v>
      </c>
    </row>
    <row r="116" spans="1:7" x14ac:dyDescent="0.25">
      <c r="A116" s="8">
        <v>42729.579270833332</v>
      </c>
      <c r="B116" s="21" t="s">
        <v>367</v>
      </c>
      <c r="C116" s="21" t="s">
        <v>447</v>
      </c>
      <c r="D116" s="164">
        <v>1820000</v>
      </c>
      <c r="E116" s="21" t="s">
        <v>538</v>
      </c>
      <c r="F116" s="21" t="s">
        <v>539</v>
      </c>
      <c r="G116" s="8" t="str">
        <f t="shared" si="1"/>
        <v>ADANE ELSHADAY</v>
      </c>
    </row>
    <row r="117" spans="1:7" x14ac:dyDescent="0.25">
      <c r="A117" s="8">
        <v>42729.588865740741</v>
      </c>
      <c r="B117" s="21" t="s">
        <v>231</v>
      </c>
      <c r="C117" s="21" t="s">
        <v>579</v>
      </c>
      <c r="D117" s="164">
        <v>2030000</v>
      </c>
      <c r="E117" s="21" t="s">
        <v>387</v>
      </c>
      <c r="F117" s="21" t="s">
        <v>250</v>
      </c>
      <c r="G117" s="8" t="str">
        <f t="shared" si="1"/>
        <v>KILLION DAVID</v>
      </c>
    </row>
    <row r="118" spans="1:7" x14ac:dyDescent="0.25">
      <c r="A118" s="8">
        <v>42729.59233796296</v>
      </c>
      <c r="B118" s="21" t="s">
        <v>229</v>
      </c>
      <c r="C118" s="21" t="s">
        <v>580</v>
      </c>
      <c r="D118" s="164">
        <v>1540000</v>
      </c>
      <c r="E118" s="21" t="s">
        <v>340</v>
      </c>
      <c r="F118" s="21" t="s">
        <v>341</v>
      </c>
      <c r="G118" s="8" t="str">
        <f t="shared" si="1"/>
        <v>HELVIE ADAM</v>
      </c>
    </row>
    <row r="119" spans="1:7" x14ac:dyDescent="0.25">
      <c r="A119" s="8">
        <v>42729.596145833333</v>
      </c>
      <c r="B119" s="21" t="s">
        <v>291</v>
      </c>
      <c r="C119" s="21" t="s">
        <v>581</v>
      </c>
      <c r="D119" s="164">
        <v>1770000</v>
      </c>
      <c r="E119" s="21" t="s">
        <v>342</v>
      </c>
      <c r="F119" s="21" t="s">
        <v>343</v>
      </c>
      <c r="G119" s="8" t="str">
        <f t="shared" si="1"/>
        <v>BRUDER RICHARD</v>
      </c>
    </row>
    <row r="120" spans="1:7" x14ac:dyDescent="0.25">
      <c r="A120" s="8">
        <v>42729.600289351853</v>
      </c>
      <c r="B120" s="21" t="s">
        <v>294</v>
      </c>
      <c r="C120" s="21" t="s">
        <v>582</v>
      </c>
      <c r="D120" s="164">
        <v>880000</v>
      </c>
      <c r="E120" s="21" t="s">
        <v>384</v>
      </c>
      <c r="F120" s="21" t="s">
        <v>263</v>
      </c>
      <c r="G120" s="8" t="str">
        <f t="shared" si="1"/>
        <v>STEWART MICHAEL</v>
      </c>
    </row>
    <row r="121" spans="1:7" x14ac:dyDescent="0.25">
      <c r="A121" s="8">
        <v>42729.605381944442</v>
      </c>
      <c r="B121" s="21" t="s">
        <v>451</v>
      </c>
      <c r="C121" s="21" t="s">
        <v>583</v>
      </c>
      <c r="D121" s="164">
        <v>2250000</v>
      </c>
      <c r="E121" s="21" t="s">
        <v>554</v>
      </c>
      <c r="F121" s="21" t="s">
        <v>555</v>
      </c>
      <c r="G121" s="8" t="str">
        <f t="shared" si="1"/>
        <v>CRAYTON QUNTRELL</v>
      </c>
    </row>
    <row r="122" spans="1:7" x14ac:dyDescent="0.25">
      <c r="A122" s="8">
        <v>42729.609467592592</v>
      </c>
      <c r="B122" s="26" t="s">
        <v>260</v>
      </c>
      <c r="C122" s="21" t="s">
        <v>584</v>
      </c>
      <c r="D122" s="164">
        <v>1540000</v>
      </c>
      <c r="E122" s="21" t="s">
        <v>340</v>
      </c>
      <c r="F122" s="21" t="s">
        <v>341</v>
      </c>
      <c r="G122" s="8" t="str">
        <f t="shared" si="1"/>
        <v>HELVIE ADAM</v>
      </c>
    </row>
    <row r="123" spans="1:7" x14ac:dyDescent="0.25">
      <c r="A123" s="8">
        <v>42729.611817129633</v>
      </c>
      <c r="B123" s="21" t="s">
        <v>225</v>
      </c>
      <c r="C123" s="21" t="s">
        <v>448</v>
      </c>
      <c r="D123" s="164">
        <v>920000</v>
      </c>
      <c r="E123" s="21" t="s">
        <v>264</v>
      </c>
      <c r="F123" s="21" t="s">
        <v>263</v>
      </c>
      <c r="G123" s="8" t="str">
        <f t="shared" si="1"/>
        <v>DAVIS MICHAEL</v>
      </c>
    </row>
    <row r="124" spans="1:7" x14ac:dyDescent="0.25">
      <c r="A124" s="8">
        <v>42729.612997685188</v>
      </c>
      <c r="B124" s="21" t="s">
        <v>370</v>
      </c>
      <c r="C124" s="21" t="s">
        <v>585</v>
      </c>
      <c r="D124" s="164">
        <v>1820000</v>
      </c>
      <c r="E124" s="21" t="s">
        <v>538</v>
      </c>
      <c r="F124" s="21" t="s">
        <v>539</v>
      </c>
      <c r="G124" s="8" t="str">
        <f t="shared" si="1"/>
        <v>ADANE ELSHADAY</v>
      </c>
    </row>
    <row r="125" spans="1:7" x14ac:dyDescent="0.25">
      <c r="A125" s="8">
        <v>42729.62054398148</v>
      </c>
      <c r="B125" s="21" t="s">
        <v>477</v>
      </c>
      <c r="C125" s="21" t="s">
        <v>586</v>
      </c>
      <c r="D125" s="164">
        <v>2470000</v>
      </c>
      <c r="E125" s="21" t="s">
        <v>551</v>
      </c>
      <c r="F125" s="21" t="s">
        <v>552</v>
      </c>
      <c r="G125" s="8" t="str">
        <f t="shared" si="1"/>
        <v>ROMERO CHAD</v>
      </c>
    </row>
    <row r="126" spans="1:7" x14ac:dyDescent="0.25">
      <c r="A126" s="8">
        <v>42729.629340277781</v>
      </c>
      <c r="B126" s="21" t="s">
        <v>232</v>
      </c>
      <c r="C126" s="21" t="s">
        <v>587</v>
      </c>
      <c r="D126" s="164">
        <v>2030000</v>
      </c>
      <c r="E126" s="21" t="s">
        <v>387</v>
      </c>
      <c r="F126" s="21" t="s">
        <v>250</v>
      </c>
      <c r="G126" s="8" t="str">
        <f t="shared" si="1"/>
        <v>KILLION DAVID</v>
      </c>
    </row>
    <row r="127" spans="1:7" x14ac:dyDescent="0.25">
      <c r="A127" s="8">
        <v>42729.630358796298</v>
      </c>
      <c r="B127" s="21" t="s">
        <v>292</v>
      </c>
      <c r="C127" s="21" t="s">
        <v>588</v>
      </c>
      <c r="D127" s="164">
        <v>1770000</v>
      </c>
      <c r="E127" s="21" t="s">
        <v>342</v>
      </c>
      <c r="F127" s="21" t="s">
        <v>343</v>
      </c>
      <c r="G127" s="8" t="str">
        <f t="shared" si="1"/>
        <v>BRUDER RICHARD</v>
      </c>
    </row>
    <row r="128" spans="1:7" x14ac:dyDescent="0.25">
      <c r="A128" s="8">
        <v>42729.637986111113</v>
      </c>
      <c r="B128" s="21" t="s">
        <v>229</v>
      </c>
      <c r="C128" s="21" t="s">
        <v>589</v>
      </c>
      <c r="D128" s="164">
        <v>1540000</v>
      </c>
      <c r="E128" s="21" t="s">
        <v>340</v>
      </c>
      <c r="F128" s="21" t="s">
        <v>341</v>
      </c>
      <c r="G128" s="8" t="str">
        <f t="shared" si="1"/>
        <v>HELVIE ADAM</v>
      </c>
    </row>
    <row r="129" spans="1:7" x14ac:dyDescent="0.25">
      <c r="A129" s="8">
        <v>42729.641030092593</v>
      </c>
      <c r="B129" s="21" t="s">
        <v>235</v>
      </c>
      <c r="C129" s="21" t="s">
        <v>590</v>
      </c>
      <c r="D129" s="164">
        <v>880000</v>
      </c>
      <c r="E129" s="21" t="s">
        <v>384</v>
      </c>
      <c r="F129" s="21" t="s">
        <v>263</v>
      </c>
      <c r="G129" s="8" t="str">
        <f t="shared" si="1"/>
        <v>STEWART MICHAEL</v>
      </c>
    </row>
    <row r="130" spans="1:7" x14ac:dyDescent="0.25">
      <c r="A130" s="8">
        <v>42729.641782407409</v>
      </c>
      <c r="B130" s="21" t="s">
        <v>183</v>
      </c>
      <c r="C130" s="21" t="s">
        <v>591</v>
      </c>
      <c r="D130" s="164">
        <v>2250000</v>
      </c>
      <c r="E130" s="21" t="s">
        <v>554</v>
      </c>
      <c r="F130" s="21" t="s">
        <v>555</v>
      </c>
      <c r="G130" s="8" t="str">
        <f t="shared" si="1"/>
        <v>CRAYTON QUNTRELL</v>
      </c>
    </row>
    <row r="131" spans="1:7" x14ac:dyDescent="0.25">
      <c r="A131" s="8">
        <v>42729.643888888888</v>
      </c>
      <c r="B131" s="21" t="s">
        <v>370</v>
      </c>
      <c r="C131" s="21" t="s">
        <v>585</v>
      </c>
      <c r="D131" s="164">
        <v>1820000</v>
      </c>
      <c r="E131" s="21" t="s">
        <v>538</v>
      </c>
      <c r="F131" s="21" t="s">
        <v>539</v>
      </c>
      <c r="G131" s="8" t="str">
        <f t="shared" ref="G131:G194" si="2">E131&amp;" "&amp;F131</f>
        <v>ADANE ELSHADAY</v>
      </c>
    </row>
    <row r="132" spans="1:7" x14ac:dyDescent="0.25">
      <c r="A132" s="8">
        <v>42729.65048611111</v>
      </c>
      <c r="B132" s="21" t="s">
        <v>271</v>
      </c>
      <c r="C132" s="21" t="s">
        <v>592</v>
      </c>
      <c r="D132" s="164">
        <v>920000</v>
      </c>
      <c r="E132" s="21" t="s">
        <v>264</v>
      </c>
      <c r="F132" s="21" t="s">
        <v>263</v>
      </c>
      <c r="G132" s="8" t="str">
        <f t="shared" si="2"/>
        <v>DAVIS MICHAEL</v>
      </c>
    </row>
    <row r="133" spans="1:7" x14ac:dyDescent="0.25">
      <c r="A133" s="8">
        <v>42729.651504629626</v>
      </c>
      <c r="B133" s="21" t="s">
        <v>445</v>
      </c>
      <c r="C133" s="21" t="s">
        <v>593</v>
      </c>
      <c r="D133" s="164">
        <v>2470000</v>
      </c>
      <c r="E133" s="21" t="s">
        <v>551</v>
      </c>
      <c r="F133" s="21" t="s">
        <v>552</v>
      </c>
      <c r="G133" s="8" t="str">
        <f t="shared" si="2"/>
        <v>ROMERO CHAD</v>
      </c>
    </row>
    <row r="134" spans="1:7" x14ac:dyDescent="0.25">
      <c r="A134" s="8">
        <v>42729.651608796295</v>
      </c>
      <c r="B134" s="21" t="s">
        <v>260</v>
      </c>
      <c r="C134" s="21" t="s">
        <v>594</v>
      </c>
      <c r="D134" s="164">
        <v>1540000</v>
      </c>
      <c r="E134" s="21" t="s">
        <v>340</v>
      </c>
      <c r="F134" s="21" t="s">
        <v>341</v>
      </c>
      <c r="G134" s="8" t="str">
        <f t="shared" si="2"/>
        <v>HELVIE ADAM</v>
      </c>
    </row>
    <row r="135" spans="1:7" x14ac:dyDescent="0.25">
      <c r="A135" s="8">
        <v>42729.654548611114</v>
      </c>
      <c r="B135" s="21" t="s">
        <v>367</v>
      </c>
      <c r="C135" s="21" t="s">
        <v>449</v>
      </c>
      <c r="D135" s="164">
        <v>1820000</v>
      </c>
      <c r="E135" s="21" t="s">
        <v>538</v>
      </c>
      <c r="F135" s="21" t="s">
        <v>539</v>
      </c>
      <c r="G135" s="8" t="str">
        <f t="shared" si="2"/>
        <v>ADANE ELSHADAY</v>
      </c>
    </row>
    <row r="136" spans="1:7" x14ac:dyDescent="0.25">
      <c r="A136" s="8">
        <v>42729.663194444445</v>
      </c>
      <c r="B136" s="21" t="s">
        <v>231</v>
      </c>
      <c r="C136" s="21" t="s">
        <v>595</v>
      </c>
      <c r="D136" s="164">
        <v>2030000</v>
      </c>
      <c r="E136" s="21" t="s">
        <v>387</v>
      </c>
      <c r="F136" s="21" t="s">
        <v>250</v>
      </c>
      <c r="G136" s="8" t="str">
        <f t="shared" si="2"/>
        <v>KILLION DAVID</v>
      </c>
    </row>
    <row r="137" spans="1:7" x14ac:dyDescent="0.25">
      <c r="A137" s="8">
        <v>42729.66909722222</v>
      </c>
      <c r="B137" s="21" t="s">
        <v>291</v>
      </c>
      <c r="C137" s="21" t="s">
        <v>596</v>
      </c>
      <c r="D137" s="164">
        <v>1770000</v>
      </c>
      <c r="E137" s="21" t="s">
        <v>342</v>
      </c>
      <c r="F137" s="21" t="s">
        <v>343</v>
      </c>
      <c r="G137" s="8" t="str">
        <f t="shared" si="2"/>
        <v>BRUDER RICHARD</v>
      </c>
    </row>
    <row r="138" spans="1:7" x14ac:dyDescent="0.25">
      <c r="A138" s="8">
        <v>42729.673217592594</v>
      </c>
      <c r="B138" s="21" t="s">
        <v>294</v>
      </c>
      <c r="C138" s="21" t="s">
        <v>597</v>
      </c>
      <c r="D138" s="164">
        <v>880000</v>
      </c>
      <c r="E138" s="21" t="s">
        <v>384</v>
      </c>
      <c r="F138" s="21" t="s">
        <v>263</v>
      </c>
      <c r="G138" s="8" t="str">
        <f t="shared" si="2"/>
        <v>STEWART MICHAEL</v>
      </c>
    </row>
    <row r="139" spans="1:7" x14ac:dyDescent="0.25">
      <c r="A139" s="8">
        <v>42729.680104166669</v>
      </c>
      <c r="B139" s="21" t="s">
        <v>229</v>
      </c>
      <c r="C139" s="21" t="s">
        <v>598</v>
      </c>
      <c r="D139" s="164">
        <v>1540000</v>
      </c>
      <c r="E139" s="21" t="s">
        <v>340</v>
      </c>
      <c r="F139" s="21" t="s">
        <v>341</v>
      </c>
      <c r="G139" s="8" t="str">
        <f t="shared" si="2"/>
        <v>HELVIE ADAM</v>
      </c>
    </row>
    <row r="140" spans="1:7" x14ac:dyDescent="0.25">
      <c r="A140" s="8">
        <v>42729.681527777779</v>
      </c>
      <c r="B140" s="21" t="s">
        <v>451</v>
      </c>
      <c r="C140" s="21" t="s">
        <v>599</v>
      </c>
      <c r="D140" s="164">
        <v>2250000</v>
      </c>
      <c r="E140" s="21" t="s">
        <v>554</v>
      </c>
      <c r="F140" s="21" t="s">
        <v>555</v>
      </c>
      <c r="G140" s="8" t="str">
        <f t="shared" si="2"/>
        <v>CRAYTON QUNTRELL</v>
      </c>
    </row>
    <row r="141" spans="1:7" x14ac:dyDescent="0.25">
      <c r="A141" s="8">
        <v>42729.68341435185</v>
      </c>
      <c r="B141" s="21" t="s">
        <v>370</v>
      </c>
      <c r="C141" s="21" t="s">
        <v>450</v>
      </c>
      <c r="D141" s="164">
        <v>1820000</v>
      </c>
      <c r="E141" s="21" t="s">
        <v>538</v>
      </c>
      <c r="F141" s="21" t="s">
        <v>539</v>
      </c>
      <c r="G141" s="8" t="str">
        <f t="shared" si="2"/>
        <v>ADANE ELSHADAY</v>
      </c>
    </row>
    <row r="142" spans="1:7" x14ac:dyDescent="0.25">
      <c r="A142" s="8">
        <v>42729.685578703706</v>
      </c>
      <c r="B142" s="21" t="s">
        <v>225</v>
      </c>
      <c r="C142" s="21" t="s">
        <v>600</v>
      </c>
      <c r="D142" s="164">
        <v>920000</v>
      </c>
      <c r="E142" s="21" t="s">
        <v>264</v>
      </c>
      <c r="F142" s="21" t="s">
        <v>263</v>
      </c>
      <c r="G142" s="8" t="str">
        <f t="shared" si="2"/>
        <v>DAVIS MICHAEL</v>
      </c>
    </row>
    <row r="143" spans="1:7" x14ac:dyDescent="0.25">
      <c r="A143" s="8">
        <v>42729.692453703705</v>
      </c>
      <c r="B143" s="21" t="s">
        <v>260</v>
      </c>
      <c r="C143" s="21" t="s">
        <v>601</v>
      </c>
      <c r="D143" s="164">
        <v>1540000</v>
      </c>
      <c r="E143" s="21" t="s">
        <v>340</v>
      </c>
      <c r="F143" s="21" t="s">
        <v>341</v>
      </c>
      <c r="G143" s="8" t="str">
        <f t="shared" si="2"/>
        <v>HELVIE ADAM</v>
      </c>
    </row>
    <row r="144" spans="1:7" x14ac:dyDescent="0.25">
      <c r="A144" s="8">
        <v>42729.692731481482</v>
      </c>
      <c r="B144" s="21" t="s">
        <v>477</v>
      </c>
      <c r="C144" s="21" t="s">
        <v>602</v>
      </c>
      <c r="D144" s="164">
        <v>2470000</v>
      </c>
      <c r="E144" s="21" t="s">
        <v>551</v>
      </c>
      <c r="F144" s="21" t="s">
        <v>552</v>
      </c>
      <c r="G144" s="8" t="str">
        <f t="shared" si="2"/>
        <v>ROMERO CHAD</v>
      </c>
    </row>
    <row r="145" spans="1:7" x14ac:dyDescent="0.25">
      <c r="A145" s="8">
        <v>42729.699432870373</v>
      </c>
      <c r="B145" s="21" t="s">
        <v>232</v>
      </c>
      <c r="C145" s="21" t="s">
        <v>603</v>
      </c>
      <c r="D145" s="164">
        <v>2030000</v>
      </c>
      <c r="E145" s="21" t="s">
        <v>387</v>
      </c>
      <c r="F145" s="21" t="s">
        <v>250</v>
      </c>
      <c r="G145" s="8" t="str">
        <f t="shared" si="2"/>
        <v>KILLION DAVID</v>
      </c>
    </row>
    <row r="146" spans="1:7" x14ac:dyDescent="0.25">
      <c r="A146" s="8">
        <v>42729.704756944448</v>
      </c>
      <c r="B146" s="21" t="s">
        <v>292</v>
      </c>
      <c r="C146" s="21" t="s">
        <v>604</v>
      </c>
      <c r="D146" s="164">
        <v>1770000</v>
      </c>
      <c r="E146" s="21" t="s">
        <v>342</v>
      </c>
      <c r="F146" s="21" t="s">
        <v>343</v>
      </c>
      <c r="G146" s="8" t="str">
        <f t="shared" si="2"/>
        <v>BRUDER RICHARD</v>
      </c>
    </row>
    <row r="147" spans="1:7" x14ac:dyDescent="0.25">
      <c r="A147" s="8">
        <v>42729.713483796295</v>
      </c>
      <c r="B147" s="21" t="s">
        <v>385</v>
      </c>
      <c r="C147" s="21" t="s">
        <v>605</v>
      </c>
      <c r="D147" s="164">
        <v>1810000</v>
      </c>
      <c r="E147" s="21" t="s">
        <v>284</v>
      </c>
      <c r="F147" s="21" t="s">
        <v>251</v>
      </c>
      <c r="G147" s="8" t="str">
        <f t="shared" si="2"/>
        <v>NEWELL JAMES</v>
      </c>
    </row>
    <row r="148" spans="1:7" x14ac:dyDescent="0.25">
      <c r="A148" s="8">
        <v>42729.715069444443</v>
      </c>
      <c r="B148" s="21" t="s">
        <v>235</v>
      </c>
      <c r="C148" s="21" t="s">
        <v>597</v>
      </c>
      <c r="D148" s="164">
        <v>880000</v>
      </c>
      <c r="E148" s="21" t="s">
        <v>384</v>
      </c>
      <c r="F148" s="21" t="s">
        <v>263</v>
      </c>
      <c r="G148" s="8" t="str">
        <f t="shared" si="2"/>
        <v>STEWART MICHAEL</v>
      </c>
    </row>
    <row r="149" spans="1:7" x14ac:dyDescent="0.25">
      <c r="A149" s="8">
        <v>42729.715787037036</v>
      </c>
      <c r="B149" s="21" t="s">
        <v>235</v>
      </c>
      <c r="C149" s="21" t="s">
        <v>606</v>
      </c>
      <c r="D149" s="164">
        <v>880000</v>
      </c>
      <c r="E149" s="21" t="s">
        <v>384</v>
      </c>
      <c r="F149" s="21" t="s">
        <v>263</v>
      </c>
      <c r="G149" s="8" t="str">
        <f t="shared" si="2"/>
        <v>STEWART MICHAEL</v>
      </c>
    </row>
    <row r="150" spans="1:7" x14ac:dyDescent="0.25">
      <c r="A150" s="8">
        <v>42729.718124999999</v>
      </c>
      <c r="B150" s="21" t="s">
        <v>183</v>
      </c>
      <c r="C150" s="21" t="s">
        <v>607</v>
      </c>
      <c r="D150" s="164">
        <v>1800000</v>
      </c>
      <c r="E150" s="21" t="s">
        <v>236</v>
      </c>
      <c r="F150" s="21" t="s">
        <v>254</v>
      </c>
      <c r="G150" s="8" t="str">
        <f t="shared" si="2"/>
        <v>CHANDLER KELVIN</v>
      </c>
    </row>
    <row r="151" spans="1:7" x14ac:dyDescent="0.25">
      <c r="A151" s="8">
        <v>42729.721435185187</v>
      </c>
      <c r="B151" s="21" t="s">
        <v>229</v>
      </c>
      <c r="C151" s="21" t="s">
        <v>608</v>
      </c>
      <c r="D151" s="164">
        <v>1540000</v>
      </c>
      <c r="E151" s="21" t="s">
        <v>340</v>
      </c>
      <c r="F151" s="21" t="s">
        <v>341</v>
      </c>
      <c r="G151" s="8" t="str">
        <f t="shared" si="2"/>
        <v>HELVIE ADAM</v>
      </c>
    </row>
    <row r="152" spans="1:7" x14ac:dyDescent="0.25">
      <c r="A152" s="8">
        <v>42729.721747685187</v>
      </c>
      <c r="B152" s="21" t="s">
        <v>271</v>
      </c>
      <c r="C152" s="21" t="s">
        <v>609</v>
      </c>
      <c r="D152" s="164">
        <v>920000</v>
      </c>
      <c r="E152" s="21" t="s">
        <v>264</v>
      </c>
      <c r="F152" s="21" t="s">
        <v>263</v>
      </c>
      <c r="G152" s="8" t="str">
        <f t="shared" si="2"/>
        <v>DAVIS MICHAEL</v>
      </c>
    </row>
    <row r="153" spans="1:7" x14ac:dyDescent="0.25">
      <c r="A153" s="8">
        <v>42729.724120370367</v>
      </c>
      <c r="B153" s="21" t="s">
        <v>367</v>
      </c>
      <c r="C153" s="21" t="s">
        <v>610</v>
      </c>
      <c r="D153" s="164">
        <v>2250000</v>
      </c>
      <c r="E153" s="21" t="s">
        <v>554</v>
      </c>
      <c r="F153" s="21" t="s">
        <v>555</v>
      </c>
      <c r="G153" s="8" t="str">
        <f t="shared" si="2"/>
        <v>CRAYTON QUNTRELL</v>
      </c>
    </row>
    <row r="154" spans="1:7" x14ac:dyDescent="0.25">
      <c r="A154" s="8">
        <v>42729.724259259259</v>
      </c>
      <c r="B154" s="21" t="s">
        <v>348</v>
      </c>
      <c r="C154" s="21" t="s">
        <v>611</v>
      </c>
      <c r="D154" s="164">
        <v>2420000</v>
      </c>
      <c r="E154" s="21" t="s">
        <v>215</v>
      </c>
      <c r="F154" s="21" t="s">
        <v>612</v>
      </c>
      <c r="G154" s="8" t="str">
        <f t="shared" si="2"/>
        <v>HOLCOMB KAMDEN</v>
      </c>
    </row>
    <row r="155" spans="1:7" x14ac:dyDescent="0.25">
      <c r="A155" s="8">
        <v>42729.726655092592</v>
      </c>
      <c r="B155" s="21" t="s">
        <v>445</v>
      </c>
      <c r="C155" s="21" t="s">
        <v>613</v>
      </c>
      <c r="D155" s="164">
        <v>2470000</v>
      </c>
      <c r="E155" s="21" t="s">
        <v>551</v>
      </c>
      <c r="F155" s="21" t="s">
        <v>552</v>
      </c>
      <c r="G155" s="8" t="str">
        <f t="shared" si="2"/>
        <v>ROMERO CHAD</v>
      </c>
    </row>
    <row r="156" spans="1:7" x14ac:dyDescent="0.25">
      <c r="A156" s="8">
        <v>42729.734456018516</v>
      </c>
      <c r="B156" s="21" t="s">
        <v>260</v>
      </c>
      <c r="C156" s="21" t="s">
        <v>614</v>
      </c>
      <c r="D156" s="164">
        <v>1540000</v>
      </c>
      <c r="E156" s="21" t="s">
        <v>340</v>
      </c>
      <c r="F156" s="21" t="s">
        <v>341</v>
      </c>
      <c r="G156" s="8" t="str">
        <f t="shared" si="2"/>
        <v>HELVIE ADAM</v>
      </c>
    </row>
    <row r="157" spans="1:7" x14ac:dyDescent="0.25">
      <c r="A157" s="8">
        <v>42729.737025462964</v>
      </c>
      <c r="B157" s="21" t="s">
        <v>231</v>
      </c>
      <c r="C157" s="21" t="s">
        <v>615</v>
      </c>
      <c r="D157" s="164">
        <v>1810000</v>
      </c>
      <c r="E157" s="21" t="s">
        <v>284</v>
      </c>
      <c r="F157" s="21" t="s">
        <v>251</v>
      </c>
      <c r="G157" s="8" t="str">
        <f t="shared" si="2"/>
        <v>NEWELL JAMES</v>
      </c>
    </row>
    <row r="158" spans="1:7" x14ac:dyDescent="0.25">
      <c r="A158" s="8">
        <v>42729.73914351852</v>
      </c>
      <c r="B158" s="21" t="s">
        <v>291</v>
      </c>
      <c r="C158" s="21" t="s">
        <v>616</v>
      </c>
      <c r="D158" s="164">
        <v>1770000</v>
      </c>
      <c r="E158" s="21" t="s">
        <v>342</v>
      </c>
      <c r="F158" s="21" t="s">
        <v>343</v>
      </c>
      <c r="G158" s="8" t="str">
        <f t="shared" si="2"/>
        <v>BRUDER RICHARD</v>
      </c>
    </row>
    <row r="159" spans="1:7" x14ac:dyDescent="0.25">
      <c r="A159" s="8">
        <v>42729.746388888889</v>
      </c>
      <c r="B159" s="21" t="s">
        <v>294</v>
      </c>
      <c r="C159" s="21" t="s">
        <v>617</v>
      </c>
      <c r="D159" s="164">
        <v>2030000</v>
      </c>
      <c r="E159" s="21" t="s">
        <v>387</v>
      </c>
      <c r="F159" s="21" t="s">
        <v>250</v>
      </c>
      <c r="G159" s="8" t="str">
        <f t="shared" si="2"/>
        <v>KILLION DAVID</v>
      </c>
    </row>
    <row r="160" spans="1:7" x14ac:dyDescent="0.25">
      <c r="A160" s="8">
        <v>42729.756585648145</v>
      </c>
      <c r="B160" s="21" t="s">
        <v>386</v>
      </c>
      <c r="C160" s="21" t="s">
        <v>618</v>
      </c>
      <c r="D160" s="164">
        <v>880000</v>
      </c>
      <c r="E160" s="21" t="s">
        <v>384</v>
      </c>
      <c r="F160" s="21" t="s">
        <v>263</v>
      </c>
      <c r="G160" s="8" t="str">
        <f t="shared" si="2"/>
        <v>STEWART MICHAEL</v>
      </c>
    </row>
    <row r="161" spans="1:7" x14ac:dyDescent="0.25">
      <c r="A161" s="8">
        <v>42729.757094907407</v>
      </c>
      <c r="B161" s="21" t="s">
        <v>451</v>
      </c>
      <c r="C161" s="21" t="s">
        <v>452</v>
      </c>
      <c r="D161" s="164">
        <v>1800000</v>
      </c>
      <c r="E161" s="21" t="s">
        <v>236</v>
      </c>
      <c r="F161" s="21" t="s">
        <v>254</v>
      </c>
      <c r="G161" s="8" t="str">
        <f t="shared" si="2"/>
        <v>CHANDLER KELVIN</v>
      </c>
    </row>
    <row r="162" spans="1:7" x14ac:dyDescent="0.25">
      <c r="A162" s="8">
        <v>42729.759641203702</v>
      </c>
      <c r="B162" s="21" t="s">
        <v>225</v>
      </c>
      <c r="C162" s="21" t="s">
        <v>619</v>
      </c>
      <c r="D162" s="164">
        <v>2230000</v>
      </c>
      <c r="E162" s="21" t="s">
        <v>283</v>
      </c>
      <c r="F162" s="21" t="s">
        <v>263</v>
      </c>
      <c r="G162" s="8" t="str">
        <f t="shared" si="2"/>
        <v>SMITH MICHAEL</v>
      </c>
    </row>
    <row r="163" spans="1:7" x14ac:dyDescent="0.25">
      <c r="A163" s="8">
        <v>42729.76189814815</v>
      </c>
      <c r="B163" s="21" t="s">
        <v>229</v>
      </c>
      <c r="C163" s="21" t="s">
        <v>620</v>
      </c>
      <c r="D163" s="164">
        <v>1540000</v>
      </c>
      <c r="E163" s="21" t="s">
        <v>340</v>
      </c>
      <c r="F163" s="21" t="s">
        <v>341</v>
      </c>
      <c r="G163" s="8" t="str">
        <f t="shared" si="2"/>
        <v>HELVIE ADAM</v>
      </c>
    </row>
    <row r="164" spans="1:7" x14ac:dyDescent="0.25">
      <c r="A164" s="8">
        <v>42729.764305555553</v>
      </c>
      <c r="B164" s="21" t="s">
        <v>370</v>
      </c>
      <c r="C164" s="21" t="s">
        <v>621</v>
      </c>
      <c r="D164" s="164">
        <v>2250000</v>
      </c>
      <c r="E164" s="21" t="s">
        <v>554</v>
      </c>
      <c r="F164" s="21" t="s">
        <v>555</v>
      </c>
      <c r="G164" s="8" t="str">
        <f t="shared" si="2"/>
        <v>CRAYTON QUNTRELL</v>
      </c>
    </row>
    <row r="165" spans="1:7" x14ac:dyDescent="0.25">
      <c r="A165" s="8">
        <v>42729.768055555556</v>
      </c>
      <c r="B165" s="21" t="s">
        <v>477</v>
      </c>
      <c r="C165" s="21" t="s">
        <v>622</v>
      </c>
      <c r="D165" s="164">
        <v>2000000</v>
      </c>
      <c r="E165" s="21" t="s">
        <v>209</v>
      </c>
      <c r="F165" s="21" t="s">
        <v>251</v>
      </c>
      <c r="G165" s="8" t="str">
        <f t="shared" si="2"/>
        <v>STAMBAUGH JAMES</v>
      </c>
    </row>
    <row r="166" spans="1:7" x14ac:dyDescent="0.25">
      <c r="A166" s="8">
        <v>42729.773530092592</v>
      </c>
      <c r="B166" s="21" t="s">
        <v>232</v>
      </c>
      <c r="C166" s="21" t="s">
        <v>623</v>
      </c>
      <c r="D166" s="164">
        <v>1810000</v>
      </c>
      <c r="E166" s="21" t="s">
        <v>284</v>
      </c>
      <c r="F166" s="21" t="s">
        <v>251</v>
      </c>
      <c r="G166" s="8" t="str">
        <f t="shared" si="2"/>
        <v>NEWELL JAMES</v>
      </c>
    </row>
    <row r="167" spans="1:7" x14ac:dyDescent="0.25">
      <c r="A167" s="8">
        <v>42729.775266203702</v>
      </c>
      <c r="B167" s="21" t="s">
        <v>260</v>
      </c>
      <c r="C167" s="21" t="s">
        <v>624</v>
      </c>
      <c r="D167" s="164">
        <v>1540000</v>
      </c>
      <c r="E167" s="21" t="s">
        <v>340</v>
      </c>
      <c r="F167" s="21" t="s">
        <v>341</v>
      </c>
      <c r="G167" s="8" t="str">
        <f t="shared" si="2"/>
        <v>HELVIE ADAM</v>
      </c>
    </row>
    <row r="168" spans="1:7" x14ac:dyDescent="0.25">
      <c r="A168" s="8">
        <v>42729.777465277781</v>
      </c>
      <c r="B168" s="21" t="s">
        <v>292</v>
      </c>
      <c r="C168" s="21" t="s">
        <v>625</v>
      </c>
      <c r="D168" s="164">
        <v>1770000</v>
      </c>
      <c r="E168" s="21" t="s">
        <v>342</v>
      </c>
      <c r="F168" s="21" t="s">
        <v>343</v>
      </c>
      <c r="G168" s="8" t="str">
        <f t="shared" si="2"/>
        <v>BRUDER RICHARD</v>
      </c>
    </row>
    <row r="169" spans="1:7" x14ac:dyDescent="0.25">
      <c r="A169" s="8">
        <v>42729.782986111109</v>
      </c>
      <c r="B169" s="21" t="s">
        <v>235</v>
      </c>
      <c r="C169" s="21" t="s">
        <v>453</v>
      </c>
      <c r="D169" s="164">
        <v>2030000</v>
      </c>
      <c r="E169" s="21" t="s">
        <v>387</v>
      </c>
      <c r="F169" s="21" t="s">
        <v>250</v>
      </c>
      <c r="G169" s="8" t="str">
        <f t="shared" si="2"/>
        <v>KILLION DAVID</v>
      </c>
    </row>
    <row r="170" spans="1:7" x14ac:dyDescent="0.25">
      <c r="A170" s="8">
        <v>42729.791030092594</v>
      </c>
      <c r="B170" s="21" t="s">
        <v>271</v>
      </c>
      <c r="C170" s="21" t="s">
        <v>626</v>
      </c>
      <c r="D170" s="164">
        <v>2230000</v>
      </c>
      <c r="E170" s="21" t="s">
        <v>283</v>
      </c>
      <c r="F170" s="21" t="s">
        <v>263</v>
      </c>
      <c r="G170" s="8" t="str">
        <f t="shared" si="2"/>
        <v>SMITH MICHAEL</v>
      </c>
    </row>
    <row r="171" spans="1:7" x14ac:dyDescent="0.25">
      <c r="A171" s="8">
        <v>42729.791168981479</v>
      </c>
      <c r="B171" s="21" t="s">
        <v>183</v>
      </c>
      <c r="C171" s="21" t="s">
        <v>627</v>
      </c>
      <c r="D171" s="164">
        <v>1800000</v>
      </c>
      <c r="E171" s="21" t="s">
        <v>236</v>
      </c>
      <c r="F171" s="21" t="s">
        <v>254</v>
      </c>
      <c r="G171" s="8" t="str">
        <f t="shared" si="2"/>
        <v>CHANDLER KELVIN</v>
      </c>
    </row>
    <row r="172" spans="1:7" x14ac:dyDescent="0.25">
      <c r="A172" s="8">
        <v>42729.797418981485</v>
      </c>
      <c r="B172" s="21" t="s">
        <v>367</v>
      </c>
      <c r="C172" s="21" t="s">
        <v>628</v>
      </c>
      <c r="D172" s="164">
        <v>2250000</v>
      </c>
      <c r="E172" s="21" t="s">
        <v>554</v>
      </c>
      <c r="F172" s="21" t="s">
        <v>555</v>
      </c>
      <c r="G172" s="8" t="str">
        <f t="shared" si="2"/>
        <v>CRAYTON QUNTRELL</v>
      </c>
    </row>
    <row r="173" spans="1:7" x14ac:dyDescent="0.25">
      <c r="A173" s="8">
        <v>42729.804849537039</v>
      </c>
      <c r="B173" s="21" t="s">
        <v>229</v>
      </c>
      <c r="C173" s="21" t="s">
        <v>629</v>
      </c>
      <c r="D173" s="164">
        <v>1540000</v>
      </c>
      <c r="E173" s="21" t="s">
        <v>340</v>
      </c>
      <c r="F173" s="21" t="s">
        <v>341</v>
      </c>
      <c r="G173" s="8" t="str">
        <f t="shared" si="2"/>
        <v>HELVIE ADAM</v>
      </c>
    </row>
    <row r="174" spans="1:7" x14ac:dyDescent="0.25">
      <c r="A174" s="8">
        <v>42729.806215277778</v>
      </c>
      <c r="B174" s="21" t="s">
        <v>231</v>
      </c>
      <c r="C174" s="21" t="s">
        <v>630</v>
      </c>
      <c r="D174" s="164">
        <v>1810000</v>
      </c>
      <c r="E174" s="21" t="s">
        <v>284</v>
      </c>
      <c r="F174" s="21" t="s">
        <v>251</v>
      </c>
      <c r="G174" s="8" t="str">
        <f t="shared" si="2"/>
        <v>NEWELL JAMES</v>
      </c>
    </row>
    <row r="175" spans="1:7" x14ac:dyDescent="0.25">
      <c r="A175" s="8">
        <v>42729.808321759258</v>
      </c>
      <c r="B175" s="21" t="s">
        <v>445</v>
      </c>
      <c r="C175" s="21" t="s">
        <v>631</v>
      </c>
      <c r="D175" s="164">
        <v>2000000</v>
      </c>
      <c r="E175" s="21" t="s">
        <v>209</v>
      </c>
      <c r="F175" s="21" t="s">
        <v>251</v>
      </c>
      <c r="G175" s="8" t="str">
        <f t="shared" si="2"/>
        <v>STAMBAUGH JAMES</v>
      </c>
    </row>
    <row r="176" spans="1:7" x14ac:dyDescent="0.25">
      <c r="A176" s="8">
        <v>42729.818981481483</v>
      </c>
      <c r="B176" s="21" t="s">
        <v>260</v>
      </c>
      <c r="C176" s="21" t="s">
        <v>632</v>
      </c>
      <c r="D176" s="164">
        <v>1540000</v>
      </c>
      <c r="E176" s="21" t="s">
        <v>340</v>
      </c>
      <c r="F176" s="21" t="s">
        <v>341</v>
      </c>
      <c r="G176" s="8" t="str">
        <f t="shared" si="2"/>
        <v>HELVIE ADAM</v>
      </c>
    </row>
    <row r="177" spans="1:7" x14ac:dyDescent="0.25">
      <c r="A177" s="8">
        <v>42729.819074074076</v>
      </c>
      <c r="B177" s="21" t="s">
        <v>294</v>
      </c>
      <c r="C177" s="21" t="s">
        <v>633</v>
      </c>
      <c r="D177" s="164">
        <v>2030000</v>
      </c>
      <c r="E177" s="21" t="s">
        <v>387</v>
      </c>
      <c r="F177" s="21" t="s">
        <v>250</v>
      </c>
      <c r="G177" s="8" t="str">
        <f t="shared" si="2"/>
        <v>KILLION DAVID</v>
      </c>
    </row>
    <row r="178" spans="1:7" x14ac:dyDescent="0.25">
      <c r="A178" s="8">
        <v>42729.82712962963</v>
      </c>
      <c r="B178" s="21" t="s">
        <v>451</v>
      </c>
      <c r="C178" s="21" t="s">
        <v>454</v>
      </c>
      <c r="D178" s="164">
        <v>1800000</v>
      </c>
      <c r="E178" s="21" t="s">
        <v>236</v>
      </c>
      <c r="F178" s="21" t="s">
        <v>254</v>
      </c>
      <c r="G178" s="8" t="str">
        <f t="shared" si="2"/>
        <v>CHANDLER KELVIN</v>
      </c>
    </row>
    <row r="179" spans="1:7" x14ac:dyDescent="0.25">
      <c r="A179" s="8">
        <v>42729.831157407411</v>
      </c>
      <c r="B179" s="21" t="s">
        <v>225</v>
      </c>
      <c r="C179" s="21" t="s">
        <v>634</v>
      </c>
      <c r="D179" s="164">
        <v>2230000</v>
      </c>
      <c r="E179" s="21" t="s">
        <v>283</v>
      </c>
      <c r="F179" s="21" t="s">
        <v>263</v>
      </c>
      <c r="G179" s="8" t="str">
        <f t="shared" si="2"/>
        <v>SMITH MICHAEL</v>
      </c>
    </row>
    <row r="180" spans="1:7" x14ac:dyDescent="0.25">
      <c r="A180" s="8">
        <v>42729.838101851848</v>
      </c>
      <c r="B180" s="21" t="s">
        <v>477</v>
      </c>
      <c r="C180" s="21" t="s">
        <v>635</v>
      </c>
      <c r="D180" s="164">
        <v>2000000</v>
      </c>
      <c r="E180" s="21" t="s">
        <v>209</v>
      </c>
      <c r="F180" s="21" t="s">
        <v>251</v>
      </c>
      <c r="G180" s="8" t="str">
        <f t="shared" si="2"/>
        <v>STAMBAUGH JAMES</v>
      </c>
    </row>
    <row r="181" spans="1:7" x14ac:dyDescent="0.25">
      <c r="A181" s="8">
        <v>42729.838900462964</v>
      </c>
      <c r="B181" s="21" t="s">
        <v>232</v>
      </c>
      <c r="C181" s="21" t="s">
        <v>636</v>
      </c>
      <c r="D181" s="164">
        <v>1810000</v>
      </c>
      <c r="E181" s="21" t="s">
        <v>284</v>
      </c>
      <c r="F181" s="21" t="s">
        <v>251</v>
      </c>
      <c r="G181" s="8" t="str">
        <f t="shared" si="2"/>
        <v>NEWELL JAMES</v>
      </c>
    </row>
    <row r="182" spans="1:7" x14ac:dyDescent="0.25">
      <c r="A182" s="8">
        <v>42729.845451388886</v>
      </c>
      <c r="B182" s="21" t="s">
        <v>229</v>
      </c>
      <c r="C182" s="21" t="s">
        <v>637</v>
      </c>
      <c r="D182" s="164">
        <v>1540000</v>
      </c>
      <c r="E182" s="21" t="s">
        <v>340</v>
      </c>
      <c r="F182" s="21" t="s">
        <v>341</v>
      </c>
      <c r="G182" s="8" t="str">
        <f t="shared" si="2"/>
        <v>HELVIE ADAM</v>
      </c>
    </row>
    <row r="183" spans="1:7" x14ac:dyDescent="0.25">
      <c r="A183" s="8">
        <v>42729.858506944445</v>
      </c>
      <c r="B183" s="21" t="s">
        <v>260</v>
      </c>
      <c r="C183" s="21" t="s">
        <v>638</v>
      </c>
      <c r="D183" s="164">
        <v>1540000</v>
      </c>
      <c r="E183" s="21" t="s">
        <v>340</v>
      </c>
      <c r="F183" s="21" t="s">
        <v>341</v>
      </c>
      <c r="G183" s="8" t="str">
        <f t="shared" si="2"/>
        <v>HELVIE ADAM</v>
      </c>
    </row>
    <row r="184" spans="1:7" x14ac:dyDescent="0.25">
      <c r="A184" s="8">
        <v>42729.865393518521</v>
      </c>
      <c r="B184" s="21" t="s">
        <v>271</v>
      </c>
      <c r="C184" s="21" t="s">
        <v>639</v>
      </c>
      <c r="D184" s="164">
        <v>2230000</v>
      </c>
      <c r="E184" s="21" t="s">
        <v>283</v>
      </c>
      <c r="F184" s="21" t="s">
        <v>263</v>
      </c>
      <c r="G184" s="8" t="str">
        <f t="shared" si="2"/>
        <v>SMITH MICHAEL</v>
      </c>
    </row>
    <row r="185" spans="1:7" x14ac:dyDescent="0.25">
      <c r="A185" s="8">
        <v>42729.874247685184</v>
      </c>
      <c r="B185" s="21" t="s">
        <v>183</v>
      </c>
      <c r="C185" s="21" t="s">
        <v>455</v>
      </c>
      <c r="D185" s="164">
        <v>1800000</v>
      </c>
      <c r="E185" s="21" t="s">
        <v>236</v>
      </c>
      <c r="F185" s="21" t="s">
        <v>254</v>
      </c>
      <c r="G185" s="8" t="str">
        <f t="shared" si="2"/>
        <v>CHANDLER KELVIN</v>
      </c>
    </row>
    <row r="186" spans="1:7" x14ac:dyDescent="0.25">
      <c r="A186" s="8">
        <v>42729.880023148151</v>
      </c>
      <c r="B186" s="21" t="s">
        <v>231</v>
      </c>
      <c r="C186" s="21" t="s">
        <v>640</v>
      </c>
      <c r="D186" s="164">
        <v>1810000</v>
      </c>
      <c r="E186" s="21" t="s">
        <v>284</v>
      </c>
      <c r="F186" s="21" t="s">
        <v>251</v>
      </c>
      <c r="G186" s="8" t="str">
        <f t="shared" si="2"/>
        <v>NEWELL JAMES</v>
      </c>
    </row>
    <row r="187" spans="1:7" x14ac:dyDescent="0.25">
      <c r="A187" s="8">
        <v>42729.887453703705</v>
      </c>
      <c r="B187" s="21" t="s">
        <v>229</v>
      </c>
      <c r="C187" s="21" t="s">
        <v>641</v>
      </c>
      <c r="D187" s="164">
        <v>1540000</v>
      </c>
      <c r="E187" s="21" t="s">
        <v>340</v>
      </c>
      <c r="F187" s="21" t="s">
        <v>341</v>
      </c>
      <c r="G187" s="8" t="str">
        <f t="shared" si="2"/>
        <v>HELVIE ADAM</v>
      </c>
    </row>
    <row r="188" spans="1:7" x14ac:dyDescent="0.25">
      <c r="A188" s="8">
        <v>42729.890243055554</v>
      </c>
      <c r="B188" s="21" t="s">
        <v>445</v>
      </c>
      <c r="C188" s="21" t="s">
        <v>456</v>
      </c>
      <c r="D188" s="164">
        <v>2000000</v>
      </c>
      <c r="E188" s="21" t="s">
        <v>209</v>
      </c>
      <c r="F188" s="21" t="s">
        <v>251</v>
      </c>
      <c r="G188" s="8" t="str">
        <f t="shared" si="2"/>
        <v>STAMBAUGH JAMES</v>
      </c>
    </row>
    <row r="189" spans="1:7" x14ac:dyDescent="0.25">
      <c r="A189" s="8">
        <v>42729.900590277779</v>
      </c>
      <c r="B189" s="21" t="s">
        <v>260</v>
      </c>
      <c r="C189" s="21" t="s">
        <v>642</v>
      </c>
      <c r="D189" s="164">
        <v>1540000</v>
      </c>
      <c r="E189" s="21" t="s">
        <v>340</v>
      </c>
      <c r="F189" s="21" t="s">
        <v>341</v>
      </c>
      <c r="G189" s="8" t="str">
        <f t="shared" si="2"/>
        <v>HELVIE ADAM</v>
      </c>
    </row>
    <row r="190" spans="1:7" x14ac:dyDescent="0.25">
      <c r="A190" s="8">
        <v>42729.902997685182</v>
      </c>
      <c r="B190" s="21" t="s">
        <v>225</v>
      </c>
      <c r="C190" s="21" t="s">
        <v>643</v>
      </c>
      <c r="D190" s="164">
        <v>2230000</v>
      </c>
      <c r="E190" s="21" t="s">
        <v>283</v>
      </c>
      <c r="F190" s="21" t="s">
        <v>263</v>
      </c>
      <c r="G190" s="8" t="str">
        <f t="shared" si="2"/>
        <v>SMITH MICHAEL</v>
      </c>
    </row>
    <row r="191" spans="1:7" x14ac:dyDescent="0.25">
      <c r="A191" s="8">
        <v>42729.91443287037</v>
      </c>
      <c r="B191" s="21" t="s">
        <v>451</v>
      </c>
      <c r="C191" s="21" t="s">
        <v>457</v>
      </c>
      <c r="D191" s="164">
        <v>1800000</v>
      </c>
      <c r="E191" s="21" t="s">
        <v>236</v>
      </c>
      <c r="F191" s="21" t="s">
        <v>254</v>
      </c>
      <c r="G191" s="8" t="str">
        <f t="shared" si="2"/>
        <v>CHANDLER KELVIN</v>
      </c>
    </row>
    <row r="192" spans="1:7" x14ac:dyDescent="0.25">
      <c r="A192" s="8">
        <v>42729.922372685185</v>
      </c>
      <c r="B192" s="21" t="s">
        <v>477</v>
      </c>
      <c r="C192" s="21" t="s">
        <v>644</v>
      </c>
      <c r="D192" s="164">
        <v>2000000</v>
      </c>
      <c r="E192" s="21" t="s">
        <v>209</v>
      </c>
      <c r="F192" s="21" t="s">
        <v>251</v>
      </c>
      <c r="G192" s="8" t="str">
        <f t="shared" si="2"/>
        <v>STAMBAUGH JAMES</v>
      </c>
    </row>
    <row r="193" spans="1:7" x14ac:dyDescent="0.25">
      <c r="A193" s="8">
        <v>42729.928576388891</v>
      </c>
      <c r="B193" s="21" t="s">
        <v>229</v>
      </c>
      <c r="C193" s="21" t="s">
        <v>645</v>
      </c>
      <c r="D193" s="164">
        <v>1540000</v>
      </c>
      <c r="E193" s="21" t="s">
        <v>340</v>
      </c>
      <c r="F193" s="21" t="s">
        <v>341</v>
      </c>
      <c r="G193" s="8" t="str">
        <f t="shared" si="2"/>
        <v>HELVIE ADAM</v>
      </c>
    </row>
    <row r="194" spans="1:7" x14ac:dyDescent="0.25">
      <c r="A194" s="8">
        <v>42729.93246527778</v>
      </c>
      <c r="B194" s="21" t="s">
        <v>232</v>
      </c>
      <c r="C194" s="21" t="s">
        <v>646</v>
      </c>
      <c r="D194" s="164">
        <v>1810000</v>
      </c>
      <c r="E194" s="21" t="s">
        <v>284</v>
      </c>
      <c r="F194" s="21" t="s">
        <v>251</v>
      </c>
      <c r="G194" s="8" t="str">
        <f t="shared" si="2"/>
        <v>NEWELL JAMES</v>
      </c>
    </row>
    <row r="195" spans="1:7" x14ac:dyDescent="0.25">
      <c r="A195" s="8">
        <v>42729.942939814813</v>
      </c>
      <c r="B195" s="21" t="s">
        <v>260</v>
      </c>
      <c r="C195" s="21" t="s">
        <v>647</v>
      </c>
      <c r="D195" s="164">
        <v>1540000</v>
      </c>
      <c r="E195" s="21" t="s">
        <v>340</v>
      </c>
      <c r="F195" s="21" t="s">
        <v>341</v>
      </c>
      <c r="G195" s="8" t="str">
        <f t="shared" ref="G195:G258" si="3">E195&amp;" "&amp;F195</f>
        <v>HELVIE ADAM</v>
      </c>
    </row>
    <row r="196" spans="1:7" x14ac:dyDescent="0.25">
      <c r="A196" s="8">
        <v>42729.94568287037</v>
      </c>
      <c r="B196" s="21" t="s">
        <v>271</v>
      </c>
      <c r="C196" s="21" t="s">
        <v>648</v>
      </c>
      <c r="D196" s="164">
        <v>2230000</v>
      </c>
      <c r="E196" s="21" t="s">
        <v>283</v>
      </c>
      <c r="F196" s="21" t="s">
        <v>263</v>
      </c>
      <c r="G196" s="8" t="str">
        <f t="shared" si="3"/>
        <v>SMITH MICHAEL</v>
      </c>
    </row>
    <row r="197" spans="1:7" x14ac:dyDescent="0.25">
      <c r="A197" s="8">
        <v>42729.95753472222</v>
      </c>
      <c r="B197" s="21" t="s">
        <v>183</v>
      </c>
      <c r="C197" s="21" t="s">
        <v>649</v>
      </c>
      <c r="D197" s="164">
        <v>1800000</v>
      </c>
      <c r="E197" s="21" t="s">
        <v>236</v>
      </c>
      <c r="F197" s="21" t="s">
        <v>254</v>
      </c>
      <c r="G197" s="8" t="str">
        <f t="shared" si="3"/>
        <v>CHANDLER KELVIN</v>
      </c>
    </row>
    <row r="198" spans="1:7" x14ac:dyDescent="0.25">
      <c r="A198" s="8">
        <v>42729.962893518517</v>
      </c>
      <c r="B198" s="21" t="s">
        <v>231</v>
      </c>
      <c r="C198" s="21" t="s">
        <v>650</v>
      </c>
      <c r="D198" s="164">
        <v>1810000</v>
      </c>
      <c r="E198" s="21" t="s">
        <v>284</v>
      </c>
      <c r="F198" s="21" t="s">
        <v>251</v>
      </c>
      <c r="G198" s="8" t="str">
        <f t="shared" si="3"/>
        <v>NEWELL JAMES</v>
      </c>
    </row>
    <row r="199" spans="1:7" x14ac:dyDescent="0.25">
      <c r="A199" s="8">
        <v>42729.974074074074</v>
      </c>
      <c r="B199" s="21" t="s">
        <v>445</v>
      </c>
      <c r="C199" s="21" t="s">
        <v>651</v>
      </c>
      <c r="D199" s="164">
        <v>2000000</v>
      </c>
      <c r="E199" s="21" t="s">
        <v>209</v>
      </c>
      <c r="F199" s="21" t="s">
        <v>251</v>
      </c>
      <c r="G199" s="8" t="str">
        <f t="shared" si="3"/>
        <v>STAMBAUGH JAMES</v>
      </c>
    </row>
    <row r="200" spans="1:7" x14ac:dyDescent="0.25">
      <c r="A200" s="8">
        <v>42729.987071759257</v>
      </c>
      <c r="B200" s="21" t="s">
        <v>225</v>
      </c>
      <c r="C200" s="21" t="s">
        <v>652</v>
      </c>
      <c r="D200" s="164">
        <v>2230000</v>
      </c>
      <c r="E200" s="21" t="s">
        <v>283</v>
      </c>
      <c r="F200" s="21" t="s">
        <v>263</v>
      </c>
      <c r="G200" s="8" t="str">
        <f t="shared" si="3"/>
        <v>SMITH MICHAEL</v>
      </c>
    </row>
    <row r="201" spans="1:7" x14ac:dyDescent="0.25">
      <c r="A201" s="8">
        <v>42729.997245370374</v>
      </c>
      <c r="B201" s="21" t="s">
        <v>451</v>
      </c>
      <c r="C201" s="21" t="s">
        <v>653</v>
      </c>
      <c r="D201" s="164">
        <v>1800000</v>
      </c>
      <c r="E201" s="21" t="s">
        <v>236</v>
      </c>
      <c r="F201" s="21" t="s">
        <v>254</v>
      </c>
      <c r="G201" s="8" t="str">
        <f t="shared" si="3"/>
        <v>CHANDLER KELVIN</v>
      </c>
    </row>
    <row r="202" spans="1:7" x14ac:dyDescent="0.25">
      <c r="A202" s="27">
        <v>42730.005844907406</v>
      </c>
      <c r="B202" s="21" t="s">
        <v>477</v>
      </c>
      <c r="C202" s="21" t="s">
        <v>654</v>
      </c>
      <c r="D202" s="164">
        <v>2000000</v>
      </c>
      <c r="E202" s="21" t="s">
        <v>209</v>
      </c>
      <c r="F202" s="21" t="s">
        <v>251</v>
      </c>
      <c r="G202" s="8" t="str">
        <f t="shared" si="3"/>
        <v>STAMBAUGH JAMES</v>
      </c>
    </row>
    <row r="203" spans="1:7" x14ac:dyDescent="0.25">
      <c r="A203" s="8">
        <v>42730.014918981484</v>
      </c>
      <c r="B203" s="21" t="s">
        <v>232</v>
      </c>
      <c r="C203" s="21" t="s">
        <v>655</v>
      </c>
      <c r="D203" s="164">
        <v>1810000</v>
      </c>
      <c r="E203" s="21" t="s">
        <v>284</v>
      </c>
      <c r="F203" s="21" t="s">
        <v>251</v>
      </c>
      <c r="G203" s="8" t="str">
        <f t="shared" si="3"/>
        <v>NEWELL JAMES</v>
      </c>
    </row>
    <row r="204" spans="1:7" x14ac:dyDescent="0.25">
      <c r="A204" s="8">
        <v>42730.028784722221</v>
      </c>
      <c r="B204" s="21" t="s">
        <v>183</v>
      </c>
      <c r="C204" s="21" t="s">
        <v>656</v>
      </c>
      <c r="D204" s="164">
        <v>1800000</v>
      </c>
      <c r="E204" s="21" t="s">
        <v>236</v>
      </c>
      <c r="F204" s="21" t="s">
        <v>254</v>
      </c>
      <c r="G204" s="8" t="str">
        <f t="shared" si="3"/>
        <v>CHANDLER KELVIN</v>
      </c>
    </row>
    <row r="205" spans="1:7" x14ac:dyDescent="0.25">
      <c r="A205" s="8">
        <v>42730.029618055552</v>
      </c>
      <c r="B205" s="21" t="s">
        <v>271</v>
      </c>
      <c r="C205" s="21" t="s">
        <v>657</v>
      </c>
      <c r="D205" s="164">
        <v>2230000</v>
      </c>
      <c r="E205" s="21" t="s">
        <v>283</v>
      </c>
      <c r="F205" s="21" t="s">
        <v>263</v>
      </c>
      <c r="G205" s="8" t="str">
        <f t="shared" si="3"/>
        <v>SMITH MICHAEL</v>
      </c>
    </row>
    <row r="206" spans="1:7" x14ac:dyDescent="0.25">
      <c r="A206" s="8">
        <v>42730.029780092591</v>
      </c>
      <c r="B206" s="21" t="s">
        <v>183</v>
      </c>
      <c r="C206" s="21" t="s">
        <v>656</v>
      </c>
      <c r="D206" s="164">
        <v>1800000</v>
      </c>
      <c r="E206" s="21" t="s">
        <v>236</v>
      </c>
      <c r="F206" s="21" t="s">
        <v>254</v>
      </c>
      <c r="G206" s="8" t="str">
        <f t="shared" si="3"/>
        <v>CHANDLER KELVIN</v>
      </c>
    </row>
    <row r="207" spans="1:7" x14ac:dyDescent="0.25">
      <c r="A207" s="8">
        <v>42730.030706018515</v>
      </c>
      <c r="B207" s="21" t="s">
        <v>183</v>
      </c>
      <c r="C207" s="21" t="s">
        <v>656</v>
      </c>
      <c r="D207" s="164">
        <v>1800000</v>
      </c>
      <c r="E207" s="21" t="s">
        <v>236</v>
      </c>
      <c r="F207" s="21" t="s">
        <v>254</v>
      </c>
      <c r="G207" s="8" t="str">
        <f t="shared" si="3"/>
        <v>CHANDLER KELVIN</v>
      </c>
    </row>
    <row r="208" spans="1:7" x14ac:dyDescent="0.25">
      <c r="A208" s="8">
        <v>42730.046712962961</v>
      </c>
      <c r="B208" s="21" t="s">
        <v>231</v>
      </c>
      <c r="C208" s="21" t="s">
        <v>658</v>
      </c>
      <c r="D208" s="164">
        <v>1810000</v>
      </c>
      <c r="E208" s="21" t="s">
        <v>284</v>
      </c>
      <c r="F208" s="21" t="s">
        <v>251</v>
      </c>
      <c r="G208" s="8" t="str">
        <f t="shared" si="3"/>
        <v>NEWELL JAMES</v>
      </c>
    </row>
    <row r="209" spans="1:7" x14ac:dyDescent="0.25">
      <c r="A209" s="8">
        <v>42730.047546296293</v>
      </c>
      <c r="B209" s="21" t="s">
        <v>231</v>
      </c>
      <c r="C209" s="21" t="s">
        <v>658</v>
      </c>
      <c r="D209" s="164">
        <v>1810000</v>
      </c>
      <c r="E209" s="21" t="s">
        <v>284</v>
      </c>
      <c r="F209" s="21" t="s">
        <v>251</v>
      </c>
      <c r="G209" s="8" t="str">
        <f t="shared" si="3"/>
        <v>NEWELL JAMES</v>
      </c>
    </row>
    <row r="210" spans="1:7" x14ac:dyDescent="0.25">
      <c r="A210" s="8">
        <v>42730.056909722225</v>
      </c>
      <c r="B210" s="21" t="s">
        <v>445</v>
      </c>
      <c r="C210" s="21" t="s">
        <v>659</v>
      </c>
      <c r="D210" s="164">
        <v>2000000</v>
      </c>
      <c r="E210" s="21" t="s">
        <v>209</v>
      </c>
      <c r="F210" s="21" t="s">
        <v>251</v>
      </c>
      <c r="G210" s="8" t="str">
        <f t="shared" si="3"/>
        <v>STAMBAUGH JAMES</v>
      </c>
    </row>
    <row r="211" spans="1:7" x14ac:dyDescent="0.25">
      <c r="A211" s="8">
        <v>42730.069699074076</v>
      </c>
      <c r="B211" s="21" t="s">
        <v>225</v>
      </c>
      <c r="C211" s="21" t="s">
        <v>239</v>
      </c>
      <c r="D211" s="164">
        <v>2230000</v>
      </c>
      <c r="E211" s="21" t="s">
        <v>283</v>
      </c>
      <c r="F211" s="21" t="s">
        <v>263</v>
      </c>
      <c r="G211" s="8" t="str">
        <f t="shared" si="3"/>
        <v>SMITH MICHAEL</v>
      </c>
    </row>
    <row r="212" spans="1:7" x14ac:dyDescent="0.25">
      <c r="A212" s="8">
        <v>42730.087372685186</v>
      </c>
      <c r="B212" s="21" t="s">
        <v>477</v>
      </c>
      <c r="C212" s="21" t="s">
        <v>240</v>
      </c>
      <c r="D212" s="164">
        <v>2000000</v>
      </c>
      <c r="E212" s="21" t="s">
        <v>209</v>
      </c>
      <c r="F212" s="21" t="s">
        <v>251</v>
      </c>
      <c r="G212" s="8" t="str">
        <f t="shared" si="3"/>
        <v>STAMBAUGH JAMES</v>
      </c>
    </row>
    <row r="213" spans="1:7" x14ac:dyDescent="0.25">
      <c r="A213" s="8">
        <v>42730.114282407405</v>
      </c>
      <c r="B213" s="21" t="s">
        <v>471</v>
      </c>
      <c r="C213" s="21" t="s">
        <v>660</v>
      </c>
      <c r="D213" s="164">
        <v>2110000</v>
      </c>
      <c r="E213" s="21" t="s">
        <v>296</v>
      </c>
      <c r="F213" s="21" t="s">
        <v>297</v>
      </c>
      <c r="G213" s="8" t="str">
        <f t="shared" si="3"/>
        <v>OUN ZACK</v>
      </c>
    </row>
    <row r="214" spans="1:7" x14ac:dyDescent="0.25">
      <c r="A214" s="8">
        <v>42727.903645833336</v>
      </c>
      <c r="B214" s="21" t="s">
        <v>271</v>
      </c>
      <c r="C214" s="21" t="s">
        <v>368</v>
      </c>
      <c r="D214" s="164">
        <v>2230000</v>
      </c>
      <c r="E214" s="21" t="s">
        <v>283</v>
      </c>
      <c r="F214" s="21" t="s">
        <v>263</v>
      </c>
      <c r="G214" s="8" t="str">
        <f t="shared" si="3"/>
        <v>SMITH MICHAEL</v>
      </c>
    </row>
    <row r="215" spans="1:7" x14ac:dyDescent="0.25">
      <c r="A215" s="8">
        <v>42727.911249999997</v>
      </c>
      <c r="B215" s="21" t="s">
        <v>370</v>
      </c>
      <c r="C215" s="21" t="s">
        <v>371</v>
      </c>
      <c r="D215" s="164">
        <v>2270000</v>
      </c>
      <c r="E215" s="21" t="s">
        <v>346</v>
      </c>
      <c r="F215" s="21" t="s">
        <v>347</v>
      </c>
      <c r="G215" s="8" t="str">
        <f t="shared" si="3"/>
        <v>BROWN JACOB</v>
      </c>
    </row>
    <row r="216" spans="1:7" x14ac:dyDescent="0.25">
      <c r="A216" s="8">
        <v>42727.921111111114</v>
      </c>
      <c r="B216" s="21" t="s">
        <v>225</v>
      </c>
      <c r="C216" s="21" t="s">
        <v>372</v>
      </c>
      <c r="D216" s="164">
        <v>2230000</v>
      </c>
      <c r="E216" s="21" t="s">
        <v>283</v>
      </c>
      <c r="F216" s="21" t="s">
        <v>263</v>
      </c>
      <c r="G216" s="8" t="str">
        <f t="shared" si="3"/>
        <v>SMITH MICHAEL</v>
      </c>
    </row>
    <row r="217" spans="1:7" x14ac:dyDescent="0.25">
      <c r="A217" s="8">
        <v>42727.922083333331</v>
      </c>
      <c r="B217" s="21" t="s">
        <v>229</v>
      </c>
      <c r="C217" s="21" t="s">
        <v>388</v>
      </c>
      <c r="D217" s="164">
        <v>2220000</v>
      </c>
      <c r="E217" s="21" t="s">
        <v>344</v>
      </c>
      <c r="F217" s="21" t="s">
        <v>345</v>
      </c>
      <c r="G217" s="8" t="str">
        <f t="shared" si="3"/>
        <v>HILLS DUSTIN</v>
      </c>
    </row>
    <row r="218" spans="1:7" x14ac:dyDescent="0.25">
      <c r="A218" s="8">
        <v>42727.9296412037</v>
      </c>
      <c r="B218" s="21" t="s">
        <v>235</v>
      </c>
      <c r="C218" s="21" t="s">
        <v>369</v>
      </c>
      <c r="D218" s="164">
        <v>2730000</v>
      </c>
      <c r="E218" s="21" t="s">
        <v>318</v>
      </c>
      <c r="F218" s="21" t="s">
        <v>319</v>
      </c>
      <c r="G218" s="8" t="str">
        <f t="shared" si="3"/>
        <v>YANG JAN</v>
      </c>
    </row>
    <row r="219" spans="1:7" x14ac:dyDescent="0.25">
      <c r="A219" s="8">
        <v>42727.945104166669</v>
      </c>
      <c r="B219" s="21" t="s">
        <v>271</v>
      </c>
      <c r="C219" s="21" t="s">
        <v>389</v>
      </c>
      <c r="D219" s="164">
        <v>2230000</v>
      </c>
      <c r="E219" s="21" t="s">
        <v>283</v>
      </c>
      <c r="F219" s="21" t="s">
        <v>263</v>
      </c>
      <c r="G219" s="8" t="str">
        <f t="shared" si="3"/>
        <v>SMITH MICHAEL</v>
      </c>
    </row>
    <row r="220" spans="1:7" x14ac:dyDescent="0.25">
      <c r="A220" s="8">
        <v>42727.953923611109</v>
      </c>
      <c r="B220" s="21" t="s">
        <v>258</v>
      </c>
      <c r="C220" s="21" t="s">
        <v>373</v>
      </c>
      <c r="D220" s="164">
        <v>2000000</v>
      </c>
      <c r="E220" s="21" t="s">
        <v>209</v>
      </c>
      <c r="F220" s="21" t="s">
        <v>251</v>
      </c>
      <c r="G220" s="8" t="str">
        <f t="shared" si="3"/>
        <v>STAMBAUGH JAMES</v>
      </c>
    </row>
    <row r="221" spans="1:7" x14ac:dyDescent="0.25">
      <c r="A221" s="8">
        <v>42727.95584490741</v>
      </c>
      <c r="B221" s="21" t="s">
        <v>367</v>
      </c>
      <c r="C221" s="21" t="s">
        <v>390</v>
      </c>
      <c r="D221" s="164">
        <v>2270000</v>
      </c>
      <c r="E221" s="21" t="s">
        <v>346</v>
      </c>
      <c r="F221" s="21" t="s">
        <v>347</v>
      </c>
      <c r="G221" s="8" t="str">
        <f t="shared" si="3"/>
        <v>BROWN JACOB</v>
      </c>
    </row>
    <row r="222" spans="1:7" x14ac:dyDescent="0.25">
      <c r="A222" s="8">
        <v>42727.96366898148</v>
      </c>
      <c r="B222" s="21" t="s">
        <v>260</v>
      </c>
      <c r="C222" s="21" t="s">
        <v>374</v>
      </c>
      <c r="D222" s="164">
        <v>2220000</v>
      </c>
      <c r="E222" s="21" t="s">
        <v>344</v>
      </c>
      <c r="F222" s="21" t="s">
        <v>345</v>
      </c>
      <c r="G222" s="8" t="str">
        <f t="shared" si="3"/>
        <v>HILLS DUSTIN</v>
      </c>
    </row>
    <row r="223" spans="1:7" x14ac:dyDescent="0.25">
      <c r="A223" s="8">
        <v>42727.975891203707</v>
      </c>
      <c r="B223" s="21" t="s">
        <v>294</v>
      </c>
      <c r="C223" s="21" t="s">
        <v>391</v>
      </c>
      <c r="D223" s="164">
        <v>2730000</v>
      </c>
      <c r="E223" s="21" t="s">
        <v>318</v>
      </c>
      <c r="F223" s="21" t="s">
        <v>319</v>
      </c>
      <c r="G223" s="8" t="str">
        <f t="shared" si="3"/>
        <v>YANG JAN</v>
      </c>
    </row>
    <row r="224" spans="1:7" x14ac:dyDescent="0.25">
      <c r="A224" s="8">
        <v>42727.985219907408</v>
      </c>
      <c r="B224" t="s">
        <v>243</v>
      </c>
      <c r="C224" t="s">
        <v>392</v>
      </c>
      <c r="D224" s="164">
        <v>2000000</v>
      </c>
      <c r="E224" t="s">
        <v>209</v>
      </c>
      <c r="F224" s="21" t="s">
        <v>251</v>
      </c>
      <c r="G224" s="8" t="str">
        <f t="shared" si="3"/>
        <v>STAMBAUGH JAMES</v>
      </c>
    </row>
    <row r="225" spans="1:7" x14ac:dyDescent="0.25">
      <c r="A225" s="8">
        <v>42727.989201388889</v>
      </c>
      <c r="B225" t="s">
        <v>370</v>
      </c>
      <c r="C225" t="s">
        <v>375</v>
      </c>
      <c r="D225" s="164">
        <v>2270000</v>
      </c>
      <c r="E225" t="s">
        <v>346</v>
      </c>
      <c r="F225" s="21" t="s">
        <v>347</v>
      </c>
      <c r="G225" s="8" t="str">
        <f t="shared" si="3"/>
        <v>BROWN JACOB</v>
      </c>
    </row>
    <row r="226" spans="1:7" x14ac:dyDescent="0.25">
      <c r="A226" s="8">
        <v>42728.010208333333</v>
      </c>
      <c r="B226" t="s">
        <v>154</v>
      </c>
      <c r="C226" t="s">
        <v>393</v>
      </c>
      <c r="D226" s="164">
        <v>2220000</v>
      </c>
      <c r="E226" t="s">
        <v>344</v>
      </c>
      <c r="F226" s="21" t="s">
        <v>345</v>
      </c>
      <c r="G226" s="8" t="str">
        <f t="shared" si="3"/>
        <v>HILLS DUSTIN</v>
      </c>
    </row>
    <row r="227" spans="1:7" x14ac:dyDescent="0.25">
      <c r="A227" s="8">
        <v>42728.014178240737</v>
      </c>
      <c r="B227" t="s">
        <v>235</v>
      </c>
      <c r="C227" t="s">
        <v>394</v>
      </c>
      <c r="D227" s="164">
        <v>2730000</v>
      </c>
      <c r="E227" t="s">
        <v>318</v>
      </c>
      <c r="F227" s="21" t="s">
        <v>319</v>
      </c>
      <c r="G227" s="8" t="str">
        <f t="shared" si="3"/>
        <v>YANG JAN</v>
      </c>
    </row>
    <row r="228" spans="1:7" x14ac:dyDescent="0.25">
      <c r="A228" s="8">
        <v>42728.034085648149</v>
      </c>
      <c r="B228" t="s">
        <v>367</v>
      </c>
      <c r="C228" t="s">
        <v>395</v>
      </c>
      <c r="D228" s="164">
        <v>2270000</v>
      </c>
      <c r="E228" t="s">
        <v>346</v>
      </c>
      <c r="F228" s="21" t="s">
        <v>347</v>
      </c>
      <c r="G228" s="8" t="str">
        <f t="shared" si="3"/>
        <v>BROWN JACOB</v>
      </c>
    </row>
    <row r="229" spans="1:7" x14ac:dyDescent="0.25">
      <c r="A229" s="8">
        <v>42728.037743055553</v>
      </c>
      <c r="B229" t="s">
        <v>258</v>
      </c>
      <c r="C229" t="s">
        <v>376</v>
      </c>
      <c r="D229" s="164">
        <v>2000000</v>
      </c>
      <c r="E229" t="s">
        <v>209</v>
      </c>
      <c r="F229" s="21" t="s">
        <v>251</v>
      </c>
      <c r="G229" s="8" t="str">
        <f t="shared" si="3"/>
        <v>STAMBAUGH JAMES</v>
      </c>
    </row>
    <row r="230" spans="1:7" x14ac:dyDescent="0.25">
      <c r="A230" s="8">
        <v>42728.047465277778</v>
      </c>
      <c r="B230" t="s">
        <v>155</v>
      </c>
      <c r="C230" t="s">
        <v>396</v>
      </c>
      <c r="D230" s="164">
        <v>2220000</v>
      </c>
      <c r="E230" t="s">
        <v>344</v>
      </c>
      <c r="F230" s="21" t="s">
        <v>345</v>
      </c>
      <c r="G230" s="8" t="str">
        <f t="shared" si="3"/>
        <v>HILLS DUSTIN</v>
      </c>
    </row>
    <row r="231" spans="1:7" x14ac:dyDescent="0.25">
      <c r="A231" s="8">
        <v>42728.048321759263</v>
      </c>
      <c r="B231" t="s">
        <v>155</v>
      </c>
      <c r="C231" t="s">
        <v>396</v>
      </c>
      <c r="D231" s="164">
        <v>2220000</v>
      </c>
      <c r="E231" t="s">
        <v>344</v>
      </c>
      <c r="F231" s="21" t="s">
        <v>345</v>
      </c>
      <c r="G231" s="8" t="str">
        <f t="shared" si="3"/>
        <v>HILLS DUSTIN</v>
      </c>
    </row>
    <row r="232" spans="1:7" x14ac:dyDescent="0.25">
      <c r="A232" s="8">
        <v>42728.050104166665</v>
      </c>
      <c r="B232" t="s">
        <v>367</v>
      </c>
      <c r="C232" t="s">
        <v>395</v>
      </c>
      <c r="D232" s="164">
        <v>2270000</v>
      </c>
      <c r="E232" t="s">
        <v>346</v>
      </c>
      <c r="F232" s="21" t="s">
        <v>347</v>
      </c>
      <c r="G232" s="8" t="str">
        <f t="shared" si="3"/>
        <v>BROWN JACOB</v>
      </c>
    </row>
    <row r="233" spans="1:7" x14ac:dyDescent="0.25">
      <c r="A233" s="8">
        <v>42728.050856481481</v>
      </c>
      <c r="B233" t="s">
        <v>294</v>
      </c>
      <c r="C233" t="s">
        <v>397</v>
      </c>
      <c r="D233" s="164">
        <v>2730000</v>
      </c>
      <c r="E233" t="s">
        <v>318</v>
      </c>
      <c r="F233" s="21" t="s">
        <v>319</v>
      </c>
      <c r="G233" s="8" t="str">
        <f t="shared" si="3"/>
        <v>YANG JAN</v>
      </c>
    </row>
    <row r="234" spans="1:7" x14ac:dyDescent="0.25">
      <c r="A234" s="8">
        <v>42728.053159722222</v>
      </c>
      <c r="B234" t="s">
        <v>155</v>
      </c>
      <c r="C234" t="s">
        <v>396</v>
      </c>
      <c r="D234" s="164">
        <v>2220000</v>
      </c>
      <c r="E234" t="s">
        <v>344</v>
      </c>
      <c r="F234" s="21" t="s">
        <v>345</v>
      </c>
      <c r="G234" s="8" t="str">
        <f t="shared" si="3"/>
        <v>HILLS DUSTIN</v>
      </c>
    </row>
    <row r="235" spans="1:7" x14ac:dyDescent="0.25">
      <c r="A235" s="8">
        <v>42728.053981481484</v>
      </c>
      <c r="B235" t="s">
        <v>155</v>
      </c>
      <c r="C235" t="s">
        <v>396</v>
      </c>
      <c r="D235" s="164">
        <v>2220000</v>
      </c>
      <c r="E235" t="s">
        <v>344</v>
      </c>
      <c r="F235" s="21" t="s">
        <v>345</v>
      </c>
      <c r="G235" s="8" t="str">
        <f t="shared" si="3"/>
        <v>HILLS DUSTIN</v>
      </c>
    </row>
    <row r="236" spans="1:7" x14ac:dyDescent="0.25">
      <c r="A236" s="8">
        <v>42728.055081018516</v>
      </c>
      <c r="B236" t="s">
        <v>155</v>
      </c>
      <c r="C236" t="s">
        <v>396</v>
      </c>
      <c r="D236" s="164">
        <v>2220000</v>
      </c>
      <c r="E236" t="s">
        <v>344</v>
      </c>
      <c r="F236" s="21" t="s">
        <v>345</v>
      </c>
      <c r="G236" s="8" t="str">
        <f t="shared" si="3"/>
        <v>HILLS DUSTIN</v>
      </c>
    </row>
    <row r="237" spans="1:7" x14ac:dyDescent="0.25">
      <c r="A237" s="8">
        <v>42728.056018518517</v>
      </c>
      <c r="B237" t="s">
        <v>155</v>
      </c>
      <c r="C237" t="s">
        <v>396</v>
      </c>
      <c r="D237" s="164">
        <v>2220000</v>
      </c>
      <c r="E237" t="s">
        <v>344</v>
      </c>
      <c r="F237" s="21" t="s">
        <v>345</v>
      </c>
      <c r="G237" s="8" t="str">
        <f t="shared" si="3"/>
        <v>HILLS DUSTIN</v>
      </c>
    </row>
    <row r="238" spans="1:7" x14ac:dyDescent="0.25">
      <c r="A238" s="8">
        <v>42728.056562500002</v>
      </c>
      <c r="B238" t="s">
        <v>155</v>
      </c>
      <c r="C238" t="s">
        <v>396</v>
      </c>
      <c r="D238" s="164">
        <v>2220000</v>
      </c>
      <c r="E238" t="s">
        <v>344</v>
      </c>
      <c r="F238" s="21" t="s">
        <v>345</v>
      </c>
      <c r="G238" s="8" t="str">
        <f t="shared" si="3"/>
        <v>HILLS DUSTIN</v>
      </c>
    </row>
    <row r="239" spans="1:7" x14ac:dyDescent="0.25">
      <c r="A239" s="8">
        <v>42728.057442129626</v>
      </c>
      <c r="B239" t="s">
        <v>155</v>
      </c>
      <c r="C239" t="s">
        <v>396</v>
      </c>
      <c r="D239" s="164">
        <v>2220000</v>
      </c>
      <c r="E239" t="s">
        <v>344</v>
      </c>
      <c r="F239" s="21" t="s">
        <v>345</v>
      </c>
      <c r="G239" s="8" t="str">
        <f t="shared" si="3"/>
        <v>HILLS DUSTIN</v>
      </c>
    </row>
    <row r="240" spans="1:7" x14ac:dyDescent="0.25">
      <c r="A240" s="8">
        <v>42728.058125000003</v>
      </c>
      <c r="B240" t="s">
        <v>155</v>
      </c>
      <c r="C240" t="s">
        <v>396</v>
      </c>
      <c r="D240" s="164">
        <v>2220000</v>
      </c>
      <c r="E240" t="s">
        <v>344</v>
      </c>
      <c r="F240" s="21" t="s">
        <v>345</v>
      </c>
      <c r="G240" s="8" t="str">
        <f t="shared" si="3"/>
        <v>HILLS DUSTIN</v>
      </c>
    </row>
    <row r="241" spans="1:7" x14ac:dyDescent="0.25">
      <c r="A241" s="8">
        <v>42728.068344907406</v>
      </c>
      <c r="B241" t="s">
        <v>243</v>
      </c>
      <c r="C241" t="s">
        <v>398</v>
      </c>
      <c r="D241" s="164">
        <v>2000000</v>
      </c>
      <c r="E241" t="s">
        <v>209</v>
      </c>
      <c r="F241" s="21" t="s">
        <v>251</v>
      </c>
      <c r="G241" s="8" t="str">
        <f t="shared" si="3"/>
        <v>STAMBAUGH JAMES</v>
      </c>
    </row>
    <row r="242" spans="1:7" x14ac:dyDescent="0.25">
      <c r="A242" s="8">
        <v>42728.072638888887</v>
      </c>
      <c r="B242" t="s">
        <v>370</v>
      </c>
      <c r="C242" t="s">
        <v>399</v>
      </c>
      <c r="D242" s="164">
        <v>2270000</v>
      </c>
      <c r="E242" t="s">
        <v>346</v>
      </c>
      <c r="F242" s="21" t="s">
        <v>347</v>
      </c>
      <c r="G242" s="8" t="str">
        <f t="shared" si="3"/>
        <v>BROWN JACOB</v>
      </c>
    </row>
    <row r="243" spans="1:7" x14ac:dyDescent="0.25">
      <c r="A243" s="8">
        <v>42728.089687500003</v>
      </c>
      <c r="B243" t="s">
        <v>154</v>
      </c>
      <c r="C243" t="s">
        <v>400</v>
      </c>
      <c r="D243" s="164">
        <v>2220000</v>
      </c>
      <c r="E243" t="s">
        <v>344</v>
      </c>
      <c r="F243" s="21" t="s">
        <v>345</v>
      </c>
      <c r="G243" s="8" t="str">
        <f t="shared" si="3"/>
        <v>HILLS DUSTIN</v>
      </c>
    </row>
    <row r="244" spans="1:7" x14ac:dyDescent="0.25">
      <c r="A244" s="8">
        <v>42728.090300925927</v>
      </c>
      <c r="B244" t="s">
        <v>154</v>
      </c>
      <c r="C244" t="s">
        <v>400</v>
      </c>
      <c r="D244" s="164">
        <v>2220000</v>
      </c>
      <c r="E244" t="s">
        <v>344</v>
      </c>
      <c r="F244" s="21" t="s">
        <v>345</v>
      </c>
      <c r="G244" s="8" t="str">
        <f t="shared" si="3"/>
        <v>HILLS DUSTIN</v>
      </c>
    </row>
    <row r="245" spans="1:7" x14ac:dyDescent="0.25">
      <c r="A245" s="8">
        <v>42728.111944444441</v>
      </c>
      <c r="B245" t="s">
        <v>367</v>
      </c>
      <c r="C245" t="s">
        <v>401</v>
      </c>
      <c r="D245" s="164">
        <v>2270000</v>
      </c>
      <c r="E245" t="s">
        <v>346</v>
      </c>
      <c r="F245" s="21" t="s">
        <v>347</v>
      </c>
      <c r="G245" s="8" t="str">
        <f t="shared" si="3"/>
        <v>BROWN JACOB</v>
      </c>
    </row>
    <row r="246" spans="1:7" x14ac:dyDescent="0.25">
      <c r="A246" s="8">
        <v>42722.974085648151</v>
      </c>
      <c r="B246" t="s">
        <v>295</v>
      </c>
      <c r="C246" t="s">
        <v>298</v>
      </c>
      <c r="D246" s="164">
        <v>2000000</v>
      </c>
      <c r="E246" t="s">
        <v>209</v>
      </c>
      <c r="F246" s="21" t="s">
        <v>251</v>
      </c>
      <c r="G246" s="8" t="str">
        <f t="shared" si="3"/>
        <v>STAMBAUGH JAMES</v>
      </c>
    </row>
    <row r="247" spans="1:7" x14ac:dyDescent="0.25">
      <c r="A247" s="8">
        <v>42722.976041666669</v>
      </c>
      <c r="B247" t="s">
        <v>273</v>
      </c>
      <c r="C247" t="s">
        <v>299</v>
      </c>
      <c r="D247" s="164">
        <v>1810000</v>
      </c>
      <c r="E247" t="s">
        <v>284</v>
      </c>
      <c r="F247" s="21" t="s">
        <v>251</v>
      </c>
      <c r="G247" s="8" t="str">
        <f t="shared" si="3"/>
        <v>NEWELL JAMES</v>
      </c>
    </row>
    <row r="248" spans="1:7" x14ac:dyDescent="0.25">
      <c r="A248" s="8">
        <v>42722.987962962965</v>
      </c>
      <c r="B248" t="s">
        <v>225</v>
      </c>
      <c r="C248" t="s">
        <v>300</v>
      </c>
      <c r="D248" s="164">
        <v>2230000</v>
      </c>
      <c r="E248" t="s">
        <v>283</v>
      </c>
      <c r="F248" s="21" t="s">
        <v>263</v>
      </c>
      <c r="G248" s="8" t="str">
        <f t="shared" si="3"/>
        <v>SMITH MICHAEL</v>
      </c>
    </row>
    <row r="249" spans="1:7" x14ac:dyDescent="0.25">
      <c r="A249" s="8">
        <v>42722.995798611111</v>
      </c>
      <c r="B249" t="s">
        <v>207</v>
      </c>
      <c r="C249" t="s">
        <v>301</v>
      </c>
      <c r="D249" s="164">
        <v>1800000</v>
      </c>
      <c r="E249" t="s">
        <v>236</v>
      </c>
      <c r="F249" s="21" t="s">
        <v>254</v>
      </c>
      <c r="G249" s="8" t="str">
        <f t="shared" si="3"/>
        <v>CHANDLER KELVIN</v>
      </c>
    </row>
    <row r="250" spans="1:7" x14ac:dyDescent="0.25">
      <c r="A250" s="8">
        <v>42723.006909722222</v>
      </c>
      <c r="B250" t="s">
        <v>272</v>
      </c>
      <c r="C250" t="s">
        <v>302</v>
      </c>
      <c r="D250" s="164">
        <v>1810000</v>
      </c>
      <c r="E250" t="s">
        <v>284</v>
      </c>
      <c r="F250" s="21" t="s">
        <v>251</v>
      </c>
      <c r="G250" s="8" t="str">
        <f t="shared" si="3"/>
        <v>NEWELL JAMES</v>
      </c>
    </row>
    <row r="251" spans="1:7" x14ac:dyDescent="0.25">
      <c r="A251" s="8">
        <v>42723.006990740738</v>
      </c>
      <c r="B251" t="s">
        <v>293</v>
      </c>
      <c r="C251" t="s">
        <v>303</v>
      </c>
      <c r="D251" s="164">
        <v>2000000</v>
      </c>
      <c r="E251" t="s">
        <v>209</v>
      </c>
      <c r="F251" s="21" t="s">
        <v>251</v>
      </c>
      <c r="G251" s="8" t="str">
        <f t="shared" si="3"/>
        <v>STAMBAUGH JAMES</v>
      </c>
    </row>
    <row r="252" spans="1:7" x14ac:dyDescent="0.25">
      <c r="A252" s="8">
        <v>42723.029004629629</v>
      </c>
      <c r="B252" t="s">
        <v>206</v>
      </c>
      <c r="C252" t="s">
        <v>304</v>
      </c>
      <c r="D252" s="164">
        <v>1800000</v>
      </c>
      <c r="E252" t="s">
        <v>236</v>
      </c>
      <c r="F252" s="21" t="s">
        <v>254</v>
      </c>
      <c r="G252" s="8" t="str">
        <f t="shared" si="3"/>
        <v>CHANDLER KELVIN</v>
      </c>
    </row>
    <row r="253" spans="1:7" x14ac:dyDescent="0.25">
      <c r="A253" s="8">
        <v>42723.029872685183</v>
      </c>
      <c r="B253" t="s">
        <v>271</v>
      </c>
      <c r="C253" t="s">
        <v>305</v>
      </c>
      <c r="D253" s="164">
        <v>2230000</v>
      </c>
      <c r="E253" t="s">
        <v>283</v>
      </c>
      <c r="F253" s="21" t="s">
        <v>263</v>
      </c>
      <c r="G253" s="8" t="str">
        <f t="shared" si="3"/>
        <v>SMITH MICHAEL</v>
      </c>
    </row>
    <row r="254" spans="1:7" x14ac:dyDescent="0.25">
      <c r="A254" s="8">
        <v>42723.047997685186</v>
      </c>
      <c r="B254" t="s">
        <v>273</v>
      </c>
      <c r="C254" t="s">
        <v>306</v>
      </c>
      <c r="D254" s="164">
        <v>1810000</v>
      </c>
      <c r="E254" t="s">
        <v>284</v>
      </c>
      <c r="F254" s="21" t="s">
        <v>251</v>
      </c>
      <c r="G254" s="8" t="str">
        <f t="shared" si="3"/>
        <v>NEWELL JAMES</v>
      </c>
    </row>
    <row r="255" spans="1:7" x14ac:dyDescent="0.25">
      <c r="A255" s="8">
        <v>42723.057719907411</v>
      </c>
      <c r="B255" t="s">
        <v>295</v>
      </c>
      <c r="C255" t="s">
        <v>307</v>
      </c>
      <c r="D255" s="164">
        <v>2000000</v>
      </c>
      <c r="E255" t="s">
        <v>209</v>
      </c>
      <c r="F255" s="21" t="s">
        <v>251</v>
      </c>
      <c r="G255" s="8" t="str">
        <f t="shared" si="3"/>
        <v>STAMBAUGH JAMES</v>
      </c>
    </row>
    <row r="256" spans="1:7" x14ac:dyDescent="0.25">
      <c r="A256" s="8">
        <v>42723.07167824074</v>
      </c>
      <c r="B256" t="s">
        <v>225</v>
      </c>
      <c r="C256" t="s">
        <v>308</v>
      </c>
      <c r="D256" s="164">
        <v>2230000</v>
      </c>
      <c r="E256" t="s">
        <v>283</v>
      </c>
      <c r="F256" s="21" t="s">
        <v>263</v>
      </c>
      <c r="G256" s="8" t="str">
        <f t="shared" si="3"/>
        <v>SMITH MICHAEL</v>
      </c>
    </row>
    <row r="257" spans="1:7" x14ac:dyDescent="0.25">
      <c r="A257" s="8">
        <v>42723.08871527778</v>
      </c>
      <c r="B257" t="s">
        <v>293</v>
      </c>
      <c r="C257" t="s">
        <v>309</v>
      </c>
      <c r="D257" s="164">
        <v>2000000</v>
      </c>
      <c r="E257" t="s">
        <v>209</v>
      </c>
      <c r="F257" s="21" t="s">
        <v>251</v>
      </c>
      <c r="G257" s="8" t="str">
        <f t="shared" si="3"/>
        <v>STAMBAUGH JAMES</v>
      </c>
    </row>
    <row r="258" spans="1:7" x14ac:dyDescent="0.25">
      <c r="A258" s="8">
        <v>42723.111840277779</v>
      </c>
      <c r="B258" t="s">
        <v>210</v>
      </c>
      <c r="C258" t="s">
        <v>310</v>
      </c>
      <c r="D258" s="164">
        <v>2110000</v>
      </c>
      <c r="E258" t="s">
        <v>296</v>
      </c>
      <c r="F258" s="21" t="s">
        <v>297</v>
      </c>
      <c r="G258" s="8" t="str">
        <f t="shared" si="3"/>
        <v>OUN ZACK</v>
      </c>
    </row>
    <row r="259" spans="1:7" x14ac:dyDescent="0.25">
      <c r="A259" s="8">
        <v>42723.11440972222</v>
      </c>
      <c r="B259" t="s">
        <v>210</v>
      </c>
      <c r="C259" t="s">
        <v>310</v>
      </c>
      <c r="D259" s="164">
        <v>2110000</v>
      </c>
      <c r="E259" t="s">
        <v>296</v>
      </c>
      <c r="F259" s="21" t="s">
        <v>297</v>
      </c>
      <c r="G259" s="8" t="str">
        <f t="shared" ref="G259:G322" si="4">E259&amp;" "&amp;F259</f>
        <v>OUN ZACK</v>
      </c>
    </row>
    <row r="260" spans="1:7" x14ac:dyDescent="0.25">
      <c r="A260" s="8">
        <v>42700.08734953704</v>
      </c>
      <c r="B260" t="s">
        <v>231</v>
      </c>
      <c r="C260" t="s">
        <v>239</v>
      </c>
      <c r="D260" s="164">
        <v>2000000</v>
      </c>
      <c r="E260" t="s">
        <v>209</v>
      </c>
      <c r="F260" s="21" t="str">
        <f t="shared" ref="F260:F265" si="5">B260</f>
        <v>rtdc.l.rtdc.4042:itc</v>
      </c>
      <c r="G260" s="8" t="str">
        <f t="shared" si="4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238</v>
      </c>
      <c r="D261" s="164">
        <v>2530000</v>
      </c>
      <c r="E261" t="s">
        <v>237</v>
      </c>
      <c r="F261" s="21" t="str">
        <f t="shared" si="5"/>
        <v>rtdc.l.rtdc.4051:itc</v>
      </c>
      <c r="G261" s="8" t="str">
        <f t="shared" si="4"/>
        <v>LALONDE rtdc.l.rtdc.4051:itc</v>
      </c>
    </row>
    <row r="262" spans="1:7" x14ac:dyDescent="0.25">
      <c r="A262" s="8">
        <v>42700.111076388886</v>
      </c>
      <c r="B262" t="s">
        <v>206</v>
      </c>
      <c r="C262" t="s">
        <v>240</v>
      </c>
      <c r="D262" s="164">
        <v>2600000</v>
      </c>
      <c r="E262" t="s">
        <v>233</v>
      </c>
      <c r="F262" s="21" t="str">
        <f t="shared" si="5"/>
        <v>rtdc.l.rtdc.4040:itc</v>
      </c>
      <c r="G262" s="8" t="str">
        <f t="shared" si="4"/>
        <v>DAVIDSON rtdc.l.rtdc.4040:itc</v>
      </c>
    </row>
    <row r="263" spans="1:7" x14ac:dyDescent="0.25">
      <c r="A263" s="8">
        <v>42685.016226851854</v>
      </c>
      <c r="B263" t="s">
        <v>204</v>
      </c>
      <c r="C263" t="s">
        <v>218</v>
      </c>
      <c r="D263" s="164">
        <v>2000000</v>
      </c>
      <c r="E263" t="s">
        <v>209</v>
      </c>
      <c r="F263" s="21" t="str">
        <f t="shared" si="5"/>
        <v>rtdc.l.rtdc.4011:itc</v>
      </c>
      <c r="G263" s="8" t="str">
        <f t="shared" si="4"/>
        <v>STAMBAUGH rtdc.l.rtdc.4011:itc</v>
      </c>
    </row>
    <row r="264" spans="1:7" x14ac:dyDescent="0.25">
      <c r="A264" s="8">
        <v>42685.029282407406</v>
      </c>
      <c r="B264" t="s">
        <v>214</v>
      </c>
      <c r="C264" t="s">
        <v>219</v>
      </c>
      <c r="D264" s="164">
        <v>2550000</v>
      </c>
      <c r="E264" t="s">
        <v>213</v>
      </c>
      <c r="F264" s="21" t="str">
        <f t="shared" si="5"/>
        <v>rtdc.l.rtdc.4022:itc</v>
      </c>
      <c r="G264" s="8" t="str">
        <f t="shared" si="4"/>
        <v>BADERTSCHER rtdc.l.rtdc.4022:itc</v>
      </c>
    </row>
    <row r="265" spans="1:7" x14ac:dyDescent="0.25">
      <c r="A265" s="8">
        <v>42685.039282407408</v>
      </c>
      <c r="B265" t="s">
        <v>217</v>
      </c>
      <c r="C265" t="s">
        <v>220</v>
      </c>
      <c r="D265" s="164">
        <v>1300000</v>
      </c>
      <c r="E265" t="s">
        <v>113</v>
      </c>
      <c r="F265" s="21" t="str">
        <f t="shared" si="5"/>
        <v>rtdc.l.rtdc.4037:itc</v>
      </c>
      <c r="G265" s="8" t="str">
        <f t="shared" si="4"/>
        <v>LEVIN rtdc.l.rtdc.4037:itc</v>
      </c>
    </row>
    <row r="266" spans="1:7" x14ac:dyDescent="0.25">
      <c r="A266" s="8">
        <v>42685.049375000002</v>
      </c>
      <c r="B266" t="s">
        <v>212</v>
      </c>
      <c r="C266" t="s">
        <v>221</v>
      </c>
      <c r="D266" s="164">
        <v>2420000</v>
      </c>
      <c r="E266" t="s">
        <v>215</v>
      </c>
      <c r="F266" s="21" t="str">
        <f t="shared" ref="F266:F281" si="6">B266</f>
        <v>rtdc.l.rtdc.4002:itc</v>
      </c>
      <c r="G266" s="8" t="str">
        <f t="shared" si="4"/>
        <v>HOLCOMB rtdc.l.rtdc.4002:itc</v>
      </c>
    </row>
    <row r="267" spans="1:7" x14ac:dyDescent="0.25">
      <c r="A267" s="8">
        <v>42685.056481481479</v>
      </c>
      <c r="B267" t="s">
        <v>210</v>
      </c>
      <c r="C267" t="s">
        <v>222</v>
      </c>
      <c r="D267" s="164">
        <v>2000000</v>
      </c>
      <c r="E267" t="s">
        <v>209</v>
      </c>
      <c r="F267" s="21" t="str">
        <f t="shared" si="6"/>
        <v>rtdc.l.rtdc.4012:itc</v>
      </c>
      <c r="G267" s="8" t="str">
        <f t="shared" si="4"/>
        <v>STAMBAUGH rtdc.l.rtdc.4012:itc</v>
      </c>
    </row>
    <row r="268" spans="1:7" x14ac:dyDescent="0.25">
      <c r="A268" s="8">
        <v>42685.071712962963</v>
      </c>
      <c r="B268" t="s">
        <v>216</v>
      </c>
      <c r="C268" t="s">
        <v>223</v>
      </c>
      <c r="D268" s="164">
        <v>1300000</v>
      </c>
      <c r="E268" t="s">
        <v>113</v>
      </c>
      <c r="F268" s="21" t="str">
        <f t="shared" si="6"/>
        <v>rtdc.l.rtdc.4038:itc</v>
      </c>
      <c r="G268" s="8" t="str">
        <f t="shared" si="4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184</v>
      </c>
      <c r="D269" s="164">
        <v>630000</v>
      </c>
      <c r="E269" t="b">
        <v>1</v>
      </c>
      <c r="F269" s="21" t="str">
        <f t="shared" si="6"/>
        <v>rtdc.l.rtdc.4051:itc</v>
      </c>
      <c r="G269" s="8" t="str">
        <f t="shared" si="4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185</v>
      </c>
      <c r="D270" s="164">
        <v>1480000</v>
      </c>
      <c r="E270" t="s">
        <v>181</v>
      </c>
      <c r="F270" s="21" t="str">
        <f t="shared" si="6"/>
        <v>rtdc.l.rtdc.4009:itc</v>
      </c>
      <c r="G270" s="8" t="str">
        <f t="shared" si="4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184</v>
      </c>
      <c r="D271" s="164">
        <v>630000</v>
      </c>
      <c r="E271" t="b">
        <v>1</v>
      </c>
      <c r="F271" s="21" t="str">
        <f t="shared" si="6"/>
        <v>rtdc.l.rtdc.4052:itc</v>
      </c>
      <c r="G271" s="8" t="str">
        <f t="shared" si="4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184</v>
      </c>
      <c r="D272" s="164">
        <v>630000</v>
      </c>
      <c r="E272" t="b">
        <v>1</v>
      </c>
      <c r="F272" s="21" t="str">
        <f t="shared" si="6"/>
        <v>rtdc.l.rtdc.4052:itc</v>
      </c>
      <c r="G272" s="8" t="str">
        <f t="shared" si="4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184</v>
      </c>
      <c r="D273" s="164">
        <v>630000</v>
      </c>
      <c r="E273" t="b">
        <v>1</v>
      </c>
      <c r="F273" s="21" t="str">
        <f t="shared" si="6"/>
        <v>rtdc.l.rtdc.4052:itc</v>
      </c>
      <c r="G273" s="8" t="str">
        <f t="shared" si="4"/>
        <v>TRUE rtdc.l.rtdc.4052:itc</v>
      </c>
    </row>
    <row r="274" spans="1:7" x14ac:dyDescent="0.25">
      <c r="F274" s="21">
        <f t="shared" si="6"/>
        <v>0</v>
      </c>
      <c r="G274" s="8" t="str">
        <f t="shared" si="4"/>
        <v xml:space="preserve"> 0</v>
      </c>
    </row>
    <row r="275" spans="1:7" x14ac:dyDescent="0.25">
      <c r="F275" s="21">
        <f t="shared" si="6"/>
        <v>0</v>
      </c>
      <c r="G275" s="8" t="str">
        <f t="shared" si="4"/>
        <v xml:space="preserve"> 0</v>
      </c>
    </row>
    <row r="276" spans="1:7" x14ac:dyDescent="0.25">
      <c r="F276" s="21">
        <f t="shared" si="6"/>
        <v>0</v>
      </c>
      <c r="G276" s="8" t="str">
        <f t="shared" si="4"/>
        <v xml:space="preserve"> 0</v>
      </c>
    </row>
    <row r="277" spans="1:7" x14ac:dyDescent="0.25">
      <c r="F277" s="21">
        <f t="shared" si="6"/>
        <v>0</v>
      </c>
      <c r="G277" s="8" t="str">
        <f t="shared" si="4"/>
        <v xml:space="preserve"> 0</v>
      </c>
    </row>
    <row r="278" spans="1:7" x14ac:dyDescent="0.25">
      <c r="F278" s="21">
        <f t="shared" si="6"/>
        <v>0</v>
      </c>
      <c r="G278" s="8" t="str">
        <f t="shared" si="4"/>
        <v xml:space="preserve"> 0</v>
      </c>
    </row>
    <row r="279" spans="1:7" x14ac:dyDescent="0.25">
      <c r="F279" s="21">
        <f t="shared" si="6"/>
        <v>0</v>
      </c>
      <c r="G279" s="8" t="str">
        <f t="shared" si="4"/>
        <v xml:space="preserve"> 0</v>
      </c>
    </row>
    <row r="280" spans="1:7" x14ac:dyDescent="0.25">
      <c r="F280" s="21">
        <f t="shared" si="6"/>
        <v>0</v>
      </c>
      <c r="G280" s="8" t="str">
        <f t="shared" si="4"/>
        <v xml:space="preserve"> 0</v>
      </c>
    </row>
    <row r="281" spans="1:7" x14ac:dyDescent="0.25">
      <c r="F281" s="21">
        <f t="shared" si="6"/>
        <v>0</v>
      </c>
      <c r="G281" s="8" t="str">
        <f t="shared" si="4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4"/>
        <v xml:space="preserve"> 0</v>
      </c>
    </row>
    <row r="283" spans="1:7" x14ac:dyDescent="0.25">
      <c r="F283" s="21">
        <f t="shared" si="7"/>
        <v>0</v>
      </c>
      <c r="G283" s="8" t="str">
        <f t="shared" si="4"/>
        <v xml:space="preserve"> 0</v>
      </c>
    </row>
    <row r="284" spans="1:7" x14ac:dyDescent="0.25">
      <c r="F284" s="21">
        <f t="shared" si="7"/>
        <v>0</v>
      </c>
      <c r="G284" s="8" t="str">
        <f t="shared" si="4"/>
        <v xml:space="preserve"> 0</v>
      </c>
    </row>
    <row r="285" spans="1:7" x14ac:dyDescent="0.25">
      <c r="F285" s="21">
        <f t="shared" si="7"/>
        <v>0</v>
      </c>
      <c r="G285" s="8" t="str">
        <f t="shared" si="4"/>
        <v xml:space="preserve"> 0</v>
      </c>
    </row>
    <row r="286" spans="1:7" x14ac:dyDescent="0.25">
      <c r="F286" s="21">
        <f t="shared" si="7"/>
        <v>0</v>
      </c>
      <c r="G286" s="8" t="str">
        <f t="shared" si="4"/>
        <v xml:space="preserve"> 0</v>
      </c>
    </row>
    <row r="287" spans="1:7" x14ac:dyDescent="0.25">
      <c r="F287" s="21">
        <f t="shared" si="7"/>
        <v>0</v>
      </c>
      <c r="G287" s="8" t="str">
        <f t="shared" si="4"/>
        <v xml:space="preserve"> 0</v>
      </c>
    </row>
    <row r="288" spans="1:7" x14ac:dyDescent="0.25">
      <c r="F288" s="21">
        <f t="shared" si="7"/>
        <v>0</v>
      </c>
      <c r="G288" s="8" t="str">
        <f t="shared" si="4"/>
        <v xml:space="preserve"> 0</v>
      </c>
    </row>
    <row r="289" spans="6:7" x14ac:dyDescent="0.25">
      <c r="F289" s="21">
        <f t="shared" si="7"/>
        <v>0</v>
      </c>
      <c r="G289" s="8" t="str">
        <f t="shared" si="4"/>
        <v xml:space="preserve"> 0</v>
      </c>
    </row>
    <row r="290" spans="6:7" x14ac:dyDescent="0.25">
      <c r="F290" s="21">
        <f t="shared" si="7"/>
        <v>0</v>
      </c>
      <c r="G290" s="8" t="str">
        <f t="shared" si="4"/>
        <v xml:space="preserve"> 0</v>
      </c>
    </row>
    <row r="291" spans="6:7" x14ac:dyDescent="0.25">
      <c r="F291" s="21">
        <f t="shared" si="7"/>
        <v>0</v>
      </c>
      <c r="G291" s="8" t="str">
        <f t="shared" si="4"/>
        <v xml:space="preserve"> 0</v>
      </c>
    </row>
    <row r="292" spans="6:7" x14ac:dyDescent="0.25">
      <c r="F292" s="21">
        <f t="shared" si="7"/>
        <v>0</v>
      </c>
      <c r="G292" s="8" t="str">
        <f t="shared" si="4"/>
        <v xml:space="preserve"> 0</v>
      </c>
    </row>
    <row r="293" spans="6:7" x14ac:dyDescent="0.25">
      <c r="F293" s="21">
        <f t="shared" si="7"/>
        <v>0</v>
      </c>
      <c r="G293" s="8" t="str">
        <f t="shared" si="4"/>
        <v xml:space="preserve"> 0</v>
      </c>
    </row>
    <row r="294" spans="6:7" x14ac:dyDescent="0.25">
      <c r="F294" s="21">
        <f t="shared" si="7"/>
        <v>0</v>
      </c>
      <c r="G294" s="8" t="str">
        <f t="shared" si="4"/>
        <v xml:space="preserve"> 0</v>
      </c>
    </row>
    <row r="295" spans="6:7" x14ac:dyDescent="0.25">
      <c r="F295" s="21">
        <f t="shared" si="7"/>
        <v>0</v>
      </c>
      <c r="G295" s="8" t="str">
        <f t="shared" si="4"/>
        <v xml:space="preserve"> 0</v>
      </c>
    </row>
    <row r="296" spans="6:7" x14ac:dyDescent="0.25">
      <c r="F296" s="21">
        <f t="shared" si="7"/>
        <v>0</v>
      </c>
      <c r="G296" s="8" t="str">
        <f t="shared" si="4"/>
        <v xml:space="preserve"> 0</v>
      </c>
    </row>
    <row r="297" spans="6:7" x14ac:dyDescent="0.25">
      <c r="F297" s="21">
        <f t="shared" si="7"/>
        <v>0</v>
      </c>
      <c r="G297" s="8" t="str">
        <f t="shared" si="4"/>
        <v xml:space="preserve"> 0</v>
      </c>
    </row>
    <row r="298" spans="6:7" x14ac:dyDescent="0.25">
      <c r="F298" s="21">
        <f t="shared" si="7"/>
        <v>0</v>
      </c>
      <c r="G298" s="8" t="str">
        <f t="shared" si="4"/>
        <v xml:space="preserve"> 0</v>
      </c>
    </row>
    <row r="299" spans="6:7" x14ac:dyDescent="0.25">
      <c r="F299" s="21">
        <f t="shared" si="7"/>
        <v>0</v>
      </c>
      <c r="G299" s="8" t="str">
        <f t="shared" si="4"/>
        <v xml:space="preserve"> 0</v>
      </c>
    </row>
    <row r="300" spans="6:7" x14ac:dyDescent="0.25">
      <c r="F300" s="21">
        <f t="shared" si="7"/>
        <v>0</v>
      </c>
      <c r="G300" s="8" t="str">
        <f t="shared" si="4"/>
        <v xml:space="preserve"> 0</v>
      </c>
    </row>
    <row r="301" spans="6:7" x14ac:dyDescent="0.25">
      <c r="F301" s="21">
        <f t="shared" si="7"/>
        <v>0</v>
      </c>
      <c r="G301" s="8" t="str">
        <f t="shared" si="4"/>
        <v xml:space="preserve"> 0</v>
      </c>
    </row>
    <row r="302" spans="6:7" x14ac:dyDescent="0.25">
      <c r="F302" s="21">
        <f t="shared" si="7"/>
        <v>0</v>
      </c>
      <c r="G302" s="8" t="str">
        <f t="shared" si="4"/>
        <v xml:space="preserve"> 0</v>
      </c>
    </row>
    <row r="303" spans="6:7" x14ac:dyDescent="0.25">
      <c r="F303" s="21">
        <f t="shared" si="7"/>
        <v>0</v>
      </c>
      <c r="G303" s="8" t="str">
        <f t="shared" si="4"/>
        <v xml:space="preserve"> 0</v>
      </c>
    </row>
    <row r="304" spans="6:7" x14ac:dyDescent="0.25">
      <c r="F304" s="21">
        <f t="shared" si="7"/>
        <v>0</v>
      </c>
      <c r="G304" s="8" t="str">
        <f t="shared" si="4"/>
        <v xml:space="preserve"> 0</v>
      </c>
    </row>
    <row r="305" spans="6:7" x14ac:dyDescent="0.25">
      <c r="F305" s="21">
        <f t="shared" si="7"/>
        <v>0</v>
      </c>
      <c r="G305" s="8" t="str">
        <f t="shared" si="4"/>
        <v xml:space="preserve"> 0</v>
      </c>
    </row>
    <row r="306" spans="6:7" x14ac:dyDescent="0.25">
      <c r="F306" s="21">
        <f t="shared" si="7"/>
        <v>0</v>
      </c>
      <c r="G306" s="8" t="str">
        <f t="shared" si="4"/>
        <v xml:space="preserve"> 0</v>
      </c>
    </row>
    <row r="307" spans="6:7" x14ac:dyDescent="0.25">
      <c r="F307" s="21">
        <f t="shared" si="7"/>
        <v>0</v>
      </c>
      <c r="G307" s="8" t="str">
        <f t="shared" si="4"/>
        <v xml:space="preserve"> 0</v>
      </c>
    </row>
    <row r="308" spans="6:7" x14ac:dyDescent="0.25">
      <c r="F308" s="21">
        <f t="shared" si="7"/>
        <v>0</v>
      </c>
      <c r="G308" s="8" t="str">
        <f t="shared" si="4"/>
        <v xml:space="preserve"> 0</v>
      </c>
    </row>
    <row r="309" spans="6:7" x14ac:dyDescent="0.25">
      <c r="F309" s="21">
        <f t="shared" si="7"/>
        <v>0</v>
      </c>
      <c r="G309" s="8" t="str">
        <f t="shared" si="4"/>
        <v xml:space="preserve"> 0</v>
      </c>
    </row>
    <row r="310" spans="6:7" x14ac:dyDescent="0.25">
      <c r="F310" s="21">
        <f t="shared" si="7"/>
        <v>0</v>
      </c>
      <c r="G310" s="8" t="str">
        <f t="shared" si="4"/>
        <v xml:space="preserve"> 0</v>
      </c>
    </row>
    <row r="311" spans="6:7" x14ac:dyDescent="0.25">
      <c r="F311" s="21">
        <f t="shared" si="7"/>
        <v>0</v>
      </c>
      <c r="G311" s="8" t="str">
        <f t="shared" si="4"/>
        <v xml:space="preserve"> 0</v>
      </c>
    </row>
    <row r="312" spans="6:7" x14ac:dyDescent="0.25">
      <c r="F312" s="21">
        <f t="shared" si="7"/>
        <v>0</v>
      </c>
      <c r="G312" s="8" t="str">
        <f t="shared" si="4"/>
        <v xml:space="preserve"> 0</v>
      </c>
    </row>
    <row r="313" spans="6:7" x14ac:dyDescent="0.25">
      <c r="F313" s="21">
        <f t="shared" si="7"/>
        <v>0</v>
      </c>
      <c r="G313" s="8" t="str">
        <f t="shared" si="4"/>
        <v xml:space="preserve"> 0</v>
      </c>
    </row>
    <row r="314" spans="6:7" x14ac:dyDescent="0.25">
      <c r="F314" s="21">
        <f t="shared" si="7"/>
        <v>0</v>
      </c>
      <c r="G314" s="8" t="str">
        <f t="shared" si="4"/>
        <v xml:space="preserve"> 0</v>
      </c>
    </row>
    <row r="315" spans="6:7" x14ac:dyDescent="0.25">
      <c r="F315" s="21">
        <f t="shared" si="7"/>
        <v>0</v>
      </c>
      <c r="G315" s="8" t="str">
        <f t="shared" si="4"/>
        <v xml:space="preserve"> 0</v>
      </c>
    </row>
    <row r="316" spans="6:7" x14ac:dyDescent="0.25">
      <c r="F316" s="21">
        <f t="shared" si="7"/>
        <v>0</v>
      </c>
      <c r="G316" s="8" t="str">
        <f t="shared" si="4"/>
        <v xml:space="preserve"> 0</v>
      </c>
    </row>
    <row r="317" spans="6:7" x14ac:dyDescent="0.25">
      <c r="F317" s="21">
        <f t="shared" si="7"/>
        <v>0</v>
      </c>
      <c r="G317" s="8" t="str">
        <f t="shared" si="4"/>
        <v xml:space="preserve"> 0</v>
      </c>
    </row>
    <row r="318" spans="6:7" x14ac:dyDescent="0.25">
      <c r="F318" s="21">
        <f t="shared" si="7"/>
        <v>0</v>
      </c>
      <c r="G318" s="8" t="str">
        <f t="shared" si="4"/>
        <v xml:space="preserve"> 0</v>
      </c>
    </row>
    <row r="319" spans="6:7" x14ac:dyDescent="0.25">
      <c r="F319" s="21">
        <f t="shared" si="7"/>
        <v>0</v>
      </c>
      <c r="G319" s="8" t="str">
        <f t="shared" si="4"/>
        <v xml:space="preserve"> 0</v>
      </c>
    </row>
    <row r="320" spans="6:7" x14ac:dyDescent="0.25">
      <c r="F320" s="21">
        <f t="shared" si="7"/>
        <v>0</v>
      </c>
      <c r="G320" s="8" t="str">
        <f t="shared" si="4"/>
        <v xml:space="preserve"> 0</v>
      </c>
    </row>
    <row r="321" spans="6:7" x14ac:dyDescent="0.25">
      <c r="F321" s="21">
        <f t="shared" si="7"/>
        <v>0</v>
      </c>
      <c r="G321" s="8" t="str">
        <f t="shared" si="4"/>
        <v xml:space="preserve"> 0</v>
      </c>
    </row>
    <row r="322" spans="6:7" x14ac:dyDescent="0.25">
      <c r="F322" s="21">
        <f t="shared" si="7"/>
        <v>0</v>
      </c>
      <c r="G322" s="8" t="str">
        <f t="shared" si="4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74" customWidth="1"/>
    <col min="2" max="2" width="8.42578125" style="174" bestFit="1" customWidth="1"/>
    <col min="3" max="3" width="12.5703125" style="174" bestFit="1" customWidth="1"/>
    <col min="4" max="4" width="18.5703125" style="153" bestFit="1" customWidth="1"/>
    <col min="5" max="5" width="9.85546875" style="174" bestFit="1" customWidth="1"/>
    <col min="6" max="6" width="9" style="174" bestFit="1" customWidth="1"/>
    <col min="7" max="7" width="8.85546875" style="174" bestFit="1" customWidth="1"/>
    <col min="8" max="8" width="14" style="174" bestFit="1" customWidth="1"/>
    <col min="9" max="9" width="21.140625" style="174" bestFit="1" customWidth="1"/>
    <col min="10" max="10" width="8.7109375" style="174" bestFit="1" customWidth="1"/>
    <col min="11" max="11" width="11.28515625" style="174" bestFit="1" customWidth="1"/>
    <col min="12" max="12" width="11" style="174" bestFit="1" customWidth="1"/>
    <col min="13" max="13" width="11.28515625" style="174" bestFit="1" customWidth="1"/>
    <col min="14" max="14" width="13.7109375" style="174" bestFit="1" customWidth="1"/>
    <col min="15" max="15" width="14.85546875" style="174" bestFit="1" customWidth="1"/>
    <col min="16" max="16" width="16.7109375" style="174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79" t="s">
        <v>165</v>
      </c>
      <c r="B1" s="179" t="s">
        <v>168</v>
      </c>
      <c r="C1" s="179" t="s">
        <v>161</v>
      </c>
      <c r="D1" s="159" t="s">
        <v>173</v>
      </c>
      <c r="E1" s="179" t="s">
        <v>162</v>
      </c>
      <c r="F1" s="179" t="s">
        <v>160</v>
      </c>
      <c r="G1" s="179" t="s">
        <v>158</v>
      </c>
      <c r="H1" s="179" t="s">
        <v>402</v>
      </c>
      <c r="I1" s="179" t="s">
        <v>171</v>
      </c>
      <c r="J1" s="179" t="s">
        <v>172</v>
      </c>
      <c r="K1" s="179" t="s">
        <v>403</v>
      </c>
      <c r="L1" s="179" t="s">
        <v>166</v>
      </c>
      <c r="M1" s="179" t="s">
        <v>164</v>
      </c>
      <c r="N1" s="179" t="s">
        <v>159</v>
      </c>
      <c r="O1" s="179" t="s">
        <v>169</v>
      </c>
      <c r="P1" s="179" t="s">
        <v>163</v>
      </c>
      <c r="Q1" s="179" t="s">
        <v>170</v>
      </c>
      <c r="R1" s="179" t="s">
        <v>167</v>
      </c>
    </row>
    <row r="2" spans="1:18" x14ac:dyDescent="0.25">
      <c r="A2" s="169">
        <v>30.9</v>
      </c>
      <c r="B2" s="169">
        <v>0.19</v>
      </c>
      <c r="C2" s="169">
        <v>25.29</v>
      </c>
      <c r="D2" s="8">
        <v>42729</v>
      </c>
      <c r="E2" s="169">
        <v>0.69</v>
      </c>
      <c r="F2" s="169" t="s">
        <v>661</v>
      </c>
      <c r="G2" s="169">
        <v>274.92</v>
      </c>
      <c r="H2" s="169"/>
      <c r="I2" s="169">
        <v>0</v>
      </c>
      <c r="J2" s="169">
        <v>0</v>
      </c>
      <c r="K2" s="169"/>
      <c r="L2" s="169">
        <v>1000.36</v>
      </c>
      <c r="M2" s="169" t="s">
        <v>662</v>
      </c>
      <c r="N2" s="169">
        <v>34.26</v>
      </c>
      <c r="O2" s="169">
        <v>1482649200</v>
      </c>
      <c r="P2" s="169">
        <v>1.1000000000000001</v>
      </c>
      <c r="Q2" s="169">
        <v>177</v>
      </c>
      <c r="R2" s="169">
        <v>3.8</v>
      </c>
    </row>
    <row r="3" spans="1:18" x14ac:dyDescent="0.25">
      <c r="A3" s="169">
        <v>29.62</v>
      </c>
      <c r="B3" s="169">
        <v>0.19</v>
      </c>
      <c r="C3" s="169">
        <v>23.48</v>
      </c>
      <c r="D3" s="8">
        <v>42729.041666666664</v>
      </c>
      <c r="E3" s="169">
        <v>0.7</v>
      </c>
      <c r="F3" s="169" t="s">
        <v>661</v>
      </c>
      <c r="G3" s="169">
        <v>278.77</v>
      </c>
      <c r="H3" s="169"/>
      <c r="I3" s="169">
        <v>0</v>
      </c>
      <c r="J3" s="169">
        <v>0</v>
      </c>
      <c r="K3" s="169"/>
      <c r="L3" s="169">
        <v>999.38</v>
      </c>
      <c r="M3" s="169" t="s">
        <v>662</v>
      </c>
      <c r="N3" s="169">
        <v>32.29</v>
      </c>
      <c r="O3" s="169">
        <v>1482652800</v>
      </c>
      <c r="P3" s="169">
        <v>1</v>
      </c>
      <c r="Q3" s="169">
        <v>170</v>
      </c>
      <c r="R3" s="169">
        <v>3.01</v>
      </c>
    </row>
    <row r="4" spans="1:18" x14ac:dyDescent="0.25">
      <c r="A4" s="169">
        <v>28.97</v>
      </c>
      <c r="B4" s="169">
        <v>0.22</v>
      </c>
      <c r="C4" s="169">
        <v>24.43</v>
      </c>
      <c r="D4" s="8">
        <v>42729.083333333336</v>
      </c>
      <c r="E4" s="169">
        <v>0.72</v>
      </c>
      <c r="F4" s="169" t="s">
        <v>661</v>
      </c>
      <c r="G4" s="169">
        <v>282.62</v>
      </c>
      <c r="H4" s="169"/>
      <c r="I4" s="169">
        <v>0</v>
      </c>
      <c r="J4" s="169">
        <v>0</v>
      </c>
      <c r="K4" s="169"/>
      <c r="L4" s="169">
        <v>998.44</v>
      </c>
      <c r="M4" s="169" t="s">
        <v>662</v>
      </c>
      <c r="N4" s="169">
        <v>32.270000000000003</v>
      </c>
      <c r="O4" s="169">
        <v>1482656400</v>
      </c>
      <c r="P4" s="169">
        <v>1.1000000000000001</v>
      </c>
      <c r="Q4" s="169">
        <v>177</v>
      </c>
      <c r="R4" s="169">
        <v>3.5</v>
      </c>
    </row>
    <row r="5" spans="1:18" x14ac:dyDescent="0.25">
      <c r="A5" s="169">
        <v>30.14</v>
      </c>
      <c r="B5" s="169">
        <v>0.32</v>
      </c>
      <c r="C5" s="169">
        <v>25.58</v>
      </c>
      <c r="D5" s="8">
        <v>42729.125</v>
      </c>
      <c r="E5" s="169">
        <v>0.74</v>
      </c>
      <c r="F5" s="169" t="s">
        <v>661</v>
      </c>
      <c r="G5" s="169">
        <v>287.07</v>
      </c>
      <c r="H5" s="169"/>
      <c r="I5" s="169">
        <v>0</v>
      </c>
      <c r="J5" s="169">
        <v>0</v>
      </c>
      <c r="K5" s="169"/>
      <c r="L5" s="169">
        <v>997.28</v>
      </c>
      <c r="M5" s="169" t="s">
        <v>662</v>
      </c>
      <c r="N5" s="169">
        <v>32.880000000000003</v>
      </c>
      <c r="O5" s="169">
        <v>1482660000</v>
      </c>
      <c r="P5" s="169">
        <v>1.1000000000000001</v>
      </c>
      <c r="Q5" s="169">
        <v>189</v>
      </c>
      <c r="R5" s="169">
        <v>3.13</v>
      </c>
    </row>
    <row r="6" spans="1:18" x14ac:dyDescent="0.25">
      <c r="A6" s="169">
        <v>32.47</v>
      </c>
      <c r="B6" s="169">
        <v>0.46</v>
      </c>
      <c r="C6" s="169">
        <v>25.46</v>
      </c>
      <c r="D6" s="8">
        <v>42729.166666666664</v>
      </c>
      <c r="E6" s="169">
        <v>0.75</v>
      </c>
      <c r="F6" s="169" t="s">
        <v>661</v>
      </c>
      <c r="G6" s="169">
        <v>291.99</v>
      </c>
      <c r="H6" s="169">
        <v>7.0000000000000001E-3</v>
      </c>
      <c r="I6" s="169">
        <v>8.9999999999999998E-4</v>
      </c>
      <c r="J6" s="169">
        <v>0.01</v>
      </c>
      <c r="K6" s="169" t="s">
        <v>404</v>
      </c>
      <c r="L6" s="169">
        <v>996.09</v>
      </c>
      <c r="M6" s="169" t="s">
        <v>662</v>
      </c>
      <c r="N6" s="169">
        <v>32.47</v>
      </c>
      <c r="O6" s="169">
        <v>1482663600</v>
      </c>
      <c r="P6" s="169">
        <v>1.1000000000000001</v>
      </c>
      <c r="Q6" s="169">
        <v>156</v>
      </c>
      <c r="R6" s="169">
        <v>2.0299999999999998</v>
      </c>
    </row>
    <row r="7" spans="1:18" x14ac:dyDescent="0.25">
      <c r="A7" s="169">
        <v>34.31</v>
      </c>
      <c r="B7" s="169">
        <v>0.53</v>
      </c>
      <c r="C7" s="169">
        <v>27.24</v>
      </c>
      <c r="D7" s="8">
        <v>42729.208333333336</v>
      </c>
      <c r="E7" s="169">
        <v>0.75</v>
      </c>
      <c r="F7" s="169" t="s">
        <v>661</v>
      </c>
      <c r="G7" s="169">
        <v>298.45</v>
      </c>
      <c r="H7" s="169">
        <v>1.2999999999999999E-2</v>
      </c>
      <c r="I7" s="169">
        <v>1.6999999999999999E-3</v>
      </c>
      <c r="J7" s="169">
        <v>0.04</v>
      </c>
      <c r="K7" s="169" t="s">
        <v>404</v>
      </c>
      <c r="L7" s="169">
        <v>995.14</v>
      </c>
      <c r="M7" s="169" t="s">
        <v>662</v>
      </c>
      <c r="N7" s="169">
        <v>34.31</v>
      </c>
      <c r="O7" s="169">
        <v>1482667200</v>
      </c>
      <c r="P7" s="169">
        <v>1.1000000000000001</v>
      </c>
      <c r="Q7" s="169">
        <v>193</v>
      </c>
      <c r="R7" s="169">
        <v>1.49</v>
      </c>
    </row>
    <row r="8" spans="1:18" x14ac:dyDescent="0.25">
      <c r="A8" s="169">
        <v>32.93</v>
      </c>
      <c r="B8" s="169">
        <v>0.57999999999999996</v>
      </c>
      <c r="C8" s="169">
        <v>26.45</v>
      </c>
      <c r="D8" s="8">
        <v>42729.25</v>
      </c>
      <c r="E8" s="169">
        <v>0.77</v>
      </c>
      <c r="F8" s="169" t="s">
        <v>404</v>
      </c>
      <c r="G8" s="169">
        <v>308</v>
      </c>
      <c r="H8" s="169">
        <v>2.4E-2</v>
      </c>
      <c r="I8" s="169">
        <v>3.2000000000000002E-3</v>
      </c>
      <c r="J8" s="169">
        <v>0.1</v>
      </c>
      <c r="K8" s="169" t="s">
        <v>404</v>
      </c>
      <c r="L8" s="169">
        <v>994.65</v>
      </c>
      <c r="M8" s="169" t="s">
        <v>405</v>
      </c>
      <c r="N8" s="169">
        <v>32.93</v>
      </c>
      <c r="O8" s="169">
        <v>1482670800</v>
      </c>
      <c r="P8" s="169">
        <v>1.1000000000000001</v>
      </c>
      <c r="Q8" s="169">
        <v>162</v>
      </c>
      <c r="R8" s="169">
        <v>0.81</v>
      </c>
    </row>
    <row r="9" spans="1:18" x14ac:dyDescent="0.25">
      <c r="A9" s="169">
        <v>31.66</v>
      </c>
      <c r="B9" s="169">
        <v>0.63</v>
      </c>
      <c r="C9" s="169">
        <v>25.55</v>
      </c>
      <c r="D9" s="8">
        <v>42729.291666666664</v>
      </c>
      <c r="E9" s="169">
        <v>0.78</v>
      </c>
      <c r="F9" s="169" t="s">
        <v>404</v>
      </c>
      <c r="G9" s="169">
        <v>319.08999999999997</v>
      </c>
      <c r="H9" s="169">
        <v>0.04</v>
      </c>
      <c r="I9" s="169">
        <v>5.1000000000000004E-3</v>
      </c>
      <c r="J9" s="169">
        <v>0.2</v>
      </c>
      <c r="K9" s="169" t="s">
        <v>404</v>
      </c>
      <c r="L9" s="169">
        <v>994.38</v>
      </c>
      <c r="M9" s="169" t="s">
        <v>663</v>
      </c>
      <c r="N9" s="169">
        <v>31.66</v>
      </c>
      <c r="O9" s="169">
        <v>1482674400</v>
      </c>
      <c r="P9" s="169">
        <v>1.1000000000000001</v>
      </c>
      <c r="Q9" s="169">
        <v>281</v>
      </c>
      <c r="R9" s="169">
        <v>1.69</v>
      </c>
    </row>
    <row r="10" spans="1:18" x14ac:dyDescent="0.25">
      <c r="A10" s="169">
        <v>30.57</v>
      </c>
      <c r="B10" s="169">
        <v>0.63</v>
      </c>
      <c r="C10" s="169">
        <v>24.96</v>
      </c>
      <c r="D10" s="8">
        <v>42729.333333333336</v>
      </c>
      <c r="E10" s="169">
        <v>0.79</v>
      </c>
      <c r="F10" s="169" t="s">
        <v>404</v>
      </c>
      <c r="G10" s="169">
        <v>328.13</v>
      </c>
      <c r="H10" s="169">
        <v>5.8000000000000003E-2</v>
      </c>
      <c r="I10" s="169">
        <v>6.7999999999999996E-3</v>
      </c>
      <c r="J10" s="169">
        <v>0.3</v>
      </c>
      <c r="K10" s="169" t="s">
        <v>404</v>
      </c>
      <c r="L10" s="169">
        <v>994.07</v>
      </c>
      <c r="M10" s="169" t="s">
        <v>663</v>
      </c>
      <c r="N10" s="169">
        <v>30.57</v>
      </c>
      <c r="O10" s="169">
        <v>1482678000</v>
      </c>
      <c r="P10" s="169">
        <v>1.1000000000000001</v>
      </c>
      <c r="Q10" s="169">
        <v>300</v>
      </c>
      <c r="R10" s="169">
        <v>2.6</v>
      </c>
    </row>
    <row r="11" spans="1:18" x14ac:dyDescent="0.25">
      <c r="A11" s="169">
        <v>33.450000000000003</v>
      </c>
      <c r="B11" s="169">
        <v>0.64</v>
      </c>
      <c r="C11" s="169">
        <v>27.03</v>
      </c>
      <c r="D11" s="8">
        <v>42729.375</v>
      </c>
      <c r="E11" s="169">
        <v>0.77</v>
      </c>
      <c r="F11" s="169" t="s">
        <v>404</v>
      </c>
      <c r="G11" s="169">
        <v>333.57</v>
      </c>
      <c r="H11" s="169">
        <v>6.0999999999999999E-2</v>
      </c>
      <c r="I11" s="169">
        <v>8.0000000000000002E-3</v>
      </c>
      <c r="J11" s="169">
        <v>0.37</v>
      </c>
      <c r="K11" s="169" t="s">
        <v>404</v>
      </c>
      <c r="L11" s="169">
        <v>993.55</v>
      </c>
      <c r="M11" s="169" t="s">
        <v>663</v>
      </c>
      <c r="N11" s="169">
        <v>33.450000000000003</v>
      </c>
      <c r="O11" s="169">
        <v>1482681600</v>
      </c>
      <c r="P11" s="169">
        <v>1.1000000000000001</v>
      </c>
      <c r="Q11" s="169">
        <v>308</v>
      </c>
      <c r="R11" s="169">
        <v>2.8</v>
      </c>
    </row>
    <row r="12" spans="1:18" x14ac:dyDescent="0.25">
      <c r="A12" s="169">
        <v>31.59</v>
      </c>
      <c r="B12" s="169">
        <v>0.59</v>
      </c>
      <c r="C12" s="169">
        <v>26.94</v>
      </c>
      <c r="D12" s="8">
        <v>42729.416666666664</v>
      </c>
      <c r="E12" s="169">
        <v>0.71</v>
      </c>
      <c r="F12" s="169" t="s">
        <v>664</v>
      </c>
      <c r="G12" s="169">
        <v>336.96</v>
      </c>
      <c r="H12" s="169"/>
      <c r="I12" s="169">
        <v>8.8999999999999999E-3</v>
      </c>
      <c r="J12" s="169">
        <v>0.43</v>
      </c>
      <c r="K12" s="169" t="s">
        <v>664</v>
      </c>
      <c r="L12" s="169">
        <v>993.13</v>
      </c>
      <c r="M12" s="169" t="s">
        <v>665</v>
      </c>
      <c r="N12" s="169">
        <v>35.39</v>
      </c>
      <c r="O12" s="169">
        <v>1482685200</v>
      </c>
      <c r="P12" s="169">
        <v>1.1000000000000001</v>
      </c>
      <c r="Q12" s="169">
        <v>299</v>
      </c>
      <c r="R12" s="169">
        <v>4.42</v>
      </c>
    </row>
    <row r="13" spans="1:18" x14ac:dyDescent="0.25">
      <c r="A13" s="169">
        <v>31.26</v>
      </c>
      <c r="B13" s="169">
        <v>0.59</v>
      </c>
      <c r="C13" s="169">
        <v>25.38</v>
      </c>
      <c r="D13" s="8">
        <v>42729.458333333336</v>
      </c>
      <c r="E13" s="169">
        <v>0.61</v>
      </c>
      <c r="F13" s="169" t="s">
        <v>664</v>
      </c>
      <c r="G13" s="169">
        <v>339.37</v>
      </c>
      <c r="H13" s="169"/>
      <c r="I13" s="169">
        <v>8.6999999999999994E-3</v>
      </c>
      <c r="J13" s="169">
        <v>0.41</v>
      </c>
      <c r="K13" s="169" t="s">
        <v>664</v>
      </c>
      <c r="L13" s="169">
        <v>993.25</v>
      </c>
      <c r="M13" s="169" t="s">
        <v>665</v>
      </c>
      <c r="N13" s="169">
        <v>37.39</v>
      </c>
      <c r="O13" s="169">
        <v>1482688800</v>
      </c>
      <c r="P13" s="169">
        <v>1.1000000000000001</v>
      </c>
      <c r="Q13" s="169">
        <v>300</v>
      </c>
      <c r="R13" s="169">
        <v>8.26</v>
      </c>
    </row>
    <row r="14" spans="1:18" x14ac:dyDescent="0.25">
      <c r="A14" s="169">
        <v>33.159999999999997</v>
      </c>
      <c r="B14" s="169">
        <v>0.61</v>
      </c>
      <c r="C14" s="169">
        <v>26.63</v>
      </c>
      <c r="D14" s="8">
        <v>42729.5</v>
      </c>
      <c r="E14" s="169">
        <v>0.57999999999999996</v>
      </c>
      <c r="F14" s="169" t="s">
        <v>664</v>
      </c>
      <c r="G14" s="169">
        <v>341.01</v>
      </c>
      <c r="H14" s="169"/>
      <c r="I14" s="169">
        <v>6.6E-3</v>
      </c>
      <c r="J14" s="169">
        <v>0.28999999999999998</v>
      </c>
      <c r="K14" s="169" t="s">
        <v>664</v>
      </c>
      <c r="L14" s="169">
        <v>993.9</v>
      </c>
      <c r="M14" s="169" t="s">
        <v>665</v>
      </c>
      <c r="N14" s="169">
        <v>40.39</v>
      </c>
      <c r="O14" s="169">
        <v>1482692400</v>
      </c>
      <c r="P14" s="169">
        <v>1.1000000000000001</v>
      </c>
      <c r="Q14" s="169">
        <v>288</v>
      </c>
      <c r="R14" s="169">
        <v>12.48</v>
      </c>
    </row>
    <row r="15" spans="1:18" x14ac:dyDescent="0.25">
      <c r="A15" s="169">
        <v>31.53</v>
      </c>
      <c r="B15" s="169">
        <v>0.62</v>
      </c>
      <c r="C15" s="169">
        <v>17.04</v>
      </c>
      <c r="D15" s="8">
        <v>42729.541666666664</v>
      </c>
      <c r="E15" s="169">
        <v>0.4</v>
      </c>
      <c r="F15" s="169" t="s">
        <v>661</v>
      </c>
      <c r="G15" s="169">
        <v>341.67</v>
      </c>
      <c r="H15" s="169"/>
      <c r="I15" s="169">
        <v>3.5000000000000001E-3</v>
      </c>
      <c r="J15" s="169">
        <v>0.12</v>
      </c>
      <c r="K15" s="169" t="s">
        <v>664</v>
      </c>
      <c r="L15" s="169">
        <v>994.58</v>
      </c>
      <c r="M15" s="169" t="s">
        <v>662</v>
      </c>
      <c r="N15" s="169">
        <v>39.46</v>
      </c>
      <c r="O15" s="169">
        <v>1482696000</v>
      </c>
      <c r="P15" s="169">
        <v>1.1000000000000001</v>
      </c>
      <c r="Q15" s="169">
        <v>285</v>
      </c>
      <c r="R15" s="169">
        <v>13.82</v>
      </c>
    </row>
    <row r="16" spans="1:18" x14ac:dyDescent="0.25">
      <c r="A16" s="169">
        <v>31.67</v>
      </c>
      <c r="B16" s="169">
        <v>0.47</v>
      </c>
      <c r="C16" s="169">
        <v>14.57</v>
      </c>
      <c r="D16" s="8">
        <v>42729.583333333336</v>
      </c>
      <c r="E16" s="169">
        <v>0.34</v>
      </c>
      <c r="F16" s="169" t="s">
        <v>320</v>
      </c>
      <c r="G16" s="169">
        <v>341.83</v>
      </c>
      <c r="H16" s="169"/>
      <c r="I16" s="169">
        <v>1.1999999999999999E-3</v>
      </c>
      <c r="J16" s="169">
        <v>0.02</v>
      </c>
      <c r="K16" s="169" t="s">
        <v>664</v>
      </c>
      <c r="L16" s="169">
        <v>995.89</v>
      </c>
      <c r="M16" s="169" t="s">
        <v>246</v>
      </c>
      <c r="N16" s="169">
        <v>40.6</v>
      </c>
      <c r="O16" s="169">
        <v>1482699600</v>
      </c>
      <c r="P16" s="169">
        <v>6.21</v>
      </c>
      <c r="Q16" s="169">
        <v>277</v>
      </c>
      <c r="R16" s="169">
        <v>18.39</v>
      </c>
    </row>
    <row r="17" spans="1:18" x14ac:dyDescent="0.25">
      <c r="A17" s="169">
        <v>32.32</v>
      </c>
      <c r="B17" s="169">
        <v>0.51</v>
      </c>
      <c r="C17" s="169">
        <v>14.65</v>
      </c>
      <c r="D17" s="8">
        <v>42729.625</v>
      </c>
      <c r="E17" s="169">
        <v>0.34</v>
      </c>
      <c r="F17" s="169" t="s">
        <v>320</v>
      </c>
      <c r="G17" s="169">
        <v>342.25</v>
      </c>
      <c r="H17" s="169"/>
      <c r="I17" s="169">
        <v>0</v>
      </c>
      <c r="J17" s="169">
        <v>0</v>
      </c>
      <c r="K17" s="169"/>
      <c r="L17" s="169">
        <v>997.76</v>
      </c>
      <c r="M17" s="169" t="s">
        <v>246</v>
      </c>
      <c r="N17" s="169">
        <v>40.549999999999997</v>
      </c>
      <c r="O17" s="169">
        <v>1482703200</v>
      </c>
      <c r="P17" s="169">
        <v>6.34</v>
      </c>
      <c r="Q17" s="169">
        <v>280</v>
      </c>
      <c r="R17" s="169">
        <v>15.77</v>
      </c>
    </row>
    <row r="18" spans="1:18" x14ac:dyDescent="0.25">
      <c r="A18" s="169">
        <v>29.71</v>
      </c>
      <c r="B18" s="169">
        <v>0.53</v>
      </c>
      <c r="C18" s="169">
        <v>13.28</v>
      </c>
      <c r="D18" s="8">
        <v>42729.666666666664</v>
      </c>
      <c r="E18" s="169">
        <v>0.36</v>
      </c>
      <c r="F18" s="169" t="s">
        <v>320</v>
      </c>
      <c r="G18" s="169">
        <v>342.16</v>
      </c>
      <c r="H18" s="169"/>
      <c r="I18" s="169">
        <v>0</v>
      </c>
      <c r="J18" s="169">
        <v>0</v>
      </c>
      <c r="K18" s="169"/>
      <c r="L18" s="169">
        <v>999.72</v>
      </c>
      <c r="M18" s="169" t="s">
        <v>246</v>
      </c>
      <c r="N18" s="169">
        <v>38.11</v>
      </c>
      <c r="O18" s="169">
        <v>1482706800</v>
      </c>
      <c r="P18" s="169">
        <v>8.5299999999999994</v>
      </c>
      <c r="Q18" s="169">
        <v>281</v>
      </c>
      <c r="R18" s="169">
        <v>14.12</v>
      </c>
    </row>
    <row r="19" spans="1:18" x14ac:dyDescent="0.25">
      <c r="A19" s="169">
        <v>29.9</v>
      </c>
      <c r="B19" s="169">
        <v>0.56000000000000005</v>
      </c>
      <c r="C19" s="169">
        <v>14.09</v>
      </c>
      <c r="D19" s="8">
        <v>42729.708333333336</v>
      </c>
      <c r="E19" s="169">
        <v>0.41</v>
      </c>
      <c r="F19" s="169" t="s">
        <v>241</v>
      </c>
      <c r="G19" s="169">
        <v>339.68</v>
      </c>
      <c r="H19" s="169"/>
      <c r="I19" s="169">
        <v>0</v>
      </c>
      <c r="J19" s="169">
        <v>0</v>
      </c>
      <c r="K19" s="169"/>
      <c r="L19" s="169">
        <v>1001.74</v>
      </c>
      <c r="M19" s="169" t="s">
        <v>246</v>
      </c>
      <c r="N19" s="169">
        <v>35.6</v>
      </c>
      <c r="O19" s="169">
        <v>1482710400</v>
      </c>
      <c r="P19" s="169">
        <v>8.77</v>
      </c>
      <c r="Q19" s="169">
        <v>295</v>
      </c>
      <c r="R19" s="169">
        <v>6.91</v>
      </c>
    </row>
    <row r="20" spans="1:18" x14ac:dyDescent="0.25">
      <c r="A20" s="169">
        <v>32.26</v>
      </c>
      <c r="B20" s="169">
        <v>0.56000000000000005</v>
      </c>
      <c r="C20" s="169">
        <v>14.36</v>
      </c>
      <c r="D20" s="8">
        <v>42729.75</v>
      </c>
      <c r="E20" s="169">
        <v>0.42</v>
      </c>
      <c r="F20" s="169" t="s">
        <v>241</v>
      </c>
      <c r="G20" s="169">
        <v>333</v>
      </c>
      <c r="H20" s="169"/>
      <c r="I20" s="169">
        <v>0</v>
      </c>
      <c r="J20" s="169">
        <v>0</v>
      </c>
      <c r="K20" s="169"/>
      <c r="L20" s="169">
        <v>1003.01</v>
      </c>
      <c r="M20" s="169" t="s">
        <v>246</v>
      </c>
      <c r="N20" s="169">
        <v>35.24</v>
      </c>
      <c r="O20" s="169">
        <v>1482714000</v>
      </c>
      <c r="P20" s="169">
        <v>9.11</v>
      </c>
      <c r="Q20" s="169">
        <v>296</v>
      </c>
      <c r="R20" s="169">
        <v>3.59</v>
      </c>
    </row>
    <row r="21" spans="1:18" x14ac:dyDescent="0.25">
      <c r="A21" s="169">
        <v>34.130000000000003</v>
      </c>
      <c r="B21" s="169">
        <v>0.36</v>
      </c>
      <c r="C21" s="169">
        <v>14.79</v>
      </c>
      <c r="D21" s="8">
        <v>42729.791666666664</v>
      </c>
      <c r="E21" s="169">
        <v>0.45</v>
      </c>
      <c r="F21" s="169" t="s">
        <v>241</v>
      </c>
      <c r="G21" s="169">
        <v>323.93</v>
      </c>
      <c r="H21" s="169"/>
      <c r="I21" s="169">
        <v>0</v>
      </c>
      <c r="J21" s="169">
        <v>0</v>
      </c>
      <c r="K21" s="169"/>
      <c r="L21" s="169">
        <v>1004.46</v>
      </c>
      <c r="M21" s="169" t="s">
        <v>246</v>
      </c>
      <c r="N21" s="169">
        <v>34.130000000000003</v>
      </c>
      <c r="O21" s="169">
        <v>1482717600</v>
      </c>
      <c r="P21" s="169">
        <v>9.5</v>
      </c>
      <c r="Q21" s="169">
        <v>304</v>
      </c>
      <c r="R21" s="169">
        <v>2.91</v>
      </c>
    </row>
    <row r="22" spans="1:18" x14ac:dyDescent="0.25">
      <c r="A22" s="169">
        <v>28.61</v>
      </c>
      <c r="B22" s="169">
        <v>0.24</v>
      </c>
      <c r="C22" s="169">
        <v>13.52</v>
      </c>
      <c r="D22" s="8">
        <v>42729.833333333336</v>
      </c>
      <c r="E22" s="169">
        <v>0.43</v>
      </c>
      <c r="F22" s="169" t="s">
        <v>407</v>
      </c>
      <c r="G22" s="169">
        <v>316.02</v>
      </c>
      <c r="H22" s="169"/>
      <c r="I22" s="169">
        <v>0</v>
      </c>
      <c r="J22" s="169">
        <v>0</v>
      </c>
      <c r="K22" s="169"/>
      <c r="L22" s="169">
        <v>1005.9</v>
      </c>
      <c r="M22" s="169" t="s">
        <v>406</v>
      </c>
      <c r="N22" s="169">
        <v>33.49</v>
      </c>
      <c r="O22" s="169">
        <v>1482721200</v>
      </c>
      <c r="P22" s="169">
        <v>9.17</v>
      </c>
      <c r="Q22" s="169">
        <v>286</v>
      </c>
      <c r="R22" s="169">
        <v>5.26</v>
      </c>
    </row>
    <row r="23" spans="1:18" x14ac:dyDescent="0.25">
      <c r="A23" s="169">
        <v>28.41</v>
      </c>
      <c r="B23" s="169">
        <v>0.23</v>
      </c>
      <c r="C23" s="169">
        <v>12.35</v>
      </c>
      <c r="D23" s="8">
        <v>42729.875</v>
      </c>
      <c r="E23" s="169">
        <v>0.41</v>
      </c>
      <c r="F23" s="169" t="s">
        <v>407</v>
      </c>
      <c r="G23" s="169">
        <v>310.33</v>
      </c>
      <c r="H23" s="169"/>
      <c r="I23" s="169">
        <v>0</v>
      </c>
      <c r="J23" s="169">
        <v>0</v>
      </c>
      <c r="K23" s="169"/>
      <c r="L23" s="169">
        <v>1007.35</v>
      </c>
      <c r="M23" s="169" t="s">
        <v>406</v>
      </c>
      <c r="N23" s="169">
        <v>33.549999999999997</v>
      </c>
      <c r="O23" s="169">
        <v>1482724800</v>
      </c>
      <c r="P23" s="169">
        <v>8.86</v>
      </c>
      <c r="Q23" s="169">
        <v>281</v>
      </c>
      <c r="R23" s="169">
        <v>5.57</v>
      </c>
    </row>
    <row r="24" spans="1:18" x14ac:dyDescent="0.25">
      <c r="A24" s="169">
        <v>27.65</v>
      </c>
      <c r="B24" s="169">
        <v>0.24</v>
      </c>
      <c r="C24" s="169">
        <v>11.36</v>
      </c>
      <c r="D24" s="8">
        <v>42729.916666666664</v>
      </c>
      <c r="E24" s="169">
        <v>0.39</v>
      </c>
      <c r="F24" s="169" t="s">
        <v>407</v>
      </c>
      <c r="G24" s="169">
        <v>305.81</v>
      </c>
      <c r="H24" s="169"/>
      <c r="I24" s="169">
        <v>0</v>
      </c>
      <c r="J24" s="169">
        <v>0</v>
      </c>
      <c r="K24" s="169"/>
      <c r="L24" s="169">
        <v>1008.41</v>
      </c>
      <c r="M24" s="169" t="s">
        <v>406</v>
      </c>
      <c r="N24" s="169">
        <v>33.64</v>
      </c>
      <c r="O24" s="169">
        <v>1482728400</v>
      </c>
      <c r="P24" s="169">
        <v>8.94</v>
      </c>
      <c r="Q24" s="169">
        <v>274</v>
      </c>
      <c r="R24" s="169">
        <v>6.74</v>
      </c>
    </row>
    <row r="25" spans="1:18" x14ac:dyDescent="0.25">
      <c r="A25" s="169">
        <v>28.12</v>
      </c>
      <c r="B25" s="169">
        <v>0.24</v>
      </c>
      <c r="C25" s="169">
        <v>10.85</v>
      </c>
      <c r="D25" s="8">
        <v>42729.958333333336</v>
      </c>
      <c r="E25" s="169">
        <v>0.39</v>
      </c>
      <c r="F25" s="169" t="s">
        <v>407</v>
      </c>
      <c r="G25" s="169">
        <v>302.89999999999998</v>
      </c>
      <c r="H25" s="169"/>
      <c r="I25" s="169">
        <v>0</v>
      </c>
      <c r="J25" s="169">
        <v>0</v>
      </c>
      <c r="K25" s="169"/>
      <c r="L25" s="169">
        <v>1008.71</v>
      </c>
      <c r="M25" s="169" t="s">
        <v>406</v>
      </c>
      <c r="N25" s="169">
        <v>33.14</v>
      </c>
      <c r="O25" s="169">
        <v>1482732000</v>
      </c>
      <c r="P25" s="169">
        <v>9.18</v>
      </c>
      <c r="Q25" s="169">
        <v>291</v>
      </c>
      <c r="R25" s="169">
        <v>5.35</v>
      </c>
    </row>
    <row r="26" spans="1:18" x14ac:dyDescent="0.25">
      <c r="A26" s="169">
        <v>26.15</v>
      </c>
      <c r="B26" s="169">
        <v>0.28999999999999998</v>
      </c>
      <c r="C26" s="169">
        <v>9.93</v>
      </c>
      <c r="D26" s="8">
        <v>42730</v>
      </c>
      <c r="E26" s="169">
        <v>0.4</v>
      </c>
      <c r="F26" s="169" t="s">
        <v>241</v>
      </c>
      <c r="G26" s="169">
        <v>303.33999999999997</v>
      </c>
      <c r="H26" s="169"/>
      <c r="I26" s="169">
        <v>0</v>
      </c>
      <c r="J26" s="169">
        <v>0</v>
      </c>
      <c r="K26" s="169"/>
      <c r="L26" s="169">
        <v>1010.72</v>
      </c>
      <c r="M26" s="169" t="s">
        <v>246</v>
      </c>
      <c r="N26" s="169">
        <v>31.57</v>
      </c>
      <c r="O26" s="169">
        <v>1482735600</v>
      </c>
      <c r="P26" s="169">
        <v>9.32</v>
      </c>
      <c r="Q26" s="169">
        <v>272</v>
      </c>
      <c r="R26" s="169">
        <v>5.48</v>
      </c>
    </row>
    <row r="27" spans="1:18" x14ac:dyDescent="0.25">
      <c r="A27" s="169">
        <v>25.32</v>
      </c>
      <c r="B27" s="169">
        <v>0.13</v>
      </c>
      <c r="C27" s="169">
        <v>9.81</v>
      </c>
      <c r="D27" s="8">
        <v>42730.041666666664</v>
      </c>
      <c r="E27" s="169">
        <v>0.41</v>
      </c>
      <c r="F27" s="169" t="s">
        <v>407</v>
      </c>
      <c r="G27" s="169">
        <v>303.77999999999997</v>
      </c>
      <c r="H27" s="169"/>
      <c r="I27" s="169">
        <v>0</v>
      </c>
      <c r="J27" s="169">
        <v>0</v>
      </c>
      <c r="K27" s="169"/>
      <c r="L27" s="169">
        <v>1012.31</v>
      </c>
      <c r="M27" s="169" t="s">
        <v>406</v>
      </c>
      <c r="N27" s="169">
        <v>30.42</v>
      </c>
      <c r="O27" s="169">
        <v>1482739200</v>
      </c>
      <c r="P27" s="169">
        <v>9.24</v>
      </c>
      <c r="Q27" s="169">
        <v>295</v>
      </c>
      <c r="R27" s="169">
        <v>4.9000000000000004</v>
      </c>
    </row>
    <row r="28" spans="1:18" x14ac:dyDescent="0.25">
      <c r="A28" s="169">
        <v>24.39</v>
      </c>
      <c r="B28" s="169">
        <v>0.13</v>
      </c>
      <c r="C28" s="169">
        <v>8.8000000000000007</v>
      </c>
      <c r="D28" s="8">
        <v>42730.083333333336</v>
      </c>
      <c r="E28" s="169">
        <v>0.41</v>
      </c>
      <c r="F28" s="169" t="s">
        <v>407</v>
      </c>
      <c r="G28" s="169">
        <v>304.22000000000003</v>
      </c>
      <c r="H28" s="169"/>
      <c r="I28" s="169">
        <v>0</v>
      </c>
      <c r="J28" s="169">
        <v>0</v>
      </c>
      <c r="K28" s="169"/>
      <c r="L28" s="169">
        <v>1013.76</v>
      </c>
      <c r="M28" s="169" t="s">
        <v>406</v>
      </c>
      <c r="N28" s="169">
        <v>29.38</v>
      </c>
      <c r="O28" s="169">
        <v>1482742800</v>
      </c>
      <c r="P28" s="169">
        <v>8.18</v>
      </c>
      <c r="Q28" s="169">
        <v>294</v>
      </c>
      <c r="R28" s="169">
        <v>4.5999999999999996</v>
      </c>
    </row>
    <row r="29" spans="1:18" x14ac:dyDescent="0.25">
      <c r="A29" s="169">
        <v>22.04</v>
      </c>
      <c r="B29" s="169">
        <v>0.12</v>
      </c>
      <c r="C29" s="169">
        <v>9.66</v>
      </c>
      <c r="D29" s="8">
        <v>42730.125</v>
      </c>
      <c r="E29" s="169">
        <v>0.46</v>
      </c>
      <c r="F29" s="169" t="s">
        <v>407</v>
      </c>
      <c r="G29" s="169">
        <v>305.22000000000003</v>
      </c>
      <c r="H29" s="169"/>
      <c r="I29" s="169">
        <v>0</v>
      </c>
      <c r="J29" s="169">
        <v>0</v>
      </c>
      <c r="K29" s="169"/>
      <c r="L29" s="169">
        <v>1015.21</v>
      </c>
      <c r="M29" s="169" t="s">
        <v>406</v>
      </c>
      <c r="N29" s="169">
        <v>27.68</v>
      </c>
      <c r="O29" s="169">
        <v>1482746400</v>
      </c>
      <c r="P29" s="169">
        <v>8.82</v>
      </c>
      <c r="Q29" s="169">
        <v>284</v>
      </c>
      <c r="R29" s="169">
        <v>4.96</v>
      </c>
    </row>
    <row r="30" spans="1:18" x14ac:dyDescent="0.25">
      <c r="A30" s="169"/>
      <c r="B30" s="169"/>
      <c r="C30" s="169"/>
      <c r="D30" s="8"/>
      <c r="E30" s="169"/>
      <c r="F30" s="169"/>
      <c r="G30" s="169"/>
      <c r="H30" s="169"/>
      <c r="I30" s="169"/>
      <c r="J30" s="169"/>
      <c r="K30" s="169"/>
      <c r="L30" s="169"/>
      <c r="M30" s="169"/>
      <c r="N30" s="169"/>
      <c r="O30" s="169"/>
      <c r="P30" s="169"/>
    </row>
    <row r="31" spans="1:18" x14ac:dyDescent="0.25">
      <c r="A31" s="174" t="s">
        <v>202</v>
      </c>
    </row>
    <row r="33" spans="1:1" x14ac:dyDescent="0.25">
      <c r="A33" s="174" t="s">
        <v>186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0"/>
  <sheetViews>
    <sheetView workbookViewId="0">
      <selection activeCell="C18" sqref="C18:C25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4" bestFit="1" customWidth="1"/>
    <col min="16" max="16" width="9.140625" style="164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42729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4">
        <f t="shared" ref="M3:M14" si="0">AVERAGE(K3:L3)</f>
        <v>2.7201</v>
      </c>
      <c r="O3" t="s">
        <v>103</v>
      </c>
      <c r="P3" s="164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4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4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4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4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4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4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4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4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4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4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4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203</v>
      </c>
      <c r="J17" s="33"/>
      <c r="K17" s="34"/>
      <c r="L17" s="34"/>
    </row>
    <row r="18" spans="3:13" x14ac:dyDescent="0.25">
      <c r="C18" t="s">
        <v>772</v>
      </c>
      <c r="J18" s="33" t="s">
        <v>85</v>
      </c>
      <c r="K18" s="34"/>
      <c r="L18" s="34"/>
      <c r="M18" s="164" t="str">
        <f>"""C:\Program Files (x86)\AstroGrep\AstroGrep.exe"""</f>
        <v>"C:\Program Files (x86)\AstroGrep\AstroGrep.exe"</v>
      </c>
    </row>
    <row r="19" spans="3:13" x14ac:dyDescent="0.25">
      <c r="C19" t="s">
        <v>773</v>
      </c>
      <c r="J19" s="33" t="s">
        <v>86</v>
      </c>
      <c r="K19" s="34"/>
      <c r="L19" s="34"/>
      <c r="M19" s="164" t="s">
        <v>112</v>
      </c>
    </row>
    <row r="20" spans="3:13" x14ac:dyDescent="0.25">
      <c r="C20" t="s">
        <v>774</v>
      </c>
      <c r="J20" t="s">
        <v>87</v>
      </c>
      <c r="M20" s="164" t="s">
        <v>245</v>
      </c>
    </row>
    <row r="21" spans="3:13" x14ac:dyDescent="0.25">
      <c r="C21" t="s">
        <v>775</v>
      </c>
      <c r="J21" s="21" t="s">
        <v>90</v>
      </c>
      <c r="K21" s="21" t="s">
        <v>91</v>
      </c>
      <c r="M21" s="164" t="s">
        <v>182</v>
      </c>
    </row>
    <row r="22" spans="3:13" x14ac:dyDescent="0.25">
      <c r="C22" t="s">
        <v>776</v>
      </c>
      <c r="J22" s="21" t="s">
        <v>92</v>
      </c>
      <c r="K22" s="21" t="s">
        <v>93</v>
      </c>
      <c r="M22" s="164" t="s">
        <v>111</v>
      </c>
    </row>
    <row r="23" spans="3:13" x14ac:dyDescent="0.25">
      <c r="C23" t="s">
        <v>777</v>
      </c>
      <c r="J23" s="29" t="s">
        <v>95</v>
      </c>
      <c r="K23" s="21"/>
      <c r="M23" s="164">
        <v>-7</v>
      </c>
    </row>
    <row r="24" spans="3:13" x14ac:dyDescent="0.25">
      <c r="C24" t="s">
        <v>778</v>
      </c>
      <c r="J24" s="21" t="s">
        <v>108</v>
      </c>
      <c r="K24" s="21"/>
      <c r="M24" s="164" t="s">
        <v>110</v>
      </c>
    </row>
    <row r="25" spans="3:13" x14ac:dyDescent="0.25">
      <c r="C25" t="s">
        <v>779</v>
      </c>
      <c r="J25" t="s">
        <v>151</v>
      </c>
      <c r="M25" s="164" t="b">
        <v>1</v>
      </c>
    </row>
    <row r="26" spans="3:13" x14ac:dyDescent="0.25">
      <c r="J26" t="s">
        <v>152</v>
      </c>
      <c r="M26" s="164" t="str">
        <f>"C:\Users\stu\Documents\GitHub\eaglep3-reporting\EC\"&amp;TEXT(A2,"yyyy-mm-dd")&amp;"-refined-times.txt"</f>
        <v>C:\Users\stu\Documents\GitHub\eaglep3-reporting\EC\2016-12-25-refined-times.txt</v>
      </c>
    </row>
    <row r="27" spans="3:13" x14ac:dyDescent="0.25">
      <c r="J27" t="s">
        <v>187</v>
      </c>
      <c r="M27" s="164" t="str">
        <f>"C:\Users\stu\Documents\GitHub\eaglep3-reporting\EC\"&amp;TEXT(A2,"YYYY-MM-DD")&amp;"-Enforcements.txt"</f>
        <v>C:\Users\stu\Documents\GitHub\eaglep3-reporting\EC\2016-12-25-Enforcements.txt</v>
      </c>
    </row>
    <row r="28" spans="3:13" x14ac:dyDescent="0.25">
      <c r="J28" t="s">
        <v>188</v>
      </c>
      <c r="M28" s="164" t="str">
        <f>"C:\Users\stu\Documents\GitHub\eaglep3-reporting\EC\"&amp;TEXT(A2,"YYYY-MM-DD")&amp;"-Runs-refined.txt"</f>
        <v>C:\Users\stu\Documents\GitHub\eaglep3-reporting\EC\2016-12-25-Runs-refined.txt</v>
      </c>
    </row>
    <row r="29" spans="3:13" x14ac:dyDescent="0.25">
      <c r="J29" t="s">
        <v>189</v>
      </c>
      <c r="M29" s="164" t="str">
        <f>"C:\Users\stu\Documents\GitHub\eaglep3-reporting\EC\"&amp;TEXT(A2,"YYYY-MM-DD")&amp;"-Trips.txt"</f>
        <v>C:\Users\stu\Documents\GitHub\eaglep3-reporting\EC\2016-12-25-Trips.txt</v>
      </c>
    </row>
    <row r="30" spans="3:13" x14ac:dyDescent="0.25">
      <c r="J30" t="s">
        <v>190</v>
      </c>
      <c r="M30" s="164" t="str">
        <f>"C:\Users\stu\Documents\GitHub\eaglep3-reporting\EC\"&amp;TEXT(A2,"YYYY-MM-DD")&amp;"-Weather.txt"</f>
        <v>C:\Users\stu\Documents\GitHub\eaglep3-reporting\EC\2016-12-25-Weather.txt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208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A43" sqref="A43:XFD93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787</v>
      </c>
      <c r="B1" t="str">
        <f t="shared" ref="B1:B42" si="0">MID(A1,6,23)</f>
        <v>2016/12/25 12:31:41.452</v>
      </c>
      <c r="C1" t="e">
        <f>ABS(B1-#REF!)</f>
        <v>#REF!</v>
      </c>
    </row>
    <row r="2" spans="1:3" x14ac:dyDescent="0.25">
      <c r="A2" t="s">
        <v>788</v>
      </c>
      <c r="B2" s="21" t="str">
        <f t="shared" si="0"/>
        <v>2016/12/25 12:31:41.730</v>
      </c>
      <c r="C2">
        <f>ABS(B2-B1)</f>
        <v>3.2175958040170372E-6</v>
      </c>
    </row>
    <row r="3" spans="1:3" x14ac:dyDescent="0.25">
      <c r="A3" t="s">
        <v>789</v>
      </c>
      <c r="B3" s="21" t="str">
        <f t="shared" si="0"/>
        <v>2016/12/25 12:36:05.429</v>
      </c>
      <c r="C3" s="21">
        <f t="shared" ref="C3:C42" si="1">ABS(B3-B2)</f>
        <v>3.0520717627950944E-3</v>
      </c>
    </row>
    <row r="4" spans="1:3" x14ac:dyDescent="0.25">
      <c r="A4" t="s">
        <v>790</v>
      </c>
      <c r="B4" s="21" t="str">
        <f t="shared" si="0"/>
        <v>2016/12/25 13:42:48.119</v>
      </c>
      <c r="C4" s="21">
        <f t="shared" si="1"/>
        <v>4.6327430551173165E-2</v>
      </c>
    </row>
    <row r="5" spans="1:3" x14ac:dyDescent="0.25">
      <c r="A5" t="s">
        <v>791</v>
      </c>
      <c r="B5" s="21" t="str">
        <f t="shared" si="0"/>
        <v>2016/12/25 13:42:48.762</v>
      </c>
      <c r="C5" s="21">
        <f t="shared" si="1"/>
        <v>7.4421332101337612E-6</v>
      </c>
    </row>
    <row r="6" spans="1:3" x14ac:dyDescent="0.25">
      <c r="A6" t="s">
        <v>792</v>
      </c>
      <c r="B6" s="21" t="str">
        <f t="shared" si="0"/>
        <v>2016/12/25 13:42:49.222</v>
      </c>
      <c r="C6" s="21">
        <f t="shared" si="1"/>
        <v>5.3240728448145092E-6</v>
      </c>
    </row>
    <row r="7" spans="1:3" x14ac:dyDescent="0.25">
      <c r="A7" t="s">
        <v>793</v>
      </c>
      <c r="B7" s="21" t="str">
        <f t="shared" si="0"/>
        <v>2016/12/25 14:17:56.742</v>
      </c>
      <c r="C7" s="21">
        <f t="shared" si="1"/>
        <v>2.4392592589720152E-2</v>
      </c>
    </row>
    <row r="8" spans="1:3" x14ac:dyDescent="0.25">
      <c r="A8" t="s">
        <v>794</v>
      </c>
      <c r="B8" s="21" t="str">
        <f t="shared" si="0"/>
        <v>2016/12/25 14:17:56.826</v>
      </c>
      <c r="C8" s="21">
        <f t="shared" si="1"/>
        <v>9.7222073236480355E-7</v>
      </c>
    </row>
    <row r="9" spans="1:3" x14ac:dyDescent="0.25">
      <c r="A9" t="s">
        <v>795</v>
      </c>
      <c r="B9" s="21" t="str">
        <f t="shared" si="0"/>
        <v>2016/12/25 14:17:57.275</v>
      </c>
      <c r="C9" s="21">
        <f t="shared" si="1"/>
        <v>5.1967654144391418E-6</v>
      </c>
    </row>
    <row r="10" spans="1:3" x14ac:dyDescent="0.25">
      <c r="A10" t="s">
        <v>796</v>
      </c>
      <c r="B10" s="21" t="str">
        <f t="shared" si="0"/>
        <v>2016/12/25 15:59:57.127</v>
      </c>
      <c r="C10" s="21">
        <f t="shared" si="1"/>
        <v>7.0831620367243886E-2</v>
      </c>
    </row>
    <row r="11" spans="1:3" x14ac:dyDescent="0.25">
      <c r="A11" t="s">
        <v>797</v>
      </c>
      <c r="B11" s="21" t="str">
        <f t="shared" si="0"/>
        <v>2016/12/25 19:30:51.220</v>
      </c>
      <c r="C11" s="21">
        <f t="shared" si="1"/>
        <v>0.1464594097196823</v>
      </c>
    </row>
    <row r="12" spans="1:3" x14ac:dyDescent="0.25">
      <c r="A12" t="s">
        <v>798</v>
      </c>
      <c r="B12" s="21" t="str">
        <f t="shared" si="0"/>
        <v>2016/12/25 19:30:51.600</v>
      </c>
      <c r="C12" s="21">
        <f t="shared" si="1"/>
        <v>4.3981490307487547E-6</v>
      </c>
    </row>
    <row r="13" spans="1:3" x14ac:dyDescent="0.25">
      <c r="A13" t="s">
        <v>799</v>
      </c>
      <c r="B13" s="21" t="str">
        <f t="shared" si="0"/>
        <v>2016/12/25 19:48:04.229</v>
      </c>
      <c r="C13" s="21">
        <f t="shared" si="1"/>
        <v>1.1951724540267605E-2</v>
      </c>
    </row>
    <row r="14" spans="1:3" x14ac:dyDescent="0.25">
      <c r="A14" t="s">
        <v>800</v>
      </c>
      <c r="B14" s="21" t="str">
        <f t="shared" si="0"/>
        <v>2016/12/25 19:48:04.611</v>
      </c>
      <c r="C14" s="21">
        <f t="shared" si="1"/>
        <v>4.4212938519194722E-6</v>
      </c>
    </row>
    <row r="15" spans="1:3" x14ac:dyDescent="0.25">
      <c r="A15" t="s">
        <v>801</v>
      </c>
      <c r="B15" s="21" t="str">
        <f t="shared" si="0"/>
        <v>2016/12/25 21:12:01.513</v>
      </c>
      <c r="C15" s="21">
        <f t="shared" si="1"/>
        <v>5.8297476854932029E-2</v>
      </c>
    </row>
    <row r="16" spans="1:3" x14ac:dyDescent="0.25">
      <c r="A16" t="s">
        <v>802</v>
      </c>
      <c r="B16" s="21" t="str">
        <f t="shared" si="0"/>
        <v>2016/12/25 21:12:01.708</v>
      </c>
      <c r="C16" s="21">
        <f t="shared" si="1"/>
        <v>2.2569438442587852E-6</v>
      </c>
    </row>
    <row r="17" spans="1:3" x14ac:dyDescent="0.25">
      <c r="A17" t="s">
        <v>803</v>
      </c>
      <c r="B17" s="21" t="str">
        <f t="shared" si="0"/>
        <v>2016/12/25 21:12:02.552</v>
      </c>
      <c r="C17" s="21">
        <f t="shared" si="1"/>
        <v>9.768518793862313E-6</v>
      </c>
    </row>
    <row r="18" spans="1:3" x14ac:dyDescent="0.25">
      <c r="A18" t="s">
        <v>804</v>
      </c>
      <c r="B18" s="21" t="str">
        <f t="shared" si="0"/>
        <v>2016/12/25 22:18:05.374</v>
      </c>
      <c r="C18" s="21">
        <f t="shared" si="1"/>
        <v>4.586599536560243E-2</v>
      </c>
    </row>
    <row r="19" spans="1:3" x14ac:dyDescent="0.25">
      <c r="A19" t="s">
        <v>805</v>
      </c>
      <c r="B19" s="21" t="str">
        <f t="shared" si="0"/>
        <v>2016/12/25 22:18:05.487</v>
      </c>
      <c r="C19" s="21">
        <f t="shared" si="1"/>
        <v>1.3078752090223134E-6</v>
      </c>
    </row>
    <row r="20" spans="1:3" x14ac:dyDescent="0.25">
      <c r="A20" t="s">
        <v>806</v>
      </c>
      <c r="B20" s="21" t="str">
        <f t="shared" si="0"/>
        <v>2016/12/25 22:51:08.731</v>
      </c>
      <c r="C20" s="21">
        <f t="shared" si="1"/>
        <v>2.2954212960030418E-2</v>
      </c>
    </row>
    <row r="21" spans="1:3" x14ac:dyDescent="0.25">
      <c r="A21" t="s">
        <v>807</v>
      </c>
      <c r="B21" s="21" t="str">
        <f t="shared" si="0"/>
        <v>2016/12/25 22:51:09.510</v>
      </c>
      <c r="C21" s="21">
        <f t="shared" si="1"/>
        <v>9.0162066044285893E-6</v>
      </c>
    </row>
    <row r="22" spans="1:3" x14ac:dyDescent="0.25">
      <c r="A22" t="s">
        <v>808</v>
      </c>
      <c r="B22" s="21" t="str">
        <f t="shared" si="0"/>
        <v>2016/12/25 22:51:09.578</v>
      </c>
      <c r="C22" s="21">
        <f t="shared" si="1"/>
        <v>7.87033059168607E-7</v>
      </c>
    </row>
    <row r="23" spans="1:3" x14ac:dyDescent="0.25">
      <c r="A23" t="s">
        <v>809</v>
      </c>
      <c r="B23" s="21" t="str">
        <f t="shared" si="0"/>
        <v>2016/12/25 23:41:51.116</v>
      </c>
      <c r="C23" s="21">
        <f t="shared" si="1"/>
        <v>3.5202986109652556E-2</v>
      </c>
    </row>
    <row r="24" spans="1:3" x14ac:dyDescent="0.25">
      <c r="A24" t="s">
        <v>810</v>
      </c>
      <c r="B24" s="21" t="str">
        <f t="shared" si="0"/>
        <v>2016/12/25 23:41:51.298</v>
      </c>
      <c r="C24" s="21">
        <f t="shared" si="1"/>
        <v>2.1064843167550862E-6</v>
      </c>
    </row>
    <row r="25" spans="1:3" x14ac:dyDescent="0.25">
      <c r="A25" t="s">
        <v>811</v>
      </c>
      <c r="B25" s="21" t="str">
        <f t="shared" si="0"/>
        <v>2016/12/25 23:41:52.365</v>
      </c>
      <c r="C25" s="21">
        <f t="shared" si="1"/>
        <v>1.2349541066214442E-5</v>
      </c>
    </row>
    <row r="26" spans="1:3" x14ac:dyDescent="0.25">
      <c r="A26" t="s">
        <v>812</v>
      </c>
      <c r="B26" s="21" t="str">
        <f t="shared" si="0"/>
        <v>2016/12/25 23:44:06.120</v>
      </c>
      <c r="C26" s="21">
        <f t="shared" si="1"/>
        <v>1.548090272990521E-3</v>
      </c>
    </row>
    <row r="27" spans="1:3" x14ac:dyDescent="0.25">
      <c r="A27" t="s">
        <v>813</v>
      </c>
      <c r="B27" s="21" t="str">
        <f t="shared" si="0"/>
        <v>2016/12/25 23:44:06.301</v>
      </c>
      <c r="C27" s="21">
        <f t="shared" si="1"/>
        <v>2.0949082681909204E-6</v>
      </c>
    </row>
    <row r="28" spans="1:3" x14ac:dyDescent="0.25">
      <c r="A28" t="s">
        <v>814</v>
      </c>
      <c r="B28" s="21" t="str">
        <f t="shared" si="0"/>
        <v>2016/12/25 23:44:07.357</v>
      </c>
      <c r="C28" s="21">
        <f t="shared" si="1"/>
        <v>1.2222219083923846E-5</v>
      </c>
    </row>
    <row r="29" spans="1:3" x14ac:dyDescent="0.25">
      <c r="A29" t="s">
        <v>815</v>
      </c>
      <c r="B29" s="21" t="str">
        <f t="shared" si="0"/>
        <v>2016/12/26 01:44:54.599</v>
      </c>
      <c r="C29" s="21">
        <f t="shared" si="1"/>
        <v>8.3880115744250361E-2</v>
      </c>
    </row>
    <row r="30" spans="1:3" x14ac:dyDescent="0.25">
      <c r="A30" t="s">
        <v>816</v>
      </c>
      <c r="B30" s="21" t="str">
        <f t="shared" si="0"/>
        <v>2016/12/26 01:44:54.869</v>
      </c>
      <c r="C30" s="21">
        <f t="shared" si="1"/>
        <v>3.1250019674189389E-6</v>
      </c>
    </row>
    <row r="31" spans="1:3" x14ac:dyDescent="0.25">
      <c r="A31" t="s">
        <v>817</v>
      </c>
      <c r="B31" s="21" t="str">
        <f t="shared" si="0"/>
        <v>2016/12/26 01:44:55.037</v>
      </c>
      <c r="C31" s="21">
        <f t="shared" si="1"/>
        <v>1.9444414647296071E-6</v>
      </c>
    </row>
    <row r="32" spans="1:3" x14ac:dyDescent="0.25">
      <c r="A32" t="s">
        <v>818</v>
      </c>
      <c r="B32" s="21" t="str">
        <f t="shared" si="0"/>
        <v>2016/12/26 02:35:34.108</v>
      </c>
      <c r="C32" s="21">
        <f t="shared" si="1"/>
        <v>3.5174432872736361E-2</v>
      </c>
    </row>
    <row r="33" spans="1:3" x14ac:dyDescent="0.25">
      <c r="A33" t="s">
        <v>819</v>
      </c>
      <c r="B33" s="21" t="str">
        <f t="shared" si="0"/>
        <v>2016/12/26 02:35:34.759</v>
      </c>
      <c r="C33" s="21">
        <f t="shared" si="1"/>
        <v>7.5347197707742453E-6</v>
      </c>
    </row>
    <row r="34" spans="1:3" x14ac:dyDescent="0.25">
      <c r="A34" t="s">
        <v>820</v>
      </c>
      <c r="B34" s="21" t="str">
        <f t="shared" si="0"/>
        <v>2016/12/26 03:37:06.027</v>
      </c>
      <c r="C34" s="21">
        <f t="shared" si="1"/>
        <v>4.2723009260953404E-2</v>
      </c>
    </row>
    <row r="35" spans="1:3" x14ac:dyDescent="0.25">
      <c r="A35" t="s">
        <v>821</v>
      </c>
      <c r="B35" s="21" t="str">
        <f t="shared" si="0"/>
        <v>2016/12/26 03:37:06.584</v>
      </c>
      <c r="C35" s="21">
        <f t="shared" si="1"/>
        <v>6.446760380640626E-6</v>
      </c>
    </row>
    <row r="36" spans="1:3" x14ac:dyDescent="0.25">
      <c r="A36" t="s">
        <v>822</v>
      </c>
      <c r="B36" s="21" t="str">
        <f t="shared" si="0"/>
        <v>2016/12/26 04:31:43.446</v>
      </c>
      <c r="C36" s="21">
        <f t="shared" si="1"/>
        <v>3.7926643519313075E-2</v>
      </c>
    </row>
    <row r="37" spans="1:3" x14ac:dyDescent="0.25">
      <c r="A37" t="s">
        <v>823</v>
      </c>
      <c r="B37" s="21" t="str">
        <f t="shared" si="0"/>
        <v>2016/12/26 04:31:43.714</v>
      </c>
      <c r="C37" s="21">
        <f t="shared" si="1"/>
        <v>3.1018498702906072E-6</v>
      </c>
    </row>
    <row r="38" spans="1:3" x14ac:dyDescent="0.25">
      <c r="A38" t="s">
        <v>824</v>
      </c>
      <c r="B38" s="21" t="str">
        <f t="shared" si="0"/>
        <v>2016/12/26 04:31:43.858</v>
      </c>
      <c r="C38" s="21">
        <f t="shared" si="1"/>
        <v>1.6666672308929265E-6</v>
      </c>
    </row>
    <row r="39" spans="1:3" x14ac:dyDescent="0.25">
      <c r="A39" t="s">
        <v>825</v>
      </c>
      <c r="B39" s="21" t="str">
        <f t="shared" si="0"/>
        <v>2016/12/26 05:03:29.589</v>
      </c>
      <c r="C39" s="21">
        <f t="shared" si="1"/>
        <v>2.2057071757444646E-2</v>
      </c>
    </row>
    <row r="40" spans="1:3" x14ac:dyDescent="0.25">
      <c r="A40" t="s">
        <v>826</v>
      </c>
      <c r="B40" s="21" t="str">
        <f t="shared" si="0"/>
        <v>2016/12/26 05:03:30.211</v>
      </c>
      <c r="C40" s="21">
        <f t="shared" si="1"/>
        <v>7.1990725700743496E-6</v>
      </c>
    </row>
    <row r="41" spans="1:3" x14ac:dyDescent="0.25">
      <c r="A41" t="s">
        <v>827</v>
      </c>
      <c r="B41" s="21" t="str">
        <f t="shared" si="0"/>
        <v>2016/12/26 05:38:02.831</v>
      </c>
      <c r="C41" s="21">
        <f t="shared" si="1"/>
        <v>2.3988657412701286E-2</v>
      </c>
    </row>
    <row r="42" spans="1:3" x14ac:dyDescent="0.25">
      <c r="A42" t="s">
        <v>828</v>
      </c>
      <c r="B42" s="21" t="str">
        <f t="shared" si="0"/>
        <v>2016/12/26 05:38:03.024</v>
      </c>
      <c r="C42" s="21">
        <f t="shared" si="1"/>
        <v>2.2337917471304536E-6</v>
      </c>
    </row>
    <row r="43" spans="1:3" x14ac:dyDescent="0.25">
      <c r="B43" s="21"/>
      <c r="C43" s="21"/>
    </row>
    <row r="44" spans="1:3" x14ac:dyDescent="0.25">
      <c r="B44" s="21"/>
      <c r="C44" s="21"/>
    </row>
    <row r="45" spans="1:3" x14ac:dyDescent="0.25">
      <c r="B45" s="21"/>
      <c r="C45" s="21"/>
    </row>
    <row r="46" spans="1:3" x14ac:dyDescent="0.25">
      <c r="B46" s="21"/>
      <c r="C46" s="21"/>
    </row>
    <row r="47" spans="1:3" x14ac:dyDescent="0.25">
      <c r="B47" s="21"/>
      <c r="C47" s="21"/>
    </row>
    <row r="48" spans="1:3" x14ac:dyDescent="0.25">
      <c r="B48" s="21"/>
      <c r="C48" s="21"/>
    </row>
    <row r="49" spans="2:3" x14ac:dyDescent="0.25">
      <c r="B49" s="21"/>
      <c r="C49" s="21"/>
    </row>
    <row r="50" spans="2:3" x14ac:dyDescent="0.25">
      <c r="B50" s="21"/>
      <c r="C50" s="21"/>
    </row>
    <row r="51" spans="2:3" x14ac:dyDescent="0.25">
      <c r="B51" s="21"/>
      <c r="C51" s="21"/>
    </row>
    <row r="52" spans="2:3" x14ac:dyDescent="0.25">
      <c r="B52" s="21"/>
      <c r="C52" s="21"/>
    </row>
    <row r="53" spans="2:3" x14ac:dyDescent="0.25">
      <c r="B53" s="21"/>
      <c r="C53" s="21"/>
    </row>
    <row r="54" spans="2:3" x14ac:dyDescent="0.25">
      <c r="B54" s="21"/>
      <c r="C54" s="21"/>
    </row>
    <row r="55" spans="2:3" x14ac:dyDescent="0.25">
      <c r="B55" s="21"/>
      <c r="C55" s="21"/>
    </row>
    <row r="56" spans="2:3" x14ac:dyDescent="0.25">
      <c r="B56" s="21"/>
      <c r="C56" s="21"/>
    </row>
    <row r="57" spans="2:3" x14ac:dyDescent="0.25">
      <c r="B57" s="21"/>
      <c r="C57" s="21"/>
    </row>
    <row r="58" spans="2:3" x14ac:dyDescent="0.25">
      <c r="B58" s="21"/>
      <c r="C58" s="21"/>
    </row>
    <row r="59" spans="2:3" x14ac:dyDescent="0.25">
      <c r="B59" s="21"/>
      <c r="C59" s="21"/>
    </row>
    <row r="60" spans="2:3" x14ac:dyDescent="0.25">
      <c r="B60" s="21"/>
      <c r="C60" s="21"/>
    </row>
    <row r="61" spans="2:3" x14ac:dyDescent="0.25">
      <c r="B61" s="21"/>
      <c r="C61" s="21"/>
    </row>
    <row r="62" spans="2:3" x14ac:dyDescent="0.25">
      <c r="B62" s="21"/>
      <c r="C62" s="21"/>
    </row>
    <row r="63" spans="2:3" x14ac:dyDescent="0.25">
      <c r="B63" s="21"/>
      <c r="C63" s="21"/>
    </row>
    <row r="64" spans="2:3" x14ac:dyDescent="0.25">
      <c r="B64" s="21"/>
      <c r="C64" s="21"/>
    </row>
    <row r="65" spans="2:3" x14ac:dyDescent="0.25">
      <c r="B65" s="21"/>
      <c r="C65" s="21"/>
    </row>
    <row r="66" spans="2:3" x14ac:dyDescent="0.25">
      <c r="B66" s="21"/>
      <c r="C66" s="21"/>
    </row>
    <row r="67" spans="2:3" x14ac:dyDescent="0.25">
      <c r="B67" s="21"/>
      <c r="C67" s="21"/>
    </row>
    <row r="68" spans="2:3" x14ac:dyDescent="0.25">
      <c r="B68" s="21"/>
      <c r="C68" s="21"/>
    </row>
    <row r="69" spans="2:3" x14ac:dyDescent="0.25">
      <c r="B69" s="21"/>
      <c r="C69" s="21"/>
    </row>
    <row r="70" spans="2:3" x14ac:dyDescent="0.25">
      <c r="B70" s="21"/>
      <c r="C70" s="21"/>
    </row>
    <row r="71" spans="2:3" x14ac:dyDescent="0.25">
      <c r="B71" s="21"/>
      <c r="C71" s="21"/>
    </row>
    <row r="72" spans="2:3" x14ac:dyDescent="0.25">
      <c r="B72" s="21"/>
      <c r="C72" s="21"/>
    </row>
    <row r="73" spans="2:3" x14ac:dyDescent="0.25">
      <c r="B73" s="21"/>
      <c r="C73" s="21"/>
    </row>
    <row r="74" spans="2:3" x14ac:dyDescent="0.25">
      <c r="B74" s="21"/>
      <c r="C74" s="21"/>
    </row>
    <row r="75" spans="2:3" x14ac:dyDescent="0.25">
      <c r="B75" s="21"/>
      <c r="C75" s="21"/>
    </row>
    <row r="76" spans="2:3" x14ac:dyDescent="0.25">
      <c r="B76" s="21"/>
      <c r="C76" s="21"/>
    </row>
    <row r="77" spans="2:3" x14ac:dyDescent="0.25">
      <c r="B77" s="21"/>
      <c r="C77" s="21"/>
    </row>
    <row r="78" spans="2:3" x14ac:dyDescent="0.25">
      <c r="B78" s="21"/>
      <c r="C78" s="21"/>
    </row>
    <row r="79" spans="2:3" x14ac:dyDescent="0.25">
      <c r="B79" s="21"/>
      <c r="C79" s="21"/>
    </row>
    <row r="80" spans="2:3" x14ac:dyDescent="0.25">
      <c r="B80" s="21"/>
      <c r="C80" s="21"/>
    </row>
    <row r="81" spans="2:3" x14ac:dyDescent="0.25">
      <c r="B81" s="21"/>
      <c r="C81" s="21"/>
    </row>
    <row r="82" spans="2:3" x14ac:dyDescent="0.25">
      <c r="B82" s="21"/>
      <c r="C82" s="21"/>
    </row>
    <row r="83" spans="2:3" x14ac:dyDescent="0.25">
      <c r="B83" s="21"/>
      <c r="C83" s="21"/>
    </row>
    <row r="84" spans="2:3" x14ac:dyDescent="0.25">
      <c r="B84" s="21"/>
      <c r="C84" s="21"/>
    </row>
    <row r="85" spans="2:3" x14ac:dyDescent="0.25">
      <c r="B85" s="21"/>
      <c r="C85" s="21"/>
    </row>
    <row r="86" spans="2:3" x14ac:dyDescent="0.25">
      <c r="B86" s="21"/>
      <c r="C86" s="21"/>
    </row>
    <row r="87" spans="2:3" x14ac:dyDescent="0.25">
      <c r="B87" s="21"/>
      <c r="C87" s="21"/>
    </row>
    <row r="88" spans="2:3" x14ac:dyDescent="0.25">
      <c r="B88" s="21"/>
      <c r="C88" s="21"/>
    </row>
    <row r="89" spans="2:3" x14ac:dyDescent="0.25">
      <c r="B89" s="21"/>
      <c r="C89" s="21"/>
    </row>
    <row r="90" spans="2:3" x14ac:dyDescent="0.25">
      <c r="B90" s="21"/>
      <c r="C90" s="21"/>
    </row>
    <row r="91" spans="2:3" x14ac:dyDescent="0.25">
      <c r="B91" s="21"/>
      <c r="C91" s="21"/>
    </row>
    <row r="92" spans="2:3" x14ac:dyDescent="0.25">
      <c r="B92" s="21"/>
      <c r="C92" s="21"/>
    </row>
    <row r="93" spans="2:3" x14ac:dyDescent="0.25">
      <c r="B93" s="21"/>
      <c r="C93" s="21"/>
    </row>
    <row r="94" spans="2:3" x14ac:dyDescent="0.25">
      <c r="B94" s="21"/>
      <c r="C94" s="21"/>
    </row>
    <row r="95" spans="2:3" x14ac:dyDescent="0.25">
      <c r="B95" s="21"/>
      <c r="C95" s="21"/>
    </row>
    <row r="96" spans="2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2016-12-27T15:53:20Z</dcterms:modified>
</cp:coreProperties>
</file>