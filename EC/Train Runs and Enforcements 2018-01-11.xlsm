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Enforcements!$A$6:$AC$13</definedName>
    <definedName name="_xlnm._FilterDatabase" localSheetId="2" hidden="1">'Missing Trips'!$A$2:$J$26</definedName>
    <definedName name="_xlnm._FilterDatabase" localSheetId="0" hidden="1">'Train Runs'!$A$12:$AG$599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9" i="1" l="1"/>
  <c r="X210" i="1"/>
  <c r="X211" i="1"/>
  <c r="X212" i="1"/>
  <c r="K211" i="1"/>
  <c r="L211" i="1"/>
  <c r="M211" i="1"/>
  <c r="N211" i="1"/>
  <c r="V211" i="1"/>
  <c r="AA211" i="1"/>
  <c r="AB211" i="1"/>
  <c r="AC211" i="1"/>
  <c r="AD211" i="1"/>
  <c r="T211" i="1" s="1"/>
  <c r="AE211" i="1"/>
  <c r="R32" i="3" s="1"/>
  <c r="AF211" i="1"/>
  <c r="AH211" i="1"/>
  <c r="AM211" i="1"/>
  <c r="AN211" i="1"/>
  <c r="AO211" i="1"/>
  <c r="K210" i="1"/>
  <c r="L210" i="1"/>
  <c r="M210" i="1"/>
  <c r="N210" i="1"/>
  <c r="V210" i="1"/>
  <c r="AA210" i="1"/>
  <c r="AB210" i="1"/>
  <c r="AC210" i="1"/>
  <c r="AD210" i="1"/>
  <c r="T210" i="1" s="1"/>
  <c r="AE210" i="1"/>
  <c r="AF210" i="1"/>
  <c r="AH210" i="1"/>
  <c r="AM210" i="1"/>
  <c r="AN210" i="1"/>
  <c r="AO210" i="1"/>
  <c r="K208" i="1"/>
  <c r="L208" i="1"/>
  <c r="M208" i="1"/>
  <c r="N208" i="1"/>
  <c r="V208" i="1"/>
  <c r="AA208" i="1"/>
  <c r="AB208" i="1"/>
  <c r="AC208" i="1"/>
  <c r="AD208" i="1"/>
  <c r="T208" i="1" s="1"/>
  <c r="AE208" i="1"/>
  <c r="AF208" i="1"/>
  <c r="AH208" i="1"/>
  <c r="AM208" i="1"/>
  <c r="AN208" i="1"/>
  <c r="AO208" i="1"/>
  <c r="X193" i="1"/>
  <c r="K192" i="1"/>
  <c r="L192" i="1"/>
  <c r="M192" i="1"/>
  <c r="N192" i="1"/>
  <c r="V192" i="1"/>
  <c r="AA192" i="1"/>
  <c r="AB192" i="1"/>
  <c r="AC192" i="1"/>
  <c r="AD192" i="1"/>
  <c r="T192" i="1" s="1"/>
  <c r="AE192" i="1"/>
  <c r="AF192" i="1"/>
  <c r="AH192" i="1"/>
  <c r="AM192" i="1"/>
  <c r="AN192" i="1"/>
  <c r="AO192" i="1"/>
  <c r="P31" i="1"/>
  <c r="P60" i="1"/>
  <c r="P83" i="1"/>
  <c r="K97" i="1"/>
  <c r="L97" i="1"/>
  <c r="M97" i="1"/>
  <c r="V97" i="1"/>
  <c r="AA97" i="1"/>
  <c r="AB97" i="1"/>
  <c r="AC97" i="1"/>
  <c r="AD97" i="1"/>
  <c r="T97" i="1" s="1"/>
  <c r="AE97" i="1"/>
  <c r="AF97" i="1"/>
  <c r="AH97" i="1"/>
  <c r="AM97" i="1"/>
  <c r="AN97" i="1"/>
  <c r="AO97" i="1"/>
  <c r="K96" i="1"/>
  <c r="L96" i="1"/>
  <c r="M96" i="1"/>
  <c r="P96" i="1" s="1"/>
  <c r="V96" i="1"/>
  <c r="AA96" i="1"/>
  <c r="AB96" i="1"/>
  <c r="AC96" i="1"/>
  <c r="AD96" i="1"/>
  <c r="T96" i="1" s="1"/>
  <c r="AE96" i="1"/>
  <c r="AF96" i="1"/>
  <c r="AH96" i="1"/>
  <c r="AM96" i="1"/>
  <c r="AN96" i="1"/>
  <c r="AO96" i="1"/>
  <c r="P99" i="1"/>
  <c r="P103" i="1"/>
  <c r="K123" i="1"/>
  <c r="L123" i="1"/>
  <c r="M123" i="1"/>
  <c r="N123" i="1" s="1"/>
  <c r="V123" i="1"/>
  <c r="AA123" i="1"/>
  <c r="AB123" i="1"/>
  <c r="AC123" i="1"/>
  <c r="AD123" i="1"/>
  <c r="T123" i="1" s="1"/>
  <c r="AE123" i="1"/>
  <c r="AF123" i="1"/>
  <c r="AH123" i="1"/>
  <c r="AM123" i="1"/>
  <c r="AN123" i="1"/>
  <c r="AO123" i="1"/>
  <c r="K128" i="1"/>
  <c r="L128" i="1"/>
  <c r="M128" i="1"/>
  <c r="N128" i="1" s="1"/>
  <c r="V128" i="1"/>
  <c r="AA128" i="1"/>
  <c r="AB128" i="1"/>
  <c r="AC128" i="1"/>
  <c r="AD128" i="1"/>
  <c r="T128" i="1" s="1"/>
  <c r="AE128" i="1"/>
  <c r="AF128" i="1"/>
  <c r="AH128" i="1"/>
  <c r="AM128" i="1"/>
  <c r="AN128" i="1"/>
  <c r="AO128" i="1"/>
  <c r="N19" i="3"/>
  <c r="M19" i="3"/>
  <c r="X19" i="3"/>
  <c r="K146" i="1"/>
  <c r="L146" i="1"/>
  <c r="M146" i="1"/>
  <c r="N146" i="1"/>
  <c r="V146" i="1"/>
  <c r="AA146" i="1"/>
  <c r="AB146" i="1"/>
  <c r="AC146" i="1"/>
  <c r="AD146" i="1"/>
  <c r="T146" i="1" s="1"/>
  <c r="AE146" i="1"/>
  <c r="AF146" i="1"/>
  <c r="AH146" i="1"/>
  <c r="AM146" i="1"/>
  <c r="AN146" i="1"/>
  <c r="AO146" i="1"/>
  <c r="K149" i="1"/>
  <c r="L149" i="1"/>
  <c r="M149" i="1"/>
  <c r="N149" i="1" s="1"/>
  <c r="V149" i="1"/>
  <c r="AA149" i="1"/>
  <c r="AB149" i="1"/>
  <c r="AC149" i="1"/>
  <c r="AD149" i="1"/>
  <c r="T149" i="1" s="1"/>
  <c r="AE149" i="1"/>
  <c r="AF149" i="1"/>
  <c r="AH149" i="1"/>
  <c r="AM149" i="1"/>
  <c r="AN149" i="1"/>
  <c r="AO149" i="1"/>
  <c r="K153" i="1"/>
  <c r="L153" i="1"/>
  <c r="M153" i="1"/>
  <c r="N153" i="1" s="1"/>
  <c r="V153" i="1"/>
  <c r="AA153" i="1"/>
  <c r="AB153" i="1"/>
  <c r="AC153" i="1"/>
  <c r="AD153" i="1"/>
  <c r="T153" i="1" s="1"/>
  <c r="AE153" i="1"/>
  <c r="AF153" i="1"/>
  <c r="AH153" i="1"/>
  <c r="AM153" i="1"/>
  <c r="AN153" i="1"/>
  <c r="AO153" i="1"/>
  <c r="K161" i="1"/>
  <c r="L161" i="1"/>
  <c r="M161" i="1"/>
  <c r="N161" i="1" s="1"/>
  <c r="V161" i="1"/>
  <c r="AA161" i="1"/>
  <c r="AB161" i="1"/>
  <c r="AC161" i="1"/>
  <c r="AD161" i="1"/>
  <c r="T161" i="1" s="1"/>
  <c r="AE161" i="1"/>
  <c r="AF161" i="1"/>
  <c r="AH161" i="1"/>
  <c r="AM161" i="1"/>
  <c r="AN161" i="1"/>
  <c r="AO161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V31" i="1"/>
  <c r="S21" i="3" s="1"/>
  <c r="Y31" i="1"/>
  <c r="Z31" i="1"/>
  <c r="AB31" i="1"/>
  <c r="AC31" i="1"/>
  <c r="AD31" i="1"/>
  <c r="AE31" i="1"/>
  <c r="R21" i="3" s="1"/>
  <c r="AF31" i="1"/>
  <c r="AH31" i="1"/>
  <c r="AM31" i="1"/>
  <c r="AN31" i="1"/>
  <c r="AO31" i="1"/>
  <c r="K32" i="1"/>
  <c r="L32" i="1"/>
  <c r="M32" i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S20" i="3" s="1"/>
  <c r="Y65" i="1"/>
  <c r="Z65" i="1"/>
  <c r="AB65" i="1"/>
  <c r="AC65" i="1"/>
  <c r="AD65" i="1"/>
  <c r="T65" i="1" s="1"/>
  <c r="AE65" i="1"/>
  <c r="R20" i="3" s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S8" i="3" s="1"/>
  <c r="Y78" i="1"/>
  <c r="Z78" i="1"/>
  <c r="AB78" i="1"/>
  <c r="AC78" i="1"/>
  <c r="AD78" i="1"/>
  <c r="AE78" i="1"/>
  <c r="R14" i="3" s="1"/>
  <c r="AF78" i="1"/>
  <c r="AH78" i="1"/>
  <c r="AM78" i="1"/>
  <c r="AN78" i="1"/>
  <c r="AO78" i="1"/>
  <c r="K79" i="1"/>
  <c r="L79" i="1"/>
  <c r="M79" i="1"/>
  <c r="P79" i="1" s="1"/>
  <c r="V79" i="1"/>
  <c r="S7" i="3" s="1"/>
  <c r="Y79" i="1"/>
  <c r="Z79" i="1"/>
  <c r="AB79" i="1"/>
  <c r="AC79" i="1"/>
  <c r="AD79" i="1"/>
  <c r="AE79" i="1"/>
  <c r="R7" i="3" s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V83" i="1"/>
  <c r="S10" i="3" s="1"/>
  <c r="Y83" i="1"/>
  <c r="Z83" i="1"/>
  <c r="AB83" i="1"/>
  <c r="AC83" i="1"/>
  <c r="AD83" i="1"/>
  <c r="AE83" i="1"/>
  <c r="R10" i="3" s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P92" i="1" s="1"/>
  <c r="V92" i="1"/>
  <c r="S17" i="3" s="1"/>
  <c r="Y92" i="1"/>
  <c r="Z92" i="1"/>
  <c r="AB92" i="1"/>
  <c r="AC92" i="1"/>
  <c r="AD92" i="1"/>
  <c r="AE92" i="1"/>
  <c r="R17" i="3" s="1"/>
  <c r="AF92" i="1"/>
  <c r="AH92" i="1"/>
  <c r="AM92" i="1"/>
  <c r="AN92" i="1"/>
  <c r="AO92" i="1"/>
  <c r="K93" i="1"/>
  <c r="L93" i="1"/>
  <c r="M93" i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8" i="1"/>
  <c r="L98" i="1"/>
  <c r="M98" i="1"/>
  <c r="N98" i="1" s="1"/>
  <c r="V98" i="1"/>
  <c r="Y98" i="1"/>
  <c r="Z98" i="1"/>
  <c r="AB98" i="1"/>
  <c r="AC98" i="1"/>
  <c r="AD98" i="1"/>
  <c r="X98" i="1" s="1"/>
  <c r="AE98" i="1"/>
  <c r="AF98" i="1"/>
  <c r="AH98" i="1"/>
  <c r="AM98" i="1"/>
  <c r="AN98" i="1"/>
  <c r="AO98" i="1"/>
  <c r="K99" i="1"/>
  <c r="L99" i="1"/>
  <c r="M99" i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P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V103" i="1"/>
  <c r="S16" i="3" s="1"/>
  <c r="Y103" i="1"/>
  <c r="Z103" i="1"/>
  <c r="AB103" i="1"/>
  <c r="AC103" i="1"/>
  <c r="AD103" i="1"/>
  <c r="AE103" i="1"/>
  <c r="R16" i="3" s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P105" i="1" s="1"/>
  <c r="V105" i="1"/>
  <c r="S13" i="3" s="1"/>
  <c r="Y105" i="1"/>
  <c r="Z105" i="1"/>
  <c r="AB105" i="1"/>
  <c r="AC105" i="1"/>
  <c r="AD105" i="1"/>
  <c r="T105" i="1" s="1"/>
  <c r="AE105" i="1"/>
  <c r="R13" i="3" s="1"/>
  <c r="AF105" i="1"/>
  <c r="AH105" i="1"/>
  <c r="AM105" i="1"/>
  <c r="AN105" i="1"/>
  <c r="AO105" i="1"/>
  <c r="K106" i="1"/>
  <c r="L106" i="1"/>
  <c r="M106" i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P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P112" i="1" s="1"/>
  <c r="V112" i="1"/>
  <c r="S12" i="3" s="1"/>
  <c r="Y112" i="1"/>
  <c r="Z112" i="1"/>
  <c r="AB112" i="1"/>
  <c r="AC112" i="1"/>
  <c r="AD112" i="1"/>
  <c r="T112" i="1" s="1"/>
  <c r="AE112" i="1"/>
  <c r="R12" i="3" s="1"/>
  <c r="AF112" i="1"/>
  <c r="AH112" i="1"/>
  <c r="AM112" i="1"/>
  <c r="AN112" i="1"/>
  <c r="AO112" i="1"/>
  <c r="K113" i="1"/>
  <c r="L113" i="1"/>
  <c r="M113" i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S11" i="3" s="1"/>
  <c r="Y116" i="1"/>
  <c r="Z116" i="1"/>
  <c r="AB116" i="1"/>
  <c r="AC116" i="1"/>
  <c r="AD116" i="1"/>
  <c r="AE116" i="1"/>
  <c r="R11" i="3" s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AO127" i="1"/>
  <c r="K129" i="1"/>
  <c r="L129" i="1"/>
  <c r="M129" i="1"/>
  <c r="N129" i="1" s="1"/>
  <c r="V129" i="1"/>
  <c r="Y129" i="1"/>
  <c r="Z129" i="1"/>
  <c r="AB129" i="1"/>
  <c r="AC129" i="1"/>
  <c r="AD129" i="1"/>
  <c r="X129" i="1" s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P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S15" i="3" s="1"/>
  <c r="Y156" i="1"/>
  <c r="Z156" i="1"/>
  <c r="AB156" i="1"/>
  <c r="AC156" i="1"/>
  <c r="AD156" i="1"/>
  <c r="T156" i="1" s="1"/>
  <c r="AE156" i="1"/>
  <c r="R15" i="3" s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AO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AM160" i="1"/>
  <c r="AN160" i="1"/>
  <c r="AO16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62" i="1"/>
  <c r="AM162" i="1"/>
  <c r="AN162" i="1"/>
  <c r="AO162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A216" i="1" s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A220" i="1" s="1"/>
  <c r="AB220" i="1"/>
  <c r="AC220" i="1"/>
  <c r="AD220" i="1"/>
  <c r="AE220" i="1"/>
  <c r="AF220" i="1"/>
  <c r="AH171" i="1"/>
  <c r="AM171" i="1"/>
  <c r="AN171" i="1"/>
  <c r="AO171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2" i="1"/>
  <c r="AM172" i="1"/>
  <c r="AN172" i="1"/>
  <c r="AO172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173" i="1"/>
  <c r="AM173" i="1"/>
  <c r="AN173" i="1"/>
  <c r="AO173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4" i="1"/>
  <c r="AM174" i="1"/>
  <c r="AN174" i="1"/>
  <c r="AO174" i="1"/>
  <c r="K231" i="1"/>
  <c r="L231" i="1"/>
  <c r="M231" i="1"/>
  <c r="N231" i="1" s="1"/>
  <c r="V231" i="1"/>
  <c r="Y231" i="1"/>
  <c r="Z231" i="1"/>
  <c r="AA231" i="1" s="1"/>
  <c r="AB231" i="1"/>
  <c r="AC231" i="1"/>
  <c r="AD231" i="1"/>
  <c r="AE231" i="1"/>
  <c r="AF231" i="1"/>
  <c r="AH175" i="1"/>
  <c r="AM175" i="1"/>
  <c r="AN175" i="1"/>
  <c r="AO175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6" i="1"/>
  <c r="AM176" i="1"/>
  <c r="AN176" i="1"/>
  <c r="AO176" i="1"/>
  <c r="K233" i="1"/>
  <c r="L233" i="1"/>
  <c r="M233" i="1"/>
  <c r="N233" i="1" s="1"/>
  <c r="V233" i="1"/>
  <c r="S40" i="3" s="1"/>
  <c r="Y233" i="1"/>
  <c r="Z233" i="1"/>
  <c r="AB233" i="1"/>
  <c r="AC233" i="1"/>
  <c r="AD233" i="1"/>
  <c r="AE233" i="1"/>
  <c r="R36" i="3" s="1"/>
  <c r="AF233" i="1"/>
  <c r="AH177" i="1"/>
  <c r="AM177" i="1"/>
  <c r="AN177" i="1"/>
  <c r="AO177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8" i="1"/>
  <c r="AM178" i="1"/>
  <c r="AN178" i="1"/>
  <c r="AO178" i="1"/>
  <c r="K235" i="1"/>
  <c r="L235" i="1"/>
  <c r="M235" i="1"/>
  <c r="N235" i="1" s="1"/>
  <c r="V235" i="1"/>
  <c r="Y235" i="1"/>
  <c r="Z235" i="1"/>
  <c r="AA235" i="1" s="1"/>
  <c r="AB235" i="1"/>
  <c r="AC235" i="1"/>
  <c r="AD235" i="1"/>
  <c r="AE235" i="1"/>
  <c r="AF235" i="1"/>
  <c r="AH179" i="1"/>
  <c r="AM179" i="1"/>
  <c r="AN179" i="1"/>
  <c r="AO179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0" i="1"/>
  <c r="AM180" i="1"/>
  <c r="AN180" i="1"/>
  <c r="AO180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1" i="1"/>
  <c r="AM181" i="1"/>
  <c r="AN181" i="1"/>
  <c r="AO181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2" i="1"/>
  <c r="AM182" i="1"/>
  <c r="AN182" i="1"/>
  <c r="AO182" i="1"/>
  <c r="K239" i="1"/>
  <c r="L239" i="1"/>
  <c r="M239" i="1"/>
  <c r="N239" i="1" s="1"/>
  <c r="V239" i="1"/>
  <c r="S42" i="3" s="1"/>
  <c r="Y239" i="1"/>
  <c r="Z239" i="1"/>
  <c r="AA239" i="1" s="1"/>
  <c r="AB239" i="1"/>
  <c r="AC239" i="1"/>
  <c r="AD239" i="1"/>
  <c r="AE239" i="1"/>
  <c r="R42" i="3" s="1"/>
  <c r="AF239" i="1"/>
  <c r="AH183" i="1"/>
  <c r="AM183" i="1"/>
  <c r="AN183" i="1"/>
  <c r="AO183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4" i="1"/>
  <c r="AM184" i="1"/>
  <c r="AN184" i="1"/>
  <c r="AO184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85" i="1"/>
  <c r="AM185" i="1"/>
  <c r="AN185" i="1"/>
  <c r="AO185" i="1"/>
  <c r="K242" i="1"/>
  <c r="L242" i="1"/>
  <c r="M242" i="1"/>
  <c r="N242" i="1" s="1"/>
  <c r="V242" i="1"/>
  <c r="S39" i="3" s="1"/>
  <c r="Y242" i="1"/>
  <c r="Z242" i="1"/>
  <c r="AB242" i="1"/>
  <c r="AC242" i="1"/>
  <c r="AD242" i="1"/>
  <c r="AE242" i="1"/>
  <c r="R39" i="3" s="1"/>
  <c r="AF242" i="1"/>
  <c r="AH186" i="1"/>
  <c r="AM186" i="1"/>
  <c r="AN186" i="1"/>
  <c r="AO186" i="1"/>
  <c r="K243" i="1"/>
  <c r="L243" i="1"/>
  <c r="M243" i="1"/>
  <c r="N243" i="1" s="1"/>
  <c r="V243" i="1"/>
  <c r="Y243" i="1"/>
  <c r="Z243" i="1"/>
  <c r="AA243" i="1" s="1"/>
  <c r="AB243" i="1"/>
  <c r="AC243" i="1"/>
  <c r="AD243" i="1"/>
  <c r="AE243" i="1"/>
  <c r="AF243" i="1"/>
  <c r="AH187" i="1"/>
  <c r="AM187" i="1"/>
  <c r="AN187" i="1"/>
  <c r="AO187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8" i="1"/>
  <c r="AM188" i="1"/>
  <c r="AN188" i="1"/>
  <c r="AO188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89" i="1"/>
  <c r="AM189" i="1"/>
  <c r="AN189" i="1"/>
  <c r="AO189" i="1"/>
  <c r="K246" i="1"/>
  <c r="L246" i="1"/>
  <c r="M246" i="1"/>
  <c r="N246" i="1" s="1"/>
  <c r="V246" i="1"/>
  <c r="S43" i="3" s="1"/>
  <c r="Y246" i="1"/>
  <c r="Z246" i="1"/>
  <c r="AB246" i="1"/>
  <c r="AC246" i="1"/>
  <c r="AD246" i="1"/>
  <c r="AE246" i="1"/>
  <c r="R43" i="3" s="1"/>
  <c r="AF246" i="1"/>
  <c r="AH190" i="1"/>
  <c r="AM190" i="1"/>
  <c r="AN190" i="1"/>
  <c r="AO190" i="1"/>
  <c r="K247" i="1"/>
  <c r="L247" i="1"/>
  <c r="M247" i="1"/>
  <c r="N247" i="1" s="1"/>
  <c r="V247" i="1"/>
  <c r="Y247" i="1"/>
  <c r="Z247" i="1"/>
  <c r="AA247" i="1" s="1"/>
  <c r="AB247" i="1"/>
  <c r="AC247" i="1"/>
  <c r="AD247" i="1"/>
  <c r="AE247" i="1"/>
  <c r="AF247" i="1"/>
  <c r="AH191" i="1"/>
  <c r="AM191" i="1"/>
  <c r="AN191" i="1"/>
  <c r="AO191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193" i="1"/>
  <c r="AM193" i="1"/>
  <c r="AN193" i="1"/>
  <c r="AO193" i="1"/>
  <c r="K249" i="1"/>
  <c r="L249" i="1"/>
  <c r="M249" i="1"/>
  <c r="N249" i="1" s="1"/>
  <c r="V249" i="1"/>
  <c r="Y249" i="1"/>
  <c r="Z249" i="1"/>
  <c r="AB249" i="1"/>
  <c r="AC249" i="1"/>
  <c r="AD249" i="1"/>
  <c r="AE249" i="1"/>
  <c r="AF249" i="1"/>
  <c r="AH194" i="1"/>
  <c r="AM194" i="1"/>
  <c r="AN194" i="1"/>
  <c r="AO194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AH195" i="1"/>
  <c r="AM195" i="1"/>
  <c r="AN195" i="1"/>
  <c r="AO195" i="1"/>
  <c r="K251" i="1"/>
  <c r="L251" i="1"/>
  <c r="M251" i="1"/>
  <c r="N251" i="1" s="1"/>
  <c r="V251" i="1"/>
  <c r="S38" i="3" s="1"/>
  <c r="Y251" i="1"/>
  <c r="Z251" i="1"/>
  <c r="AA251" i="1" s="1"/>
  <c r="AB251" i="1"/>
  <c r="AC251" i="1"/>
  <c r="AD251" i="1"/>
  <c r="AE251" i="1"/>
  <c r="R38" i="3" s="1"/>
  <c r="AF251" i="1"/>
  <c r="AH196" i="1"/>
  <c r="AM196" i="1"/>
  <c r="AN196" i="1"/>
  <c r="AO196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197" i="1"/>
  <c r="AM197" i="1"/>
  <c r="AN197" i="1"/>
  <c r="AO197" i="1"/>
  <c r="K253" i="1"/>
  <c r="L253" i="1"/>
  <c r="M253" i="1"/>
  <c r="N253" i="1" s="1"/>
  <c r="V253" i="1"/>
  <c r="Y253" i="1"/>
  <c r="Z253" i="1"/>
  <c r="AB253" i="1"/>
  <c r="AC253" i="1"/>
  <c r="AD253" i="1"/>
  <c r="AE253" i="1"/>
  <c r="AF253" i="1"/>
  <c r="AH198" i="1"/>
  <c r="AM198" i="1"/>
  <c r="AN198" i="1"/>
  <c r="AO198" i="1"/>
  <c r="K254" i="1"/>
  <c r="L254" i="1"/>
  <c r="M254" i="1"/>
  <c r="N254" i="1" s="1"/>
  <c r="V254" i="1"/>
  <c r="Y254" i="1"/>
  <c r="Z254" i="1"/>
  <c r="AB254" i="1"/>
  <c r="AC254" i="1"/>
  <c r="AD254" i="1"/>
  <c r="AE254" i="1"/>
  <c r="AF254" i="1"/>
  <c r="AH199" i="1"/>
  <c r="AM199" i="1"/>
  <c r="AN199" i="1"/>
  <c r="AO199" i="1"/>
  <c r="K255" i="1"/>
  <c r="L255" i="1"/>
  <c r="M255" i="1"/>
  <c r="N255" i="1" s="1"/>
  <c r="V255" i="1"/>
  <c r="Y255" i="1"/>
  <c r="Z255" i="1"/>
  <c r="AA255" i="1" s="1"/>
  <c r="AB255" i="1"/>
  <c r="AC255" i="1"/>
  <c r="AD255" i="1"/>
  <c r="AE255" i="1"/>
  <c r="AF255" i="1"/>
  <c r="AH200" i="1"/>
  <c r="AM200" i="1"/>
  <c r="AN200" i="1"/>
  <c r="AO200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201" i="1"/>
  <c r="AM201" i="1"/>
  <c r="AN201" i="1"/>
  <c r="AO201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202" i="1"/>
  <c r="AM202" i="1"/>
  <c r="AN202" i="1"/>
  <c r="AO202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03" i="1"/>
  <c r="AM203" i="1"/>
  <c r="AN203" i="1"/>
  <c r="AO203" i="1"/>
  <c r="K166" i="1"/>
  <c r="L166" i="1"/>
  <c r="M166" i="1"/>
  <c r="N166" i="1" s="1"/>
  <c r="V166" i="1"/>
  <c r="Y166" i="1"/>
  <c r="Z166" i="1"/>
  <c r="AA166" i="1" s="1"/>
  <c r="AB166" i="1"/>
  <c r="AC166" i="1"/>
  <c r="AD166" i="1"/>
  <c r="AE166" i="1"/>
  <c r="AF166" i="1"/>
  <c r="AH204" i="1"/>
  <c r="AM204" i="1"/>
  <c r="AN204" i="1"/>
  <c r="AO204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05" i="1"/>
  <c r="AM205" i="1"/>
  <c r="AN205" i="1"/>
  <c r="AO205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6" i="1"/>
  <c r="AM206" i="1"/>
  <c r="AN206" i="1"/>
  <c r="AO20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7" i="1"/>
  <c r="AM207" i="1"/>
  <c r="AN207" i="1"/>
  <c r="AO207" i="1"/>
  <c r="K170" i="1"/>
  <c r="L170" i="1"/>
  <c r="M170" i="1"/>
  <c r="N170" i="1" s="1"/>
  <c r="V170" i="1"/>
  <c r="Y170" i="1"/>
  <c r="Z170" i="1"/>
  <c r="AA170" i="1" s="1"/>
  <c r="AB170" i="1"/>
  <c r="AC170" i="1"/>
  <c r="AD170" i="1"/>
  <c r="AE170" i="1"/>
  <c r="AF170" i="1"/>
  <c r="AH209" i="1"/>
  <c r="AM209" i="1"/>
  <c r="AN209" i="1"/>
  <c r="AO209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12" i="1"/>
  <c r="AM212" i="1"/>
  <c r="AN212" i="1"/>
  <c r="AO212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13" i="1"/>
  <c r="AM213" i="1"/>
  <c r="AN213" i="1"/>
  <c r="AO213" i="1"/>
  <c r="K173" i="1"/>
  <c r="L173" i="1"/>
  <c r="M173" i="1"/>
  <c r="N173" i="1" s="1"/>
  <c r="V173" i="1"/>
  <c r="S22" i="3" s="1"/>
  <c r="Y173" i="1"/>
  <c r="Z173" i="1"/>
  <c r="AB173" i="1"/>
  <c r="AC173" i="1"/>
  <c r="AD173" i="1"/>
  <c r="X173" i="1" s="1"/>
  <c r="AE173" i="1"/>
  <c r="R22" i="3" s="1"/>
  <c r="AF173" i="1"/>
  <c r="AH214" i="1"/>
  <c r="AM214" i="1"/>
  <c r="AN214" i="1"/>
  <c r="AO214" i="1"/>
  <c r="K174" i="1"/>
  <c r="L174" i="1"/>
  <c r="M174" i="1"/>
  <c r="N174" i="1" s="1"/>
  <c r="V174" i="1"/>
  <c r="Y174" i="1"/>
  <c r="Z174" i="1"/>
  <c r="AA174" i="1" s="1"/>
  <c r="AB174" i="1"/>
  <c r="AC174" i="1"/>
  <c r="AD174" i="1"/>
  <c r="T174" i="1" s="1"/>
  <c r="AE174" i="1"/>
  <c r="AF174" i="1"/>
  <c r="AH215" i="1"/>
  <c r="AM215" i="1"/>
  <c r="AN215" i="1"/>
  <c r="AO215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6" i="1"/>
  <c r="AM216" i="1"/>
  <c r="AN216" i="1"/>
  <c r="AO216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17" i="1"/>
  <c r="AM217" i="1"/>
  <c r="AN217" i="1"/>
  <c r="AO217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218" i="1"/>
  <c r="AM218" i="1"/>
  <c r="AN218" i="1"/>
  <c r="AO218" i="1"/>
  <c r="K178" i="1"/>
  <c r="L178" i="1"/>
  <c r="M178" i="1"/>
  <c r="N178" i="1" s="1"/>
  <c r="V178" i="1"/>
  <c r="S29" i="3" s="1"/>
  <c r="Y178" i="1"/>
  <c r="Z178" i="1"/>
  <c r="AB178" i="1"/>
  <c r="AC178" i="1"/>
  <c r="AD178" i="1"/>
  <c r="AE178" i="1"/>
  <c r="R29" i="3" s="1"/>
  <c r="AF178" i="1"/>
  <c r="AH219" i="1"/>
  <c r="AM219" i="1"/>
  <c r="AN219" i="1"/>
  <c r="AO21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20" i="1"/>
  <c r="AM220" i="1"/>
  <c r="AN220" i="1"/>
  <c r="AO22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21" i="1"/>
  <c r="AM221" i="1"/>
  <c r="AN221" i="1"/>
  <c r="AO221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222" i="1"/>
  <c r="AM222" i="1"/>
  <c r="AN222" i="1"/>
  <c r="AO222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E182" i="1"/>
  <c r="AF182" i="1"/>
  <c r="AH223" i="1"/>
  <c r="AM223" i="1"/>
  <c r="AN223" i="1"/>
  <c r="AO223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4" i="1"/>
  <c r="AM224" i="1"/>
  <c r="AN224" i="1"/>
  <c r="AO224" i="1"/>
  <c r="K184" i="1"/>
  <c r="L184" i="1"/>
  <c r="M184" i="1"/>
  <c r="N184" i="1" s="1"/>
  <c r="V184" i="1"/>
  <c r="S30" i="3" s="1"/>
  <c r="Y184" i="1"/>
  <c r="Z184" i="1"/>
  <c r="AB184" i="1"/>
  <c r="AC184" i="1"/>
  <c r="AD184" i="1"/>
  <c r="AE184" i="1"/>
  <c r="R30" i="3" s="1"/>
  <c r="AF184" i="1"/>
  <c r="AH225" i="1"/>
  <c r="AM225" i="1"/>
  <c r="AN225" i="1"/>
  <c r="AO225" i="1"/>
  <c r="K185" i="1"/>
  <c r="L185" i="1"/>
  <c r="M185" i="1"/>
  <c r="N185" i="1" s="1"/>
  <c r="V185" i="1"/>
  <c r="Y185" i="1"/>
  <c r="Z185" i="1"/>
  <c r="AB185" i="1"/>
  <c r="AC185" i="1"/>
  <c r="AD185" i="1"/>
  <c r="X185" i="1" s="1"/>
  <c r="AE185" i="1"/>
  <c r="AF185" i="1"/>
  <c r="AH226" i="1"/>
  <c r="AM226" i="1"/>
  <c r="AN226" i="1"/>
  <c r="AO226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27" i="1"/>
  <c r="AM227" i="1"/>
  <c r="AN227" i="1"/>
  <c r="AO227" i="1"/>
  <c r="K187" i="1"/>
  <c r="L187" i="1"/>
  <c r="M187" i="1"/>
  <c r="N187" i="1" s="1"/>
  <c r="V187" i="1"/>
  <c r="S23" i="3" s="1"/>
  <c r="Y187" i="1"/>
  <c r="Z187" i="1"/>
  <c r="AB187" i="1"/>
  <c r="AC187" i="1"/>
  <c r="AD187" i="1"/>
  <c r="T187" i="1" s="1"/>
  <c r="AE187" i="1"/>
  <c r="R27" i="3" s="1"/>
  <c r="AF187" i="1"/>
  <c r="AH228" i="1"/>
  <c r="AM228" i="1"/>
  <c r="AN228" i="1"/>
  <c r="AO228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9" i="1"/>
  <c r="AM229" i="1"/>
  <c r="AN229" i="1"/>
  <c r="AO22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30" i="1"/>
  <c r="AM230" i="1"/>
  <c r="AN230" i="1"/>
  <c r="AO230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31" i="1"/>
  <c r="AM231" i="1"/>
  <c r="AN231" i="1"/>
  <c r="AO231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32" i="1"/>
  <c r="AM232" i="1"/>
  <c r="AN232" i="1"/>
  <c r="AO23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33" i="1"/>
  <c r="AM233" i="1"/>
  <c r="AN233" i="1"/>
  <c r="AO233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4" i="1"/>
  <c r="AM234" i="1"/>
  <c r="AN234" i="1"/>
  <c r="AO234" i="1"/>
  <c r="K195" i="1"/>
  <c r="L195" i="1"/>
  <c r="M195" i="1"/>
  <c r="N195" i="1" s="1"/>
  <c r="V195" i="1"/>
  <c r="S24" i="3" s="1"/>
  <c r="Y195" i="1"/>
  <c r="Z195" i="1"/>
  <c r="AB195" i="1"/>
  <c r="AC195" i="1"/>
  <c r="AD195" i="1"/>
  <c r="AE195" i="1"/>
  <c r="R25" i="3" s="1"/>
  <c r="AF195" i="1"/>
  <c r="AH235" i="1"/>
  <c r="AM235" i="1"/>
  <c r="AN235" i="1"/>
  <c r="AO23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6" i="1"/>
  <c r="AM236" i="1"/>
  <c r="AN236" i="1"/>
  <c r="AO236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37" i="1"/>
  <c r="AM237" i="1"/>
  <c r="AN237" i="1"/>
  <c r="AO23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38" i="1"/>
  <c r="AM238" i="1"/>
  <c r="AN238" i="1"/>
  <c r="AO23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39" i="1"/>
  <c r="AM239" i="1"/>
  <c r="AN239" i="1"/>
  <c r="AO239" i="1"/>
  <c r="K200" i="1"/>
  <c r="L200" i="1"/>
  <c r="M200" i="1"/>
  <c r="N200" i="1" s="1"/>
  <c r="V200" i="1"/>
  <c r="S28" i="3" s="1"/>
  <c r="Y200" i="1"/>
  <c r="Z200" i="1"/>
  <c r="AB200" i="1"/>
  <c r="AC200" i="1"/>
  <c r="AD200" i="1"/>
  <c r="AE200" i="1"/>
  <c r="R28" i="3" s="1"/>
  <c r="AF200" i="1"/>
  <c r="AH240" i="1"/>
  <c r="AM240" i="1"/>
  <c r="AN240" i="1"/>
  <c r="AO24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41" i="1"/>
  <c r="AM241" i="1"/>
  <c r="AN241" i="1"/>
  <c r="AO24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42" i="1"/>
  <c r="AM242" i="1"/>
  <c r="AN242" i="1"/>
  <c r="AO24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43" i="1"/>
  <c r="AM243" i="1"/>
  <c r="AN243" i="1"/>
  <c r="AO243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44" i="1"/>
  <c r="AM244" i="1"/>
  <c r="AN244" i="1"/>
  <c r="AO244" i="1"/>
  <c r="K205" i="1"/>
  <c r="L205" i="1"/>
  <c r="M205" i="1"/>
  <c r="N205" i="1" s="1"/>
  <c r="V205" i="1"/>
  <c r="S26" i="3" s="1"/>
  <c r="Y205" i="1"/>
  <c r="Z205" i="1"/>
  <c r="AB205" i="1"/>
  <c r="AC205" i="1"/>
  <c r="AD205" i="1"/>
  <c r="AE205" i="1"/>
  <c r="R26" i="3" s="1"/>
  <c r="AF205" i="1"/>
  <c r="AH245" i="1"/>
  <c r="AM245" i="1"/>
  <c r="AN245" i="1"/>
  <c r="AO24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46" i="1"/>
  <c r="AM246" i="1"/>
  <c r="AN246" i="1"/>
  <c r="AO24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47" i="1"/>
  <c r="AM247" i="1"/>
  <c r="AN247" i="1"/>
  <c r="AO247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48" i="1"/>
  <c r="AM248" i="1"/>
  <c r="AN248" i="1"/>
  <c r="AO248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9" i="1"/>
  <c r="AM249" i="1"/>
  <c r="AN249" i="1"/>
  <c r="AO249" i="1"/>
  <c r="K225" i="1"/>
  <c r="L225" i="1"/>
  <c r="M225" i="1"/>
  <c r="N225" i="1" s="1"/>
  <c r="V225" i="1"/>
  <c r="S33" i="3" s="1"/>
  <c r="Y225" i="1"/>
  <c r="Z225" i="1"/>
  <c r="AB225" i="1"/>
  <c r="AC225" i="1"/>
  <c r="AD225" i="1"/>
  <c r="AE225" i="1"/>
  <c r="R33" i="3" s="1"/>
  <c r="AF225" i="1"/>
  <c r="AH250" i="1"/>
  <c r="AM250" i="1"/>
  <c r="AN250" i="1"/>
  <c r="AO250" i="1"/>
  <c r="K226" i="1"/>
  <c r="L226" i="1"/>
  <c r="M226" i="1"/>
  <c r="N226" i="1" s="1"/>
  <c r="V226" i="1"/>
  <c r="Y226" i="1"/>
  <c r="Z226" i="1"/>
  <c r="AA226" i="1" s="1"/>
  <c r="AB226" i="1"/>
  <c r="AC226" i="1"/>
  <c r="AD226" i="1"/>
  <c r="AE226" i="1"/>
  <c r="AF226" i="1"/>
  <c r="AH251" i="1"/>
  <c r="AM251" i="1"/>
  <c r="AN251" i="1"/>
  <c r="AO25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52" i="1"/>
  <c r="AM252" i="1"/>
  <c r="AN252" i="1"/>
  <c r="AO25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253" i="1"/>
  <c r="AM253" i="1"/>
  <c r="AN253" i="1"/>
  <c r="AO253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254" i="1"/>
  <c r="AM254" i="1"/>
  <c r="AN254" i="1"/>
  <c r="AO254" i="1"/>
  <c r="K230" i="1"/>
  <c r="L230" i="1"/>
  <c r="M230" i="1"/>
  <c r="N230" i="1" s="1"/>
  <c r="V230" i="1"/>
  <c r="Y230" i="1"/>
  <c r="Z230" i="1"/>
  <c r="AA230" i="1" s="1"/>
  <c r="AB230" i="1"/>
  <c r="AC230" i="1"/>
  <c r="AD230" i="1"/>
  <c r="T230" i="1" s="1"/>
  <c r="AE230" i="1"/>
  <c r="AF230" i="1"/>
  <c r="AH255" i="1"/>
  <c r="AM255" i="1"/>
  <c r="AN255" i="1"/>
  <c r="AO255" i="1"/>
  <c r="M33" i="3"/>
  <c r="U33" i="3"/>
  <c r="T33" i="3" s="1"/>
  <c r="V33" i="3"/>
  <c r="X33" i="3"/>
  <c r="M21" i="3"/>
  <c r="U21" i="3"/>
  <c r="AD21" i="3" s="1"/>
  <c r="V21" i="3"/>
  <c r="X21" i="3"/>
  <c r="M18" i="3"/>
  <c r="U18" i="3"/>
  <c r="AC18" i="3" s="1"/>
  <c r="V18" i="3"/>
  <c r="X18" i="3"/>
  <c r="M22" i="3"/>
  <c r="U22" i="3"/>
  <c r="T22" i="3" s="1"/>
  <c r="V22" i="3"/>
  <c r="X22" i="3"/>
  <c r="M40" i="3"/>
  <c r="U40" i="3"/>
  <c r="T40" i="3" s="1"/>
  <c r="V40" i="3"/>
  <c r="X40" i="3"/>
  <c r="M35" i="3"/>
  <c r="U35" i="3"/>
  <c r="V35" i="3"/>
  <c r="X35" i="3"/>
  <c r="M36" i="3"/>
  <c r="U36" i="3"/>
  <c r="AC36" i="3" s="1"/>
  <c r="V36" i="3"/>
  <c r="X36" i="3"/>
  <c r="M41" i="3"/>
  <c r="U41" i="3"/>
  <c r="T41" i="3" s="1"/>
  <c r="V41" i="3"/>
  <c r="X41" i="3"/>
  <c r="M29" i="3"/>
  <c r="U29" i="3"/>
  <c r="T29" i="3" s="1"/>
  <c r="V29" i="3"/>
  <c r="X29" i="3"/>
  <c r="M20" i="3"/>
  <c r="U20" i="3"/>
  <c r="V20" i="3"/>
  <c r="X20" i="3"/>
  <c r="M7" i="3"/>
  <c r="U7" i="3"/>
  <c r="AC7" i="3" s="1"/>
  <c r="V7" i="3"/>
  <c r="X7" i="3"/>
  <c r="M38" i="3"/>
  <c r="U38" i="3"/>
  <c r="T38" i="3" s="1"/>
  <c r="V38" i="3"/>
  <c r="X38" i="3"/>
  <c r="M42" i="3"/>
  <c r="U42" i="3"/>
  <c r="T42" i="3" s="1"/>
  <c r="V42" i="3"/>
  <c r="X42" i="3"/>
  <c r="M10" i="3"/>
  <c r="U10" i="3"/>
  <c r="V10" i="3"/>
  <c r="X10" i="3"/>
  <c r="M14" i="3"/>
  <c r="U14" i="3"/>
  <c r="AC14" i="3" s="1"/>
  <c r="V14" i="3"/>
  <c r="X14" i="3"/>
  <c r="M8" i="3"/>
  <c r="U8" i="3"/>
  <c r="T8" i="3" s="1"/>
  <c r="V8" i="3"/>
  <c r="X8" i="3"/>
  <c r="M30" i="3"/>
  <c r="U30" i="3"/>
  <c r="T30" i="3" s="1"/>
  <c r="V30" i="3"/>
  <c r="X30" i="3"/>
  <c r="M34" i="3"/>
  <c r="U34" i="3"/>
  <c r="V34" i="3"/>
  <c r="X34" i="3"/>
  <c r="M43" i="3"/>
  <c r="U43" i="3"/>
  <c r="AC43" i="3" s="1"/>
  <c r="V43" i="3"/>
  <c r="X43" i="3"/>
  <c r="M16" i="3"/>
  <c r="U16" i="3"/>
  <c r="T16" i="3" s="1"/>
  <c r="V16" i="3"/>
  <c r="X16" i="3"/>
  <c r="M13" i="3"/>
  <c r="U13" i="3"/>
  <c r="T13" i="3" s="1"/>
  <c r="V13" i="3"/>
  <c r="X13" i="3"/>
  <c r="M27" i="3"/>
  <c r="U27" i="3"/>
  <c r="V27" i="3"/>
  <c r="X27" i="3"/>
  <c r="M17" i="3"/>
  <c r="U17" i="3"/>
  <c r="AC17" i="3" s="1"/>
  <c r="V17" i="3"/>
  <c r="X17" i="3"/>
  <c r="M37" i="3"/>
  <c r="U37" i="3"/>
  <c r="T37" i="3" s="1"/>
  <c r="V37" i="3"/>
  <c r="X37" i="3"/>
  <c r="M23" i="3"/>
  <c r="U23" i="3"/>
  <c r="T23" i="3" s="1"/>
  <c r="V23" i="3"/>
  <c r="X23" i="3"/>
  <c r="M12" i="3"/>
  <c r="U12" i="3"/>
  <c r="V12" i="3"/>
  <c r="X12" i="3"/>
  <c r="M44" i="3"/>
  <c r="U44" i="3"/>
  <c r="AC44" i="3" s="1"/>
  <c r="V44" i="3"/>
  <c r="X44" i="3"/>
  <c r="M39" i="3"/>
  <c r="U39" i="3"/>
  <c r="T39" i="3" s="1"/>
  <c r="V39" i="3"/>
  <c r="X39" i="3"/>
  <c r="M11" i="3"/>
  <c r="U11" i="3"/>
  <c r="T11" i="3" s="1"/>
  <c r="V11" i="3"/>
  <c r="X11" i="3"/>
  <c r="M24" i="3"/>
  <c r="U24" i="3"/>
  <c r="V24" i="3"/>
  <c r="X24" i="3"/>
  <c r="M25" i="3"/>
  <c r="U25" i="3"/>
  <c r="AC25" i="3" s="1"/>
  <c r="V25" i="3"/>
  <c r="X25" i="3"/>
  <c r="M28" i="3"/>
  <c r="U28" i="3"/>
  <c r="T28" i="3" s="1"/>
  <c r="V28" i="3"/>
  <c r="X28" i="3"/>
  <c r="M31" i="3"/>
  <c r="U31" i="3"/>
  <c r="T31" i="3" s="1"/>
  <c r="V31" i="3"/>
  <c r="X31" i="3"/>
  <c r="M26" i="3"/>
  <c r="U26" i="3"/>
  <c r="V26" i="3"/>
  <c r="X26" i="3"/>
  <c r="M32" i="3"/>
  <c r="S32" i="3"/>
  <c r="U32" i="3"/>
  <c r="AC32" i="3" s="1"/>
  <c r="V32" i="3"/>
  <c r="X32" i="3"/>
  <c r="M15" i="3"/>
  <c r="U15" i="3"/>
  <c r="T15" i="3" s="1"/>
  <c r="V15" i="3"/>
  <c r="X15" i="3"/>
  <c r="AG211" i="1"/>
  <c r="AG210" i="1"/>
  <c r="AG208" i="1"/>
  <c r="AG192" i="1"/>
  <c r="AG97" i="1"/>
  <c r="AG96" i="1"/>
  <c r="AG123" i="1"/>
  <c r="AG128" i="1"/>
  <c r="AG146" i="1"/>
  <c r="AG149" i="1"/>
  <c r="AG153" i="1"/>
  <c r="AG161" i="1"/>
  <c r="AG57" i="1"/>
  <c r="AG88" i="1"/>
  <c r="AG73" i="1"/>
  <c r="AG89" i="1"/>
  <c r="AG104" i="1"/>
  <c r="AG111" i="1"/>
  <c r="AG125" i="1"/>
  <c r="AG142" i="1"/>
  <c r="AG157" i="1"/>
  <c r="AG219" i="1"/>
  <c r="AG238" i="1"/>
  <c r="AG246" i="1"/>
  <c r="AG165" i="1"/>
  <c r="AG177" i="1"/>
  <c r="AG126" i="1"/>
  <c r="AG199" i="1"/>
  <c r="AG191" i="1"/>
  <c r="AG229" i="1"/>
  <c r="AG14" i="1"/>
  <c r="AG18" i="1"/>
  <c r="AG22" i="1"/>
  <c r="AG26" i="1"/>
  <c r="AG30" i="1"/>
  <c r="AG34" i="1"/>
  <c r="AG38" i="1"/>
  <c r="AG42" i="1"/>
  <c r="AG46" i="1"/>
  <c r="AG50" i="1"/>
  <c r="AG54" i="1"/>
  <c r="AG58" i="1"/>
  <c r="AG67" i="1"/>
  <c r="AG74" i="1"/>
  <c r="AG82" i="1"/>
  <c r="AG90" i="1"/>
  <c r="AG64" i="1"/>
  <c r="AG75" i="1"/>
  <c r="AG83" i="1"/>
  <c r="AG91" i="1"/>
  <c r="AG95" i="1"/>
  <c r="AG101" i="1"/>
  <c r="AG105" i="1"/>
  <c r="AG112" i="1"/>
  <c r="AG116" i="1"/>
  <c r="AG120" i="1"/>
  <c r="AG127" i="1"/>
  <c r="AG136" i="1"/>
  <c r="AG143" i="1"/>
  <c r="AG148" i="1"/>
  <c r="AG154" i="1"/>
  <c r="AG158" i="1"/>
  <c r="AG212" i="1"/>
  <c r="AG216" i="1"/>
  <c r="AG220" i="1"/>
  <c r="AG231" i="1"/>
  <c r="AG235" i="1"/>
  <c r="AG239" i="1"/>
  <c r="AG243" i="1"/>
  <c r="AG247" i="1"/>
  <c r="AG251" i="1"/>
  <c r="AG255" i="1"/>
  <c r="AG166" i="1"/>
  <c r="AG170" i="1"/>
  <c r="AG174" i="1"/>
  <c r="AG178" i="1"/>
  <c r="AG182" i="1"/>
  <c r="AG186" i="1"/>
  <c r="AG129" i="1"/>
  <c r="AG137" i="1"/>
  <c r="AG193" i="1"/>
  <c r="AG201" i="1"/>
  <c r="AG224" i="1"/>
  <c r="AG194" i="1"/>
  <c r="AG202" i="1"/>
  <c r="AG225" i="1"/>
  <c r="AG230" i="1"/>
  <c r="AG85" i="1"/>
  <c r="AG113" i="1"/>
  <c r="AG138" i="1"/>
  <c r="AG150" i="1"/>
  <c r="AG155" i="1"/>
  <c r="AG213" i="1"/>
  <c r="AG221" i="1"/>
  <c r="AG236" i="1"/>
  <c r="AG240" i="1"/>
  <c r="AG248" i="1"/>
  <c r="AG163" i="1"/>
  <c r="AG171" i="1"/>
  <c r="AG175" i="1"/>
  <c r="AG183" i="1"/>
  <c r="AG122" i="1"/>
  <c r="AG139" i="1"/>
  <c r="AG203" i="1"/>
  <c r="AG196" i="1"/>
  <c r="AG227" i="1"/>
  <c r="AG226" i="1"/>
  <c r="AG145" i="1"/>
  <c r="AG233" i="1"/>
  <c r="AG245" i="1"/>
  <c r="AG164" i="1"/>
  <c r="AG172" i="1"/>
  <c r="AG184" i="1"/>
  <c r="AG141" i="1"/>
  <c r="AG205" i="1"/>
  <c r="AG206" i="1"/>
  <c r="AG15" i="1"/>
  <c r="AG19" i="1"/>
  <c r="AG23" i="1"/>
  <c r="AG27" i="1"/>
  <c r="AG31" i="1"/>
  <c r="AG35" i="1"/>
  <c r="AG39" i="1"/>
  <c r="AG43" i="1"/>
  <c r="AG47" i="1"/>
  <c r="AG51" i="1"/>
  <c r="AG55" i="1"/>
  <c r="AG59" i="1"/>
  <c r="AG62" i="1"/>
  <c r="AG76" i="1"/>
  <c r="AG84" i="1"/>
  <c r="AG61" i="1"/>
  <c r="AG66" i="1"/>
  <c r="AG77" i="1"/>
  <c r="AG92" i="1"/>
  <c r="AG98" i="1"/>
  <c r="AG102" i="1"/>
  <c r="AG106" i="1"/>
  <c r="AG109" i="1"/>
  <c r="AG117" i="1"/>
  <c r="AG71" i="1"/>
  <c r="AG130" i="1"/>
  <c r="AG144" i="1"/>
  <c r="AG159" i="1"/>
  <c r="AG217" i="1"/>
  <c r="AG232" i="1"/>
  <c r="AG244" i="1"/>
  <c r="AG252" i="1"/>
  <c r="AG167" i="1"/>
  <c r="AG179" i="1"/>
  <c r="AG131" i="1"/>
  <c r="AG195" i="1"/>
  <c r="AG187" i="1"/>
  <c r="AG204" i="1"/>
  <c r="AG48" i="1"/>
  <c r="AG78" i="1"/>
  <c r="AG70" i="1"/>
  <c r="AG87" i="1"/>
  <c r="AG99" i="1"/>
  <c r="AG107" i="1"/>
  <c r="AG114" i="1"/>
  <c r="AG121" i="1"/>
  <c r="AG140" i="1"/>
  <c r="AG156" i="1"/>
  <c r="AG214" i="1"/>
  <c r="AG222" i="1"/>
  <c r="AG241" i="1"/>
  <c r="AG253" i="1"/>
  <c r="AG176" i="1"/>
  <c r="AG133" i="1"/>
  <c r="AG188" i="1"/>
  <c r="AG189" i="1"/>
  <c r="AG17" i="1"/>
  <c r="AG21" i="1"/>
  <c r="AG25" i="1"/>
  <c r="AG29" i="1"/>
  <c r="AG33" i="1"/>
  <c r="AG37" i="1"/>
  <c r="AG41" i="1"/>
  <c r="AG45" i="1"/>
  <c r="AG49" i="1"/>
  <c r="AG53" i="1"/>
  <c r="AG63" i="1"/>
  <c r="AG72" i="1"/>
  <c r="AG69" i="1"/>
  <c r="AG81" i="1"/>
  <c r="AG94" i="1"/>
  <c r="AG108" i="1"/>
  <c r="AG115" i="1"/>
  <c r="AG134" i="1"/>
  <c r="AG147" i="1"/>
  <c r="AG162" i="1"/>
  <c r="AG223" i="1"/>
  <c r="AG242" i="1"/>
  <c r="AG250" i="1"/>
  <c r="AG169" i="1"/>
  <c r="AG181" i="1"/>
  <c r="AG135" i="1"/>
  <c r="AG207" i="1"/>
  <c r="AG209" i="1"/>
  <c r="AG16" i="1"/>
  <c r="AG20" i="1"/>
  <c r="AG24" i="1"/>
  <c r="AG28" i="1"/>
  <c r="AG32" i="1"/>
  <c r="AG36" i="1"/>
  <c r="AG40" i="1"/>
  <c r="AG44" i="1"/>
  <c r="AG52" i="1"/>
  <c r="AG56" i="1"/>
  <c r="AG60" i="1"/>
  <c r="AG68" i="1"/>
  <c r="AG86" i="1"/>
  <c r="AG65" i="1"/>
  <c r="AG79" i="1"/>
  <c r="AG93" i="1"/>
  <c r="AG103" i="1"/>
  <c r="AG110" i="1"/>
  <c r="AG118" i="1"/>
  <c r="AG132" i="1"/>
  <c r="AG151" i="1"/>
  <c r="AG160" i="1"/>
  <c r="AG218" i="1"/>
  <c r="AG237" i="1"/>
  <c r="AG249" i="1"/>
  <c r="AG168" i="1"/>
  <c r="AG180" i="1"/>
  <c r="AG124" i="1"/>
  <c r="AG197" i="1"/>
  <c r="AG198" i="1"/>
  <c r="AG228" i="1"/>
  <c r="AG80" i="1"/>
  <c r="AG100" i="1"/>
  <c r="AG119" i="1"/>
  <c r="AG152" i="1"/>
  <c r="AG215" i="1"/>
  <c r="AG234" i="1"/>
  <c r="AG254" i="1"/>
  <c r="AG173" i="1"/>
  <c r="AG185" i="1"/>
  <c r="AG190" i="1"/>
  <c r="AG200" i="1"/>
  <c r="W17" i="3"/>
  <c r="W20" i="3"/>
  <c r="W12" i="3"/>
  <c r="W32" i="3"/>
  <c r="W37" i="3"/>
  <c r="W7" i="3"/>
  <c r="W25" i="3"/>
  <c r="W28" i="3"/>
  <c r="W42" i="3"/>
  <c r="W11" i="3"/>
  <c r="W10" i="3"/>
  <c r="W24" i="3"/>
  <c r="W41" i="3"/>
  <c r="W15" i="3"/>
  <c r="W14" i="3"/>
  <c r="W22" i="3"/>
  <c r="W33" i="3"/>
  <c r="W30" i="3"/>
  <c r="W31" i="3"/>
  <c r="W21" i="3"/>
  <c r="W34" i="3"/>
  <c r="W26" i="3"/>
  <c r="W38" i="3"/>
  <c r="W18" i="3"/>
  <c r="W43" i="3"/>
  <c r="W8" i="3"/>
  <c r="W40" i="3"/>
  <c r="W13" i="3"/>
  <c r="W35" i="3"/>
  <c r="W27" i="3"/>
  <c r="W44" i="3"/>
  <c r="W16" i="3"/>
  <c r="W36" i="3"/>
  <c r="W39" i="3"/>
  <c r="W29" i="3"/>
  <c r="W23" i="3"/>
  <c r="U211" i="1" l="1"/>
  <c r="S211" i="1" s="1"/>
  <c r="AI211" i="1"/>
  <c r="W211" i="1"/>
  <c r="AI210" i="1"/>
  <c r="U210" i="1"/>
  <c r="S210" i="1" s="1"/>
  <c r="W210" i="1"/>
  <c r="X208" i="1"/>
  <c r="U208" i="1"/>
  <c r="S208" i="1" s="1"/>
  <c r="AI208" i="1"/>
  <c r="W208" i="1"/>
  <c r="X192" i="1"/>
  <c r="U192" i="1"/>
  <c r="S192" i="1" s="1"/>
  <c r="AI192" i="1"/>
  <c r="W192" i="1"/>
  <c r="X104" i="1"/>
  <c r="AA118" i="1"/>
  <c r="AA114" i="1"/>
  <c r="X115" i="1"/>
  <c r="U97" i="1"/>
  <c r="AI97" i="1"/>
  <c r="W97" i="1"/>
  <c r="X97" i="1"/>
  <c r="AI96" i="1"/>
  <c r="U96" i="1"/>
  <c r="S96" i="1" s="1"/>
  <c r="W96" i="1"/>
  <c r="X96" i="1"/>
  <c r="X113" i="1"/>
  <c r="X124" i="1"/>
  <c r="AA228" i="1"/>
  <c r="AA200" i="1"/>
  <c r="AA184" i="1"/>
  <c r="X183" i="1"/>
  <c r="AA180" i="1"/>
  <c r="AA176" i="1"/>
  <c r="W176" i="1" s="1"/>
  <c r="X175" i="1"/>
  <c r="AA172" i="1"/>
  <c r="AA168" i="1"/>
  <c r="AA164" i="1"/>
  <c r="AA253" i="1"/>
  <c r="AA144" i="1"/>
  <c r="T104" i="1"/>
  <c r="X128" i="1"/>
  <c r="X123" i="1"/>
  <c r="U123" i="1"/>
  <c r="S123" i="1" s="1"/>
  <c r="AI123" i="1"/>
  <c r="W123" i="1"/>
  <c r="AI128" i="1"/>
  <c r="U128" i="1"/>
  <c r="S128" i="1" s="1"/>
  <c r="W128" i="1"/>
  <c r="X146" i="1"/>
  <c r="S14" i="3"/>
  <c r="AA119" i="1"/>
  <c r="AA111" i="1"/>
  <c r="W111" i="1" s="1"/>
  <c r="X110" i="1"/>
  <c r="X107" i="1"/>
  <c r="AA103" i="1"/>
  <c r="AA99" i="1"/>
  <c r="W99" i="1" s="1"/>
  <c r="AA14" i="1"/>
  <c r="X147" i="1"/>
  <c r="S41" i="3"/>
  <c r="AA227" i="1"/>
  <c r="W227" i="1" s="1"/>
  <c r="AA126" i="1"/>
  <c r="W126" i="1" s="1"/>
  <c r="AA121" i="1"/>
  <c r="AA63" i="1"/>
  <c r="W63" i="1" s="1"/>
  <c r="AA62" i="1"/>
  <c r="AA59" i="1"/>
  <c r="AA41" i="1"/>
  <c r="U146" i="1"/>
  <c r="S146" i="1" s="1"/>
  <c r="AI146" i="1"/>
  <c r="W146" i="1"/>
  <c r="R35" i="3"/>
  <c r="R40" i="3"/>
  <c r="AA209" i="1"/>
  <c r="AA191" i="1"/>
  <c r="W191" i="1" s="1"/>
  <c r="X186" i="1"/>
  <c r="X178" i="1"/>
  <c r="AA171" i="1"/>
  <c r="AA167" i="1"/>
  <c r="W167" i="1" s="1"/>
  <c r="AA163" i="1"/>
  <c r="AA252" i="1"/>
  <c r="W252" i="1" s="1"/>
  <c r="AA248" i="1"/>
  <c r="AA244" i="1"/>
  <c r="W244" i="1" s="1"/>
  <c r="AA240" i="1"/>
  <c r="AA236" i="1"/>
  <c r="W236" i="1" s="1"/>
  <c r="AA232" i="1"/>
  <c r="AA143" i="1"/>
  <c r="W143" i="1" s="1"/>
  <c r="AA136" i="1"/>
  <c r="W136" i="1" s="1"/>
  <c r="AA135" i="1"/>
  <c r="AA125" i="1"/>
  <c r="AA113" i="1"/>
  <c r="AA100" i="1"/>
  <c r="W100" i="1" s="1"/>
  <c r="AA57" i="1"/>
  <c r="W57" i="1" s="1"/>
  <c r="AD44" i="3"/>
  <c r="X154" i="1"/>
  <c r="X151" i="1"/>
  <c r="R41" i="3"/>
  <c r="AA225" i="1"/>
  <c r="AA206" i="1"/>
  <c r="W206" i="1" s="1"/>
  <c r="AA202" i="1"/>
  <c r="W202" i="1" s="1"/>
  <c r="AA185" i="1"/>
  <c r="W185" i="1" s="1"/>
  <c r="AA181" i="1"/>
  <c r="AA177" i="1"/>
  <c r="W177" i="1" s="1"/>
  <c r="AA173" i="1"/>
  <c r="AA169" i="1"/>
  <c r="AA165" i="1"/>
  <c r="AA254" i="1"/>
  <c r="AA250" i="1"/>
  <c r="W250" i="1" s="1"/>
  <c r="AA246" i="1"/>
  <c r="W246" i="1" s="1"/>
  <c r="AA242" i="1"/>
  <c r="AA238" i="1"/>
  <c r="W238" i="1" s="1"/>
  <c r="AA234" i="1"/>
  <c r="AA147" i="1"/>
  <c r="W147" i="1" s="1"/>
  <c r="AA138" i="1"/>
  <c r="AA134" i="1"/>
  <c r="W134" i="1" s="1"/>
  <c r="AA122" i="1"/>
  <c r="AA102" i="1"/>
  <c r="W102" i="1" s="1"/>
  <c r="AA68" i="1"/>
  <c r="AA43" i="1"/>
  <c r="W43" i="1" s="1"/>
  <c r="AA39" i="1"/>
  <c r="W39" i="1" s="1"/>
  <c r="AA33" i="1"/>
  <c r="W33" i="1" s="1"/>
  <c r="X150" i="1"/>
  <c r="AD22" i="3"/>
  <c r="S25" i="3"/>
  <c r="AA45" i="1"/>
  <c r="W45" i="1" s="1"/>
  <c r="X161" i="1"/>
  <c r="X62" i="1"/>
  <c r="AA133" i="1"/>
  <c r="W133" i="1" s="1"/>
  <c r="AA106" i="1"/>
  <c r="AA53" i="1"/>
  <c r="S18" i="3"/>
  <c r="AA140" i="1"/>
  <c r="W140" i="1" s="1"/>
  <c r="AA116" i="1"/>
  <c r="W116" i="1" s="1"/>
  <c r="X63" i="1"/>
  <c r="R34" i="3"/>
  <c r="AA188" i="1"/>
  <c r="W188" i="1" s="1"/>
  <c r="T183" i="1"/>
  <c r="U183" i="1" s="1"/>
  <c r="S183" i="1" s="1"/>
  <c r="X180" i="1"/>
  <c r="T175" i="1"/>
  <c r="U175" i="1" s="1"/>
  <c r="S175" i="1" s="1"/>
  <c r="AA120" i="1"/>
  <c r="W120" i="1" s="1"/>
  <c r="X118" i="1"/>
  <c r="X112" i="1"/>
  <c r="AA109" i="1"/>
  <c r="W109" i="1" s="1"/>
  <c r="AA108" i="1"/>
  <c r="W108" i="1" s="1"/>
  <c r="AA64" i="1"/>
  <c r="W64" i="1" s="1"/>
  <c r="AA47" i="1"/>
  <c r="AD33" i="3"/>
  <c r="R37" i="3"/>
  <c r="AA249" i="1"/>
  <c r="W249" i="1" s="1"/>
  <c r="AA245" i="1"/>
  <c r="AA241" i="1"/>
  <c r="W241" i="1" s="1"/>
  <c r="AA237" i="1"/>
  <c r="W237" i="1" s="1"/>
  <c r="AA233" i="1"/>
  <c r="W233" i="1" s="1"/>
  <c r="AA222" i="1"/>
  <c r="AA218" i="1"/>
  <c r="W218" i="1" s="1"/>
  <c r="AA214" i="1"/>
  <c r="W214" i="1" s="1"/>
  <c r="AA160" i="1"/>
  <c r="W160" i="1" s="1"/>
  <c r="AA130" i="1"/>
  <c r="T113" i="1"/>
  <c r="AA101" i="1"/>
  <c r="W101" i="1" s="1"/>
  <c r="AA70" i="1"/>
  <c r="AA66" i="1"/>
  <c r="X65" i="1"/>
  <c r="AA55" i="1"/>
  <c r="W55" i="1" s="1"/>
  <c r="AA49" i="1"/>
  <c r="W49" i="1" s="1"/>
  <c r="AA37" i="1"/>
  <c r="X162" i="1"/>
  <c r="X155" i="1"/>
  <c r="AI149" i="1"/>
  <c r="U149" i="1"/>
  <c r="S149" i="1" s="1"/>
  <c r="W149" i="1"/>
  <c r="X149" i="1"/>
  <c r="AD38" i="3"/>
  <c r="AD28" i="3"/>
  <c r="S31" i="3"/>
  <c r="R44" i="3"/>
  <c r="AC33" i="3"/>
  <c r="S35" i="3"/>
  <c r="X153" i="1"/>
  <c r="AI153" i="1"/>
  <c r="U153" i="1"/>
  <c r="S153" i="1" s="1"/>
  <c r="W153" i="1"/>
  <c r="AD30" i="3"/>
  <c r="T25" i="3"/>
  <c r="S44" i="3"/>
  <c r="R23" i="3"/>
  <c r="T14" i="3"/>
  <c r="T17" i="3"/>
  <c r="R18" i="3"/>
  <c r="U161" i="1"/>
  <c r="S161" i="1" s="1"/>
  <c r="AI161" i="1"/>
  <c r="W161" i="1"/>
  <c r="AD34" i="3"/>
  <c r="T36" i="3"/>
  <c r="AD42" i="3"/>
  <c r="AE39" i="3"/>
  <c r="R24" i="3"/>
  <c r="AD36" i="3"/>
  <c r="AE35" i="3"/>
  <c r="S37" i="3"/>
  <c r="AD29" i="3"/>
  <c r="R8" i="3"/>
  <c r="AD17" i="3"/>
  <c r="S36" i="3"/>
  <c r="T18" i="3"/>
  <c r="R31" i="3"/>
  <c r="S34" i="3"/>
  <c r="AE43" i="3"/>
  <c r="AD40" i="3"/>
  <c r="S27" i="3"/>
  <c r="AA224" i="1"/>
  <c r="W224" i="1" s="1"/>
  <c r="AA204" i="1"/>
  <c r="W204" i="1" s="1"/>
  <c r="AA201" i="1"/>
  <c r="W201" i="1" s="1"/>
  <c r="AA196" i="1"/>
  <c r="AA190" i="1"/>
  <c r="W190" i="1" s="1"/>
  <c r="AA183" i="1"/>
  <c r="AA175" i="1"/>
  <c r="W175" i="1" s="1"/>
  <c r="AA205" i="1"/>
  <c r="AA198" i="1"/>
  <c r="W198" i="1" s="1"/>
  <c r="AA197" i="1"/>
  <c r="W197" i="1" s="1"/>
  <c r="X121" i="1"/>
  <c r="X114" i="1"/>
  <c r="AA60" i="1"/>
  <c r="W60" i="1" s="1"/>
  <c r="AA50" i="1"/>
  <c r="W50" i="1" s="1"/>
  <c r="AA48" i="1"/>
  <c r="W48" i="1" s="1"/>
  <c r="AA34" i="1"/>
  <c r="AA32" i="1"/>
  <c r="W32" i="1" s="1"/>
  <c r="AA28" i="1"/>
  <c r="W28" i="1" s="1"/>
  <c r="AA24" i="1"/>
  <c r="W24" i="1" s="1"/>
  <c r="AA20" i="1"/>
  <c r="AA16" i="1"/>
  <c r="W16" i="1" s="1"/>
  <c r="AA194" i="1"/>
  <c r="W194" i="1" s="1"/>
  <c r="AA193" i="1"/>
  <c r="W193" i="1" s="1"/>
  <c r="AA187" i="1"/>
  <c r="W187" i="1" s="1"/>
  <c r="AA186" i="1"/>
  <c r="W186" i="1" s="1"/>
  <c r="X184" i="1"/>
  <c r="AA179" i="1"/>
  <c r="W179" i="1" s="1"/>
  <c r="AA178" i="1"/>
  <c r="X176" i="1"/>
  <c r="AA221" i="1"/>
  <c r="W221" i="1" s="1"/>
  <c r="AA217" i="1"/>
  <c r="AA213" i="1"/>
  <c r="AA159" i="1"/>
  <c r="X143" i="1"/>
  <c r="AA127" i="1"/>
  <c r="W127" i="1" s="1"/>
  <c r="AA117" i="1"/>
  <c r="X116" i="1"/>
  <c r="AA115" i="1"/>
  <c r="W115" i="1" s="1"/>
  <c r="AA112" i="1"/>
  <c r="W112" i="1" s="1"/>
  <c r="X59" i="1"/>
  <c r="AA54" i="1"/>
  <c r="AA52" i="1"/>
  <c r="W52" i="1" s="1"/>
  <c r="AA51" i="1"/>
  <c r="W51" i="1" s="1"/>
  <c r="AA38" i="1"/>
  <c r="AA36" i="1"/>
  <c r="AA35" i="1"/>
  <c r="W35" i="1" s="1"/>
  <c r="AA29" i="1"/>
  <c r="W29" i="1" s="1"/>
  <c r="AA25" i="1"/>
  <c r="AA21" i="1"/>
  <c r="W21" i="1" s="1"/>
  <c r="AA17" i="1"/>
  <c r="W17" i="1" s="1"/>
  <c r="AA56" i="1"/>
  <c r="W56" i="1" s="1"/>
  <c r="AA42" i="1"/>
  <c r="AA40" i="1"/>
  <c r="W40" i="1" s="1"/>
  <c r="AA30" i="1"/>
  <c r="W30" i="1" s="1"/>
  <c r="AA26" i="1"/>
  <c r="AA22" i="1"/>
  <c r="AA18" i="1"/>
  <c r="W18" i="1" s="1"/>
  <c r="AA223" i="1"/>
  <c r="W223" i="1" s="1"/>
  <c r="AA219" i="1"/>
  <c r="W219" i="1" s="1"/>
  <c r="AA215" i="1"/>
  <c r="AA162" i="1"/>
  <c r="W162" i="1" s="1"/>
  <c r="AA145" i="1"/>
  <c r="W145" i="1" s="1"/>
  <c r="AA142" i="1"/>
  <c r="W142" i="1" s="1"/>
  <c r="AA141" i="1"/>
  <c r="AA132" i="1"/>
  <c r="AA131" i="1"/>
  <c r="W131" i="1" s="1"/>
  <c r="T121" i="1"/>
  <c r="X120" i="1"/>
  <c r="AA110" i="1"/>
  <c r="W110" i="1" s="1"/>
  <c r="AA107" i="1"/>
  <c r="W107" i="1" s="1"/>
  <c r="AA104" i="1"/>
  <c r="AA67" i="1"/>
  <c r="AA46" i="1"/>
  <c r="W46" i="1" s="1"/>
  <c r="AA44" i="1"/>
  <c r="W44" i="1" s="1"/>
  <c r="AA31" i="1"/>
  <c r="AA27" i="1"/>
  <c r="AA23" i="1"/>
  <c r="W23" i="1" s="1"/>
  <c r="AA19" i="1"/>
  <c r="W19" i="1" s="1"/>
  <c r="AA15" i="1"/>
  <c r="AA207" i="1"/>
  <c r="AA199" i="1"/>
  <c r="W199" i="1" s="1"/>
  <c r="AA189" i="1"/>
  <c r="W189" i="1" s="1"/>
  <c r="T186" i="1"/>
  <c r="X182" i="1"/>
  <c r="T181" i="1"/>
  <c r="U181" i="1" s="1"/>
  <c r="S181" i="1" s="1"/>
  <c r="T178" i="1"/>
  <c r="X174" i="1"/>
  <c r="T173" i="1"/>
  <c r="U173" i="1" s="1"/>
  <c r="S173" i="1" s="1"/>
  <c r="AA229" i="1"/>
  <c r="W229" i="1" s="1"/>
  <c r="T184" i="1"/>
  <c r="U184" i="1" s="1"/>
  <c r="S184" i="1" s="1"/>
  <c r="T176" i="1"/>
  <c r="AA203" i="1"/>
  <c r="AA195" i="1"/>
  <c r="W195" i="1" s="1"/>
  <c r="X187" i="1"/>
  <c r="T185" i="1"/>
  <c r="X179" i="1"/>
  <c r="T177" i="1"/>
  <c r="U177" i="1" s="1"/>
  <c r="S177" i="1" s="1"/>
  <c r="T118" i="1"/>
  <c r="U118" i="1" s="1"/>
  <c r="S118" i="1" s="1"/>
  <c r="T110" i="1"/>
  <c r="T107" i="1"/>
  <c r="U107" i="1" s="1"/>
  <c r="S107" i="1" s="1"/>
  <c r="AA69" i="1"/>
  <c r="W69" i="1" s="1"/>
  <c r="X64" i="1"/>
  <c r="T63" i="1"/>
  <c r="AA61" i="1"/>
  <c r="W61" i="1" s="1"/>
  <c r="AA58" i="1"/>
  <c r="W58" i="1" s="1"/>
  <c r="T116" i="1"/>
  <c r="X105" i="1"/>
  <c r="AA137" i="1"/>
  <c r="W137" i="1" s="1"/>
  <c r="AA124" i="1"/>
  <c r="W124" i="1" s="1"/>
  <c r="X119" i="1"/>
  <c r="X111" i="1"/>
  <c r="AA98" i="1"/>
  <c r="W98" i="1" s="1"/>
  <c r="AA95" i="1"/>
  <c r="W95" i="1" s="1"/>
  <c r="AA94" i="1"/>
  <c r="AA93" i="1"/>
  <c r="AA92" i="1"/>
  <c r="W92" i="1" s="1"/>
  <c r="AA91" i="1"/>
  <c r="W91" i="1" s="1"/>
  <c r="AA90" i="1"/>
  <c r="AA89" i="1"/>
  <c r="AA88" i="1"/>
  <c r="W88" i="1" s="1"/>
  <c r="AA87" i="1"/>
  <c r="W87" i="1" s="1"/>
  <c r="AA86" i="1"/>
  <c r="AA85" i="1"/>
  <c r="AA84" i="1"/>
  <c r="W84" i="1" s="1"/>
  <c r="AA83" i="1"/>
  <c r="W83" i="1" s="1"/>
  <c r="AA82" i="1"/>
  <c r="AA81" i="1"/>
  <c r="AA80" i="1"/>
  <c r="W80" i="1" s="1"/>
  <c r="AA79" i="1"/>
  <c r="W79" i="1" s="1"/>
  <c r="AA78" i="1"/>
  <c r="AA77" i="1"/>
  <c r="AA76" i="1"/>
  <c r="W76" i="1" s="1"/>
  <c r="AA75" i="1"/>
  <c r="W75" i="1" s="1"/>
  <c r="AA74" i="1"/>
  <c r="AA73" i="1"/>
  <c r="AA72" i="1"/>
  <c r="W72" i="1" s="1"/>
  <c r="AA71" i="1"/>
  <c r="W71" i="1" s="1"/>
  <c r="AA65" i="1"/>
  <c r="X58" i="1"/>
  <c r="AA158" i="1"/>
  <c r="W158" i="1" s="1"/>
  <c r="AA157" i="1"/>
  <c r="W157" i="1" s="1"/>
  <c r="AA156" i="1"/>
  <c r="AA155" i="1"/>
  <c r="AA154" i="1"/>
  <c r="W154" i="1" s="1"/>
  <c r="AA152" i="1"/>
  <c r="W152" i="1" s="1"/>
  <c r="AA151" i="1"/>
  <c r="AA150" i="1"/>
  <c r="AA148" i="1"/>
  <c r="W148" i="1" s="1"/>
  <c r="AA139" i="1"/>
  <c r="W139" i="1" s="1"/>
  <c r="AA129" i="1"/>
  <c r="X117" i="1"/>
  <c r="T115" i="1"/>
  <c r="U115" i="1" s="1"/>
  <c r="S115" i="1" s="1"/>
  <c r="X108" i="1"/>
  <c r="X106" i="1"/>
  <c r="AA105" i="1"/>
  <c r="W105" i="1" s="1"/>
  <c r="AI253" i="1"/>
  <c r="AI251" i="1"/>
  <c r="AI255" i="1"/>
  <c r="U230" i="1"/>
  <c r="S230" i="1" s="1"/>
  <c r="AI254" i="1"/>
  <c r="U229" i="1"/>
  <c r="S229" i="1" s="1"/>
  <c r="U189" i="1"/>
  <c r="S189" i="1" s="1"/>
  <c r="AI230" i="1"/>
  <c r="AI252" i="1"/>
  <c r="AI250" i="1"/>
  <c r="AI248" i="1"/>
  <c r="AI246" i="1"/>
  <c r="AI244" i="1"/>
  <c r="AI242" i="1"/>
  <c r="AI240" i="1"/>
  <c r="AI238" i="1"/>
  <c r="AI236" i="1"/>
  <c r="AI234" i="1"/>
  <c r="AI232" i="1"/>
  <c r="AI229" i="1"/>
  <c r="U188" i="1"/>
  <c r="S188" i="1" s="1"/>
  <c r="U187" i="1"/>
  <c r="S187" i="1" s="1"/>
  <c r="AI228" i="1"/>
  <c r="AI249" i="1"/>
  <c r="AI247" i="1"/>
  <c r="AI245" i="1"/>
  <c r="AI243" i="1"/>
  <c r="AI241" i="1"/>
  <c r="AI239" i="1"/>
  <c r="AI237" i="1"/>
  <c r="AI235" i="1"/>
  <c r="AI233" i="1"/>
  <c r="U190" i="1"/>
  <c r="S190" i="1" s="1"/>
  <c r="AI231" i="1"/>
  <c r="AI141" i="1"/>
  <c r="AI139" i="1"/>
  <c r="AI137" i="1"/>
  <c r="AI135" i="1"/>
  <c r="AI133" i="1"/>
  <c r="AI131" i="1"/>
  <c r="AI129" i="1"/>
  <c r="AI126" i="1"/>
  <c r="AI124" i="1"/>
  <c r="U124" i="1"/>
  <c r="S124" i="1" s="1"/>
  <c r="U122" i="1"/>
  <c r="S122" i="1" s="1"/>
  <c r="AI122" i="1"/>
  <c r="U186" i="1"/>
  <c r="S186" i="1" s="1"/>
  <c r="AI227" i="1"/>
  <c r="U185" i="1"/>
  <c r="S185" i="1" s="1"/>
  <c r="AI226" i="1"/>
  <c r="AI225" i="1"/>
  <c r="AI224" i="1"/>
  <c r="W183" i="1"/>
  <c r="U182" i="1"/>
  <c r="S182" i="1" s="1"/>
  <c r="AI223" i="1"/>
  <c r="AI222" i="1"/>
  <c r="W181" i="1"/>
  <c r="U180" i="1"/>
  <c r="S180" i="1" s="1"/>
  <c r="AI221" i="1"/>
  <c r="U179" i="1"/>
  <c r="S179" i="1" s="1"/>
  <c r="AI220" i="1"/>
  <c r="U178" i="1"/>
  <c r="S178" i="1" s="1"/>
  <c r="AI219" i="1"/>
  <c r="AI218" i="1"/>
  <c r="U176" i="1"/>
  <c r="S176" i="1" s="1"/>
  <c r="AI217" i="1"/>
  <c r="AI216" i="1"/>
  <c r="U174" i="1"/>
  <c r="S174" i="1" s="1"/>
  <c r="AI215" i="1"/>
  <c r="AI214" i="1"/>
  <c r="W173" i="1"/>
  <c r="AI213" i="1"/>
  <c r="AI212" i="1"/>
  <c r="AI209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W234" i="1"/>
  <c r="AI178" i="1"/>
  <c r="AI177" i="1"/>
  <c r="W232" i="1"/>
  <c r="AI176" i="1"/>
  <c r="W231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U162" i="1"/>
  <c r="S162" i="1" s="1"/>
  <c r="AI162" i="1"/>
  <c r="U160" i="1"/>
  <c r="S160" i="1" s="1"/>
  <c r="AI160" i="1"/>
  <c r="U159" i="1"/>
  <c r="S159" i="1" s="1"/>
  <c r="AI159" i="1"/>
  <c r="U158" i="1"/>
  <c r="S158" i="1" s="1"/>
  <c r="AI158" i="1"/>
  <c r="U157" i="1"/>
  <c r="S157" i="1" s="1"/>
  <c r="AI157" i="1"/>
  <c r="U156" i="1"/>
  <c r="S156" i="1" s="1"/>
  <c r="AI156" i="1"/>
  <c r="U155" i="1"/>
  <c r="S155" i="1" s="1"/>
  <c r="AI155" i="1"/>
  <c r="U154" i="1"/>
  <c r="S154" i="1" s="1"/>
  <c r="AI154" i="1"/>
  <c r="U152" i="1"/>
  <c r="S152" i="1" s="1"/>
  <c r="AI152" i="1"/>
  <c r="U151" i="1"/>
  <c r="S151" i="1" s="1"/>
  <c r="AI151" i="1"/>
  <c r="U150" i="1"/>
  <c r="S150" i="1" s="1"/>
  <c r="AI150" i="1"/>
  <c r="U148" i="1"/>
  <c r="S148" i="1" s="1"/>
  <c r="AI148" i="1"/>
  <c r="U147" i="1"/>
  <c r="S147" i="1" s="1"/>
  <c r="AI147" i="1"/>
  <c r="U145" i="1"/>
  <c r="S145" i="1" s="1"/>
  <c r="AI145" i="1"/>
  <c r="U144" i="1"/>
  <c r="AI144" i="1"/>
  <c r="U143" i="1"/>
  <c r="S143" i="1" s="1"/>
  <c r="AI143" i="1"/>
  <c r="AI142" i="1"/>
  <c r="AI140" i="1"/>
  <c r="AI138" i="1"/>
  <c r="AI136" i="1"/>
  <c r="AI134" i="1"/>
  <c r="AI132" i="1"/>
  <c r="AI130" i="1"/>
  <c r="AI127" i="1"/>
  <c r="AI125" i="1"/>
  <c r="U121" i="1"/>
  <c r="S121" i="1" s="1"/>
  <c r="AI121" i="1"/>
  <c r="W121" i="1"/>
  <c r="U71" i="1"/>
  <c r="S71" i="1" s="1"/>
  <c r="AI71" i="1"/>
  <c r="U120" i="1"/>
  <c r="S120" i="1" s="1"/>
  <c r="AI120" i="1"/>
  <c r="U119" i="1"/>
  <c r="S119" i="1" s="1"/>
  <c r="AI119" i="1"/>
  <c r="AI118" i="1"/>
  <c r="U117" i="1"/>
  <c r="S117" i="1" s="1"/>
  <c r="AI117" i="1"/>
  <c r="W117" i="1"/>
  <c r="U116" i="1"/>
  <c r="S116" i="1" s="1"/>
  <c r="AI116" i="1"/>
  <c r="AI115" i="1"/>
  <c r="U114" i="1"/>
  <c r="S114" i="1" s="1"/>
  <c r="AI114" i="1"/>
  <c r="U113" i="1"/>
  <c r="AI113" i="1"/>
  <c r="U112" i="1"/>
  <c r="AI112" i="1"/>
  <c r="U111" i="1"/>
  <c r="S111" i="1" s="1"/>
  <c r="AI111" i="1"/>
  <c r="U110" i="1"/>
  <c r="S110" i="1" s="1"/>
  <c r="AI110" i="1"/>
  <c r="AI109" i="1"/>
  <c r="AI108" i="1"/>
  <c r="AI107" i="1"/>
  <c r="AI106" i="1"/>
  <c r="U105" i="1"/>
  <c r="AI105" i="1"/>
  <c r="AI104" i="1"/>
  <c r="U104" i="1"/>
  <c r="S104" i="1" s="1"/>
  <c r="AI103" i="1"/>
  <c r="AI102" i="1"/>
  <c r="AI101" i="1"/>
  <c r="AI100" i="1"/>
  <c r="AI99" i="1"/>
  <c r="AI98" i="1"/>
  <c r="AI95" i="1"/>
  <c r="AI94" i="1"/>
  <c r="AI93" i="1"/>
  <c r="AI92" i="1"/>
  <c r="AI91" i="1"/>
  <c r="AI89" i="1"/>
  <c r="AI87" i="1"/>
  <c r="AI85" i="1"/>
  <c r="AI83" i="1"/>
  <c r="AI81" i="1"/>
  <c r="AI79" i="1"/>
  <c r="AI77" i="1"/>
  <c r="AI75" i="1"/>
  <c r="AI73" i="1"/>
  <c r="AI70" i="1"/>
  <c r="U70" i="1"/>
  <c r="S70" i="1" s="1"/>
  <c r="U66" i="1"/>
  <c r="S66" i="1" s="1"/>
  <c r="AI66" i="1"/>
  <c r="AI64" i="1"/>
  <c r="U64" i="1"/>
  <c r="S64" i="1" s="1"/>
  <c r="U69" i="1"/>
  <c r="S69" i="1" s="1"/>
  <c r="AI69" i="1"/>
  <c r="AI65" i="1"/>
  <c r="U65" i="1"/>
  <c r="S65" i="1" s="1"/>
  <c r="AI61" i="1"/>
  <c r="U61" i="1"/>
  <c r="S61" i="1" s="1"/>
  <c r="AI90" i="1"/>
  <c r="AI88" i="1"/>
  <c r="AI86" i="1"/>
  <c r="AI84" i="1"/>
  <c r="AI82" i="1"/>
  <c r="AI80" i="1"/>
  <c r="AI78" i="1"/>
  <c r="AI76" i="1"/>
  <c r="AI74" i="1"/>
  <c r="AI72" i="1"/>
  <c r="U68" i="1"/>
  <c r="S68" i="1" s="1"/>
  <c r="AI68" i="1"/>
  <c r="U62" i="1"/>
  <c r="S62" i="1" s="1"/>
  <c r="AI62" i="1"/>
  <c r="U67" i="1"/>
  <c r="S67" i="1" s="1"/>
  <c r="AI67" i="1"/>
  <c r="U63" i="1"/>
  <c r="S63" i="1" s="1"/>
  <c r="AI63" i="1"/>
  <c r="AI60" i="1"/>
  <c r="U59" i="1"/>
  <c r="S59" i="1" s="1"/>
  <c r="AI59" i="1"/>
  <c r="U58" i="1"/>
  <c r="S58" i="1" s="1"/>
  <c r="AI58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196" i="1"/>
  <c r="W203" i="1"/>
  <c r="W180" i="1"/>
  <c r="W228" i="1"/>
  <c r="W226" i="1"/>
  <c r="W209" i="1"/>
  <c r="W205" i="1"/>
  <c r="W200" i="1"/>
  <c r="W178" i="1"/>
  <c r="W225" i="1"/>
  <c r="W207" i="1"/>
  <c r="W184" i="1"/>
  <c r="W230" i="1"/>
  <c r="W182" i="1"/>
  <c r="W174" i="1"/>
  <c r="T227" i="1"/>
  <c r="U227" i="1" s="1"/>
  <c r="S227" i="1" s="1"/>
  <c r="X227" i="1"/>
  <c r="T225" i="1"/>
  <c r="U225" i="1" s="1"/>
  <c r="S225" i="1" s="1"/>
  <c r="X225" i="1"/>
  <c r="T209" i="1"/>
  <c r="U209" i="1" s="1"/>
  <c r="S209" i="1" s="1"/>
  <c r="T206" i="1"/>
  <c r="U206" i="1" s="1"/>
  <c r="S206" i="1" s="1"/>
  <c r="X206" i="1"/>
  <c r="T204" i="1"/>
  <c r="U204" i="1" s="1"/>
  <c r="S204" i="1" s="1"/>
  <c r="X204" i="1"/>
  <c r="T202" i="1"/>
  <c r="U202" i="1" s="1"/>
  <c r="S202" i="1" s="1"/>
  <c r="X202" i="1"/>
  <c r="T200" i="1"/>
  <c r="U200" i="1" s="1"/>
  <c r="S200" i="1" s="1"/>
  <c r="X200" i="1"/>
  <c r="T198" i="1"/>
  <c r="U198" i="1" s="1"/>
  <c r="S198" i="1" s="1"/>
  <c r="X198" i="1"/>
  <c r="T196" i="1"/>
  <c r="U196" i="1" s="1"/>
  <c r="S196" i="1" s="1"/>
  <c r="X196" i="1"/>
  <c r="T194" i="1"/>
  <c r="U194" i="1" s="1"/>
  <c r="S194" i="1" s="1"/>
  <c r="X194" i="1"/>
  <c r="T191" i="1"/>
  <c r="U191" i="1" s="1"/>
  <c r="S191" i="1" s="1"/>
  <c r="X191" i="1"/>
  <c r="W172" i="1"/>
  <c r="W168" i="1"/>
  <c r="W164" i="1"/>
  <c r="W253" i="1"/>
  <c r="W245" i="1"/>
  <c r="X230" i="1"/>
  <c r="X229" i="1"/>
  <c r="W171" i="1"/>
  <c r="W163" i="1"/>
  <c r="W248" i="1"/>
  <c r="W240" i="1"/>
  <c r="T228" i="1"/>
  <c r="U228" i="1" s="1"/>
  <c r="S228" i="1" s="1"/>
  <c r="X228" i="1"/>
  <c r="T226" i="1"/>
  <c r="U226" i="1" s="1"/>
  <c r="S226" i="1" s="1"/>
  <c r="X226" i="1"/>
  <c r="T224" i="1"/>
  <c r="U224" i="1" s="1"/>
  <c r="S224" i="1" s="1"/>
  <c r="X224" i="1"/>
  <c r="T207" i="1"/>
  <c r="U207" i="1" s="1"/>
  <c r="S207" i="1" s="1"/>
  <c r="X207" i="1"/>
  <c r="T205" i="1"/>
  <c r="U205" i="1" s="1"/>
  <c r="S205" i="1" s="1"/>
  <c r="X205" i="1"/>
  <c r="T203" i="1"/>
  <c r="U203" i="1" s="1"/>
  <c r="S203" i="1" s="1"/>
  <c r="X203" i="1"/>
  <c r="T201" i="1"/>
  <c r="U201" i="1" s="1"/>
  <c r="S201" i="1" s="1"/>
  <c r="X201" i="1"/>
  <c r="T199" i="1"/>
  <c r="U199" i="1" s="1"/>
  <c r="S199" i="1" s="1"/>
  <c r="X199" i="1"/>
  <c r="T197" i="1"/>
  <c r="U197" i="1" s="1"/>
  <c r="S197" i="1" s="1"/>
  <c r="X197" i="1"/>
  <c r="T195" i="1"/>
  <c r="U195" i="1" s="1"/>
  <c r="S195" i="1" s="1"/>
  <c r="X195" i="1"/>
  <c r="T193" i="1"/>
  <c r="U193" i="1" s="1"/>
  <c r="S193" i="1" s="1"/>
  <c r="W170" i="1"/>
  <c r="W166" i="1"/>
  <c r="W255" i="1"/>
  <c r="W251" i="1"/>
  <c r="W247" i="1"/>
  <c r="W243" i="1"/>
  <c r="W239" i="1"/>
  <c r="W235" i="1"/>
  <c r="W169" i="1"/>
  <c r="W165" i="1"/>
  <c r="W254" i="1"/>
  <c r="W242" i="1"/>
  <c r="X190" i="1"/>
  <c r="X189" i="1"/>
  <c r="X188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255" i="1"/>
  <c r="U255" i="1" s="1"/>
  <c r="S255" i="1" s="1"/>
  <c r="X255" i="1"/>
  <c r="T254" i="1"/>
  <c r="U254" i="1" s="1"/>
  <c r="S254" i="1" s="1"/>
  <c r="X254" i="1"/>
  <c r="T253" i="1"/>
  <c r="U253" i="1" s="1"/>
  <c r="S253" i="1" s="1"/>
  <c r="X253" i="1"/>
  <c r="T252" i="1"/>
  <c r="U252" i="1" s="1"/>
  <c r="S252" i="1" s="1"/>
  <c r="X252" i="1"/>
  <c r="T251" i="1"/>
  <c r="U251" i="1" s="1"/>
  <c r="S251" i="1" s="1"/>
  <c r="X251" i="1"/>
  <c r="T250" i="1"/>
  <c r="U250" i="1" s="1"/>
  <c r="S250" i="1" s="1"/>
  <c r="X250" i="1"/>
  <c r="T249" i="1"/>
  <c r="U249" i="1" s="1"/>
  <c r="S249" i="1" s="1"/>
  <c r="X249" i="1"/>
  <c r="T248" i="1"/>
  <c r="U248" i="1" s="1"/>
  <c r="S248" i="1" s="1"/>
  <c r="X248" i="1"/>
  <c r="T247" i="1"/>
  <c r="U247" i="1" s="1"/>
  <c r="S247" i="1" s="1"/>
  <c r="X247" i="1"/>
  <c r="T246" i="1"/>
  <c r="U246" i="1" s="1"/>
  <c r="S246" i="1" s="1"/>
  <c r="X246" i="1"/>
  <c r="T245" i="1"/>
  <c r="U245" i="1" s="1"/>
  <c r="S245" i="1" s="1"/>
  <c r="X245" i="1"/>
  <c r="T244" i="1"/>
  <c r="U244" i="1" s="1"/>
  <c r="S244" i="1" s="1"/>
  <c r="X244" i="1"/>
  <c r="T243" i="1"/>
  <c r="U243" i="1" s="1"/>
  <c r="S243" i="1" s="1"/>
  <c r="X243" i="1"/>
  <c r="T242" i="1"/>
  <c r="U242" i="1" s="1"/>
  <c r="S242" i="1" s="1"/>
  <c r="X242" i="1"/>
  <c r="T241" i="1"/>
  <c r="U241" i="1" s="1"/>
  <c r="S241" i="1" s="1"/>
  <c r="X241" i="1"/>
  <c r="T240" i="1"/>
  <c r="U240" i="1" s="1"/>
  <c r="S240" i="1" s="1"/>
  <c r="X240" i="1"/>
  <c r="T239" i="1"/>
  <c r="U239" i="1" s="1"/>
  <c r="S239" i="1" s="1"/>
  <c r="X239" i="1"/>
  <c r="T238" i="1"/>
  <c r="U238" i="1" s="1"/>
  <c r="S238" i="1" s="1"/>
  <c r="X238" i="1"/>
  <c r="T237" i="1"/>
  <c r="U237" i="1" s="1"/>
  <c r="S237" i="1" s="1"/>
  <c r="X237" i="1"/>
  <c r="T236" i="1"/>
  <c r="U236" i="1" s="1"/>
  <c r="S236" i="1" s="1"/>
  <c r="X236" i="1"/>
  <c r="T235" i="1"/>
  <c r="U235" i="1" s="1"/>
  <c r="S235" i="1" s="1"/>
  <c r="X235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23" i="1"/>
  <c r="U223" i="1" s="1"/>
  <c r="S223" i="1" s="1"/>
  <c r="X223" i="1"/>
  <c r="T222" i="1"/>
  <c r="U222" i="1" s="1"/>
  <c r="S222" i="1" s="1"/>
  <c r="X222" i="1"/>
  <c r="T221" i="1"/>
  <c r="U221" i="1" s="1"/>
  <c r="S221" i="1" s="1"/>
  <c r="X221" i="1"/>
  <c r="T220" i="1"/>
  <c r="U220" i="1" s="1"/>
  <c r="S220" i="1" s="1"/>
  <c r="X220" i="1"/>
  <c r="T219" i="1"/>
  <c r="U219" i="1" s="1"/>
  <c r="S219" i="1" s="1"/>
  <c r="X219" i="1"/>
  <c r="T218" i="1"/>
  <c r="U218" i="1" s="1"/>
  <c r="S218" i="1" s="1"/>
  <c r="X218" i="1"/>
  <c r="T217" i="1"/>
  <c r="U217" i="1" s="1"/>
  <c r="S217" i="1" s="1"/>
  <c r="X217" i="1"/>
  <c r="T216" i="1"/>
  <c r="U216" i="1" s="1"/>
  <c r="S216" i="1" s="1"/>
  <c r="X216" i="1"/>
  <c r="T215" i="1"/>
  <c r="U215" i="1" s="1"/>
  <c r="S215" i="1" s="1"/>
  <c r="X215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W141" i="1"/>
  <c r="W125" i="1"/>
  <c r="W122" i="1"/>
  <c r="W113" i="1"/>
  <c r="W144" i="1"/>
  <c r="W138" i="1"/>
  <c r="W135" i="1"/>
  <c r="W119" i="1"/>
  <c r="W222" i="1"/>
  <c r="W220" i="1"/>
  <c r="W217" i="1"/>
  <c r="W216" i="1"/>
  <c r="W215" i="1"/>
  <c r="W213" i="1"/>
  <c r="W212" i="1"/>
  <c r="W159" i="1"/>
  <c r="W156" i="1"/>
  <c r="W155" i="1"/>
  <c r="W151" i="1"/>
  <c r="W150" i="1"/>
  <c r="W132" i="1"/>
  <c r="W130" i="1"/>
  <c r="W129" i="1"/>
  <c r="W118" i="1"/>
  <c r="X160" i="1"/>
  <c r="X159" i="1"/>
  <c r="X158" i="1"/>
  <c r="X157" i="1"/>
  <c r="X156" i="1"/>
  <c r="X152" i="1"/>
  <c r="X148" i="1"/>
  <c r="X145" i="1"/>
  <c r="X144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T126" i="1"/>
  <c r="U126" i="1" s="1"/>
  <c r="S126" i="1" s="1"/>
  <c r="X126" i="1"/>
  <c r="W114" i="1"/>
  <c r="T142" i="1"/>
  <c r="U142" i="1" s="1"/>
  <c r="S142" i="1" s="1"/>
  <c r="X142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7" i="1"/>
  <c r="U127" i="1" s="1"/>
  <c r="S127" i="1" s="1"/>
  <c r="X127" i="1"/>
  <c r="T125" i="1"/>
  <c r="U125" i="1" s="1"/>
  <c r="S125" i="1" s="1"/>
  <c r="X125" i="1"/>
  <c r="W106" i="1"/>
  <c r="W90" i="1"/>
  <c r="W86" i="1"/>
  <c r="W82" i="1"/>
  <c r="W78" i="1"/>
  <c r="W74" i="1"/>
  <c r="W104" i="1"/>
  <c r="W89" i="1"/>
  <c r="W85" i="1"/>
  <c r="W81" i="1"/>
  <c r="W77" i="1"/>
  <c r="W73" i="1"/>
  <c r="T89" i="1"/>
  <c r="U89" i="1" s="1"/>
  <c r="S89" i="1" s="1"/>
  <c r="X89" i="1"/>
  <c r="T85" i="1"/>
  <c r="U85" i="1" s="1"/>
  <c r="S85" i="1" s="1"/>
  <c r="X85" i="1"/>
  <c r="T81" i="1"/>
  <c r="U81" i="1" s="1"/>
  <c r="S81" i="1" s="1"/>
  <c r="X81" i="1"/>
  <c r="T77" i="1"/>
  <c r="U77" i="1" s="1"/>
  <c r="S77" i="1" s="1"/>
  <c r="X77" i="1"/>
  <c r="T73" i="1"/>
  <c r="U73" i="1" s="1"/>
  <c r="S73" i="1" s="1"/>
  <c r="X73" i="1"/>
  <c r="W62" i="1"/>
  <c r="T109" i="1"/>
  <c r="U109" i="1" s="1"/>
  <c r="S109" i="1" s="1"/>
  <c r="T108" i="1"/>
  <c r="U108" i="1" s="1"/>
  <c r="S108" i="1" s="1"/>
  <c r="T106" i="1"/>
  <c r="U106" i="1" s="1"/>
  <c r="W103" i="1"/>
  <c r="W94" i="1"/>
  <c r="W93" i="1"/>
  <c r="W68" i="1"/>
  <c r="W67" i="1"/>
  <c r="W65" i="1"/>
  <c r="X122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X100" i="1"/>
  <c r="T99" i="1"/>
  <c r="U99" i="1" s="1"/>
  <c r="S99" i="1" s="1"/>
  <c r="X99" i="1"/>
  <c r="T98" i="1"/>
  <c r="U98" i="1" s="1"/>
  <c r="S98" i="1" s="1"/>
  <c r="T95" i="1"/>
  <c r="U95" i="1" s="1"/>
  <c r="S95" i="1" s="1"/>
  <c r="X95" i="1"/>
  <c r="T94" i="1"/>
  <c r="U94" i="1" s="1"/>
  <c r="X94" i="1"/>
  <c r="T93" i="1"/>
  <c r="U93" i="1" s="1"/>
  <c r="X93" i="1"/>
  <c r="T92" i="1"/>
  <c r="U92" i="1" s="1"/>
  <c r="X92" i="1"/>
  <c r="T91" i="1"/>
  <c r="U91" i="1" s="1"/>
  <c r="S91" i="1" s="1"/>
  <c r="X91" i="1"/>
  <c r="T87" i="1"/>
  <c r="U87" i="1" s="1"/>
  <c r="S87" i="1" s="1"/>
  <c r="X87" i="1"/>
  <c r="T83" i="1"/>
  <c r="U83" i="1" s="1"/>
  <c r="S83" i="1" s="1"/>
  <c r="X83" i="1"/>
  <c r="T79" i="1"/>
  <c r="U79" i="1" s="1"/>
  <c r="S79" i="1" s="1"/>
  <c r="X79" i="1"/>
  <c r="T75" i="1"/>
  <c r="U75" i="1" s="1"/>
  <c r="S75" i="1" s="1"/>
  <c r="X75" i="1"/>
  <c r="W70" i="1"/>
  <c r="W66" i="1"/>
  <c r="W36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60" i="1"/>
  <c r="U60" i="1" s="1"/>
  <c r="S60" i="1" s="1"/>
  <c r="X61" i="1"/>
  <c r="W47" i="1"/>
  <c r="W31" i="1"/>
  <c r="W27" i="1"/>
  <c r="W26" i="1"/>
  <c r="W25" i="1"/>
  <c r="W22" i="1"/>
  <c r="W20" i="1"/>
  <c r="W15" i="1"/>
  <c r="W14" i="1"/>
  <c r="X60" i="1"/>
  <c r="X56" i="1"/>
  <c r="W54" i="1"/>
  <c r="W42" i="1"/>
  <c r="W38" i="1"/>
  <c r="W34" i="1"/>
  <c r="W59" i="1"/>
  <c r="X57" i="1"/>
  <c r="W53" i="1"/>
  <c r="W41" i="1"/>
  <c r="W37" i="1"/>
  <c r="X71" i="1"/>
  <c r="X70" i="1"/>
  <c r="X69" i="1"/>
  <c r="X68" i="1"/>
  <c r="X67" i="1"/>
  <c r="X66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E10" i="3"/>
  <c r="T32" i="3"/>
  <c r="AD41" i="3"/>
  <c r="T43" i="3"/>
  <c r="AD25" i="3"/>
  <c r="AD24" i="3"/>
  <c r="AE18" i="3"/>
  <c r="AD13" i="3"/>
  <c r="AE23" i="3"/>
  <c r="AD12" i="3"/>
  <c r="T44" i="3"/>
  <c r="AD32" i="3"/>
  <c r="AE27" i="3"/>
  <c r="T7" i="3"/>
  <c r="AD16" i="3"/>
  <c r="AD15" i="3"/>
  <c r="AD37" i="3"/>
  <c r="AE31" i="3"/>
  <c r="AD26" i="3"/>
  <c r="AD20" i="3"/>
  <c r="AE14" i="3"/>
  <c r="AD8" i="3"/>
  <c r="AD11" i="3"/>
  <c r="AE44" i="3"/>
  <c r="AC31" i="3"/>
  <c r="AE40" i="3"/>
  <c r="AC11" i="3"/>
  <c r="AE36" i="3"/>
  <c r="AC23" i="3"/>
  <c r="AE32" i="3"/>
  <c r="AC13" i="3"/>
  <c r="AE28" i="3"/>
  <c r="AC30" i="3"/>
  <c r="AE24" i="3"/>
  <c r="AC42" i="3"/>
  <c r="AE20" i="3"/>
  <c r="AC29" i="3"/>
  <c r="AE15" i="3"/>
  <c r="AC40" i="3"/>
  <c r="AE11" i="3"/>
  <c r="AC15" i="3"/>
  <c r="AC28" i="3"/>
  <c r="AC39" i="3"/>
  <c r="AC37" i="3"/>
  <c r="AC16" i="3"/>
  <c r="AC8" i="3"/>
  <c r="AC38" i="3"/>
  <c r="AC41" i="3"/>
  <c r="AC22" i="3"/>
  <c r="Y31" i="3"/>
  <c r="Y11" i="3"/>
  <c r="Y23" i="3"/>
  <c r="Y13" i="3"/>
  <c r="Y30" i="3"/>
  <c r="Y42" i="3"/>
  <c r="Y29" i="3"/>
  <c r="Y40" i="3"/>
  <c r="Y33" i="3"/>
  <c r="Y28" i="3"/>
  <c r="Y39" i="3"/>
  <c r="Y8" i="3"/>
  <c r="Y22" i="3"/>
  <c r="Y25" i="3"/>
  <c r="Y17" i="3"/>
  <c r="Y43" i="3"/>
  <c r="Y14" i="3"/>
  <c r="Y7" i="3"/>
  <c r="Y36" i="3"/>
  <c r="Y18" i="3"/>
  <c r="Y15" i="3"/>
  <c r="Y37" i="3"/>
  <c r="Y16" i="3"/>
  <c r="Y38" i="3"/>
  <c r="Y41" i="3"/>
  <c r="Y32" i="3"/>
  <c r="Y44" i="3"/>
  <c r="Y26" i="3"/>
  <c r="Y24" i="3"/>
  <c r="Y12" i="3"/>
  <c r="Y27" i="3"/>
  <c r="Y34" i="3"/>
  <c r="Y10" i="3"/>
  <c r="Y20" i="3"/>
  <c r="Y35" i="3"/>
  <c r="Y21" i="3"/>
  <c r="AC26" i="3"/>
  <c r="AC24" i="3"/>
  <c r="AC12" i="3"/>
  <c r="AC27" i="3"/>
  <c r="AC34" i="3"/>
  <c r="AC10" i="3"/>
  <c r="AC20" i="3"/>
  <c r="AC35" i="3"/>
  <c r="AC21" i="3"/>
  <c r="AE42" i="3"/>
  <c r="T26" i="3"/>
  <c r="AD39" i="3"/>
  <c r="T24" i="3"/>
  <c r="AE34" i="3"/>
  <c r="T12" i="3"/>
  <c r="AD31" i="3"/>
  <c r="AE30" i="3"/>
  <c r="T27" i="3"/>
  <c r="AD27" i="3"/>
  <c r="AE26" i="3"/>
  <c r="T34" i="3"/>
  <c r="AD23" i="3"/>
  <c r="AE22" i="3"/>
  <c r="T10" i="3"/>
  <c r="AD18" i="3"/>
  <c r="AE17" i="3"/>
  <c r="T20" i="3"/>
  <c r="AD14" i="3"/>
  <c r="AE13" i="3"/>
  <c r="T35" i="3"/>
  <c r="AD10" i="3"/>
  <c r="T21" i="3"/>
  <c r="AD43" i="3"/>
  <c r="AE38" i="3"/>
  <c r="AD35" i="3"/>
  <c r="AE41" i="3"/>
  <c r="AE37" i="3"/>
  <c r="AE33" i="3"/>
  <c r="AE29" i="3"/>
  <c r="AE25" i="3"/>
  <c r="AE21" i="3"/>
  <c r="AE16" i="3"/>
  <c r="AE12" i="3"/>
  <c r="AE8" i="3"/>
  <c r="S92" i="1" l="1"/>
  <c r="S112" i="1"/>
  <c r="S105" i="1"/>
  <c r="R9" i="3"/>
  <c r="M9" i="3"/>
  <c r="S9" i="3"/>
  <c r="U9" i="3"/>
  <c r="V9" i="3"/>
  <c r="X9" i="3"/>
  <c r="T9" i="3" l="1"/>
  <c r="AD9" i="3"/>
  <c r="AE9" i="3"/>
  <c r="AC9" i="3"/>
  <c r="W9" i="3"/>
  <c r="Y9" i="3" l="1"/>
  <c r="M23" i="5" l="1"/>
  <c r="V13" i="1" l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F3" i="6" l="1"/>
  <c r="B5" i="6"/>
  <c r="D5" i="6" l="1"/>
  <c r="F5" i="6"/>
  <c r="B4" i="6"/>
  <c r="F4" i="6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N32" i="3" s="1"/>
  <c r="G256" i="4"/>
  <c r="G257" i="4"/>
  <c r="G258" i="4"/>
  <c r="G259" i="4"/>
  <c r="G260" i="4"/>
  <c r="N15" i="3" s="1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N26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33" i="3" s="1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N22" i="3" s="1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N29" i="3" s="1"/>
  <c r="G95" i="4"/>
  <c r="G96" i="4"/>
  <c r="G97" i="4"/>
  <c r="G98" i="4"/>
  <c r="G99" i="4"/>
  <c r="G100" i="4"/>
  <c r="G101" i="4"/>
  <c r="G102" i="4"/>
  <c r="G103" i="4"/>
  <c r="N42" i="3" s="1"/>
  <c r="G104" i="4"/>
  <c r="N20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7" i="3" s="1"/>
  <c r="G121" i="4"/>
  <c r="G122" i="4"/>
  <c r="G123" i="4"/>
  <c r="N38" i="3" s="1"/>
  <c r="G124" i="4"/>
  <c r="G125" i="4"/>
  <c r="G126" i="4"/>
  <c r="G127" i="4"/>
  <c r="G128" i="4"/>
  <c r="N10" i="3" s="1"/>
  <c r="G129" i="4"/>
  <c r="G130" i="4"/>
  <c r="G131" i="4"/>
  <c r="G132" i="4"/>
  <c r="G133" i="4"/>
  <c r="G134" i="4"/>
  <c r="N30" i="3" s="1"/>
  <c r="G135" i="4"/>
  <c r="G136" i="4"/>
  <c r="G137" i="4"/>
  <c r="G138" i="4"/>
  <c r="G139" i="4"/>
  <c r="G140" i="4"/>
  <c r="G141" i="4"/>
  <c r="G142" i="4"/>
  <c r="G143" i="4"/>
  <c r="G144" i="4"/>
  <c r="G145" i="4"/>
  <c r="N39" i="3" s="1"/>
  <c r="G146" i="4"/>
  <c r="G147" i="4"/>
  <c r="G148" i="4"/>
  <c r="G149" i="4"/>
  <c r="G150" i="4"/>
  <c r="G151" i="4"/>
  <c r="N17" i="3" s="1"/>
  <c r="G152" i="4"/>
  <c r="N16" i="3" s="1"/>
  <c r="G153" i="4"/>
  <c r="G154" i="4"/>
  <c r="G155" i="4"/>
  <c r="G156" i="4"/>
  <c r="N12" i="3" s="1"/>
  <c r="G157" i="4"/>
  <c r="G158" i="4"/>
  <c r="N13" i="3" s="1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N11" i="3" s="1"/>
  <c r="G197" i="4"/>
  <c r="G198" i="4"/>
  <c r="N9" i="3" s="1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4" i="3" l="1"/>
  <c r="N25" i="3"/>
  <c r="N43" i="3"/>
  <c r="N44" i="3"/>
  <c r="N37" i="3"/>
  <c r="N34" i="3"/>
  <c r="N36" i="3"/>
  <c r="N41" i="3"/>
  <c r="N35" i="3"/>
  <c r="N40" i="3"/>
  <c r="N23" i="3"/>
  <c r="N27" i="3"/>
  <c r="N18" i="3"/>
  <c r="N21" i="3"/>
  <c r="N28" i="3"/>
  <c r="N31" i="3"/>
  <c r="N8" i="3"/>
  <c r="N14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F6" i="6" l="1"/>
  <c r="D6" i="6"/>
  <c r="H6" i="6"/>
  <c r="J6" i="6"/>
  <c r="G6" i="6"/>
  <c r="I6" i="6"/>
  <c r="B7" i="6"/>
  <c r="F7" i="6" l="1"/>
  <c r="D7" i="6"/>
  <c r="B8" i="6"/>
  <c r="G7" i="6"/>
  <c r="I7" i="6"/>
  <c r="H7" i="6"/>
  <c r="J7" i="6"/>
  <c r="F8" i="6" l="1"/>
  <c r="D8" i="6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<sst xmlns="http://schemas.openxmlformats.org/spreadsheetml/2006/main" count="2986" uniqueCount="1126">
  <si>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</si>
  <si>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</si>
  <si>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</si>
  <si>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</si>
  <si>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</si>
  <si>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</si>
  <si>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</si>
  <si>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</si>
  <si>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</si>
  <si>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</si>
  <si>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</si>
  <si>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</si>
  <si>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</si>
  <si>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</si>
  <si>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</si>
  <si>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</si>
  <si>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</si>
  <si>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</si>
  <si>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</si>
  <si>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</si>
  <si>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</si>
  <si>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</si>
  <si>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</si>
  <si>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</si>
  <si>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</si>
  <si>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</si>
  <si>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</si>
  <si>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</si>
  <si>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</si>
  <si>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</si>
  <si>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</si>
  <si>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</si>
  <si>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</si>
  <si>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</si>
  <si>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</si>
  <si>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</si>
  <si>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</si>
  <si>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</si>
  <si>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</si>
  <si>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</si>
  <si>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</si>
  <si>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</si>
  <si>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</si>
  <si>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</si>
  <si>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</si>
  <si>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</si>
  <si>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</si>
  <si>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</si>
  <si>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</si>
  <si>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</si>
  <si>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</si>
  <si>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</si>
  <si>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</si>
  <si>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</si>
  <si>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</si>
  <si>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</si>
  <si>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</si>
  <si>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</si>
  <si>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</si>
  <si>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</si>
  <si>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</si>
  <si>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</si>
  <si>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</si>
  <si>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</si>
  <si>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</si>
  <si>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</si>
  <si>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</si>
  <si>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</si>
  <si>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</si>
  <si>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</si>
  <si>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</si>
  <si>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</si>
  <si>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</si>
  <si>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</si>
  <si>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</si>
  <si>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</si>
  <si>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</si>
  <si>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</si>
  <si>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</si>
  <si>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</si>
  <si>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</si>
  <si>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</si>
  <si>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</si>
  <si>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</si>
  <si>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</si>
  <si>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</si>
  <si>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</si>
  <si>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</si>
  <si>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</si>
  <si>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</si>
  <si>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</si>
  <si>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</si>
  <si>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</si>
  <si>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</si>
  <si>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</si>
  <si>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</si>
  <si>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</si>
  <si>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</si>
  <si>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</si>
  <si>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</si>
  <si>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</si>
  <si>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</si>
  <si>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</si>
  <si>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</si>
  <si>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</si>
  <si>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</si>
  <si>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</si>
  <si>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</si>
  <si>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</si>
  <si>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</si>
  <si>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</si>
  <si>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</si>
  <si>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</si>
  <si>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</si>
  <si>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</si>
  <si>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</si>
  <si>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</si>
  <si>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</si>
  <si>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</si>
  <si>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</si>
  <si>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</si>
  <si>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</si>
  <si>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</si>
  <si>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</si>
  <si>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</si>
  <si>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</si>
  <si>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</si>
  <si>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</si>
  <si>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</si>
  <si>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</si>
  <si>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</si>
  <si>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</si>
  <si>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</si>
  <si>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</si>
  <si>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</si>
  <si>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</si>
  <si>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</si>
  <si>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</si>
  <si>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</si>
  <si>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</si>
  <si>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</si>
  <si>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</si>
  <si>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</si>
  <si>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</si>
  <si>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</si>
  <si>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</si>
  <si>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</si>
  <si>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</si>
  <si>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</si>
  <si>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</si>
  <si>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</si>
  <si>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</si>
  <si>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</si>
  <si>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</si>
  <si>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</si>
  <si>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</si>
  <si>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</si>
  <si>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</si>
  <si>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</si>
  <si>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</si>
  <si>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</si>
  <si>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</si>
  <si>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</si>
  <si>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</si>
  <si>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</si>
  <si>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</si>
  <si>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</si>
  <si>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</si>
  <si>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</si>
  <si>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</si>
  <si>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</si>
  <si>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</si>
  <si>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</si>
  <si>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</si>
  <si>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</si>
  <si>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</si>
  <si>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</si>
  <si>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</si>
  <si>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</si>
  <si>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</si>
  <si>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</si>
  <si>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</si>
  <si>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</si>
  <si>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</si>
  <si>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</si>
  <si>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</si>
  <si>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</si>
  <si>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</si>
  <si>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</si>
  <si>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</si>
  <si>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</si>
  <si>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</si>
  <si>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</si>
  <si>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</si>
  <si>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</si>
  <si>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</si>
  <si>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</si>
  <si>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</si>
  <si>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</si>
  <si>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</si>
  <si>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</si>
  <si>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</si>
  <si>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</si>
  <si>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</si>
  <si>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</si>
  <si>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</si>
  <si>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</si>
  <si>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</si>
  <si>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</si>
  <si>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</si>
  <si>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</si>
  <si>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</si>
  <si>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</si>
  <si>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</si>
  <si>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</si>
  <si>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</si>
  <si>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</si>
  <si>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</si>
  <si>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</si>
  <si>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</si>
  <si>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</si>
  <si>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</si>
  <si>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</si>
  <si>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</si>
  <si>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</si>
  <si>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</si>
  <si>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</si>
  <si>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</si>
  <si>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</si>
  <si>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</si>
  <si>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</si>
  <si>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</si>
  <si>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</si>
  <si>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</si>
  <si>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</si>
  <si>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</si>
  <si>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</si>
  <si>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</si>
  <si>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</si>
  <si>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</si>
  <si>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</si>
  <si>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</si>
  <si>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</si>
  <si>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</si>
  <si>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</si>
  <si>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</si>
  <si>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</si>
  <si>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</si>
  <si>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</si>
  <si>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</si>
  <si>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</si>
  <si>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</si>
  <si>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</si>
  <si>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</si>
  <si>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</si>
  <si>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</si>
  <si>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</si>
  <si>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</si>
  <si>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</si>
  <si>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</si>
  <si>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</si>
  <si>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</si>
  <si>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</si>
  <si>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</si>
  <si>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</si>
  <si>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</si>
  <si>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</si>
  <si>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</si>
  <si>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</si>
  <si>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</si>
  <si>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</si>
  <si>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</si>
  <si>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</si>
  <si>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</si>
  <si>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</si>
  <si>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</si>
  <si>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</si>
  <si>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</si>
  <si>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</si>
  <si>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</si>
  <si>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</si>
  <si>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</si>
  <si>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</si>
  <si>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</si>
  <si>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</si>
  <si>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</si>
  <si>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</si>
  <si>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</si>
  <si>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</si>
  <si>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</si>
  <si>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</si>
  <si>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</si>
  <si>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</si>
  <si>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</si>
  <si>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</si>
  <si>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</si>
  <si>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</si>
  <si>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</si>
  <si>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</si>
  <si>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</si>
  <si>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</si>
  <si>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</si>
  <si>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</si>
  <si>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</si>
  <si>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</si>
  <si>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</si>
  <si>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</si>
  <si>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</si>
  <si>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</si>
  <si>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</si>
  <si>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</si>
  <si>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</si>
  <si>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</si>
  <si>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</si>
  <si>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</si>
  <si>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</si>
  <si>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</si>
  <si>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</si>
  <si>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</si>
  <si>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</si>
  <si>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</si>
  <si>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</si>
  <si>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</si>
  <si>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</si>
  <si>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</si>
  <si>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</si>
  <si>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</si>
  <si>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</si>
  <si>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</si>
  <si>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</si>
  <si>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</si>
  <si>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</si>
  <si>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</si>
  <si>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</si>
  <si>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</si>
  <si>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</si>
  <si>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</si>
  <si>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</si>
  <si>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</si>
  <si>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</si>
  <si>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</si>
  <si>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</si>
  <si>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</si>
  <si>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</si>
  <si>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</si>
  <si>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</si>
  <si>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</si>
  <si>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</si>
  <si>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</si>
  <si>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</si>
  <si>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</si>
  <si>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</si>
  <si>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</si>
  <si>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</si>
  <si>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</si>
  <si>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</si>
  <si>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</si>
  <si>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</si>
  <si>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</si>
  <si>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</si>
  <si>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</si>
  <si>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</si>
  <si>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</si>
  <si>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</si>
  <si>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</si>
  <si>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</si>
  <si>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</si>
  <si>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</si>
  <si>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</si>
  <si>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</si>
  <si>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</si>
  <si>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</si>
  <si>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</si>
  <si>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</si>
  <si>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</si>
  <si>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</si>
  <si>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</si>
  <si>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</si>
  <si>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</si>
  <si>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</si>
  <si>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</si>
  <si>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</si>
  <si>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</si>
  <si>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</si>
  <si>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</si>
  <si>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</si>
  <si>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</si>
  <si>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</si>
  <si>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</si>
  <si>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</si>
  <si>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</si>
  <si>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</si>
  <si>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</si>
  <si>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</si>
  <si>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</si>
  <si>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</si>
  <si>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</si>
  <si>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</si>
  <si>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</si>
  <si>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</si>
  <si>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</si>
  <si>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</si>
  <si>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</si>
  <si>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</si>
  <si>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</si>
  <si>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</si>
  <si>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</si>
  <si>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</si>
  <si>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</si>
  <si>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</si>
  <si>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</si>
  <si>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</si>
  <si>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</si>
  <si>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</si>
  <si>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</si>
  <si>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</si>
  <si>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</si>
  <si>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</si>
  <si>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</si>
  <si>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</si>
  <si>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</si>
  <si>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</si>
  <si>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</si>
  <si>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</si>
  <si>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</si>
  <si>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</si>
  <si>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</si>
  <si>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</si>
  <si>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</si>
  <si>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</si>
  <si>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</si>
  <si>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</si>
  <si>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</si>
  <si>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</si>
  <si>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</si>
  <si>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</si>
  <si>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</si>
  <si>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rtdc.l.rtdc.4050:itc</t>
  </si>
  <si>
    <t>AUSTIN</t>
  </si>
  <si>
    <t>Wi-MAX data drop</t>
  </si>
  <si>
    <t>ANDERS</t>
  </si>
  <si>
    <t>STEVEN</t>
  </si>
  <si>
    <t>204:201</t>
  </si>
  <si>
    <t>204:205</t>
  </si>
  <si>
    <t>204:517</t>
  </si>
  <si>
    <t>DAVID</t>
  </si>
  <si>
    <t>204:200</t>
  </si>
  <si>
    <t>rtdc.l.rtdc.4019:itc</t>
  </si>
  <si>
    <t>rtdc.l.rtdc.4020:itc</t>
  </si>
  <si>
    <t>204:214</t>
  </si>
  <si>
    <t>SWITCH UNKNOWN</t>
  </si>
  <si>
    <t>Track device (7)</t>
  </si>
  <si>
    <t>204:508</t>
  </si>
  <si>
    <t>rtdc.l.rtdc.4033:itc</t>
  </si>
  <si>
    <t>204:515</t>
  </si>
  <si>
    <t>204:498</t>
  </si>
  <si>
    <t>204:211</t>
  </si>
  <si>
    <t>204:218</t>
  </si>
  <si>
    <t>clear-day</t>
  </si>
  <si>
    <t>Clear</t>
  </si>
  <si>
    <t>clear-night</t>
  </si>
  <si>
    <t>204:551</t>
  </si>
  <si>
    <t>204:232942</t>
  </si>
  <si>
    <t>FORTUNATO</t>
  </si>
  <si>
    <t>FRANK</t>
  </si>
  <si>
    <t>204:533</t>
  </si>
  <si>
    <t>204:231</t>
  </si>
  <si>
    <t>204:233286</t>
  </si>
  <si>
    <t>rtdc.l.rtdc.4056:itc</t>
  </si>
  <si>
    <t>DONTE</t>
  </si>
  <si>
    <t>WEST</t>
  </si>
  <si>
    <t>BRYAN</t>
  </si>
  <si>
    <t>204:149</t>
  </si>
  <si>
    <t>204:233289</t>
  </si>
  <si>
    <t>204:233297</t>
  </si>
  <si>
    <t>204:455</t>
  </si>
  <si>
    <t>204:181</t>
  </si>
  <si>
    <t>204:185</t>
  </si>
  <si>
    <t>Partly Cloudy</t>
  </si>
  <si>
    <t>partly-cloudy-night</t>
  </si>
  <si>
    <t>204:154</t>
  </si>
  <si>
    <t>204:232963</t>
  </si>
  <si>
    <t>204:233000</t>
  </si>
  <si>
    <t>204:464</t>
  </si>
  <si>
    <t>204:495</t>
  </si>
  <si>
    <t>204:502</t>
  </si>
  <si>
    <t>204:233246</t>
  </si>
  <si>
    <t>Poor GPS under Wewatta St. overpass</t>
  </si>
  <si>
    <t>rtdc.l.rtdc.4025:itc</t>
  </si>
  <si>
    <t>rtdc.l.rtdc.4013:itc</t>
  </si>
  <si>
    <t>rtdc.l.rtdc.4026:itc</t>
  </si>
  <si>
    <t>204:449</t>
  </si>
  <si>
    <t>204:477</t>
  </si>
  <si>
    <t>204:233259</t>
  </si>
  <si>
    <t>204:232934</t>
  </si>
  <si>
    <t>204:223</t>
  </si>
  <si>
    <t>204:158</t>
  </si>
  <si>
    <t>204:537</t>
  </si>
  <si>
    <t>204:473</t>
  </si>
  <si>
    <t>204:453</t>
  </si>
  <si>
    <t>204:506</t>
  </si>
  <si>
    <t>204:232957</t>
  </si>
  <si>
    <t>204:232964</t>
  </si>
  <si>
    <t>300:23306</t>
  </si>
  <si>
    <t>GRADE CROSSING</t>
  </si>
  <si>
    <t>rtdc.l.rtdc.4054:itc</t>
  </si>
  <si>
    <t>Early Arrival</t>
  </si>
  <si>
    <t>DAVIDSON</t>
  </si>
  <si>
    <t>rtdc.l.rtdc.4053:itc</t>
  </si>
  <si>
    <t>STEWART</t>
  </si>
  <si>
    <t>LONG</t>
  </si>
  <si>
    <t>FULLER</t>
  </si>
  <si>
    <t>LORI</t>
  </si>
  <si>
    <t>SANTOS</t>
  </si>
  <si>
    <t>204:493</t>
  </si>
  <si>
    <t>204:233291</t>
  </si>
  <si>
    <t>204:232950</t>
  </si>
  <si>
    <t>204:232955</t>
  </si>
  <si>
    <t>204:233268</t>
  </si>
  <si>
    <t>204:232947</t>
  </si>
  <si>
    <t>204:229</t>
  </si>
  <si>
    <t>204:227</t>
  </si>
  <si>
    <t>204:232</t>
  </si>
  <si>
    <t>300:23302</t>
  </si>
  <si>
    <t>300:112578</t>
  </si>
  <si>
    <t>204:165</t>
  </si>
  <si>
    <t>204:446</t>
  </si>
  <si>
    <t>300:58619</t>
  </si>
  <si>
    <t>300:58928</t>
  </si>
  <si>
    <t>204:144</t>
  </si>
  <si>
    <t>204:448</t>
  </si>
  <si>
    <t>300:58621</t>
  </si>
  <si>
    <t>204:131</t>
  </si>
  <si>
    <t>300:58937</t>
  </si>
  <si>
    <t>300:58941</t>
  </si>
  <si>
    <t>300:58933</t>
  </si>
  <si>
    <t>204:157</t>
  </si>
  <si>
    <t>rtdc.l.rtdc.4039:itc</t>
  </si>
  <si>
    <t>rtdc.l.rtdc.4040:itc</t>
  </si>
  <si>
    <t>BONDS</t>
  </si>
  <si>
    <t>REYNALDO</t>
  </si>
  <si>
    <t>YANAI</t>
  </si>
  <si>
    <t>IAN</t>
  </si>
  <si>
    <t>BRUDER</t>
  </si>
  <si>
    <t>RICHARD</t>
  </si>
  <si>
    <t>ZEWDU</t>
  </si>
  <si>
    <t>DEREJE</t>
  </si>
  <si>
    <t>NEWELL</t>
  </si>
  <si>
    <t>204:233282</t>
  </si>
  <si>
    <t>204:232998</t>
  </si>
  <si>
    <t>204:435</t>
  </si>
  <si>
    <t>204:511</t>
  </si>
  <si>
    <t>204:548</t>
  </si>
  <si>
    <t>204:242</t>
  </si>
  <si>
    <t>204:232938</t>
  </si>
  <si>
    <t>204:247</t>
  </si>
  <si>
    <t>204:424</t>
  </si>
  <si>
    <t>300:112260</t>
  </si>
  <si>
    <t>204:155</t>
  </si>
  <si>
    <t>204:135</t>
  </si>
  <si>
    <t>rtdc.l.rtdc.4058:itc</t>
  </si>
  <si>
    <t>ROCHA</t>
  </si>
  <si>
    <t>YAOTL</t>
  </si>
  <si>
    <t>LOPES</t>
  </si>
  <si>
    <t>KIMBERLY</t>
  </si>
  <si>
    <t>GEBRETEKLE</t>
  </si>
  <si>
    <t>DAGNEW</t>
  </si>
  <si>
    <t>HUFFSMITH</t>
  </si>
  <si>
    <t>MONTY</t>
  </si>
  <si>
    <t>HOLCOMB</t>
  </si>
  <si>
    <t>KAMDEN</t>
  </si>
  <si>
    <t>MCREYNOLDS</t>
  </si>
  <si>
    <t>KYLE</t>
  </si>
  <si>
    <t>240-10</t>
  </si>
  <si>
    <t>313-10</t>
  </si>
  <si>
    <t>242-10</t>
  </si>
  <si>
    <t>307-10</t>
  </si>
  <si>
    <t>244-10</t>
  </si>
  <si>
    <t>309-10</t>
  </si>
  <si>
    <t>311-10</t>
  </si>
  <si>
    <t>300-11</t>
  </si>
  <si>
    <t>precipType</t>
  </si>
  <si>
    <t>rain</t>
  </si>
  <si>
    <t>204:232961</t>
  </si>
  <si>
    <t>204:232994</t>
  </si>
  <si>
    <t>204:156</t>
  </si>
  <si>
    <t>204:519</t>
  </si>
  <si>
    <t>204:233272</t>
  </si>
  <si>
    <t>204:216</t>
  </si>
  <si>
    <t>204:232980</t>
  </si>
  <si>
    <t>204:249</t>
  </si>
  <si>
    <t>204:520</t>
  </si>
  <si>
    <t>204:232940</t>
  </si>
  <si>
    <t>204:522</t>
  </si>
  <si>
    <t>204:233288</t>
  </si>
  <si>
    <t>204:198</t>
  </si>
  <si>
    <t>204:580</t>
  </si>
  <si>
    <t>204:233312</t>
  </si>
  <si>
    <t>204:232984</t>
  </si>
  <si>
    <t>204:457</t>
  </si>
  <si>
    <t>204:203</t>
  </si>
  <si>
    <t>204:233266</t>
  </si>
  <si>
    <t>204:233270</t>
  </si>
  <si>
    <t>204:221</t>
  </si>
  <si>
    <t>204:233193</t>
  </si>
  <si>
    <t>204:486</t>
  </si>
  <si>
    <t>204:491</t>
  </si>
  <si>
    <t>204:160</t>
  </si>
  <si>
    <t>204:232946</t>
  </si>
  <si>
    <t>204:526</t>
  </si>
  <si>
    <t>204:196</t>
  </si>
  <si>
    <t>204:233310</t>
  </si>
  <si>
    <t>204:236</t>
  </si>
  <si>
    <t>204:458</t>
  </si>
  <si>
    <t>204:233264</t>
  </si>
  <si>
    <t>204:233301</t>
  </si>
  <si>
    <t>204:232982</t>
  </si>
  <si>
    <t>204:232869</t>
  </si>
  <si>
    <t>204:232919</t>
  </si>
  <si>
    <t>204:251</t>
  </si>
  <si>
    <t>204:233249</t>
  </si>
  <si>
    <t>204:232925</t>
  </si>
  <si>
    <t>204:256</t>
  </si>
  <si>
    <t>204:232987</t>
  </si>
  <si>
    <t>204:233243</t>
  </si>
  <si>
    <t>204:579</t>
  </si>
  <si>
    <t>300:23304</t>
  </si>
  <si>
    <t>300:28150</t>
  </si>
  <si>
    <t>300:112262</t>
  </si>
  <si>
    <t>204:1158</t>
  </si>
  <si>
    <t>300:23295</t>
  </si>
  <si>
    <t>300:58952</t>
  </si>
  <si>
    <t>204:166</t>
  </si>
  <si>
    <t>204:153</t>
  </si>
  <si>
    <t>300:58643</t>
  </si>
  <si>
    <t>300:58973</t>
  </si>
  <si>
    <t>300:58628</t>
  </si>
  <si>
    <t>204:444</t>
  </si>
  <si>
    <t>300:58609</t>
  </si>
  <si>
    <t>300:58581</t>
  </si>
  <si>
    <t>204:138</t>
  </si>
  <si>
    <t>204:450</t>
  </si>
  <si>
    <t>204:417</t>
  </si>
  <si>
    <t>300:58924</t>
  </si>
  <si>
    <t>204:439</t>
  </si>
  <si>
    <t>204:164</t>
  </si>
  <si>
    <t>300:58950</t>
  </si>
  <si>
    <t>Extended Wi-MAX data drop</t>
  </si>
  <si>
    <t>105-11</t>
  </si>
  <si>
    <t>rtdc.l.rtdc.4005:itc</t>
  </si>
  <si>
    <t>902-11</t>
  </si>
  <si>
    <t>119-11</t>
  </si>
  <si>
    <t>810-11</t>
  </si>
  <si>
    <t>51-11</t>
  </si>
  <si>
    <t>TRACK WARRANT AUTHORITY</t>
  </si>
  <si>
    <t>Form based authority (4)</t>
  </si>
  <si>
    <t>rtdc.l.rtdc.4006:itc</t>
  </si>
  <si>
    <t>815-11</t>
  </si>
  <si>
    <t>rtdc.l.rtdc.4041:itc</t>
  </si>
  <si>
    <t>152-11</t>
  </si>
  <si>
    <t>rtdc.l.rtdc.4034:itc</t>
  </si>
  <si>
    <t>167-11</t>
  </si>
  <si>
    <t>67-11</t>
  </si>
  <si>
    <t>53-11</t>
  </si>
  <si>
    <t>171-11</t>
  </si>
  <si>
    <t>166-11</t>
  </si>
  <si>
    <t>821-11</t>
  </si>
  <si>
    <t>61-11</t>
  </si>
  <si>
    <t>187-11</t>
  </si>
  <si>
    <t>189-11</t>
  </si>
  <si>
    <t>824-11</t>
  </si>
  <si>
    <t>180-11</t>
  </si>
  <si>
    <t>rtdc.l.rtdc.4032:itc</t>
  </si>
  <si>
    <t>195-11</t>
  </si>
  <si>
    <t>rtdc.l.rtdc.4031:itc</t>
  </si>
  <si>
    <t>60-11</t>
  </si>
  <si>
    <t>TEMPORARY SPEED RESTRICTION</t>
  </si>
  <si>
    <t>rtdc.l.rtdc.4015:itc</t>
  </si>
  <si>
    <t>198-11</t>
  </si>
  <si>
    <t>832-11</t>
  </si>
  <si>
    <t>837-11</t>
  </si>
  <si>
    <t>842-11</t>
  </si>
  <si>
    <t>849-11</t>
  </si>
  <si>
    <t>238-11</t>
  </si>
  <si>
    <t>101-11</t>
  </si>
  <si>
    <t>rtdc.l.rtdc.4063:itc</t>
  </si>
  <si>
    <t>302-11</t>
  </si>
  <si>
    <t>MAELZER</t>
  </si>
  <si>
    <t>KURT</t>
  </si>
  <si>
    <t>rtdc.l.rtdc.4064:itc</t>
  </si>
  <si>
    <t>103-11</t>
  </si>
  <si>
    <t>304-11</t>
  </si>
  <si>
    <t>rtdc.l.rtdc.4049:itc</t>
  </si>
  <si>
    <t>102-11</t>
  </si>
  <si>
    <t>306-11</t>
  </si>
  <si>
    <t>308-11</t>
  </si>
  <si>
    <t>107-11</t>
  </si>
  <si>
    <t>104-11</t>
  </si>
  <si>
    <t>rtdc.l.rtdc.4042:itc</t>
  </si>
  <si>
    <t>109-11</t>
  </si>
  <si>
    <t>310-11</t>
  </si>
  <si>
    <t>rtdc.l.rtdc.4014:itc</t>
  </si>
  <si>
    <t>901-11</t>
  </si>
  <si>
    <t>111-11</t>
  </si>
  <si>
    <t>106-11</t>
  </si>
  <si>
    <t>800-11</t>
  </si>
  <si>
    <t>rtdc.l.rtdc.4016:itc</t>
  </si>
  <si>
    <t>113-11</t>
  </si>
  <si>
    <t>108-11</t>
  </si>
  <si>
    <t>rtdc.l.rtdc.4021:itc</t>
  </si>
  <si>
    <t>312-11</t>
  </si>
  <si>
    <t>115-11</t>
  </si>
  <si>
    <t>801-11</t>
  </si>
  <si>
    <t>117-11</t>
  </si>
  <si>
    <t>112-11</t>
  </si>
  <si>
    <t>110-11</t>
  </si>
  <si>
    <t>114-11</t>
  </si>
  <si>
    <t>802-11</t>
  </si>
  <si>
    <t>803-11</t>
  </si>
  <si>
    <t>121-11</t>
  </si>
  <si>
    <t>116-11</t>
  </si>
  <si>
    <t>123-11</t>
  </si>
  <si>
    <t>118-11</t>
  </si>
  <si>
    <t>804-11</t>
  </si>
  <si>
    <t>805-11</t>
  </si>
  <si>
    <t>125-11</t>
  </si>
  <si>
    <t>120-11</t>
  </si>
  <si>
    <t>122-11</t>
  </si>
  <si>
    <t>127-11</t>
  </si>
  <si>
    <t>806-11</t>
  </si>
  <si>
    <t>807-11</t>
  </si>
  <si>
    <t>129-11</t>
  </si>
  <si>
    <t>124-11</t>
  </si>
  <si>
    <t>126-11</t>
  </si>
  <si>
    <t>131-11</t>
  </si>
  <si>
    <t>808-11</t>
  </si>
  <si>
    <t>809-11</t>
  </si>
  <si>
    <t>128-11</t>
  </si>
  <si>
    <t>133-11</t>
  </si>
  <si>
    <t>STRICKLAND</t>
  </si>
  <si>
    <t>EVAN</t>
  </si>
  <si>
    <t>135-11</t>
  </si>
  <si>
    <t>811-11</t>
  </si>
  <si>
    <t>130-11</t>
  </si>
  <si>
    <t>137-11</t>
  </si>
  <si>
    <t>132-11</t>
  </si>
  <si>
    <t>139-11</t>
  </si>
  <si>
    <t>134-11</t>
  </si>
  <si>
    <t>812-11</t>
  </si>
  <si>
    <t>903-11</t>
  </si>
  <si>
    <t>136-11</t>
  </si>
  <si>
    <t>141-11</t>
  </si>
  <si>
    <t>143-11</t>
  </si>
  <si>
    <t>813-11</t>
  </si>
  <si>
    <t>138-11</t>
  </si>
  <si>
    <t>145-11</t>
  </si>
  <si>
    <t>147-11</t>
  </si>
  <si>
    <t>142-11</t>
  </si>
  <si>
    <t>140-11</t>
  </si>
  <si>
    <t>814-11</t>
  </si>
  <si>
    <t>rtdc.l.rtdc.4009:itc</t>
  </si>
  <si>
    <t>50-11</t>
  </si>
  <si>
    <t>149-11</t>
  </si>
  <si>
    <t>144-11</t>
  </si>
  <si>
    <t>151-11</t>
  </si>
  <si>
    <t>146-11</t>
  </si>
  <si>
    <t>75-11</t>
  </si>
  <si>
    <t>153-11</t>
  </si>
  <si>
    <t>52-11</t>
  </si>
  <si>
    <t>GONZALEZ</t>
  </si>
  <si>
    <t>ARMANDO</t>
  </si>
  <si>
    <t>155-11</t>
  </si>
  <si>
    <t>148-11</t>
  </si>
  <si>
    <t>816-11</t>
  </si>
  <si>
    <t>150-11</t>
  </si>
  <si>
    <t>817-11</t>
  </si>
  <si>
    <t>154-11</t>
  </si>
  <si>
    <t>159-11</t>
  </si>
  <si>
    <t>156-11</t>
  </si>
  <si>
    <t>161-11</t>
  </si>
  <si>
    <t>163-11</t>
  </si>
  <si>
    <t>818-11</t>
  </si>
  <si>
    <t>165-11</t>
  </si>
  <si>
    <t>160-11</t>
  </si>
  <si>
    <t>158-11</t>
  </si>
  <si>
    <t>BADERTSCHER</t>
  </si>
  <si>
    <t>DIANE</t>
  </si>
  <si>
    <t>819-11</t>
  </si>
  <si>
    <t>ROBINSON</t>
  </si>
  <si>
    <t>KADDIBA</t>
  </si>
  <si>
    <t>169-11</t>
  </si>
  <si>
    <t>162-11</t>
  </si>
  <si>
    <t>164-11</t>
  </si>
  <si>
    <t>820-11</t>
  </si>
  <si>
    <t>173-11</t>
  </si>
  <si>
    <t>68-11</t>
  </si>
  <si>
    <t>168-11</t>
  </si>
  <si>
    <t>175-11</t>
  </si>
  <si>
    <t>170-11</t>
  </si>
  <si>
    <t>177-11</t>
  </si>
  <si>
    <t>172-11</t>
  </si>
  <si>
    <t>179-11</t>
  </si>
  <si>
    <t>822-11</t>
  </si>
  <si>
    <t>174-11</t>
  </si>
  <si>
    <t>181-11</t>
  </si>
  <si>
    <t>176-11</t>
  </si>
  <si>
    <t>183-11</t>
  </si>
  <si>
    <t>178-11</t>
  </si>
  <si>
    <t>823-11</t>
  </si>
  <si>
    <t>185-11</t>
  </si>
  <si>
    <t>62-11</t>
  </si>
  <si>
    <t>182-11</t>
  </si>
  <si>
    <t>184-11</t>
  </si>
  <si>
    <t>191-11</t>
  </si>
  <si>
    <t>825-11</t>
  </si>
  <si>
    <t>186-11</t>
  </si>
  <si>
    <t>904-11</t>
  </si>
  <si>
    <t>193-11</t>
  </si>
  <si>
    <t>188-11</t>
  </si>
  <si>
    <t>826-11</t>
  </si>
  <si>
    <t>827-11</t>
  </si>
  <si>
    <t>190-11</t>
  </si>
  <si>
    <t>197-11</t>
  </si>
  <si>
    <t>192-11</t>
  </si>
  <si>
    <t>829-11</t>
  </si>
  <si>
    <t>828-11</t>
  </si>
  <si>
    <t>199-11</t>
  </si>
  <si>
    <t>194-11</t>
  </si>
  <si>
    <t>201-11</t>
  </si>
  <si>
    <t>196-11</t>
  </si>
  <si>
    <t>203-11</t>
  </si>
  <si>
    <t>830-11</t>
  </si>
  <si>
    <t>831-11</t>
  </si>
  <si>
    <t>205-11</t>
  </si>
  <si>
    <t>200-11</t>
  </si>
  <si>
    <t>207-11</t>
  </si>
  <si>
    <t>833-11</t>
  </si>
  <si>
    <t>63-11</t>
  </si>
  <si>
    <t>202-11</t>
  </si>
  <si>
    <t>209-11</t>
  </si>
  <si>
    <t>204-11</t>
  </si>
  <si>
    <t>834-11</t>
  </si>
  <si>
    <t>211-11</t>
  </si>
  <si>
    <t>206-11</t>
  </si>
  <si>
    <t>835-11</t>
  </si>
  <si>
    <t>208-11</t>
  </si>
  <si>
    <t>213-11</t>
  </si>
  <si>
    <t>74-11</t>
  </si>
  <si>
    <t>215-11</t>
  </si>
  <si>
    <t>836-11</t>
  </si>
  <si>
    <t>217-11</t>
  </si>
  <si>
    <t>ELBAUM</t>
  </si>
  <si>
    <t>MIKE</t>
  </si>
  <si>
    <t>210-11</t>
  </si>
  <si>
    <t>212-11</t>
  </si>
  <si>
    <t>219-11</t>
  </si>
  <si>
    <t>839-11</t>
  </si>
  <si>
    <t>838-11</t>
  </si>
  <si>
    <t>214-11</t>
  </si>
  <si>
    <t>301-11</t>
  </si>
  <si>
    <t>216-11</t>
  </si>
  <si>
    <t>218-11</t>
  </si>
  <si>
    <t>221-11</t>
  </si>
  <si>
    <t>906-11</t>
  </si>
  <si>
    <t>841-11</t>
  </si>
  <si>
    <t>303-11</t>
  </si>
  <si>
    <t>220-11</t>
  </si>
  <si>
    <t>840-11</t>
  </si>
  <si>
    <t>223-11</t>
  </si>
  <si>
    <t>305-11</t>
  </si>
  <si>
    <t>222-11</t>
  </si>
  <si>
    <t>225-11</t>
  </si>
  <si>
    <t>843-11</t>
  </si>
  <si>
    <t>227-11</t>
  </si>
  <si>
    <t>224-11</t>
  </si>
  <si>
    <t>226-11</t>
  </si>
  <si>
    <t>229-11</t>
  </si>
  <si>
    <t>845-11</t>
  </si>
  <si>
    <t>228-11</t>
  </si>
  <si>
    <t>844-11</t>
  </si>
  <si>
    <t>233-11</t>
  </si>
  <si>
    <t>230-11</t>
  </si>
  <si>
    <t>847-11</t>
  </si>
  <si>
    <t>235-11</t>
  </si>
  <si>
    <t>846-11</t>
  </si>
  <si>
    <t>232-11</t>
  </si>
  <si>
    <t>234-11</t>
  </si>
  <si>
    <t>237-11</t>
  </si>
  <si>
    <t>239-11</t>
  </si>
  <si>
    <t>236-11</t>
  </si>
  <si>
    <t>908-11</t>
  </si>
  <si>
    <t>241-11</t>
  </si>
  <si>
    <t>243-11</t>
  </si>
  <si>
    <t>240-11</t>
  </si>
  <si>
    <t>242-11</t>
  </si>
  <si>
    <t>313-11</t>
  </si>
  <si>
    <t>307-11</t>
  </si>
  <si>
    <t>244-11</t>
  </si>
  <si>
    <t>309-11</t>
  </si>
  <si>
    <t>311-11</t>
  </si>
  <si>
    <t>204:772</t>
  </si>
  <si>
    <t>204:232959</t>
  </si>
  <si>
    <t>204:167</t>
  </si>
  <si>
    <t>204:488</t>
  </si>
  <si>
    <t>204:169</t>
  </si>
  <si>
    <t>204:233287</t>
  </si>
  <si>
    <t>204:232976</t>
  </si>
  <si>
    <t>204:471</t>
  </si>
  <si>
    <t>204:232973</t>
  </si>
  <si>
    <t>204:233227</t>
  </si>
  <si>
    <t>204:232943</t>
  </si>
  <si>
    <t>204:163</t>
  </si>
  <si>
    <t>204:233329</t>
  </si>
  <si>
    <t>204:233025</t>
  </si>
  <si>
    <t>204:524</t>
  </si>
  <si>
    <t>204:127438</t>
  </si>
  <si>
    <t>204:154413</t>
  </si>
  <si>
    <t>204:232977</t>
  </si>
  <si>
    <t>204:232923</t>
  </si>
  <si>
    <t>204:172</t>
  </si>
  <si>
    <t>204:529</t>
  </si>
  <si>
    <t>204:233320</t>
  </si>
  <si>
    <t>204:233003</t>
  </si>
  <si>
    <t>204:233308</t>
  </si>
  <si>
    <t>204:233232</t>
  </si>
  <si>
    <t>204:232996</t>
  </si>
  <si>
    <t>204:233278</t>
  </si>
  <si>
    <t>204:232965</t>
  </si>
  <si>
    <t>204:950</t>
  </si>
  <si>
    <t>204:233346</t>
  </si>
  <si>
    <t>204:233019</t>
  </si>
  <si>
    <t>204:233314</t>
  </si>
  <si>
    <t>204:232990</t>
  </si>
  <si>
    <t>204:1899</t>
  </si>
  <si>
    <t>204:513</t>
  </si>
  <si>
    <t>204:167060</t>
  </si>
  <si>
    <t>204:143</t>
  </si>
  <si>
    <t>204:232911</t>
  </si>
  <si>
    <t>204:233208</t>
  </si>
  <si>
    <t>204:232904</t>
  </si>
  <si>
    <t>204:170</t>
  </si>
  <si>
    <t>204:232991</t>
  </si>
  <si>
    <t>204:500</t>
  </si>
  <si>
    <t>204:233219</t>
  </si>
  <si>
    <t>204:232902</t>
  </si>
  <si>
    <t>204:460</t>
  </si>
  <si>
    <t>204:233280</t>
  </si>
  <si>
    <t>204:233340</t>
  </si>
  <si>
    <t>204:233015</t>
  </si>
  <si>
    <t>204:147</t>
  </si>
  <si>
    <t>204:19142</t>
  </si>
  <si>
    <t>204:451</t>
  </si>
  <si>
    <t>204:232960</t>
  </si>
  <si>
    <t>204:19122</t>
  </si>
  <si>
    <t>204:232932</t>
  </si>
  <si>
    <t>204:509</t>
  </si>
  <si>
    <t>204:232928</t>
  </si>
  <si>
    <t>204:233211</t>
  </si>
  <si>
    <t>204:232888</t>
  </si>
  <si>
    <t>204:220</t>
  </si>
  <si>
    <t>204:233316</t>
  </si>
  <si>
    <t>204:233026</t>
  </si>
  <si>
    <t>204:88486</t>
  </si>
  <si>
    <t>204:30898</t>
  </si>
  <si>
    <t>204:378</t>
  </si>
  <si>
    <t>204:63828</t>
  </si>
  <si>
    <t>204:60624</t>
  </si>
  <si>
    <t>204:127875</t>
  </si>
  <si>
    <t>204:232347</t>
  </si>
  <si>
    <t>204:216478</t>
  </si>
  <si>
    <t>204:546</t>
  </si>
  <si>
    <t>204:86602</t>
  </si>
  <si>
    <t>204:209</t>
  </si>
  <si>
    <t>204:37180</t>
  </si>
  <si>
    <t>204:233212</t>
  </si>
  <si>
    <t>204:21316</t>
  </si>
  <si>
    <t>204:232891</t>
  </si>
  <si>
    <t>204:37179</t>
  </si>
  <si>
    <t>204:673</t>
  </si>
  <si>
    <t>204:233053</t>
  </si>
  <si>
    <t>204:191</t>
  </si>
  <si>
    <t>204:37223</t>
  </si>
  <si>
    <t>204:233284</t>
  </si>
  <si>
    <t>204:2143</t>
  </si>
  <si>
    <t>204:233300</t>
  </si>
  <si>
    <t>204:232981</t>
  </si>
  <si>
    <t>204:232882</t>
  </si>
  <si>
    <t>204:233357</t>
  </si>
  <si>
    <t>204:233021</t>
  </si>
  <si>
    <t>204:549</t>
  </si>
  <si>
    <t>204:96646</t>
  </si>
  <si>
    <t>204:285</t>
  </si>
  <si>
    <t>204:240</t>
  </si>
  <si>
    <t>204:577</t>
  </si>
  <si>
    <t>204:233315</t>
  </si>
  <si>
    <t>204:232871</t>
  </si>
  <si>
    <t>204:535</t>
  </si>
  <si>
    <t>204:263</t>
  </si>
  <si>
    <t>204:232889</t>
  </si>
  <si>
    <t>204:544</t>
  </si>
  <si>
    <t>204:233442</t>
  </si>
  <si>
    <t>204:233110</t>
  </si>
  <si>
    <t>204:233336</t>
  </si>
  <si>
    <t>204:232872</t>
  </si>
  <si>
    <t>300:23312</t>
  </si>
  <si>
    <t>300:19806</t>
  </si>
  <si>
    <t>204:183</t>
  </si>
  <si>
    <t>300:21729</t>
  </si>
  <si>
    <t>300:23790</t>
  </si>
  <si>
    <t>204:559</t>
  </si>
  <si>
    <t>300:23605</t>
  </si>
  <si>
    <t>300:23510</t>
  </si>
  <si>
    <t>204:152</t>
  </si>
  <si>
    <t>300:22824</t>
  </si>
  <si>
    <t>204:528</t>
  </si>
  <si>
    <t>300:112197</t>
  </si>
  <si>
    <t>300:29066</t>
  </si>
  <si>
    <t>300:26611</t>
  </si>
  <si>
    <t>204:482</t>
  </si>
  <si>
    <t>204:3340</t>
  </si>
  <si>
    <t>204:3001</t>
  </si>
  <si>
    <t>204:1152</t>
  </si>
  <si>
    <t>300:29375</t>
  </si>
  <si>
    <t>300:112582</t>
  </si>
  <si>
    <t>300:112258</t>
  </si>
  <si>
    <t>300:28918</t>
  </si>
  <si>
    <t>300:45519</t>
  </si>
  <si>
    <t>300:28469</t>
  </si>
  <si>
    <t>300:29242</t>
  </si>
  <si>
    <t>300:45811</t>
  </si>
  <si>
    <t>300:28513</t>
  </si>
  <si>
    <t>300:28774</t>
  </si>
  <si>
    <t>300:112574</t>
  </si>
  <si>
    <t>300:112281</t>
  </si>
  <si>
    <t>300:28769</t>
  </si>
  <si>
    <t>300:112249</t>
  </si>
  <si>
    <t>300:109868</t>
  </si>
  <si>
    <t>300:112208</t>
  </si>
  <si>
    <t>300:28788</t>
  </si>
  <si>
    <t>300:26938</t>
  </si>
  <si>
    <t>300:112557</t>
  </si>
  <si>
    <t>300:29442</t>
  </si>
  <si>
    <t>300:33093</t>
  </si>
  <si>
    <t>300:110292</t>
  </si>
  <si>
    <t>300:110290</t>
  </si>
  <si>
    <t>300:26939</t>
  </si>
  <si>
    <t>204:1173</t>
  </si>
  <si>
    <t>300:23297</t>
  </si>
  <si>
    <t>204:1259</t>
  </si>
  <si>
    <t>300:23402</t>
  </si>
  <si>
    <t>204:3194</t>
  </si>
  <si>
    <t>204:3493</t>
  </si>
  <si>
    <t>204:1498</t>
  </si>
  <si>
    <t>300:58636</t>
  </si>
  <si>
    <t>300:58965</t>
  </si>
  <si>
    <t>300:58647</t>
  </si>
  <si>
    <t>300:58984</t>
  </si>
  <si>
    <t>300:58670</t>
  </si>
  <si>
    <t>300:58660</t>
  </si>
  <si>
    <t>300:58982</t>
  </si>
  <si>
    <t>300:58662</t>
  </si>
  <si>
    <t>300:58993</t>
  </si>
  <si>
    <t>300:58675</t>
  </si>
  <si>
    <t>204:4524</t>
  </si>
  <si>
    <t>300:58988</t>
  </si>
  <si>
    <t>204:459</t>
  </si>
  <si>
    <t>300:58995</t>
  </si>
  <si>
    <t>300:58677</t>
  </si>
  <si>
    <t>204:162</t>
  </si>
  <si>
    <t>204:148</t>
  </si>
  <si>
    <t>300:4928</t>
  </si>
  <si>
    <t>300:58623</t>
  </si>
  <si>
    <t>300:58681</t>
  </si>
  <si>
    <t>204:171</t>
  </si>
  <si>
    <t>204:479</t>
  </si>
  <si>
    <t>300:58997</t>
  </si>
  <si>
    <t>300:58683</t>
  </si>
  <si>
    <t>204:4535</t>
  </si>
  <si>
    <t>204:437</t>
  </si>
  <si>
    <t>300:58999</t>
  </si>
  <si>
    <t>300:58685</t>
  </si>
  <si>
    <t>300:58909</t>
  </si>
  <si>
    <t>204:122</t>
  </si>
  <si>
    <t>300:58990</t>
  </si>
  <si>
    <t>300:58606</t>
  </si>
  <si>
    <t>204:4461</t>
  </si>
  <si>
    <t>300:58591</t>
  </si>
  <si>
    <t>300:30231</t>
  </si>
  <si>
    <t>300:23665</t>
  </si>
  <si>
    <t>300:23364</t>
  </si>
  <si>
    <t>300:23201</t>
  </si>
  <si>
    <t>204:133</t>
  </si>
  <si>
    <t>204:430</t>
  </si>
  <si>
    <t>300:24254</t>
  </si>
  <si>
    <t>300:23603</t>
  </si>
  <si>
    <t>300:58673</t>
  </si>
  <si>
    <t>300:28776</t>
  </si>
  <si>
    <t>300:58604</t>
  </si>
  <si>
    <t>300:28791</t>
  </si>
  <si>
    <t>start /low /b %USERPROFILE%\Documents\GitHub\eaglep3\Utilities\DownloadLogsFromS3.py --loco 4056 --day 2018-01-11</t>
  </si>
  <si>
    <t>start /low /b %USERPROFILE%\Documents\GitHub\eaglep3\Utilities\DownloadLogsFromS3.py --loco 4034 --day 2018-01-11</t>
  </si>
  <si>
    <t>start /low /b %USERPROFILE%\Documents\GitHub\eaglep3\Utilities\DownloadLogsFromS3.py --loco 4020 --day 2018-01-11</t>
  </si>
  <si>
    <t>start /low /b %USERPROFILE%\Documents\GitHub\eaglep3\Utilities\DownloadLogsFromS3.py --loco 4041 --day 2018-01-11</t>
  </si>
  <si>
    <t>start /low /b %USERPROFILE%\Documents\GitHub\eaglep3\Utilities\DownloadLogsFromS3.py --loco 4015 --day 2018-01-11</t>
  </si>
  <si>
    <t>start /low /b %USERPROFILE%\Documents\GitHub\eaglep3\Utilities\DownloadLogsFromS3.py --loco 4022 --day 2018-01-11</t>
  </si>
  <si>
    <t>start /low /b %USERPROFILE%\Documents\GitHub\eaglep3\Utilities\DownloadLogsFromS3.py --loco 4012 --day 2018-01-11</t>
  </si>
  <si>
    <t>start /low /b %USERPROFILE%\Documents\GitHub\eaglep3\Utilities\DownloadLogsFromS3.py --loco 4055 --day 2018-01-11</t>
  </si>
  <si>
    <t>start /low /b %USERPROFILE%\Documents\GitHub\eaglep3\Utilities\DownloadLogsFromS3.py --loco 4013 --day 2018-01-11</t>
  </si>
  <si>
    <t>start /low /b %USERPROFILE%\Documents\GitHub\eaglep3\Utilities\DownloadLogsFromS3.py --loco 4005 --day 2018-01-11</t>
  </si>
  <si>
    <t>start /low /b %USERPROFILE%\Documents\GitHub\eaglep3\Utilities\DownloadLogsFromS3.py --loco 4033 --day 2018-01-12</t>
  </si>
  <si>
    <t>start /low /b %USERPROFILE%\Documents\GitHub\eaglep3\Utilities\DownloadLogsFromS3.py --loco 4013 --day 2018-01-12</t>
  </si>
  <si>
    <t>start /low /b %USERPROFILE%\Documents\GitHub\eaglep3\Utilities\DownloadLogsFromS3.py --loco 4005 --day 2018-01-12</t>
  </si>
  <si>
    <t>start /low /b %USERPROFILE%\Documents\GitHub\eaglep3\Utilities\DownloadLogsFromS3.py --loco 4006 --day 2018-01-12</t>
  </si>
  <si>
    <t>start /low /b %USERPROFILE%\Documents\GitHub\eaglep3\Utilities\DownloadLogsFromS3.py --loco 4006 --day 2018-01-11</t>
  </si>
  <si>
    <t>Did not init due to extended Wi-MAX data drop</t>
  </si>
  <si>
    <t>Onboard en route failure</t>
  </si>
  <si>
    <t>Onboard en route failure during init at DUS</t>
  </si>
  <si>
    <t>Wi-MAX data drop, no PTC enforcement</t>
  </si>
  <si>
    <t>Wi-MAX data drop during init at DIA</t>
  </si>
  <si>
    <t>DTO efficiency testing at CP 61st Ave</t>
  </si>
  <si>
    <t>Delay due to cascade from 147-11</t>
  </si>
  <si>
    <t>Restricted aspect due to Pecos 4N</t>
  </si>
  <si>
    <t>Observed Wi-MAX data drop</t>
  </si>
  <si>
    <t>Went active too close to signal</t>
  </si>
  <si>
    <t>Wi-MAX data drop caused enforcement</t>
  </si>
  <si>
    <t>Observed unhealthy xing at Chambers due to station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</si>
</sst>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5" xfId="0" applyNumberFormat="1" applyBorder="1" applyAlignment="1">
      <alignment horizontal="left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604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43111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43111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142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COUNTIFS($N$13:$N$9647,"&gt;0",$AG$13:$AG$9647,I1)</f>
        <v>129</v>
      </c>
      <c r="K5" s="39"/>
      <c r="L5" s="171"/>
      <c r="M5" s="40">
        <f>AVERAGEIFS($N$13:$N$9647,$AG$13:$AG$9647,I1)</f>
        <v>37.636046511267288</v>
      </c>
      <c r="N5" s="38">
        <f t="array" ref="N5">MIN(IF($AG$13:$AG$9647=I1,IF(ISNUMBER($N$13:$N$9647),IF($N$13:$N$9647&gt;0,$N$13:$N$9647))))</f>
        <v>33.549999995157123</v>
      </c>
      <c r="O5" s="3">
        <f t="array" ref="O5">MAX(IF($AG$13:$AG$9647=I1,IF(ISNUMBER($N$13:$N$9647),IF($N$13:$N$9647&gt;0,$N$13:$N$9647))))</f>
        <v>55.549999993527308</v>
      </c>
      <c r="P5" s="2"/>
      <c r="R5" s="162" t="s">
        <v>17</v>
      </c>
      <c r="S5" s="206">
        <f>COUNTIFS($N$13:$N$9647,"&gt;0",$AG$13:$AG$9647,R1)</f>
        <v>49</v>
      </c>
      <c r="T5" s="171"/>
      <c r="U5" s="194"/>
      <c r="V5" s="210">
        <f>AVERAGEIFS($N$13:$N$9647,$AG$13:$AG$9647,R1)</f>
        <v>13.469727891093424</v>
      </c>
      <c r="W5" s="211">
        <f t="array" ref="W5">MIN(IF($AG$13:$AG$9647=R1,IF(ISNUMBER($N$13:$N$9647),IF($N$13:$N$9647&gt;0,$N$13:$N$9647))))</f>
        <v>9.1500000015366822</v>
      </c>
      <c r="X5" s="199">
        <f t="array" ref="X5">MAX(IF($AG$13:$AG$9647=R1,IF(ISNUMBER($N$13:$N$9647),IF($N$13:$N$9647&gt;0,$N$13:$N$9647))))</f>
        <v>20.100000004749745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COUNT($O$13:$O$405)</f>
        <v>0</v>
      </c>
      <c r="K6" s="39"/>
      <c r="L6" s="171"/>
      <c r="M6" s="40">
        <f>IFERROR(AVERAGE($O$13:$O$405),0)</f>
        <v>0</v>
      </c>
      <c r="N6" s="38">
        <f>MIN($O$13:$O$405)</f>
        <v>0</v>
      </c>
      <c r="O6" s="3">
        <f>MAX($O$13:$O$405)</f>
        <v>0</v>
      </c>
      <c r="P6" s="2"/>
      <c r="R6" s="163" t="s">
        <v>43</v>
      </c>
      <c r="S6" s="206">
        <f>COUNT($O$13:$O$405)</f>
        <v>0</v>
      </c>
      <c r="T6" s="171"/>
      <c r="U6" s="194"/>
      <c r="V6" s="210">
        <f>IFERROR(AVERAGE($O$13:$O$405),0)</f>
        <v>0</v>
      </c>
      <c r="W6" s="211">
        <f>MIN($O$13:$O$405)</f>
        <v>0</v>
      </c>
      <c r="X6" s="199">
        <f>MAX($O$13:$O$405)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COUNTIFS($P$13:$P$9647,"&gt;0",$AG$13:$AG$9647,I1)</f>
        <v>13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COUNTIFS($P$13:$P$9647,"&gt;0",$AG$13:$AG$9647,R1)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129</v>
      </c>
      <c r="K8" s="39"/>
      <c r="L8" s="171"/>
      <c r="M8" s="40">
        <f>M5</f>
        <v>37.636046511267288</v>
      </c>
      <c r="N8" s="38">
        <f>N5</f>
        <v>33.549999995157123</v>
      </c>
      <c r="O8" s="3">
        <f>O5</f>
        <v>55.549999993527308</v>
      </c>
      <c r="P8" s="2"/>
      <c r="R8" s="162" t="s">
        <v>16</v>
      </c>
      <c r="S8" s="206">
        <f>S5</f>
        <v>49</v>
      </c>
      <c r="T8" s="171"/>
      <c r="U8" s="194"/>
      <c r="V8" s="210">
        <f>V5</f>
        <v>13.469727891093424</v>
      </c>
      <c r="W8" s="211">
        <f>W5</f>
        <v>9.1500000015366822</v>
      </c>
      <c r="X8" s="199">
        <f>X5</f>
        <v>20.100000004749745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0.90845070422535212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- 2018-01-11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AVERAGE(S13:S147)</f>
        <v>0.9862204724409448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186</v>
      </c>
      <c r="AN12" s="46" t="s">
        <v>328</v>
      </c>
      <c r="AO12" s="176" t="s">
        <v>349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684</v>
      </c>
      <c r="B13" s="7">
        <v>4050</v>
      </c>
      <c r="C13" s="21" t="s">
        <v>191</v>
      </c>
      <c r="D13" s="21" t="s">
        <v>900</v>
      </c>
      <c r="E13" s="13">
        <v>43111.125173611108</v>
      </c>
      <c r="F13" s="13">
        <v>43111.13559027778</v>
      </c>
      <c r="G13" s="7">
        <v>58</v>
      </c>
      <c r="H13" s="21" t="s">
        <v>515</v>
      </c>
      <c r="I13" s="13">
        <v>43111.159201388888</v>
      </c>
      <c r="J13" s="7">
        <v>0</v>
      </c>
      <c r="K13" s="89" t="str">
        <f>IF(ISEVEN(B13),(B13-1)&amp;"/"&amp;B13,B13&amp;"/"&amp;(B13+1))</f>
        <v>4049/4050</v>
      </c>
      <c r="L13" s="184" t="str">
        <f>VLOOKUP(A13,'Trips&amp;Operators'!$C$1:$G$99911,5,FALSE)</f>
        <v>YORK EDGAR</v>
      </c>
      <c r="M13" s="6">
        <f>I13-F13</f>
        <v>2.361111110803904E-2</v>
      </c>
      <c r="N13" s="7">
        <f>24*60*SUM($M13:$M13)</f>
        <v>33.999999995576218</v>
      </c>
      <c r="O13" s="7"/>
      <c r="P13" s="225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-11T02:00:15-0700',mode:absolute,to:'2018-01-11T04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7.7200000000000005E-2</v>
      </c>
      <c r="Z13" s="203">
        <f>RIGHT(H13,LEN(H13)-4)/10000</f>
        <v>23.3291</v>
      </c>
      <c r="AA13" s="203">
        <f>ABS(Z13-Y13)</f>
        <v>23.251899999999999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s3://rtdc.mdm.uploadarchive.raw/RTDC4050/ "%USERPROFILE%\AppData\Local\Temp\OnboardLogs"\RTDC4050\2018-01-11 --exclude "*" --recursive --include "*20180111*" &amp; "%USERPROFILE%\Documents\GitHub\mrs-test-scripts\Headless Mode &amp; Sideloading\WalkAndUnGZ.bat" "%USERPROFILE%\AppData\Local\Temp\OnboardLogs"\RTDC4050\2018-01-11 &amp; aws s3 cp s3://rtdc.mdm.uploadarchive.raw/RTDC4050/ "%USERPROFILE%\AppData\Local\Temp\OnboardLogs"\RTDC4050\2018-01-12 --exclude "*" --recursive --include "*20180112*" &amp; "%USERPROFILE%\Documents\GitHub\mrs-test-scripts\Headless Mode &amp; Sideloading\WalkAndUnGZ.bat" "%USERPROFILE%\AppData\Local\Temp\OnboardLogs"\RTDC4050\2018-01-12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/stypes="app*4050*20180111*"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4050 --swversion DE.1.0.9.0 --startMP 204:772 --initTime 2018-01-11T03:00:15 --startdatetime 2018-01-11T03:15:15 --delay 58 --endMP 204:233291 --enddatetime 2018-01-11T03:49:15 --enforcementcount 0 &gt;&gt;%USERPROFILE%\Documents\GitHub\eaglep3-reporting\EC\2018-01-11-refined-times.txt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{"issue":{"subject":"","project_id":79,"tracker_id":40,"status_id":1,"priority_id":2,"assigned_to_id":338,"start_date":"2018-01-11","description":"","custom_fields":[{"id":1,"name":"Subdivision","value":"EC"},{"id":4,"name":"Milepost","value":"23.3291"},{"id":17,"name":"Train ID","value":"101-11"},{"id":16,"name":"Locomotive ID","value":"4050"},{"id":130,"name":"Impact","value":""},{"id":150,"name":"Time of Event (Mountain Time)","value":"03:49:15"},{"id":151,"name":"Denver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4050 --day 2018-01-11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10:49:15"},{"id":29,"name":"Sharepoint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-11T02:00:15-0700',mode:absolute,to:'2018-01-11T04:49:15-0700'))&amp;_a=(columns:!('Message%20ID',Summary),filters:!(),index:'emp_*',interval:auto,query:(query_string:(analyze_wildcard:!t,query:'%22rtdc.l.rtdc.4050%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693</v>
      </c>
      <c r="B14" s="225">
        <v>4049</v>
      </c>
      <c r="C14" s="227" t="s">
        <v>191</v>
      </c>
      <c r="D14" s="227" t="s">
        <v>901</v>
      </c>
      <c r="E14" s="226">
        <v>43111.160092592596</v>
      </c>
      <c r="F14" s="226">
        <v>43111.175324074073</v>
      </c>
      <c r="G14" s="225">
        <v>50</v>
      </c>
      <c r="H14" s="227" t="s">
        <v>902</v>
      </c>
      <c r="I14" s="226">
        <v>43111.200370370374</v>
      </c>
      <c r="J14" s="225">
        <v>0</v>
      </c>
      <c r="K14" s="237" t="str">
        <f>IF(ISEVEN(B14),(B14-1)&amp;"/"&amp;B14,B14&amp;"/"&amp;(B14+1))</f>
        <v>4049/4050</v>
      </c>
      <c r="L14" s="245" t="str">
        <f>VLOOKUP(A14,'Trips&amp;Operators'!$C$1:$G$99911,5,FALSE)</f>
        <v>YORK EDGAR</v>
      </c>
      <c r="M14" s="224">
        <f>I14-F14</f>
        <v>2.5046296301297843E-2</v>
      </c>
      <c r="N14" s="225">
        <f>24*60*SUM($M14:$M14)</f>
        <v>36.066666673868895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-11T02:50:32-0700',mode:absolute,to:'2018-01-11T05:48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23.2959</v>
      </c>
      <c r="Z14" s="247">
        <f>RIGHT(H14,LEN(H14)-4)/10000</f>
        <v>1.67E-2</v>
      </c>
      <c r="AA14" s="247">
        <f>ABS(Z14-Y14)</f>
        <v>23.279199999999999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s3://rtdc.mdm.uploadarchive.raw/RTDC4049/ "%USERPROFILE%\AppData\Local\Temp\OnboardLogs"\RTDC4049\2018-01-11 --exclude "*" --recursive --include "*20180111*" &amp; "%USERPROFILE%\Documents\GitHub\mrs-test-scripts\Headless Mode &amp; Sideloading\WalkAndUnGZ.bat" "%USERPROFILE%\AppData\Local\Temp\OnboardLogs"\RTDC4049\2018-01-11 &amp; aws s3 cp s3://rtdc.mdm.uploadarchive.raw/RTDC4049/ "%USERPROFILE%\AppData\Local\Temp\OnboardLogs"\RTDC4049\2018-01-12 --exclude "*" --recursive --include "*20180112*" &amp; "%USERPROFILE%\Documents\GitHub\mrs-test-scripts\Headless Mode &amp; Sideloading\WalkAndUnGZ.bat" "%USERPROFILE%\AppData\Local\Temp\OnboardLogs"\RTDC4049\2018-01-12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/stypes="app*4049*20180111*"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4049 --swversion DE.1.0.9.0 --startMP 204:232959 --initTime 2018-01-11T03:50:32 --startdatetime 2018-01-11T04:12:28 --delay 50 --endMP 204:167 --enddatetime 2018-01-11T04:48:32 --enforcementcount 0 &gt;&gt;%USERPROFILE%\Documents\GitHub\eaglep3-reporting\EC\2018-01-11-refined-times.txt</v>
      </c>
      <c r="AI14" s="238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{"issue":{"subject":"","project_id":79,"tracker_id":40,"status_id":1,"priority_id":2,"assigned_to_id":338,"start_date":"2018-01-11","description":"","custom_fields":[{"id":1,"name":"Subdivision","value":"EC"},{"id":4,"name":"Milepost","value":"0.0167"},{"id":17,"name":"Train ID","value":"102-11"},{"id":16,"name":"Locomotive ID","value":"4049"},{"id":130,"name":"Impact","value":""},{"id":150,"name":"Time of Event (Mountain Time)","value":"04:48:32"},{"id":151,"name":"Denver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7">"start /low /b "&amp;dls3logs&amp;" --loco "&amp;B14&amp;" --day "&amp;TEXT(F14,"YYYY-MM-DD")</f>
        <v>start /low /b %USERPROFILE%\Documents\GitHub\eaglep3\Utilities\DownloadLogsFromS3.py --loco 4049 --day 2018-01-11</v>
      </c>
      <c r="AN14" s="24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11:48:32"},{"id":29,"name":"Sharepoint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-11T02:50:32-0700',mode:absolute,to:'2018-01-11T05:48:32-0700'))&amp;_a=(columns:!('Message%20ID',Summary),filters:!(),index:'emp_*',interval:auto,query:(query_string:(analyze_wildcard:!t,query:'%22rtdc.l.rtdc.4049%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690</v>
      </c>
      <c r="B15" s="225">
        <v>4064</v>
      </c>
      <c r="C15" s="227" t="s">
        <v>191</v>
      </c>
      <c r="D15" s="227" t="s">
        <v>903</v>
      </c>
      <c r="E15" s="226">
        <v>43111.151516203703</v>
      </c>
      <c r="F15" s="226">
        <v>43111.156435185185</v>
      </c>
      <c r="G15" s="225">
        <v>74</v>
      </c>
      <c r="H15" s="227" t="s">
        <v>611</v>
      </c>
      <c r="I15" s="226">
        <v>43111.181354166663</v>
      </c>
      <c r="J15" s="225">
        <v>0</v>
      </c>
      <c r="K15" s="237" t="str">
        <f>IF(ISEVEN(B15),(B15-1)&amp;"/"&amp;B15,B15&amp;"/"&amp;(B15+1))</f>
        <v>4063/4064</v>
      </c>
      <c r="L15" s="245" t="str">
        <f>VLOOKUP(A15,'Trips&amp;Operators'!$C$1:$G$99911,5,FALSE)</f>
        <v>MAELZER KURT</v>
      </c>
      <c r="M15" s="224">
        <f>I15-F15</f>
        <v>2.491898147854954E-2</v>
      </c>
      <c r="N15" s="225">
        <f>24*60*SUM($M15:$M15)</f>
        <v>35.883333329111338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2018-01-11T02:38:11-0700',mode:absolute,to:'2018-01-11T05:21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4.8800000000000003E-2</v>
      </c>
      <c r="Z15" s="247">
        <f>RIGHT(H15,LEN(H15)-4)/10000</f>
        <v>23.331</v>
      </c>
      <c r="AA15" s="247">
        <f>ABS(Z15-Y15)</f>
        <v>23.2822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s3://rtdc.mdm.uploadarchive.raw/RTDC4064/ "%USERPROFILE%\AppData\Local\Temp\OnboardLogs"\RTDC4064\2018-01-11 --exclude "*" --recursive --include "*20180111*" &amp; "%USERPROFILE%\Documents\GitHub\mrs-test-scripts\Headless Mode &amp; Sideloading\WalkAndUnGZ.bat" "%USERPROFILE%\AppData\Local\Temp\OnboardLogs"\RTDC4064\2018-01-11 &amp; aws s3 cp s3://rtdc.mdm.uploadarchive.raw/RTDC4064/ "%USERPROFILE%\AppData\Local\Temp\OnboardLogs"\RTDC4064\2018-01-12 --exclude "*" --recursive --include "*20180112*" &amp; "%USERPROFILE%\Documents\GitHub\mrs-test-scripts\Headless Mode &amp; Sideloading\WalkAndUnGZ.bat" "%USERPROFILE%\AppData\Local\Temp\OnboardLogs"\RTDC4064\2018-01-12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/stypes="app*4064*20180111*"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103-11 --locoid 4064 --swversion DE.1.0.9.0 --startMP 204:488 --initTime 2018-01-11T03:38:11 --startdatetime 2018-01-11T03:45:16 --delay 74 --endMP 204:233310 --enddatetime 2018-01-11T04:21:09 --enforcementcount 0 &gt;&gt;%USERPROFILE%\Documents\GitHub\eaglep3-reporting\EC\2018-01-11-refined-times.txt</v>
      </c>
      <c r="AI15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{"issue":{"subject":"","project_id":79,"tracker_id":40,"status_id":1,"priority_id":2,"assigned_to_id":338,"start_date":"2018-01-11","description":"","custom_fields":[{"id":1,"name":"Subdivision","value":"EC"},{"id":4,"name":"Milepost","value":"23.331"},{"id":17,"name":"Train ID","value":"103-11"},{"id":16,"name":"Locomotive ID","value":"4064"},{"id":130,"name":"Impact","value":""},{"id":150,"name":"Time of Event (Mountain Time)","value":"04:21:09"},{"id":151,"name":"Denver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4064 --day 2018-01-11</v>
      </c>
      <c r="AN15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11:21:09"},{"id":29,"name":"Sharepoint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2018-01-11T02:38:11-0700',mode:absolute,to:'2018-01-11T05:21:09-0700'))&amp;_a=(columns:!('Message%20ID',Summary),filters:!(),index:'emp_*',interval:auto,query:(query_string:(analyze_wildcard:!t,query:'%22rtdc.l.rtdc.4064%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697</v>
      </c>
      <c r="B16" s="225">
        <v>4063</v>
      </c>
      <c r="C16" s="227" t="s">
        <v>191</v>
      </c>
      <c r="D16" s="227" t="s">
        <v>584</v>
      </c>
      <c r="E16" s="226">
        <v>43111.187418981484</v>
      </c>
      <c r="F16" s="226">
        <v>43111.196030092593</v>
      </c>
      <c r="G16" s="225">
        <v>45</v>
      </c>
      <c r="H16" s="227" t="s">
        <v>904</v>
      </c>
      <c r="I16" s="226">
        <v>43111.22216435185</v>
      </c>
      <c r="J16" s="225">
        <v>0</v>
      </c>
      <c r="K16" s="237" t="str">
        <f>IF(ISEVEN(B16),(B16-1)&amp;"/"&amp;B16,B16&amp;"/"&amp;(B16+1))</f>
        <v>4063/4064</v>
      </c>
      <c r="L16" s="245" t="str">
        <f>VLOOKUP(A16,'Trips&amp;Operators'!$C$1:$G$99911,5,FALSE)</f>
        <v>MAELZER KURT</v>
      </c>
      <c r="M16" s="224">
        <f>I16-F16</f>
        <v>2.6134259256650694E-2</v>
      </c>
      <c r="N16" s="225">
        <f>24*60*SUM($M16:$M16)</f>
        <v>37.633333329576999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2018-01-11T03:29:53-0700',mode:absolute,to:'2018-01-11T06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23.299399999999999</v>
      </c>
      <c r="Z16" s="247">
        <f>RIGHT(H16,LEN(H16)-4)/10000</f>
        <v>1.6899999999999998E-2</v>
      </c>
      <c r="AA16" s="247">
        <f>ABS(Z16-Y16)</f>
        <v>23.282499999999999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s3://rtdc.mdm.uploadarchive.raw/RTDC4063/ "%USERPROFILE%\AppData\Local\Temp\OnboardLogs"\RTDC4063\2018-01-11 --exclude "*" --recursive --include "*20180111*" &amp; "%USERPROFILE%\Documents\GitHub\mrs-test-scripts\Headless Mode &amp; Sideloading\WalkAndUnGZ.bat" "%USERPROFILE%\AppData\Local\Temp\OnboardLogs"\RTDC4063\2018-01-11 &amp; aws s3 cp s3://rtdc.mdm.uploadarchive.raw/RTDC4063/ "%USERPROFILE%\AppData\Local\Temp\OnboardLogs"\RTDC4063\2018-01-12 --exclude "*" --recursive --include "*20180112*" &amp; "%USERPROFILE%\Documents\GitHub\mrs-test-scripts\Headless Mode &amp; Sideloading\WalkAndUnGZ.bat" "%USERPROFILE%\AppData\Local\Temp\OnboardLogs"\RTDC4063\2018-01-12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/stypes="app*4063*20180111*"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104-11 --locoid 4063 --swversion DE.1.0.9.0 --startMP 204:232994 --initTime 2018-01-11T04:29:53 --startdatetime 2018-01-11T04:42:17 --delay 45 --endMP 204:169 --enddatetime 2018-01-11T05:19:55 --enforcementcount 0 &gt;&gt;%USERPROFILE%\Documents\GitHub\eaglep3-reporting\EC\2018-01-11-refined-times.txt</v>
      </c>
      <c r="AI16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{"issue":{"subject":"","project_id":79,"tracker_id":40,"status_id":1,"priority_id":2,"assigned_to_id":338,"start_date":"2018-01-11","description":"","custom_fields":[{"id":1,"name":"Subdivision","value":"EC"},{"id":4,"name":"Milepost","value":"0.0169"},{"id":17,"name":"Train ID","value":"104-11"},{"id":16,"name":"Locomotive ID","value":"4063"},{"id":130,"name":"Impact","value":""},{"id":150,"name":"Time of Event (Mountain Time)","value":"05:19:55"},{"id":151,"name":"Denver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4063 --day 2018-01-11</v>
      </c>
      <c r="AN16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12:19:55"},{"id":29,"name":"Sharepoint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2018-01-11T03:29:53-0700',mode:absolute,to:'2018-01-11T06:19:55-0700'))&amp;_a=(columns:!('Message%20ID',Summary),filters:!(),index:'emp_*',interval:auto,query:(query_string:(analyze_wildcard:!t,query:'%22rtdc.l.rtdc.4063%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648</v>
      </c>
      <c r="B17" s="225">
        <v>4056</v>
      </c>
      <c r="C17" s="227" t="s">
        <v>191</v>
      </c>
      <c r="D17" s="227" t="s">
        <v>551</v>
      </c>
      <c r="E17" s="226">
        <v>43111.16978009259</v>
      </c>
      <c r="F17" s="226">
        <v>43111.177893518521</v>
      </c>
      <c r="G17" s="225">
        <v>65</v>
      </c>
      <c r="H17" s="227" t="s">
        <v>905</v>
      </c>
      <c r="I17" s="226">
        <v>43111.202650462961</v>
      </c>
      <c r="J17" s="225">
        <v>0</v>
      </c>
      <c r="K17" s="237" t="str">
        <f>IF(ISEVEN(B17),(B17-1)&amp;"/"&amp;B17,B17&amp;"/"&amp;(B17+1))</f>
        <v>4055/4056</v>
      </c>
      <c r="L17" s="245" t="str">
        <f>VLOOKUP(A17,'Trips&amp;Operators'!$C$1:$G$99911,5,FALSE)</f>
        <v>BONDS REYNALDO</v>
      </c>
      <c r="M17" s="224">
        <f>I17-F17</f>
        <v>2.4756944440014195E-2</v>
      </c>
      <c r="N17" s="225">
        <f>24*60*SUM($M17:$M17)</f>
        <v>35.64999999362044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2018-01-11T03:04:29-0700',mode:absolute,to:'2018-01-11T05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5.11E-2</v>
      </c>
      <c r="Z17" s="247">
        <f>RIGHT(H17,LEN(H17)-4)/10000</f>
        <v>23.328700000000001</v>
      </c>
      <c r="AA17" s="247">
        <f>ABS(Z17-Y17)</f>
        <v>23.2776</v>
      </c>
      <c r="AB17" s="233" t="str">
        <f>VLOOKUP(A17,Enforcements!$C$7:$K$9,8,0)</f>
        <v>Bulletin (2)</v>
      </c>
      <c r="AC17" s="232" t="str">
        <f>VLOOKUP(A17,Enforcements!$C$7:$E$9,3,0)</f>
        <v>GRADE CROSSING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/stypes="app*4056*20180111*"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105-11 --locoid 4056 --swversion DE.1.0.9.0 --startMP 204:511 --initTime 2018-01-11T04:04:29 --startdatetime 2018-01-11T04:16:10 --delay 65 --endMP 204:233287 --enddatetime 2018-01-11T04:51:49 --enforcementcount 0 &gt;&gt;%USERPROFILE%\Documents\GitHub\eaglep3-reporting\EC\2018-01-11-refined-times.txt</v>
      </c>
      <c r="AI17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{"issue":{"subject":"","project_id":79,"tracker_id":40,"status_id":1,"priority_id":2,"assigned_to_id":338,"start_date":"2018-01-11","description":"","custom_fields":[{"id":1,"name":"Subdivision","value":"EC"},{"id":4,"name":"Milepost","value":"23.3287"},{"id":17,"name":"Train ID","value":"105-11"},{"id":16,"name":"Locomotive ID","value":"4056"},{"id":130,"name":"Impact","value":""},{"id":150,"name":"Time of Event (Mountain Time)","value":"04:51:49"},{"id":151,"name":"Denver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4056 --day 2018-01-11</v>
      </c>
      <c r="AN17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11:51:49"},{"id":29,"name":"Sharepoint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2018-01-11T03:04:29-0700',mode:absolute,to:'2018-01-11T05:51:49-0700'))&amp;_a=(columns:!('Message%20ID',Summary),filters:!(),index:'emp_*',interval:auto,query:(query_string:(analyze_wildcard:!t,query:'%22rtdc.l.rtdc.4056%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704</v>
      </c>
      <c r="B18" s="225">
        <v>4055</v>
      </c>
      <c r="C18" s="227" t="s">
        <v>191</v>
      </c>
      <c r="D18" s="227" t="s">
        <v>906</v>
      </c>
      <c r="E18" s="226">
        <v>43111.20789351852</v>
      </c>
      <c r="F18" s="226">
        <v>43111.216828703706</v>
      </c>
      <c r="G18" s="225">
        <v>71</v>
      </c>
      <c r="H18" s="227" t="s">
        <v>456</v>
      </c>
      <c r="I18" s="226">
        <v>43111.243958333333</v>
      </c>
      <c r="J18" s="225">
        <v>0</v>
      </c>
      <c r="K18" s="237" t="str">
        <f>IF(ISEVEN(B18),(B18-1)&amp;"/"&amp;B18,B18&amp;"/"&amp;(B18+1))</f>
        <v>4055/4056</v>
      </c>
      <c r="L18" s="245" t="str">
        <f>VLOOKUP(A18,'Trips&amp;Operators'!$C$1:$G$99911,5,FALSE)</f>
        <v>BONDS REYNALDO</v>
      </c>
      <c r="M18" s="224">
        <f>I18-F18</f>
        <v>2.7129629626870155E-2</v>
      </c>
      <c r="N18" s="225">
        <f>24*60*SUM($M18:$M18)</f>
        <v>39.066666662693024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2018-01-11T03:59:22-0700',mode:absolute,to:'2018-01-11T06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23.297599999999999</v>
      </c>
      <c r="Z18" s="247">
        <f>RIGHT(H18,LEN(H18)-4)/10000</f>
        <v>2.1100000000000001E-2</v>
      </c>
      <c r="AA18" s="247">
        <f>ABS(Z18-Y18)</f>
        <v>23.276499999999999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 &amp; 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/stypes="app*4055*20180111*"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106-11 --locoid 4055 --swversion DE.1.0.9.0 --startMP 204:232976 --initTime 2018-01-11T04:59:22 --startdatetime 2018-01-11T05:12:14 --delay 71 --endMP 204:211 --enddatetime 2018-01-11T05:51:18 --enforcementcount 0 &gt;&gt;%USERPROFILE%\Documents\GitHub\eaglep3-reporting\EC\2018-01-11-refined-times.txt</v>
      </c>
      <c r="AI18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{"issue":{"subject":"","project_id":79,"tracker_id":40,"status_id":1,"priority_id":2,"assigned_to_id":338,"start_date":"2018-01-11","description":"","custom_fields":[{"id":1,"name":"Subdivision","value":"EC"},{"id":4,"name":"Milepost","value":"0.0211"},{"id":17,"name":"Train ID","value":"106-11"},{"id":16,"name":"Locomotive ID","value":"4055"},{"id":130,"name":"Impact","value":""},{"id":150,"name":"Time of Event (Mountain Time)","value":"05:51:18"},{"id":151,"name":"Denver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4055 --day 2018-01-11</v>
      </c>
      <c r="AN18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12:51:18"},{"id":29,"name":"Sharepoint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2018-01-11T03:59:22-0700',mode:absolute,to:'2018-01-11T06:51:18-0700'))&amp;_a=(columns:!('Message%20ID',Summary),filters:!(),index:'emp_*',interval:auto,query:(query_string:(analyze_wildcard:!t,query:'%22rtdc.l.rtdc.4055%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696</v>
      </c>
      <c r="B19" s="225">
        <v>4012</v>
      </c>
      <c r="C19" s="227" t="s">
        <v>191</v>
      </c>
      <c r="D19" s="227" t="s">
        <v>907</v>
      </c>
      <c r="E19" s="226">
        <v>43111.18309027778</v>
      </c>
      <c r="F19" s="226">
        <v>43111.188043981485</v>
      </c>
      <c r="G19" s="225">
        <v>68</v>
      </c>
      <c r="H19" s="227" t="s">
        <v>594</v>
      </c>
      <c r="I19" s="226">
        <v>43111.212395833332</v>
      </c>
      <c r="J19" s="225">
        <v>0</v>
      </c>
      <c r="K19" s="237" t="str">
        <f>IF(ISEVEN(B19),(B19-1)&amp;"/"&amp;B19,B19&amp;"/"&amp;(B19+1))</f>
        <v>4011/4012</v>
      </c>
      <c r="L19" s="245" t="str">
        <f>VLOOKUP(A19,'Trips&amp;Operators'!$C$1:$G$99911,5,FALSE)</f>
        <v>GEBRETEKLE DAGNEW</v>
      </c>
      <c r="M19" s="224">
        <f>I19-F19</f>
        <v>2.435185184731381E-2</v>
      </c>
      <c r="N19" s="225">
        <f>24*60*SUM($M19:$M19)</f>
        <v>35.066666660131887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2018-01-11T03:23:39-0700',mode:absolute,to:'2018-01-11T06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4.7100000000000003E-2</v>
      </c>
      <c r="Z19" s="247">
        <f>RIGHT(H19,LEN(H19)-4)/10000</f>
        <v>23.328800000000001</v>
      </c>
      <c r="AA19" s="247">
        <f>ABS(Z19-Y19)</f>
        <v>23.281700000000001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 &amp; aws s3 cp s3://rtdc.mdm.uploadarchive.raw/RTDC4012/ "%USERPROFILE%\AppData\Local\Temp\OnboardLogs"\RTDC4012\2018-01-12 --exclude "*" --recursive --include "*20180112*" &amp; "%USERPROFILE%\Documents\GitHub\mrs-test-scripts\Headless Mode &amp; Sideloading\WalkAndUnGZ.bat" "%USERPROFILE%\AppData\Local\Temp\OnboardLogs"\RTDC4012\2018-01-12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/stypes="app*4012*20180111*"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107-11 --locoid 4012 --swversion DE.1.0.9.0 --startMP 204:471 --initTime 2018-01-11T04:23:39 --startdatetime 2018-01-11T04:30:47 --delay 68 --endMP 204:233288 --enddatetime 2018-01-11T05:05:51 --enforcementcount 0 &gt;&gt;%USERPROFILE%\Documents\GitHub\eaglep3-reporting\EC\2018-01-11-refined-times.txt</v>
      </c>
      <c r="AI19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{"issue":{"subject":"","project_id":79,"tracker_id":40,"status_id":1,"priority_id":2,"assigned_to_id":338,"start_date":"2018-01-11","description":"","custom_fields":[{"id":1,"name":"Subdivision","value":"EC"},{"id":4,"name":"Milepost","value":"23.3288"},{"id":17,"name":"Train ID","value":"107-11"},{"id":16,"name":"Locomotive ID","value":"4012"},{"id":130,"name":"Impact","value":""},{"id":150,"name":"Time of Event (Mountain Time)","value":"05:05:51"},{"id":151,"name":"Denver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4012 --day 2018-01-11</v>
      </c>
      <c r="AN19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12:05:51"},{"id":29,"name":"Sharepoint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2018-01-11T03:23:39-0700',mode:absolute,to:'2018-01-11T06:05:51-0700'))&amp;_a=(columns:!('Message%20ID',Summary),filters:!(),index:'emp_*',interval:auto,query:(query_string:(analyze_wildcard:!t,query:'%22rtdc.l.rtdc.4012%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708</v>
      </c>
      <c r="B20" s="225">
        <v>4011</v>
      </c>
      <c r="C20" s="227" t="s">
        <v>191</v>
      </c>
      <c r="D20" s="227" t="s">
        <v>908</v>
      </c>
      <c r="E20" s="226">
        <v>43111.213645833333</v>
      </c>
      <c r="F20" s="226">
        <v>43111.22729166667</v>
      </c>
      <c r="G20" s="225">
        <v>59</v>
      </c>
      <c r="H20" s="227" t="s">
        <v>525</v>
      </c>
      <c r="I20" s="226">
        <v>43111.253136574072</v>
      </c>
      <c r="J20" s="225">
        <v>0</v>
      </c>
      <c r="K20" s="237" t="str">
        <f>IF(ISEVEN(B20),(B20-1)&amp;"/"&amp;B20,B20&amp;"/"&amp;(B20+1))</f>
        <v>4011/4012</v>
      </c>
      <c r="L20" s="245" t="str">
        <f>VLOOKUP(A20,'Trips&amp;Operators'!$C$1:$G$99911,5,FALSE)</f>
        <v>GEBRETEKLE DAGNEW</v>
      </c>
      <c r="M20" s="224">
        <f>I20-F20</f>
        <v>2.5844907402643003E-2</v>
      </c>
      <c r="N20" s="225">
        <f>24*60*SUM($M20:$M20)</f>
        <v>37.216666659805924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2018-01-11T04:07:39-0700',mode:absolute,to:'2018-01-11T07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23.2973</v>
      </c>
      <c r="Z20" s="247">
        <f>RIGHT(H20,LEN(H20)-4)/10000</f>
        <v>1.6500000000000001E-2</v>
      </c>
      <c r="AA20" s="247">
        <f>ABS(Z20-Y20)</f>
        <v>23.280799999999999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 &amp; aws s3 cp s3://rtdc.mdm.uploadarchive.raw/RTDC4011/ "%USERPROFILE%\AppData\Local\Temp\OnboardLogs"\RTDC4011\2018-01-12 --exclude "*" --recursive --include "*20180112*" &amp; "%USERPROFILE%\Documents\GitHub\mrs-test-scripts\Headless Mode &amp; Sideloading\WalkAndUnGZ.bat" "%USERPROFILE%\AppData\Local\Temp\OnboardLogs"\RTDC4011\2018-01-12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/stypes="app*4011*20180111*"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108-11 --locoid 4011 --swversion DE.1.0.9.0 --startMP 204:232973 --initTime 2018-01-11T05:07:39 --startdatetime 2018-01-11T05:27:18 --delay 59 --endMP 204:165 --enddatetime 2018-01-11T06:04:31 --enforcementcount 0 &gt;&gt;%USERPROFILE%\Documents\GitHub\eaglep3-reporting\EC\2018-01-11-refined-times.txt</v>
      </c>
      <c r="AI20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{"issue":{"subject":"","project_id":79,"tracker_id":40,"status_id":1,"priority_id":2,"assigned_to_id":338,"start_date":"2018-01-11","description":"","custom_fields":[{"id":1,"name":"Subdivision","value":"EC"},{"id":4,"name":"Milepost","value":"0.0165"},{"id":17,"name":"Train ID","value":"108-11"},{"id":16,"name":"Locomotive ID","value":"4011"},{"id":130,"name":"Impact","value":""},{"id":150,"name":"Time of Event (Mountain Time)","value":"06:04:31"},{"id":151,"name":"Denver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4011 --day 2018-01-11</v>
      </c>
      <c r="AN20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13:04:31"},{"id":29,"name":"Sharepoint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2018-01-11T04:07:39-0700',mode:absolute,to:'2018-01-11T07:04:31-0700'))&amp;_a=(columns:!('Message%20ID',Summary),filters:!(),index:'emp_*',interval:auto,query:(query_string:(analyze_wildcard:!t,query:'%22rtdc.l.rtdc.4011%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699</v>
      </c>
      <c r="B21" s="225">
        <v>4042</v>
      </c>
      <c r="C21" s="227" t="s">
        <v>191</v>
      </c>
      <c r="D21" s="227" t="s">
        <v>452</v>
      </c>
      <c r="E21" s="226">
        <v>43111.193206018521</v>
      </c>
      <c r="F21" s="226">
        <v>43111.198101851849</v>
      </c>
      <c r="G21" s="225">
        <v>88</v>
      </c>
      <c r="H21" s="227" t="s">
        <v>909</v>
      </c>
      <c r="I21" s="226">
        <v>43111.223854166667</v>
      </c>
      <c r="J21" s="225">
        <v>0</v>
      </c>
      <c r="K21" s="237" t="str">
        <f>IF(ISEVEN(B21),(B21-1)&amp;"/"&amp;B21,B21&amp;"/"&amp;(B21+1))</f>
        <v>4041/4042</v>
      </c>
      <c r="L21" s="245" t="str">
        <f>VLOOKUP(A21,'Trips&amp;Operators'!$C$1:$G$99911,5,FALSE)</f>
        <v>WILLIAMS DONTE</v>
      </c>
      <c r="M21" s="224">
        <f>I21-F21</f>
        <v>2.5752314817509614E-2</v>
      </c>
      <c r="N21" s="225">
        <f>24*60*SUM($M21:$M21)</f>
        <v>37.083333337213844</v>
      </c>
      <c r="O21" s="225"/>
      <c r="P21" s="225"/>
      <c r="Q21" s="228"/>
      <c r="R21" s="242" t="s">
        <v>1122</v>
      </c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2018-01-11T03:38:13-0700',mode:absolute,to:'2018-01-11T06:22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5.0799999999999998E-2</v>
      </c>
      <c r="Z21" s="247">
        <f>RIGHT(H21,LEN(H21)-4)/10000</f>
        <v>23.322700000000001</v>
      </c>
      <c r="AA21" s="247">
        <f>ABS(Z21-Y21)</f>
        <v>23.271900000000002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s3://rtdc.mdm.uploadarchive.raw/RTDC4042/ "%USERPROFILE%\AppData\Local\Temp\OnboardLogs"\RTDC4042\2018-01-11 --exclude "*" --recursive --include "*20180111*" &amp; "%USERPROFILE%\Documents\GitHub\mrs-test-scripts\Headless Mode &amp; Sideloading\WalkAndUnGZ.bat" "%USERPROFILE%\AppData\Local\Temp\OnboardLogs"\RTDC4042\2018-01-11 &amp; aws s3 cp s3://rtdc.mdm.uploadarchive.raw/RTDC4042/ "%USERPROFILE%\AppData\Local\Temp\OnboardLogs"\RTDC4042\2018-01-12 --exclude "*" --recursive --include "*20180112*" &amp; "%USERPROFILE%\Documents\GitHub\mrs-test-scripts\Headless Mode &amp; Sideloading\WalkAndUnGZ.bat" "%USERPROFILE%\AppData\Local\Temp\OnboardLogs"\RTDC4042\2018-01-12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/stypes="app*4042*20180111*"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109-11 --locoid 4042 --swversion DE.1.0.9.0 --startMP 204:508 --initTime 2018-01-11T04:38:13 --startdatetime 2018-01-11T04:45:16 --delay 88 --endMP 204:233227 --enddatetime 2018-01-11T05:22:21 --enforcementcount 0 &gt;&gt;%USERPROFILE%\Documents\GitHub\eaglep3-reporting\EC\2018-01-11-refined-times.txt</v>
      </c>
      <c r="AI21" s="238" t="str">
        <f t="shared" si="6"/>
        <v>echo {"issue":{"subject":"Observed Wi-MAX data drop","project_id":79,"tracker_id":40,"status_id":1,"priority_id":2,"assigned_to_id":338,"start_date":"2018-01-11","description":"","custom_fields":[{"id":1,"name":"Subdivision","value":"EC"},{"id":4,"name":"Milepost","value":"23.3227"},{"id":17,"name":"Train ID","value":"109-11"},{"id":16,"name":"Locomotive ID","value":"4042"},{"id":130,"name":"Impact","value":""},{"id":150,"name":"Time of Event (Mountain Time)","value":"05:22:21"},{"id":151,"name":"Denver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4042 --day 2018-01-11</v>
      </c>
      <c r="AN21" s="241" t="str">
        <f t="shared" si="8"/>
        <v>echo {"issue":{"subject":"Observed Wi-MAX data drop","project_id":30,"tracker_id":4,"status_id":1,"priority_id":1,"assigned_to_id":10,"start_date":"2018-01-11","description":"","custom_fields":[{"id":30,"name":"Category","value":"Issue"},{"id":3,"name":"Functional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12:22:21"},{"id":29,"name":"Sharepoint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2018-01-11T03:38:13-0700',mode:absolute,to:'2018-01-11T06:22:21-0700'))&amp;_a=(columns:!('Message%20ID',Summary),filters:!(),index:'emp_*',interval:auto,query:(query_string:(analyze_wildcard:!t,query:'%22rtdc.l.rtdc.4042%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715</v>
      </c>
      <c r="B22" s="225">
        <v>4041</v>
      </c>
      <c r="C22" s="227" t="s">
        <v>191</v>
      </c>
      <c r="D22" s="227" t="s">
        <v>910</v>
      </c>
      <c r="E22" s="226">
        <v>43111.234201388892</v>
      </c>
      <c r="F22" s="226">
        <v>43111.271053240744</v>
      </c>
      <c r="G22" s="225">
        <v>82</v>
      </c>
      <c r="H22" s="227" t="s">
        <v>456</v>
      </c>
      <c r="I22" s="226">
        <v>43111.295856481483</v>
      </c>
      <c r="J22" s="225">
        <v>0</v>
      </c>
      <c r="K22" s="237" t="str">
        <f>IF(ISEVEN(B22),(B22-1)&amp;"/"&amp;B22,B22&amp;"/"&amp;(B22+1))</f>
        <v>4041/4042</v>
      </c>
      <c r="L22" s="245" t="str">
        <f>VLOOKUP(A22,'Trips&amp;Operators'!$C$1:$G$99911,5,FALSE)</f>
        <v>WILLIAMS DONTE</v>
      </c>
      <c r="M22" s="224">
        <f>I22-F22</f>
        <v>2.4803240739856847E-2</v>
      </c>
      <c r="N22" s="225">
        <f>24*60*SUM($M22:$M22)</f>
        <v>35.716666665393859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2018-01-11T04:37:15-0700',mode:absolute,to:'2018-01-11T08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23.2943</v>
      </c>
      <c r="Z22" s="247">
        <f>RIGHT(H22,LEN(H22)-4)/10000</f>
        <v>2.1100000000000001E-2</v>
      </c>
      <c r="AA22" s="247">
        <f>ABS(Z22-Y22)</f>
        <v>23.273199999999999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/stypes="app*4041*20180111*" /stext=" 14:.+((SYSTEM_STATE.+slice.+state.+changed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110-11 --locoid 4041 --swversion DE.1.0.9.0 --startMP 204:232943 --initTime 2018-01-11T05:37:15 --startdatetime 2018-01-11T06:30:19 --delay 82 --endMP 204:211 --enddatetime 2018-01-11T07:06:02 --enforcementcount 0 &gt;&gt;%USERPROFILE%\Documents\GitHub\eaglep3-reporting\EC\2018-01-11-refined-times.txt</v>
      </c>
      <c r="AI22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{"issue":{"subject":"","project_id":79,"tracker_id":40,"status_id":1,"priority_id":2,"assigned_to_id":338,"start_date":"2018-01-11","description":"","custom_fields":[{"id":1,"name":"Subdivision","value":"EC"},{"id":4,"name":"Milepost","value":"0.0211"},{"id":17,"name":"Train ID","value":"110-11"},{"id":16,"name":"Locomotive ID","value":"4041"},{"id":130,"name":"Impact","value":""},{"id":150,"name":"Time of Event (Mountain Time)","value":"07:06:02"},{"id":151,"name":"Denver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4041 --day 2018-01-11</v>
      </c>
      <c r="AN22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14:06:02"},{"id":29,"name":"Sharepoint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2018-01-11T04:37:15-0700',mode:absolute,to:'2018-01-11T08:06:02-0700'))&amp;_a=(columns:!('Message%20ID',Summary),filters:!(),index:'emp_*',interval:auto,query:(query_string:(analyze_wildcard:!t,query:'%22rtdc.l.rtdc.4041%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703</v>
      </c>
      <c r="B23" s="225">
        <v>4050</v>
      </c>
      <c r="C23" s="227" t="s">
        <v>191</v>
      </c>
      <c r="D23" s="227" t="s">
        <v>483</v>
      </c>
      <c r="E23" s="226">
        <v>43111.201331018521</v>
      </c>
      <c r="F23" s="226">
        <v>43111.208506944444</v>
      </c>
      <c r="G23" s="225">
        <v>45</v>
      </c>
      <c r="H23" s="227" t="s">
        <v>467</v>
      </c>
      <c r="I23" s="226">
        <v>43111.232245370367</v>
      </c>
      <c r="J23" s="225">
        <v>0</v>
      </c>
      <c r="K23" s="237" t="str">
        <f>IF(ISEVEN(B23),(B23-1)&amp;"/"&amp;B23,B23&amp;"/"&amp;(B23+1))</f>
        <v>4049/4050</v>
      </c>
      <c r="L23" s="245" t="str">
        <f>VLOOKUP(A23,'Trips&amp;Operators'!$C$1:$G$99911,5,FALSE)</f>
        <v>YORK EDGAR</v>
      </c>
      <c r="M23" s="224">
        <f>I23-F23</f>
        <v>2.3738425923511386E-2</v>
      </c>
      <c r="N23" s="225">
        <f>24*60*SUM($M23:$M23)</f>
        <v>34.183333329856396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2018-01-11T03:49:55-0700',mode:absolute,to:'2018-01-11T06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4.6399999999999997E-2</v>
      </c>
      <c r="Z23" s="247">
        <f>RIGHT(H23,LEN(H23)-4)/10000</f>
        <v>23.328600000000002</v>
      </c>
      <c r="AA23" s="247">
        <f>ABS(Z23-Y23)</f>
        <v>23.282200000000003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s3://rtdc.mdm.uploadarchive.raw/RTDC4050/ "%USERPROFILE%\AppData\Local\Temp\OnboardLogs"\RTDC4050\2018-01-11 --exclude "*" --recursive --include "*20180111*" &amp; "%USERPROFILE%\Documents\GitHub\mrs-test-scripts\Headless Mode &amp; Sideloading\WalkAndUnGZ.bat" "%USERPROFILE%\AppData\Local\Temp\OnboardLogs"\RTDC4050\2018-01-11 &amp; aws s3 cp s3://rtdc.mdm.uploadarchive.raw/RTDC4050/ "%USERPROFILE%\AppData\Local\Temp\OnboardLogs"\RTDC4050\2018-01-12 --exclude "*" --recursive --include "*20180112*" &amp; "%USERPROFILE%\Documents\GitHub\mrs-test-scripts\Headless Mode &amp; Sideloading\WalkAndUnGZ.bat" "%USERPROFILE%\AppData\Local\Temp\OnboardLogs"\RTDC4050\2018-01-12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/stypes="app*4050*20180111*"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111-11 --locoid 4050 --swversion DE.1.0.9.0 --startMP 204:464 --initTime 2018-01-11T04:49:55 --startdatetime 2018-01-11T05:00:15 --delay 45 --endMP 204:233286 --enddatetime 2018-01-11T05:34:26 --enforcementcount 0 &gt;&gt;%USERPROFILE%\Documents\GitHub\eaglep3-reporting\EC\2018-01-11-refined-times.txt</v>
      </c>
      <c r="AI23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{"issue":{"subject":"","project_id":79,"tracker_id":40,"status_id":1,"priority_id":2,"assigned_to_id":338,"start_date":"2018-01-11","description":"","custom_fields":[{"id":1,"name":"Subdivision","value":"EC"},{"id":4,"name":"Milepost","value":"23.3286"},{"id":17,"name":"Train ID","value":"111-11"},{"id":16,"name":"Locomotive ID","value":"4050"},{"id":130,"name":"Impact","value":""},{"id":150,"name":"Time of Event (Mountain Time)","value":"05:34:26"},{"id":151,"name":"Denver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4050 --day 2018-01-11</v>
      </c>
      <c r="AN23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12:34:26"},{"id":29,"name":"Sharepoint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2018-01-11T03:49:55-0700',mode:absolute,to:'2018-01-11T06:34:26-0700'))&amp;_a=(columns:!('Message%20ID',Summary),filters:!(),index:'emp_*',interval:auto,query:(query_string:(analyze_wildcard:!t,query:'%22rtdc.l.rtdc.4050%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714</v>
      </c>
      <c r="B24" s="225">
        <v>4049</v>
      </c>
      <c r="C24" s="227" t="s">
        <v>191</v>
      </c>
      <c r="D24" s="227" t="s">
        <v>901</v>
      </c>
      <c r="E24" s="226">
        <v>43111.233159722222</v>
      </c>
      <c r="F24" s="226">
        <v>43111.248171296298</v>
      </c>
      <c r="G24" s="225">
        <v>46</v>
      </c>
      <c r="H24" s="227" t="s">
        <v>911</v>
      </c>
      <c r="I24" s="226">
        <v>43111.274409722224</v>
      </c>
      <c r="J24" s="225">
        <v>0</v>
      </c>
      <c r="K24" s="237" t="str">
        <f>IF(ISEVEN(B24),(B24-1)&amp;"/"&amp;B24,B24&amp;"/"&amp;(B24+1))</f>
        <v>4049/4050</v>
      </c>
      <c r="L24" s="245" t="str">
        <f>VLOOKUP(A24,'Trips&amp;Operators'!$C$1:$G$99911,5,FALSE)</f>
        <v>YORK EDGAR</v>
      </c>
      <c r="M24" s="224">
        <f>I24-F24</f>
        <v>2.6238425925839692E-2</v>
      </c>
      <c r="N24" s="225">
        <f>24*60*SUM($M24:$M24)</f>
        <v>37.783333333209157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2018-01-11T04:35:45-0700',mode:absolute,to:'2018-01-11T07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23.2959</v>
      </c>
      <c r="Z24" s="247">
        <f>RIGHT(H24,LEN(H24)-4)/10000</f>
        <v>1.6299999999999999E-2</v>
      </c>
      <c r="AA24" s="247">
        <f>ABS(Z24-Y24)</f>
        <v>23.279599999999999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s3://rtdc.mdm.uploadarchive.raw/RTDC4049/ "%USERPROFILE%\AppData\Local\Temp\OnboardLogs"\RTDC4049\2018-01-11 --exclude "*" --recursive --include "*20180111*" &amp; "%USERPROFILE%\Documents\GitHub\mrs-test-scripts\Headless Mode &amp; Sideloading\WalkAndUnGZ.bat" "%USERPROFILE%\AppData\Local\Temp\OnboardLogs"\RTDC4049\2018-01-11 &amp; aws s3 cp s3://rtdc.mdm.uploadarchive.raw/RTDC4049/ "%USERPROFILE%\AppData\Local\Temp\OnboardLogs"\RTDC4049\2018-01-12 --exclude "*" --recursive --include "*20180112*" &amp; "%USERPROFILE%\Documents\GitHub\mrs-test-scripts\Headless Mode &amp; Sideloading\WalkAndUnGZ.bat" "%USERPROFILE%\AppData\Local\Temp\OnboardLogs"\RTDC4049\2018-01-12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/stypes="app*4049*20180111*"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112-11 --locoid 4049 --swversion DE.1.0.9.0 --startMP 204:232959 --initTime 2018-01-11T05:35:45 --startdatetime 2018-01-11T05:57:22 --delay 46 --endMP 204:163 --enddatetime 2018-01-11T06:35:09 --enforcementcount 0 &gt;&gt;%USERPROFILE%\Documents\GitHub\eaglep3-reporting\EC\2018-01-11-refined-times.txt</v>
      </c>
      <c r="AI24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{"issue":{"subject":"","project_id":79,"tracker_id":40,"status_id":1,"priority_id":2,"assigned_to_id":338,"start_date":"2018-01-11","description":"","custom_fields":[{"id":1,"name":"Subdivision","value":"EC"},{"id":4,"name":"Milepost","value":"0.0163"},{"id":17,"name":"Train ID","value":"112-11"},{"id":16,"name":"Locomotive ID","value":"4049"},{"id":130,"name":"Impact","value":""},{"id":150,"name":"Time of Event (Mountain Time)","value":"06:35:09"},{"id":151,"name":"Denver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4049 --day 2018-01-11</v>
      </c>
      <c r="AN24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13:35:09"},{"id":29,"name":"Sharepoint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2018-01-11T04:35:45-0700',mode:absolute,to:'2018-01-11T07:35:09-0700'))&amp;_a=(columns:!('Message%20ID',Summary),filters:!(),index:'emp_*',interval:auto,query:(query_string:(analyze_wildcard:!t,query:'%22rtdc.l.rtdc.4049%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707</v>
      </c>
      <c r="B25" s="225">
        <v>4016</v>
      </c>
      <c r="C25" s="227" t="s">
        <v>191</v>
      </c>
      <c r="D25" s="227" t="s">
        <v>599</v>
      </c>
      <c r="E25" s="226">
        <v>43111.211701388886</v>
      </c>
      <c r="F25" s="226">
        <v>43111.218912037039</v>
      </c>
      <c r="G25" s="225">
        <v>116</v>
      </c>
      <c r="H25" s="227" t="s">
        <v>912</v>
      </c>
      <c r="I25" s="226">
        <v>43111.243796296294</v>
      </c>
      <c r="J25" s="225">
        <v>0</v>
      </c>
      <c r="K25" s="237" t="str">
        <f>IF(ISEVEN(B25),(B25-1)&amp;"/"&amp;B25,B25&amp;"/"&amp;(B25+1))</f>
        <v>4015/4016</v>
      </c>
      <c r="L25" s="245" t="str">
        <f>VLOOKUP(A25,'Trips&amp;Operators'!$C$1:$G$99911,5,FALSE)</f>
        <v>YANAI IAN</v>
      </c>
      <c r="M25" s="224">
        <f>I25-F25</f>
        <v>2.488425925548654E-2</v>
      </c>
      <c r="N25" s="225">
        <f>24*60*SUM($M25:$M25)</f>
        <v>35.833333327900618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2018-01-11T04:04:51-0700',mode:absolute,to:'2018-01-11T06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4.5699999999999998E-2</v>
      </c>
      <c r="Z25" s="247">
        <f>RIGHT(H25,LEN(H25)-4)/10000</f>
        <v>23.332899999999999</v>
      </c>
      <c r="AA25" s="247">
        <f>ABS(Z25-Y25)</f>
        <v>23.287199999999999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s3://rtdc.mdm.uploadarchive.raw/RTDC4016/ "%USERPROFILE%\AppData\Local\Temp\OnboardLogs"\RTDC4016\2018-01-11 --exclude "*" --recursive --include "*20180111*" &amp; "%USERPROFILE%\Documents\GitHub\mrs-test-scripts\Headless Mode &amp; Sideloading\WalkAndUnGZ.bat" "%USERPROFILE%\AppData\Local\Temp\OnboardLogs"\RTDC4016\2018-01-11 &amp; 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/stypes="app*4016*20180111*"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113-11 --locoid 4016 --swversion DE.1.0.9.0 --startMP 204:457 --initTime 2018-01-11T05:04:51 --startdatetime 2018-01-11T05:15:14 --delay 116 --endMP 204:233329 --enddatetime 2018-01-11T05:51:04 --enforcementcount 0 &gt;&gt;%USERPROFILE%\Documents\GitHub\eaglep3-reporting\EC\2018-01-11-refined-times.txt</v>
      </c>
      <c r="AI25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{"issue":{"subject":"","project_id":79,"tracker_id":40,"status_id":1,"priority_id":2,"assigned_to_id":338,"start_date":"2018-01-11","description":"","custom_fields":[{"id":1,"name":"Subdivision","value":"EC"},{"id":4,"name":"Milepost","value":"23.3329"},{"id":17,"name":"Train ID","value":"113-11"},{"id":16,"name":"Locomotive ID","value":"4016"},{"id":130,"name":"Impact","value":""},{"id":150,"name":"Time of Event (Mountain Time)","value":"05:51:04"},{"id":151,"name":"Denver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4016 --day 2018-01-11</v>
      </c>
      <c r="AN25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12:51:04"},{"id":29,"name":"Sharepoint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2018-01-11T04:04:51-0700',mode:absolute,to:'2018-01-11T06:51:04-0700'))&amp;_a=(columns:!('Message%20ID',Summary),filters:!(),index:'emp_*',interval:auto,query:(query_string:(analyze_wildcard:!t,query:'%22rtdc.l.rtdc.4016%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716</v>
      </c>
      <c r="B26" s="225">
        <v>4015</v>
      </c>
      <c r="C26" s="227" t="s">
        <v>191</v>
      </c>
      <c r="D26" s="227" t="s">
        <v>913</v>
      </c>
      <c r="E26" s="226">
        <v>43111.244953703703</v>
      </c>
      <c r="F26" s="226">
        <v>43111.258530092593</v>
      </c>
      <c r="G26" s="225">
        <v>48</v>
      </c>
      <c r="H26" s="227" t="s">
        <v>603</v>
      </c>
      <c r="I26" s="226">
        <v>43111.285370370373</v>
      </c>
      <c r="J26" s="225">
        <v>0</v>
      </c>
      <c r="K26" s="237" t="str">
        <f>IF(ISEVEN(B26),(B26-1)&amp;"/"&amp;B26,B26&amp;"/"&amp;(B26+1))</f>
        <v>4015/4016</v>
      </c>
      <c r="L26" s="245" t="str">
        <f>VLOOKUP(A26,'Trips&amp;Operators'!$C$1:$G$99911,5,FALSE)</f>
        <v>YANAI IAN</v>
      </c>
      <c r="M26" s="224">
        <f>I26-F26</f>
        <v>2.6840277780138422E-2</v>
      </c>
      <c r="N26" s="225">
        <f>24*60*SUM($M26:$M26)</f>
        <v>38.650000003399327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2018-01-11T04:52:44-0700',mode:absolute,to:'2018-01-11T07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23.302499999999998</v>
      </c>
      <c r="Z26" s="247">
        <f>RIGHT(H26,LEN(H26)-4)/10000</f>
        <v>2.2100000000000002E-2</v>
      </c>
      <c r="AA26" s="247">
        <f>ABS(Z26-Y26)</f>
        <v>23.2804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s3://rtdc.mdm.uploadarchive.raw/RTDC4015/ "%USERPROFILE%\AppData\Local\Temp\OnboardLogs"\RTDC4015\2018-01-11 --exclude "*" --recursive --include "*20180111*" &amp; "%USERPROFILE%\Documents\GitHub\mrs-test-scripts\Headless Mode &amp; Sideloading\WalkAndUnGZ.bat" "%USERPROFILE%\AppData\Local\Temp\OnboardLogs"\RTDC4015\2018-01-11 &amp; 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/stypes="app*4015*20180111*"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114-11 --locoid 4015 --swversion DE.1.0.9.0 --startMP 204:233025 --initTime 2018-01-11T05:52:44 --startdatetime 2018-01-11T06:12:17 --delay 48 --endMP 204:221 --enddatetime 2018-01-11T06:50:56 --enforcementcount 0 &gt;&gt;%USERPROFILE%\Documents\GitHub\eaglep3-reporting\EC\2018-01-11-refined-times.txt</v>
      </c>
      <c r="AI26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{"issue":{"subject":"","project_id":79,"tracker_id":40,"status_id":1,"priority_id":2,"assigned_to_id":338,"start_date":"2018-01-11","description":"","custom_fields":[{"id":1,"name":"Subdivision","value":"EC"},{"id":4,"name":"Milepost","value":"0.0221"},{"id":17,"name":"Train ID","value":"114-11"},{"id":16,"name":"Locomotive ID","value":"4015"},{"id":130,"name":"Impact","value":""},{"id":150,"name":"Time of Event (Mountain Time)","value":"06:50:56"},{"id":151,"name":"Denver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4015 --day 2018-01-11</v>
      </c>
      <c r="AN26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13:50:56"},{"id":29,"name":"Sharepoint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2018-01-11T04:52:44-0700',mode:absolute,to:'2018-01-11T07:50:56-0700'))&amp;_a=(columns:!('Message%20ID',Summary),filters:!(),index:'emp_*',interval:auto,query:(query_string:(analyze_wildcard:!t,query:'%22rtdc.l.rtdc.4015%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711</v>
      </c>
      <c r="B27" s="225">
        <v>4064</v>
      </c>
      <c r="C27" s="227" t="s">
        <v>191</v>
      </c>
      <c r="D27" s="227" t="s">
        <v>606</v>
      </c>
      <c r="E27" s="226">
        <v>43111.225810185184</v>
      </c>
      <c r="F27" s="226">
        <v>43111.229328703703</v>
      </c>
      <c r="G27" s="225">
        <v>45</v>
      </c>
      <c r="H27" s="227" t="s">
        <v>597</v>
      </c>
      <c r="I27" s="226">
        <v>43111.253993055558</v>
      </c>
      <c r="J27" s="225">
        <v>0</v>
      </c>
      <c r="K27" s="237" t="str">
        <f>IF(ISEVEN(B27),(B27-1)&amp;"/"&amp;B27,B27&amp;"/"&amp;(B27+1))</f>
        <v>4063/4064</v>
      </c>
      <c r="L27" s="245" t="str">
        <f>VLOOKUP(A27,'Trips&amp;Operators'!$C$1:$G$99911,5,FALSE)</f>
        <v>MAELZER KURT</v>
      </c>
      <c r="M27" s="224">
        <f>I27-F27</f>
        <v>2.4664351854880806E-2</v>
      </c>
      <c r="N27" s="225">
        <f>24*60*SUM($M27:$M27)</f>
        <v>35.516666671028361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2018-01-11T04:25:10-0700',mode:absolute,to:'2018-01-11T07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4.9099999999999998E-2</v>
      </c>
      <c r="Z27" s="247">
        <f>RIGHT(H27,LEN(H27)-4)/10000</f>
        <v>23.331199999999999</v>
      </c>
      <c r="AA27" s="247">
        <f>ABS(Z27-Y27)</f>
        <v>23.2821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s3://rtdc.mdm.uploadarchive.raw/RTDC4064/ "%USERPROFILE%\AppData\Local\Temp\OnboardLogs"\RTDC4064\2018-01-11 --exclude "*" --recursive --include "*20180111*" &amp; "%USERPROFILE%\Documents\GitHub\mrs-test-scripts\Headless Mode &amp; Sideloading\WalkAndUnGZ.bat" "%USERPROFILE%\AppData\Local\Temp\OnboardLogs"\RTDC4064\2018-01-11 &amp; aws s3 cp s3://rtdc.mdm.uploadarchive.raw/RTDC4064/ "%USERPROFILE%\AppData\Local\Temp\OnboardLogs"\RTDC4064\2018-01-12 --exclude "*" --recursive --include "*20180112*" &amp; "%USERPROFILE%\Documents\GitHub\mrs-test-scripts\Headless Mode &amp; Sideloading\WalkAndUnGZ.bat" "%USERPROFILE%\AppData\Local\Temp\OnboardLogs"\RTDC4064\2018-01-12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/stypes="app*4064*20180111*"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115-11 --locoid 4064 --swversion DE.1.0.9.0 --startMP 204:491 --initTime 2018-01-11T05:25:10 --startdatetime 2018-01-11T05:30:14 --delay 45 --endMP 204:233312 --enddatetime 2018-01-11T06:05:45 --enforcementcount 0 &gt;&gt;%USERPROFILE%\Documents\GitHub\eaglep3-reporting\EC\2018-01-11-refined-times.txt</v>
      </c>
      <c r="AI27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{"issue":{"subject":"","project_id":79,"tracker_id":40,"status_id":1,"priority_id":2,"assigned_to_id":338,"start_date":"2018-01-11","description":"","custom_fields":[{"id":1,"name":"Subdivision","value":"EC"},{"id":4,"name":"Milepost","value":"23.3312"},{"id":17,"name":"Train ID","value":"115-11"},{"id":16,"name":"Locomotive ID","value":"4064"},{"id":130,"name":"Impact","value":""},{"id":150,"name":"Time of Event (Mountain Time)","value":"06:05:45"},{"id":151,"name":"Denver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4064 --day 2018-01-11</v>
      </c>
      <c r="AN27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13:05:45"},{"id":29,"name":"Sharepoint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2018-01-11T04:25:10-0700',mode:absolute,to:'2018-01-11T07:05:45-0700'))&amp;_a=(columns:!('Message%20ID',Summary),filters:!(),index:'emp_*',interval:auto,query:(query_string:(analyze_wildcard:!t,query:'%22rtdc.l.rtdc.4064%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720</v>
      </c>
      <c r="B28" s="225">
        <v>4063</v>
      </c>
      <c r="C28" s="227" t="s">
        <v>191</v>
      </c>
      <c r="D28" s="227" t="s">
        <v>598</v>
      </c>
      <c r="E28" s="226">
        <v>43111.261458333334</v>
      </c>
      <c r="F28" s="226">
        <v>43111.268969907411</v>
      </c>
      <c r="G28" s="225">
        <v>44</v>
      </c>
      <c r="H28" s="227" t="s">
        <v>477</v>
      </c>
      <c r="I28" s="226">
        <v>43111.296539351853</v>
      </c>
      <c r="J28" s="225">
        <v>0</v>
      </c>
      <c r="K28" s="237" t="str">
        <f>IF(ISEVEN(B28),(B28-1)&amp;"/"&amp;B28,B28&amp;"/"&amp;(B28+1))</f>
        <v>4063/4064</v>
      </c>
      <c r="L28" s="245" t="str">
        <f>VLOOKUP(A28,'Trips&amp;Operators'!$C$1:$G$99911,5,FALSE)</f>
        <v>MAELZER KURT</v>
      </c>
      <c r="M28" s="224">
        <f>I28-F28</f>
        <v>2.7569444442633539E-2</v>
      </c>
      <c r="N28" s="225">
        <f>24*60*SUM($M28:$M28)</f>
        <v>39.699999997392297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2018-01-11T05:16:30-0700',mode:absolute,to:'2018-01-11T08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23.298400000000001</v>
      </c>
      <c r="Z28" s="247">
        <f>RIGHT(H28,LEN(H28)-4)/10000</f>
        <v>1.8499999999999999E-2</v>
      </c>
      <c r="AA28" s="247">
        <f>ABS(Z28-Y28)</f>
        <v>23.279900000000001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s3://rtdc.mdm.uploadarchive.raw/RTDC4063/ "%USERPROFILE%\AppData\Local\Temp\OnboardLogs"\RTDC4063\2018-01-11 --exclude "*" --recursive --include "*20180111*" &amp; "%USERPROFILE%\Documents\GitHub\mrs-test-scripts\Headless Mode &amp; Sideloading\WalkAndUnGZ.bat" "%USERPROFILE%\AppData\Local\Temp\OnboardLogs"\RTDC4063\2018-01-11 &amp; aws s3 cp s3://rtdc.mdm.uploadarchive.raw/RTDC4063/ "%USERPROFILE%\AppData\Local\Temp\OnboardLogs"\RTDC4063\2018-01-12 --exclude "*" --recursive --include "*20180112*" &amp; "%USERPROFILE%\Documents\GitHub\mrs-test-scripts\Headless Mode &amp; Sideloading\WalkAndUnGZ.bat" "%USERPROFILE%\AppData\Local\Temp\OnboardLogs"\RTDC4063\2018-01-12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/stypes="app*4063*20180111*"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116-11 --locoid 4063 --swversion DE.1.0.9.0 --startMP 204:232984 --initTime 2018-01-11T06:16:30 --startdatetime 2018-01-11T06:27:19 --delay 44 --endMP 204:185 --enddatetime 2018-01-11T07:07:01 --enforcementcount 0 &gt;&gt;%USERPROFILE%\Documents\GitHub\eaglep3-reporting\EC\2018-01-11-refined-times.txt</v>
      </c>
      <c r="AI28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{"issue":{"subject":"","project_id":79,"tracker_id":40,"status_id":1,"priority_id":2,"assigned_to_id":338,"start_date":"2018-01-11","description":"","custom_fields":[{"id":1,"name":"Subdivision","value":"EC"},{"id":4,"name":"Milepost","value":"0.0185"},{"id":17,"name":"Train ID","value":"116-11"},{"id":16,"name":"Locomotive ID","value":"4063"},{"id":130,"name":"Impact","value":""},{"id":150,"name":"Time of Event (Mountain Time)","value":"07:07:01"},{"id":151,"name":"Denver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4063 --day 2018-01-11</v>
      </c>
      <c r="AN28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14:07:01"},{"id":29,"name":"Sharepoint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2018-01-11T05:16:30-0700',mode:absolute,to:'2018-01-11T08:07:01-0700'))&amp;_a=(columns:!('Message%20ID',Summary),filters:!(),index:'emp_*',interval:auto,query:(query_string:(analyze_wildcard:!t,query:'%22rtdc.l.rtdc.4063%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713</v>
      </c>
      <c r="B29" s="225">
        <v>4022</v>
      </c>
      <c r="C29" s="227" t="s">
        <v>191</v>
      </c>
      <c r="D29" s="227" t="s">
        <v>914</v>
      </c>
      <c r="E29" s="226">
        <v>43111.232581018521</v>
      </c>
      <c r="F29" s="226">
        <v>43111.239803240744</v>
      </c>
      <c r="G29" s="225">
        <v>72</v>
      </c>
      <c r="H29" s="227" t="s">
        <v>473</v>
      </c>
      <c r="I29" s="226">
        <v>43111.265324074076</v>
      </c>
      <c r="J29" s="225">
        <v>0</v>
      </c>
      <c r="K29" s="237" t="str">
        <f>IF(ISEVEN(B29),(B29-1)&amp;"/"&amp;B29,B29&amp;"/"&amp;(B29+1))</f>
        <v>4021/4022</v>
      </c>
      <c r="L29" s="245" t="str">
        <f>VLOOKUP(A29,'Trips&amp;Operators'!$C$1:$G$99911,5,FALSE)</f>
        <v>DAVIDSON DAVID</v>
      </c>
      <c r="M29" s="224">
        <f>I29-F29</f>
        <v>2.5520833332848269E-2</v>
      </c>
      <c r="N29" s="225">
        <f>24*60*SUM($M29:$M29)</f>
        <v>36.749999999301508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2018-01-11T04:34:55-0700',mode:absolute,to:'2018-01-11T07:22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5.2400000000000002E-2</v>
      </c>
      <c r="Z29" s="247">
        <f>RIGHT(H29,LEN(H29)-4)/10000</f>
        <v>23.328900000000001</v>
      </c>
      <c r="AA29" s="247">
        <f>ABS(Z29-Y29)</f>
        <v>23.276500000000002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s3://rtdc.mdm.uploadarchive.raw/RTDC4022/ "%USERPROFILE%\AppData\Local\Temp\OnboardLogs"\RTDC4022\2018-01-11 --exclude "*" --recursive --include "*20180111*" &amp; "%USERPROFILE%\Documents\GitHub\mrs-test-scripts\Headless Mode &amp; Sideloading\WalkAndUnGZ.bat" "%USERPROFILE%\AppData\Local\Temp\OnboardLogs"\RTDC4022\2018-01-11 &amp; aws s3 cp s3://rtdc.mdm.uploadarchive.raw/RTDC4022/ "%USERPROFILE%\AppData\Local\Temp\OnboardLogs"\RTDC4022\2018-01-12 --exclude "*" --recursive --include "*20180112*" &amp; "%USERPROFILE%\Documents\GitHub\mrs-test-scripts\Headless Mode &amp; Sideloading\WalkAndUnGZ.bat" "%USERPROFILE%\AppData\Local\Temp\OnboardLogs"\RTDC4022\2018-01-12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/stypes="app*4022*20180111*"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117-11 --locoid 4022 --swversion DE.1.0.9.0 --startMP 204:524 --initTime 2018-01-11T05:34:55 --startdatetime 2018-01-11T05:45:19 --delay 72 --endMP 204:233289 --enddatetime 2018-01-11T06:22:04 --enforcementcount 0 &gt;&gt;%USERPROFILE%\Documents\GitHub\eaglep3-reporting\EC\2018-01-11-refined-times.txt</v>
      </c>
      <c r="AI29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{"issue":{"subject":"","project_id":79,"tracker_id":40,"status_id":1,"priority_id":2,"assigned_to_id":338,"start_date":"2018-01-11","description":"","custom_fields":[{"id":1,"name":"Subdivision","value":"EC"},{"id":4,"name":"Milepost","value":"23.3289"},{"id":17,"name":"Train ID","value":"117-11"},{"id":16,"name":"Locomotive ID","value":"4022"},{"id":130,"name":"Impact","value":""},{"id":150,"name":"Time of Event (Mountain Time)","value":"06:22:04"},{"id":151,"name":"Denver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4022 --day 2018-01-11</v>
      </c>
      <c r="AN29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13:22:04"},{"id":29,"name":"Sharepoint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2018-01-11T04:34:55-0700',mode:absolute,to:'2018-01-11T07:22:04-0700'))&amp;_a=(columns:!('Message%20ID',Summary),filters:!(),index:'emp_*',interval:auto,query:(query_string:(analyze_wildcard:!t,query:'%22rtdc.l.rtdc.4022%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722</v>
      </c>
      <c r="B30" s="225">
        <v>4021</v>
      </c>
      <c r="C30" s="227" t="s">
        <v>191</v>
      </c>
      <c r="D30" s="227" t="s">
        <v>501</v>
      </c>
      <c r="E30" s="226">
        <v>43111.26666666667</v>
      </c>
      <c r="F30" s="226">
        <v>43111.279409722221</v>
      </c>
      <c r="G30" s="225">
        <v>74</v>
      </c>
      <c r="H30" s="227" t="s">
        <v>612</v>
      </c>
      <c r="I30" s="226">
        <v>43111.305879629632</v>
      </c>
      <c r="J30" s="225">
        <v>0</v>
      </c>
      <c r="K30" s="237" t="str">
        <f>IF(ISEVEN(B30),(B30-1)&amp;"/"&amp;B30,B30&amp;"/"&amp;(B30+1))</f>
        <v>4021/4022</v>
      </c>
      <c r="L30" s="245" t="str">
        <f>VLOOKUP(A30,'Trips&amp;Operators'!$C$1:$G$99911,5,FALSE)</f>
        <v>DAVIDSON DAVID</v>
      </c>
      <c r="M30" s="224">
        <f>I30-F30</f>
        <v>2.6469907410501037E-2</v>
      </c>
      <c r="N30" s="225">
        <f>24*60*SUM($M30:$M30)</f>
        <v>38.116666671121493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2018-01-11T05:24:00-0700',mode:absolute,to:'2018-01-11T08:20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23.2957</v>
      </c>
      <c r="Z30" s="247">
        <f>RIGHT(H30,LEN(H30)-4)/10000</f>
        <v>2.3599999999999999E-2</v>
      </c>
      <c r="AA30" s="247">
        <f>ABS(Z30-Y30)</f>
        <v>23.272100000000002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s3://rtdc.mdm.uploadarchive.raw/RTDC4021/ "%USERPROFILE%\AppData\Local\Temp\OnboardLogs"\RTDC4021\2018-01-11 --exclude "*" --recursive --include "*20180111*" &amp; "%USERPROFILE%\Documents\GitHub\mrs-test-scripts\Headless Mode &amp; Sideloading\WalkAndUnGZ.bat" "%USERPROFILE%\AppData\Local\Temp\OnboardLogs"\RTDC4021\2018-01-11 &amp; aws s3 cp s3://rtdc.mdm.uploadarchive.raw/RTDC4021/ "%USERPROFILE%\AppData\Local\Temp\OnboardLogs"\RTDC4021\2018-01-12 --exclude "*" --recursive --include "*20180112*" &amp; "%USERPROFILE%\Documents\GitHub\mrs-test-scripts\Headless Mode &amp; Sideloading\WalkAndUnGZ.bat" "%USERPROFILE%\AppData\Local\Temp\OnboardLogs"\RTDC4021\2018-01-12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/stypes="app*4021*20180111*"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118-11 --locoid 4021 --swversion DE.1.0.9.0 --startMP 204:232957 --initTime 2018-01-11T06:24:00 --startdatetime 2018-01-11T06:42:21 --delay 74 --endMP 204:236 --enddatetime 2018-01-11T07:20:28 --enforcementcount 0 &gt;&gt;%USERPROFILE%\Documents\GitHub\eaglep3-reporting\EC\2018-01-11-refined-times.txt</v>
      </c>
      <c r="AI30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{"issue":{"subject":"","project_id":79,"tracker_id":40,"status_id":1,"priority_id":2,"assigned_to_id":338,"start_date":"2018-01-11","description":"","custom_fields":[{"id":1,"name":"Subdivision","value":"EC"},{"id":4,"name":"Milepost","value":"0.0236"},{"id":17,"name":"Train ID","value":"118-11"},{"id":16,"name":"Locomotive ID","value":"4021"},{"id":130,"name":"Impact","value":""},{"id":150,"name":"Time of Event (Mountain Time)","value":"07:20:28"},{"id":151,"name":"Denver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4021 --day 2018-01-11</v>
      </c>
      <c r="AN30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14:20:28"},{"id":29,"name":"Sharepoint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2018-01-11T05:24:00-0700',mode:absolute,to:'2018-01-11T08:20:28-0700'))&amp;_a=(columns:!('Message%20ID',Summary),filters:!(),index:'emp_*',interval:auto,query:(query_string:(analyze_wildcard:!t,query:'%22rtdc.l.rtdc.4021%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651</v>
      </c>
      <c r="B31" s="225">
        <v>4056</v>
      </c>
      <c r="C31" s="227" t="s">
        <v>191</v>
      </c>
      <c r="D31" s="227" t="s">
        <v>551</v>
      </c>
      <c r="E31" s="226">
        <v>43111.245694444442</v>
      </c>
      <c r="F31" s="226">
        <v>43111.2502662037</v>
      </c>
      <c r="G31" s="225">
        <v>56</v>
      </c>
      <c r="H31" s="227" t="s">
        <v>915</v>
      </c>
      <c r="I31" s="226">
        <v>43111.266446759262</v>
      </c>
      <c r="J31" s="225">
        <v>0</v>
      </c>
      <c r="K31" s="237" t="str">
        <f>IF(ISEVEN(B31),(B31-1)&amp;"/"&amp;B31,B31&amp;"/"&amp;(B31+1))</f>
        <v>4055/4056</v>
      </c>
      <c r="L31" s="245" t="str">
        <f>VLOOKUP(A31,'Trips&amp;Operators'!$C$1:$G$99911,5,FALSE)</f>
        <v>BONDS REYNALDO</v>
      </c>
      <c r="M31" s="224">
        <f>I31-F31</f>
        <v>1.6180555561732035E-2</v>
      </c>
      <c r="N31" s="225"/>
      <c r="O31" s="225"/>
      <c r="P31" s="225">
        <f>24*60*SUM($M31:$M31)</f>
        <v>23.300000008894131</v>
      </c>
      <c r="Q31" s="228"/>
      <c r="R31" s="242" t="s">
        <v>439</v>
      </c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2018-01-11T04:53:48-0700',mode:absolute,to:'2018-01-11T07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1" s="247" t="str">
        <f>IF(AA31&lt;VLOOKUP(AG31,Variables!$AC$3:$AD$8,2,FALSE),"Y","N")</f>
        <v>Y</v>
      </c>
      <c r="X31" s="247">
        <f>VALUE(LEFT(AD31,4))-VALUE(LEFT(AD30,4))</f>
        <v>1</v>
      </c>
      <c r="Y31" s="247">
        <f>RIGHT(D31,LEN(D31)-4)/10000</f>
        <v>5.11E-2</v>
      </c>
      <c r="Z31" s="247">
        <f>RIGHT(H31,LEN(H31)-4)/10000</f>
        <v>12.7438</v>
      </c>
      <c r="AA31" s="247">
        <f>ABS(Z31-Y31)</f>
        <v>12.6927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/stypes="app*4056*20180111*"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119-11 --locoid 4056 --swversion DE.1.0.9.0 --startMP 204:511 --initTime 2018-01-11T05:53:48 --startdatetime 2018-01-11T06:00:23 --delay 56 --endMP 204:127438 --enddatetime 2018-01-11T06:23:41 --enforcementcount 0 &gt;&gt;%USERPROFILE%\Documents\GitHub\eaglep3-reporting\EC\2018-01-11-refined-times.txt</v>
      </c>
      <c r="AI31" s="238" t="str">
        <f t="shared" si="6"/>
        <v>echo {"issue":{"subject":"Wi-MAX data drop","project_id":79,"tracker_id":40,"status_id":1,"priority_id":2,"assigned_to_id":338,"start_date":"2018-01-11","description":"","custom_fields":[{"id":1,"name":"Subdivision","value":"EC"},{"id":4,"name":"Milepost","value":"12.7438"},{"id":17,"name":"Train ID","value":"119-11"},{"id":16,"name":"Locomotive ID","value":"4056"},{"id":130,"name":"Impact","value":""},{"id":150,"name":"Time of Event (Mountain Time)","value":"06:23:41"},{"id":151,"name":"Denver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4056 --day 2018-01-11</v>
      </c>
      <c r="AN31" s="241" t="str">
        <f t="shared" si="8"/>
        <v>echo {"issue":{"subject":"Wi-MAX data drop","project_id":30,"tracker_id":4,"status_id":1,"priority_id":1,"assigned_to_id":10,"start_date":"2018-01-11","description":"","custom_fields":[{"id":30,"name":"Category","value":"Issue"},{"id":3,"name":"Functional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13:23:41"},{"id":29,"name":"Sharepoint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2018-01-11T04:53:48-0700',mode:absolute,to:'2018-01-11T07:23:41-0700'))&amp;_a=(columns:!('Message%20ID',Summary),filters:!(),index:'emp_*',interval:auto,query:(query_string:(analyze_wildcard:!t,query:'%22rtdc.l.rtdc.4056%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651</v>
      </c>
      <c r="B32" s="225">
        <v>4056</v>
      </c>
      <c r="C32" s="227" t="s">
        <v>191</v>
      </c>
      <c r="D32" s="227" t="s">
        <v>916</v>
      </c>
      <c r="E32" s="226">
        <v>43111.269965277781</v>
      </c>
      <c r="F32" s="226">
        <v>43111.270833333336</v>
      </c>
      <c r="G32" s="225">
        <v>37</v>
      </c>
      <c r="H32" s="227" t="s">
        <v>601</v>
      </c>
      <c r="I32" s="226">
        <v>43111.277291666665</v>
      </c>
      <c r="J32" s="225">
        <v>0</v>
      </c>
      <c r="K32" s="237" t="str">
        <f>IF(ISEVEN(B32),(B32-1)&amp;"/"&amp;B32,B32&amp;"/"&amp;(B32+1))</f>
        <v>4055/4056</v>
      </c>
      <c r="L32" s="245" t="str">
        <f>VLOOKUP(A32,'Trips&amp;Operators'!$C$1:$G$99911,5,FALSE)</f>
        <v>BONDS REYNALDO</v>
      </c>
      <c r="M32" s="224">
        <f>I32-F32</f>
        <v>6.4583333296468481E-3</v>
      </c>
      <c r="N32" s="225"/>
      <c r="O32" s="225"/>
      <c r="P32" s="225"/>
      <c r="Q32" s="228"/>
      <c r="R32" s="242"/>
      <c r="S32" s="249"/>
      <c r="T32" s="242" t="str">
        <f>IF(ISEVEN(LEFT(AD32,4)),"Southbound","NorthBound")</f>
        <v>NorthBound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2018-01-11T05:28:45-0700',mode:absolute,to:'2018-01-11T07:39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2" s="247" t="str">
        <f>IF(AA32&lt;VLOOKUP(AG32,Variables!$AC$3:$AD$8,2,FALSE),"Y","N")</f>
        <v>Y</v>
      </c>
      <c r="X32" s="247">
        <f>VALUE(LEFT(AD32,4))-VALUE(LEFT(AD31,4))</f>
        <v>0</v>
      </c>
      <c r="Y32" s="247">
        <f>RIGHT(D32,LEN(D32)-4)/10000</f>
        <v>15.4413</v>
      </c>
      <c r="Z32" s="247">
        <f>RIGHT(H32,LEN(H32)-4)/10000</f>
        <v>23.326599999999999</v>
      </c>
      <c r="AA32" s="247">
        <f>ABS(Z32-Y32)</f>
        <v>7.8852999999999991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119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/stypes="app*4056*20180111*" /stext=" 13:.+((SYSTEM_STATE.+slice.+state.+changed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119-11 --locoid 4056 --swversion DE.1.0.9.0 --startMP 204:154413 --initTime 2018-01-11T06:28:45 --startdatetime 2018-01-11T06:30:00 --delay 37 --endMP 204:233266 --enddatetime 2018-01-11T06:39:18 --enforcementcount 0 &gt;&gt;%USERPROFILE%\Documents\GitHub\eaglep3-reporting\EC\2018-01-11-refined-times.txt</v>
      </c>
      <c r="AI32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{"issue":{"subject":"","project_id":79,"tracker_id":40,"status_id":1,"priority_id":2,"assigned_to_id":338,"start_date":"2018-01-11","description":"","custom_fields":[{"id":1,"name":"Subdivision","value":"EC"},{"id":4,"name":"Milepost","value":"23.3266"},{"id":17,"name":"Train ID","value":"119-11"},{"id":16,"name":"Locomotive ID","value":"4056"},{"id":130,"name":"Impact","value":""},{"id":150,"name":"Time of Event (Mountain Time)","value":"06:39:18"},{"id":151,"name":"Denver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4056 --day 2018-01-11</v>
      </c>
      <c r="AN32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13:39:18"},{"id":29,"name":"Sharepoint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2018-01-11T05:28:45-0700',mode:absolute,to:'2018-01-11T07:39:18-0700'))&amp;_a=(columns:!('Message%20ID',Summary),filters:!(),index:'emp_*',interval:auto,query:(query_string:(analyze_wildcard:!t,query:'%22rtdc.l.rtdc.4056%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726</v>
      </c>
      <c r="B33" s="225">
        <v>4055</v>
      </c>
      <c r="C33" s="227" t="s">
        <v>191</v>
      </c>
      <c r="D33" s="227" t="s">
        <v>516</v>
      </c>
      <c r="E33" s="226">
        <v>43111.283541666664</v>
      </c>
      <c r="F33" s="226">
        <v>43111.289861111109</v>
      </c>
      <c r="G33" s="225">
        <v>51</v>
      </c>
      <c r="H33" s="227" t="s">
        <v>520</v>
      </c>
      <c r="I33" s="226">
        <v>43111.316111111111</v>
      </c>
      <c r="J33" s="225">
        <v>0</v>
      </c>
      <c r="K33" s="237" t="str">
        <f>IF(ISEVEN(B33),(B33-1)&amp;"/"&amp;B33,B33&amp;"/"&amp;(B33+1))</f>
        <v>4055/4056</v>
      </c>
      <c r="L33" s="245" t="str">
        <f>VLOOKUP(A33,'Trips&amp;Operators'!$C$1:$G$99911,5,FALSE)</f>
        <v>BONDS REYNALDO</v>
      </c>
      <c r="M33" s="224">
        <f>I33-F33</f>
        <v>2.6250000002619345E-2</v>
      </c>
      <c r="N33" s="225">
        <f>24*60*SUM($M33:$M33)</f>
        <v>37.800000003771856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Southbound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2018-01-11T05:48:18-0700',mode:absolute,to:'2018-01-11T08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23.295000000000002</v>
      </c>
      <c r="Z33" s="247">
        <f>RIGHT(H33,LEN(H33)-4)/10000</f>
        <v>2.29E-2</v>
      </c>
      <c r="AA33" s="247">
        <f>ABS(Z33-Y33)</f>
        <v>23.272100000000002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120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 &amp; 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/stypes="app*4055*20180111*" /stext=" 14:.+((SYSTEM_STATE.+slice.+state.+changed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120-11 --locoid 4055 --swversion DE.1.0.9.0 --startMP 204:232950 --initTime 2018-01-11T06:48:18 --startdatetime 2018-01-11T06:57:24 --delay 51 --endMP 204:229 --enddatetime 2018-01-11T07:35:12 --enforcementcount 0 &gt;&gt;%USERPROFILE%\Documents\GitHub\eaglep3-reporting\EC\2018-01-11-refined-times.txt</v>
      </c>
      <c r="AI33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{"issue":{"subject":"","project_id":79,"tracker_id":40,"status_id":1,"priority_id":2,"assigned_to_id":338,"start_date":"2018-01-11","description":"","custom_fields":[{"id":1,"name":"Subdivision","value":"EC"},{"id":4,"name":"Milepost","value":"0.0229"},{"id":17,"name":"Train ID","value":"120-11"},{"id":16,"name":"Locomotive ID","value":"4055"},{"id":130,"name":"Impact","value":""},{"id":150,"name":"Time of Event (Mountain Time)","value":"07:35:12"},{"id":151,"name":"Denver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4055 --day 2018-01-11</v>
      </c>
      <c r="AN33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14:35:12"},{"id":29,"name":"Sharepoint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2018-01-11T05:48:18-0700',mode:absolute,to:'2018-01-11T08:35:12-0700'))&amp;_a=(columns:!('Message%20ID',Summary),filters:!(),index:'emp_*',interval:auto,query:(query_string:(analyze_wildcard:!t,query:'%22rtdc.l.rtdc.4055%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719</v>
      </c>
      <c r="B34" s="225">
        <v>4012</v>
      </c>
      <c r="C34" s="227" t="s">
        <v>191</v>
      </c>
      <c r="D34" s="227" t="s">
        <v>491</v>
      </c>
      <c r="E34" s="226">
        <v>43111.25608796296</v>
      </c>
      <c r="F34" s="226">
        <v>43111.260613425926</v>
      </c>
      <c r="G34" s="225">
        <v>62</v>
      </c>
      <c r="H34" s="227" t="s">
        <v>905</v>
      </c>
      <c r="I34" s="226">
        <v>43111.285300925927</v>
      </c>
      <c r="J34" s="225">
        <v>0</v>
      </c>
      <c r="K34" s="237" t="str">
        <f>IF(ISEVEN(B34),(B34-1)&amp;"/"&amp;B34,B34&amp;"/"&amp;(B34+1))</f>
        <v>4011/4012</v>
      </c>
      <c r="L34" s="245" t="str">
        <f>VLOOKUP(A34,'Trips&amp;Operators'!$C$1:$G$99911,5,FALSE)</f>
        <v>GEBRETEKLE DAGNEW</v>
      </c>
      <c r="M34" s="224">
        <f>I34-F34</f>
        <v>2.4687500001164153E-2</v>
      </c>
      <c r="N34" s="225">
        <f>24*60*SUM($M34:$M34)</f>
        <v>35.550000001676381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NorthBound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2018-01-11T05:08:46-0700',mode:absolute,to:'2018-01-11T07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4.4900000000000002E-2</v>
      </c>
      <c r="Z34" s="247">
        <f>RIGHT(H34,LEN(H34)-4)/10000</f>
        <v>23.328700000000001</v>
      </c>
      <c r="AA34" s="247">
        <f>ABS(Z34-Y34)</f>
        <v>23.283800000000003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121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 &amp; aws s3 cp s3://rtdc.mdm.uploadarchive.raw/RTDC4012/ "%USERPROFILE%\AppData\Local\Temp\OnboardLogs"\RTDC4012\2018-01-12 --exclude "*" --recursive --include "*20180112*" &amp; "%USERPROFILE%\Documents\GitHub\mrs-test-scripts\Headless Mode &amp; Sideloading\WalkAndUnGZ.bat" "%USERPROFILE%\AppData\Local\Temp\OnboardLogs"\RTDC4012\2018-01-12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/stypes="app*4012*20180111*" /stext=" 13:.+((SYSTEM_STATE.+slice.+state.+changed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121-11 --locoid 4012 --swversion DE.1.0.9.0 --startMP 204:449 --initTime 2018-01-11T06:08:46 --startdatetime 2018-01-11T06:15:17 --delay 62 --endMP 204:233287 --enddatetime 2018-01-11T06:50:50 --enforcementcount 0 &gt;&gt;%USERPROFILE%\Documents\GitHub\eaglep3-reporting\EC\2018-01-11-refined-times.txt</v>
      </c>
      <c r="AI34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{"issue":{"subject":"","project_id":79,"tracker_id":40,"status_id":1,"priority_id":2,"assigned_to_id":338,"start_date":"2018-01-11","description":"","custom_fields":[{"id":1,"name":"Subdivision","value":"EC"},{"id":4,"name":"Milepost","value":"23.3287"},{"id":17,"name":"Train ID","value":"121-11"},{"id":16,"name":"Locomotive ID","value":"4012"},{"id":130,"name":"Impact","value":""},{"id":150,"name":"Time of Event (Mountain Time)","value":"06:50:50"},{"id":151,"name":"Denver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4012 --day 2018-01-11</v>
      </c>
      <c r="AN34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13:50:50"},{"id":29,"name":"Sharepoint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2018-01-11T05:08:46-0700',mode:absolute,to:'2018-01-11T07:50:50-0700'))&amp;_a=(columns:!('Message%20ID',Summary),filters:!(),index:'emp_*',interval:auto,query:(query_string:(analyze_wildcard:!t,query:'%22rtdc.l.rtdc.4012%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727</v>
      </c>
      <c r="B35" s="225">
        <v>4011</v>
      </c>
      <c r="C35" s="227" t="s">
        <v>191</v>
      </c>
      <c r="D35" s="227" t="s">
        <v>917</v>
      </c>
      <c r="E35" s="226">
        <v>43111.286504629628</v>
      </c>
      <c r="F35" s="226">
        <v>43111.300208333334</v>
      </c>
      <c r="G35" s="225">
        <v>51</v>
      </c>
      <c r="H35" s="227" t="s">
        <v>585</v>
      </c>
      <c r="I35" s="226">
        <v>43111.325740740744</v>
      </c>
      <c r="J35" s="225">
        <v>0</v>
      </c>
      <c r="K35" s="237" t="str">
        <f>IF(ISEVEN(B35),(B35-1)&amp;"/"&amp;B35,B35&amp;"/"&amp;(B35+1))</f>
        <v>4011/4012</v>
      </c>
      <c r="L35" s="245" t="str">
        <f>VLOOKUP(A35,'Trips&amp;Operators'!$C$1:$G$99911,5,FALSE)</f>
        <v>GEBRETEKLE DAGNEW</v>
      </c>
      <c r="M35" s="224">
        <f>I35-F35</f>
        <v>2.5532407409627922E-2</v>
      </c>
      <c r="N35" s="225">
        <f>24*60*SUM($M35:$M35)</f>
        <v>36.766666669864208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Southbound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-11T05:52:34-0700',mode:absolute,to:'2018-01-11T08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23.297699999999999</v>
      </c>
      <c r="Z35" s="247">
        <f>RIGHT(H35,LEN(H35)-4)/10000</f>
        <v>1.5599999999999999E-2</v>
      </c>
      <c r="AA35" s="247">
        <f>ABS(Z35-Y35)</f>
        <v>23.2821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122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 &amp; aws s3 cp s3://rtdc.mdm.uploadarchive.raw/RTDC4011/ "%USERPROFILE%\AppData\Local\Temp\OnboardLogs"\RTDC4011\2018-01-12 --exclude "*" --recursive --include "*20180112*" &amp; "%USERPROFILE%\Documents\GitHub\mrs-test-scripts\Headless Mode &amp; Sideloading\WalkAndUnGZ.bat" "%USERPROFILE%\AppData\Local\Temp\OnboardLogs"\RTDC4011\2018-01-12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/stypes="app*4011*20180111*"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122-11 --locoid 4011 --swversion DE.1.0.9.0 --startMP 204:232977 --initTime 2018-01-11T06:52:34 --startdatetime 2018-01-11T07:12:18 --delay 51 --endMP 204:156 --enddatetime 2018-01-11T07:49:04 --enforcementcount 0 &gt;&gt;%USERPROFILE%\Documents\GitHub\eaglep3-reporting\EC\2018-01-11-refined-times.txt</v>
      </c>
      <c r="AI35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{"issue":{"subject":"","project_id":79,"tracker_id":40,"status_id":1,"priority_id":2,"assigned_to_id":338,"start_date":"2018-01-11","description":"","custom_fields":[{"id":1,"name":"Subdivision","value":"EC"},{"id":4,"name":"Milepost","value":"0.0156"},{"id":17,"name":"Train ID","value":"122-11"},{"id":16,"name":"Locomotive ID","value":"4011"},{"id":130,"name":"Impact","value":""},{"id":150,"name":"Time of Event (Mountain Time)","value":"07:49:04"},{"id":151,"name":"Denver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4011 --day 2018-01-11</v>
      </c>
      <c r="AN35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14:49:04"},{"id":29,"name":"Sharepoint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2018-01-11T05:52:34-0700',mode:absolute,to:'2018-01-11T08:49:04-0700'))&amp;_a=(columns:!('Message%20ID',Summary),filters:!(),index:'emp_*',interval:auto,query:(query_string:(analyze_wildcard:!t,query:'%22rtdc.l.rtdc.4011%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721</v>
      </c>
      <c r="B36" s="225">
        <v>4042</v>
      </c>
      <c r="C36" s="227" t="s">
        <v>191</v>
      </c>
      <c r="D36" s="227" t="s">
        <v>500</v>
      </c>
      <c r="E36" s="226">
        <v>43111.266446759262</v>
      </c>
      <c r="F36" s="226">
        <v>43111.271053240744</v>
      </c>
      <c r="G36" s="225">
        <v>62</v>
      </c>
      <c r="H36" s="227" t="s">
        <v>587</v>
      </c>
      <c r="I36" s="226">
        <v>43111.295856481483</v>
      </c>
      <c r="J36" s="225">
        <v>0</v>
      </c>
      <c r="K36" s="237" t="str">
        <f>IF(ISEVEN(B36),(B36-1)&amp;"/"&amp;B36,B36&amp;"/"&amp;(B36+1))</f>
        <v>4041/4042</v>
      </c>
      <c r="L36" s="245" t="str">
        <f>VLOOKUP(A36,'Trips&amp;Operators'!$C$1:$G$99911,5,FALSE)</f>
        <v>WILLIAMS DONTE</v>
      </c>
      <c r="M36" s="224">
        <f>I36-F36</f>
        <v>2.4803240739856847E-2</v>
      </c>
      <c r="N36" s="225">
        <f>24*60*SUM($M36:$M36)</f>
        <v>35.716666665393859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NorthBound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2018-01-11T05:23:41-0700',mode:absolute,to:'2018-01-11T08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5.0599999999999999E-2</v>
      </c>
      <c r="Z36" s="247">
        <f>RIGHT(H36,LEN(H36)-4)/10000</f>
        <v>23.327200000000001</v>
      </c>
      <c r="AA36" s="247">
        <f>ABS(Z36-Y36)</f>
        <v>23.276600000000002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123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s3://rtdc.mdm.uploadarchive.raw/RTDC4042/ "%USERPROFILE%\AppData\Local\Temp\OnboardLogs"\RTDC4042\2018-01-11 --exclude "*" --recursive --include "*20180111*" &amp; "%USERPROFILE%\Documents\GitHub\mrs-test-scripts\Headless Mode &amp; Sideloading\WalkAndUnGZ.bat" "%USERPROFILE%\AppData\Local\Temp\OnboardLogs"\RTDC4042\2018-01-11 &amp; aws s3 cp s3://rtdc.mdm.uploadarchive.raw/RTDC4042/ "%USERPROFILE%\AppData\Local\Temp\OnboardLogs"\RTDC4042\2018-01-12 --exclude "*" --recursive --include "*20180112*" &amp; "%USERPROFILE%\Documents\GitHub\mrs-test-scripts\Headless Mode &amp; Sideloading\WalkAndUnGZ.bat" "%USERPROFILE%\AppData\Local\Temp\OnboardLogs"\RTDC4042\2018-01-12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/stypes="app*4042*20180111*" /stext=" 14:.+((SYSTEM_STATE.+slice.+state.+changed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123-11 --locoid 4042 --swversion DE.1.0.9.0 --startMP 204:506 --initTime 2018-01-11T06:23:41 --startdatetime 2018-01-11T06:30:19 --delay 62 --endMP 204:233272 --enddatetime 2018-01-11T07:06:02 --enforcementcount 0 &gt;&gt;%USERPROFILE%\Documents\GitHub\eaglep3-reporting\EC\2018-01-11-refined-times.txt</v>
      </c>
      <c r="AI36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{"issue":{"subject":"","project_id":79,"tracker_id":40,"status_id":1,"priority_id":2,"assigned_to_id":338,"start_date":"2018-01-11","description":"","custom_fields":[{"id":1,"name":"Subdivision","value":"EC"},{"id":4,"name":"Milepost","value":"23.3272"},{"id":17,"name":"Train ID","value":"123-11"},{"id":16,"name":"Locomotive ID","value":"4042"},{"id":130,"name":"Impact","value":""},{"id":150,"name":"Time of Event (Mountain Time)","value":"07:06:02"},{"id":151,"name":"Denver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4042 --day 2018-01-11</v>
      </c>
      <c r="AN36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14:06:02"},{"id":29,"name":"Sharepoint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2018-01-11T05:23:41-0700',mode:absolute,to:'2018-01-11T08:06:02-0700'))&amp;_a=(columns:!('Message%20ID',Summary),filters:!(),index:'emp_*',interval:auto,query:(query_string:(analyze_wildcard:!t,query:'%22rtdc.l.rtdc.4042%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732</v>
      </c>
      <c r="B37" s="225">
        <v>4041</v>
      </c>
      <c r="C37" s="227" t="s">
        <v>191</v>
      </c>
      <c r="D37" s="227" t="s">
        <v>918</v>
      </c>
      <c r="E37" s="226">
        <v>43111.306562500002</v>
      </c>
      <c r="F37" s="226">
        <v>43111.310590277775</v>
      </c>
      <c r="G37" s="225">
        <v>94</v>
      </c>
      <c r="H37" s="227" t="s">
        <v>595</v>
      </c>
      <c r="I37" s="226">
        <v>43111.337025462963</v>
      </c>
      <c r="J37" s="225">
        <v>0</v>
      </c>
      <c r="K37" s="237" t="str">
        <f>IF(ISEVEN(B37),(B37-1)&amp;"/"&amp;B37,B37&amp;"/"&amp;(B37+1))</f>
        <v>4041/4042</v>
      </c>
      <c r="L37" s="245" t="str">
        <f>VLOOKUP(A37,'Trips&amp;Operators'!$C$1:$G$99911,5,FALSE)</f>
        <v>WILLIAMS DONTE</v>
      </c>
      <c r="M37" s="224">
        <f>I37-F37</f>
        <v>2.6435185187438037E-2</v>
      </c>
      <c r="N37" s="225">
        <f>24*60*SUM($M37:$M37)</f>
        <v>38.066666669910774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Southbound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2018-01-11T06:21:27-0700',mode:absolute,to:'2018-01-11T09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23.292300000000001</v>
      </c>
      <c r="Z37" s="247">
        <f>RIGHT(H37,LEN(H37)-4)/10000</f>
        <v>1.9800000000000002E-2</v>
      </c>
      <c r="AA37" s="247">
        <f>ABS(Z37-Y37)</f>
        <v>23.272500000000001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124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/stypes="app*4041*20180111*" /stext=" 15:.+((SYSTEM_STATE.+slice.+state.+changed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124-11 --locoid 4041 --swversion DE.1.0.9.0 --startMP 204:232923 --initTime 2018-01-11T07:21:27 --startdatetime 2018-01-11T07:27:15 --delay 94 --endMP 204:198 --enddatetime 2018-01-11T08:05:19 --enforcementcount 0 &gt;&gt;%USERPROFILE%\Documents\GitHub\eaglep3-reporting\EC\2018-01-11-refined-times.txt</v>
      </c>
      <c r="AI37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{"issue":{"subject":"","project_id":79,"tracker_id":40,"status_id":1,"priority_id":2,"assigned_to_id":338,"start_date":"2018-01-11","description":"","custom_fields":[{"id":1,"name":"Subdivision","value":"EC"},{"id":4,"name":"Milepost","value":"0.0198"},{"id":17,"name":"Train ID","value":"124-11"},{"id":16,"name":"Locomotive ID","value":"4041"},{"id":130,"name":"Impact","value":""},{"id":150,"name":"Time of Event (Mountain Time)","value":"08:05:19"},{"id":151,"name":"Denver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4041 --day 2018-01-11</v>
      </c>
      <c r="AN37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15:05:19"},{"id":29,"name":"Sharepoint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2018-01-11T06:21:27-0700',mode:absolute,to:'2018-01-11T09:05:19-0700'))&amp;_a=(columns:!('Message%20ID',Summary),filters:!(),index:'emp_*',interval:auto,query:(query_string:(analyze_wildcard:!t,query:'%22rtdc.l.rtdc.4041%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725</v>
      </c>
      <c r="B38" s="225">
        <v>4050</v>
      </c>
      <c r="C38" s="227" t="s">
        <v>191</v>
      </c>
      <c r="D38" s="227" t="s">
        <v>498</v>
      </c>
      <c r="E38" s="226">
        <v>43111.276053240741</v>
      </c>
      <c r="F38" s="226">
        <v>43111.281527777777</v>
      </c>
      <c r="G38" s="225">
        <v>45</v>
      </c>
      <c r="H38" s="227" t="s">
        <v>515</v>
      </c>
      <c r="I38" s="226">
        <v>43111.305960648147</v>
      </c>
      <c r="J38" s="225">
        <v>0</v>
      </c>
      <c r="K38" s="237" t="str">
        <f>IF(ISEVEN(B38),(B38-1)&amp;"/"&amp;B38,B38&amp;"/"&amp;(B38+1))</f>
        <v>4049/4050</v>
      </c>
      <c r="L38" s="245" t="str">
        <f>VLOOKUP(A38,'Trips&amp;Operators'!$C$1:$G$99911,5,FALSE)</f>
        <v>YORK EDGAR</v>
      </c>
      <c r="M38" s="224">
        <f>I38-F38</f>
        <v>2.4432870370219462E-2</v>
      </c>
      <c r="N38" s="225">
        <f>24*60*SUM($M38:$M38)</f>
        <v>35.183333333116025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NorthBound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-11T05:37:31-0700',mode:absolute,to:'2018-01-11T08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4.7300000000000002E-2</v>
      </c>
      <c r="Z38" s="247">
        <f>RIGHT(H38,LEN(H38)-4)/10000</f>
        <v>23.3291</v>
      </c>
      <c r="AA38" s="247">
        <f>ABS(Z38-Y38)</f>
        <v>23.2818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125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s3://rtdc.mdm.uploadarchive.raw/RTDC4050/ "%USERPROFILE%\AppData\Local\Temp\OnboardLogs"\RTDC4050\2018-01-11 --exclude "*" --recursive --include "*20180111*" &amp; "%USERPROFILE%\Documents\GitHub\mrs-test-scripts\Headless Mode &amp; Sideloading\WalkAndUnGZ.bat" "%USERPROFILE%\AppData\Local\Temp\OnboardLogs"\RTDC4050\2018-01-11 &amp; aws s3 cp s3://rtdc.mdm.uploadarchive.raw/RTDC4050/ "%USERPROFILE%\AppData\Local\Temp\OnboardLogs"\RTDC4050\2018-01-12 --exclude "*" --recursive --include "*20180112*" &amp; "%USERPROFILE%\Documents\GitHub\mrs-test-scripts\Headless Mode &amp; Sideloading\WalkAndUnGZ.bat" "%USERPROFILE%\AppData\Local\Temp\OnboardLogs"\RTDC4050\2018-01-12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/stypes="app*4050*20180111*" /stext=" 14:.+((SYSTEM_STATE.+slice.+state.+changed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125-11 --locoid 4050 --swversion DE.1.0.9.0 --startMP 204:473 --initTime 2018-01-11T06:37:31 --startdatetime 2018-01-11T06:45:24 --delay 45 --endMP 204:233291 --enddatetime 2018-01-11T07:20:35 --enforcementcount 0 &gt;&gt;%USERPROFILE%\Documents\GitHub\eaglep3-reporting\EC\2018-01-11-refined-times.txt</v>
      </c>
      <c r="AI38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{"issue":{"subject":"","project_id":79,"tracker_id":40,"status_id":1,"priority_id":2,"assigned_to_id":338,"start_date":"2018-01-11","description":"","custom_fields":[{"id":1,"name":"Subdivision","value":"EC"},{"id":4,"name":"Milepost","value":"23.3291"},{"id":17,"name":"Train ID","value":"125-11"},{"id":16,"name":"Locomotive ID","value":"4050"},{"id":130,"name":"Impact","value":""},{"id":150,"name":"Time of Event (Mountain Time)","value":"07:20:35"},{"id":151,"name":"Denver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4050 --day 2018-01-11</v>
      </c>
      <c r="AN38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14:20:35"},{"id":29,"name":"Sharepoint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2018-01-11T05:37:31-0700',mode:absolute,to:'2018-01-11T08:20:35-0700'))&amp;_a=(columns:!('Message%20ID',Summary),filters:!(),index:'emp_*',interval:auto,query:(query_string:(analyze_wildcard:!t,query:'%22rtdc.l.rtdc.4050%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733</v>
      </c>
      <c r="B39" s="225">
        <v>4049</v>
      </c>
      <c r="C39" s="227" t="s">
        <v>191</v>
      </c>
      <c r="D39" s="227" t="s">
        <v>906</v>
      </c>
      <c r="E39" s="226">
        <v>43111.306828703702</v>
      </c>
      <c r="F39" s="226">
        <v>43111.321030092593</v>
      </c>
      <c r="G39" s="225">
        <v>59</v>
      </c>
      <c r="H39" s="227" t="s">
        <v>919</v>
      </c>
      <c r="I39" s="226">
        <v>43111.346087962964</v>
      </c>
      <c r="J39" s="225">
        <v>0</v>
      </c>
      <c r="K39" s="237" t="str">
        <f>IF(ISEVEN(B39),(B39-1)&amp;"/"&amp;B39,B39&amp;"/"&amp;(B39+1))</f>
        <v>4049/4050</v>
      </c>
      <c r="L39" s="245" t="str">
        <f>VLOOKUP(A39,'Trips&amp;Operators'!$C$1:$G$99911,5,FALSE)</f>
        <v>YORK EDGAR</v>
      </c>
      <c r="M39" s="224">
        <f>I39-F39</f>
        <v>2.5057870370801538E-2</v>
      </c>
      <c r="N39" s="225">
        <f>24*60*SUM($M39:$M39)</f>
        <v>36.083333333954215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Southbound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2018-01-11T06:21:50-0700',mode:absolute,to:'2018-01-11T09:18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23.297599999999999</v>
      </c>
      <c r="Z39" s="247">
        <f>RIGHT(H39,LEN(H39)-4)/10000</f>
        <v>1.72E-2</v>
      </c>
      <c r="AA39" s="247">
        <f>ABS(Z39-Y39)</f>
        <v>23.2804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126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s3://rtdc.mdm.uploadarchive.raw/RTDC4049/ "%USERPROFILE%\AppData\Local\Temp\OnboardLogs"\RTDC4049\2018-01-11 --exclude "*" --recursive --include "*20180111*" &amp; "%USERPROFILE%\Documents\GitHub\mrs-test-scripts\Headless Mode &amp; Sideloading\WalkAndUnGZ.bat" "%USERPROFILE%\AppData\Local\Temp\OnboardLogs"\RTDC4049\2018-01-11 &amp; aws s3 cp s3://rtdc.mdm.uploadarchive.raw/RTDC4049/ "%USERPROFILE%\AppData\Local\Temp\OnboardLogs"\RTDC4049\2018-01-12 --exclude "*" --recursive --include "*20180112*" &amp; "%USERPROFILE%\Documents\GitHub\mrs-test-scripts\Headless Mode &amp; Sideloading\WalkAndUnGZ.bat" "%USERPROFILE%\AppData\Local\Temp\OnboardLogs"\RTDC4049\2018-01-12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/stypes="app*4049*20180111*" /stext=" 15:.+((SYSTEM_STATE.+slice.+state.+changed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126-11 --locoid 4049 --swversion DE.1.0.9.0 --startMP 204:232976 --initTime 2018-01-11T07:21:50 --startdatetime 2018-01-11T07:42:17 --delay 59 --endMP 204:172 --enddatetime 2018-01-11T08:18:22 --enforcementcount 0 &gt;&gt;%USERPROFILE%\Documents\GitHub\eaglep3-reporting\EC\2018-01-11-refined-times.txt</v>
      </c>
      <c r="AI39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{"issue":{"subject":"","project_id":79,"tracker_id":40,"status_id":1,"priority_id":2,"assigned_to_id":338,"start_date":"2018-01-11","description":"","custom_fields":[{"id":1,"name":"Subdivision","value":"EC"},{"id":4,"name":"Milepost","value":"0.0172"},{"id":17,"name":"Train ID","value":"126-11"},{"id":16,"name":"Locomotive ID","value":"4049"},{"id":130,"name":"Impact","value":""},{"id":150,"name":"Time of Event (Mountain Time)","value":"08:18:22"},{"id":151,"name":"Denver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4049 --day 2018-01-11</v>
      </c>
      <c r="AN39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15:18:22"},{"id":29,"name":"Sharepoint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2018-01-11T06:21:50-0700',mode:absolute,to:'2018-01-11T09:18:22-0700'))&amp;_a=(columns:!('Message%20ID',Summary),filters:!(),index:'emp_*',interval:auto,query:(query_string:(analyze_wildcard:!t,query:'%22rtdc.l.rtdc.4049%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728</v>
      </c>
      <c r="B40" s="225">
        <v>4016</v>
      </c>
      <c r="C40" s="227" t="s">
        <v>191</v>
      </c>
      <c r="D40" s="227" t="s">
        <v>920</v>
      </c>
      <c r="E40" s="226">
        <v>43111.288854166669</v>
      </c>
      <c r="F40" s="226">
        <v>43111.291805555556</v>
      </c>
      <c r="G40" s="225">
        <v>45</v>
      </c>
      <c r="H40" s="227" t="s">
        <v>921</v>
      </c>
      <c r="I40" s="226">
        <v>43111.31591435185</v>
      </c>
      <c r="J40" s="225">
        <v>0</v>
      </c>
      <c r="K40" s="237" t="str">
        <f>IF(ISEVEN(B40),(B40-1)&amp;"/"&amp;B40,B40&amp;"/"&amp;(B40+1))</f>
        <v>4015/4016</v>
      </c>
      <c r="L40" s="245" t="str">
        <f>VLOOKUP(A40,'Trips&amp;Operators'!$C$1:$G$99911,5,FALSE)</f>
        <v>YANAI IAN</v>
      </c>
      <c r="M40" s="224">
        <f>I40-F40</f>
        <v>2.4108796293148771E-2</v>
      </c>
      <c r="N40" s="225">
        <f>24*60*SUM($M40:$M40)</f>
        <v>34.71666666213423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NorthBound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2018-01-11T05:55:57-0700',mode:absolute,to:'2018-01-11T08:34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5.2900000000000003E-2</v>
      </c>
      <c r="Z40" s="247">
        <f>RIGHT(H40,LEN(H40)-4)/10000</f>
        <v>23.332000000000001</v>
      </c>
      <c r="AA40" s="247">
        <f>ABS(Z40-Y40)</f>
        <v>23.2791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127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s3://rtdc.mdm.uploadarchive.raw/RTDC4016/ "%USERPROFILE%\AppData\Local\Temp\OnboardLogs"\RTDC4016\2018-01-11 --exclude "*" --recursive --include "*20180111*" &amp; "%USERPROFILE%\Documents\GitHub\mrs-test-scripts\Headless Mode &amp; Sideloading\WalkAndUnGZ.bat" "%USERPROFILE%\AppData\Local\Temp\OnboardLogs"\RTDC4016\2018-01-11 &amp; 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/stypes="app*4016*20180111*" /stext=" 14:.+((SYSTEM_STATE.+slice.+state.+changed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127-11 --locoid 4016 --swversion DE.1.0.9.0 --startMP 204:529 --initTime 2018-01-11T06:55:57 --startdatetime 2018-01-11T07:00:12 --delay 45 --endMP 204:233320 --enddatetime 2018-01-11T07:34:55 --enforcementcount 0 &gt;&gt;%USERPROFILE%\Documents\GitHub\eaglep3-reporting\EC\2018-01-11-refined-times.txt</v>
      </c>
      <c r="AI40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{"issue":{"subject":"","project_id":79,"tracker_id":40,"status_id":1,"priority_id":2,"assigned_to_id":338,"start_date":"2018-01-11","description":"","custom_fields":[{"id":1,"name":"Subdivision","value":"EC"},{"id":4,"name":"Milepost","value":"23.332"},{"id":17,"name":"Train ID","value":"127-11"},{"id":16,"name":"Locomotive ID","value":"4016"},{"id":130,"name":"Impact","value":""},{"id":150,"name":"Time of Event (Mountain Time)","value":"07:34:55"},{"id":151,"name":"Denver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4016 --day 2018-01-11</v>
      </c>
      <c r="AN40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14:34:55"},{"id":29,"name":"Sharepoint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2018-01-11T05:55:57-0700',mode:absolute,to:'2018-01-11T08:34:55-0700'))&amp;_a=(columns:!('Message%20ID',Summary),filters:!(),index:'emp_*',interval:auto,query:(query_string:(analyze_wildcard:!t,query:'%22rtdc.l.rtdc.4016%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737</v>
      </c>
      <c r="B41" s="225">
        <v>4015</v>
      </c>
      <c r="C41" s="227" t="s">
        <v>191</v>
      </c>
      <c r="D41" s="227" t="s">
        <v>922</v>
      </c>
      <c r="E41" s="226">
        <v>43111.31689814815</v>
      </c>
      <c r="F41" s="226">
        <v>43111.331412037034</v>
      </c>
      <c r="G41" s="225">
        <v>49</v>
      </c>
      <c r="H41" s="227" t="s">
        <v>456</v>
      </c>
      <c r="I41" s="226">
        <v>43111.357499999998</v>
      </c>
      <c r="J41" s="225">
        <v>0</v>
      </c>
      <c r="K41" s="237" t="str">
        <f>IF(ISEVEN(B41),(B41-1)&amp;"/"&amp;B41,B41&amp;"/"&amp;(B41+1))</f>
        <v>4015/4016</v>
      </c>
      <c r="L41" s="245" t="str">
        <f>VLOOKUP(A41,'Trips&amp;Operators'!$C$1:$G$99911,5,FALSE)</f>
        <v>YANAI IAN</v>
      </c>
      <c r="M41" s="224">
        <f>I41-F41</f>
        <v>2.6087962964083999E-2</v>
      </c>
      <c r="N41" s="225">
        <f>24*60*SUM($M41:$M41)</f>
        <v>37.566666668280959</v>
      </c>
      <c r="O41" s="225"/>
      <c r="P41" s="225"/>
      <c r="Q41" s="228"/>
      <c r="R41" s="242"/>
      <c r="S41" s="249">
        <f>1/IF(AG41="EC",12,1)*SUM(U41:U41)</f>
        <v>1</v>
      </c>
      <c r="T41" s="242" t="str">
        <f>IF(ISEVEN(LEFT(AD41,4)),"Southbound","NorthBound")</f>
        <v>Southbound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2018-01-11T06:36:20-0700',mode:absolute,to:'2018-01-11T09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1" s="247" t="str">
        <f>IF(AA41&lt;VLOOKUP(AG41,Variables!$AC$3:$AD$8,2,FALSE),"Y","N")</f>
        <v>N</v>
      </c>
      <c r="X41" s="247">
        <f>VALUE(LEFT(AD41,4))-VALUE(LEFT(AD40,4))</f>
        <v>1</v>
      </c>
      <c r="Y41" s="247">
        <f>RIGHT(D41,LEN(D41)-4)/10000</f>
        <v>23.3003</v>
      </c>
      <c r="Z41" s="247">
        <f>RIGHT(H41,LEN(H41)-4)/10000</f>
        <v>2.1100000000000001E-2</v>
      </c>
      <c r="AA41" s="247">
        <f>ABS(Z41-Y41)</f>
        <v>23.279199999999999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128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s3://rtdc.mdm.uploadarchive.raw/RTDC4015/ "%USERPROFILE%\AppData\Local\Temp\OnboardLogs"\RTDC4015\2018-01-11 --exclude "*" --recursive --include "*20180111*" &amp; "%USERPROFILE%\Documents\GitHub\mrs-test-scripts\Headless Mode &amp; Sideloading\WalkAndUnGZ.bat" "%USERPROFILE%\AppData\Local\Temp\OnboardLogs"\RTDC4015\2018-01-11 &amp; 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/stypes="app*4015*20180111*" /stext=" 15:.+((SYSTEM_STATE.+slice.+state.+changed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128-11 --locoid 4015 --swversion DE.1.0.9.0 --startMP 204:233003 --initTime 2018-01-11T07:36:20 --startdatetime 2018-01-11T07:57:14 --delay 49 --endMP 204:211 --enddatetime 2018-01-11T08:34:48 --enforcementcount 0 &gt;&gt;%USERPROFILE%\Documents\GitHub\eaglep3-reporting\EC\2018-01-11-refined-times.txt</v>
      </c>
      <c r="AI41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{"issue":{"subject":"","project_id":79,"tracker_id":40,"status_id":1,"priority_id":2,"assigned_to_id":338,"start_date":"2018-01-11","description":"","custom_fields":[{"id":1,"name":"Subdivision","value":"EC"},{"id":4,"name":"Milepost","value":"0.0211"},{"id":17,"name":"Train ID","value":"128-11"},{"id":16,"name":"Locomotive ID","value":"4015"},{"id":130,"name":"Impact","value":""},{"id":150,"name":"Time of Event (Mountain Time)","value":"08:34:48"},{"id":151,"name":"Denver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4015 --day 2018-01-11</v>
      </c>
      <c r="AN41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15:34:48"},{"id":29,"name":"Sharepoint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2018-01-11T06:36:20-0700',mode:absolute,to:'2018-01-11T09:34:48-0700'))&amp;_a=(columns:!('Message%20ID',Summary),filters:!(),index:'emp_*',interval:auto,query:(query_string:(analyze_wildcard:!t,query:'%22rtdc.l.rtdc.4015%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731</v>
      </c>
      <c r="B42" s="225">
        <v>4064</v>
      </c>
      <c r="C42" s="227" t="s">
        <v>191</v>
      </c>
      <c r="D42" s="227" t="s">
        <v>454</v>
      </c>
      <c r="E42" s="226">
        <v>43111.298148148147</v>
      </c>
      <c r="F42" s="226">
        <v>43111.30232638889</v>
      </c>
      <c r="G42" s="225">
        <v>48</v>
      </c>
      <c r="H42" s="227" t="s">
        <v>923</v>
      </c>
      <c r="I42" s="226">
        <v>43111.327569444446</v>
      </c>
      <c r="J42" s="225">
        <v>0</v>
      </c>
      <c r="K42" s="237" t="str">
        <f>IF(ISEVEN(B42),(B42-1)&amp;"/"&amp;B42,B42&amp;"/"&amp;(B42+1))</f>
        <v>4063/4064</v>
      </c>
      <c r="L42" s="245" t="str">
        <f>VLOOKUP(A42,'Trips&amp;Operators'!$C$1:$G$99911,5,FALSE)</f>
        <v>MAELZER KURT</v>
      </c>
      <c r="M42" s="224">
        <f>I42-F42</f>
        <v>2.5243055555620231E-2</v>
      </c>
      <c r="N42" s="225">
        <f>24*60*SUM($M42:$M42)</f>
        <v>36.350000000093132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NorthBound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2018-01-11T06:09:20-0700',mode:absolute,to:'2018-01-11T08:51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1</v>
      </c>
      <c r="Y42" s="247">
        <f>RIGHT(D42,LEN(D42)-4)/10000</f>
        <v>5.1499999999999997E-2</v>
      </c>
      <c r="Z42" s="247">
        <f>RIGHT(H42,LEN(H42)-4)/10000</f>
        <v>23.3308</v>
      </c>
      <c r="AA42" s="247">
        <f>ABS(Z42-Y42)</f>
        <v>23.279299999999999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129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s3://rtdc.mdm.uploadarchive.raw/RTDC4064/ "%USERPROFILE%\AppData\Local\Temp\OnboardLogs"\RTDC4064\2018-01-11 --exclude "*" --recursive --include "*20180111*" &amp; "%USERPROFILE%\Documents\GitHub\mrs-test-scripts\Headless Mode &amp; Sideloading\WalkAndUnGZ.bat" "%USERPROFILE%\AppData\Local\Temp\OnboardLogs"\RTDC4064\2018-01-11 &amp; aws s3 cp s3://rtdc.mdm.uploadarchive.raw/RTDC4064/ "%USERPROFILE%\AppData\Local\Temp\OnboardLogs"\RTDC4064\2018-01-12 --exclude "*" --recursive --include "*20180112*" &amp; "%USERPROFILE%\Documents\GitHub\mrs-test-scripts\Headless Mode &amp; Sideloading\WalkAndUnGZ.bat" "%USERPROFILE%\AppData\Local\Temp\OnboardLogs"\RTDC4064\2018-01-12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/stypes="app*4064*20180111*" /stext=" 14:.+((SYSTEM_STATE.+slice.+state.+changed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129-11 --locoid 4064 --swversion DE.1.0.9.0 --startMP 204:515 --initTime 2018-01-11T07:09:20 --startdatetime 2018-01-11T07:15:21 --delay 48 --endMP 204:233308 --enddatetime 2018-01-11T07:51:42 --enforcementcount 0 &gt;&gt;%USERPROFILE%\Documents\GitHub\eaglep3-reporting\EC\2018-01-11-refined-times.txt</v>
      </c>
      <c r="AI42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{"issue":{"subject":"","project_id":79,"tracker_id":40,"status_id":1,"priority_id":2,"assigned_to_id":338,"start_date":"2018-01-11","description":"","custom_fields":[{"id":1,"name":"Subdivision","value":"EC"},{"id":4,"name":"Milepost","value":"23.3308"},{"id":17,"name":"Train ID","value":"129-11"},{"id":16,"name":"Locomotive ID","value":"4064"},{"id":130,"name":"Impact","value":""},{"id":150,"name":"Time of Event (Mountain Time)","value":"07:51:42"},{"id":151,"name":"Denver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4064 --day 2018-01-11</v>
      </c>
      <c r="AN42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14:51:42"},{"id":29,"name":"Sharepoint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2018-01-11T06:09:20-0700',mode:absolute,to:'2018-01-11T08:51:42-0700'))&amp;_a=(columns:!('Message%20ID',Summary),filters:!(),index:'emp_*',interval:auto,query:(query_string:(analyze_wildcard:!t,query:'%22rtdc.l.rtdc.4064%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743</v>
      </c>
      <c r="B43" s="225">
        <v>4063</v>
      </c>
      <c r="C43" s="227" t="s">
        <v>191</v>
      </c>
      <c r="D43" s="227" t="s">
        <v>482</v>
      </c>
      <c r="E43" s="226">
        <v>43111.333124999997</v>
      </c>
      <c r="F43" s="226">
        <v>43111.341840277775</v>
      </c>
      <c r="G43" s="225">
        <v>49</v>
      </c>
      <c r="H43" s="227" t="s">
        <v>477</v>
      </c>
      <c r="I43" s="226">
        <v>43111.367650462962</v>
      </c>
      <c r="J43" s="225">
        <v>0</v>
      </c>
      <c r="K43" s="237" t="str">
        <f>IF(ISEVEN(B43),(B43-1)&amp;"/"&amp;B43,B43&amp;"/"&amp;(B43+1))</f>
        <v>4063/4064</v>
      </c>
      <c r="L43" s="245" t="str">
        <f>VLOOKUP(A43,'Trips&amp;Operators'!$C$1:$G$99911,5,FALSE)</f>
        <v>MAELZER KURT</v>
      </c>
      <c r="M43" s="224">
        <f>I43-F43</f>
        <v>2.5810185186855961E-2</v>
      </c>
      <c r="N43" s="225">
        <f>24*60*SUM($M43:$M43)</f>
        <v>37.166666669072583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Southbound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2018-01-11T06:59:42-0700',mode:absolute,to:'2018-01-11T09:49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23.3</v>
      </c>
      <c r="Z43" s="247">
        <f>RIGHT(H43,LEN(H43)-4)/10000</f>
        <v>1.8499999999999999E-2</v>
      </c>
      <c r="AA43" s="247">
        <f>ABS(Z43-Y43)</f>
        <v>23.281500000000001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130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s3://rtdc.mdm.uploadarchive.raw/RTDC4063/ "%USERPROFILE%\AppData\Local\Temp\OnboardLogs"\RTDC4063\2018-01-11 --exclude "*" --recursive --include "*20180111*" &amp; "%USERPROFILE%\Documents\GitHub\mrs-test-scripts\Headless Mode &amp; Sideloading\WalkAndUnGZ.bat" "%USERPROFILE%\AppData\Local\Temp\OnboardLogs"\RTDC4063\2018-01-11 &amp; aws s3 cp s3://rtdc.mdm.uploadarchive.raw/RTDC4063/ "%USERPROFILE%\AppData\Local\Temp\OnboardLogs"\RTDC4063\2018-01-12 --exclude "*" --recursive --include "*20180112*" &amp; "%USERPROFILE%\Documents\GitHub\mrs-test-scripts\Headless Mode &amp; Sideloading\WalkAndUnGZ.bat" "%USERPROFILE%\AppData\Local\Temp\OnboardLogs"\RTDC4063\2018-01-12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/stypes="app*4063*20180111*"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130-11 --locoid 4063 --swversion DE.1.0.9.0 --startMP 204:233000 --initTime 2018-01-11T07:59:42 --startdatetime 2018-01-11T08:12:15 --delay 49 --endMP 204:185 --enddatetime 2018-01-11T08:49:25 --enforcementcount 0 &gt;&gt;%USERPROFILE%\Documents\GitHub\eaglep3-reporting\EC\2018-01-11-refined-times.txt</v>
      </c>
      <c r="AI43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{"issue":{"subject":"","project_id":79,"tracker_id":40,"status_id":1,"priority_id":2,"assigned_to_id":338,"start_date":"2018-01-11","description":"","custom_fields":[{"id":1,"name":"Subdivision","value":"EC"},{"id":4,"name":"Milepost","value":"0.0185"},{"id":17,"name":"Train ID","value":"130-11"},{"id":16,"name":"Locomotive ID","value":"4063"},{"id":130,"name":"Impact","value":""},{"id":150,"name":"Time of Event (Mountain Time)","value":"08:49:25"},{"id":151,"name":"Denver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4063 --day 2018-01-11</v>
      </c>
      <c r="AN43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15:49:25"},{"id":29,"name":"Sharepoint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2018-01-11T06:59:42-0700',mode:absolute,to:'2018-01-11T09:49:25-0700'))&amp;_a=(columns:!('Message%20ID',Summary),filters:!(),index:'emp_*',interval:auto,query:(query_string:(analyze_wildcard:!t,query:'%22rtdc.l.rtdc.4063%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734</v>
      </c>
      <c r="B44" s="225">
        <v>4022</v>
      </c>
      <c r="C44" s="227" t="s">
        <v>191</v>
      </c>
      <c r="D44" s="227" t="s">
        <v>454</v>
      </c>
      <c r="E44" s="226">
        <v>43111.307523148149</v>
      </c>
      <c r="F44" s="226">
        <v>43111.312777777777</v>
      </c>
      <c r="G44" s="225">
        <v>57</v>
      </c>
      <c r="H44" s="227" t="s">
        <v>548</v>
      </c>
      <c r="I44" s="226">
        <v>43111.337534722225</v>
      </c>
      <c r="J44" s="225">
        <v>0</v>
      </c>
      <c r="K44" s="237" t="str">
        <f>IF(ISEVEN(B44),(B44-1)&amp;"/"&amp;B44,B44&amp;"/"&amp;(B44+1))</f>
        <v>4021/4022</v>
      </c>
      <c r="L44" s="245" t="str">
        <f>VLOOKUP(A44,'Trips&amp;Operators'!$C$1:$G$99911,5,FALSE)</f>
        <v>DAVIDSON DAVID</v>
      </c>
      <c r="M44" s="224">
        <f>I44-F44</f>
        <v>2.4756944447290152E-2</v>
      </c>
      <c r="N44" s="225">
        <f>24*60*SUM($M44:$M44)</f>
        <v>35.650000004097819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NorthBound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2018-01-11T06:22:50-0700',mode:absolute,to:'2018-01-11T09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5.1499999999999997E-2</v>
      </c>
      <c r="Z44" s="247">
        <f>RIGHT(H44,LEN(H44)-4)/10000</f>
        <v>23.328199999999999</v>
      </c>
      <c r="AA44" s="247">
        <f>ABS(Z44-Y44)</f>
        <v>23.276699999999998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131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s3://rtdc.mdm.uploadarchive.raw/RTDC4022/ "%USERPROFILE%\AppData\Local\Temp\OnboardLogs"\RTDC4022\2018-01-11 --exclude "*" --recursive --include "*20180111*" &amp; "%USERPROFILE%\Documents\GitHub\mrs-test-scripts\Headless Mode &amp; Sideloading\WalkAndUnGZ.bat" "%USERPROFILE%\AppData\Local\Temp\OnboardLogs"\RTDC4022\2018-01-11 &amp; aws s3 cp s3://rtdc.mdm.uploadarchive.raw/RTDC4022/ "%USERPROFILE%\AppData\Local\Temp\OnboardLogs"\RTDC4022\2018-01-12 --exclude "*" --recursive --include "*20180112*" &amp; "%USERPROFILE%\Documents\GitHub\mrs-test-scripts\Headless Mode &amp; Sideloading\WalkAndUnGZ.bat" "%USERPROFILE%\AppData\Local\Temp\OnboardLogs"\RTDC4022\2018-01-12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/stypes="app*4022*20180111*" /stext=" 15:.+((SYSTEM_STATE.+slice.+state.+changed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131-11 --locoid 4022 --swversion DE.1.0.9.0 --startMP 204:515 --initTime 2018-01-11T07:22:50 --startdatetime 2018-01-11T07:30:24 --delay 57 --endMP 204:233282 --enddatetime 2018-01-11T08:06:03 --enforcementcount 0 &gt;&gt;%USERPROFILE%\Documents\GitHub\eaglep3-reporting\EC\2018-01-11-refined-times.txt</v>
      </c>
      <c r="AI44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{"issue":{"subject":"","project_id":79,"tracker_id":40,"status_id":1,"priority_id":2,"assigned_to_id":338,"start_date":"2018-01-11","description":"","custom_fields":[{"id":1,"name":"Subdivision","value":"EC"},{"id":4,"name":"Milepost","value":"23.3282"},{"id":17,"name":"Train ID","value":"131-11"},{"id":16,"name":"Locomotive ID","value":"4022"},{"id":130,"name":"Impact","value":""},{"id":150,"name":"Time of Event (Mountain Time)","value":"08:06:03"},{"id":151,"name":"Denver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4022 --day 2018-01-11</v>
      </c>
      <c r="AN44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15:06:03"},{"id":29,"name":"Sharepoint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2018-01-11T06:22:50-0700',mode:absolute,to:'2018-01-11T09:06:03-0700'))&amp;_a=(columns:!('Message%20ID',Summary),filters:!(),index:'emp_*',interval:auto,query:(query_string:(analyze_wildcard:!t,query:'%22rtdc.l.rtdc.4022%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745</v>
      </c>
      <c r="B45" s="225">
        <v>4021</v>
      </c>
      <c r="C45" s="227" t="s">
        <v>191</v>
      </c>
      <c r="D45" s="227" t="s">
        <v>608</v>
      </c>
      <c r="E45" s="226">
        <v>43111.33929398148</v>
      </c>
      <c r="F45" s="226">
        <v>43111.35229166667</v>
      </c>
      <c r="G45" s="225">
        <v>65</v>
      </c>
      <c r="H45" s="227" t="s">
        <v>457</v>
      </c>
      <c r="I45" s="226">
        <v>43111.378831018519</v>
      </c>
      <c r="J45" s="225">
        <v>0</v>
      </c>
      <c r="K45" s="237" t="str">
        <f>IF(ISEVEN(B45),(B45-1)&amp;"/"&amp;B45,B45&amp;"/"&amp;(B45+1))</f>
        <v>4021/4022</v>
      </c>
      <c r="L45" s="245" t="str">
        <f>VLOOKUP(A45,'Trips&amp;Operators'!$C$1:$G$99911,5,FALSE)</f>
        <v>DAVIDSON DAVID</v>
      </c>
      <c r="M45" s="224">
        <f>I45-F45</f>
        <v>2.6539351849351078E-2</v>
      </c>
      <c r="N45" s="225">
        <f>24*60*SUM($M45:$M45)</f>
        <v>38.216666663065553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Southbound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2018-01-11T07:08:35-0700',mode:absolute,to:'2018-01-11T10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23.294599999999999</v>
      </c>
      <c r="Z45" s="247">
        <f>RIGHT(H45,LEN(H45)-4)/10000</f>
        <v>2.18E-2</v>
      </c>
      <c r="AA45" s="247">
        <f>ABS(Z45-Y45)</f>
        <v>23.2728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132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s3://rtdc.mdm.uploadarchive.raw/RTDC4021/ "%USERPROFILE%\AppData\Local\Temp\OnboardLogs"\RTDC4021\2018-01-11 --exclude "*" --recursive --include "*20180111*" &amp; "%USERPROFILE%\Documents\GitHub\mrs-test-scripts\Headless Mode &amp; Sideloading\WalkAndUnGZ.bat" "%USERPROFILE%\AppData\Local\Temp\OnboardLogs"\RTDC4021\2018-01-11 &amp; aws s3 cp s3://rtdc.mdm.uploadarchive.raw/RTDC4021/ "%USERPROFILE%\AppData\Local\Temp\OnboardLogs"\RTDC4021\2018-01-12 --exclude "*" --recursive --include "*20180112*" &amp; "%USERPROFILE%\Documents\GitHub\mrs-test-scripts\Headless Mode &amp; Sideloading\WalkAndUnGZ.bat" "%USERPROFILE%\AppData\Local\Temp\OnboardLogs"\RTDC4021\2018-01-12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/stypes="app*4021*20180111*" /stext=" 16:.+((SYSTEM_STATE.+slice.+state.+changed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132-11 --locoid 4021 --swversion DE.1.0.9.0 --startMP 204:232946 --initTime 2018-01-11T08:08:35 --startdatetime 2018-01-11T08:27:18 --delay 65 --endMP 204:218 --enddatetime 2018-01-11T09:05:31 --enforcementcount 0 &gt;&gt;%USERPROFILE%\Documents\GitHub\eaglep3-reporting\EC\2018-01-11-refined-times.txt</v>
      </c>
      <c r="AI45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{"issue":{"subject":"","project_id":79,"tracker_id":40,"status_id":1,"priority_id":2,"assigned_to_id":338,"start_date":"2018-01-11","description":"","custom_fields":[{"id":1,"name":"Subdivision","value":"EC"},{"id":4,"name":"Milepost","value":"0.0218"},{"id":17,"name":"Train ID","value":"132-11"},{"id":16,"name":"Locomotive ID","value":"4021"},{"id":130,"name":"Impact","value":""},{"id":150,"name":"Time of Event (Mountain Time)","value":"09:05:31"},{"id":151,"name":"Denver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4021 --day 2018-01-11</v>
      </c>
      <c r="AN45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16:05:31"},{"id":29,"name":"Sharepoint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2018-01-11T07:08:35-0700',mode:absolute,to:'2018-01-11T10:05:31-0700'))&amp;_a=(columns:!('Message%20ID',Summary),filters:!(),index:'emp_*',interval:auto,query:(query_string:(analyze_wildcard:!t,query:'%22rtdc.l.rtdc.4021%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738</v>
      </c>
      <c r="B46" s="225">
        <v>4056</v>
      </c>
      <c r="C46" s="227" t="s">
        <v>191</v>
      </c>
      <c r="D46" s="227" t="s">
        <v>454</v>
      </c>
      <c r="E46" s="226">
        <v>43111.318182870367</v>
      </c>
      <c r="F46" s="226">
        <v>43111.323425925926</v>
      </c>
      <c r="G46" s="225">
        <v>79</v>
      </c>
      <c r="H46" s="227" t="s">
        <v>924</v>
      </c>
      <c r="I46" s="226">
        <v>43111.349178240744</v>
      </c>
      <c r="J46" s="225">
        <v>0</v>
      </c>
      <c r="K46" s="237" t="str">
        <f>IF(ISEVEN(B46),(B46-1)&amp;"/"&amp;B46,B46&amp;"/"&amp;(B46+1))</f>
        <v>4055/4056</v>
      </c>
      <c r="L46" s="245" t="str">
        <f>VLOOKUP(A46,'Trips&amp;Operators'!$C$1:$G$99911,5,FALSE)</f>
        <v>STRICKLAND EVAN</v>
      </c>
      <c r="M46" s="224">
        <f>I46-F46</f>
        <v>2.5752314817509614E-2</v>
      </c>
      <c r="N46" s="225">
        <f>24*60*SUM($M46:$M46)</f>
        <v>37.083333337213844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NorthBound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2018-01-11T06:38:11-0700',mode:absolute,to:'2018-01-11T09:22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5.1499999999999997E-2</v>
      </c>
      <c r="Z46" s="247">
        <f>RIGHT(H46,LEN(H46)-4)/10000</f>
        <v>23.3232</v>
      </c>
      <c r="AA46" s="247">
        <f>ABS(Z46-Y46)</f>
        <v>23.271699999999999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>VALUE(LEFT(A46,LEN(A46)-3))</f>
        <v>133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/stypes="app*4056*20180111*" /stext=" 15:.+((SYSTEM_STATE.+slice.+state.+changed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133-11 --locoid 4056 --swversion DE.1.0.9.0 --startMP 204:515 --initTime 2018-01-11T07:38:11 --startdatetime 2018-01-11T07:45:44 --delay 79 --endMP 204:233232 --enddatetime 2018-01-11T08:22:49 --enforcementcount 0 &gt;&gt;%USERPROFILE%\Documents\GitHub\eaglep3-reporting\EC\2018-01-11-refined-times.txt</v>
      </c>
      <c r="AI46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{"issue":{"subject":"","project_id":79,"tracker_id":40,"status_id":1,"priority_id":2,"assigned_to_id":338,"start_date":"2018-01-11","description":"","custom_fields":[{"id":1,"name":"Subdivision","value":"EC"},{"id":4,"name":"Milepost","value":"23.3232"},{"id":17,"name":"Train ID","value":"133-11"},{"id":16,"name":"Locomotive ID","value":"4056"},{"id":130,"name":"Impact","value":""},{"id":150,"name":"Time of Event (Mountain Time)","value":"08:22:49"},{"id":151,"name":"Denver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4056 --day 2018-01-11</v>
      </c>
      <c r="AN46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15:22:49"},{"id":29,"name":"Sharepoint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2018-01-11T06:38:11-0700',mode:absolute,to:'2018-01-11T09:22:49-0700'))&amp;_a=(columns:!('Message%20ID',Summary),filters:!(),index:'emp_*',interval:auto,query:(query_string:(analyze_wildcard:!t,query:'%22rtdc.l.rtdc.4056%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747</v>
      </c>
      <c r="B47" s="225">
        <v>4055</v>
      </c>
      <c r="C47" s="227" t="s">
        <v>191</v>
      </c>
      <c r="D47" s="227" t="s">
        <v>462</v>
      </c>
      <c r="E47" s="226">
        <v>43111.351099537038</v>
      </c>
      <c r="F47" s="226">
        <v>43111.362974537034</v>
      </c>
      <c r="G47" s="225">
        <v>87</v>
      </c>
      <c r="H47" s="227" t="s">
        <v>446</v>
      </c>
      <c r="I47" s="226">
        <v>43111.389108796298</v>
      </c>
      <c r="J47" s="225">
        <v>0</v>
      </c>
      <c r="K47" s="237" t="str">
        <f>IF(ISEVEN(B47),(B47-1)&amp;"/"&amp;B47,B47&amp;"/"&amp;(B47+1))</f>
        <v>4055/4056</v>
      </c>
      <c r="L47" s="245" t="str">
        <f>VLOOKUP(A47,'Trips&amp;Operators'!$C$1:$G$99911,5,FALSE)</f>
        <v>STRICKLAND EVAN</v>
      </c>
      <c r="M47" s="224">
        <f>I47-F47</f>
        <v>2.6134259263926651E-2</v>
      </c>
      <c r="N47" s="225">
        <f>24*60*SUM($M47:$M47)</f>
        <v>37.633333340054378</v>
      </c>
      <c r="O47" s="225"/>
      <c r="P47" s="225"/>
      <c r="Q47" s="228"/>
      <c r="R47" s="242"/>
      <c r="S47" s="249">
        <f>1/IF(AG47="EC",12,1)*SUM(U47:U47)</f>
        <v>1</v>
      </c>
      <c r="T47" s="242" t="str">
        <f>IF(ISEVEN(LEFT(AD47,4)),"Southbound","NorthBound")</f>
        <v>Southbound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2018-01-11T07:25:35-0700',mode:absolute,to:'2018-01-11T10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7" s="247" t="str">
        <f>IF(AA47&lt;VLOOKUP(AG47,Variables!$AC$3:$AD$8,2,FALSE),"Y","N")</f>
        <v>N</v>
      </c>
      <c r="X47" s="247">
        <f>VALUE(LEFT(AD47,4))-VALUE(LEFT(AD46,4))</f>
        <v>1</v>
      </c>
      <c r="Y47" s="247">
        <f>RIGHT(D47,LEN(D47)-4)/10000</f>
        <v>23.2942</v>
      </c>
      <c r="Z47" s="247">
        <f>RIGHT(H47,LEN(H47)-4)/10000</f>
        <v>0.02</v>
      </c>
      <c r="AA47" s="247">
        <f>ABS(Z47-Y47)</f>
        <v>23.2742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134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 &amp; 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/stypes="app*4055*20180111*" /stext=" 16:.+((SYSTEM_STATE.+slice.+state.+changed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134-11 --locoid 4055 --swversion DE.1.0.9.0 --startMP 204:232942 --initTime 2018-01-11T08:25:35 --startdatetime 2018-01-11T08:42:41 --delay 87 --endMP 204:200 --enddatetime 2018-01-11T09:20:19 --enforcementcount 0 &gt;&gt;%USERPROFILE%\Documents\GitHub\eaglep3-reporting\EC\2018-01-11-refined-times.txt</v>
      </c>
      <c r="AI47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{"issue":{"subject":"","project_id":79,"tracker_id":40,"status_id":1,"priority_id":2,"assigned_to_id":338,"start_date":"2018-01-11","description":"","custom_fields":[{"id":1,"name":"Subdivision","value":"EC"},{"id":4,"name":"Milepost","value":"0.02"},{"id":17,"name":"Train ID","value":"134-11"},{"id":16,"name":"Locomotive ID","value":"4055"},{"id":130,"name":"Impact","value":""},{"id":150,"name":"Time of Event (Mountain Time)","value":"09:20:19"},{"id":151,"name":"Denver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4055 --day 2018-01-11</v>
      </c>
      <c r="AN47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16:20:19"},{"id":29,"name":"Sharepoint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2018-01-11T07:25:35-0700',mode:absolute,to:'2018-01-11T10:20:19-0700'))&amp;_a=(columns:!('Message%20ID',Summary),filters:!(),index:'emp_*',interval:auto,query:(query_string:(analyze_wildcard:!t,query:'%22rtdc.l.rtdc.4055%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741</v>
      </c>
      <c r="B48" s="225">
        <v>4012</v>
      </c>
      <c r="C48" s="227" t="s">
        <v>191</v>
      </c>
      <c r="D48" s="227" t="s">
        <v>637</v>
      </c>
      <c r="E48" s="226">
        <v>43111.328738425924</v>
      </c>
      <c r="F48" s="226">
        <v>43111.333703703705</v>
      </c>
      <c r="G48" s="225">
        <v>49</v>
      </c>
      <c r="H48" s="227" t="s">
        <v>474</v>
      </c>
      <c r="I48" s="226">
        <v>43111.35733796296</v>
      </c>
      <c r="J48" s="225">
        <v>0</v>
      </c>
      <c r="K48" s="237" t="str">
        <f>IF(ISEVEN(B48),(B48-1)&amp;"/"&amp;B48,B48&amp;"/"&amp;(B48+1))</f>
        <v>4011/4012</v>
      </c>
      <c r="L48" s="245" t="str">
        <f>VLOOKUP(A48,'Trips&amp;Operators'!$C$1:$G$99911,5,FALSE)</f>
        <v>GEBRETEKLE DAGNEW</v>
      </c>
      <c r="M48" s="224">
        <f>I48-F48</f>
        <v>2.3634259254322387E-2</v>
      </c>
      <c r="N48" s="225">
        <f>24*60*SUM($M48:$M48)</f>
        <v>34.033333326224238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NorthBound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2018-01-11T06:53:23-0700',mode:absolute,to:'2018-01-11T09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1</v>
      </c>
      <c r="Y48" s="247">
        <f>RIGHT(D48,LEN(D48)-4)/10000</f>
        <v>4.4400000000000002E-2</v>
      </c>
      <c r="Z48" s="247">
        <f>RIGHT(H48,LEN(H48)-4)/10000</f>
        <v>23.329699999999999</v>
      </c>
      <c r="AA48" s="247">
        <f>ABS(Z48-Y48)</f>
        <v>23.285299999999999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135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 &amp; aws s3 cp s3://rtdc.mdm.uploadarchive.raw/RTDC4012/ "%USERPROFILE%\AppData\Local\Temp\OnboardLogs"\RTDC4012\2018-01-12 --exclude "*" --recursive --include "*20180112*" &amp; "%USERPROFILE%\Documents\GitHub\mrs-test-scripts\Headless Mode &amp; Sideloading\WalkAndUnGZ.bat" "%USERPROFILE%\AppData\Local\Temp\OnboardLogs"\RTDC4012\2018-01-12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/stypes="app*4012*20180111*" /stext=" 15:.+((SYSTEM_STATE.+slice.+state.+changed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135-11 --locoid 4012 --swversion DE.1.0.9.0 --startMP 204:444 --initTime 2018-01-11T07:53:23 --startdatetime 2018-01-11T08:00:32 --delay 49 --endMP 204:233297 --enddatetime 2018-01-11T08:34:34 --enforcementcount 0 &gt;&gt;%USERPROFILE%\Documents\GitHub\eaglep3-reporting\EC\2018-01-11-refined-times.txt</v>
      </c>
      <c r="AI48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{"issue":{"subject":"","project_id":79,"tracker_id":40,"status_id":1,"priority_id":2,"assigned_to_id":338,"start_date":"2018-01-11","description":"","custom_fields":[{"id":1,"name":"Subdivision","value":"EC"},{"id":4,"name":"Milepost","value":"23.3297"},{"id":17,"name":"Train ID","value":"135-11"},{"id":16,"name":"Locomotive ID","value":"4012"},{"id":130,"name":"Impact","value":""},{"id":150,"name":"Time of Event (Mountain Time)","value":"08:34:34"},{"id":151,"name":"Denver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4012 --day 2018-01-11</v>
      </c>
      <c r="AN48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15:34:34"},{"id":29,"name":"Sharepoint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2018-01-11T06:53:23-0700',mode:absolute,to:'2018-01-11T09:34:34-0700'))&amp;_a=(columns:!('Message%20ID',Summary),filters:!(),index:'emp_*',interval:auto,query:(query_string:(analyze_wildcard:!t,query:'%22rtdc.l.rtdc.4012%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750</v>
      </c>
      <c r="B49" s="225">
        <v>4011</v>
      </c>
      <c r="C49" s="227" t="s">
        <v>191</v>
      </c>
      <c r="D49" s="227" t="s">
        <v>925</v>
      </c>
      <c r="E49" s="226">
        <v>43111.358819444446</v>
      </c>
      <c r="F49" s="226">
        <v>43111.373124999998</v>
      </c>
      <c r="G49" s="225">
        <v>49</v>
      </c>
      <c r="H49" s="227" t="s">
        <v>585</v>
      </c>
      <c r="I49" s="226">
        <v>43111.398692129631</v>
      </c>
      <c r="J49" s="225">
        <v>0</v>
      </c>
      <c r="K49" s="237" t="str">
        <f>IF(ISEVEN(B49),(B49-1)&amp;"/"&amp;B49,B49&amp;"/"&amp;(B49+1))</f>
        <v>4011/4012</v>
      </c>
      <c r="L49" s="245" t="str">
        <f>VLOOKUP(A49,'Trips&amp;Operators'!$C$1:$G$99911,5,FALSE)</f>
        <v>GEBRETEKLE DAGNEW</v>
      </c>
      <c r="M49" s="224">
        <f>I49-F49</f>
        <v>2.5567129632690921E-2</v>
      </c>
      <c r="N49" s="225">
        <f>24*60*SUM($M49:$M49)</f>
        <v>36.816666671074927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Southbound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2018-01-11T07:36:42-0700',mode:absolute,to:'2018-01-11T10:34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23.299600000000002</v>
      </c>
      <c r="Z49" s="247">
        <f>RIGHT(H49,LEN(H49)-4)/10000</f>
        <v>1.5599999999999999E-2</v>
      </c>
      <c r="AA49" s="247">
        <f>ABS(Z49-Y49)</f>
        <v>23.284000000000002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136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 &amp; aws s3 cp s3://rtdc.mdm.uploadarchive.raw/RTDC4011/ "%USERPROFILE%\AppData\Local\Temp\OnboardLogs"\RTDC4011\2018-01-12 --exclude "*" --recursive --include "*20180112*" &amp; "%USERPROFILE%\Documents\GitHub\mrs-test-scripts\Headless Mode &amp; Sideloading\WalkAndUnGZ.bat" "%USERPROFILE%\AppData\Local\Temp\OnboardLogs"\RTDC4011\2018-01-12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/stypes="app*4011*20180111*" /stext=" 16:.+((SYSTEM_STATE.+slice.+state.+changed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136-11 --locoid 4011 --swversion DE.1.0.9.0 --startMP 204:232996 --initTime 2018-01-11T08:36:42 --startdatetime 2018-01-11T08:57:18 --delay 49 --endMP 204:156 --enddatetime 2018-01-11T09:34:07 --enforcementcount 0 &gt;&gt;%USERPROFILE%\Documents\GitHub\eaglep3-reporting\EC\2018-01-11-refined-times.txt</v>
      </c>
      <c r="AI49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{"issue":{"subject":"","project_id":79,"tracker_id":40,"status_id":1,"priority_id":2,"assigned_to_id":338,"start_date":"2018-01-11","description":"","custom_fields":[{"id":1,"name":"Subdivision","value":"EC"},{"id":4,"name":"Milepost","value":"0.0156"},{"id":17,"name":"Train ID","value":"136-11"},{"id":16,"name":"Locomotive ID","value":"4011"},{"id":130,"name":"Impact","value":""},{"id":150,"name":"Time of Event (Mountain Time)","value":"09:34:07"},{"id":151,"name":"Denver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4011 --day 2018-01-11</v>
      </c>
      <c r="AN49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16:34:07"},{"id":29,"name":"Sharepoint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2018-01-11T07:36:42-0700',mode:absolute,to:'2018-01-11T10:34:07-0700'))&amp;_a=(columns:!('Message%20ID',Summary),filters:!(),index:'emp_*',interval:auto,query:(query_string:(analyze_wildcard:!t,query:'%22rtdc.l.rtdc.4011%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744</v>
      </c>
      <c r="B50" s="225">
        <v>4042</v>
      </c>
      <c r="C50" s="227" t="s">
        <v>191</v>
      </c>
      <c r="D50" s="227" t="s">
        <v>484</v>
      </c>
      <c r="E50" s="226">
        <v>43111.338449074072</v>
      </c>
      <c r="F50" s="226">
        <v>43111.3440162037</v>
      </c>
      <c r="G50" s="225">
        <v>73</v>
      </c>
      <c r="H50" s="227" t="s">
        <v>493</v>
      </c>
      <c r="I50" s="226">
        <v>43111.369108796294</v>
      </c>
      <c r="J50" s="225">
        <v>0</v>
      </c>
      <c r="K50" s="237" t="str">
        <f>IF(ISEVEN(B50),(B50-1)&amp;"/"&amp;B50,B50&amp;"/"&amp;(B50+1))</f>
        <v>4041/4042</v>
      </c>
      <c r="L50" s="245" t="str">
        <f>VLOOKUP(A50,'Trips&amp;Operators'!$C$1:$G$99911,5,FALSE)</f>
        <v>WILLIAMS DONTE</v>
      </c>
      <c r="M50" s="224">
        <f>I50-F50</f>
        <v>2.5092592593864538E-2</v>
      </c>
      <c r="N50" s="225">
        <f>24*60*SUM($M50:$M50)</f>
        <v>36.133333335164934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NorthBound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2018-01-11T07:07:22-0700',mode:absolute,to:'2018-01-11T09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4.9500000000000002E-2</v>
      </c>
      <c r="Z50" s="247">
        <f>RIGHT(H50,LEN(H50)-4)/10000</f>
        <v>23.325900000000001</v>
      </c>
      <c r="AA50" s="247">
        <f>ABS(Z50-Y50)</f>
        <v>23.276400000000002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137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s3://rtdc.mdm.uploadarchive.raw/RTDC4042/ "%USERPROFILE%\AppData\Local\Temp\OnboardLogs"\RTDC4042\2018-01-11 --exclude "*" --recursive --include "*20180111*" &amp; "%USERPROFILE%\Documents\GitHub\mrs-test-scripts\Headless Mode &amp; Sideloading\WalkAndUnGZ.bat" "%USERPROFILE%\AppData\Local\Temp\OnboardLogs"\RTDC4042\2018-01-11 &amp; aws s3 cp s3://rtdc.mdm.uploadarchive.raw/RTDC4042/ "%USERPROFILE%\AppData\Local\Temp\OnboardLogs"\RTDC4042\2018-01-12 --exclude "*" --recursive --include "*20180112*" &amp; "%USERPROFILE%\Documents\GitHub\mrs-test-scripts\Headless Mode &amp; Sideloading\WalkAndUnGZ.bat" "%USERPROFILE%\AppData\Local\Temp\OnboardLogs"\RTDC4042\2018-01-12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/stypes="app*4042*20180111*" /stext=" 15:.+((SYSTEM_STATE.+slice.+state.+changed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137-11 --locoid 4042 --swversion DE.1.0.9.0 --startMP 204:495 --initTime 2018-01-11T08:07:22 --startdatetime 2018-01-11T08:15:23 --delay 73 --endMP 204:233259 --enddatetime 2018-01-11T08:51:31 --enforcementcount 0 &gt;&gt;%USERPROFILE%\Documents\GitHub\eaglep3-reporting\EC\2018-01-11-refined-times.txt</v>
      </c>
      <c r="AI50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{"issue":{"subject":"","project_id":79,"tracker_id":40,"status_id":1,"priority_id":2,"assigned_to_id":338,"start_date":"2018-01-11","description":"","custom_fields":[{"id":1,"name":"Subdivision","value":"EC"},{"id":4,"name":"Milepost","value":"23.3259"},{"id":17,"name":"Train ID","value":"137-11"},{"id":16,"name":"Locomotive ID","value":"4042"},{"id":130,"name":"Impact","value":""},{"id":150,"name":"Time of Event (Mountain Time)","value":"08:51:31"},{"id":151,"name":"Denver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4042 --day 2018-01-11</v>
      </c>
      <c r="AN50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15:51:31"},{"id":29,"name":"Sharepoint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2018-01-11T07:07:22-0700',mode:absolute,to:'2018-01-11T09:51:31-0700'))&amp;_a=(columns:!('Message%20ID',Summary),filters:!(),index:'emp_*',interval:auto,query:(query_string:(analyze_wildcard:!t,query:'%22rtdc.l.rtdc.4042%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754</v>
      </c>
      <c r="B51" s="225">
        <v>4041</v>
      </c>
      <c r="C51" s="227" t="s">
        <v>191</v>
      </c>
      <c r="D51" s="227" t="s">
        <v>910</v>
      </c>
      <c r="E51" s="226">
        <v>43111.379907407405</v>
      </c>
      <c r="F51" s="226">
        <v>43111.383518518516</v>
      </c>
      <c r="G51" s="225">
        <v>88</v>
      </c>
      <c r="H51" s="227" t="s">
        <v>588</v>
      </c>
      <c r="I51" s="226">
        <v>43111.409050925926</v>
      </c>
      <c r="J51" s="225">
        <v>0</v>
      </c>
      <c r="K51" s="237" t="str">
        <f>IF(ISEVEN(B51),(B51-1)&amp;"/"&amp;B51,B51&amp;"/"&amp;(B51+1))</f>
        <v>4041/4042</v>
      </c>
      <c r="L51" s="245" t="str">
        <f>VLOOKUP(A51,'Trips&amp;Operators'!$C$1:$G$99911,5,FALSE)</f>
        <v>WILLIAMS DONTE</v>
      </c>
      <c r="M51" s="224">
        <f>I51-F51</f>
        <v>2.5532407409627922E-2</v>
      </c>
      <c r="N51" s="225">
        <f>24*60*SUM($M51:$M51)</f>
        <v>36.766666669864208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Southbound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2018-01-11T08:07:04-0700',mode:absolute,to:'2018-01-11T10:49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23.2943</v>
      </c>
      <c r="Z51" s="247">
        <f>RIGHT(H51,LEN(H51)-4)/10000</f>
        <v>2.1600000000000001E-2</v>
      </c>
      <c r="AA51" s="247">
        <f>ABS(Z51-Y51)</f>
        <v>23.2727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138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/stypes="app*4041*20180111*" /stext=" 16:.+((SYSTEM_STATE.+slice.+state.+changed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138-11 --locoid 4041 --swversion DE.1.0.9.0 --startMP 204:232943 --initTime 2018-01-11T09:07:04 --startdatetime 2018-01-11T09:12:16 --delay 88 --endMP 204:216 --enddatetime 2018-01-11T09:49:02 --enforcementcount 0 &gt;&gt;%USERPROFILE%\Documents\GitHub\eaglep3-reporting\EC\2018-01-11-refined-times.txt</v>
      </c>
      <c r="AI51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{"issue":{"subject":"","project_id":79,"tracker_id":40,"status_id":1,"priority_id":2,"assigned_to_id":338,"start_date":"2018-01-11","description":"","custom_fields":[{"id":1,"name":"Subdivision","value":"EC"},{"id":4,"name":"Milepost","value":"0.0216"},{"id":17,"name":"Train ID","value":"138-11"},{"id":16,"name":"Locomotive ID","value":"4041"},{"id":130,"name":"Impact","value":""},{"id":150,"name":"Time of Event (Mountain Time)","value":"09:49:02"},{"id":151,"name":"Denver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4041 --day 2018-01-11</v>
      </c>
      <c r="AN51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16:49:02"},{"id":29,"name":"Sharepoint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2018-01-11T08:07:04-0700',mode:absolute,to:'2018-01-11T10:49:02-0700'))&amp;_a=(columns:!('Message%20ID',Summary),filters:!(),index:'emp_*',interval:auto,query:(query_string:(analyze_wildcard:!t,query:'%22rtdc.l.rtdc.4041%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746</v>
      </c>
      <c r="B52" s="225">
        <v>4050</v>
      </c>
      <c r="C52" s="227" t="s">
        <v>191</v>
      </c>
      <c r="D52" s="227" t="s">
        <v>599</v>
      </c>
      <c r="E52" s="226">
        <v>43111.347210648149</v>
      </c>
      <c r="F52" s="226">
        <v>43111.354872685188</v>
      </c>
      <c r="G52" s="225">
        <v>49</v>
      </c>
      <c r="H52" s="227" t="s">
        <v>926</v>
      </c>
      <c r="I52" s="226">
        <v>43111.378171296295</v>
      </c>
      <c r="J52" s="225">
        <v>0</v>
      </c>
      <c r="K52" s="237" t="str">
        <f>IF(ISEVEN(B52),(B52-1)&amp;"/"&amp;B52,B52&amp;"/"&amp;(B52+1))</f>
        <v>4049/4050</v>
      </c>
      <c r="L52" s="245" t="str">
        <f>VLOOKUP(A52,'Trips&amp;Operators'!$C$1:$G$99911,5,FALSE)</f>
        <v>YORK EDGAR</v>
      </c>
      <c r="M52" s="224">
        <f>I52-F52</f>
        <v>2.3298611107748002E-2</v>
      </c>
      <c r="N52" s="225">
        <f>24*60*SUM($M52:$M52)</f>
        <v>33.549999995157123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NorthBound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2018-01-11T07:19:59-0700',mode:absolute,to:'2018-01-11T10:04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4.5699999999999998E-2</v>
      </c>
      <c r="Z52" s="247">
        <f>RIGHT(H52,LEN(H52)-4)/10000</f>
        <v>23.3278</v>
      </c>
      <c r="AA52" s="247">
        <f>ABS(Z52-Y52)</f>
        <v>23.2821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139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s3://rtdc.mdm.uploadarchive.raw/RTDC4050/ "%USERPROFILE%\AppData\Local\Temp\OnboardLogs"\RTDC4050\2018-01-11 --exclude "*" --recursive --include "*20180111*" &amp; "%USERPROFILE%\Documents\GitHub\mrs-test-scripts\Headless Mode &amp; Sideloading\WalkAndUnGZ.bat" "%USERPROFILE%\AppData\Local\Temp\OnboardLogs"\RTDC4050\2018-01-11 &amp; aws s3 cp s3://rtdc.mdm.uploadarchive.raw/RTDC4050/ "%USERPROFILE%\AppData\Local\Temp\OnboardLogs"\RTDC4050\2018-01-12 --exclude "*" --recursive --include "*20180112*" &amp; "%USERPROFILE%\Documents\GitHub\mrs-test-scripts\Headless Mode &amp; Sideloading\WalkAndUnGZ.bat" "%USERPROFILE%\AppData\Local\Temp\OnboardLogs"\RTDC4050\2018-01-12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/stypes="app*4050*20180111*" /stext=" 16:.+((SYSTEM_STATE.+slice.+state.+changed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139-11 --locoid 4050 --swversion DE.1.0.9.0 --startMP 204:457 --initTime 2018-01-11T08:19:59 --startdatetime 2018-01-11T08:31:01 --delay 49 --endMP 204:233278 --enddatetime 2018-01-11T09:04:34 --enforcementcount 0 &gt;&gt;%USERPROFILE%\Documents\GitHub\eaglep3-reporting\EC\2018-01-11-refined-times.txt</v>
      </c>
      <c r="AI52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{"issue":{"subject":"","project_id":79,"tracker_id":40,"status_id":1,"priority_id":2,"assigned_to_id":338,"start_date":"2018-01-11","description":"","custom_fields":[{"id":1,"name":"Subdivision","value":"EC"},{"id":4,"name":"Milepost","value":"23.3278"},{"id":17,"name":"Train ID","value":"139-11"},{"id":16,"name":"Locomotive ID","value":"4050"},{"id":130,"name":"Impact","value":""},{"id":150,"name":"Time of Event (Mountain Time)","value":"09:04:34"},{"id":151,"name":"Denver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4050 --day 2018-01-11</v>
      </c>
      <c r="AN52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16:04:34"},{"id":29,"name":"Sharepoint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2018-01-11T07:19:59-0700',mode:absolute,to:'2018-01-11T10:04:34-0700'))&amp;_a=(columns:!('Message%20ID',Summary),filters:!(),index:'emp_*',interval:auto,query:(query_string:(analyze_wildcard:!t,query:'%22rtdc.l.rtdc.4050%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758</v>
      </c>
      <c r="B53" s="225">
        <v>4049</v>
      </c>
      <c r="C53" s="227" t="s">
        <v>191</v>
      </c>
      <c r="D53" s="227" t="s">
        <v>927</v>
      </c>
      <c r="E53" s="226">
        <v>43111.391504629632</v>
      </c>
      <c r="F53" s="226">
        <v>43111.393946759257</v>
      </c>
      <c r="G53" s="225">
        <v>51</v>
      </c>
      <c r="H53" s="227" t="s">
        <v>928</v>
      </c>
      <c r="I53" s="226">
        <v>43111.421458333331</v>
      </c>
      <c r="J53" s="225">
        <v>0</v>
      </c>
      <c r="K53" s="237" t="str">
        <f>IF(ISEVEN(B53),(B53-1)&amp;"/"&amp;B53,B53&amp;"/"&amp;(B53+1))</f>
        <v>4049/4050</v>
      </c>
      <c r="L53" s="245" t="str">
        <f>VLOOKUP(A53,'Trips&amp;Operators'!$C$1:$G$99911,5,FALSE)</f>
        <v>YORK EDGAR</v>
      </c>
      <c r="M53" s="224">
        <f>I53-F53</f>
        <v>2.7511574073287193E-2</v>
      </c>
      <c r="N53" s="225">
        <f>24*60*SUM($M53:$M53)</f>
        <v>39.616666665533558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Southbound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2018-01-11T08:23:46-0700',mode:absolute,to:'2018-01-11T11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23.296500000000002</v>
      </c>
      <c r="Z53" s="247">
        <f>RIGHT(H53,LEN(H53)-4)/10000</f>
        <v>9.5000000000000001E-2</v>
      </c>
      <c r="AA53" s="247">
        <f>ABS(Z53-Y53)</f>
        <v>23.201500000000003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140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s3://rtdc.mdm.uploadarchive.raw/RTDC4049/ "%USERPROFILE%\AppData\Local\Temp\OnboardLogs"\RTDC4049\2018-01-11 --exclude "*" --recursive --include "*20180111*" &amp; "%USERPROFILE%\Documents\GitHub\mrs-test-scripts\Headless Mode &amp; Sideloading\WalkAndUnGZ.bat" "%USERPROFILE%\AppData\Local\Temp\OnboardLogs"\RTDC4049\2018-01-11 &amp; aws s3 cp s3://rtdc.mdm.uploadarchive.raw/RTDC4049/ "%USERPROFILE%\AppData\Local\Temp\OnboardLogs"\RTDC4049\2018-01-12 --exclude "*" --recursive --include "*20180112*" &amp; "%USERPROFILE%\Documents\GitHub\mrs-test-scripts\Headless Mode &amp; Sideloading\WalkAndUnGZ.bat" "%USERPROFILE%\AppData\Local\Temp\OnboardLogs"\RTDC4049\2018-01-12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/stypes="app*4049*20180111*" /stext=" 17:.+((SYSTEM_STATE.+slice.+state.+changed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140-11 --locoid 4049 --swversion DE.1.0.9.0 --startMP 204:232965 --initTime 2018-01-11T09:23:46 --startdatetime 2018-01-11T09:27:17 --delay 51 --endMP 204:950 --enddatetime 2018-01-11T10:06:54 --enforcementcount 0 &gt;&gt;%USERPROFILE%\Documents\GitHub\eaglep3-reporting\EC\2018-01-11-refined-times.txt</v>
      </c>
      <c r="AI53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{"issue":{"subject":"","project_id":79,"tracker_id":40,"status_id":1,"priority_id":2,"assigned_to_id":338,"start_date":"2018-01-11","description":"","custom_fields":[{"id":1,"name":"Subdivision","value":"EC"},{"id":4,"name":"Milepost","value":"0.095"},{"id":17,"name":"Train ID","value":"140-11"},{"id":16,"name":"Locomotive ID","value":"4049"},{"id":130,"name":"Impact","value":""},{"id":150,"name":"Time of Event (Mountain Time)","value":"10:06:54"},{"id":151,"name":"Denver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4049 --day 2018-01-11</v>
      </c>
      <c r="AN53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17:06:54"},{"id":29,"name":"Sharepoint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2018-01-11T08:23:46-0700',mode:absolute,to:'2018-01-11T11:06:54-0700'))&amp;_a=(columns:!('Message%20ID',Summary),filters:!(),index:'emp_*',interval:auto,query:(query_string:(analyze_wildcard:!t,query:'%22rtdc.l.rtdc.4049%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751</v>
      </c>
      <c r="B54" s="225">
        <v>4016</v>
      </c>
      <c r="C54" s="227" t="s">
        <v>191</v>
      </c>
      <c r="D54" s="227" t="s">
        <v>914</v>
      </c>
      <c r="E54" s="226">
        <v>43111.359548611108</v>
      </c>
      <c r="F54" s="226">
        <v>43111.364710648151</v>
      </c>
      <c r="G54" s="225">
        <v>45</v>
      </c>
      <c r="H54" s="227" t="s">
        <v>929</v>
      </c>
      <c r="I54" s="226">
        <v>43111.389467592591</v>
      </c>
      <c r="J54" s="225">
        <v>0</v>
      </c>
      <c r="K54" s="237" t="str">
        <f>IF(ISEVEN(B54),(B54-1)&amp;"/"&amp;B54,B54&amp;"/"&amp;(B54+1))</f>
        <v>4015/4016</v>
      </c>
      <c r="L54" s="245" t="str">
        <f>VLOOKUP(A54,'Trips&amp;Operators'!$C$1:$G$99911,5,FALSE)</f>
        <v>YANAI IAN</v>
      </c>
      <c r="M54" s="224">
        <f>I54-F54</f>
        <v>2.4756944440014195E-2</v>
      </c>
      <c r="N54" s="225">
        <f>24*60*SUM($M54:$M54)</f>
        <v>35.64999999362044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NorthBound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2018-01-11T07:37:45-0700',mode:absolute,to:'2018-01-11T10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5.2400000000000002E-2</v>
      </c>
      <c r="Z54" s="247">
        <f>RIGHT(H54,LEN(H54)-4)/10000</f>
        <v>23.334599999999998</v>
      </c>
      <c r="AA54" s="247">
        <f>ABS(Z54-Y54)</f>
        <v>23.2822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141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s3://rtdc.mdm.uploadarchive.raw/RTDC4016/ "%USERPROFILE%\AppData\Local\Temp\OnboardLogs"\RTDC4016\2018-01-11 --exclude "*" --recursive --include "*20180111*" &amp; "%USERPROFILE%\Documents\GitHub\mrs-test-scripts\Headless Mode &amp; Sideloading\WalkAndUnGZ.bat" "%USERPROFILE%\AppData\Local\Temp\OnboardLogs"\RTDC4016\2018-01-11 &amp; 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/stypes="app*4016*20180111*" /stext=" 16:.+((SYSTEM_STATE.+slice.+state.+changed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141-11 --locoid 4016 --swversion DE.1.0.9.0 --startMP 204:524 --initTime 2018-01-11T08:37:45 --startdatetime 2018-01-11T08:45:11 --delay 45 --endMP 204:233346 --enddatetime 2018-01-11T09:20:50 --enforcementcount 0 &gt;&gt;%USERPROFILE%\Documents\GitHub\eaglep3-reporting\EC\2018-01-11-refined-times.txt</v>
      </c>
      <c r="AI54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{"issue":{"subject":"","project_id":79,"tracker_id":40,"status_id":1,"priority_id":2,"assigned_to_id":338,"start_date":"2018-01-11","description":"","custom_fields":[{"id":1,"name":"Subdivision","value":"EC"},{"id":4,"name":"Milepost","value":"23.3346"},{"id":17,"name":"Train ID","value":"141-11"},{"id":16,"name":"Locomotive ID","value":"4016"},{"id":130,"name":"Impact","value":""},{"id":150,"name":"Time of Event (Mountain Time)","value":"09:20:50"},{"id":151,"name":"Denver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4016 --day 2018-01-11</v>
      </c>
      <c r="AN54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16:20:50"},{"id":29,"name":"Sharepoint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2018-01-11T07:37:45-0700',mode:absolute,to:'2018-01-11T10:20:50-0700'))&amp;_a=(columns:!('Message%20ID',Summary),filters:!(),index:'emp_*',interval:auto,query:(query_string:(analyze_wildcard:!t,query:'%22rtdc.l.rtdc.4016%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757</v>
      </c>
      <c r="B55" s="225">
        <v>4015</v>
      </c>
      <c r="C55" s="227" t="s">
        <v>191</v>
      </c>
      <c r="D55" s="227" t="s">
        <v>930</v>
      </c>
      <c r="E55" s="226">
        <v>43111.390717592592</v>
      </c>
      <c r="F55" s="226">
        <v>43111.404317129629</v>
      </c>
      <c r="G55" s="225">
        <v>66</v>
      </c>
      <c r="H55" s="227" t="s">
        <v>466</v>
      </c>
      <c r="I55" s="226">
        <v>43111.429710648146</v>
      </c>
      <c r="J55" s="225">
        <v>0</v>
      </c>
      <c r="K55" s="237" t="str">
        <f>IF(ISEVEN(B55),(B55-1)&amp;"/"&amp;B55,B55&amp;"/"&amp;(B55+1))</f>
        <v>4015/4016</v>
      </c>
      <c r="L55" s="245" t="str">
        <f>VLOOKUP(A55,'Trips&amp;Operators'!$C$1:$G$99911,5,FALSE)</f>
        <v>YANAI IAN</v>
      </c>
      <c r="M55" s="224">
        <f>I55-F55</f>
        <v>2.5393518517375924E-2</v>
      </c>
      <c r="N55" s="225">
        <f>24*60*SUM($M55:$M55)</f>
        <v>36.56666666502133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Southbound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2018-01-11T08:22:38-0700',mode:absolute,to:'2018-01-11T11:18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23.3019</v>
      </c>
      <c r="Z55" s="247">
        <f>RIGHT(H55,LEN(H55)-4)/10000</f>
        <v>2.3099999999999999E-2</v>
      </c>
      <c r="AA55" s="247">
        <f>ABS(Z55-Y55)</f>
        <v>23.2788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142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s3://rtdc.mdm.uploadarchive.raw/RTDC4015/ "%USERPROFILE%\AppData\Local\Temp\OnboardLogs"\RTDC4015\2018-01-11 --exclude "*" --recursive --include "*20180111*" &amp; "%USERPROFILE%\Documents\GitHub\mrs-test-scripts\Headless Mode &amp; Sideloading\WalkAndUnGZ.bat" "%USERPROFILE%\AppData\Local\Temp\OnboardLogs"\RTDC4015\2018-01-11 &amp; 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/stypes="app*4015*20180111*" /stext=" 17:.+((SYSTEM_STATE.+slice.+state.+changed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142-11 --locoid 4015 --swversion DE.1.0.9.0 --startMP 204:233019 --initTime 2018-01-11T09:22:38 --startdatetime 2018-01-11T09:42:13 --delay 66 --endMP 204:231 --enddatetime 2018-01-11T10:18:47 --enforcementcount 0 &gt;&gt;%USERPROFILE%\Documents\GitHub\eaglep3-reporting\EC\2018-01-11-refined-times.txt</v>
      </c>
      <c r="AI55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{"issue":{"subject":"","project_id":79,"tracker_id":40,"status_id":1,"priority_id":2,"assigned_to_id":338,"start_date":"2018-01-11","description":"","custom_fields":[{"id":1,"name":"Subdivision","value":"EC"},{"id":4,"name":"Milepost","value":"0.0231"},{"id":17,"name":"Train ID","value":"142-11"},{"id":16,"name":"Locomotive ID","value":"4015"},{"id":130,"name":"Impact","value":""},{"id":150,"name":"Time of Event (Mountain Time)","value":"10:18:47"},{"id":151,"name":"Denver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4015 --day 2018-01-11</v>
      </c>
      <c r="AN55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17:18:47"},{"id":29,"name":"Sharepoint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2018-01-11T08:22:38-0700',mode:absolute,to:'2018-01-11T11:18:47-0700'))&amp;_a=(columns:!('Message%20ID',Summary),filters:!(),index:'emp_*',interval:auto,query:(query_string:(analyze_wildcard:!t,query:'%22rtdc.l.rtdc.4015%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752</v>
      </c>
      <c r="B56" s="225">
        <v>4064</v>
      </c>
      <c r="C56" s="227" t="s">
        <v>191</v>
      </c>
      <c r="D56" s="227" t="s">
        <v>452</v>
      </c>
      <c r="E56" s="226">
        <v>43111.372152777774</v>
      </c>
      <c r="F56" s="226">
        <v>43111.375185185185</v>
      </c>
      <c r="G56" s="225">
        <v>52</v>
      </c>
      <c r="H56" s="227" t="s">
        <v>931</v>
      </c>
      <c r="I56" s="226">
        <v>43111.399421296293</v>
      </c>
      <c r="J56" s="225">
        <v>0</v>
      </c>
      <c r="K56" s="237" t="str">
        <f>IF(ISEVEN(B56),(B56-1)&amp;"/"&amp;B56,B56&amp;"/"&amp;(B56+1))</f>
        <v>4063/4064</v>
      </c>
      <c r="L56" s="245" t="str">
        <f>VLOOKUP(A56,'Trips&amp;Operators'!$C$1:$G$99911,5,FALSE)</f>
        <v>MAELZER KURT</v>
      </c>
      <c r="M56" s="224">
        <f>I56-F56</f>
        <v>2.4236111108621117E-2</v>
      </c>
      <c r="N56" s="225">
        <f>24*60*SUM($M56:$M56)</f>
        <v>34.899999996414408</v>
      </c>
      <c r="O56" s="225"/>
      <c r="P56" s="225"/>
      <c r="Q56" s="228"/>
      <c r="R56" s="242"/>
      <c r="S56" s="249">
        <f>1/IF(AG56="EC",12,1)*SUM(U56:U56)</f>
        <v>1</v>
      </c>
      <c r="T56" s="242" t="str">
        <f>IF(ISEVEN(LEFT(AD56,4)),"Southbound","NorthBound")</f>
        <v>NorthBound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2018-01-11T07:55:54-0700',mode:absolute,to:'2018-01-11T10:35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6" s="247" t="str">
        <f>IF(AA56&lt;VLOOKUP(AG56,Variables!$AC$3:$AD$8,2,FALSE),"Y","N")</f>
        <v>N</v>
      </c>
      <c r="X56" s="247">
        <f>VALUE(LEFT(AD56,4))-VALUE(LEFT(AD55,4))</f>
        <v>1</v>
      </c>
      <c r="Y56" s="247">
        <f>RIGHT(D56,LEN(D56)-4)/10000</f>
        <v>5.0799999999999998E-2</v>
      </c>
      <c r="Z56" s="247">
        <f>RIGHT(H56,LEN(H56)-4)/10000</f>
        <v>23.331399999999999</v>
      </c>
      <c r="AA56" s="247">
        <f>ABS(Z56-Y56)</f>
        <v>23.2806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143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s3://rtdc.mdm.uploadarchive.raw/RTDC4064/ "%USERPROFILE%\AppData\Local\Temp\OnboardLogs"\RTDC4064\2018-01-11 --exclude "*" --recursive --include "*20180111*" &amp; "%USERPROFILE%\Documents\GitHub\mrs-test-scripts\Headless Mode &amp; Sideloading\WalkAndUnGZ.bat" "%USERPROFILE%\AppData\Local\Temp\OnboardLogs"\RTDC4064\2018-01-11 &amp; aws s3 cp s3://rtdc.mdm.uploadarchive.raw/RTDC4064/ "%USERPROFILE%\AppData\Local\Temp\OnboardLogs"\RTDC4064\2018-01-12 --exclude "*" --recursive --include "*20180112*" &amp; "%USERPROFILE%\Documents\GitHub\mrs-test-scripts\Headless Mode &amp; Sideloading\WalkAndUnGZ.bat" "%USERPROFILE%\AppData\Local\Temp\OnboardLogs"\RTDC4064\2018-01-12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/stypes="app*4064*20180111*" /stext=" 16:.+((SYSTEM_STATE.+slice.+state.+changed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143-11 --locoid 4064 --swversion DE.1.0.9.0 --startMP 204:508 --initTime 2018-01-11T08:55:54 --startdatetime 2018-01-11T09:00:16 --delay 52 --endMP 204:233314 --enddatetime 2018-01-11T09:35:10 --enforcementcount 0 &gt;&gt;%USERPROFILE%\Documents\GitHub\eaglep3-reporting\EC\2018-01-11-refined-times.txt</v>
      </c>
      <c r="AI56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{"issue":{"subject":"","project_id":79,"tracker_id":40,"status_id":1,"priority_id":2,"assigned_to_id":338,"start_date":"2018-01-11","description":"","custom_fields":[{"id":1,"name":"Subdivision","value":"EC"},{"id":4,"name":"Milepost","value":"23.3314"},{"id":17,"name":"Train ID","value":"143-11"},{"id":16,"name":"Locomotive ID","value":"4064"},{"id":130,"name":"Impact","value":""},{"id":150,"name":"Time of Event (Mountain Time)","value":"09:35:10"},{"id":151,"name":"Denver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4064 --day 2018-01-11</v>
      </c>
      <c r="AN56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16:35:10"},{"id":29,"name":"Sharepoint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2018-01-11T07:55:54-0700',mode:absolute,to:'2018-01-11T10:35:10-0700'))&amp;_a=(columns:!('Message%20ID',Summary),filters:!(),index:'emp_*',interval:auto,query:(query_string:(analyze_wildcard:!t,query:'%22rtdc.l.rtdc.4064%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763</v>
      </c>
      <c r="B57" s="225">
        <v>4063</v>
      </c>
      <c r="C57" s="227" t="s">
        <v>191</v>
      </c>
      <c r="D57" s="227" t="s">
        <v>932</v>
      </c>
      <c r="E57" s="226">
        <v>43111.404537037037</v>
      </c>
      <c r="F57" s="226">
        <v>43111.415000000001</v>
      </c>
      <c r="G57" s="225">
        <v>46</v>
      </c>
      <c r="H57" s="227" t="s">
        <v>933</v>
      </c>
      <c r="I57" s="226">
        <v>43111.453576388885</v>
      </c>
      <c r="J57" s="225">
        <v>0</v>
      </c>
      <c r="K57" s="237" t="str">
        <f>IF(ISEVEN(B57),(B57-1)&amp;"/"&amp;B57,B57&amp;"/"&amp;(B57+1))</f>
        <v>4063/4064</v>
      </c>
      <c r="L57" s="245" t="str">
        <f>VLOOKUP(A57,'Trips&amp;Operators'!$C$1:$G$99911,5,FALSE)</f>
        <v>MAELZER KURT</v>
      </c>
      <c r="M57" s="224">
        <f>I57-F57</f>
        <v>3.8576388884393964E-2</v>
      </c>
      <c r="N57" s="225">
        <f>24*60*SUM($M57:$M57)</f>
        <v>55.549999993527308</v>
      </c>
      <c r="O57" s="225"/>
      <c r="P57" s="225"/>
      <c r="Q57" s="228"/>
      <c r="R57" s="242" t="s">
        <v>1120</v>
      </c>
      <c r="S57" s="249">
        <f>1/IF(AG57="EC",12,1)*SUM(U57:U57)</f>
        <v>1</v>
      </c>
      <c r="T57" s="242" t="str">
        <f>IF(ISEVEN(LEFT(AD57,4)),"Southbound","NorthBound")</f>
        <v>Southbound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2018-01-11T08:42:32-0700',mode:absolute,to:'2018-01-11T11:53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23.298999999999999</v>
      </c>
      <c r="Z57" s="247">
        <f>RIGHT(H57,LEN(H57)-4)/10000</f>
        <v>0.18990000000000001</v>
      </c>
      <c r="AA57" s="247">
        <f>ABS(Z57-Y57)</f>
        <v>23.109099999999998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144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s3://rtdc.mdm.uploadarchive.raw/RTDC4063/ "%USERPROFILE%\AppData\Local\Temp\OnboardLogs"\RTDC4063\2018-01-11 --exclude "*" --recursive --include "*20180111*" &amp; "%USERPROFILE%\Documents\GitHub\mrs-test-scripts\Headless Mode &amp; Sideloading\WalkAndUnGZ.bat" "%USERPROFILE%\AppData\Local\Temp\OnboardLogs"\RTDC4063\2018-01-11 &amp; aws s3 cp s3://rtdc.mdm.uploadarchive.raw/RTDC4063/ "%USERPROFILE%\AppData\Local\Temp\OnboardLogs"\RTDC4063\2018-01-12 --exclude "*" --recursive --include "*20180112*" &amp; "%USERPROFILE%\Documents\GitHub\mrs-test-scripts\Headless Mode &amp; Sideloading\WalkAndUnGZ.bat" "%USERPROFILE%\AppData\Local\Temp\OnboardLogs"\RTDC4063\2018-01-12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/stypes="app*4063*20180111*" /stext=" 17:.+((SYSTEM_STATE.+slice.+state.+changed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144-11 --locoid 4063 --swversion DE.1.0.9.0 --startMP 204:232990 --initTime 2018-01-11T09:42:32 --startdatetime 2018-01-11T09:57:36 --delay 46 --endMP 204:1899 --enddatetime 2018-01-11T10:53:09 --enforcementcount 0 &gt;&gt;%USERPROFILE%\Documents\GitHub\eaglep3-reporting\EC\2018-01-11-refined-times.txt</v>
      </c>
      <c r="AI57" s="238" t="str">
        <f t="shared" si="6"/>
        <v>echo {"issue":{"subject":"Delay due to cascade from 147-11","project_id":79,"tracker_id":40,"status_id":1,"priority_id":2,"assigned_to_id":338,"start_date":"2018-01-11","description":"","custom_fields":[{"id":1,"name":"Subdivision","value":"EC"},{"id":4,"name":"Milepost","value":"0.1899"},{"id":17,"name":"Train ID","value":"144-11"},{"id":16,"name":"Locomotive ID","value":"4063"},{"id":130,"name":"Impact","value":""},{"id":150,"name":"Time of Event (Mountain Time)","value":"10:53:09"},{"id":151,"name":"Denver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4063 --day 2018-01-11</v>
      </c>
      <c r="AN57" s="241" t="str">
        <f t="shared" si="8"/>
        <v>echo {"issue":{"subject":"Delay due to cascade from 147-11","project_id":30,"tracker_id":4,"status_id":1,"priority_id":1,"assigned_to_id":10,"start_date":"2018-01-11","description":"","custom_fields":[{"id":30,"name":"Category","value":"Issue"},{"id":3,"name":"Functional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17:53:09"},{"id":29,"name":"Sharepoint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2018-01-11T08:42:32-0700',mode:absolute,to:'2018-01-11T11:53:09-0700'))&amp;_a=(columns:!('Message%20ID',Summary),filters:!(),index:'emp_*',interval:auto,query:(query_string:(analyze_wildcard:!t,query:'%22rtdc.l.rtdc.4063%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755</v>
      </c>
      <c r="B58" s="225">
        <v>4022</v>
      </c>
      <c r="C58" s="227" t="s">
        <v>191</v>
      </c>
      <c r="D58" s="227" t="s">
        <v>934</v>
      </c>
      <c r="E58" s="226">
        <v>43111.380324074074</v>
      </c>
      <c r="F58" s="226">
        <v>43111.385625000003</v>
      </c>
      <c r="G58" s="225">
        <v>53</v>
      </c>
      <c r="H58" s="227" t="s">
        <v>518</v>
      </c>
      <c r="I58" s="226">
        <v>43111.410810185182</v>
      </c>
      <c r="J58" s="225">
        <v>0</v>
      </c>
      <c r="K58" s="237" t="str">
        <f>IF(ISEVEN(B58),(B58-1)&amp;"/"&amp;B58,B58&amp;"/"&amp;(B58+1))</f>
        <v>4021/4022</v>
      </c>
      <c r="L58" s="245" t="str">
        <f>VLOOKUP(A58,'Trips&amp;Operators'!$C$1:$G$99911,5,FALSE)</f>
        <v>DAVIDSON DAVID</v>
      </c>
      <c r="M58" s="224">
        <f>I58-F58</f>
        <v>2.5185185178997926E-2</v>
      </c>
      <c r="N58" s="225">
        <f>24*60*SUM($M58:$M58)</f>
        <v>36.266666657757014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NorthBound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2018-01-11T08:07:40-0700',mode:absolute,to:'2018-01-11T10:51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5.1299999999999998E-2</v>
      </c>
      <c r="Z58" s="247">
        <f>RIGHT(H58,LEN(H58)-4)/10000</f>
        <v>23.326799999999999</v>
      </c>
      <c r="AA58" s="247">
        <f>ABS(Z58-Y58)</f>
        <v>23.275499999999997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145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s3://rtdc.mdm.uploadarchive.raw/RTDC4022/ "%USERPROFILE%\AppData\Local\Temp\OnboardLogs"\RTDC4022\2018-01-11 --exclude "*" --recursive --include "*20180111*" &amp; "%USERPROFILE%\Documents\GitHub\mrs-test-scripts\Headless Mode &amp; Sideloading\WalkAndUnGZ.bat" "%USERPROFILE%\AppData\Local\Temp\OnboardLogs"\RTDC4022\2018-01-11 &amp; aws s3 cp s3://rtdc.mdm.uploadarchive.raw/RTDC4022/ "%USERPROFILE%\AppData\Local\Temp\OnboardLogs"\RTDC4022\2018-01-12 --exclude "*" --recursive --include "*20180112*" &amp; "%USERPROFILE%\Documents\GitHub\mrs-test-scripts\Headless Mode &amp; Sideloading\WalkAndUnGZ.bat" "%USERPROFILE%\AppData\Local\Temp\OnboardLogs"\RTDC4022\2018-01-12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/stypes="app*4022*20180111*" /stext=" 16:.+((SYSTEM_STATE.+slice.+state.+changed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145-11 --locoid 4022 --swversion DE.1.0.9.0 --startMP 204:513 --initTime 2018-01-11T09:07:40 --startdatetime 2018-01-11T09:15:18 --delay 53 --endMP 204:233268 --enddatetime 2018-01-11T09:51:34 --enforcementcount 0 &gt;&gt;%USERPROFILE%\Documents\GitHub\eaglep3-reporting\EC\2018-01-11-refined-times.txt</v>
      </c>
      <c r="AI58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{"issue":{"subject":"","project_id":79,"tracker_id":40,"status_id":1,"priority_id":2,"assigned_to_id":338,"start_date":"2018-01-11","description":"","custom_fields":[{"id":1,"name":"Subdivision","value":"EC"},{"id":4,"name":"Milepost","value":"23.3268"},{"id":17,"name":"Train ID","value":"145-11"},{"id":16,"name":"Locomotive ID","value":"4022"},{"id":130,"name":"Impact","value":""},{"id":150,"name":"Time of Event (Mountain Time)","value":"09:51:34"},{"id":151,"name":"Denver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4022 --day 2018-01-11</v>
      </c>
      <c r="AN58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16:51:34"},{"id":29,"name":"Sharepoint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2018-01-11T08:07:40-0700',mode:absolute,to:'2018-01-11T10:51:34-0700'))&amp;_a=(columns:!('Message%20ID',Summary),filters:!(),index:'emp_*',interval:auto,query:(query_string:(analyze_wildcard:!t,query:'%22rtdc.l.rtdc.4022%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765</v>
      </c>
      <c r="B59" s="225">
        <v>4021</v>
      </c>
      <c r="C59" s="227" t="s">
        <v>191</v>
      </c>
      <c r="D59" s="227" t="s">
        <v>502</v>
      </c>
      <c r="E59" s="226">
        <v>43111.412534722222</v>
      </c>
      <c r="F59" s="226">
        <v>43111.425324074073</v>
      </c>
      <c r="G59" s="225">
        <v>62</v>
      </c>
      <c r="H59" s="227" t="s">
        <v>520</v>
      </c>
      <c r="I59" s="226">
        <v>43111.45722222222</v>
      </c>
      <c r="J59" s="225">
        <v>0</v>
      </c>
      <c r="K59" s="237" t="str">
        <f>IF(ISEVEN(B59),(B59-1)&amp;"/"&amp;B59,B59&amp;"/"&amp;(B59+1))</f>
        <v>4021/4022</v>
      </c>
      <c r="L59" s="245" t="str">
        <f>VLOOKUP(A59,'Trips&amp;Operators'!$C$1:$G$99911,5,FALSE)</f>
        <v>DAVIDSON DAVID</v>
      </c>
      <c r="M59" s="224">
        <f>I59-F59</f>
        <v>3.1898148146865424E-2</v>
      </c>
      <c r="N59" s="225">
        <f>24*60*SUM($M59:$M59)</f>
        <v>45.93333333148621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Southbound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2018-01-11T08:54:03-0700',mode:absolute,to:'2018-01-11T11:58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23.296399999999998</v>
      </c>
      <c r="Z59" s="247">
        <f>RIGHT(H59,LEN(H59)-4)/10000</f>
        <v>2.29E-2</v>
      </c>
      <c r="AA59" s="247">
        <f>ABS(Z59-Y59)</f>
        <v>23.273499999999999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146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s3://rtdc.mdm.uploadarchive.raw/RTDC4021/ "%USERPROFILE%\AppData\Local\Temp\OnboardLogs"\RTDC4021\2018-01-11 --exclude "*" --recursive --include "*20180111*" &amp; "%USERPROFILE%\Documents\GitHub\mrs-test-scripts\Headless Mode &amp; Sideloading\WalkAndUnGZ.bat" "%USERPROFILE%\AppData\Local\Temp\OnboardLogs"\RTDC4021\2018-01-11 &amp; aws s3 cp s3://rtdc.mdm.uploadarchive.raw/RTDC4021/ "%USERPROFILE%\AppData\Local\Temp\OnboardLogs"\RTDC4021\2018-01-12 --exclude "*" --recursive --include "*20180112*" &amp; "%USERPROFILE%\Documents\GitHub\mrs-test-scripts\Headless Mode &amp; Sideloading\WalkAndUnGZ.bat" "%USERPROFILE%\AppData\Local\Temp\OnboardLogs"\RTDC4021\2018-01-12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/stypes="app*4021*20180111*" /stext=" 17:.+((SYSTEM_STATE.+slice.+state.+changed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146-11 --locoid 4021 --swversion DE.1.0.9.0 --startMP 204:232964 --initTime 2018-01-11T09:54:03 --startdatetime 2018-01-11T10:12:28 --delay 62 --endMP 204:229 --enddatetime 2018-01-11T10:58:24 --enforcementcount 0 &gt;&gt;%USERPROFILE%\Documents\GitHub\eaglep3-reporting\EC\2018-01-11-refined-times.txt</v>
      </c>
      <c r="AI59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{"issue":{"subject":"","project_id":79,"tracker_id":40,"status_id":1,"priority_id":2,"assigned_to_id":338,"start_date":"2018-01-11","description":"","custom_fields":[{"id":1,"name":"Subdivision","value":"EC"},{"id":4,"name":"Milepost","value":"0.0229"},{"id":17,"name":"Train ID","value":"146-11"},{"id":16,"name":"Locomotive ID","value":"4021"},{"id":130,"name":"Impact","value":""},{"id":150,"name":"Time of Event (Mountain Time)","value":"10:58:24"},{"id":151,"name":"Denver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4021 --day 2018-01-11</v>
      </c>
      <c r="AN59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17:58:24"},{"id":29,"name":"Sharepoint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2018-01-11T08:54:03-0700',mode:absolute,to:'2018-01-11T11:58:24-0700'))&amp;_a=(columns:!('Message%20ID',Summary),filters:!(),index:'emp_*',interval:auto,query:(query_string:(analyze_wildcard:!t,query:'%22rtdc.l.rtdc.4021%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756</v>
      </c>
      <c r="B60" s="225">
        <v>4056</v>
      </c>
      <c r="C60" s="227" t="s">
        <v>191</v>
      </c>
      <c r="D60" s="227" t="s">
        <v>500</v>
      </c>
      <c r="E60" s="226">
        <v>43111.390381944446</v>
      </c>
      <c r="F60" s="226">
        <v>43111.396018518521</v>
      </c>
      <c r="G60" s="225">
        <v>77</v>
      </c>
      <c r="H60" s="227" t="s">
        <v>935</v>
      </c>
      <c r="I60" s="226">
        <v>43111.419895833336</v>
      </c>
      <c r="J60" s="225">
        <v>0</v>
      </c>
      <c r="K60" s="237" t="str">
        <f>IF(ISEVEN(B60),(B60-1)&amp;"/"&amp;B60,B60&amp;"/"&amp;(B60+1))</f>
        <v>4055/4056</v>
      </c>
      <c r="L60" s="245" t="str">
        <f>VLOOKUP(A60,'Trips&amp;Operators'!$C$1:$G$99911,5,FALSE)</f>
        <v>BONDS REYNALDO</v>
      </c>
      <c r="M60" s="224">
        <f>I60-F60</f>
        <v>2.3877314815763384E-2</v>
      </c>
      <c r="N60" s="225"/>
      <c r="O60" s="225"/>
      <c r="P60" s="225">
        <f>24*60*SUM($M60:$M60)</f>
        <v>34.383333334699273</v>
      </c>
      <c r="Q60" s="228"/>
      <c r="R60" s="242" t="s">
        <v>1119</v>
      </c>
      <c r="S60" s="249">
        <f>1/IF(AG60="EC",12,1)*SUM(U60:U60)</f>
        <v>1</v>
      </c>
      <c r="T60" s="242" t="str">
        <f>IF(ISEVEN(LEFT(AD60,4)),"Southbound","NorthBound")</f>
        <v>NorthBound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2018-01-11T08:22:09-0700',mode:absolute,to:'2018-01-11T11:04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0" s="247" t="str">
        <f>IF(AA60&lt;VLOOKUP(AG60,Variables!$AC$3:$AD$8,2,FALSE),"Y","N")</f>
        <v>Y</v>
      </c>
      <c r="X60" s="247">
        <f>VALUE(LEFT(AD60,4))-VALUE(LEFT(AD59,4))</f>
        <v>1</v>
      </c>
      <c r="Y60" s="247">
        <f>RIGHT(D60,LEN(D60)-4)/10000</f>
        <v>5.0599999999999999E-2</v>
      </c>
      <c r="Z60" s="247">
        <f>RIGHT(H60,LEN(H60)-4)/10000</f>
        <v>16.706</v>
      </c>
      <c r="AA60" s="247">
        <f>ABS(Z60-Y60)</f>
        <v>16.6554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147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/stypes="app*4056*20180111*" /stext=" 17:.+((SYSTEM_STATE.+slice.+state.+changed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147-11 --locoid 4056 --swversion DE.1.0.9.0 --startMP 204:506 --initTime 2018-01-11T09:22:09 --startdatetime 2018-01-11T09:30:16 --delay 77 --endMP 204:167060 --enddatetime 2018-01-11T10:04:39 --enforcementcount 0 &gt;&gt;%USERPROFILE%\Documents\GitHub\eaglep3-reporting\EC\2018-01-11-refined-times.txt</v>
      </c>
      <c r="AI60" s="238" t="str">
        <f t="shared" si="6"/>
        <v>echo {"issue":{"subject":"DTO efficiency testing at CP 61st Ave","project_id":79,"tracker_id":40,"status_id":1,"priority_id":2,"assigned_to_id":338,"start_date":"2018-01-11","description":"","custom_fields":[{"id":1,"name":"Subdivision","value":"EC"},{"id":4,"name":"Milepost","value":"16.706"},{"id":17,"name":"Train ID","value":"147-11"},{"id":16,"name":"Locomotive ID","value":"4056"},{"id":130,"name":"Impact","value":""},{"id":150,"name":"Time of Event (Mountain Time)","value":"10:04:39"},{"id":151,"name":"Denver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4056 --day 2018-01-11</v>
      </c>
      <c r="AN60" s="241" t="str">
        <f t="shared" si="8"/>
        <v>echo {"issue":{"subject":"DTO efficiency testing at CP 61st Ave","project_id":30,"tracker_id":4,"status_id":1,"priority_id":1,"assigned_to_id":10,"start_date":"2018-01-11","description":"","custom_fields":[{"id":30,"name":"Category","value":"Issue"},{"id":3,"name":"Functional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17:04:39"},{"id":29,"name":"Sharepoint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2018-01-11T08:22:09-0700',mode:absolute,to:'2018-01-11T11:04:39-0700'))&amp;_a=(columns:!('Message%20ID',Summary),filters:!(),index:'emp_*',interval:auto,query:(query_string:(analyze_wildcard:!t,query:'%22rtdc.l.rtdc.4056%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772</v>
      </c>
      <c r="B61" s="225">
        <v>4055</v>
      </c>
      <c r="C61" s="227" t="s">
        <v>191</v>
      </c>
      <c r="D61" s="227" t="s">
        <v>517</v>
      </c>
      <c r="E61" s="226">
        <v>43111.433425925927</v>
      </c>
      <c r="F61" s="226">
        <v>43111.437696759262</v>
      </c>
      <c r="G61" s="225">
        <v>71</v>
      </c>
      <c r="H61" s="227" t="s">
        <v>553</v>
      </c>
      <c r="I61" s="226">
        <v>43111.46497685185</v>
      </c>
      <c r="J61" s="225">
        <v>0</v>
      </c>
      <c r="K61" s="237" t="str">
        <f>IF(ISEVEN(B61),(B61-1)&amp;"/"&amp;B61,B61&amp;"/"&amp;(B61+1))</f>
        <v>4055/4056</v>
      </c>
      <c r="L61" s="245" t="str">
        <f>VLOOKUP(A61,'Trips&amp;Operators'!$C$1:$G$99911,5,FALSE)</f>
        <v>BONDS REYNALDO</v>
      </c>
      <c r="M61" s="224">
        <f>I61-F61</f>
        <v>2.7280092588625848E-2</v>
      </c>
      <c r="N61" s="225">
        <f>24*60*SUM($M61:$M61)</f>
        <v>39.283333327621222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Southbound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2018-01-11T09:24:08-0700',mode:absolute,to:'2018-01-11T12:09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23.295500000000001</v>
      </c>
      <c r="Z61" s="247">
        <f>RIGHT(H61,LEN(H61)-4)/10000</f>
        <v>2.4199999999999999E-2</v>
      </c>
      <c r="AA61" s="247">
        <f>ABS(Z61-Y61)</f>
        <v>23.2713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148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 &amp; 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/stypes="app*4055*20180111*" /stext=" 18:.+((SYSTEM_STATE.+slice.+state.+changed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148-11 --locoid 4055 --swversion DE.1.0.9.0 --startMP 204:232955 --initTime 2018-01-11T10:24:08 --startdatetime 2018-01-11T10:30:17 --delay 71 --endMP 204:242 --enddatetime 2018-01-11T11:09:34 --enforcementcount 0 &gt;&gt;%USERPROFILE%\Documents\GitHub\eaglep3-reporting\EC\2018-01-11-refined-times.txt</v>
      </c>
      <c r="AI61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{"issue":{"subject":"","project_id":79,"tracker_id":40,"status_id":1,"priority_id":2,"assigned_to_id":338,"start_date":"2018-01-11","description":"","custom_fields":[{"id":1,"name":"Subdivision","value":"EC"},{"id":4,"name":"Milepost","value":"0.0242"},{"id":17,"name":"Train ID","value":"148-11"},{"id":16,"name":"Locomotive ID","value":"4055"},{"id":130,"name":"Impact","value":""},{"id":150,"name":"Time of Event (Mountain Time)","value":"11:09:34"},{"id":151,"name":"Denver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4055 --day 2018-01-11</v>
      </c>
      <c r="AN61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18:09:34"},{"id":29,"name":"Sharepoint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2018-01-11T09:24:08-0700',mode:absolute,to:'2018-01-11T12:09:34-0700'))&amp;_a=(columns:!('Message%20ID',Summary),filters:!(),index:'emp_*',interval:auto,query:(query_string:(analyze_wildcard:!t,query:'%22rtdc.l.rtdc.4055%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762</v>
      </c>
      <c r="B62" s="225">
        <v>4012</v>
      </c>
      <c r="C62" s="227" t="s">
        <v>191</v>
      </c>
      <c r="D62" s="227" t="s">
        <v>613</v>
      </c>
      <c r="E62" s="226">
        <v>43111.401064814818</v>
      </c>
      <c r="F62" s="226">
        <v>43111.406435185185</v>
      </c>
      <c r="G62" s="225">
        <v>58</v>
      </c>
      <c r="H62" s="227" t="s">
        <v>923</v>
      </c>
      <c r="I62" s="226">
        <v>43111.437523148146</v>
      </c>
      <c r="J62" s="225">
        <v>0</v>
      </c>
      <c r="K62" s="237" t="str">
        <f>IF(ISEVEN(B62),(B62-1)&amp;"/"&amp;B62,B62&amp;"/"&amp;(B62+1))</f>
        <v>4011/4012</v>
      </c>
      <c r="L62" s="245" t="str">
        <f>VLOOKUP(A62,'Trips&amp;Operators'!$C$1:$G$99911,5,FALSE)</f>
        <v>GEBRETEKLE DAGNEW</v>
      </c>
      <c r="M62" s="224">
        <f>I62-F62</f>
        <v>3.1087962961464655E-2</v>
      </c>
      <c r="N62" s="225">
        <f>24*60*SUM($M62:$M62)</f>
        <v>44.766666664509103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NorthBound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2018-01-11T08:37:32-0700',mode:absolute,to:'2018-01-11T11:30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4.58E-2</v>
      </c>
      <c r="Z62" s="247">
        <f>RIGHT(H62,LEN(H62)-4)/10000</f>
        <v>23.3308</v>
      </c>
      <c r="AA62" s="247">
        <f>ABS(Z62-Y62)</f>
        <v>23.285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149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 &amp; aws s3 cp s3://rtdc.mdm.uploadarchive.raw/RTDC4012/ "%USERPROFILE%\AppData\Local\Temp\OnboardLogs"\RTDC4012\2018-01-12 --exclude "*" --recursive --include "*20180112*" &amp; "%USERPROFILE%\Documents\GitHub\mrs-test-scripts\Headless Mode &amp; Sideloading\WalkAndUnGZ.bat" "%USERPROFILE%\AppData\Local\Temp\OnboardLogs"\RTDC4012\2018-01-12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/stypes="app*4012*20180111*" /stext=" 17:.+((SYSTEM_STATE.+slice.+state.+changed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149-11 --locoid 4012 --swversion DE.1.0.9.0 --startMP 204:458 --initTime 2018-01-11T09:37:32 --startdatetime 2018-01-11T09:45:16 --delay 58 --endMP 204:233308 --enddatetime 2018-01-11T10:30:02 --enforcementcount 0 &gt;&gt;%USERPROFILE%\Documents\GitHub\eaglep3-reporting\EC\2018-01-11-refined-times.txt</v>
      </c>
      <c r="AI62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{"issue":{"subject":"","project_id":79,"tracker_id":40,"status_id":1,"priority_id":2,"assigned_to_id":338,"start_date":"2018-01-11","description":"","custom_fields":[{"id":1,"name":"Subdivision","value":"EC"},{"id":4,"name":"Milepost","value":"23.3308"},{"id":17,"name":"Train ID","value":"149-11"},{"id":16,"name":"Locomotive ID","value":"4012"},{"id":130,"name":"Impact","value":""},{"id":150,"name":"Time of Event (Mountain Time)","value":"10:30:02"},{"id":151,"name":"Denver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4012 --day 2018-01-11</v>
      </c>
      <c r="AN62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17:30:02"},{"id":29,"name":"Sharepoint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2018-01-11T08:37:32-0700',mode:absolute,to:'2018-01-11T11:30:02-0700'))&amp;_a=(columns:!('Message%20ID',Summary),filters:!(),index:'emp_*',interval:auto,query:(query_string:(analyze_wildcard:!t,query:'%22rtdc.l.rtdc.4012%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774</v>
      </c>
      <c r="B63" s="225">
        <v>4011</v>
      </c>
      <c r="C63" s="227" t="s">
        <v>191</v>
      </c>
      <c r="D63" s="227" t="s">
        <v>906</v>
      </c>
      <c r="E63" s="226">
        <v>43111.441516203704</v>
      </c>
      <c r="F63" s="226">
        <v>43111.446018518516</v>
      </c>
      <c r="G63" s="225">
        <v>52</v>
      </c>
      <c r="H63" s="227" t="s">
        <v>936</v>
      </c>
      <c r="I63" s="226">
        <v>43111.473020833335</v>
      </c>
      <c r="J63" s="225">
        <v>0</v>
      </c>
      <c r="K63" s="237" t="str">
        <f>IF(ISEVEN(B63),(B63-1)&amp;"/"&amp;B63,B63&amp;"/"&amp;(B63+1))</f>
        <v>4011/4012</v>
      </c>
      <c r="L63" s="245" t="str">
        <f>VLOOKUP(A63,'Trips&amp;Operators'!$C$1:$G$99911,5,FALSE)</f>
        <v>GEBRETEKLE DAGNEW</v>
      </c>
      <c r="M63" s="224">
        <f>I63-F63</f>
        <v>2.7002314818673767E-2</v>
      </c>
      <c r="N63" s="225">
        <f>24*60*SUM($M63:$M63)</f>
        <v>38.883333338890225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Southbound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2018-01-11T09:35:47-0700',mode:absolute,to:'2018-01-11T12:21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23.297599999999999</v>
      </c>
      <c r="Z63" s="247">
        <f>RIGHT(H63,LEN(H63)-4)/10000</f>
        <v>1.43E-2</v>
      </c>
      <c r="AA63" s="247">
        <f>ABS(Z63-Y63)</f>
        <v>23.283300000000001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150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 &amp; aws s3 cp s3://rtdc.mdm.uploadarchive.raw/RTDC4011/ "%USERPROFILE%\AppData\Local\Temp\OnboardLogs"\RTDC4011\2018-01-12 --exclude "*" --recursive --include "*20180112*" &amp; "%USERPROFILE%\Documents\GitHub\mrs-test-scripts\Headless Mode &amp; Sideloading\WalkAndUnGZ.bat" "%USERPROFILE%\AppData\Local\Temp\OnboardLogs"\RTDC4011\2018-01-12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/stypes="app*4011*20180111*" /stext=" 18:.+((SYSTEM_STATE.+slice.+state.+changed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150-11 --locoid 4011 --swversion DE.1.0.9.0 --startMP 204:232976 --initTime 2018-01-11T10:35:47 --startdatetime 2018-01-11T10:42:16 --delay 52 --endMP 204:143 --enddatetime 2018-01-11T11:21:09 --enforcementcount 0 &gt;&gt;%USERPROFILE%\Documents\GitHub\eaglep3-reporting\EC\2018-01-11-refined-times.txt</v>
      </c>
      <c r="AI63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{"issue":{"subject":"","project_id":79,"tracker_id":40,"status_id":1,"priority_id":2,"assigned_to_id":338,"start_date":"2018-01-11","description":"","custom_fields":[{"id":1,"name":"Subdivision","value":"EC"},{"id":4,"name":"Milepost","value":"0.0143"},{"id":17,"name":"Train ID","value":"150-11"},{"id":16,"name":"Locomotive ID","value":"4011"},{"id":130,"name":"Impact","value":""},{"id":150,"name":"Time of Event (Mountain Time)","value":"11:21:09"},{"id":151,"name":"Denver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4011 --day 2018-01-11</v>
      </c>
      <c r="AN63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18:21:09"},{"id":29,"name":"Sharepoint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2018-01-11T09:35:47-0700',mode:absolute,to:'2018-01-11T12:21:09-0700'))&amp;_a=(columns:!('Message%20ID',Summary),filters:!(),index:'emp_*',interval:auto,query:(query_string:(analyze_wildcard:!t,query:'%22rtdc.l.rtdc.4011%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764</v>
      </c>
      <c r="B64" s="225">
        <v>4042</v>
      </c>
      <c r="C64" s="227" t="s">
        <v>191</v>
      </c>
      <c r="D64" s="227" t="s">
        <v>586</v>
      </c>
      <c r="E64" s="226">
        <v>43111.410752314812</v>
      </c>
      <c r="F64" s="226">
        <v>43111.41684027778</v>
      </c>
      <c r="G64" s="225">
        <v>88</v>
      </c>
      <c r="H64" s="227" t="s">
        <v>624</v>
      </c>
      <c r="I64" s="226">
        <v>43111.44390046296</v>
      </c>
      <c r="J64" s="225">
        <v>0</v>
      </c>
      <c r="K64" s="237" t="str">
        <f>IF(ISEVEN(B64),(B64-1)&amp;"/"&amp;B64,B64&amp;"/"&amp;(B64+1))</f>
        <v>4041/4042</v>
      </c>
      <c r="L64" s="245" t="str">
        <f>VLOOKUP(A64,'Trips&amp;Operators'!$C$1:$G$99911,5,FALSE)</f>
        <v>WILLIAMS DONTE</v>
      </c>
      <c r="M64" s="224">
        <f>I64-F64</f>
        <v>2.7060185180744156E-2</v>
      </c>
      <c r="N64" s="225">
        <f>24*60*SUM($M64:$M64)</f>
        <v>38.966666660271585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NorthBound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2018-01-11T08:51:29-0700',mode:absolute,to:'2018-01-11T11:39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5.1900000000000002E-2</v>
      </c>
      <c r="Z64" s="247">
        <f>RIGHT(H64,LEN(H64)-4)/10000</f>
        <v>23.324300000000001</v>
      </c>
      <c r="AA64" s="247">
        <f>ABS(Z64-Y64)</f>
        <v>23.272400000000001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151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s3://rtdc.mdm.uploadarchive.raw/RTDC4042/ "%USERPROFILE%\AppData\Local\Temp\OnboardLogs"\RTDC4042\2018-01-11 --exclude "*" --recursive --include "*20180111*" &amp; "%USERPROFILE%\Documents\GitHub\mrs-test-scripts\Headless Mode &amp; Sideloading\WalkAndUnGZ.bat" "%USERPROFILE%\AppData\Local\Temp\OnboardLogs"\RTDC4042\2018-01-11 &amp; aws s3 cp s3://rtdc.mdm.uploadarchive.raw/RTDC4042/ "%USERPROFILE%\AppData\Local\Temp\OnboardLogs"\RTDC4042\2018-01-12 --exclude "*" --recursive --include "*20180112*" &amp; "%USERPROFILE%\Documents\GitHub\mrs-test-scripts\Headless Mode &amp; Sideloading\WalkAndUnGZ.bat" "%USERPROFILE%\AppData\Local\Temp\OnboardLogs"\RTDC4042\2018-01-12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/stypes="app*4042*20180111*" /stext=" 17:.+((SYSTEM_STATE.+slice.+state.+changed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151-11 --locoid 4042 --swversion DE.1.0.9.0 --startMP 204:519 --initTime 2018-01-11T09:51:29 --startdatetime 2018-01-11T10:00:15 --delay 88 --endMP 204:233243 --enddatetime 2018-01-11T10:39:13 --enforcementcount 0 &gt;&gt;%USERPROFILE%\Documents\GitHub\eaglep3-reporting\EC\2018-01-11-refined-times.txt</v>
      </c>
      <c r="AI64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{"issue":{"subject":"","project_id":79,"tracker_id":40,"status_id":1,"priority_id":2,"assigned_to_id":338,"start_date":"2018-01-11","description":"","custom_fields":[{"id":1,"name":"Subdivision","value":"EC"},{"id":4,"name":"Milepost","value":"23.3243"},{"id":17,"name":"Train ID","value":"151-11"},{"id":16,"name":"Locomotive ID","value":"4042"},{"id":130,"name":"Impact","value":""},{"id":150,"name":"Time of Event (Mountain Time)","value":"10:39:13"},{"id":151,"name":"Denver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4042 --day 2018-01-11</v>
      </c>
      <c r="AN64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17:39:13"},{"id":29,"name":"Sharepoint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2018-01-11T08:51:29-0700',mode:absolute,to:'2018-01-11T11:39:13-0700'))&amp;_a=(columns:!('Message%20ID',Summary),filters:!(),index:'emp_*',interval:auto,query:(query_string:(analyze_wildcard:!t,query:'%22rtdc.l.rtdc.4042%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659</v>
      </c>
      <c r="B65" s="225">
        <v>4041</v>
      </c>
      <c r="C65" s="227" t="s">
        <v>191</v>
      </c>
      <c r="D65" s="227" t="s">
        <v>937</v>
      </c>
      <c r="E65" s="226">
        <v>43111.453379629631</v>
      </c>
      <c r="F65" s="226">
        <v>43111.456435185188</v>
      </c>
      <c r="G65" s="225">
        <v>70</v>
      </c>
      <c r="H65" s="227" t="s">
        <v>525</v>
      </c>
      <c r="I65" s="226">
        <v>43111.4843287037</v>
      </c>
      <c r="J65" s="225">
        <v>0</v>
      </c>
      <c r="K65" s="237" t="str">
        <f>IF(ISEVEN(B65),(B65-1)&amp;"/"&amp;B65,B65&amp;"/"&amp;(B65+1))</f>
        <v>4041/4042</v>
      </c>
      <c r="L65" s="245" t="str">
        <f>VLOOKUP(A65,'Trips&amp;Operators'!$C$1:$G$99911,5,FALSE)</f>
        <v>WILLIAMS DONTE</v>
      </c>
      <c r="M65" s="224">
        <f>I65-F65</f>
        <v>2.7893518512428273E-2</v>
      </c>
      <c r="N65" s="225">
        <f>24*60*SUM($M65:$M65)</f>
        <v>40.166666657896712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Southbound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2018-01-11T09:52:52-0700',mode:absolute,to:'2018-01-11T12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23.2911</v>
      </c>
      <c r="Z65" s="247">
        <f>RIGHT(H65,LEN(H65)-4)/10000</f>
        <v>1.6500000000000001E-2</v>
      </c>
      <c r="AA65" s="247">
        <f>ABS(Z65-Y65)</f>
        <v>23.2746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152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/stypes="app*4041*20180111*" /stext=" 18:.+((SYSTEM_STATE.+slice.+state.+changed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152-11 --locoid 4041 --swversion DE.1.0.9.0 --startMP 204:232911 --initTime 2018-01-11T10:52:52 --startdatetime 2018-01-11T10:57:16 --delay 70 --endMP 204:165 --enddatetime 2018-01-11T11:37:26 --enforcementcount 0 &gt;&gt;%USERPROFILE%\Documents\GitHub\eaglep3-reporting\EC\2018-01-11-refined-times.txt</v>
      </c>
      <c r="AI65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{"issue":{"subject":"","project_id":79,"tracker_id":40,"status_id":1,"priority_id":2,"assigned_to_id":338,"start_date":"2018-01-11","description":"","custom_fields":[{"id":1,"name":"Subdivision","value":"EC"},{"id":4,"name":"Milepost","value":"0.0165"},{"id":17,"name":"Train ID","value":"152-11"},{"id":16,"name":"Locomotive ID","value":"4041"},{"id":130,"name":"Impact","value":""},{"id":150,"name":"Time of Event (Mountain Time)","value":"11:37:26"},{"id":151,"name":"Denver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4041 --day 2018-01-11</v>
      </c>
      <c r="AN65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18:37:26"},{"id":29,"name":"Sharepoint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2018-01-11T09:52:52-0700',mode:absolute,to:'2018-01-11T12:37:26-0700'))&amp;_a=(columns:!('Message%20ID',Summary),filters:!(),index:'emp_*',interval:auto,query:(query_string:(analyze_wildcard:!t,query:'%22rtdc.l.rtdc.4041%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767</v>
      </c>
      <c r="B66" s="225">
        <v>4034</v>
      </c>
      <c r="C66" s="227" t="s">
        <v>191</v>
      </c>
      <c r="D66" s="227" t="s">
        <v>907</v>
      </c>
      <c r="E66" s="226">
        <v>43111.419236111113</v>
      </c>
      <c r="F66" s="226">
        <v>43111.427372685182</v>
      </c>
      <c r="G66" s="225">
        <v>59</v>
      </c>
      <c r="H66" s="227" t="s">
        <v>938</v>
      </c>
      <c r="I66" s="226">
        <v>43111.454363425924</v>
      </c>
      <c r="J66" s="225">
        <v>0</v>
      </c>
      <c r="K66" s="237" t="str">
        <f>IF(ISEVEN(B66),(B66-1)&amp;"/"&amp;B66,B66&amp;"/"&amp;(B66+1))</f>
        <v>4033/4034</v>
      </c>
      <c r="L66" s="245" t="str">
        <f>VLOOKUP(A66,'Trips&amp;Operators'!$C$1:$G$99911,5,FALSE)</f>
        <v>LOPES KIMBERLY</v>
      </c>
      <c r="M66" s="224">
        <f>I66-F66</f>
        <v>2.6990740741894115E-2</v>
      </c>
      <c r="N66" s="225">
        <f>24*60*SUM($M66:$M66)</f>
        <v>38.866666668327525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NorthBound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2018-01-11T09:03:42-0700',mode:absolute,to:'2018-01-11T11:54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4.7100000000000003E-2</v>
      </c>
      <c r="Z66" s="247">
        <f>RIGHT(H66,LEN(H66)-4)/10000</f>
        <v>23.320799999999998</v>
      </c>
      <c r="AA66" s="247">
        <f>ABS(Z66-Y66)</f>
        <v>23.273699999999998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153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/stypes="app*4034*20180111*" /stext=" 17:.+((SYSTEM_STATE.+slice.+state.+changed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153-11 --locoid 4034 --swversion DE.1.0.9.0 --startMP 204:471 --initTime 2018-01-11T10:03:42 --startdatetime 2018-01-11T10:15:25 --delay 59 --endMP 204:233208 --enddatetime 2018-01-11T10:54:17 --enforcementcount 0 &gt;&gt;%USERPROFILE%\Documents\GitHub\eaglep3-reporting\EC\2018-01-11-refined-times.txt</v>
      </c>
      <c r="AI66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{"issue":{"subject":"","project_id":79,"tracker_id":40,"status_id":1,"priority_id":2,"assigned_to_id":338,"start_date":"2018-01-11","description":"","custom_fields":[{"id":1,"name":"Subdivision","value":"EC"},{"id":4,"name":"Milepost","value":"23.3208"},{"id":17,"name":"Train ID","value":"153-11"},{"id":16,"name":"Locomotive ID","value":"4034"},{"id":130,"name":"Impact","value":""},{"id":150,"name":"Time of Event (Mountain Time)","value":"10:54:17"},{"id":151,"name":"Denver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4034 --day 2018-01-11</v>
      </c>
      <c r="AN66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17:54:17"},{"id":29,"name":"Sharepoint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2018-01-11T09:03:42-0700',mode:absolute,to:'2018-01-11T11:54:17-0700'))&amp;_a=(columns:!('Message%20ID',Summary),filters:!(),index:'emp_*',interval:auto,query:(query_string:(analyze_wildcard:!t,query:'%22rtdc.l.rtdc.4034%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776</v>
      </c>
      <c r="B67" s="225">
        <v>4033</v>
      </c>
      <c r="C67" s="227" t="s">
        <v>191</v>
      </c>
      <c r="D67" s="227" t="s">
        <v>939</v>
      </c>
      <c r="E67" s="226">
        <v>43111.45616898148</v>
      </c>
      <c r="F67" s="226">
        <v>43111.466863425929</v>
      </c>
      <c r="G67" s="225">
        <v>80</v>
      </c>
      <c r="H67" s="227" t="s">
        <v>443</v>
      </c>
      <c r="I67" s="226">
        <v>43111.494027777779</v>
      </c>
      <c r="J67" s="225">
        <v>0</v>
      </c>
      <c r="K67" s="237" t="str">
        <f>IF(ISEVEN(B67),(B67-1)&amp;"/"&amp;B67,B67&amp;"/"&amp;(B67+1))</f>
        <v>4033/4034</v>
      </c>
      <c r="L67" s="245" t="str">
        <f>VLOOKUP(A67,'Trips&amp;Operators'!$C$1:$G$99911,5,FALSE)</f>
        <v>LOPES KIMBERLY</v>
      </c>
      <c r="M67" s="224">
        <f>I67-F67</f>
        <v>2.7164351849933155E-2</v>
      </c>
      <c r="N67" s="225">
        <f>24*60*SUM($M67:$M67)</f>
        <v>39.116666663903743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Southbound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2018-01-11T09:56:53-0700',mode:absolute,to:'2018-01-11T12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23.290400000000002</v>
      </c>
      <c r="Z67" s="247">
        <f>RIGHT(H67,LEN(H67)-4)/10000</f>
        <v>2.0500000000000001E-2</v>
      </c>
      <c r="AA67" s="247">
        <f>ABS(Z67-Y67)</f>
        <v>23.269900000000003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154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s3://rtdc.mdm.uploadarchive.raw/RTDC4033/ "%USERPROFILE%\AppData\Local\Temp\OnboardLogs"\RTDC4033\2018-01-11 --exclude "*" --recursive --include "*20180111*" &amp; "%USERPROFILE%\Documents\GitHub\mrs-test-scripts\Headless Mode &amp; Sideloading\WalkAndUnGZ.bat" "%USERPROFILE%\AppData\Local\Temp\OnboardLogs"\RTDC4033\2018-01-11 &amp; aws s3 cp s3://rtdc.mdm.uploadarchive.raw/RTDC4033/ "%USERPROFILE%\AppData\Local\Temp\OnboardLogs"\RTDC4033\2018-01-12 --exclude "*" --recursive --include "*20180112*" &amp; "%USERPROFILE%\Documents\GitHub\mrs-test-scripts\Headless Mode &amp; Sideloading\WalkAndUnGZ.bat" "%USERPROFILE%\AppData\Local\Temp\OnboardLogs"\RTDC4033\2018-01-12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/stypes="app*4033*20180111*" /stext=" 18:.+((SYSTEM_STATE.+slice.+state.+changed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154-11 --locoid 4033 --swversion DE.1.0.9.0 --startMP 204:232904 --initTime 2018-01-11T10:56:53 --startdatetime 2018-01-11T11:12:17 --delay 80 --endMP 204:205 --enddatetime 2018-01-11T11:51:24 --enforcementcount 0 &gt;&gt;%USERPROFILE%\Documents\GitHub\eaglep3-reporting\EC\2018-01-11-refined-times.txt</v>
      </c>
      <c r="AI67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{"issue":{"subject":"","project_id":79,"tracker_id":40,"status_id":1,"priority_id":2,"assigned_to_id":338,"start_date":"2018-01-11","description":"","custom_fields":[{"id":1,"name":"Subdivision","value":"EC"},{"id":4,"name":"Milepost","value":"0.0205"},{"id":17,"name":"Train ID","value":"154-11"},{"id":16,"name":"Locomotive ID","value":"4033"},{"id":130,"name":"Impact","value":""},{"id":150,"name":"Time of Event (Mountain Time)","value":"11:51:24"},{"id":151,"name":"Denver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4033 --day 2018-01-11</v>
      </c>
      <c r="AN67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18:51:24"},{"id":29,"name":"Sharepoint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2018-01-11T09:56:53-0700',mode:absolute,to:'2018-01-11T12:51:24-0700'))&amp;_a=(columns:!('Message%20ID',Summary),filters:!(),index:'emp_*',interval:auto,query:(query_string:(analyze_wildcard:!t,query:'%22rtdc.l.rtdc.4033%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771</v>
      </c>
      <c r="B68" s="225">
        <v>4016</v>
      </c>
      <c r="C68" s="227" t="s">
        <v>191</v>
      </c>
      <c r="D68" s="227" t="s">
        <v>465</v>
      </c>
      <c r="E68" s="226">
        <v>43111.430833333332</v>
      </c>
      <c r="F68" s="226">
        <v>43111.437928240739</v>
      </c>
      <c r="G68" s="225">
        <v>42</v>
      </c>
      <c r="H68" s="227" t="s">
        <v>615</v>
      </c>
      <c r="I68" s="226">
        <v>43111.46261574074</v>
      </c>
      <c r="J68" s="225">
        <v>0</v>
      </c>
      <c r="K68" s="237" t="str">
        <f>IF(ISEVEN(B68),(B68-1)&amp;"/"&amp;B68,B68&amp;"/"&amp;(B68+1))</f>
        <v>4015/4016</v>
      </c>
      <c r="L68" s="245" t="str">
        <f>VLOOKUP(A68,'Trips&amp;Operators'!$C$1:$G$99911,5,FALSE)</f>
        <v>YANAI IAN</v>
      </c>
      <c r="M68" s="224">
        <f>I68-F68</f>
        <v>2.4687500001164153E-2</v>
      </c>
      <c r="N68" s="225">
        <f>24*60*SUM($M68:$M68)</f>
        <v>35.550000001676381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NorthBound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2018-01-11T09:20:24-0700',mode:absolute,to:'2018-01-11T12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5.33E-2</v>
      </c>
      <c r="Z68" s="247">
        <f>RIGHT(H68,LEN(H68)-4)/10000</f>
        <v>23.330100000000002</v>
      </c>
      <c r="AA68" s="247">
        <f>ABS(Z68-Y68)</f>
        <v>23.276800000000001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155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s3://rtdc.mdm.uploadarchive.raw/RTDC4016/ "%USERPROFILE%\AppData\Local\Temp\OnboardLogs"\RTDC4016\2018-01-11 --exclude "*" --recursive --include "*20180111*" &amp; "%USERPROFILE%\Documents\GitHub\mrs-test-scripts\Headless Mode &amp; Sideloading\WalkAndUnGZ.bat" "%USERPROFILE%\AppData\Local\Temp\OnboardLogs"\RTDC4016\2018-01-11 &amp; 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/stypes="app*4016*20180111*"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155-11 --locoid 4016 --swversion DE.1.0.9.0 --startMP 204:533 --initTime 2018-01-11T10:20:24 --startdatetime 2018-01-11T10:30:37 --delay 42 --endMP 204:233301 --enddatetime 2018-01-11T11:06:10 --enforcementcount 0 &gt;&gt;%USERPROFILE%\Documents\GitHub\eaglep3-reporting\EC\2018-01-11-refined-times.txt</v>
      </c>
      <c r="AI68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{"issue":{"subject":"","project_id":79,"tracker_id":40,"status_id":1,"priority_id":2,"assigned_to_id":338,"start_date":"2018-01-11","description":"","custom_fields":[{"id":1,"name":"Subdivision","value":"EC"},{"id":4,"name":"Milepost","value":"23.3301"},{"id":17,"name":"Train ID","value":"155-11"},{"id":16,"name":"Locomotive ID","value":"4016"},{"id":130,"name":"Impact","value":""},{"id":150,"name":"Time of Event (Mountain Time)","value":"11:06:10"},{"id":151,"name":"Denver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4016 --day 2018-01-11</v>
      </c>
      <c r="AN68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18:06:10"},{"id":29,"name":"Sharepoint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2018-01-11T09:20:24-0700',mode:absolute,to:'2018-01-11T12:06:10-0700'))&amp;_a=(columns:!('Message%20ID',Summary),filters:!(),index:'emp_*',interval:auto,query:(query_string:(analyze_wildcard:!t,query:'%22rtdc.l.rtdc.4016%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778</v>
      </c>
      <c r="B69" s="225">
        <v>4015</v>
      </c>
      <c r="C69" s="227" t="s">
        <v>191</v>
      </c>
      <c r="D69" s="227" t="s">
        <v>616</v>
      </c>
      <c r="E69" s="226">
        <v>43111.465462962966</v>
      </c>
      <c r="F69" s="226">
        <v>43111.477233796293</v>
      </c>
      <c r="G69" s="225">
        <v>74</v>
      </c>
      <c r="H69" s="227" t="s">
        <v>940</v>
      </c>
      <c r="I69" s="226">
        <v>43111.503344907411</v>
      </c>
      <c r="J69" s="225">
        <v>0</v>
      </c>
      <c r="K69" s="237" t="str">
        <f>IF(ISEVEN(B69),(B69-1)&amp;"/"&amp;B69,B69&amp;"/"&amp;(B69+1))</f>
        <v>4015/4016</v>
      </c>
      <c r="L69" s="245" t="str">
        <f>VLOOKUP(A69,'Trips&amp;Operators'!$C$1:$G$99911,5,FALSE)</f>
        <v>YANAI IAN</v>
      </c>
      <c r="M69" s="224">
        <f>I69-F69</f>
        <v>2.6111111117643304E-2</v>
      </c>
      <c r="N69" s="225">
        <f>24*60*SUM($M69:$M69)</f>
        <v>37.600000009406358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Southbound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2018-01-11T10:10:16-0700',mode:absolute,to:'2018-01-11T13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23.298200000000001</v>
      </c>
      <c r="Z69" s="247">
        <f>RIGHT(H69,LEN(H69)-4)/10000</f>
        <v>1.7000000000000001E-2</v>
      </c>
      <c r="AA69" s="247">
        <f>ABS(Z69-Y69)</f>
        <v>23.281200000000002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156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s3://rtdc.mdm.uploadarchive.raw/RTDC4015/ "%USERPROFILE%\AppData\Local\Temp\OnboardLogs"\RTDC4015\2018-01-11 --exclude "*" --recursive --include "*20180111*" &amp; "%USERPROFILE%\Documents\GitHub\mrs-test-scripts\Headless Mode &amp; Sideloading\WalkAndUnGZ.bat" "%USERPROFILE%\AppData\Local\Temp\OnboardLogs"\RTDC4015\2018-01-11 &amp; 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/stypes="app*4015*20180111*" /stext=" 19:.+((SYSTEM_STATE.+slice.+state.+changed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156-11 --locoid 4015 --swversion DE.1.0.9.0 --startMP 204:232982 --initTime 2018-01-11T11:10:16 --startdatetime 2018-01-11T11:27:13 --delay 74 --endMP 204:170 --enddatetime 2018-01-11T12:04:49 --enforcementcount 0 &gt;&gt;%USERPROFILE%\Documents\GitHub\eaglep3-reporting\EC\2018-01-11-refined-times.txt</v>
      </c>
      <c r="AI69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{"issue":{"subject":"","project_id":79,"tracker_id":40,"status_id":1,"priority_id":2,"assigned_to_id":338,"start_date":"2018-01-11","description":"","custom_fields":[{"id":1,"name":"Subdivision","value":"EC"},{"id":4,"name":"Milepost","value":"0.017"},{"id":17,"name":"Train ID","value":"156-11"},{"id":16,"name":"Locomotive ID","value":"4015"},{"id":130,"name":"Impact","value":""},{"id":150,"name":"Time of Event (Mountain Time)","value":"12:04:49"},{"id":151,"name":"Denver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4015 --day 2018-01-11</v>
      </c>
      <c r="AN69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2018-01-11T10:10:16-0700',mode:absolute,to:'2018-01-11T13:04:49-0700'))&amp;_a=(columns:!('Message%20ID',Summary),filters:!(),index:'emp_*',interval:auto,query:(query_string:(analyze_wildcard:!t,query:'%22rtdc.l.rtdc.4015%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784</v>
      </c>
      <c r="B70" s="225">
        <v>4019</v>
      </c>
      <c r="C70" s="227" t="s">
        <v>191</v>
      </c>
      <c r="D70" s="227" t="s">
        <v>941</v>
      </c>
      <c r="E70" s="226">
        <v>43111.488587962966</v>
      </c>
      <c r="F70" s="226">
        <v>43111.491053240738</v>
      </c>
      <c r="G70" s="225">
        <v>82</v>
      </c>
      <c r="H70" s="227" t="s">
        <v>446</v>
      </c>
      <c r="I70" s="226">
        <v>43111.51771990741</v>
      </c>
      <c r="J70" s="225">
        <v>0</v>
      </c>
      <c r="K70" s="237" t="str">
        <f>IF(ISEVEN(B70),(B70-1)&amp;"/"&amp;B70,B70&amp;"/"&amp;(B70+1))</f>
        <v>4019/4020</v>
      </c>
      <c r="L70" s="245" t="str">
        <f>VLOOKUP(A70,'Trips&amp;Operators'!$C$1:$G$99911,5,FALSE)</f>
        <v>BADERTSCHER DIANE</v>
      </c>
      <c r="M70" s="224">
        <f>I70-F70</f>
        <v>2.6666666672099382E-2</v>
      </c>
      <c r="N70" s="225">
        <f>24*60*SUM($M70:$M70)</f>
        <v>38.40000000782311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2018-01-11T10:43:34-0700',mode:absolute,to:'2018-01-11T13:25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2</v>
      </c>
      <c r="Y70" s="247">
        <f>RIGHT(D70,LEN(D70)-4)/10000</f>
        <v>23.299099999999999</v>
      </c>
      <c r="Z70" s="247">
        <f>RIGHT(H70,LEN(H70)-4)/10000</f>
        <v>0.02</v>
      </c>
      <c r="AA70" s="247">
        <f>ABS(Z70-Y70)</f>
        <v>23.2791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158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s3://rtdc.mdm.uploadarchive.raw/RTDC4019/ "%USERPROFILE%\AppData\Local\Temp\OnboardLogs"\RTDC4019\2018-01-11 --exclude "*" --recursive --include "*20180111*" &amp; "%USERPROFILE%\Documents\GitHub\mrs-test-scripts\Headless Mode &amp; Sideloading\WalkAndUnGZ.bat" "%USERPROFILE%\AppData\Local\Temp\OnboardLogs"\RTDC4019\2018-01-11 &amp; aws s3 cp s3://rtdc.mdm.uploadarchive.raw/RTDC4019/ "%USERPROFILE%\AppData\Local\Temp\OnboardLogs"\RTDC4019\2018-01-12 --exclude "*" --recursive --include "*20180112*" &amp; "%USERPROFILE%\Documents\GitHub\mrs-test-scripts\Headless Mode &amp; Sideloading\WalkAndUnGZ.bat" "%USERPROFILE%\AppData\Local\Temp\OnboardLogs"\RTDC4019\2018-01-12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/stypes="app*4019*20180111*"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158-11 --locoid 4019 --swversion DE.1.0.9.0 --startMP 204:232991 --initTime 2018-01-11T11:43:34 --startdatetime 2018-01-11T11:47:07 --delay 82 --endMP 204:200 --enddatetime 2018-01-11T12:25:31 --enforcementcount 0 &gt;&gt;%USERPROFILE%\Documents\GitHub\eaglep3-reporting\EC\2018-01-11-refined-times.txt</v>
      </c>
      <c r="AI70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{"issue":{"subject":"","project_id":79,"tracker_id":40,"status_id":1,"priority_id":2,"assigned_to_id":338,"start_date":"2018-01-11","description":"","custom_fields":[{"id":1,"name":"Subdivision","value":"EC"},{"id":4,"name":"Milepost","value":"0.02"},{"id":17,"name":"Train ID","value":"158-11"},{"id":16,"name":"Locomotive ID","value":"4019"},{"id":130,"name":"Impact","value":""},{"id":150,"name":"Time of Event (Mountain Time)","value":"12:25:31"},{"id":151,"name":"Denver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4019 --day 2018-01-11</v>
      </c>
      <c r="AN70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2018-01-11T10:43:34-0700',mode:absolute,to:'2018-01-11T13:25:31-0700'))&amp;_a=(columns:!('Message%20ID',Summary),filters:!(),index:'emp_*',interval:auto,query:(query_string:(analyze_wildcard:!t,query:'%22rtdc.l.rtdc.4019%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777</v>
      </c>
      <c r="B71" s="225">
        <v>4022</v>
      </c>
      <c r="C71" s="227" t="s">
        <v>191</v>
      </c>
      <c r="D71" s="227" t="s">
        <v>942</v>
      </c>
      <c r="E71" s="226">
        <v>43111.458599537036</v>
      </c>
      <c r="F71" s="226">
        <v>43111.45989583333</v>
      </c>
      <c r="G71" s="225">
        <v>53</v>
      </c>
      <c r="H71" s="227" t="s">
        <v>601</v>
      </c>
      <c r="I71" s="226">
        <v>43111.484201388892</v>
      </c>
      <c r="J71" s="225">
        <v>0</v>
      </c>
      <c r="K71" s="237" t="str">
        <f>IF(ISEVEN(B71),(B71-1)&amp;"/"&amp;B71,B71&amp;"/"&amp;(B71+1))</f>
        <v>4021/4022</v>
      </c>
      <c r="L71" s="245" t="str">
        <f>VLOOKUP(A71,'Trips&amp;Operators'!$C$1:$G$99911,5,FALSE)</f>
        <v>DAVIDSON DAVID</v>
      </c>
      <c r="M71" s="224">
        <f>I71-F71</f>
        <v>2.4305555562023073E-2</v>
      </c>
      <c r="N71" s="225">
        <f>24*60*SUM($M71:$M71)</f>
        <v>35.000000009313226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2018-01-11T10:00:23-0700',mode:absolute,to:'2018-01-11T12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0.05</v>
      </c>
      <c r="Z71" s="247">
        <f>RIGHT(H71,LEN(H71)-4)/10000</f>
        <v>23.326599999999999</v>
      </c>
      <c r="AA71" s="247">
        <f>ABS(Z71-Y71)</f>
        <v>23.276599999999998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159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s3://rtdc.mdm.uploadarchive.raw/RTDC4022/ "%USERPROFILE%\AppData\Local\Temp\OnboardLogs"\RTDC4022\2018-01-11 --exclude "*" --recursive --include "*20180111*" &amp; "%USERPROFILE%\Documents\GitHub\mrs-test-scripts\Headless Mode &amp; Sideloading\WalkAndUnGZ.bat" "%USERPROFILE%\AppData\Local\Temp\OnboardLogs"\RTDC4022\2018-01-11 &amp; aws s3 cp s3://rtdc.mdm.uploadarchive.raw/RTDC4022/ "%USERPROFILE%\AppData\Local\Temp\OnboardLogs"\RTDC4022\2018-01-12 --exclude "*" --recursive --include "*20180112*" &amp; "%USERPROFILE%\Documents\GitHub\mrs-test-scripts\Headless Mode &amp; Sideloading\WalkAndUnGZ.bat" "%USERPROFILE%\AppData\Local\Temp\OnboardLogs"\RTDC4022\2018-01-12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/stypes="app*4022*20180111*"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159-11 --locoid 4022 --swversion DE.1.0.9.0 --startMP 204:500 --initTime 2018-01-11T11:00:23 --startdatetime 2018-01-11T11:02:15 --delay 53 --endMP 204:233266 --enddatetime 2018-01-11T11:37:15 --enforcementcount 0 &gt;&gt;%USERPROFILE%\Documents\GitHub\eaglep3-reporting\EC\2018-01-11-refined-times.txt</v>
      </c>
      <c r="AI71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{"issue":{"subject":"","project_id":79,"tracker_id":40,"status_id":1,"priority_id":2,"assigned_to_id":338,"start_date":"2018-01-11","description":"","custom_fields":[{"id":1,"name":"Subdivision","value":"EC"},{"id":4,"name":"Milepost","value":"23.3266"},{"id":17,"name":"Train ID","value":"159-11"},{"id":16,"name":"Locomotive ID","value":"4022"},{"id":130,"name":"Impact","value":""},{"id":150,"name":"Time of Event (Mountain Time)","value":"11:37:15"},{"id":151,"name":"Denver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4022 --day 2018-01-11</v>
      </c>
      <c r="AN71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18:37:15"},{"id":29,"name":"Sharepoint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2018-01-11T10:00:23-0700',mode:absolute,to:'2018-01-11T12:37:15-0700'))&amp;_a=(columns:!('Message%20ID',Summary),filters:!(),index:'emp_*',interval:auto,query:(query_string:(analyze_wildcard:!t,query:'%22rtdc.l.rtdc.4022%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783</v>
      </c>
      <c r="B72" s="225">
        <v>4021</v>
      </c>
      <c r="C72" s="227" t="s">
        <v>191</v>
      </c>
      <c r="D72" s="227" t="s">
        <v>554</v>
      </c>
      <c r="E72" s="226">
        <v>43111.487245370372</v>
      </c>
      <c r="F72" s="226">
        <v>43111.498252314814</v>
      </c>
      <c r="G72" s="225">
        <v>54</v>
      </c>
      <c r="H72" s="227" t="s">
        <v>495</v>
      </c>
      <c r="I72" s="226">
        <v>43111.524768518517</v>
      </c>
      <c r="J72" s="225">
        <v>0</v>
      </c>
      <c r="K72" s="237" t="str">
        <f>IF(ISEVEN(B72),(B72-1)&amp;"/"&amp;B72,B72&amp;"/"&amp;(B72+1))</f>
        <v>4021/4022</v>
      </c>
      <c r="L72" s="245" t="str">
        <f>VLOOKUP(A72,'Trips&amp;Operators'!$C$1:$G$99911,5,FALSE)</f>
        <v>DAVIDSON DAVID</v>
      </c>
      <c r="M72" s="224">
        <f>I72-F72</f>
        <v>2.6516203703067731E-2</v>
      </c>
      <c r="N72" s="225">
        <f>24*60*SUM($M72:$M72)</f>
        <v>38.183333332417533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2018-01-11T10:41:38-0700',mode:absolute,to:'2018-01-11T13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23.293800000000001</v>
      </c>
      <c r="Z72" s="247">
        <f>RIGHT(H72,LEN(H72)-4)/10000</f>
        <v>2.23E-2</v>
      </c>
      <c r="AA72" s="247">
        <f>ABS(Z72-Y72)</f>
        <v>23.2715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160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s3://rtdc.mdm.uploadarchive.raw/RTDC4021/ "%USERPROFILE%\AppData\Local\Temp\OnboardLogs"\RTDC4021\2018-01-11 --exclude "*" --recursive --include "*20180111*" &amp; "%USERPROFILE%\Documents\GitHub\mrs-test-scripts\Headless Mode &amp; Sideloading\WalkAndUnGZ.bat" "%USERPROFILE%\AppData\Local\Temp\OnboardLogs"\RTDC4021\2018-01-11 &amp; aws s3 cp s3://rtdc.mdm.uploadarchive.raw/RTDC4021/ "%USERPROFILE%\AppData\Local\Temp\OnboardLogs"\RTDC4021\2018-01-12 --exclude "*" --recursive --include "*20180112*" &amp; "%USERPROFILE%\Documents\GitHub\mrs-test-scripts\Headless Mode &amp; Sideloading\WalkAndUnGZ.bat" "%USERPROFILE%\AppData\Local\Temp\OnboardLogs"\RTDC4021\2018-01-12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/stypes="app*4021*20180111*"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160-11 --locoid 4021 --swversion DE.1.0.9.0 --startMP 204:232938 --initTime 2018-01-11T11:41:38 --startdatetime 2018-01-11T11:57:29 --delay 54 --endMP 204:223 --enddatetime 2018-01-11T12:35:40 --enforcementcount 0 &gt;&gt;%USERPROFILE%\Documents\GitHub\eaglep3-reporting\EC\2018-01-11-refined-times.txt</v>
      </c>
      <c r="AI72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{"issue":{"subject":"","project_id":79,"tracker_id":40,"status_id":1,"priority_id":2,"assigned_to_id":338,"start_date":"2018-01-11","description":"","custom_fields":[{"id":1,"name":"Subdivision","value":"EC"},{"id":4,"name":"Milepost","value":"0.0223"},{"id":17,"name":"Train ID","value":"160-11"},{"id":16,"name":"Locomotive ID","value":"4021"},{"id":130,"name":"Impact","value":""},{"id":150,"name":"Time of Event (Mountain Time)","value":"12:35:40"},{"id":151,"name":"Denver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4021 --day 2018-01-11</v>
      </c>
      <c r="AN72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2018-01-11T10:41:38-0700',mode:absolute,to:'2018-01-11T13:35:40-0700'))&amp;_a=(columns:!('Message%20ID',Summary),filters:!(),index:'emp_*',interval:auto,query:(query_string:(analyze_wildcard:!t,query:'%22rtdc.l.rtdc.4021%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779</v>
      </c>
      <c r="B73" s="225">
        <v>4056</v>
      </c>
      <c r="C73" s="227" t="s">
        <v>191</v>
      </c>
      <c r="D73" s="227" t="s">
        <v>593</v>
      </c>
      <c r="E73" s="226">
        <v>43111.466724537036</v>
      </c>
      <c r="F73" s="226">
        <v>43111.469201388885</v>
      </c>
      <c r="G73" s="225">
        <v>101</v>
      </c>
      <c r="H73" s="227" t="s">
        <v>943</v>
      </c>
      <c r="I73" s="226">
        <v>43111.494456018518</v>
      </c>
      <c r="J73" s="225">
        <v>0</v>
      </c>
      <c r="K73" s="237" t="str">
        <f>IF(ISEVEN(B73),(B73-1)&amp;"/"&amp;B73,B73&amp;"/"&amp;(B73+1))</f>
        <v>4055/4056</v>
      </c>
      <c r="L73" s="245" t="str">
        <f>VLOOKUP(A73,'Trips&amp;Operators'!$C$1:$G$99911,5,FALSE)</f>
        <v>BRUDER RICHARD</v>
      </c>
      <c r="M73" s="224">
        <f>I73-F73</f>
        <v>2.5254629632399883E-2</v>
      </c>
      <c r="N73" s="225">
        <f>24*60*SUM($M73:$M73)</f>
        <v>36.366666670655832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2018-01-11T10:12:05-0700',mode:absolute,to:'2018-01-11T12:52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5.2200000000000003E-2</v>
      </c>
      <c r="Z73" s="247">
        <f>RIGHT(H73,LEN(H73)-4)/10000</f>
        <v>23.321899999999999</v>
      </c>
      <c r="AA73" s="247">
        <f>ABS(Z73-Y73)</f>
        <v>23.2697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161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/stypes="app*4056*20180111*"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161-11 --locoid 4056 --swversion DE.1.0.9.0 --startMP 204:522 --initTime 2018-01-11T11:12:05 --startdatetime 2018-01-11T11:15:39 --delay 101 --endMP 204:233219 --enddatetime 2018-01-11T11:52:01 --enforcementcount 0 &gt;&gt;%USERPROFILE%\Documents\GitHub\eaglep3-reporting\EC\2018-01-11-refined-times.txt</v>
      </c>
      <c r="AI73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{"issue":{"subject":"","project_id":79,"tracker_id":40,"status_id":1,"priority_id":2,"assigned_to_id":338,"start_date":"2018-01-11","description":"","custom_fields":[{"id":1,"name":"Subdivision","value":"EC"},{"id":4,"name":"Milepost","value":"23.3219"},{"id":17,"name":"Train ID","value":"161-11"},{"id":16,"name":"Locomotive ID","value":"4056"},{"id":130,"name":"Impact","value":""},{"id":150,"name":"Time of Event (Mountain Time)","value":"11:52:01"},{"id":151,"name":"Denver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4056 --day 2018-01-11</v>
      </c>
      <c r="AN73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18:52:01"},{"id":29,"name":"Sharepoint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2018-01-11T10:12:05-0700',mode:absolute,to:'2018-01-11T12:52:01-0700'))&amp;_a=(columns:!('Message%20ID',Summary),filters:!(),index:'emp_*',interval:auto,query:(query_string:(analyze_wildcard:!t,query:'%22rtdc.l.rtdc.4056%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791</v>
      </c>
      <c r="B74" s="225">
        <v>4055</v>
      </c>
      <c r="C74" s="227" t="s">
        <v>191</v>
      </c>
      <c r="D74" s="227" t="s">
        <v>944</v>
      </c>
      <c r="E74" s="226">
        <v>43111.505624999998</v>
      </c>
      <c r="F74" s="226">
        <v>43111.508506944447</v>
      </c>
      <c r="G74" s="225">
        <v>72</v>
      </c>
      <c r="H74" s="227" t="s">
        <v>521</v>
      </c>
      <c r="I74" s="226">
        <v>43111.534849537034</v>
      </c>
      <c r="J74" s="225">
        <v>0</v>
      </c>
      <c r="K74" s="237" t="str">
        <f>IF(ISEVEN(B74),(B74-1)&amp;"/"&amp;B74,B74&amp;"/"&amp;(B74+1))</f>
        <v>4055/4056</v>
      </c>
      <c r="L74" s="245" t="str">
        <f>VLOOKUP(A74,'Trips&amp;Operators'!$C$1:$G$99911,5,FALSE)</f>
        <v>BRUDER RICHARD</v>
      </c>
      <c r="M74" s="224">
        <f>I74-F74</f>
        <v>2.6342592587752733E-2</v>
      </c>
      <c r="N74" s="225">
        <f>24*60*SUM($M74:$M74)</f>
        <v>37.933333326363936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2018-01-11T11:08:06-0700',mode:absolute,to:'2018-01-11T13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23.290199999999999</v>
      </c>
      <c r="Z74" s="247">
        <f>RIGHT(H74,LEN(H74)-4)/10000</f>
        <v>2.2700000000000001E-2</v>
      </c>
      <c r="AA74" s="247">
        <f>ABS(Z74-Y74)</f>
        <v>23.267499999999998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162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 &amp; 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/stypes="app*4055*20180111*"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162-11 --locoid 4055 --swversion DE.1.0.9.0 --startMP 204:232902 --initTime 2018-01-11T12:08:06 --startdatetime 2018-01-11T12:12:15 --delay 72 --endMP 204:227 --enddatetime 2018-01-11T12:50:11 --enforcementcount 0 &gt;&gt;%USERPROFILE%\Documents\GitHub\eaglep3-reporting\EC\2018-01-11-refined-times.txt</v>
      </c>
      <c r="AI74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{"issue":{"subject":"","project_id":79,"tracker_id":40,"status_id":1,"priority_id":2,"assigned_to_id":338,"start_date":"2018-01-11","description":"","custom_fields":[{"id":1,"name":"Subdivision","value":"EC"},{"id":4,"name":"Milepost","value":"0.0227"},{"id":17,"name":"Train ID","value":"162-11"},{"id":16,"name":"Locomotive ID","value":"4055"},{"id":130,"name":"Impact","value":""},{"id":150,"name":"Time of Event (Mountain Time)","value":"12:50:11"},{"id":151,"name":"Denver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4055 --day 2018-01-11</v>
      </c>
      <c r="AN74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2018-01-11T11:08:06-0700',mode:absolute,to:'2018-01-11T13:50:11-0700'))&amp;_a=(columns:!('Message%20ID',Summary),filters:!(),index:'emp_*',interval:auto,query:(query_string:(analyze_wildcard:!t,query:'%22rtdc.l.rtdc.4055%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780</v>
      </c>
      <c r="B75" s="225">
        <v>4012</v>
      </c>
      <c r="C75" s="227" t="s">
        <v>191</v>
      </c>
      <c r="D75" s="227" t="s">
        <v>945</v>
      </c>
      <c r="E75" s="226">
        <v>43111.475370370368</v>
      </c>
      <c r="F75" s="226">
        <v>43111.479444444441</v>
      </c>
      <c r="G75" s="225">
        <v>84</v>
      </c>
      <c r="H75" s="227" t="s">
        <v>946</v>
      </c>
      <c r="I75" s="226">
        <v>43111.504756944443</v>
      </c>
      <c r="J75" s="225">
        <v>0</v>
      </c>
      <c r="K75" s="237" t="str">
        <f>IF(ISEVEN(B75),(B75-1)&amp;"/"&amp;B75,B75&amp;"/"&amp;(B75+1))</f>
        <v>4011/4012</v>
      </c>
      <c r="L75" s="245" t="str">
        <f>VLOOKUP(A75,'Trips&amp;Operators'!$C$1:$G$99911,5,FALSE)</f>
        <v>STEWART MICHAEL</v>
      </c>
      <c r="M75" s="224">
        <f>I75-F75</f>
        <v>2.531250000174623E-2</v>
      </c>
      <c r="N75" s="225">
        <f>24*60*SUM($M75:$M75)</f>
        <v>36.450000002514571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2018-01-11T10:24:32-0700',mode:absolute,to:'2018-01-11T13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4.5999999999999999E-2</v>
      </c>
      <c r="Z75" s="247">
        <f>RIGHT(H75,LEN(H75)-4)/10000</f>
        <v>23.327999999999999</v>
      </c>
      <c r="AA75" s="247">
        <f>ABS(Z75-Y75)</f>
        <v>23.282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163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 &amp; aws s3 cp s3://rtdc.mdm.uploadarchive.raw/RTDC4012/ "%USERPROFILE%\AppData\Local\Temp\OnboardLogs"\RTDC4012\2018-01-12 --exclude "*" --recursive --include "*20180112*" &amp; "%USERPROFILE%\Documents\GitHub\mrs-test-scripts\Headless Mode &amp; Sideloading\WalkAndUnGZ.bat" "%USERPROFILE%\AppData\Local\Temp\OnboardLogs"\RTDC4012\2018-01-12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/stypes="app*4012*20180111*" /stext=" 19:.+((SYSTEM_STATE.+slice.+state.+changed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163-11 --locoid 4012 --swversion DE.1.0.9.0 --startMP 204:460 --initTime 2018-01-11T11:24:32 --startdatetime 2018-01-11T11:30:24 --delay 84 --endMP 204:233280 --enddatetime 2018-01-11T12:06:51 --enforcementcount 0 &gt;&gt;%USERPROFILE%\Documents\GitHub\eaglep3-reporting\EC\2018-01-11-refined-times.txt</v>
      </c>
      <c r="AI75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{"issue":{"subject":"","project_id":79,"tracker_id":40,"status_id":1,"priority_id":2,"assigned_to_id":338,"start_date":"2018-01-11","description":"","custom_fields":[{"id":1,"name":"Subdivision","value":"EC"},{"id":4,"name":"Milepost","value":"23.328"},{"id":17,"name":"Train ID","value":"163-11"},{"id":16,"name":"Locomotive ID","value":"4012"},{"id":130,"name":"Impact","value":""},{"id":150,"name":"Time of Event (Mountain Time)","value":"12:06:51"},{"id":151,"name":"Denver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4012 --day 2018-01-11</v>
      </c>
      <c r="AN75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2018-01-11T10:24:32-0700',mode:absolute,to:'2018-01-11T13:06:51-0700'))&amp;_a=(columns:!('Message%20ID',Summary),filters:!(),index:'emp_*',interval:auto,query:(query_string:(analyze_wildcard:!t,query:'%22rtdc.l.rtdc.4012%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792</v>
      </c>
      <c r="B76" s="225">
        <v>4011</v>
      </c>
      <c r="C76" s="227" t="s">
        <v>191</v>
      </c>
      <c r="D76" s="227" t="s">
        <v>583</v>
      </c>
      <c r="E76" s="226">
        <v>43111.515277777777</v>
      </c>
      <c r="F76" s="226">
        <v>43111.519004629627</v>
      </c>
      <c r="G76" s="225">
        <v>72</v>
      </c>
      <c r="H76" s="227" t="s">
        <v>610</v>
      </c>
      <c r="I76" s="226">
        <v>43111.546099537038</v>
      </c>
      <c r="J76" s="225">
        <v>0</v>
      </c>
      <c r="K76" s="237" t="str">
        <f>IF(ISEVEN(B76),(B76-1)&amp;"/"&amp;B76,B76&amp;"/"&amp;(B76+1))</f>
        <v>4011/4012</v>
      </c>
      <c r="L76" s="245" t="str">
        <f>VLOOKUP(A76,'Trips&amp;Operators'!$C$1:$G$99911,5,FALSE)</f>
        <v>STEWART MICHAEL</v>
      </c>
      <c r="M76" s="224">
        <f>I76-F76</f>
        <v>2.7094907411083113E-2</v>
      </c>
      <c r="N76" s="225">
        <f>24*60*SUM($M76:$M76)</f>
        <v>39.016666671959683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2018-01-11T11:22:00-0700',mode:absolute,to:'2018-01-11T14:06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23.296099999999999</v>
      </c>
      <c r="Z76" s="247">
        <f>RIGHT(H76,LEN(H76)-4)/10000</f>
        <v>1.9599999999999999E-2</v>
      </c>
      <c r="AA76" s="247">
        <f>ABS(Z76-Y76)</f>
        <v>23.276499999999999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164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 &amp; aws s3 cp s3://rtdc.mdm.uploadarchive.raw/RTDC4011/ "%USERPROFILE%\AppData\Local\Temp\OnboardLogs"\RTDC4011\2018-01-12 --exclude "*" --recursive --include "*20180112*" &amp; "%USERPROFILE%\Documents\GitHub\mrs-test-scripts\Headless Mode &amp; Sideloading\WalkAndUnGZ.bat" "%USERPROFILE%\AppData\Local\Temp\OnboardLogs"\RTDC4011\2018-01-12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/stypes="app*4011*20180111*" /stext=" 20:.+((SYSTEM_STATE.+slice.+state.+changed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164-11 --locoid 4011 --swversion DE.1.0.9.0 --startMP 204:232961 --initTime 2018-01-11T12:22:00 --startdatetime 2018-01-11T12:27:22 --delay 72 --endMP 204:196 --enddatetime 2018-01-11T13:06:23 --enforcementcount 0 &gt;&gt;%USERPROFILE%\Documents\GitHub\eaglep3-reporting\EC\2018-01-11-refined-times.txt</v>
      </c>
      <c r="AI76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{"issue":{"subject":"","project_id":79,"tracker_id":40,"status_id":1,"priority_id":2,"assigned_to_id":338,"start_date":"2018-01-11","description":"","custom_fields":[{"id":1,"name":"Subdivision","value":"EC"},{"id":4,"name":"Milepost","value":"0.0196"},{"id":17,"name":"Train ID","value":"164-11"},{"id":16,"name":"Locomotive ID","value":"4011"},{"id":130,"name":"Impact","value":""},{"id":150,"name":"Time of Event (Mountain Time)","value":"13:06:23"},{"id":151,"name":"Denver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4011 --day 2018-01-11</v>
      </c>
      <c r="AN76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20:06:23"},{"id":29,"name":"Sharepoint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2018-01-11T11:22:00-0700',mode:absolute,to:'2018-01-11T14:06:23-0700'))&amp;_a=(columns:!('Message%20ID',Summary),filters:!(),index:'emp_*',interval:auto,query:(query_string:(analyze_wildcard:!t,query:'%22rtdc.l.rtdc.4011%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782</v>
      </c>
      <c r="B77" s="225">
        <v>4042</v>
      </c>
      <c r="C77" s="227" t="s">
        <v>191</v>
      </c>
      <c r="D77" s="227" t="s">
        <v>483</v>
      </c>
      <c r="E77" s="226">
        <v>43111.486261574071</v>
      </c>
      <c r="F77" s="226">
        <v>43111.489733796298</v>
      </c>
      <c r="G77" s="225">
        <v>121</v>
      </c>
      <c r="H77" s="227" t="s">
        <v>947</v>
      </c>
      <c r="I77" s="226">
        <v>43111.515347222223</v>
      </c>
      <c r="J77" s="225">
        <v>0</v>
      </c>
      <c r="K77" s="237" t="str">
        <f>IF(ISEVEN(B77),(B77-1)&amp;"/"&amp;B77,B77&amp;"/"&amp;(B77+1))</f>
        <v>4041/4042</v>
      </c>
      <c r="L77" s="245" t="str">
        <f>VLOOKUP(A77,'Trips&amp;Operators'!$C$1:$G$99911,5,FALSE)</f>
        <v>LEVIN SCOTT</v>
      </c>
      <c r="M77" s="224">
        <f>I77-F77</f>
        <v>2.5613425925257616E-2</v>
      </c>
      <c r="N77" s="225">
        <f>24*60*SUM($M77:$M77)</f>
        <v>36.883333332370967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-11T10:40:13-0700',mode:absolute,to:'2018-01-11T13:22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4.6399999999999997E-2</v>
      </c>
      <c r="Z77" s="247">
        <f>RIGHT(H77,LEN(H77)-4)/10000</f>
        <v>23.334</v>
      </c>
      <c r="AA77" s="247">
        <f>ABS(Z77-Y77)</f>
        <v>23.287600000000001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165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"%USERPROFILE%\AppData\Local\Temp\OnboardLogs"\RTDC4042\2018-01-11 --exclude "*" --recursive --include "*20180111*" &amp; "%USERPROFILE%\Documents\GitHub\mrs-test-scripts\Headless Mode &amp; Sideloading\WalkAndUnGZ.bat" "%USERPROFILE%\AppData\Local\Temp\OnboardLogs"\RTDC4042\2018-01-11 &amp; aws s3 cp s3://rtdc.mdm.uploadarchive.raw/RTDC4042/ "%USERPROFILE%\AppData\Local\Temp\OnboardLogs"\RTDC4042\2018-01-12 --exclude "*" --recursive --include "*20180112*" &amp; "%USERPROFILE%\Documents\GitHub\mrs-test-scripts\Headless Mode &amp; Sideloading\WalkAndUnGZ.bat" "%USERPROFILE%\AppData\Local\Temp\OnboardLogs"\RTDC4042\2018-01-12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/stypes="app*4042*20180111*"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165-11 --locoid 4042 --swversion DE.1.0.9.0 --startMP 204:464 --initTime 2018-01-11T11:40:13 --startdatetime 2018-01-11T11:45:13 --delay 121 --endMP 204:233340 --enddatetime 2018-01-11T12:22:06 --enforcementcount 0 &gt;&gt;%USERPROFILE%\Documents\GitHub\eaglep3-reporting\EC\2018-01-11-refined-times.txt</v>
      </c>
      <c r="AI77" s="238" t="str">
        <f t="shared" si="6"/>
        <v>echo {"issue":{"subject":"","project_id":79,"tracker_id":40,"status_id":1,"priority_id":2,"assigned_to_id":338,"start_date":"2018-01-11","description":"","custom_fields":[{"id":1,"name":"Subdivision","value":"EC"},{"id":4,"name":"Milepost","value":"23.334"},{"id":17,"name":"Train ID","value":"165-11"},{"id":16,"name":"Locomotive ID","value":"4042"},{"id":130,"name":"Impact","value":""},{"id":150,"name":"Time of Event (Mountain Time)","value":"12:22:06"},{"id":151,"name":"Denver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4042 --day 2018-01-11</v>
      </c>
      <c r="AN77" s="241" t="str">
        <f t="shared" si="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2018-01-11T10:40:13-0700',mode:absolute,to:'2018-01-11T13:22:06-0700'))&amp;_a=(columns:!('Message%20ID',Summary),filters:!(),index:'emp_*',interval:auto,query:(query_string:(analyze_wildcard:!t,query:'%22rtdc.l.rtdc.4042%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665</v>
      </c>
      <c r="B78" s="225">
        <v>4041</v>
      </c>
      <c r="C78" s="227" t="s">
        <v>191</v>
      </c>
      <c r="D78" s="227" t="s">
        <v>948</v>
      </c>
      <c r="E78" s="226">
        <v>43111.524027777778</v>
      </c>
      <c r="F78" s="226">
        <v>43111.529363425929</v>
      </c>
      <c r="G78" s="225">
        <v>68</v>
      </c>
      <c r="H78" s="227" t="s">
        <v>949</v>
      </c>
      <c r="I78" s="226">
        <v>43111.558483796296</v>
      </c>
      <c r="J78" s="225">
        <v>0</v>
      </c>
      <c r="K78" s="237" t="str">
        <f>IF(ISEVEN(B78),(B78-1)&amp;"/"&amp;B78,B78&amp;"/"&amp;(B78+1))</f>
        <v>4041/4042</v>
      </c>
      <c r="L78" s="245" t="str">
        <f>VLOOKUP(A78,'Trips&amp;Operators'!$C$1:$G$99911,5,FALSE)</f>
        <v>LEVIN SCOTT</v>
      </c>
      <c r="M78" s="224">
        <f>I78-F78</f>
        <v>2.9120370367309079E-2</v>
      </c>
      <c r="N78" s="225">
        <f>24*60*SUM($M78:$M78)</f>
        <v>41.933333328925073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-11T11:34:36-0700',mode:absolute,to:'2018-01-11T14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23.301500000000001</v>
      </c>
      <c r="Z78" s="247">
        <f>RIGHT(H78,LEN(H78)-4)/10000</f>
        <v>1.47E-2</v>
      </c>
      <c r="AA78" s="247">
        <f>ABS(Z78-Y78)</f>
        <v>23.286799999999999</v>
      </c>
      <c r="AB78" s="233" t="str">
        <f>VLOOKUP(A78,Enforcements!$C$7:$K$9,8,0)</f>
        <v>Bulletin (2)</v>
      </c>
      <c r="AC78" s="232" t="str">
        <f>VLOOKUP(A78,Enforcements!$C$7:$E$9,3,0)</f>
        <v>GRADE CROSSING</v>
      </c>
      <c r="AD78" s="243">
        <f>VALUE(LEFT(A78,LEN(A78)-3))</f>
        <v>166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/stypes="app*4041*20180111*"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ref="AH78:AH144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166-11 --locoid 4041 --swversion DE.1.0.9.0 --startMP 204:233015 --initTime 2018-01-11T12:34:36 --startdatetime 2018-01-11T12:42:17 --delay 68 --endMP 204:147 --enddatetime 2018-01-11T13:24:13 --enforcementcount 0 &gt;&gt;%USERPROFILE%\Documents\GitHub\eaglep3-reporting\EC\2018-01-11-refined-times.txt</v>
      </c>
      <c r="AI78" s="238" t="str">
        <f t="shared" ref="AI78:AI144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{"issue":{"subject":"","project_id":79,"tracker_id":40,"status_id":1,"priority_id":2,"assigned_to_id":338,"start_date":"2018-01-11","description":"","custom_fields":[{"id":1,"name":"Subdivision","value":"EC"},{"id":4,"name":"Milepost","value":"0.0147"},{"id":17,"name":"Train ID","value":"166-11"},{"id":16,"name":"Locomotive ID","value":"4041"},{"id":130,"name":"Impact","value":""},{"id":150,"name":"Time of Event (Mountain Time)","value":"13:24:13"},{"id":151,"name":"Denver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4" si="12">"start /low /b "&amp;dls3logs&amp;" --loco "&amp;B78&amp;" --day "&amp;TEXT(F78,"YYYY-MM-DD")</f>
        <v>start /low /b %USERPROFILE%\Documents\GitHub\eaglep3\Utilities\DownloadLogsFromS3.py --loco 4041 --day 2018-01-11</v>
      </c>
      <c r="AN78" s="241" t="str">
        <f t="shared" ref="AN78:AN144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20:24:13"},{"id":29,"name":"Sharepoint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4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-11T11:34:36-0700',mode:absolute,to:'2018-01-11T14:24:13-0700'))&amp;_a=(columns:!('Message%20ID',Summary),filters:!(),index:'emp_*',interval:auto,query:(query_string:(analyze_wildcard:!t,query:'%22rtdc.l.rtdc.4041%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661</v>
      </c>
      <c r="B79" s="225">
        <v>4034</v>
      </c>
      <c r="C79" s="227" t="s">
        <v>191</v>
      </c>
      <c r="D79" s="227" t="s">
        <v>950</v>
      </c>
      <c r="E79" s="226">
        <v>43111.503854166665</v>
      </c>
      <c r="F79" s="226">
        <v>43111.505555555559</v>
      </c>
      <c r="G79" s="225">
        <v>97</v>
      </c>
      <c r="H79" s="227" t="s">
        <v>518</v>
      </c>
      <c r="I79" s="226">
        <v>43111.526354166665</v>
      </c>
      <c r="J79" s="225">
        <v>0</v>
      </c>
      <c r="K79" s="237" t="str">
        <f>IF(ISEVEN(B79),(B79-1)&amp;"/"&amp;B79,B79&amp;"/"&amp;(B79+1))</f>
        <v>4033/4034</v>
      </c>
      <c r="L79" s="245" t="str">
        <f>VLOOKUP(A79,'Trips&amp;Operators'!$C$1:$G$99911,5,FALSE)</f>
        <v>ROBINSON KADDIBA</v>
      </c>
      <c r="M79" s="224">
        <f>I79-F79</f>
        <v>2.0798611105419695E-2</v>
      </c>
      <c r="N79" s="225"/>
      <c r="O79" s="225"/>
      <c r="P79" s="225">
        <f>24*60*SUM($M79:$M79)</f>
        <v>29.949999991804361</v>
      </c>
      <c r="Q79" s="228"/>
      <c r="R79" s="242" t="s">
        <v>1116</v>
      </c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-11T11:05:33-0700',mode:absolute,to:'2018-01-11T13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79" s="247" t="str">
        <f>IF(AA79&lt;VLOOKUP(AG79,Variables!$AC$3:$AD$8,2,FALSE),"Y","N")</f>
        <v>Y</v>
      </c>
      <c r="X79" s="247">
        <f>VALUE(LEFT(AD79,4))-VALUE(LEFT(AD78,4))</f>
        <v>1</v>
      </c>
      <c r="Y79" s="247">
        <f>RIGHT(D79,LEN(D79)-4)/10000</f>
        <v>1.9141999999999999</v>
      </c>
      <c r="Z79" s="247">
        <f>RIGHT(H79,LEN(H79)-4)/10000</f>
        <v>23.326799999999999</v>
      </c>
      <c r="AA79" s="247">
        <f>ABS(Z79-Y79)</f>
        <v>21.412599999999998</v>
      </c>
      <c r="AB79" s="233" t="str">
        <f>VLOOKUP(A79,Enforcements!$C$7:$K$9,8,0)</f>
        <v>Bulletin (2)</v>
      </c>
      <c r="AC79" s="232" t="str">
        <f>VLOOKUP(A79,Enforcements!$C$7:$E$9,3,0)</f>
        <v>GRADE CROSSING</v>
      </c>
      <c r="AD79" s="243">
        <f>VALUE(LEFT(A79,LEN(A79)-3))</f>
        <v>167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/stypes="app*4034*20180111*"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0"/>
        <v>"%USERPROFILE%\Documents\GitHub\eaglep3\Utilities\RefineRTDCRunTimes.py" --tripid 167-11 --locoid 4034 --swversion DE.1.0.9.0 --startMP 204:19142 --initTime 2018-01-11T12:05:33 --startdatetime 2018-01-11T12:08:00 --delay 97 --endMP 204:233268 --enddatetime 2018-01-11T12:37:57 --enforcementcount 0 &gt;&gt;%USERPROFILE%\Documents\GitHub\eaglep3-reporting\EC\2018-01-11-refined-times.txt</v>
      </c>
      <c r="AI79" s="238" t="str">
        <f t="shared" si="11"/>
        <v>echo {"issue":{"subject":"Onboard en route failure during init at DUS","project_id":79,"tracker_id":40,"status_id":1,"priority_id":2,"assigned_to_id":338,"start_date":"2018-01-11","description":"","custom_fields":[{"id":1,"name":"Subdivision","value":"EC"},{"id":4,"name":"Milepost","value":"23.3268"},{"id":17,"name":"Train ID","value":"167-11"},{"id":16,"name":"Locomotive ID","value":"4034"},{"id":130,"name":"Impact","value":""},{"id":150,"name":"Time of Event (Mountain Time)","value":"12:37:57"},{"id":151,"name":"Denver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2"/>
        <v>start /low /b %USERPROFILE%\Documents\GitHub\eaglep3\Utilities\DownloadLogsFromS3.py --loco 4034 --day 2018-01-11</v>
      </c>
      <c r="AN79" s="241" t="str">
        <f t="shared" si="13"/>
        <v>echo {"issue":{"subject":"Onboard en route failure during init at DUS","project_id":30,"tracker_id":4,"status_id":1,"priority_id":1,"assigned_to_id":10,"start_date":"2018-01-11","description":"","custom_fields":[{"id":30,"name":"Category","value":"Issue"},{"id":3,"name":"Functional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14"/>
        <v>https://d0f6bd738d7f1b3e5a7ca70fe4ff75f0.us-east-1.aws.found.io/app/kibana#/discover/Steve-Slow-Train-Analysis-(2080s-and-2083s)?_g=(refreshInterval:(display:Off,pause:!f,section:0,value:0),time:(from:'2018-01-11T11:05:33-0700',mode:absolute,to:'2018-01-11T13:37:57-0700'))&amp;_a=(columns:!('Message%20ID',Summary),filters:!(),index:'emp_*',interval:auto,query:(query_string:(analyze_wildcard:!t,query:'%22rtdc.l.rtdc.4034%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796</v>
      </c>
      <c r="B80" s="225">
        <v>4033</v>
      </c>
      <c r="C80" s="227" t="s">
        <v>191</v>
      </c>
      <c r="D80" s="227" t="s">
        <v>481</v>
      </c>
      <c r="E80" s="226">
        <v>43111.535856481481</v>
      </c>
      <c r="F80" s="226">
        <v>43111.539768518516</v>
      </c>
      <c r="G80" s="225">
        <v>71</v>
      </c>
      <c r="H80" s="227" t="s">
        <v>588</v>
      </c>
      <c r="I80" s="226">
        <v>43111.569733796299</v>
      </c>
      <c r="J80" s="225">
        <v>0</v>
      </c>
      <c r="K80" s="237" t="str">
        <f>IF(ISEVEN(B80),(B80-1)&amp;"/"&amp;B80,B80&amp;"/"&amp;(B80+1))</f>
        <v>4033/4034</v>
      </c>
      <c r="L80" s="245" t="str">
        <f>VLOOKUP(A80,'Trips&amp;Operators'!$C$1:$G$99911,5,FALSE)</f>
        <v>ROBINSON KADDIBA</v>
      </c>
      <c r="M80" s="224">
        <f>I80-F80</f>
        <v>2.9965277783048805E-2</v>
      </c>
      <c r="N80" s="225">
        <f>24*60*SUM($M80:$M80)</f>
        <v>43.150000007590279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2018-01-11T11:51:38-0700',mode:absolute,to:'2018-01-11T14:40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23.296299999999999</v>
      </c>
      <c r="Z80" s="247">
        <f>RIGHT(H80,LEN(H80)-4)/10000</f>
        <v>2.1600000000000001E-2</v>
      </c>
      <c r="AA80" s="247">
        <f>ABS(Z80-Y80)</f>
        <v>23.274699999999999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168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s3://rtdc.mdm.uploadarchive.raw/RTDC4033/ "%USERPROFILE%\AppData\Local\Temp\OnboardLogs"\RTDC4033\2018-01-11 --exclude "*" --recursive --include "*20180111*" &amp; "%USERPROFILE%\Documents\GitHub\mrs-test-scripts\Headless Mode &amp; Sideloading\WalkAndUnGZ.bat" "%USERPROFILE%\AppData\Local\Temp\OnboardLogs"\RTDC4033\2018-01-11 &amp; aws s3 cp s3://rtdc.mdm.uploadarchive.raw/RTDC4033/ "%USERPROFILE%\AppData\Local\Temp\OnboardLogs"\RTDC4033\2018-01-12 --exclude "*" --recursive --include "*20180112*" &amp; "%USERPROFILE%\Documents\GitHub\mrs-test-scripts\Headless Mode &amp; Sideloading\WalkAndUnGZ.bat" "%USERPROFILE%\AppData\Local\Temp\OnboardLogs"\RTDC4033\2018-01-12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/stypes="app*4033*20180111*"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0"/>
        <v>"%USERPROFILE%\Documents\GitHub\eaglep3\Utilities\RefineRTDCRunTimes.py" --tripid 168-11 --locoid 4033 --swversion DE.1.0.9.0 --startMP 204:232963 --initTime 2018-01-11T12:51:38 --startdatetime 2018-01-11T12:57:16 --delay 71 --endMP 204:216 --enddatetime 2018-01-11T13:40:25 --enforcementcount 0 &gt;&gt;%USERPROFILE%\Documents\GitHub\eaglep3-reporting\EC\2018-01-11-refined-times.txt</v>
      </c>
      <c r="AI80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{"issue":{"subject":"","project_id":79,"tracker_id":40,"status_id":1,"priority_id":2,"assigned_to_id":338,"start_date":"2018-01-11","description":"","custom_fields":[{"id":1,"name":"Subdivision","value":"EC"},{"id":4,"name":"Milepost","value":"0.0216"},{"id":17,"name":"Train ID","value":"168-11"},{"id":16,"name":"Locomotive ID","value":"4033"},{"id":130,"name":"Impact","value":""},{"id":150,"name":"Time of Event (Mountain Time)","value":"13:40:25"},{"id":151,"name":"Denver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2"/>
        <v>start /low /b %USERPROFILE%\Documents\GitHub\eaglep3\Utilities\DownloadLogsFromS3.py --loco 4033 --day 2018-01-11</v>
      </c>
      <c r="AN80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20:40:25"},{"id":29,"name":"Sharepoint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14"/>
        <v>https://d0f6bd738d7f1b3e5a7ca70fe4ff75f0.us-east-1.aws.found.io/app/kibana#/discover/Steve-Slow-Train-Analysis-(2080s-and-2083s)?_g=(refreshInterval:(display:Off,pause:!f,section:0,value:0),time:(from:'2018-01-11T11:51:38-0700',mode:absolute,to:'2018-01-11T14:40:25-0700'))&amp;_a=(columns:!('Message%20ID',Summary),filters:!(),index:'emp_*',interval:auto,query:(query_string:(analyze_wildcard:!t,query:'%22rtdc.l.rtdc.4033%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790</v>
      </c>
      <c r="B81" s="225">
        <v>4016</v>
      </c>
      <c r="C81" s="227" t="s">
        <v>191</v>
      </c>
      <c r="D81" s="227" t="s">
        <v>951</v>
      </c>
      <c r="E81" s="226">
        <v>43111.504502314812</v>
      </c>
      <c r="F81" s="226">
        <v>43111.510682870372</v>
      </c>
      <c r="G81" s="225">
        <v>82</v>
      </c>
      <c r="H81" s="227" t="s">
        <v>515</v>
      </c>
      <c r="I81" s="226">
        <v>43111.538402777776</v>
      </c>
      <c r="J81" s="225">
        <v>0</v>
      </c>
      <c r="K81" s="237" t="str">
        <f>IF(ISEVEN(B81),(B81-1)&amp;"/"&amp;B81,B81&amp;"/"&amp;(B81+1))</f>
        <v>4015/4016</v>
      </c>
      <c r="L81" s="245" t="str">
        <f>VLOOKUP(A81,'Trips&amp;Operators'!$C$1:$G$99911,5,FALSE)</f>
        <v>LONG FULLER</v>
      </c>
      <c r="M81" s="224">
        <f>I81-F81</f>
        <v>2.7719907404389232E-2</v>
      </c>
      <c r="N81" s="225">
        <f>24*60*SUM($M81:$M81)</f>
        <v>39.916666662320495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2018-01-11T11:06:29-0700',mode:absolute,to:'2018-01-11T13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4.5100000000000001E-2</v>
      </c>
      <c r="Z81" s="247">
        <f>RIGHT(H81,LEN(H81)-4)/10000</f>
        <v>23.3291</v>
      </c>
      <c r="AA81" s="247">
        <f>ABS(Z81-Y81)</f>
        <v>23.283999999999999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169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s3://rtdc.mdm.uploadarchive.raw/RTDC4016/ "%USERPROFILE%\AppData\Local\Temp\OnboardLogs"\RTDC4016\2018-01-11 --exclude "*" --recursive --include "*20180111*" &amp; "%USERPROFILE%\Documents\GitHub\mrs-test-scripts\Headless Mode &amp; Sideloading\WalkAndUnGZ.bat" "%USERPROFILE%\AppData\Local\Temp\OnboardLogs"\RTDC4016\2018-01-11 &amp; 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/stypes="app*4016*20180111*"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0"/>
        <v>"%USERPROFILE%\Documents\GitHub\eaglep3\Utilities\RefineRTDCRunTimes.py" --tripid 169-11 --locoid 4016 --swversion DE.1.0.9.0 --startMP 204:451 --initTime 2018-01-11T12:06:29 --startdatetime 2018-01-11T12:15:23 --delay 82 --endMP 204:233291 --enddatetime 2018-01-11T12:55:18 --enforcementcount 0 &gt;&gt;%USERPROFILE%\Documents\GitHub\eaglep3-reporting\EC\2018-01-11-refined-times.txt</v>
      </c>
      <c r="AI81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{"issue":{"subject":"","project_id":79,"tracker_id":40,"status_id":1,"priority_id":2,"assigned_to_id":338,"start_date":"2018-01-11","description":"","custom_fields":[{"id":1,"name":"Subdivision","value":"EC"},{"id":4,"name":"Milepost","value":"23.3291"},{"id":17,"name":"Train ID","value":"169-11"},{"id":16,"name":"Locomotive ID","value":"4016"},{"id":130,"name":"Impact","value":""},{"id":150,"name":"Time of Event (Mountain Time)","value":"12:55:18"},{"id":151,"name":"Denver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2"/>
        <v>start /low /b %USERPROFILE%\Documents\GitHub\eaglep3\Utilities\DownloadLogsFromS3.py --loco 4016 --day 2018-01-11</v>
      </c>
      <c r="AN81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4"/>
        <v>https://d0f6bd738d7f1b3e5a7ca70fe4ff75f0.us-east-1.aws.found.io/app/kibana#/discover/Steve-Slow-Train-Analysis-(2080s-and-2083s)?_g=(refreshInterval:(display:Off,pause:!f,section:0,value:0),time:(from:'2018-01-11T11:06:29-0700',mode:absolute,to:'2018-01-11T13:55:18-0700'))&amp;_a=(columns:!('Message%20ID',Summary),filters:!(),index:'emp_*',interval:auto,query:(query_string:(analyze_wildcard:!t,query:'%22rtdc.l.rtdc.4016%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798</v>
      </c>
      <c r="B82" s="225">
        <v>4015</v>
      </c>
      <c r="C82" s="227" t="s">
        <v>191</v>
      </c>
      <c r="D82" s="227" t="s">
        <v>952</v>
      </c>
      <c r="E82" s="226">
        <v>43111.542696759258</v>
      </c>
      <c r="F82" s="226">
        <v>43111.550185185188</v>
      </c>
      <c r="G82" s="225">
        <v>120</v>
      </c>
      <c r="H82" s="227" t="s">
        <v>553</v>
      </c>
      <c r="I82" s="226">
        <v>43111.577118055553</v>
      </c>
      <c r="J82" s="225">
        <v>0</v>
      </c>
      <c r="K82" s="237" t="str">
        <f>IF(ISEVEN(B82),(B82-1)&amp;"/"&amp;B82,B82&amp;"/"&amp;(B82+1))</f>
        <v>4015/4016</v>
      </c>
      <c r="L82" s="245" t="str">
        <f>VLOOKUP(A82,'Trips&amp;Operators'!$C$1:$G$99911,5,FALSE)</f>
        <v>LONG FULLER</v>
      </c>
      <c r="M82" s="224">
        <f>I82-F82</f>
        <v>2.693287036527181E-2</v>
      </c>
      <c r="N82" s="225">
        <f>24*60*SUM($M82:$M82)</f>
        <v>38.783333325991407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2018-01-11T12:01:29-0700',mode:absolute,to:'2018-01-11T14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23.295999999999999</v>
      </c>
      <c r="Z82" s="247">
        <f>RIGHT(H82,LEN(H82)-4)/10000</f>
        <v>2.4199999999999999E-2</v>
      </c>
      <c r="AA82" s="247">
        <f>ABS(Z82-Y82)</f>
        <v>23.271799999999999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170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s3://rtdc.mdm.uploadarchive.raw/RTDC4015/ "%USERPROFILE%\AppData\Local\Temp\OnboardLogs"\RTDC4015\2018-01-11 --exclude "*" --recursive --include "*20180111*" &amp; "%USERPROFILE%\Documents\GitHub\mrs-test-scripts\Headless Mode &amp; Sideloading\WalkAndUnGZ.bat" "%USERPROFILE%\AppData\Local\Temp\OnboardLogs"\RTDC4015\2018-01-11 &amp; 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/stypes="app*4015*20180111*"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0"/>
        <v>"%USERPROFILE%\Documents\GitHub\eaglep3\Utilities\RefineRTDCRunTimes.py" --tripid 170-11 --locoid 4015 --swversion DE.1.0.9.0 --startMP 204:232960 --initTime 2018-01-11T13:01:29 --startdatetime 2018-01-11T13:12:16 --delay 120 --endMP 204:242 --enddatetime 2018-01-11T13:51:03 --enforcementcount 0 &gt;&gt;%USERPROFILE%\Documents\GitHub\eaglep3-reporting\EC\2018-01-11-refined-times.txt</v>
      </c>
      <c r="AI82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{"issue":{"subject":"","project_id":79,"tracker_id":40,"status_id":1,"priority_id":2,"assigned_to_id":338,"start_date":"2018-01-11","description":"","custom_fields":[{"id":1,"name":"Subdivision","value":"EC"},{"id":4,"name":"Milepost","value":"0.0242"},{"id":17,"name":"Train ID","value":"170-11"},{"id":16,"name":"Locomotive ID","value":"4015"},{"id":130,"name":"Impact","value":""},{"id":150,"name":"Time of Event (Mountain Time)","value":"13:51:03"},{"id":151,"name":"Denver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2"/>
        <v>start /low /b %USERPROFILE%\Documents\GitHub\eaglep3\Utilities\DownloadLogsFromS3.py --loco 4015 --day 2018-01-11</v>
      </c>
      <c r="AN82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20:51:03"},{"id":29,"name":"Sharepoint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4"/>
        <v>https://d0f6bd738d7f1b3e5a7ca70fe4ff75f0.us-east-1.aws.found.io/app/kibana#/discover/Steve-Slow-Train-Analysis-(2080s-and-2083s)?_g=(refreshInterval:(display:Off,pause:!f,section:0,value:0),time:(from:'2018-01-11T12:01:29-0700',mode:absolute,to:'2018-01-11T14:51:03-0700'))&amp;_a=(columns:!('Message%20ID',Summary),filters:!(),index:'emp_*',interval:auto,query:(query_string:(analyze_wildcard:!t,query:'%22rtdc.l.rtdc.4015%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664</v>
      </c>
      <c r="B83" s="225">
        <v>4020</v>
      </c>
      <c r="C83" s="227" t="s">
        <v>191</v>
      </c>
      <c r="D83" s="227" t="s">
        <v>953</v>
      </c>
      <c r="E83" s="226">
        <v>43111.520914351851</v>
      </c>
      <c r="F83" s="226">
        <v>43111.527569444443</v>
      </c>
      <c r="G83" s="225">
        <v>516</v>
      </c>
      <c r="H83" s="227" t="s">
        <v>493</v>
      </c>
      <c r="I83" s="226">
        <v>43111.549930555557</v>
      </c>
      <c r="J83" s="225">
        <v>0</v>
      </c>
      <c r="K83" s="237" t="str">
        <f>IF(ISEVEN(B83),(B83-1)&amp;"/"&amp;B83,B83&amp;"/"&amp;(B83+1))</f>
        <v>4019/4020</v>
      </c>
      <c r="L83" s="245" t="str">
        <f>VLOOKUP(A83,'Trips&amp;Operators'!$C$1:$G$99911,5,FALSE)</f>
        <v>BADERTSCHER DIANE</v>
      </c>
      <c r="M83" s="224">
        <f>I83-F83</f>
        <v>2.2361111114150845E-2</v>
      </c>
      <c r="N83" s="225"/>
      <c r="O83" s="225"/>
      <c r="P83" s="225">
        <f>24*60*SUM($M83:$M83)</f>
        <v>32.200000004377216</v>
      </c>
      <c r="Q83" s="228"/>
      <c r="R83" s="242" t="s">
        <v>647</v>
      </c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2018-01-11T11:30:07-0700',mode:absolute,to:'2018-01-11T14:11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3" s="247" t="str">
        <f>IF(AA83&lt;VLOOKUP(AG83,Variables!$AC$3:$AD$8,2,FALSE),"Y","N")</f>
        <v>Y</v>
      </c>
      <c r="X83" s="247">
        <f>VALUE(LEFT(AD83,4))-VALUE(LEFT(AD82,4))</f>
        <v>1</v>
      </c>
      <c r="Y83" s="247">
        <f>RIGHT(D83,LEN(D83)-4)/10000</f>
        <v>1.9121999999999999</v>
      </c>
      <c r="Z83" s="247">
        <f>RIGHT(H83,LEN(H83)-4)/10000</f>
        <v>23.325900000000001</v>
      </c>
      <c r="AA83" s="247">
        <f>ABS(Z83-Y83)</f>
        <v>21.413700000000002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171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s3://rtdc.mdm.uploadarchive.raw/RTDC4020/ "%USERPROFILE%\AppData\Local\Temp\OnboardLogs"\RTDC4020\2018-01-11 --exclude "*" --recursive --include "*20180111*" &amp; "%USERPROFILE%\Documents\GitHub\mrs-test-scripts\Headless Mode &amp; Sideloading\WalkAndUnGZ.bat" "%USERPROFILE%\AppData\Local\Temp\OnboardLogs"\RTDC4020\2018-01-11 &amp; aws s3 cp s3://rtdc.mdm.uploadarchive.raw/RTDC4020/ "%USERPROFILE%\AppData\Local\Temp\OnboardLogs"\RTDC4020\2018-01-12 --exclude "*" --recursive --include "*20180112*" &amp; "%USERPROFILE%\Documents\GitHub\mrs-test-scripts\Headless Mode &amp; Sideloading\WalkAndUnGZ.bat" "%USERPROFILE%\AppData\Local\Temp\OnboardLogs"\RTDC4020\2018-01-12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/stypes="app*4020*20180111*" /stext=" 20:.+((SYSTEM_STATE.+slice.+state.+changed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0"/>
        <v>"%USERPROFILE%\Documents\GitHub\eaglep3\Utilities\RefineRTDCRunTimes.py" --tripid 171-11 --locoid 4020 --swversion DE.1.0.9.0 --startMP 204:19122 --initTime 2018-01-11T12:30:07 --startdatetime 2018-01-11T12:39:42 --delay 516 --endMP 204:233259 --enddatetime 2018-01-11T13:11:54 --enforcementcount 0 &gt;&gt;%USERPROFILE%\Documents\GitHub\eaglep3-reporting\EC\2018-01-11-refined-times.txt</v>
      </c>
      <c r="AI83" s="238" t="str">
        <f t="shared" si="11"/>
        <v>echo {"issue":{"subject":"Extended Wi-MAX data drop","project_id":79,"tracker_id":40,"status_id":1,"priority_id":2,"assigned_to_id":338,"start_date":"2018-01-11","description":"","custom_fields":[{"id":1,"name":"Subdivision","value":"EC"},{"id":4,"name":"Milepost","value":"23.3259"},{"id":17,"name":"Train ID","value":"171-11"},{"id":16,"name":"Locomotive ID","value":"4020"},{"id":130,"name":"Impact","value":""},{"id":150,"name":"Time of Event (Mountain Time)","value":"13:11:54"},{"id":151,"name":"Denver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2"/>
        <v>start /low /b %USERPROFILE%\Documents\GitHub\eaglep3\Utilities\DownloadLogsFromS3.py --loco 4020 --day 2018-01-11</v>
      </c>
      <c r="AN83" s="241" t="str">
        <f t="shared" si="13"/>
        <v>echo {"issue":{"subject":"Extended Wi-MAX data drop","project_id":30,"tracker_id":4,"status_id":1,"priority_id":1,"assigned_to_id":10,"start_date":"2018-01-11","description":"","custom_fields":[{"id":30,"name":"Category","value":"Issue"},{"id":3,"name":"Functional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20:11:54"},{"id":29,"name":"Sharepoint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4"/>
        <v>https://d0f6bd738d7f1b3e5a7ca70fe4ff75f0.us-east-1.aws.found.io/app/kibana#/discover/Steve-Slow-Train-Analysis-(2080s-and-2083s)?_g=(refreshInterval:(display:Off,pause:!f,section:0,value:0),time:(from:'2018-01-11T11:30:07-0700',mode:absolute,to:'2018-01-11T14:11:54-0700'))&amp;_a=(columns:!('Message%20ID',Summary),filters:!(),index:'emp_*',interval:auto,query:(query_string:(analyze_wildcard:!t,query:'%22rtdc.l.rtdc.4020%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800</v>
      </c>
      <c r="B84" s="225">
        <v>4019</v>
      </c>
      <c r="C84" s="227" t="s">
        <v>191</v>
      </c>
      <c r="D84" s="227" t="s">
        <v>954</v>
      </c>
      <c r="E84" s="226">
        <v>43111.552997685183</v>
      </c>
      <c r="F84" s="226">
        <v>43111.560578703706</v>
      </c>
      <c r="G84" s="225">
        <v>106</v>
      </c>
      <c r="H84" s="227" t="s">
        <v>588</v>
      </c>
      <c r="I84" s="226">
        <v>43111.588310185187</v>
      </c>
      <c r="J84" s="225">
        <v>0</v>
      </c>
      <c r="K84" s="237" t="str">
        <f>IF(ISEVEN(B84),(B84-1)&amp;"/"&amp;B84,B84&amp;"/"&amp;(B84+1))</f>
        <v>4019/4020</v>
      </c>
      <c r="L84" s="245" t="str">
        <f>VLOOKUP(A84,'Trips&amp;Operators'!$C$1:$G$99911,5,FALSE)</f>
        <v>BADERTSCHER DIANE</v>
      </c>
      <c r="M84" s="224">
        <f>I84-F84</f>
        <v>2.7731481481168885E-2</v>
      </c>
      <c r="N84" s="225">
        <f>24*60*SUM($M84:$M84)</f>
        <v>39.933333332883194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2018-01-11T12:16:19-0700',mode:absolute,to:'2018-01-11T15:07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f>RIGHT(D84,LEN(D84)-4)/10000</f>
        <v>23.293199999999999</v>
      </c>
      <c r="Z84" s="247">
        <f>RIGHT(H84,LEN(H84)-4)/10000</f>
        <v>2.1600000000000001E-2</v>
      </c>
      <c r="AA84" s="247">
        <f>ABS(Z84-Y84)</f>
        <v>23.271599999999999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172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s3://rtdc.mdm.uploadarchive.raw/RTDC4019/ "%USERPROFILE%\AppData\Local\Temp\OnboardLogs"\RTDC4019\2018-01-11 --exclude "*" --recursive --include "*20180111*" &amp; "%USERPROFILE%\Documents\GitHub\mrs-test-scripts\Headless Mode &amp; Sideloading\WalkAndUnGZ.bat" "%USERPROFILE%\AppData\Local\Temp\OnboardLogs"\RTDC4019\2018-01-11 &amp; aws s3 cp s3://rtdc.mdm.uploadarchive.raw/RTDC4019/ "%USERPROFILE%\AppData\Local\Temp\OnboardLogs"\RTDC4019\2018-01-12 --exclude "*" --recursive --include "*20180112*" &amp; "%USERPROFILE%\Documents\GitHub\mrs-test-scripts\Headless Mode &amp; Sideloading\WalkAndUnGZ.bat" "%USERPROFILE%\AppData\Local\Temp\OnboardLogs"\RTDC4019\2018-01-12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/stypes="app*4019*20180111*" /stext=" 21:.+((SYSTEM_STATE.+slice.+state.+changed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si="10"/>
        <v>"%USERPROFILE%\Documents\GitHub\eaglep3\Utilities\RefineRTDCRunTimes.py" --tripid 172-11 --locoid 4019 --swversion DE.1.0.9.0 --startMP 204:232932 --initTime 2018-01-11T13:16:19 --startdatetime 2018-01-11T13:27:14 --delay 106 --endMP 204:216 --enddatetime 2018-01-11T14:07:10 --enforcementcount 0 &gt;&gt;%USERPROFILE%\Documents\GitHub\eaglep3-reporting\EC\2018-01-11-refined-times.txt</v>
      </c>
      <c r="AI84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{"issue":{"subject":"","project_id":79,"tracker_id":40,"status_id":1,"priority_id":2,"assigned_to_id":338,"start_date":"2018-01-11","description":"","custom_fields":[{"id":1,"name":"Subdivision","value":"EC"},{"id":4,"name":"Milepost","value":"0.0216"},{"id":17,"name":"Train ID","value":"172-11"},{"id":16,"name":"Locomotive ID","value":"4019"},{"id":130,"name":"Impact","value":""},{"id":150,"name":"Time of Event (Mountain Time)","value":"14:07:10"},{"id":151,"name":"Denver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12"/>
        <v>start /low /b %USERPROFILE%\Documents\GitHub\eaglep3\Utilities\DownloadLogsFromS3.py --loco 4019 --day 2018-01-11</v>
      </c>
      <c r="AN84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14"/>
        <v>https://d0f6bd738d7f1b3e5a7ca70fe4ff75f0.us-east-1.aws.found.io/app/kibana#/discover/Steve-Slow-Train-Analysis-(2080s-and-2083s)?_g=(refreshInterval:(display:Off,pause:!f,section:0,value:0),time:(from:'2018-01-11T12:16:19-0700',mode:absolute,to:'2018-01-11T15:07:10-0700'))&amp;_a=(columns:!('Message%20ID',Summary),filters:!(),index:'emp_*',interval:auto,query:(query_string:(analyze_wildcard:!t,query:'%22rtdc.l.rtdc.4019%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29" t="s">
        <v>794</v>
      </c>
      <c r="B85" s="225">
        <v>4022</v>
      </c>
      <c r="C85" s="227" t="s">
        <v>191</v>
      </c>
      <c r="D85" s="227" t="s">
        <v>955</v>
      </c>
      <c r="E85" s="226">
        <v>43111.527141203704</v>
      </c>
      <c r="F85" s="226">
        <v>43111.531458333331</v>
      </c>
      <c r="G85" s="225">
        <v>73</v>
      </c>
      <c r="H85" s="227" t="s">
        <v>486</v>
      </c>
      <c r="I85" s="226">
        <v>43111.556435185186</v>
      </c>
      <c r="J85" s="225">
        <v>0</v>
      </c>
      <c r="K85" s="237" t="str">
        <f>IF(ISEVEN(B85),(B85-1)&amp;"/"&amp;B85,B85&amp;"/"&amp;(B85+1))</f>
        <v>4021/4022</v>
      </c>
      <c r="L85" s="245" t="str">
        <f>VLOOKUP(A85,'Trips&amp;Operators'!$C$1:$G$99911,5,FALSE)</f>
        <v>HOLCOMB KAMDEN</v>
      </c>
      <c r="M85" s="224">
        <f>I85-F85</f>
        <v>2.4976851855171844E-2</v>
      </c>
      <c r="N85" s="225">
        <f>24*60*SUM($M85:$M85)</f>
        <v>35.966666671447456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2018-01-11T11:39:05-0700',mode:absolute,to:'2018-01-11T14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5.0900000000000001E-2</v>
      </c>
      <c r="Z85" s="247">
        <f>RIGHT(H85,LEN(H85)-4)/10000</f>
        <v>23.3246</v>
      </c>
      <c r="AA85" s="247">
        <f>ABS(Z85-Y85)</f>
        <v>23.273700000000002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173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s3://rtdc.mdm.uploadarchive.raw/RTDC4022/ "%USERPROFILE%\AppData\Local\Temp\OnboardLogs"\RTDC4022\2018-01-11 --exclude "*" --recursive --include "*20180111*" &amp; "%USERPROFILE%\Documents\GitHub\mrs-test-scripts\Headless Mode &amp; Sideloading\WalkAndUnGZ.bat" "%USERPROFILE%\AppData\Local\Temp\OnboardLogs"\RTDC4022\2018-01-11 &amp; aws s3 cp s3://rtdc.mdm.uploadarchive.raw/RTDC4022/ "%USERPROFILE%\AppData\Local\Temp\OnboardLogs"\RTDC4022\2018-01-12 --exclude "*" --recursive --include "*20180112*" &amp; "%USERPROFILE%\Documents\GitHub\mrs-test-scripts\Headless Mode &amp; Sideloading\WalkAndUnGZ.bat" "%USERPROFILE%\AppData\Local\Temp\OnboardLogs"\RTDC4022\2018-01-12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/stypes="app*4022*20180111*"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0"/>
        <v>"%USERPROFILE%\Documents\GitHub\eaglep3\Utilities\RefineRTDCRunTimes.py" --tripid 173-11 --locoid 4022 --swversion DE.1.0.9.0 --startMP 204:509 --initTime 2018-01-11T12:39:05 --startdatetime 2018-01-11T12:45:18 --delay 73 --endMP 204:233246 --enddatetime 2018-01-11T13:21:16 --enforcementcount 0 &gt;&gt;%USERPROFILE%\Documents\GitHub\eaglep3-reporting\EC\2018-01-11-refined-times.txt</v>
      </c>
      <c r="AI85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{"issue":{"subject":"","project_id":79,"tracker_id":40,"status_id":1,"priority_id":2,"assigned_to_id":338,"start_date":"2018-01-11","description":"","custom_fields":[{"id":1,"name":"Subdivision","value":"EC"},{"id":4,"name":"Milepost","value":"23.3246"},{"id":17,"name":"Train ID","value":"173-11"},{"id":16,"name":"Locomotive ID","value":"4022"},{"id":130,"name":"Impact","value":""},{"id":150,"name":"Time of Event (Mountain Time)","value":"13:21:16"},{"id":151,"name":"Denver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2"/>
        <v>start /low /b %USERPROFILE%\Documents\GitHub\eaglep3\Utilities\DownloadLogsFromS3.py --loco 4022 --day 2018-01-11</v>
      </c>
      <c r="AN85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20:21:16"},{"id":29,"name":"Sharepoint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14"/>
        <v>https://d0f6bd738d7f1b3e5a7ca70fe4ff75f0.us-east-1.aws.found.io/app/kibana#/discover/Steve-Slow-Train-Analysis-(2080s-and-2083s)?_g=(refreshInterval:(display:Off,pause:!f,section:0,value:0),time:(from:'2018-01-11T11:39:05-0700',mode:absolute,to:'2018-01-11T14:21:16-0700'))&amp;_a=(columns:!('Message%20ID',Summary),filters:!(),index:'emp_*',interval:auto,query:(query_string:(analyze_wildcard:!t,query:'%22rtdc.l.rtdc.4022%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803</v>
      </c>
      <c r="B86" s="225">
        <v>4021</v>
      </c>
      <c r="C86" s="227" t="s">
        <v>191</v>
      </c>
      <c r="D86" s="227" t="s">
        <v>956</v>
      </c>
      <c r="E86" s="226">
        <v>43111.567858796298</v>
      </c>
      <c r="F86" s="226">
        <v>43111.57104166667</v>
      </c>
      <c r="G86" s="225">
        <v>79</v>
      </c>
      <c r="H86" s="227" t="s">
        <v>495</v>
      </c>
      <c r="I86" s="226">
        <v>43111.596608796295</v>
      </c>
      <c r="J86" s="225">
        <v>0</v>
      </c>
      <c r="K86" s="237" t="str">
        <f>IF(ISEVEN(B86),(B86-1)&amp;"/"&amp;B86,B86&amp;"/"&amp;(B86+1))</f>
        <v>4021/4022</v>
      </c>
      <c r="L86" s="245" t="str">
        <f>VLOOKUP(A86,'Trips&amp;Operators'!$C$1:$G$99911,5,FALSE)</f>
        <v>HOLCOMB KAMDEN</v>
      </c>
      <c r="M86" s="224">
        <f>I86-F86</f>
        <v>2.5567129625414964E-2</v>
      </c>
      <c r="N86" s="225">
        <f>24*60*SUM($M86:$M86)</f>
        <v>36.816666660597548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2018-01-11T12:37:43-0700',mode:absolute,to:'2018-01-11T15:19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23.2928</v>
      </c>
      <c r="Z86" s="247">
        <f>RIGHT(H86,LEN(H86)-4)/10000</f>
        <v>2.23E-2</v>
      </c>
      <c r="AA86" s="247">
        <f>ABS(Z86-Y86)</f>
        <v>23.270499999999998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174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s3://rtdc.mdm.uploadarchive.raw/RTDC4021/ "%USERPROFILE%\AppData\Local\Temp\OnboardLogs"\RTDC4021\2018-01-11 --exclude "*" --recursive --include "*20180111*" &amp; "%USERPROFILE%\Documents\GitHub\mrs-test-scripts\Headless Mode &amp; Sideloading\WalkAndUnGZ.bat" "%USERPROFILE%\AppData\Local\Temp\OnboardLogs"\RTDC4021\2018-01-11 &amp; aws s3 cp s3://rtdc.mdm.uploadarchive.raw/RTDC4021/ "%USERPROFILE%\AppData\Local\Temp\OnboardLogs"\RTDC4021\2018-01-12 --exclude "*" --recursive --include "*20180112*" &amp; "%USERPROFILE%\Documents\GitHub\mrs-test-scripts\Headless Mode &amp; Sideloading\WalkAndUnGZ.bat" "%USERPROFILE%\AppData\Local\Temp\OnboardLogs"\RTDC4021\2018-01-12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/stypes="app*4021*20180111*"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0"/>
        <v>"%USERPROFILE%\Documents\GitHub\eaglep3\Utilities\RefineRTDCRunTimes.py" --tripid 174-11 --locoid 4021 --swversion DE.1.0.9.0 --startMP 204:232928 --initTime 2018-01-11T13:37:43 --startdatetime 2018-01-11T13:42:18 --delay 79 --endMP 204:223 --enddatetime 2018-01-11T14:19:07 --enforcementcount 0 &gt;&gt;%USERPROFILE%\Documents\GitHub\eaglep3-reporting\EC\2018-01-11-refined-times.txt</v>
      </c>
      <c r="AI86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{"issue":{"subject":"","project_id":79,"tracker_id":40,"status_id":1,"priority_id":2,"assigned_to_id":338,"start_date":"2018-01-11","description":"","custom_fields":[{"id":1,"name":"Subdivision","value":"EC"},{"id":4,"name":"Milepost","value":"0.0223"},{"id":17,"name":"Train ID","value":"174-11"},{"id":16,"name":"Locomotive ID","value":"4021"},{"id":130,"name":"Impact","value":""},{"id":150,"name":"Time of Event (Mountain Time)","value":"14:19:07"},{"id":151,"name":"Denver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2"/>
        <v>start /low /b %USERPROFILE%\Documents\GitHub\eaglep3\Utilities\DownloadLogsFromS3.py --loco 4021 --day 2018-01-11</v>
      </c>
      <c r="AN86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4"/>
        <v>https://d0f6bd738d7f1b3e5a7ca70fe4ff75f0.us-east-1.aws.found.io/app/kibana#/discover/Steve-Slow-Train-Analysis-(2080s-and-2083s)?_g=(refreshInterval:(display:Off,pause:!f,section:0,value:0),time:(from:'2018-01-11T12:37:43-0700',mode:absolute,to:'2018-01-11T15:19:07-0700'))&amp;_a=(columns:!('Message%20ID',Summary),filters:!(),index:'emp_*',interval:auto,query:(query_string:(analyze_wildcard:!t,query:'%22rtdc.l.rtdc.4021%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797</v>
      </c>
      <c r="B87" s="225">
        <v>4056</v>
      </c>
      <c r="C87" s="227" t="s">
        <v>191</v>
      </c>
      <c r="D87" s="227" t="s">
        <v>609</v>
      </c>
      <c r="E87" s="226">
        <v>43111.538402777776</v>
      </c>
      <c r="F87" s="226">
        <v>43111.542013888888</v>
      </c>
      <c r="G87" s="225">
        <v>82</v>
      </c>
      <c r="H87" s="227" t="s">
        <v>957</v>
      </c>
      <c r="I87" s="226">
        <v>43111.566250000003</v>
      </c>
      <c r="J87" s="225">
        <v>0</v>
      </c>
      <c r="K87" s="237" t="str">
        <f>IF(ISEVEN(B87),(B87-1)&amp;"/"&amp;B87,B87&amp;"/"&amp;(B87+1))</f>
        <v>4055/4056</v>
      </c>
      <c r="L87" s="245" t="str">
        <f>VLOOKUP(A87,'Trips&amp;Operators'!$C$1:$G$99911,5,FALSE)</f>
        <v>BRUDER RICHARD</v>
      </c>
      <c r="M87" s="224">
        <f>I87-F87</f>
        <v>2.4236111115897074E-2</v>
      </c>
      <c r="N87" s="225">
        <f>24*60*SUM($M87:$M87)</f>
        <v>34.900000006891787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2018-01-11T11:55:18-0700',mode:absolute,to:'2018-01-11T14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5.2600000000000001E-2</v>
      </c>
      <c r="Z87" s="247">
        <f>RIGHT(H87,LEN(H87)-4)/10000</f>
        <v>23.321100000000001</v>
      </c>
      <c r="AA87" s="247">
        <f>ABS(Z87-Y87)</f>
        <v>23.2685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175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/stypes="app*4056*20180111*"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0"/>
        <v>"%USERPROFILE%\Documents\GitHub\eaglep3\Utilities\RefineRTDCRunTimes.py" --tripid 175-11 --locoid 4056 --swversion DE.1.0.9.0 --startMP 204:526 --initTime 2018-01-11T12:55:18 --startdatetime 2018-01-11T13:00:30 --delay 82 --endMP 204:233211 --enddatetime 2018-01-11T13:35:24 --enforcementcount 0 &gt;&gt;%USERPROFILE%\Documents\GitHub\eaglep3-reporting\EC\2018-01-11-refined-times.txt</v>
      </c>
      <c r="AI87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{"issue":{"subject":"","project_id":79,"tracker_id":40,"status_id":1,"priority_id":2,"assigned_to_id":338,"start_date":"2018-01-11","description":"","custom_fields":[{"id":1,"name":"Subdivision","value":"EC"},{"id":4,"name":"Milepost","value":"23.3211"},{"id":17,"name":"Train ID","value":"175-11"},{"id":16,"name":"Locomotive ID","value":"4056"},{"id":130,"name":"Impact","value":""},{"id":150,"name":"Time of Event (Mountain Time)","value":"13:35:24"},{"id":151,"name":"Denver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2"/>
        <v>start /low /b %USERPROFILE%\Documents\GitHub\eaglep3\Utilities\DownloadLogsFromS3.py --loco 4056 --day 2018-01-11</v>
      </c>
      <c r="AN87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20:35:24"},{"id":29,"name":"Sharepoint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4"/>
        <v>https://d0f6bd738d7f1b3e5a7ca70fe4ff75f0.us-east-1.aws.found.io/app/kibana#/discover/Steve-Slow-Train-Analysis-(2080s-and-2083s)?_g=(refreshInterval:(display:Off,pause:!f,section:0,value:0),time:(from:'2018-01-11T11:55:18-0700',mode:absolute,to:'2018-01-11T14:35:24-0700'))&amp;_a=(columns:!('Message%20ID',Summary),filters:!(),index:'emp_*',interval:auto,query:(query_string:(analyze_wildcard:!t,query:'%22rtdc.l.rtdc.4056%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805</v>
      </c>
      <c r="B88" s="225">
        <v>4055</v>
      </c>
      <c r="C88" s="227" t="s">
        <v>191</v>
      </c>
      <c r="D88" s="227" t="s">
        <v>958</v>
      </c>
      <c r="E88" s="226">
        <v>43111.577939814815</v>
      </c>
      <c r="F88" s="226">
        <v>43111.581412037034</v>
      </c>
      <c r="G88" s="225">
        <v>87</v>
      </c>
      <c r="H88" s="227" t="s">
        <v>959</v>
      </c>
      <c r="I88" s="226">
        <v>43111.609560185185</v>
      </c>
      <c r="J88" s="225">
        <v>0</v>
      </c>
      <c r="K88" s="237" t="str">
        <f>IF(ISEVEN(B88),(B88-1)&amp;"/"&amp;B88,B88&amp;"/"&amp;(B88+1))</f>
        <v>4055/4056</v>
      </c>
      <c r="L88" s="245" t="str">
        <f>VLOOKUP(A88,'Trips&amp;Operators'!$C$1:$G$99911,5,FALSE)</f>
        <v>BRUDER RICHARD</v>
      </c>
      <c r="M88" s="224">
        <f>I88-F88</f>
        <v>2.8148148150648922E-2</v>
      </c>
      <c r="N88" s="225">
        <f>24*60*SUM($M88:$M88)</f>
        <v>40.533333336934447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2018-01-11T12:52:14-0700',mode:absolute,to:'2018-01-11T15:37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23.288799999999998</v>
      </c>
      <c r="Z88" s="247">
        <f>RIGHT(H88,LEN(H88)-4)/10000</f>
        <v>2.1999999999999999E-2</v>
      </c>
      <c r="AA88" s="247">
        <f>ABS(Z88-Y88)</f>
        <v>23.2668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176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 &amp; 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/stypes="app*4055*20180111*"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0"/>
        <v>"%USERPROFILE%\Documents\GitHub\eaglep3\Utilities\RefineRTDCRunTimes.py" --tripid 176-11 --locoid 4055 --swversion DE.1.0.9.0 --startMP 204:232888 --initTime 2018-01-11T13:52:14 --startdatetime 2018-01-11T13:57:14 --delay 87 --endMP 204:220 --enddatetime 2018-01-11T14:37:46 --enforcementcount 0 &gt;&gt;%USERPROFILE%\Documents\GitHub\eaglep3-reporting\EC\2018-01-11-refined-times.txt</v>
      </c>
      <c r="AI88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{"issue":{"subject":"","project_id":79,"tracker_id":40,"status_id":1,"priority_id":2,"assigned_to_id":338,"start_date":"2018-01-11","description":"","custom_fields":[{"id":1,"name":"Subdivision","value":"EC"},{"id":4,"name":"Milepost","value":"0.022"},{"id":17,"name":"Train ID","value":"176-11"},{"id":16,"name":"Locomotive ID","value":"4055"},{"id":130,"name":"Impact","value":""},{"id":150,"name":"Time of Event (Mountain Time)","value":"14:37:46"},{"id":151,"name":"Denver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2"/>
        <v>start /low /b %USERPROFILE%\Documents\GitHub\eaglep3\Utilities\DownloadLogsFromS3.py --loco 4055 --day 2018-01-11</v>
      </c>
      <c r="AN88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4"/>
        <v>https://d0f6bd738d7f1b3e5a7ca70fe4ff75f0.us-east-1.aws.found.io/app/kibana#/discover/Steve-Slow-Train-Analysis-(2080s-and-2083s)?_g=(refreshInterval:(display:Off,pause:!f,section:0,value:0),time:(from:'2018-01-11T12:52:14-0700',mode:absolute,to:'2018-01-11T15:37:46-0700'))&amp;_a=(columns:!('Message%20ID',Summary),filters:!(),index:'emp_*',interval:auto,query:(query_string:(analyze_wildcard:!t,query:'%22rtdc.l.rtdc.4055%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799</v>
      </c>
      <c r="B89" s="225">
        <v>4012</v>
      </c>
      <c r="C89" s="227" t="s">
        <v>191</v>
      </c>
      <c r="D89" s="227" t="s">
        <v>903</v>
      </c>
      <c r="E89" s="226">
        <v>43111.548564814817</v>
      </c>
      <c r="F89" s="226">
        <v>43111.552407407406</v>
      </c>
      <c r="G89" s="225">
        <v>53</v>
      </c>
      <c r="H89" s="227" t="s">
        <v>602</v>
      </c>
      <c r="I89" s="226">
        <v>43111.577245370368</v>
      </c>
      <c r="J89" s="225">
        <v>0</v>
      </c>
      <c r="K89" s="237" t="str">
        <f>IF(ISEVEN(B89),(B89-1)&amp;"/"&amp;B89,B89&amp;"/"&amp;(B89+1))</f>
        <v>4011/4012</v>
      </c>
      <c r="L89" s="245" t="str">
        <f>VLOOKUP(A89,'Trips&amp;Operators'!$C$1:$G$99911,5,FALSE)</f>
        <v>STEWART MICHAEL</v>
      </c>
      <c r="M89" s="224">
        <f>I89-F89</f>
        <v>2.4837962962919846E-2</v>
      </c>
      <c r="N89" s="225">
        <f>24*60*SUM($M89:$M89)</f>
        <v>35.766666666604578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2018-01-11T12:09:56-0700',mode:absolute,to:'2018-01-11T14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4.8800000000000003E-2</v>
      </c>
      <c r="Z89" s="247">
        <f>RIGHT(H89,LEN(H89)-4)/10000</f>
        <v>23.327000000000002</v>
      </c>
      <c r="AA89" s="247">
        <f>ABS(Z89-Y89)</f>
        <v>23.278200000000002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177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 &amp; aws s3 cp s3://rtdc.mdm.uploadarchive.raw/RTDC4012/ "%USERPROFILE%\AppData\Local\Temp\OnboardLogs"\RTDC4012\2018-01-12 --exclude "*" --recursive --include "*20180112*" &amp; "%USERPROFILE%\Documents\GitHub\mrs-test-scripts\Headless Mode &amp; Sideloading\WalkAndUnGZ.bat" "%USERPROFILE%\AppData\Local\Temp\OnboardLogs"\RTDC4012\2018-01-12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/stypes="app*4012*20180111*"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0"/>
        <v>"%USERPROFILE%\Documents\GitHub\eaglep3\Utilities\RefineRTDCRunTimes.py" --tripid 177-11 --locoid 4012 --swversion DE.1.0.9.0 --startMP 204:488 --initTime 2018-01-11T13:09:56 --startdatetime 2018-01-11T13:15:28 --delay 53 --endMP 204:233270 --enddatetime 2018-01-11T13:51:14 --enforcementcount 0 &gt;&gt;%USERPROFILE%\Documents\GitHub\eaglep3-reporting\EC\2018-01-11-refined-times.txt</v>
      </c>
      <c r="AI89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{"issue":{"subject":"","project_id":79,"tracker_id":40,"status_id":1,"priority_id":2,"assigned_to_id":338,"start_date":"2018-01-11","description":"","custom_fields":[{"id":1,"name":"Subdivision","value":"EC"},{"id":4,"name":"Milepost","value":"23.327"},{"id":17,"name":"Train ID","value":"177-11"},{"id":16,"name":"Locomotive ID","value":"4012"},{"id":130,"name":"Impact","value":""},{"id":150,"name":"Time of Event (Mountain Time)","value":"13:51:14"},{"id":151,"name":"Denver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2"/>
        <v>start /low /b %USERPROFILE%\Documents\GitHub\eaglep3\Utilities\DownloadLogsFromS3.py --loco 4012 --day 2018-01-11</v>
      </c>
      <c r="AN89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20:51:14"},{"id":29,"name":"Sharepoint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4"/>
        <v>https://d0f6bd738d7f1b3e5a7ca70fe4ff75f0.us-east-1.aws.found.io/app/kibana#/discover/Steve-Slow-Train-Analysis-(2080s-and-2083s)?_g=(refreshInterval:(display:Off,pause:!f,section:0,value:0),time:(from:'2018-01-11T12:09:56-0700',mode:absolute,to:'2018-01-11T14:51:14-0700'))&amp;_a=(columns:!('Message%20ID',Summary),filters:!(),index:'emp_*',interval:auto,query:(query_string:(analyze_wildcard:!t,query:'%22rtdc.l.rtdc.4012%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807</v>
      </c>
      <c r="B90" s="225">
        <v>4011</v>
      </c>
      <c r="C90" s="227" t="s">
        <v>191</v>
      </c>
      <c r="D90" s="227" t="s">
        <v>519</v>
      </c>
      <c r="E90" s="226">
        <v>43111.58803240741</v>
      </c>
      <c r="F90" s="226">
        <v>43111.592048611114</v>
      </c>
      <c r="G90" s="225">
        <v>60</v>
      </c>
      <c r="H90" s="227" t="s">
        <v>902</v>
      </c>
      <c r="I90" s="226">
        <v>43111.622245370374</v>
      </c>
      <c r="J90" s="225">
        <v>0</v>
      </c>
      <c r="K90" s="237" t="str">
        <f>IF(ISEVEN(B90),(B90-1)&amp;"/"&amp;B90,B90&amp;"/"&amp;(B90+1))</f>
        <v>4011/4012</v>
      </c>
      <c r="L90" s="245" t="str">
        <f>VLOOKUP(A90,'Trips&amp;Operators'!$C$1:$G$99911,5,FALSE)</f>
        <v>STEWART MICHAEL</v>
      </c>
      <c r="M90" s="224">
        <f>I90-F90</f>
        <v>3.0196759260434192E-2</v>
      </c>
      <c r="N90" s="225">
        <f>24*60*SUM($M90:$M90)</f>
        <v>43.483333335025236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2018-01-11T13:06:46-0700',mode:absolute,to:'2018-01-11T15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23.294699999999999</v>
      </c>
      <c r="Z90" s="247">
        <f>RIGHT(H90,LEN(H90)-4)/10000</f>
        <v>1.67E-2</v>
      </c>
      <c r="AA90" s="247">
        <f>ABS(Z90-Y90)</f>
        <v>23.277999999999999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178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 &amp; aws s3 cp s3://rtdc.mdm.uploadarchive.raw/RTDC4011/ "%USERPROFILE%\AppData\Local\Temp\OnboardLogs"\RTDC4011\2018-01-12 --exclude "*" --recursive --include "*20180112*" &amp; "%USERPROFILE%\Documents\GitHub\mrs-test-scripts\Headless Mode &amp; Sideloading\WalkAndUnGZ.bat" "%USERPROFILE%\AppData\Local\Temp\OnboardLogs"\RTDC4011\2018-01-12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/stypes="app*4011*20180111*"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0"/>
        <v>"%USERPROFILE%\Documents\GitHub\eaglep3\Utilities\RefineRTDCRunTimes.py" --tripid 178-11 --locoid 4011 --swversion DE.1.0.9.0 --startMP 204:232947 --initTime 2018-01-11T14:06:46 --startdatetime 2018-01-11T14:12:33 --delay 60 --endMP 204:167 --enddatetime 2018-01-11T14:56:02 --enforcementcount 0 &gt;&gt;%USERPROFILE%\Documents\GitHub\eaglep3-reporting\EC\2018-01-11-refined-times.txt</v>
      </c>
      <c r="AI90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{"issue":{"subject":"","project_id":79,"tracker_id":40,"status_id":1,"priority_id":2,"assigned_to_id":338,"start_date":"2018-01-11","description":"","custom_fields":[{"id":1,"name":"Subdivision","value":"EC"},{"id":4,"name":"Milepost","value":"0.0167"},{"id":17,"name":"Train ID","value":"178-11"},{"id":16,"name":"Locomotive ID","value":"4011"},{"id":130,"name":"Impact","value":""},{"id":150,"name":"Time of Event (Mountain Time)","value":"14:56:02"},{"id":151,"name":"Denver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2"/>
        <v>start /low /b %USERPROFILE%\Documents\GitHub\eaglep3\Utilities\DownloadLogsFromS3.py --loco 4011 --day 2018-01-11</v>
      </c>
      <c r="AN90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14"/>
        <v>https://d0f6bd738d7f1b3e5a7ca70fe4ff75f0.us-east-1.aws.found.io/app/kibana#/discover/Steve-Slow-Train-Analysis-(2080s-and-2083s)?_g=(refreshInterval:(display:Off,pause:!f,section:0,value:0),time:(from:'2018-01-11T13:06:46-0700',mode:absolute,to:'2018-01-11T15:56:02-0700'))&amp;_a=(columns:!('Message%20ID',Summary),filters:!(),index:'emp_*',interval:auto,query:(query_string:(analyze_wildcard:!t,query:'%22rtdc.l.rtdc.4011%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801</v>
      </c>
      <c r="B91" s="225">
        <v>4042</v>
      </c>
      <c r="C91" s="227" t="s">
        <v>191</v>
      </c>
      <c r="D91" s="227" t="s">
        <v>550</v>
      </c>
      <c r="E91" s="226">
        <v>43111.560034722221</v>
      </c>
      <c r="F91" s="226">
        <v>43111.562731481485</v>
      </c>
      <c r="G91" s="225">
        <v>77</v>
      </c>
      <c r="H91" s="227" t="s">
        <v>960</v>
      </c>
      <c r="I91" s="226">
        <v>43111.586678240739</v>
      </c>
      <c r="J91" s="225">
        <v>0</v>
      </c>
      <c r="K91" s="237" t="str">
        <f>IF(ISEVEN(B91),(B91-1)&amp;"/"&amp;B91,B91&amp;"/"&amp;(B91+1))</f>
        <v>4041/4042</v>
      </c>
      <c r="L91" s="245" t="str">
        <f>VLOOKUP(A91,'Trips&amp;Operators'!$C$1:$G$99911,5,FALSE)</f>
        <v>LEVIN SCOTT</v>
      </c>
      <c r="M91" s="224">
        <f>I91-F91</f>
        <v>2.3946759254613426E-2</v>
      </c>
      <c r="N91" s="225">
        <f>24*60*SUM($M91:$M91)</f>
        <v>34.483333326643333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2018-01-11T12:26:27-0700',mode:absolute,to:'2018-01-11T15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4.3499999999999997E-2</v>
      </c>
      <c r="Z91" s="247">
        <f>RIGHT(H91,LEN(H91)-4)/10000</f>
        <v>23.331600000000002</v>
      </c>
      <c r="AA91" s="247">
        <f>ABS(Z91-Y91)</f>
        <v>23.2881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179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s3://rtdc.mdm.uploadarchive.raw/RTDC4042/ "%USERPROFILE%\AppData\Local\Temp\OnboardLogs"\RTDC4042\2018-01-11 --exclude "*" --recursive --include "*20180111*" &amp; "%USERPROFILE%\Documents\GitHub\mrs-test-scripts\Headless Mode &amp; Sideloading\WalkAndUnGZ.bat" "%USERPROFILE%\AppData\Local\Temp\OnboardLogs"\RTDC4042\2018-01-11 &amp; aws s3 cp s3://rtdc.mdm.uploadarchive.raw/RTDC4042/ "%USERPROFILE%\AppData\Local\Temp\OnboardLogs"\RTDC4042\2018-01-12 --exclude "*" --recursive --include "*20180112*" &amp; "%USERPROFILE%\Documents\GitHub\mrs-test-scripts\Headless Mode &amp; Sideloading\WalkAndUnGZ.bat" "%USERPROFILE%\AppData\Local\Temp\OnboardLogs"\RTDC4042\2018-01-12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/stypes="app*4042*20180111*" /stext=" 21:.+((SYSTEM_STATE.+slice.+state.+changed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0"/>
        <v>"%USERPROFILE%\Documents\GitHub\eaglep3\Utilities\RefineRTDCRunTimes.py" --tripid 179-11 --locoid 4042 --swversion DE.1.0.9.0 --startMP 204:435 --initTime 2018-01-11T13:26:27 --startdatetime 2018-01-11T13:30:20 --delay 77 --endMP 204:233316 --enddatetime 2018-01-11T14:04:49 --enforcementcount 0 &gt;&gt;%USERPROFILE%\Documents\GitHub\eaglep3-reporting\EC\2018-01-11-refined-times.txt</v>
      </c>
      <c r="AI91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{"issue":{"subject":"","project_id":79,"tracker_id":40,"status_id":1,"priority_id":2,"assigned_to_id":338,"start_date":"2018-01-11","description":"","custom_fields":[{"id":1,"name":"Subdivision","value":"EC"},{"id":4,"name":"Milepost","value":"23.3316"},{"id":17,"name":"Train ID","value":"179-11"},{"id":16,"name":"Locomotive ID","value":"4042"},{"id":130,"name":"Impact","value":""},{"id":150,"name":"Time of Event (Mountain Time)","value":"14:04:49"},{"id":151,"name":"Denver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2"/>
        <v>start /low /b %USERPROFILE%\Documents\GitHub\eaglep3\Utilities\DownloadLogsFromS3.py --loco 4042 --day 2018-01-11</v>
      </c>
      <c r="AN91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4"/>
        <v>https://d0f6bd738d7f1b3e5a7ca70fe4ff75f0.us-east-1.aws.found.io/app/kibana#/discover/Steve-Slow-Train-Analysis-(2080s-and-2083s)?_g=(refreshInterval:(display:Off,pause:!f,section:0,value:0),time:(from:'2018-01-11T12:26:27-0700',mode:absolute,to:'2018-01-11T15:04:49-0700'))&amp;_a=(columns:!('Message%20ID',Summary),filters:!(),index:'emp_*',interval:auto,query:(query_string:(analyze_wildcard:!t,query:'%22rtdc.l.rtdc.4042%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671</v>
      </c>
      <c r="B92" s="225">
        <v>4041</v>
      </c>
      <c r="C92" s="227" t="s">
        <v>191</v>
      </c>
      <c r="D92" s="227" t="s">
        <v>961</v>
      </c>
      <c r="E92" s="226">
        <v>43111.592893518522</v>
      </c>
      <c r="F92" s="226">
        <v>43111.603067129632</v>
      </c>
      <c r="G92" s="225">
        <v>57</v>
      </c>
      <c r="H92" s="227" t="s">
        <v>962</v>
      </c>
      <c r="I92" s="226">
        <v>43111.619664351849</v>
      </c>
      <c r="J92" s="225">
        <v>0</v>
      </c>
      <c r="K92" s="237" t="str">
        <f>IF(ISEVEN(B92),(B92-1)&amp;"/"&amp;B92,B92&amp;"/"&amp;(B92+1))</f>
        <v>4041/4042</v>
      </c>
      <c r="L92" s="245" t="str">
        <f>VLOOKUP(A92,'Trips&amp;Operators'!$C$1:$G$99911,5,FALSE)</f>
        <v>LEVIN SCOTT</v>
      </c>
      <c r="M92" s="224">
        <f>I92-F92</f>
        <v>1.6597222216660157E-2</v>
      </c>
      <c r="N92" s="225"/>
      <c r="O92" s="225"/>
      <c r="P92" s="225">
        <f>24*60*SUM($M92:$M92)</f>
        <v>23.899999991990626</v>
      </c>
      <c r="Q92" s="228"/>
      <c r="R92" s="242" t="s">
        <v>439</v>
      </c>
      <c r="S92" s="249">
        <f>1/IF(AG92="EC",12,1)*SUM(U92:U92+U93+U94)</f>
        <v>0.33333333333333331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2018-01-11T13:13:46-0700',mode:absolute,to:'2018-01-11T15:52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2" s="247" t="str">
        <f>IF(AA92&lt;VLOOKUP(AG92,Variables!$AC$3:$AD$8,2,FALSE),"Y","N")</f>
        <v>Y</v>
      </c>
      <c r="X92" s="247">
        <f>VALUE(LEFT(AD92,4))-VALUE(LEFT(AD91,4))</f>
        <v>1</v>
      </c>
      <c r="Y92" s="247">
        <f>RIGHT(D92,LEN(D92)-4)/10000</f>
        <v>23.302600000000002</v>
      </c>
      <c r="Z92" s="247">
        <f>RIGHT(H92,LEN(H92)-4)/10000</f>
        <v>8.8485999999999994</v>
      </c>
      <c r="AA92" s="247">
        <f>ABS(Z92-Y92)</f>
        <v>14.454000000000002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180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/stypes="app*4041*20180111*"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0"/>
        <v>"%USERPROFILE%\Documents\GitHub\eaglep3\Utilities\RefineRTDCRunTimes.py" --tripid 180-11 --locoid 4041 --swversion DE.1.0.9.0 --startMP 204:233026 --initTime 2018-01-11T14:13:46 --startdatetime 2018-01-11T14:28:25 --delay 57 --endMP 204:88486 --enddatetime 2018-01-11T14:52:19 --enforcementcount 0 &gt;&gt;%USERPROFILE%\Documents\GitHub\eaglep3-reporting\EC\2018-01-11-refined-times.txt</v>
      </c>
      <c r="AI92" s="238" t="str">
        <f t="shared" si="11"/>
        <v>echo {"issue":{"subject":"Wi-MAX data drop","project_id":79,"tracker_id":40,"status_id":1,"priority_id":2,"assigned_to_id":338,"start_date":"2018-01-11","description":"","custom_fields":[{"id":1,"name":"Subdivision","value":"EC"},{"id":4,"name":"Milepost","value":"8.8486"},{"id":17,"name":"Train ID","value":"180-11"},{"id":16,"name":"Locomotive ID","value":"4041"},{"id":130,"name":"Impact","value":""},{"id":150,"name":"Time of Event (Mountain Time)","value":"14:52:19"},{"id":151,"name":"Denver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2"/>
        <v>start /low /b %USERPROFILE%\Documents\GitHub\eaglep3\Utilities\DownloadLogsFromS3.py --loco 4041 --day 2018-01-11</v>
      </c>
      <c r="AN92" s="241" t="str">
        <f t="shared" si="13"/>
        <v>echo {"issue":{"subject":"Wi-MAX data drop","project_id":30,"tracker_id":4,"status_id":1,"priority_id":1,"assigned_to_id":10,"start_date":"2018-01-11","description":"","custom_fields":[{"id":30,"name":"Category","value":"Issue"},{"id":3,"name":"Functional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21:52:19"},{"id":29,"name":"Sharepoint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4"/>
        <v>https://d0f6bd738d7f1b3e5a7ca70fe4ff75f0.us-east-1.aws.found.io/app/kibana#/discover/Steve-Slow-Train-Analysis-(2080s-and-2083s)?_g=(refreshInterval:(display:Off,pause:!f,section:0,value:0),time:(from:'2018-01-11T13:13:46-0700',mode:absolute,to:'2018-01-11T15:52:19-0700'))&amp;_a=(columns:!('Message%20ID',Summary),filters:!(),index:'emp_*',interval:auto,query:(query_string:(analyze_wildcard:!t,query:'%22rtdc.l.rtdc.4041%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671</v>
      </c>
      <c r="B93" s="225">
        <v>4041</v>
      </c>
      <c r="C93" s="227" t="s">
        <v>191</v>
      </c>
      <c r="D93" s="227" t="s">
        <v>963</v>
      </c>
      <c r="E93" s="226">
        <v>43111.627824074072</v>
      </c>
      <c r="F93" s="226">
        <v>43111.629479166666</v>
      </c>
      <c r="G93" s="225">
        <v>38</v>
      </c>
      <c r="H93" s="227" t="s">
        <v>964</v>
      </c>
      <c r="I93" s="226">
        <v>43111.634641203702</v>
      </c>
      <c r="J93" s="225">
        <v>0</v>
      </c>
      <c r="K93" s="237" t="str">
        <f>IF(ISEVEN(B93),(B93-1)&amp;"/"&amp;B93,B93&amp;"/"&amp;(B93+1))</f>
        <v>4041/4042</v>
      </c>
      <c r="L93" s="245" t="str">
        <f>VLOOKUP(A93,'Trips&amp;Operators'!$C$1:$G$99911,5,FALSE)</f>
        <v>LEVIN SCOTT</v>
      </c>
      <c r="M93" s="224">
        <f>I93-F93</f>
        <v>5.1620370359160006E-3</v>
      </c>
      <c r="N93" s="225"/>
      <c r="O93" s="225"/>
      <c r="P93" s="225"/>
      <c r="Q93" s="228"/>
      <c r="R93" s="242"/>
      <c r="S93" s="249"/>
      <c r="T93" s="242" t="str">
        <f>IF(ISEVEN(LEFT(AD93,4)),"Southbound","NorthBound")</f>
        <v>Southbound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2018-01-11T14:04:04-0700',mode:absolute,to:'2018-01-11T16:13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3" s="247" t="str">
        <f>IF(AA93&lt;VLOOKUP(AG93,Variables!$AC$3:$AD$8,2,FALSE),"Y","N")</f>
        <v>Y</v>
      </c>
      <c r="X93" s="247">
        <f>VALUE(LEFT(AD93,4))-VALUE(LEFT(AD92,4))</f>
        <v>0</v>
      </c>
      <c r="Y93" s="247">
        <f>RIGHT(D93,LEN(D93)-4)/10000</f>
        <v>3.0897999999999999</v>
      </c>
      <c r="Z93" s="247">
        <f>RIGHT(H93,LEN(H93)-4)/10000</f>
        <v>3.78E-2</v>
      </c>
      <c r="AA93" s="247">
        <f>ABS(Z93-Y93)</f>
        <v>3.052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180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/stypes="app*4041*20180111*" /stext=" 22:.+((SYSTEM_STATE.+slice.+state.+changed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0"/>
        <v>"%USERPROFILE%\Documents\GitHub\eaglep3\Utilities\RefineRTDCRunTimes.py" --tripid 180-11 --locoid 4041 --swversion DE.1.0.9.0 --startMP 204:30898 --initTime 2018-01-11T15:04:04 --startdatetime 2018-01-11T15:06:27 --delay 38 --endMP 204:378 --enddatetime 2018-01-11T15:13:53 --enforcementcount 0 &gt;&gt;%USERPROFILE%\Documents\GitHub\eaglep3-reporting\EC\2018-01-11-refined-times.txt</v>
      </c>
      <c r="AI93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{"issue":{"subject":"","project_id":79,"tracker_id":40,"status_id":1,"priority_id":2,"assigned_to_id":338,"start_date":"2018-01-11","description":"","custom_fields":[{"id":1,"name":"Subdivision","value":"EC"},{"id":4,"name":"Milepost","value":"0.0378"},{"id":17,"name":"Train ID","value":"180-11"},{"id":16,"name":"Locomotive ID","value":"4041"},{"id":130,"name":"Impact","value":""},{"id":150,"name":"Time of Event (Mountain Time)","value":"15:13:53"},{"id":151,"name":"Denver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2"/>
        <v>start /low /b %USERPROFILE%\Documents\GitHub\eaglep3\Utilities\DownloadLogsFromS3.py --loco 4041 --day 2018-01-11</v>
      </c>
      <c r="AN93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22:13:53"},{"id":29,"name":"Sharepoint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4"/>
        <v>https://d0f6bd738d7f1b3e5a7ca70fe4ff75f0.us-east-1.aws.found.io/app/kibana#/discover/Steve-Slow-Train-Analysis-(2080s-and-2083s)?_g=(refreshInterval:(display:Off,pause:!f,section:0,value:0),time:(from:'2018-01-11T14:04:04-0700',mode:absolute,to:'2018-01-11T16:13:53-0700'))&amp;_a=(columns:!('Message%20ID',Summary),filters:!(),index:'emp_*',interval:auto,query:(query_string:(analyze_wildcard:!t,query:'%22rtdc.l.rtdc.4041%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671</v>
      </c>
      <c r="B94" s="225">
        <v>4041</v>
      </c>
      <c r="C94" s="227" t="s">
        <v>191</v>
      </c>
      <c r="D94" s="227" t="s">
        <v>965</v>
      </c>
      <c r="E94" s="226">
        <v>43111.622754629629</v>
      </c>
      <c r="F94" s="226">
        <v>43111.623530092591</v>
      </c>
      <c r="G94" s="225">
        <v>37</v>
      </c>
      <c r="H94" s="227" t="s">
        <v>966</v>
      </c>
      <c r="I94" s="226">
        <v>43111.624386574076</v>
      </c>
      <c r="J94" s="225">
        <v>0</v>
      </c>
      <c r="K94" s="237" t="str">
        <f>IF(ISEVEN(B94),(B94-1)&amp;"/"&amp;B94,B94&amp;"/"&amp;(B94+1))</f>
        <v>4041/4042</v>
      </c>
      <c r="L94" s="245" t="str">
        <f>VLOOKUP(A94,'Trips&amp;Operators'!$C$1:$G$99911,5,FALSE)</f>
        <v>LEVIN SCOTT</v>
      </c>
      <c r="M94" s="224">
        <f>I94-F94</f>
        <v>8.5648148524342105E-4</v>
      </c>
      <c r="N94" s="225"/>
      <c r="O94" s="225"/>
      <c r="P94" s="225"/>
      <c r="Q94" s="228"/>
      <c r="R94" s="242"/>
      <c r="S94" s="249"/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2018-01-11T13:56:46-0700',mode:absolute,to:'2018-01-11T15:59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247" t="str">
        <f>IF(AA94&lt;VLOOKUP(AG94,Variables!$AC$3:$AD$8,2,FALSE),"Y","N")</f>
        <v>Y</v>
      </c>
      <c r="X94" s="247">
        <f>VALUE(LEFT(AD94,4))-VALUE(LEFT(AD93,4))</f>
        <v>0</v>
      </c>
      <c r="Y94" s="247">
        <f>RIGHT(D94,LEN(D94)-4)/10000</f>
        <v>6.3827999999999996</v>
      </c>
      <c r="Z94" s="247">
        <f>RIGHT(H94,LEN(H94)-4)/10000</f>
        <v>6.0624000000000002</v>
      </c>
      <c r="AA94" s="247">
        <f>ABS(Z94-Y94)</f>
        <v>0.32039999999999935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180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/stypes="app*4041*20180111*" /stext=" 21:.+((SYSTEM_STATE.+slice.+state.+changed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0"/>
        <v>"%USERPROFILE%\Documents\GitHub\eaglep3\Utilities\RefineRTDCRunTimes.py" --tripid 180-11 --locoid 4041 --swversion DE.1.0.9.0 --startMP 204:63828 --initTime 2018-01-11T14:56:46 --startdatetime 2018-01-11T14:57:53 --delay 37 --endMP 204:60624 --enddatetime 2018-01-11T14:59:07 --enforcementcount 0 &gt;&gt;%USERPROFILE%\Documents\GitHub\eaglep3-reporting\EC\2018-01-11-refined-times.txt</v>
      </c>
      <c r="AI94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{"issue":{"subject":"","project_id":79,"tracker_id":40,"status_id":1,"priority_id":2,"assigned_to_id":338,"start_date":"2018-01-11","description":"","custom_fields":[{"id":1,"name":"Subdivision","value":"EC"},{"id":4,"name":"Milepost","value":"6.0624"},{"id":17,"name":"Train ID","value":"180-11"},{"id":16,"name":"Locomotive ID","value":"4041"},{"id":130,"name":"Impact","value":""},{"id":150,"name":"Time of Event (Mountain Time)","value":"14:59:07"},{"id":151,"name":"Denver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2"/>
        <v>start /low /b %USERPROFILE%\Documents\GitHub\eaglep3\Utilities\DownloadLogsFromS3.py --loco 4041 --day 2018-01-11</v>
      </c>
      <c r="AN94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21:59:07"},{"id":29,"name":"Sharepoint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4"/>
        <v>https://d0f6bd738d7f1b3e5a7ca70fe4ff75f0.us-east-1.aws.found.io/app/kibana#/discover/Steve-Slow-Train-Analysis-(2080s-and-2083s)?_g=(refreshInterval:(display:Off,pause:!f,section:0,value:0),time:(from:'2018-01-11T13:56:46-0700',mode:absolute,to:'2018-01-11T15:59:07-0700'))&amp;_a=(columns:!('Message%20ID',Summary),filters:!(),index:'emp_*',interval:auto,query:(query_string:(analyze_wildcard:!t,query:'%22rtdc.l.rtdc.4041%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804</v>
      </c>
      <c r="B95" s="225">
        <v>4034</v>
      </c>
      <c r="C95" s="227" t="s">
        <v>191</v>
      </c>
      <c r="D95" s="227" t="s">
        <v>591</v>
      </c>
      <c r="E95" s="226">
        <v>43111.570567129631</v>
      </c>
      <c r="F95" s="226">
        <v>43111.573078703703</v>
      </c>
      <c r="G95" s="225">
        <v>49</v>
      </c>
      <c r="H95" s="227" t="s">
        <v>923</v>
      </c>
      <c r="I95" s="226">
        <v>43111.598124999997</v>
      </c>
      <c r="J95" s="225">
        <v>0</v>
      </c>
      <c r="K95" s="237" t="str">
        <f>IF(ISEVEN(B95),(B95-1)&amp;"/"&amp;B95,B95&amp;"/"&amp;(B95+1))</f>
        <v>4033/4034</v>
      </c>
      <c r="L95" s="245" t="str">
        <f>VLOOKUP(A95,'Trips&amp;Operators'!$C$1:$G$99911,5,FALSE)</f>
        <v>ROBINSON KADDIBA</v>
      </c>
      <c r="M95" s="224">
        <f>I95-F95</f>
        <v>2.5046296294021886E-2</v>
      </c>
      <c r="N95" s="225">
        <f>24*60*SUM($M95:$M95)</f>
        <v>36.066666663391516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2018-01-11T12:41:37-0700',mode:absolute,to:'2018-01-11T15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5.1999999999999998E-2</v>
      </c>
      <c r="Z95" s="247">
        <f>RIGHT(H95,LEN(H95)-4)/10000</f>
        <v>23.3308</v>
      </c>
      <c r="AA95" s="247">
        <f>ABS(Z95-Y95)</f>
        <v>23.2788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181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/stypes="app*4034*20180111*"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0"/>
        <v>"%USERPROFILE%\Documents\GitHub\eaglep3\Utilities\RefineRTDCRunTimes.py" --tripid 181-11 --locoid 4034 --swversion DE.1.0.9.0 --startMP 204:520 --initTime 2018-01-11T13:41:37 --startdatetime 2018-01-11T13:45:14 --delay 49 --endMP 204:233308 --enddatetime 2018-01-11T14:21:18 --enforcementcount 0 &gt;&gt;%USERPROFILE%\Documents\GitHub\eaglep3-reporting\EC\2018-01-11-refined-times.txt</v>
      </c>
      <c r="AI95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{"issue":{"subject":"","project_id":79,"tracker_id":40,"status_id":1,"priority_id":2,"assigned_to_id":338,"start_date":"2018-01-11","description":"","custom_fields":[{"id":1,"name":"Subdivision","value":"EC"},{"id":4,"name":"Milepost","value":"23.3308"},{"id":17,"name":"Train ID","value":"181-11"},{"id":16,"name":"Locomotive ID","value":"4034"},{"id":130,"name":"Impact","value":""},{"id":150,"name":"Time of Event (Mountain Time)","value":"14:21:18"},{"id":151,"name":"Denver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2"/>
        <v>start /low /b %USERPROFILE%\Documents\GitHub\eaglep3\Utilities\DownloadLogsFromS3.py --loco 4034 --day 2018-01-11</v>
      </c>
      <c r="AN95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14"/>
        <v>https://d0f6bd738d7f1b3e5a7ca70fe4ff75f0.us-east-1.aws.found.io/app/kibana#/discover/Steve-Slow-Train-Analysis-(2080s-and-2083s)?_g=(refreshInterval:(display:Off,pause:!f,section:0,value:0),time:(from:'2018-01-11T12:41:37-0700',mode:absolute,to:'2018-01-11T15:21:18-0700'))&amp;_a=(columns:!('Message%20ID',Summary),filters:!(),index:'emp_*',interval:auto,query:(query_string:(analyze_wildcard:!t,query:'%22rtdc.l.rtdc.4034%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811</v>
      </c>
      <c r="B96" s="225">
        <v>4033</v>
      </c>
      <c r="C96" s="227" t="s">
        <v>191</v>
      </c>
      <c r="D96" s="227" t="s">
        <v>591</v>
      </c>
      <c r="E96" s="226">
        <v>43111.570567129631</v>
      </c>
      <c r="F96" s="226">
        <v>43111.612708333334</v>
      </c>
      <c r="G96" s="225">
        <v>49</v>
      </c>
      <c r="H96" s="227" t="s">
        <v>923</v>
      </c>
      <c r="I96" s="226">
        <v>43111.621018518519</v>
      </c>
      <c r="J96" s="225">
        <v>0</v>
      </c>
      <c r="K96" s="237" t="str">
        <f>IF(ISEVEN(B96),(B96-1)&amp;"/"&amp;B96,B96&amp;"/"&amp;(B96+1))</f>
        <v>4033/4034</v>
      </c>
      <c r="L96" s="245" t="str">
        <f>VLOOKUP(A96,'Trips&amp;Operators'!$C$1:$G$99911,5,FALSE)</f>
        <v>ROBINSON KADDIBA</v>
      </c>
      <c r="M96" s="224">
        <f>I96-F96</f>
        <v>8.3101851851097308E-3</v>
      </c>
      <c r="N96" s="225"/>
      <c r="O96" s="225"/>
      <c r="P96" s="225">
        <f>24*60*SUM($M96:$M96)</f>
        <v>11.966666666558012</v>
      </c>
      <c r="Q96" s="228"/>
      <c r="R96" s="242" t="s">
        <v>1117</v>
      </c>
      <c r="S96" s="249">
        <f>1/IF(AG96="EC",12,1)*SUM(U96:U96+U97)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0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2018-01-11T12:41:37-0700',mode:absolute,to:'2018-01-11T15:54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6" s="247" t="str">
        <f>IF(AA96&lt;VLOOKUP(AG96,Variables!$AC$3:$AD$8,2,FALSE),"Y","N")</f>
        <v>Y</v>
      </c>
      <c r="X96" s="247">
        <f>VALUE(LEFT(AD96,4))-VALUE(LEFT(AD95,4))</f>
        <v>1</v>
      </c>
      <c r="Y96" s="247">
        <v>23.2713</v>
      </c>
      <c r="Z96" s="247">
        <v>19.2669</v>
      </c>
      <c r="AA96" s="247">
        <f>ABS(Z96-Y96)</f>
        <v>4.0044000000000004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182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s3://rtdc.mdm.uploadarchive.raw/RTDC4033/ "%USERPROFILE%\AppData\Local\Temp\OnboardLogs"\RTDC4033\2018-01-11 --exclude "*" --recursive --include "*20180111*" &amp; "%USERPROFILE%\Documents\GitHub\mrs-test-scripts\Headless Mode &amp; Sideloading\WalkAndUnGZ.bat" "%USERPROFILE%\AppData\Local\Temp\OnboardLogs"\RTDC4033\2018-01-11 &amp; aws s3 cp s3://rtdc.mdm.uploadarchive.raw/RTDC4033/ "%USERPROFILE%\AppData\Local\Temp\OnboardLogs"\RTDC4033\2018-01-12 --exclude "*" --recursive --include "*20180112*" &amp; "%USERPROFILE%\Documents\GitHub\mrs-test-scripts\Headless Mode &amp; Sideloading\WalkAndUnGZ.bat" "%USERPROFILE%\AppData\Local\Temp\OnboardLogs"\RTDC4033\2018-01-12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/stypes="app*4033*20180111*" /stext=" 21:.+((SYSTEM_STATE.+slice.+state.+changed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ref="AH96" si="15">refinertdcruntimes&amp;" --tripid "&amp;A96&amp;" --locoid "&amp;B96&amp;" --swversion "&amp;C96&amp;" --startMP "&amp;D96&amp;" --initTime "&amp;TEXT(E96,"yyyy-mm-ddTHH:MM:SS")&amp;" --startdatetime "&amp;TEXT(F96,"yyyy-mm-ddTHH:MM:SS")&amp;" --delay "&amp;G96&amp;" --endMP "&amp;H96&amp;" --enddatetime "&amp;TEXT(I96,"yyyy-mm-ddTHH:MM:SS")&amp;" --enforcementcount "&amp;J96&amp;IF(outputrefinedruntimes," &gt;&gt;"&amp;RefinedRTDCRunTimesOutputFile,"")</f>
        <v>"%USERPROFILE%\Documents\GitHub\eaglep3\Utilities\RefineRTDCRunTimes.py" --tripid 182-11 --locoid 4033 --swversion DE.1.0.9.0 --startMP 204:520 --initTime 2018-01-11T13:41:37 --startdatetime 2018-01-11T14:42:18 --delay 49 --endMP 204:233308 --enddatetime 2018-01-11T14:54:16 --enforcementcount 0 &gt;&gt;%USERPROFILE%\Documents\GitHub\eaglep3-reporting\EC\2018-01-11-refined-times.txt</v>
      </c>
      <c r="AI96" s="238" t="str">
        <f t="shared" ref="AI96" si="16">"echo {""issue"":{""subject"":"""&amp;R96&amp;""",""project_id"":79,""tracker_id"":40,""status_id"":"&amp;redmine_status&amp;",""priority_id"":"&amp;redmine_priority&amp;",""assigned_to_id"":"&amp;redmine_assignee&amp;",""start_date"":"""&amp;TEXT(I96,"YYYY-mm-dd")&amp;""",""description"":"""&amp;AJ96&amp;""",""custom_fields"":[{""id"":1,""name"":""Subdivision"",""value"":"""&amp;AG96&amp;"""},{""id"":4,""name"":""Milepost"",""value"":"""&amp;Z96&amp;"""},{""id"":17,""name"":""Train ID"",""value"":"""&amp;A96&amp;"""},{""id"":16,""name"":""Locomotive ID"",""value"":"""&amp;B96&amp;"""},{""id"":130,""name"":""Impact"",""value"":"""&amp;AK96&amp;"""},{""id"":150,""name"":""Time of Event (Mountain Time)"",""value"":"""&amp;TEXT(I96,"hh:mm:ss")&amp;"""},{""id"":151,""name"":""Denver Issue ID"",""value"":"""&amp;"""},{""id"":178,""name"":""Operational Impact"",""value"":"""&amp;redmine_op_impact&amp;"""},{""id"":179,""name"":""Denver Segment Assigned"",""value"":"""&amp;AL96&amp;"""}]}}"&amp;" | curl --insecure -X POST -H ""Content-Type: application/json"" -H ""X-Redmine-API-Key: "&amp;redm_api_key&amp;""" "&amp;redm_url&amp;" --data @-"</f>
        <v>echo {"issue":{"subject":"Wi-MAX data drop, no PTC enforcement","project_id":79,"tracker_id":40,"status_id":1,"priority_id":2,"assigned_to_id":338,"start_date":"2018-01-11","description":"","custom_fields":[{"id":1,"name":"Subdivision","value":"EC"},{"id":4,"name":"Milepost","value":"19.2669"},{"id":17,"name":"Train ID","value":"182-11"},{"id":16,"name":"Locomotive ID","value":"4033"},{"id":130,"name":"Impact","value":""},{"id":150,"name":"Time of Event (Mountain Time)","value":"14:54:16"},{"id":151,"name":"Denver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ref="AM96" si="17">"start /low /b "&amp;dls3logs&amp;" --loco "&amp;B96&amp;" --day "&amp;TEXT(F96,"YYYY-MM-DD")</f>
        <v>start /low /b %USERPROFILE%\Documents\GitHub\eaglep3\Utilities\DownloadLogsFromS3.py --loco 4033 --day 2018-01-11</v>
      </c>
      <c r="AN96" s="241" t="str">
        <f t="shared" ref="AN96" si="18">"echo {""issue"":{""subject"":"""&amp;R96&amp;""",""project_id"":30,""tracker_id"":4,""status_id"":"&amp;redmine_status_wcr&amp;",""priority_id"":"&amp;redmine_priority_wcr&amp;",""assigned_to_id"":"&amp;redmine_assignee_wcr&amp;",""start_date"":"""&amp;TEXT(I96-utc_offset/24,"YYYY-mm-dd")&amp;""",""description"":"""&amp;AJ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drop, no PTC enforcement","project_id":30,"tracker_id":4,"status_id":1,"priority_id":1,"assigned_to_id":10,"start_date":"2018-01-11","description":"","custom_fields":[{"id":30,"name":"Category","value":"Issue"},{"id":3,"name":"Functional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ref="AO96" si="19"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Message%20ID',Summary),filters:!(),index:'emp_*',interval:auto,query:"&amp;"(query_string:(analyze_wildcard:!t,query:'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2018-01-11T12:41:37-0700',mode:absolute,to:'2018-01-11T15:54:16-0700'))&amp;_a=(columns:!('Message%20ID',Summary),filters:!(),index:'emp_*',interval:auto,query:(query_string:(analyze_wildcard:!t,query:'%22rtdc.l.rtdc.4033%22')),sort:!(Time.ISO8601,asc))</v>
      </c>
      <c r="AP96" s="223"/>
      <c r="AQ96" s="223"/>
      <c r="AR96" s="223"/>
      <c r="AS96" s="223"/>
      <c r="AT96" s="223"/>
      <c r="AU96" s="223"/>
      <c r="AV96" s="223"/>
      <c r="AW96" s="223"/>
      <c r="AX96" s="223"/>
      <c r="AY96" s="223"/>
      <c r="AZ96" s="223"/>
      <c r="BA96" s="223"/>
      <c r="BB96" s="223"/>
      <c r="BC96" s="223"/>
      <c r="BD96" s="223"/>
      <c r="BE96" s="223"/>
      <c r="BF96" s="223"/>
      <c r="BG96" s="223"/>
      <c r="BH96" s="223"/>
      <c r="BI96" s="223"/>
      <c r="BJ96" s="223"/>
      <c r="BK96" s="223"/>
      <c r="BL96" s="223"/>
      <c r="BM96" s="223"/>
      <c r="BN96" s="223"/>
      <c r="BO96" s="223"/>
      <c r="BP96" s="223"/>
      <c r="BQ96" s="223"/>
      <c r="BR96" s="223"/>
      <c r="BS96" s="223"/>
      <c r="BT96" s="223"/>
      <c r="BU96" s="223"/>
      <c r="BV96" s="223"/>
      <c r="BW96" s="223"/>
      <c r="BX96" s="223"/>
      <c r="BY96" s="223"/>
      <c r="BZ96" s="223"/>
      <c r="CA96" s="223"/>
      <c r="CB96" s="223"/>
      <c r="CC96" s="223"/>
      <c r="CD96" s="223"/>
      <c r="CE96" s="223"/>
      <c r="CF96" s="223"/>
      <c r="CG96" s="223"/>
      <c r="CH96" s="223"/>
      <c r="CI96" s="223"/>
      <c r="CJ96" s="223"/>
      <c r="CK96" s="223"/>
      <c r="CL96" s="223"/>
      <c r="CM96" s="223"/>
    </row>
    <row r="97" spans="1:91" s="1" customFormat="1" x14ac:dyDescent="0.3">
      <c r="A97" s="229" t="s">
        <v>811</v>
      </c>
      <c r="B97" s="225">
        <v>4033</v>
      </c>
      <c r="C97" s="227" t="s">
        <v>191</v>
      </c>
      <c r="D97" s="227" t="s">
        <v>591</v>
      </c>
      <c r="E97" s="226">
        <v>43111.570567129631</v>
      </c>
      <c r="F97" s="226">
        <v>43111.627615740741</v>
      </c>
      <c r="G97" s="225">
        <v>49</v>
      </c>
      <c r="H97" s="227" t="s">
        <v>923</v>
      </c>
      <c r="I97" s="226">
        <v>43111.647164351853</v>
      </c>
      <c r="J97" s="225">
        <v>0</v>
      </c>
      <c r="K97" s="237" t="str">
        <f>IF(ISEVEN(B97),(B97-1)&amp;"/"&amp;B97,B97&amp;"/"&amp;(B97+1))</f>
        <v>4033/4034</v>
      </c>
      <c r="L97" s="245" t="str">
        <f>VLOOKUP(A97,'Trips&amp;Operators'!$C$1:$G$99911,5,FALSE)</f>
        <v>ROBINSON KADDIBA</v>
      </c>
      <c r="M97" s="224">
        <f>I97-F97</f>
        <v>1.95486111115315E-2</v>
      </c>
      <c r="N97" s="225"/>
      <c r="O97" s="225"/>
      <c r="P97" s="225"/>
      <c r="Q97" s="228"/>
      <c r="R97" s="242" t="s">
        <v>439</v>
      </c>
      <c r="S97" s="249"/>
      <c r="T97" s="242" t="str">
        <f>IF(ISEVEN(LEFT(AD97,4)),"Southbound","NorthBound")</f>
        <v>Southbound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2018-01-11T12:41:37-0700',mode:absolute,to:'2018-01-11T16:31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7" s="247" t="str">
        <f>IF(AA97&lt;VLOOKUP(AG97,Variables!$AC$3:$AD$8,2,FALSE),"Y","N")</f>
        <v>Y</v>
      </c>
      <c r="X97" s="247">
        <f>VALUE(LEFT(AD97,4))-VALUE(LEFT(AD96,4))</f>
        <v>0</v>
      </c>
      <c r="Y97" s="247">
        <v>12.766299999999999</v>
      </c>
      <c r="Z97" s="247">
        <v>1.78E-2</v>
      </c>
      <c r="AA97" s="247">
        <f>ABS(Z97-Y97)</f>
        <v>12.7485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182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s3://rtdc.mdm.uploadarchive.raw/RTDC4033/ "%USERPROFILE%\AppData\Local\Temp\OnboardLogs"\RTDC4033\2018-01-11 --exclude "*" --recursive --include "*20180111*" &amp; "%USERPROFILE%\Documents\GitHub\mrs-test-scripts\Headless Mode &amp; Sideloading\WalkAndUnGZ.bat" "%USERPROFILE%\AppData\Local\Temp\OnboardLogs"\RTDC4033\2018-01-11 &amp; aws s3 cp s3://rtdc.mdm.uploadarchive.raw/RTDC4033/ "%USERPROFILE%\AppData\Local\Temp\OnboardLogs"\RTDC4033\2018-01-12 --exclude "*" --recursive --include "*20180112*" &amp; "%USERPROFILE%\Documents\GitHub\mrs-test-scripts\Headless Mode &amp; Sideloading\WalkAndUnGZ.bat" "%USERPROFILE%\AppData\Local\Temp\OnboardLogs"\RTDC4033\2018-01-12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/stypes="app*4033*20180111*" /stext=" 22:.+((SYSTEM_STATE.+slice.+state.+changed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ref="AH97" si="20">refinertdcruntimes&amp;" --tripid "&amp;A97&amp;" --locoid "&amp;B97&amp;" --swversion "&amp;C97&amp;" --startMP "&amp;D97&amp;" --initTime "&amp;TEXT(E97,"yyyy-mm-ddTHH:MM:SS")&amp;" --startdatetime "&amp;TEXT(F97,"yyyy-mm-ddTHH:MM:SS")&amp;" --delay "&amp;G97&amp;" --endMP "&amp;H97&amp;" --enddatetime "&amp;TEXT(I97,"yyyy-mm-ddTHH:MM:SS")&amp;" --enforcementcount "&amp;J97&amp;IF(outputrefinedruntimes," &gt;&gt;"&amp;RefinedRTDCRunTimesOutputFile,"")</f>
        <v>"%USERPROFILE%\Documents\GitHub\eaglep3\Utilities\RefineRTDCRunTimes.py" --tripid 182-11 --locoid 4033 --swversion DE.1.0.9.0 --startMP 204:520 --initTime 2018-01-11T13:41:37 --startdatetime 2018-01-11T15:03:46 --delay 49 --endMP 204:233308 --enddatetime 2018-01-11T15:31:55 --enforcementcount 0 &gt;&gt;%USERPROFILE%\Documents\GitHub\eaglep3-reporting\EC\2018-01-11-refined-times.txt</v>
      </c>
      <c r="AI97" s="238" t="str">
        <f t="shared" ref="AI97" si="21">"echo {""issue"":{""subject"":"""&amp;R97&amp;""",""project_id"":79,""tracker_id"":40,""status_id"":"&amp;redmine_status&amp;",""priority_id"":"&amp;redmine_priority&amp;",""assigned_to_id"":"&amp;redmine_assignee&amp;",""start_date"":"""&amp;TEXT(I97,"YYYY-mm-dd")&amp;""",""description"":"""&amp;AJ97&amp;""",""custom_fields"":[{""id"":1,""name"":""Subdivision"",""value"":"""&amp;AG97&amp;"""},{""id"":4,""name"":""Milepost"",""value"":"""&amp;Z97&amp;"""},{""id"":17,""name"":""Train ID"",""value"":"""&amp;A97&amp;"""},{""id"":16,""name"":""Locomotive ID"",""value"":"""&amp;B97&amp;"""},{""id"":130,""name"":""Impact"",""value"":"""&amp;AK97&amp;"""},{""id"":150,""name"":""Time of Event (Mountain Time)"",""value"":"""&amp;TEXT(I97,"hh:mm:ss")&amp;"""},{""id"":151,""name"":""Denver Issue ID"",""value"":"""&amp;"""},{""id"":178,""name"":""Operational Impact"",""value"":"""&amp;redmine_op_impact&amp;"""},{""id"":179,""name"":""Denver Segment Assigned"",""value"":"""&amp;AL97&amp;"""}]}}"&amp;"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drop","project_id":79,"tracker_id":40,"status_id":1,"priority_id":2,"assigned_to_id":338,"start_date":"2018-01-11","description":"","custom_fields":[{"id":1,"name":"Subdivision","value":"EC"},{"id":4,"name":"Milepost","value":"0.0178"},{"id":17,"name":"Train ID","value":"182-11"},{"id":16,"name":"Locomotive ID","value":"4033"},{"id":130,"name":"Impact","value":""},{"id":150,"name":"Time of Event (Mountain Time)","value":"15:31:55"},{"id":151,"name":"Denver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ref="AM97" si="22">"start /low /b "&amp;dls3logs&amp;" --loco "&amp;B97&amp;" --day "&amp;TEXT(F97,"YYYY-MM-DD")</f>
        <v>start /low /b %USERPROFILE%\Documents\GitHub\eaglep3\Utilities\DownloadLogsFromS3.py --loco 4033 --day 2018-01-11</v>
      </c>
      <c r="AN97" s="241" t="str">
        <f t="shared" ref="AN97" si="23">"echo {""issue"":{""subject"":"""&amp;R97&amp;""",""project_id"":30,""tracker_id"":4,""status_id"":"&amp;redmine_status_wcr&amp;",""priority_id"":"&amp;redmine_priority_wcr&amp;",""assigned_to_id"":"&amp;redmine_assignee_wcr&amp;",""start_date"":"""&amp;TEXT(I97-utc_offset/24,"YYYY-mm-dd")&amp;""",""description"":"""&amp;AJ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22:31:55"},{"id":29,"name":"Sharepoint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ref="AO97" si="24"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Message%20ID',Summary),filters:!(),index:'emp_*',interval:auto,query:"&amp;"(query_string:(analyze_wildcard:!t,query:'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2018-01-11T12:41:37-0700',mode:absolute,to:'2018-01-11T16:31:55-0700'))&amp;_a=(columns:!('Message%20ID',Summary),filters:!(),index:'emp_*',interval:auto,query:(query_string:(analyze_wildcard:!t,query:'%22rtdc.l.rtdc.4033%22')),sort:!(Time.ISO8601,asc))</v>
      </c>
      <c r="AP97" s="223"/>
      <c r="AQ97" s="223"/>
      <c r="AR97" s="223"/>
      <c r="AS97" s="223"/>
      <c r="AT97" s="223"/>
      <c r="AU97" s="223"/>
      <c r="AV97" s="223"/>
      <c r="AW97" s="223"/>
      <c r="AX97" s="223"/>
      <c r="AY97" s="223"/>
      <c r="AZ97" s="223"/>
      <c r="BA97" s="223"/>
      <c r="BB97" s="223"/>
      <c r="BC97" s="223"/>
      <c r="BD97" s="223"/>
      <c r="BE97" s="223"/>
      <c r="BF97" s="223"/>
      <c r="BG97" s="223"/>
      <c r="BH97" s="223"/>
      <c r="BI97" s="223"/>
      <c r="BJ97" s="223"/>
      <c r="BK97" s="223"/>
      <c r="BL97" s="223"/>
      <c r="BM97" s="223"/>
      <c r="BN97" s="223"/>
      <c r="BO97" s="223"/>
      <c r="BP97" s="223"/>
      <c r="BQ97" s="223"/>
      <c r="BR97" s="223"/>
      <c r="BS97" s="223"/>
      <c r="BT97" s="223"/>
      <c r="BU97" s="223"/>
      <c r="BV97" s="223"/>
      <c r="BW97" s="223"/>
      <c r="BX97" s="223"/>
      <c r="BY97" s="223"/>
      <c r="BZ97" s="223"/>
      <c r="CA97" s="223"/>
      <c r="CB97" s="223"/>
      <c r="CC97" s="223"/>
      <c r="CD97" s="223"/>
      <c r="CE97" s="223"/>
      <c r="CF97" s="223"/>
      <c r="CG97" s="223"/>
      <c r="CH97" s="223"/>
      <c r="CI97" s="223"/>
      <c r="CJ97" s="223"/>
      <c r="CK97" s="223"/>
      <c r="CL97" s="223"/>
      <c r="CM97" s="223"/>
    </row>
    <row r="98" spans="1:91" s="1" customFormat="1" x14ac:dyDescent="0.3">
      <c r="A98" s="229" t="s">
        <v>806</v>
      </c>
      <c r="B98" s="225">
        <v>4016</v>
      </c>
      <c r="C98" s="227" t="s">
        <v>191</v>
      </c>
      <c r="D98" s="227" t="s">
        <v>552</v>
      </c>
      <c r="E98" s="226">
        <v>43111.578321759262</v>
      </c>
      <c r="F98" s="226">
        <v>43111.583506944444</v>
      </c>
      <c r="G98" s="225">
        <v>65</v>
      </c>
      <c r="H98" s="227" t="s">
        <v>515</v>
      </c>
      <c r="I98" s="226">
        <v>43111.612627314818</v>
      </c>
      <c r="J98" s="225">
        <v>0</v>
      </c>
      <c r="K98" s="237" t="str">
        <f>IF(ISEVEN(B98),(B98-1)&amp;"/"&amp;B98,B98&amp;"/"&amp;(B98+1))</f>
        <v>4015/4016</v>
      </c>
      <c r="L98" s="245" t="str">
        <f>VLOOKUP(A98,'Trips&amp;Operators'!$C$1:$G$99911,5,FALSE)</f>
        <v>LONG FULLER</v>
      </c>
      <c r="M98" s="224">
        <f>I98-F98</f>
        <v>2.9120370374585036E-2</v>
      </c>
      <c r="N98" s="225">
        <f>24*60*SUM($M98:$M98)</f>
        <v>41.933333339402452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NorthBound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2018-01-11T12:52:47-0700',mode:absolute,to:'2018-01-11T15:42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8" s="247" t="str">
        <f>IF(AA98&lt;VLOOKUP(AG98,Variables!$AC$3:$AD$8,2,FALSE),"Y","N")</f>
        <v>N</v>
      </c>
      <c r="X98" s="247">
        <f>VALUE(LEFT(AD98,4))-VALUE(LEFT(AD96,4))</f>
        <v>1</v>
      </c>
      <c r="Y98" s="247">
        <f>RIGHT(D98,LEN(D98)-4)/10000</f>
        <v>5.4800000000000001E-2</v>
      </c>
      <c r="Z98" s="247">
        <f>RIGHT(H98,LEN(H98)-4)/10000</f>
        <v>23.3291</v>
      </c>
      <c r="AA98" s="247">
        <f>ABS(Z98-Y98)</f>
        <v>23.2743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183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s3://rtdc.mdm.uploadarchive.raw/RTDC4016/ "%USERPROFILE%\AppData\Local\Temp\OnboardLogs"\RTDC4016\2018-01-11 --exclude "*" --recursive --include "*20180111*" &amp; "%USERPROFILE%\Documents\GitHub\mrs-test-scripts\Headless Mode &amp; Sideloading\WalkAndUnGZ.bat" "%USERPROFILE%\AppData\Local\Temp\OnboardLogs"\RTDC4016\2018-01-11 &amp; 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/stypes="app*4016*20180111*" /stext=" 21:.+((SYSTEM_STATE.+slice.+state.+changed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0"/>
        <v>"%USERPROFILE%\Documents\GitHub\eaglep3\Utilities\RefineRTDCRunTimes.py" --tripid 183-11 --locoid 4016 --swversion DE.1.0.9.0 --startMP 204:548 --initTime 2018-01-11T13:52:47 --startdatetime 2018-01-11T14:00:15 --delay 65 --endMP 204:233291 --enddatetime 2018-01-11T14:42:11 --enforcementcount 0 &gt;&gt;%USERPROFILE%\Documents\GitHub\eaglep3-reporting\EC\2018-01-11-refined-times.txt</v>
      </c>
      <c r="AI98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{"issue":{"subject":"","project_id":79,"tracker_id":40,"status_id":1,"priority_id":2,"assigned_to_id":338,"start_date":"2018-01-11","description":"","custom_fields":[{"id":1,"name":"Subdivision","value":"EC"},{"id":4,"name":"Milepost","value":"23.3291"},{"id":17,"name":"Train ID","value":"183-11"},{"id":16,"name":"Locomotive ID","value":"4016"},{"id":130,"name":"Impact","value":""},{"id":150,"name":"Time of Event (Mountain Time)","value":"14:42:11"},{"id":151,"name":"Denver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2"/>
        <v>start /low /b %USERPROFILE%\Documents\GitHub\eaglep3\Utilities\DownloadLogsFromS3.py --loco 4016 --day 2018-01-11</v>
      </c>
      <c r="AN98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21:42:11"},{"id":29,"name":"Sharepoint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4"/>
        <v>https://d0f6bd738d7f1b3e5a7ca70fe4ff75f0.us-east-1.aws.found.io/app/kibana#/discover/Steve-Slow-Train-Analysis-(2080s-and-2083s)?_g=(refreshInterval:(display:Off,pause:!f,section:0,value:0),time:(from:'2018-01-11T12:52:47-0700',mode:absolute,to:'2018-01-11T15:42:11-0700'))&amp;_a=(columns:!('Message%20ID',Summary),filters:!(),index:'emp_*',interval:auto,query:(query_string:(analyze_wildcard:!t,query:'%22rtdc.l.rtdc.4016%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812</v>
      </c>
      <c r="B99" s="225">
        <v>4015</v>
      </c>
      <c r="C99" s="227" t="s">
        <v>191</v>
      </c>
      <c r="D99" s="227" t="s">
        <v>967</v>
      </c>
      <c r="E99" s="226">
        <v>43111.635439814818</v>
      </c>
      <c r="F99" s="226">
        <v>43111.63652777778</v>
      </c>
      <c r="G99" s="225">
        <v>39</v>
      </c>
      <c r="H99" s="227" t="s">
        <v>522</v>
      </c>
      <c r="I99" s="226">
        <v>43111.655821759261</v>
      </c>
      <c r="J99" s="225">
        <v>0</v>
      </c>
      <c r="K99" s="237" t="str">
        <f>IF(ISEVEN(B99),(B99-1)&amp;"/"&amp;B99,B99&amp;"/"&amp;(B99+1))</f>
        <v>4015/4016</v>
      </c>
      <c r="L99" s="245" t="str">
        <f>VLOOKUP(A99,'Trips&amp;Operators'!$C$1:$G$99911,5,FALSE)</f>
        <v>LONG FULLER</v>
      </c>
      <c r="M99" s="224">
        <f>I99-F99</f>
        <v>1.9293981480586808E-2</v>
      </c>
      <c r="N99" s="225"/>
      <c r="O99" s="225"/>
      <c r="P99" s="225">
        <f>24*60*SUM($M99:$M99)</f>
        <v>27.783333332045004</v>
      </c>
      <c r="Q99" s="228"/>
      <c r="R99" s="242" t="s">
        <v>1118</v>
      </c>
      <c r="S99" s="249">
        <f>1/IF(AG99="EC",12,1)*SUM(U99:U99)</f>
        <v>1</v>
      </c>
      <c r="T99" s="242" t="str">
        <f>IF(ISEVEN(LEFT(AD99,4)),"Southbound","NorthBound")</f>
        <v>Southbound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2018-01-11T14:15:02-0700',mode:absolute,to:'2018-01-11T16:44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9" s="247" t="str">
        <f>IF(AA99&lt;VLOOKUP(AG99,Variables!$AC$3:$AD$8,2,FALSE),"Y","N")</f>
        <v>Y</v>
      </c>
      <c r="X99" s="247">
        <f>VALUE(LEFT(AD99,4))-VALUE(LEFT(AD98,4))</f>
        <v>1</v>
      </c>
      <c r="Y99" s="247">
        <f>RIGHT(D99,LEN(D99)-4)/10000</f>
        <v>12.7875</v>
      </c>
      <c r="Z99" s="247">
        <f>RIGHT(H99,LEN(H99)-4)/10000</f>
        <v>2.3199999999999998E-2</v>
      </c>
      <c r="AA99" s="247">
        <f>ABS(Z99-Y99)</f>
        <v>12.7643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184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s3://rtdc.mdm.uploadarchive.raw/RTDC4015/ "%USERPROFILE%\AppData\Local\Temp\OnboardLogs"\RTDC4015\2018-01-11 --exclude "*" --recursive --include "*20180111*" &amp; "%USERPROFILE%\Documents\GitHub\mrs-test-scripts\Headless Mode &amp; Sideloading\WalkAndUnGZ.bat" "%USERPROFILE%\AppData\Local\Temp\OnboardLogs"\RTDC4015\2018-01-11 &amp; 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/stypes="app*4015*20180111*" /stext=" 22:.+((SYSTEM_STATE.+slice.+state.+changed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0"/>
        <v>"%USERPROFILE%\Documents\GitHub\eaglep3\Utilities\RefineRTDCRunTimes.py" --tripid 184-11 --locoid 4015 --swversion DE.1.0.9.0 --startMP 204:127875 --initTime 2018-01-11T15:15:02 --startdatetime 2018-01-11T15:16:36 --delay 39 --endMP 204:232 --enddatetime 2018-01-11T15:44:23 --enforcementcount 0 &gt;&gt;%USERPROFILE%\Documents\GitHub\eaglep3-reporting\EC\2018-01-11-refined-times.txt</v>
      </c>
      <c r="AI99" s="238" t="str">
        <f t="shared" si="11"/>
        <v>echo {"issue":{"subject":"Wi-MAX data drop during init at DIA","project_id":79,"tracker_id":40,"status_id":1,"priority_id":2,"assigned_to_id":338,"start_date":"2018-01-11","description":"","custom_fields":[{"id":1,"name":"Subdivision","value":"EC"},{"id":4,"name":"Milepost","value":"0.0232"},{"id":17,"name":"Train ID","value":"184-11"},{"id":16,"name":"Locomotive ID","value":"4015"},{"id":130,"name":"Impact","value":""},{"id":150,"name":"Time of Event (Mountain Time)","value":"15:44:23"},{"id":151,"name":"Denver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2"/>
        <v>start /low /b %USERPROFILE%\Documents\GitHub\eaglep3\Utilities\DownloadLogsFromS3.py --loco 4015 --day 2018-01-11</v>
      </c>
      <c r="AN99" s="241" t="str">
        <f t="shared" si="13"/>
        <v>echo {"issue":{"subject":"Wi-MAX data drop during init at DIA","project_id":30,"tracker_id":4,"status_id":1,"priority_id":1,"assigned_to_id":10,"start_date":"2018-01-11","description":"","custom_fields":[{"id":30,"name":"Category","value":"Issue"},{"id":3,"name":"Functional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22:44:23"},{"id":29,"name":"Sharepoint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4"/>
        <v>https://d0f6bd738d7f1b3e5a7ca70fe4ff75f0.us-east-1.aws.found.io/app/kibana#/discover/Steve-Slow-Train-Analysis-(2080s-and-2083s)?_g=(refreshInterval:(display:Off,pause:!f,section:0,value:0),time:(from:'2018-01-11T14:15:02-0700',mode:absolute,to:'2018-01-11T16:44:23-0700'))&amp;_a=(columns:!('Message%20ID',Summary),filters:!(),index:'emp_*',interval:auto,query:(query_string:(analyze_wildcard:!t,query:'%22rtdc.l.rtdc.4015%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812</v>
      </c>
      <c r="B100" s="225">
        <v>4015</v>
      </c>
      <c r="C100" s="227" t="s">
        <v>191</v>
      </c>
      <c r="D100" s="227" t="s">
        <v>589</v>
      </c>
      <c r="E100" s="226">
        <v>43111.615937499999</v>
      </c>
      <c r="F100" s="226">
        <v>43111.63652777778</v>
      </c>
      <c r="G100" s="225">
        <v>85</v>
      </c>
      <c r="H100" s="227" t="s">
        <v>968</v>
      </c>
      <c r="I100" s="226">
        <v>43111.655821759261</v>
      </c>
      <c r="J100" s="225">
        <v>0</v>
      </c>
      <c r="K100" s="237" t="str">
        <f>IF(ISEVEN(B100),(B100-1)&amp;"/"&amp;B100,B100&amp;"/"&amp;(B100+1))</f>
        <v>4015/4016</v>
      </c>
      <c r="L100" s="245" t="str">
        <f>VLOOKUP(A100,'Trips&amp;Operators'!$C$1:$G$99911,5,FALSE)</f>
        <v>LONG FULLER</v>
      </c>
      <c r="M100" s="224">
        <f>I100-F100</f>
        <v>1.9293981480586808E-2</v>
      </c>
      <c r="N100" s="225"/>
      <c r="O100" s="225"/>
      <c r="P100" s="225"/>
      <c r="Q100" s="228"/>
      <c r="R100" s="242"/>
      <c r="S100" s="249"/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0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2018-01-11T13:46:57-0700',mode:absolute,to:'2018-01-11T16:44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247" t="str">
        <f>IF(AA100&lt;VLOOKUP(AG100,Variables!$AC$3:$AD$8,2,FALSE),"Y","N")</f>
        <v>Y</v>
      </c>
      <c r="X100" s="247">
        <f>VALUE(LEFT(AD100,4))-VALUE(LEFT(AD99,4))</f>
        <v>0</v>
      </c>
      <c r="Y100" s="247">
        <f>RIGHT(D100,LEN(D100)-4)/10000</f>
        <v>23.297999999999998</v>
      </c>
      <c r="Z100" s="247">
        <f>RIGHT(H100,LEN(H100)-4)/10000</f>
        <v>23.2347</v>
      </c>
      <c r="AA100" s="247">
        <f>ABS(Z100-Y100)</f>
        <v>6.3299999999998136E-2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184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s3://rtdc.mdm.uploadarchive.raw/RTDC4015/ "%USERPROFILE%\AppData\Local\Temp\OnboardLogs"\RTDC4015\2018-01-11 --exclude "*" --recursive --include "*20180111*" &amp; "%USERPROFILE%\Documents\GitHub\mrs-test-scripts\Headless Mode &amp; Sideloading\WalkAndUnGZ.bat" "%USERPROFILE%\AppData\Local\Temp\OnboardLogs"\RTDC4015\2018-01-11 &amp; 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/stypes="app*4015*20180111*"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0"/>
        <v>"%USERPROFILE%\Documents\GitHub\eaglep3\Utilities\RefineRTDCRunTimes.py" --tripid 184-11 --locoid 4015 --swversion DE.1.0.9.0 --startMP 204:232980 --initTime 2018-01-11T14:46:57 --startdatetime 2018-01-11T15:16:36 --delay 85 --endMP 204:232347 --enddatetime 2018-01-11T15:44:23 --enforcementcount 0 &gt;&gt;%USERPROFILE%\Documents\GitHub\eaglep3-reporting\EC\2018-01-11-refined-times.txt</v>
      </c>
      <c r="AI100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{"issue":{"subject":"","project_id":79,"tracker_id":40,"status_id":1,"priority_id":2,"assigned_to_id":338,"start_date":"2018-01-11","description":"","custom_fields":[{"id":1,"name":"Subdivision","value":"EC"},{"id":4,"name":"Milepost","value":"23.2347"},{"id":17,"name":"Train ID","value":"184-11"},{"id":16,"name":"Locomotive ID","value":"4015"},{"id":130,"name":"Impact","value":""},{"id":150,"name":"Time of Event (Mountain Time)","value":"15:44:23"},{"id":151,"name":"Denver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2"/>
        <v>start /low /b %USERPROFILE%\Documents\GitHub\eaglep3\Utilities\DownloadLogsFromS3.py --loco 4015 --day 2018-01-11</v>
      </c>
      <c r="AN100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22:44:23"},{"id":29,"name":"Sharepoint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4"/>
        <v>https://d0f6bd738d7f1b3e5a7ca70fe4ff75f0.us-east-1.aws.found.io/app/kibana#/discover/Steve-Slow-Train-Analysis-(2080s-and-2083s)?_g=(refreshInterval:(display:Off,pause:!f,section:0,value:0),time:(from:'2018-01-11T13:46:57-0700',mode:absolute,to:'2018-01-11T16:44:23-0700'))&amp;_a=(columns:!('Message%20ID',Summary),filters:!(),index:'emp_*',interval:auto,query:(query_string:(analyze_wildcard:!t,query:'%22rtdc.l.rtdc.4015%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809</v>
      </c>
      <c r="B101" s="225">
        <v>4020</v>
      </c>
      <c r="C101" s="227" t="s">
        <v>191</v>
      </c>
      <c r="D101" s="227" t="s">
        <v>586</v>
      </c>
      <c r="E101" s="226">
        <v>43111.590520833335</v>
      </c>
      <c r="F101" s="226">
        <v>43111.593912037039</v>
      </c>
      <c r="G101" s="225">
        <v>76</v>
      </c>
      <c r="H101" s="227" t="s">
        <v>969</v>
      </c>
      <c r="I101" s="226">
        <v>43111.619108796294</v>
      </c>
      <c r="J101" s="225">
        <v>0</v>
      </c>
      <c r="K101" s="237" t="str">
        <f>IF(ISEVEN(B101),(B101-1)&amp;"/"&amp;B101,B101&amp;"/"&amp;(B101+1))</f>
        <v>4019/4020</v>
      </c>
      <c r="L101" s="245" t="str">
        <f>VLOOKUP(A101,'Trips&amp;Operators'!$C$1:$G$99911,5,FALSE)</f>
        <v>BADERTSCHER DIANE</v>
      </c>
      <c r="M101" s="224">
        <f>I101-F101</f>
        <v>2.5196759255777579E-2</v>
      </c>
      <c r="N101" s="225"/>
      <c r="O101" s="225"/>
      <c r="P101" s="225">
        <f>24*60*SUM($M101:$M101)</f>
        <v>36.283333328319713</v>
      </c>
      <c r="Q101" s="228"/>
      <c r="R101" s="242" t="s">
        <v>1117</v>
      </c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2018-01-11T13:10:21-0700',mode:absolute,to:'2018-01-11T15:51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1" s="247" t="str">
        <f>IF(AA101&lt;VLOOKUP(AG101,Variables!$AC$3:$AD$8,2,FALSE),"Y","N")</f>
        <v>Y</v>
      </c>
      <c r="X101" s="247">
        <f>VALUE(LEFT(AD101,4))-VALUE(LEFT(AD100,4))</f>
        <v>1</v>
      </c>
      <c r="Y101" s="247">
        <f>RIGHT(D101,LEN(D101)-4)/10000</f>
        <v>5.1900000000000002E-2</v>
      </c>
      <c r="Z101" s="247">
        <f>RIGHT(H101,LEN(H101)-4)/10000</f>
        <v>21.6478</v>
      </c>
      <c r="AA101" s="247">
        <f>ABS(Z101-Y101)</f>
        <v>21.5959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185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s3://rtdc.mdm.uploadarchive.raw/RTDC4020/ "%USERPROFILE%\AppData\Local\Temp\OnboardLogs"\RTDC4020\2018-01-11 --exclude "*" --recursive --include "*20180111*" &amp; "%USERPROFILE%\Documents\GitHub\mrs-test-scripts\Headless Mode &amp; Sideloading\WalkAndUnGZ.bat" "%USERPROFILE%\AppData\Local\Temp\OnboardLogs"\RTDC4020\2018-01-11 &amp; aws s3 cp s3://rtdc.mdm.uploadarchive.raw/RTDC4020/ "%USERPROFILE%\AppData\Local\Temp\OnboardLogs"\RTDC4020\2018-01-12 --exclude "*" --recursive --include "*20180112*" &amp; "%USERPROFILE%\Documents\GitHub\mrs-test-scripts\Headless Mode &amp; Sideloading\WalkAndUnGZ.bat" "%USERPROFILE%\AppData\Local\Temp\OnboardLogs"\RTDC4020\2018-01-12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/stypes="app*4020*20180111*" /stext=" 21:.+((SYSTEM_STATE.+slice.+state.+changed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0"/>
        <v>"%USERPROFILE%\Documents\GitHub\eaglep3\Utilities\RefineRTDCRunTimes.py" --tripid 185-11 --locoid 4020 --swversion DE.1.0.9.0 --startMP 204:519 --initTime 2018-01-11T14:10:21 --startdatetime 2018-01-11T14:15:14 --delay 76 --endMP 204:216478 --enddatetime 2018-01-11T14:51:31 --enforcementcount 0 &gt;&gt;%USERPROFILE%\Documents\GitHub\eaglep3-reporting\EC\2018-01-11-refined-times.txt</v>
      </c>
      <c r="AI101" s="238" t="str">
        <f t="shared" si="11"/>
        <v>echo {"issue":{"subject":"Wi-MAX data drop, no PTC enforcement","project_id":79,"tracker_id":40,"status_id":1,"priority_id":2,"assigned_to_id":338,"start_date":"2018-01-11","description":"","custom_fields":[{"id":1,"name":"Subdivision","value":"EC"},{"id":4,"name":"Milepost","value":"21.6478"},{"id":17,"name":"Train ID","value":"185-11"},{"id":16,"name":"Locomotive ID","value":"4020"},{"id":130,"name":"Impact","value":""},{"id":150,"name":"Time of Event (Mountain Time)","value":"14:51:31"},{"id":151,"name":"Denver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2"/>
        <v>start /low /b %USERPROFILE%\Documents\GitHub\eaglep3\Utilities\DownloadLogsFromS3.py --loco 4020 --day 2018-01-11</v>
      </c>
      <c r="AN101" s="241" t="str">
        <f t="shared" si="13"/>
        <v>echo {"issue":{"subject":"Wi-MAX data drop, no PTC enforcement","project_id":30,"tracker_id":4,"status_id":1,"priority_id":1,"assigned_to_id":10,"start_date":"2018-01-11","description":"","custom_fields":[{"id":30,"name":"Category","value":"Issue"},{"id":3,"name":"Functional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14"/>
        <v>https://d0f6bd738d7f1b3e5a7ca70fe4ff75f0.us-east-1.aws.found.io/app/kibana#/discover/Steve-Slow-Train-Analysis-(2080s-and-2083s)?_g=(refreshInterval:(display:Off,pause:!f,section:0,value:0),time:(from:'2018-01-11T13:10:21-0700',mode:absolute,to:'2018-01-11T15:51:31-0700'))&amp;_a=(columns:!('Message%20ID',Summary),filters:!(),index:'emp_*',interval:auto,query:(query_string:(analyze_wildcard:!t,query:'%22rtdc.l.rtdc.4020%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815</v>
      </c>
      <c r="B102" s="225">
        <v>4019</v>
      </c>
      <c r="C102" s="227" t="s">
        <v>191</v>
      </c>
      <c r="D102" s="227" t="s">
        <v>623</v>
      </c>
      <c r="E102" s="226">
        <v>43111.628900462965</v>
      </c>
      <c r="F102" s="226">
        <v>43111.63349537037</v>
      </c>
      <c r="G102" s="225">
        <v>63</v>
      </c>
      <c r="H102" s="227" t="s">
        <v>443</v>
      </c>
      <c r="I102" s="226">
        <v>43111.665937500002</v>
      </c>
      <c r="J102" s="225">
        <v>0</v>
      </c>
      <c r="K102" s="237" t="str">
        <f>IF(ISEVEN(B102),(B102-1)&amp;"/"&amp;B102,B102&amp;"/"&amp;(B102+1))</f>
        <v>4019/4020</v>
      </c>
      <c r="L102" s="245" t="str">
        <f>VLOOKUP(A102,'Trips&amp;Operators'!$C$1:$G$99911,5,FALSE)</f>
        <v>BADERTSCHER DIANE</v>
      </c>
      <c r="M102" s="224">
        <f>I102-F102</f>
        <v>3.2442129631817807E-2</v>
      </c>
      <c r="N102" s="225">
        <f>24*60*SUM($M102:$M102)</f>
        <v>46.716666669817641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2018-01-11T14:05:37-0700',mode:absolute,to:'2018-01-11T16:58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23.2987</v>
      </c>
      <c r="Z102" s="247">
        <f>RIGHT(H102,LEN(H102)-4)/10000</f>
        <v>2.0500000000000001E-2</v>
      </c>
      <c r="AA102" s="247">
        <f>ABS(Z102-Y102)</f>
        <v>23.278200000000002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186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s3://rtdc.mdm.uploadarchive.raw/RTDC4019/ "%USERPROFILE%\AppData\Local\Temp\OnboardLogs"\RTDC4019\2018-01-11 --exclude "*" --recursive --include "*20180111*" &amp; "%USERPROFILE%\Documents\GitHub\mrs-test-scripts\Headless Mode &amp; Sideloading\WalkAndUnGZ.bat" "%USERPROFILE%\AppData\Local\Temp\OnboardLogs"\RTDC4019\2018-01-11 &amp; aws s3 cp s3://rtdc.mdm.uploadarchive.raw/RTDC4019/ "%USERPROFILE%\AppData\Local\Temp\OnboardLogs"\RTDC4019\2018-01-12 --exclude "*" --recursive --include "*20180112*" &amp; "%USERPROFILE%\Documents\GitHub\mrs-test-scripts\Headless Mode &amp; Sideloading\WalkAndUnGZ.bat" "%USERPROFILE%\AppData\Local\Temp\OnboardLogs"\RTDC4019\2018-01-12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/stypes="app*4019*20180111*" /stext=" 22:.+((SYSTEM_STATE.+slice.+state.+changed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0"/>
        <v>"%USERPROFILE%\Documents\GitHub\eaglep3\Utilities\RefineRTDCRunTimes.py" --tripid 186-11 --locoid 4019 --swversion DE.1.0.9.0 --startMP 204:232987 --initTime 2018-01-11T15:05:37 --startdatetime 2018-01-11T15:12:14 --delay 63 --endMP 204:205 --enddatetime 2018-01-11T15:58:57 --enforcementcount 0 &gt;&gt;%USERPROFILE%\Documents\GitHub\eaglep3-reporting\EC\2018-01-11-refined-times.txt</v>
      </c>
      <c r="AI102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{"issue":{"subject":"","project_id":79,"tracker_id":40,"status_id":1,"priority_id":2,"assigned_to_id":338,"start_date":"2018-01-11","description":"","custom_fields":[{"id":1,"name":"Subdivision","value":"EC"},{"id":4,"name":"Milepost","value":"0.0205"},{"id":17,"name":"Train ID","value":"186-11"},{"id":16,"name":"Locomotive ID","value":"4019"},{"id":130,"name":"Impact","value":""},{"id":150,"name":"Time of Event (Mountain Time)","value":"15:58:57"},{"id":151,"name":"Denver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2"/>
        <v>start /low /b %USERPROFILE%\Documents\GitHub\eaglep3\Utilities\DownloadLogsFromS3.py --loco 4019 --day 2018-01-11</v>
      </c>
      <c r="AN102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22:58:57"},{"id":29,"name":"Sharepoint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4"/>
        <v>https://d0f6bd738d7f1b3e5a7ca70fe4ff75f0.us-east-1.aws.found.io/app/kibana#/discover/Steve-Slow-Train-Analysis-(2080s-and-2083s)?_g=(refreshInterval:(display:Off,pause:!f,section:0,value:0),time:(from:'2018-01-11T14:05:37-0700',mode:absolute,to:'2018-01-11T16:58:57-0700'))&amp;_a=(columns:!('Message%20ID',Summary),filters:!(),index:'emp_*',interval:auto,query:(query_string:(analyze_wildcard:!t,query:'%22rtdc.l.rtdc.4019%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29" t="s">
        <v>668</v>
      </c>
      <c r="B103" s="225">
        <v>4022</v>
      </c>
      <c r="C103" s="227" t="s">
        <v>191</v>
      </c>
      <c r="D103" s="227" t="s">
        <v>970</v>
      </c>
      <c r="E103" s="226">
        <v>43111.59884259259</v>
      </c>
      <c r="F103" s="226">
        <v>43111.604513888888</v>
      </c>
      <c r="G103" s="225">
        <v>95</v>
      </c>
      <c r="H103" s="227" t="s">
        <v>971</v>
      </c>
      <c r="I103" s="226">
        <v>43111.618310185186</v>
      </c>
      <c r="J103" s="225">
        <v>0</v>
      </c>
      <c r="K103" s="237" t="str">
        <f>IF(ISEVEN(B103),(B103-1)&amp;"/"&amp;B103,B103&amp;"/"&amp;(B103+1))</f>
        <v>4021/4022</v>
      </c>
      <c r="L103" s="245" t="str">
        <f>VLOOKUP(A103,'Trips&amp;Operators'!$C$1:$G$99911,5,FALSE)</f>
        <v>HOLCOMB KAMDEN</v>
      </c>
      <c r="M103" s="224">
        <f>I103-F103</f>
        <v>1.3796296298096422E-2</v>
      </c>
      <c r="N103" s="225"/>
      <c r="O103" s="225"/>
      <c r="P103" s="225">
        <f>24*60*SUM($M103:$M103)</f>
        <v>19.866666669258848</v>
      </c>
      <c r="Q103" s="228"/>
      <c r="R103" s="242" t="s">
        <v>439</v>
      </c>
      <c r="S103" s="249">
        <f>1/IF(AG103="EC",12,1)*SUM(U103:U103)</f>
        <v>0.83333333333333326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10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2018-01-11T13:22:20-0700',mode:absolute,to:'2018-01-11T15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247" t="str">
        <f>IF(AA103&lt;VLOOKUP(AG103,Variables!$AC$3:$AD$8,2,FALSE),"Y","N")</f>
        <v>Y</v>
      </c>
      <c r="X103" s="247">
        <f>VALUE(LEFT(AD103,4))-VALUE(LEFT(AD102,4))</f>
        <v>1</v>
      </c>
      <c r="Y103" s="247">
        <f>RIGHT(D103,LEN(D103)-4)/10000</f>
        <v>5.4600000000000003E-2</v>
      </c>
      <c r="Z103" s="247">
        <f>RIGHT(H103,LEN(H103)-4)/10000</f>
        <v>8.6601999999999997</v>
      </c>
      <c r="AA103" s="247">
        <f>ABS(Z103-Y103)</f>
        <v>8.605599999999999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187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s3://rtdc.mdm.uploadarchive.raw/RTDC4022/ "%USERPROFILE%\AppData\Local\Temp\OnboardLogs"\RTDC4022\2018-01-11 --exclude "*" --recursive --include "*20180111*" &amp; "%USERPROFILE%\Documents\GitHub\mrs-test-scripts\Headless Mode &amp; Sideloading\WalkAndUnGZ.bat" "%USERPROFILE%\AppData\Local\Temp\OnboardLogs"\RTDC4022\2018-01-11 &amp; aws s3 cp s3://rtdc.mdm.uploadarchive.raw/RTDC4022/ "%USERPROFILE%\AppData\Local\Temp\OnboardLogs"\RTDC4022\2018-01-12 --exclude "*" --recursive --include "*20180112*" &amp; "%USERPROFILE%\Documents\GitHub\mrs-test-scripts\Headless Mode &amp; Sideloading\WalkAndUnGZ.bat" "%USERPROFILE%\AppData\Local\Temp\OnboardLogs"\RTDC4022\2018-01-12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/stypes="app*4022*20180111*" /stext=" 21:.+((SYSTEM_STATE.+slice.+state.+changed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0"/>
        <v>"%USERPROFILE%\Documents\GitHub\eaglep3\Utilities\RefineRTDCRunTimes.py" --tripid 187-11 --locoid 4022 --swversion DE.1.0.9.0 --startMP 204:546 --initTime 2018-01-11T14:22:20 --startdatetime 2018-01-11T14:30:30 --delay 95 --endMP 204:86602 --enddatetime 2018-01-11T14:50:22 --enforcementcount 0 &gt;&gt;%USERPROFILE%\Documents\GitHub\eaglep3-reporting\EC\2018-01-11-refined-times.txt</v>
      </c>
      <c r="AI103" s="238" t="str">
        <f t="shared" si="11"/>
        <v>echo {"issue":{"subject":"Wi-MAX data drop","project_id":79,"tracker_id":40,"status_id":1,"priority_id":2,"assigned_to_id":338,"start_date":"2018-01-11","description":"","custom_fields":[{"id":1,"name":"Subdivision","value":"EC"},{"id":4,"name":"Milepost","value":"8.6602"},{"id":17,"name":"Train ID","value":"187-11"},{"id":16,"name":"Locomotive ID","value":"4022"},{"id":130,"name":"Impact","value":""},{"id":150,"name":"Time of Event (Mountain Time)","value":"14:50:22"},{"id":151,"name":"Denver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2"/>
        <v>start /low /b %USERPROFILE%\Documents\GitHub\eaglep3\Utilities\DownloadLogsFromS3.py --loco 4022 --day 2018-01-11</v>
      </c>
      <c r="AN103" s="241" t="str">
        <f t="shared" si="13"/>
        <v>echo {"issue":{"subject":"Wi-MAX data drop","project_id":30,"tracker_id":4,"status_id":1,"priority_id":1,"assigned_to_id":10,"start_date":"2018-01-11","description":"","custom_fields":[{"id":30,"name":"Category","value":"Issue"},{"id":3,"name":"Functional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4"/>
        <v>https://d0f6bd738d7f1b3e5a7ca70fe4ff75f0.us-east-1.aws.found.io/app/kibana#/discover/Steve-Slow-Train-Analysis-(2080s-and-2083s)?_g=(refreshInterval:(display:Off,pause:!f,section:0,value:0),time:(from:'2018-01-11T13:22:20-0700',mode:absolute,to:'2018-01-11T15:50:22-0700'))&amp;_a=(columns:!('Message%20ID',Summary),filters:!(),index:'emp_*',interval:auto,query:(query_string:(analyze_wildcard:!t,query:'%22rtdc.l.rtdc.4022%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3">
      <c r="A104" s="229" t="s">
        <v>818</v>
      </c>
      <c r="B104" s="225">
        <v>4021</v>
      </c>
      <c r="C104" s="227" t="s">
        <v>191</v>
      </c>
      <c r="D104" s="227" t="s">
        <v>583</v>
      </c>
      <c r="E104" s="226">
        <v>43111.64135416667</v>
      </c>
      <c r="F104" s="226">
        <v>43111.64435185185</v>
      </c>
      <c r="G104" s="225">
        <v>51</v>
      </c>
      <c r="H104" s="227" t="s">
        <v>972</v>
      </c>
      <c r="I104" s="226">
        <v>43111.673831018517</v>
      </c>
      <c r="J104" s="225">
        <v>0</v>
      </c>
      <c r="K104" s="237" t="str">
        <f>IF(ISEVEN(B104),(B104-1)&amp;"/"&amp;B104,B104&amp;"/"&amp;(B104+1))</f>
        <v>4021/4022</v>
      </c>
      <c r="L104" s="245" t="str">
        <f>VLOOKUP(A104,'Trips&amp;Operators'!$C$1:$G$99911,5,FALSE)</f>
        <v>HOLCOMB KAMDEN</v>
      </c>
      <c r="M104" s="224">
        <f>I104-F104</f>
        <v>2.9479166667442769E-2</v>
      </c>
      <c r="N104" s="225">
        <f>24*60*SUM($M104:$M104)</f>
        <v>42.450000001117587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2018-01-11T14:23:33-0700',mode:absolute,to:'2018-01-11T17:10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23.296099999999999</v>
      </c>
      <c r="Z104" s="247">
        <f>RIGHT(H104,LEN(H104)-4)/10000</f>
        <v>2.0899999999999998E-2</v>
      </c>
      <c r="AA104" s="247">
        <f>ABS(Z104-Y104)</f>
        <v>23.275199999999998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188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s3://rtdc.mdm.uploadarchive.raw/RTDC4021/ "%USERPROFILE%\AppData\Local\Temp\OnboardLogs"\RTDC4021\2018-01-11 --exclude "*" --recursive --include "*20180111*" &amp; "%USERPROFILE%\Documents\GitHub\mrs-test-scripts\Headless Mode &amp; Sideloading\WalkAndUnGZ.bat" "%USERPROFILE%\AppData\Local\Temp\OnboardLogs"\RTDC4021\2018-01-11 &amp; aws s3 cp s3://rtdc.mdm.uploadarchive.raw/RTDC4021/ "%USERPROFILE%\AppData\Local\Temp\OnboardLogs"\RTDC4021\2018-01-12 --exclude "*" --recursive --include "*20180112*" &amp; "%USERPROFILE%\Documents\GitHub\mrs-test-scripts\Headless Mode &amp; Sideloading\WalkAndUnGZ.bat" "%USERPROFILE%\AppData\Local\Temp\OnboardLogs"\RTDC4021\2018-01-12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/stypes="app*4021*20180111*" /stext=" 23:.+((SYSTEM_STATE.+slice.+state.+changed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0"/>
        <v>"%USERPROFILE%\Documents\GitHub\eaglep3\Utilities\RefineRTDCRunTimes.py" --tripid 188-11 --locoid 4021 --swversion DE.1.0.9.0 --startMP 204:232961 --initTime 2018-01-11T15:23:33 --startdatetime 2018-01-11T15:27:52 --delay 51 --endMP 204:209 --enddatetime 2018-01-11T16:10:19 --enforcementcount 0 &gt;&gt;%USERPROFILE%\Documents\GitHub\eaglep3-reporting\EC\2018-01-11-refined-times.txt</v>
      </c>
      <c r="AI104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{"issue":{"subject":"","project_id":79,"tracker_id":40,"status_id":1,"priority_id":2,"assigned_to_id":338,"start_date":"2018-01-11","description":"","custom_fields":[{"id":1,"name":"Subdivision","value":"EC"},{"id":4,"name":"Milepost","value":"0.0209"},{"id":17,"name":"Train ID","value":"188-11"},{"id":16,"name":"Locomotive ID","value":"4021"},{"id":130,"name":"Impact","value":""},{"id":150,"name":"Time of Event (Mountain Time)","value":"16:10:19"},{"id":151,"name":"Denver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2"/>
        <v>start /low /b %USERPROFILE%\Documents\GitHub\eaglep3\Utilities\DownloadLogsFromS3.py --loco 4021 --day 2018-01-11</v>
      </c>
      <c r="AN104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23:10:19"},{"id":29,"name":"Sharepoint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4"/>
        <v>https://d0f6bd738d7f1b3e5a7ca70fe4ff75f0.us-east-1.aws.found.io/app/kibana#/discover/Steve-Slow-Train-Analysis-(2080s-and-2083s)?_g=(refreshInterval:(display:Off,pause:!f,section:0,value:0),time:(from:'2018-01-11T14:23:33-0700',mode:absolute,to:'2018-01-11T17:10:19-0700'))&amp;_a=(columns:!('Message%20ID',Summary),filters:!(),index:'emp_*',interval:auto,query:(query_string:(analyze_wildcard:!t,query:'%22rtdc.l.rtdc.4021%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669</v>
      </c>
      <c r="B105" s="225">
        <v>4056</v>
      </c>
      <c r="C105" s="227" t="s">
        <v>191</v>
      </c>
      <c r="D105" s="227" t="s">
        <v>973</v>
      </c>
      <c r="E105" s="226">
        <v>43111.624479166669</v>
      </c>
      <c r="F105" s="226">
        <v>43111.625462962962</v>
      </c>
      <c r="G105" s="225">
        <v>41</v>
      </c>
      <c r="H105" s="227" t="s">
        <v>974</v>
      </c>
      <c r="I105" s="226">
        <v>43111.644224537034</v>
      </c>
      <c r="J105" s="225">
        <v>0</v>
      </c>
      <c r="K105" s="237" t="str">
        <f>IF(ISEVEN(B105),(B105-1)&amp;"/"&amp;B105,B105&amp;"/"&amp;(B105+1))</f>
        <v>4055/4056</v>
      </c>
      <c r="L105" s="245" t="str">
        <f>VLOOKUP(A105,'Trips&amp;Operators'!$C$1:$G$99911,5,FALSE)</f>
        <v>BRUDER RICHARD</v>
      </c>
      <c r="M105" s="224">
        <f>I105-F105</f>
        <v>1.8761574072414078E-2</v>
      </c>
      <c r="N105" s="225"/>
      <c r="O105" s="225"/>
      <c r="P105" s="225">
        <f>24*60*SUM($M105:$M105)</f>
        <v>27.016666664276272</v>
      </c>
      <c r="Q105" s="228"/>
      <c r="R105" s="242" t="s">
        <v>439</v>
      </c>
      <c r="S105" s="249">
        <f>1/IF(AG105="EC",12,1)*SUM(U105:U105+U106)</f>
        <v>0.75</v>
      </c>
      <c r="T105" s="242" t="str">
        <f>IF(ISEVEN(LEFT(AD105,4)),"Southbound","NorthBound")</f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9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2018-01-11T13:59:15-0700',mode:absolute,to:'2018-01-11T16:27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5" s="247" t="str">
        <f>IF(AA105&lt;VLOOKUP(AG105,Variables!$AC$3:$AD$8,2,FALSE),"Y","N")</f>
        <v>Y</v>
      </c>
      <c r="X105" s="247">
        <f>VALUE(LEFT(AD105,4))-VALUE(LEFT(AD104,4))</f>
        <v>1</v>
      </c>
      <c r="Y105" s="247">
        <f>RIGHT(D105,LEN(D105)-4)/10000</f>
        <v>3.718</v>
      </c>
      <c r="Z105" s="247">
        <f>RIGHT(H105,LEN(H105)-4)/10000</f>
        <v>23.321200000000001</v>
      </c>
      <c r="AA105" s="247">
        <f>ABS(Z105-Y105)</f>
        <v>19.603200000000001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189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/stypes="app*4056*20180111*" /stext=" 22:.+((SYSTEM_STATE.+slice.+state.+changed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0"/>
        <v>"%USERPROFILE%\Documents\GitHub\eaglep3\Utilities\RefineRTDCRunTimes.py" --tripid 189-11 --locoid 4056 --swversion DE.1.0.9.0 --startMP 204:37180 --initTime 2018-01-11T14:59:15 --startdatetime 2018-01-11T15:00:40 --delay 41 --endMP 204:233212 --enddatetime 2018-01-11T15:27:41 --enforcementcount 0 &gt;&gt;%USERPROFILE%\Documents\GitHub\eaglep3-reporting\EC\2018-01-11-refined-times.txt</v>
      </c>
      <c r="AI105" s="238" t="str">
        <f t="shared" si="11"/>
        <v>echo {"issue":{"subject":"Wi-MAX data drop","project_id":79,"tracker_id":40,"status_id":1,"priority_id":2,"assigned_to_id":338,"start_date":"2018-01-11","description":"","custom_fields":[{"id":1,"name":"Subdivision","value":"EC"},{"id":4,"name":"Milepost","value":"23.3212"},{"id":17,"name":"Train ID","value":"189-11"},{"id":16,"name":"Locomotive ID","value":"4056"},{"id":130,"name":"Impact","value":""},{"id":150,"name":"Time of Event (Mountain Time)","value":"15:27:41"},{"id":151,"name":"Denver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2"/>
        <v>start /low /b %USERPROFILE%\Documents\GitHub\eaglep3\Utilities\DownloadLogsFromS3.py --loco 4056 --day 2018-01-11</v>
      </c>
      <c r="AN105" s="241" t="str">
        <f t="shared" si="13"/>
        <v>echo {"issue":{"subject":"Wi-MAX data drop","project_id":30,"tracker_id":4,"status_id":1,"priority_id":1,"assigned_to_id":10,"start_date":"2018-01-11","description":"","custom_fields":[{"id":30,"name":"Category","value":"Issue"},{"id":3,"name":"Functional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22:27:41"},{"id":29,"name":"Sharepoint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4"/>
        <v>https://d0f6bd738d7f1b3e5a7ca70fe4ff75f0.us-east-1.aws.found.io/app/kibana#/discover/Steve-Slow-Train-Analysis-(2080s-and-2083s)?_g=(refreshInterval:(display:Off,pause:!f,section:0,value:0),time:(from:'2018-01-11T13:59:15-0700',mode:absolute,to:'2018-01-11T16:27:41-0700'))&amp;_a=(columns:!('Message%20ID',Summary),filters:!(),index:'emp_*',interval:auto,query:(query_string:(analyze_wildcard:!t,query:'%22rtdc.l.rtdc.4056%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29" t="s">
        <v>669</v>
      </c>
      <c r="B106" s="225">
        <v>4056</v>
      </c>
      <c r="C106" s="227" t="s">
        <v>191</v>
      </c>
      <c r="D106" s="227" t="s">
        <v>914</v>
      </c>
      <c r="E106" s="226">
        <v>43111.611886574072</v>
      </c>
      <c r="F106" s="226">
        <v>43111.625462962962</v>
      </c>
      <c r="G106" s="225">
        <v>75</v>
      </c>
      <c r="H106" s="227" t="s">
        <v>975</v>
      </c>
      <c r="I106" s="226">
        <v>43111.644224537034</v>
      </c>
      <c r="J106" s="225">
        <v>0</v>
      </c>
      <c r="K106" s="237" t="str">
        <f>IF(ISEVEN(B106),(B106-1)&amp;"/"&amp;B106,B106&amp;"/"&amp;(B106+1))</f>
        <v>4055/4056</v>
      </c>
      <c r="L106" s="245" t="str">
        <f>VLOOKUP(A106,'Trips&amp;Operators'!$C$1:$G$99911,5,FALSE)</f>
        <v>BRUDER RICHARD</v>
      </c>
      <c r="M106" s="224">
        <f>I106-F106</f>
        <v>1.8761574072414078E-2</v>
      </c>
      <c r="N106" s="225"/>
      <c r="O106" s="225"/>
      <c r="P106" s="225"/>
      <c r="Q106" s="228"/>
      <c r="R106" s="242"/>
      <c r="S106" s="249"/>
      <c r="T106" s="242" t="str">
        <f>IF(ISEVEN(LEFT(AD106,4)),"Southbound","NorthBound")</f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0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-11T13:41:07-0700',mode:absolute,to:'2018-01-11T16:27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6" s="247" t="str">
        <f>IF(AA106&lt;VLOOKUP(AG106,Variables!$AC$3:$AD$8,2,FALSE),"Y","N")</f>
        <v>Y</v>
      </c>
      <c r="X106" s="247">
        <f>VALUE(LEFT(AD106,4))-VALUE(LEFT(AD105,4))</f>
        <v>0</v>
      </c>
      <c r="Y106" s="247">
        <f>RIGHT(D106,LEN(D106)-4)/10000</f>
        <v>5.2400000000000002E-2</v>
      </c>
      <c r="Z106" s="247">
        <f>RIGHT(H106,LEN(H106)-4)/10000</f>
        <v>2.1316000000000002</v>
      </c>
      <c r="AA106" s="247">
        <f>ABS(Z106-Y106)</f>
        <v>2.0792000000000002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189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/stypes="app*4056*20180111*" /stext=" 22:.+((SYSTEM_STATE.+slice.+state.+changed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0"/>
        <v>"%USERPROFILE%\Documents\GitHub\eaglep3\Utilities\RefineRTDCRunTimes.py" --tripid 189-11 --locoid 4056 --swversion DE.1.0.9.0 --startMP 204:524 --initTime 2018-01-11T14:41:07 --startdatetime 2018-01-11T15:00:40 --delay 75 --endMP 204:21316 --enddatetime 2018-01-11T15:27:41 --enforcementcount 0 &gt;&gt;%USERPROFILE%\Documents\GitHub\eaglep3-reporting\EC\2018-01-11-refined-times.txt</v>
      </c>
      <c r="AI106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{"issue":{"subject":"","project_id":79,"tracker_id":40,"status_id":1,"priority_id":2,"assigned_to_id":338,"start_date":"2018-01-11","description":"","custom_fields":[{"id":1,"name":"Subdivision","value":"EC"},{"id":4,"name":"Milepost","value":"2.1316"},{"id":17,"name":"Train ID","value":"189-11"},{"id":16,"name":"Locomotive ID","value":"4056"},{"id":130,"name":"Impact","value":""},{"id":150,"name":"Time of Event (Mountain Time)","value":"15:27:41"},{"id":151,"name":"Denver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12"/>
        <v>start /low /b %USERPROFILE%\Documents\GitHub\eaglep3\Utilities\DownloadLogsFromS3.py --loco 4056 --day 2018-01-11</v>
      </c>
      <c r="AN106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22:27:41"},{"id":29,"name":"Sharepoint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14"/>
        <v>https://d0f6bd738d7f1b3e5a7ca70fe4ff75f0.us-east-1.aws.found.io/app/kibana#/discover/Steve-Slow-Train-Analysis-(2080s-and-2083s)?_g=(refreshInterval:(display:Off,pause:!f,section:0,value:0),time:(from:'2018-01-11T13:41:07-0700',mode:absolute,to:'2018-01-11T16:27:41-0700'))&amp;_a=(columns:!('Message%20ID',Summary),filters:!(),index:'emp_*',interval:auto,query:(query_string:(analyze_wildcard:!t,query:'%22rtdc.l.rtdc.4056%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821</v>
      </c>
      <c r="B107" s="225">
        <v>4055</v>
      </c>
      <c r="C107" s="227" t="s">
        <v>191</v>
      </c>
      <c r="D107" s="227" t="s">
        <v>976</v>
      </c>
      <c r="E107" s="226">
        <v>43111.650752314818</v>
      </c>
      <c r="F107" s="226">
        <v>43111.654537037037</v>
      </c>
      <c r="G107" s="225">
        <v>51</v>
      </c>
      <c r="H107" s="227" t="s">
        <v>603</v>
      </c>
      <c r="I107" s="226">
        <v>43111.682997685188</v>
      </c>
      <c r="J107" s="225">
        <v>0</v>
      </c>
      <c r="K107" s="237" t="str">
        <f>IF(ISEVEN(B107),(B107-1)&amp;"/"&amp;B107,B107&amp;"/"&amp;(B107+1))</f>
        <v>4055/4056</v>
      </c>
      <c r="L107" s="245" t="str">
        <f>VLOOKUP(A107,'Trips&amp;Operators'!$C$1:$G$99911,5,FALSE)</f>
        <v>BRUDER RICHARD</v>
      </c>
      <c r="M107" s="224">
        <f>I107-F107</f>
        <v>2.846064815093996E-2</v>
      </c>
      <c r="N107" s="225">
        <f>24*60*SUM($M107:$M107)</f>
        <v>40.983333337353542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2018-01-11T14:37:05-0700',mode:absolute,to:'2018-01-11T17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23.289100000000001</v>
      </c>
      <c r="Z107" s="247">
        <f>RIGHT(H107,LEN(H107)-4)/10000</f>
        <v>2.2100000000000002E-2</v>
      </c>
      <c r="AA107" s="247">
        <f>ABS(Z107-Y107)</f>
        <v>23.267000000000003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190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 &amp; 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/stypes="app*4055*20180111*" /stext=" 23:.+((SYSTEM_STATE.+slice.+state.+changed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0"/>
        <v>"%USERPROFILE%\Documents\GitHub\eaglep3\Utilities\RefineRTDCRunTimes.py" --tripid 190-11 --locoid 4055 --swversion DE.1.0.9.0 --startMP 204:232891 --initTime 2018-01-11T15:37:05 --startdatetime 2018-01-11T15:42:32 --delay 51 --endMP 204:221 --enddatetime 2018-01-11T16:23:31 --enforcementcount 0 &gt;&gt;%USERPROFILE%\Documents\GitHub\eaglep3-reporting\EC\2018-01-11-refined-times.txt</v>
      </c>
      <c r="AI107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{"issue":{"subject":"","project_id":79,"tracker_id":40,"status_id":1,"priority_id":2,"assigned_to_id":338,"start_date":"2018-01-11","description":"","custom_fields":[{"id":1,"name":"Subdivision","value":"EC"},{"id":4,"name":"Milepost","value":"0.0221"},{"id":17,"name":"Train ID","value":"190-11"},{"id":16,"name":"Locomotive ID","value":"4055"},{"id":130,"name":"Impact","value":""},{"id":150,"name":"Time of Event (Mountain Time)","value":"16:23:31"},{"id":151,"name":"Denver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2"/>
        <v>start /low /b %USERPROFILE%\Documents\GitHub\eaglep3\Utilities\DownloadLogsFromS3.py --loco 4055 --day 2018-01-11</v>
      </c>
      <c r="AN107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4"/>
        <v>https://d0f6bd738d7f1b3e5a7ca70fe4ff75f0.us-east-1.aws.found.io/app/kibana#/discover/Steve-Slow-Train-Analysis-(2080s-and-2083s)?_g=(refreshInterval:(display:Off,pause:!f,section:0,value:0),time:(from:'2018-01-11T14:37:05-0700',mode:absolute,to:'2018-01-11T17:23:31-0700'))&amp;_a=(columns:!('Message%20ID',Summary),filters:!(),index:'emp_*',interval:auto,query:(query_string:(analyze_wildcard:!t,query:'%22rtdc.l.rtdc.4055%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23" customFormat="1" x14ac:dyDescent="0.3">
      <c r="A108" s="229" t="s">
        <v>813</v>
      </c>
      <c r="B108" s="225">
        <v>4012</v>
      </c>
      <c r="C108" s="227" t="s">
        <v>191</v>
      </c>
      <c r="D108" s="227" t="s">
        <v>977</v>
      </c>
      <c r="E108" s="226">
        <v>43111.633043981485</v>
      </c>
      <c r="F108" s="226">
        <v>43111.634594907409</v>
      </c>
      <c r="G108" s="225">
        <v>62</v>
      </c>
      <c r="H108" s="227" t="s">
        <v>620</v>
      </c>
      <c r="I108" s="226">
        <v>43111.653506944444</v>
      </c>
      <c r="J108" s="225">
        <v>0</v>
      </c>
      <c r="K108" s="237" t="str">
        <f>IF(ISEVEN(B108),(B108-1)&amp;"/"&amp;B108,B108&amp;"/"&amp;(B108+1))</f>
        <v>4011/4012</v>
      </c>
      <c r="L108" s="245" t="str">
        <f>VLOOKUP(A108,'Trips&amp;Operators'!$C$1:$G$99911,5,FALSE)</f>
        <v>STEWART MICHAEL</v>
      </c>
      <c r="M108" s="224">
        <f>I108-F108</f>
        <v>1.8912037034169771E-2</v>
      </c>
      <c r="N108" s="225"/>
      <c r="O108" s="225"/>
      <c r="P108" s="225">
        <f>24*60*SUM($M108:$M108)</f>
        <v>27.23333332920447</v>
      </c>
      <c r="Q108" s="228"/>
      <c r="R108" s="242" t="s">
        <v>1116</v>
      </c>
      <c r="S108" s="249">
        <f>1/IF(AG108="EC",12,1)*SUM(U108:U108)</f>
        <v>0.75</v>
      </c>
      <c r="T108" s="242" t="str">
        <f>IF(ISEVEN(LEFT(AD108,4)),"Southbound","NorthBound")</f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9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2018-01-11T14:11:35-0700',mode:absolute,to:'2018-01-11T16:41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8" s="247" t="str">
        <f>IF(AA108&lt;VLOOKUP(AG108,Variables!$AC$3:$AD$8,2,FALSE),"Y","N")</f>
        <v>Y</v>
      </c>
      <c r="X108" s="247">
        <f>VALUE(LEFT(AD108,4))-VALUE(LEFT(AD107,4))</f>
        <v>1</v>
      </c>
      <c r="Y108" s="247">
        <f>RIGHT(D108,LEN(D108)-4)/10000</f>
        <v>3.7179000000000002</v>
      </c>
      <c r="Z108" s="247">
        <f>RIGHT(H108,LEN(H108)-4)/10000</f>
        <v>23.3249</v>
      </c>
      <c r="AA108" s="247">
        <f>ABS(Z108-Y108)</f>
        <v>19.606999999999999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191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 &amp; aws s3 cp s3://rtdc.mdm.uploadarchive.raw/RTDC4012/ "%USERPROFILE%\AppData\Local\Temp\OnboardLogs"\RTDC4012\2018-01-12 --exclude "*" --recursive --include "*20180112*" &amp; "%USERPROFILE%\Documents\GitHub\mrs-test-scripts\Headless Mode &amp; Sideloading\WalkAndUnGZ.bat" "%USERPROFILE%\AppData\Local\Temp\OnboardLogs"\RTDC4012\2018-01-12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/stypes="app*4012*20180111*" /stext=" 22:.+((SYSTEM_STATE.+slice.+state.+changed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0"/>
        <v>"%USERPROFILE%\Documents\GitHub\eaglep3\Utilities\RefineRTDCRunTimes.py" --tripid 191-11 --locoid 4012 --swversion DE.1.0.9.0 --startMP 204:37179 --initTime 2018-01-11T15:11:35 --startdatetime 2018-01-11T15:13:49 --delay 62 --endMP 204:233249 --enddatetime 2018-01-11T15:41:03 --enforcementcount 0 &gt;&gt;%USERPROFILE%\Documents\GitHub\eaglep3-reporting\EC\2018-01-11-refined-times.txt</v>
      </c>
      <c r="AI108" s="238" t="str">
        <f t="shared" si="11"/>
        <v>echo {"issue":{"subject":"Onboard en route failure during init at DUS","project_id":79,"tracker_id":40,"status_id":1,"priority_id":2,"assigned_to_id":338,"start_date":"2018-01-11","description":"","custom_fields":[{"id":1,"name":"Subdivision","value":"EC"},{"id":4,"name":"Milepost","value":"23.3249"},{"id":17,"name":"Train ID","value":"191-11"},{"id":16,"name":"Locomotive ID","value":"4012"},{"id":130,"name":"Impact","value":""},{"id":150,"name":"Time of Event (Mountain Time)","value":"15:41:03"},{"id":151,"name":"Denver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231"/>
      <c r="AL108" s="231"/>
      <c r="AM108" s="240" t="str">
        <f t="shared" si="12"/>
        <v>start /low /b %USERPROFILE%\Documents\GitHub\eaglep3\Utilities\DownloadLogsFromS3.py --loco 4012 --day 2018-01-11</v>
      </c>
      <c r="AN108" s="241" t="str">
        <f t="shared" si="13"/>
        <v>echo {"issue":{"subject":"Onboard en route failure during init at DUS","project_id":30,"tracker_id":4,"status_id":1,"priority_id":1,"assigned_to_id":10,"start_date":"2018-01-11","description":"","custom_fields":[{"id":30,"name":"Category","value":"Issue"},{"id":3,"name":"Functional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22:41:03"},{"id":29,"name":"Sharepoint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4"/>
        <v>https://d0f6bd738d7f1b3e5a7ca70fe4ff75f0.us-east-1.aws.found.io/app/kibana#/discover/Steve-Slow-Train-Analysis-(2080s-and-2083s)?_g=(refreshInterval:(display:Off,pause:!f,section:0,value:0),time:(from:'2018-01-11T14:11:35-0700',mode:absolute,to:'2018-01-11T16:41:03-0700'))&amp;_a=(columns:!('Message%20ID',Summary),filters:!(),index:'emp_*',interval:auto,query:(query_string:(analyze_wildcard:!t,query:'%22rtdc.l.rtdc.4012%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29" t="s">
        <v>823</v>
      </c>
      <c r="B109" s="225">
        <v>4011</v>
      </c>
      <c r="C109" s="227" t="s">
        <v>191</v>
      </c>
      <c r="D109" s="227" t="s">
        <v>618</v>
      </c>
      <c r="E109" s="226">
        <v>43111.659155092595</v>
      </c>
      <c r="F109" s="226">
        <v>43111.664780092593</v>
      </c>
      <c r="G109" s="225">
        <v>59</v>
      </c>
      <c r="H109" s="227" t="s">
        <v>457</v>
      </c>
      <c r="I109" s="226">
        <v>43111.695428240739</v>
      </c>
      <c r="J109" s="225">
        <v>0</v>
      </c>
      <c r="K109" s="237" t="str">
        <f>IF(ISEVEN(B109),(B109-1)&amp;"/"&amp;B109,B109&amp;"/"&amp;(B109+1))</f>
        <v>4011/4012</v>
      </c>
      <c r="L109" s="245" t="str">
        <f>VLOOKUP(A109,'Trips&amp;Operators'!$C$1:$G$99911,5,FALSE)</f>
        <v>STEWART MICHAEL</v>
      </c>
      <c r="M109" s="224">
        <f>I109-F109</f>
        <v>3.0648148145701271E-2</v>
      </c>
      <c r="N109" s="225">
        <f>24*60*SUM($M109:$M109)</f>
        <v>44.13333332980983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2018-01-11T14:49:11-0700',mode:absolute,to:'2018-01-11T17:41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23.291899999999998</v>
      </c>
      <c r="Z109" s="247">
        <f>RIGHT(H109,LEN(H109)-4)/10000</f>
        <v>2.18E-2</v>
      </c>
      <c r="AA109" s="247">
        <f>ABS(Z109-Y109)</f>
        <v>23.270099999999999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192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 &amp; aws s3 cp s3://rtdc.mdm.uploadarchive.raw/RTDC4011/ "%USERPROFILE%\AppData\Local\Temp\OnboardLogs"\RTDC4011\2018-01-12 --exclude "*" --recursive --include "*20180112*" &amp; "%USERPROFILE%\Documents\GitHub\mrs-test-scripts\Headless Mode &amp; Sideloading\WalkAndUnGZ.bat" "%USERPROFILE%\AppData\Local\Temp\OnboardLogs"\RTDC4011\2018-01-12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/stypes="app*4011*20180111*" /stext=" 23:.+((SYSTEM_STATE.+slice.+state.+changed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0"/>
        <v>"%USERPROFILE%\Documents\GitHub\eaglep3\Utilities\RefineRTDCRunTimes.py" --tripid 192-11 --locoid 4011 --swversion DE.1.0.9.0 --startMP 204:232919 --initTime 2018-01-11T15:49:11 --startdatetime 2018-01-11T15:57:17 --delay 59 --endMP 204:218 --enddatetime 2018-01-11T16:41:25 --enforcementcount 0 &gt;&gt;%USERPROFILE%\Documents\GitHub\eaglep3-reporting\EC\2018-01-11-refined-times.txt</v>
      </c>
      <c r="AI109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{"issue":{"subject":"","project_id":79,"tracker_id":40,"status_id":1,"priority_id":2,"assigned_to_id":338,"start_date":"2018-01-11","description":"","custom_fields":[{"id":1,"name":"Subdivision","value":"EC"},{"id":4,"name":"Milepost","value":"0.0218"},{"id":17,"name":"Train ID","value":"192-11"},{"id":16,"name":"Locomotive ID","value":"4011"},{"id":130,"name":"Impact","value":""},{"id":150,"name":"Time of Event (Mountain Time)","value":"16:41:25"},{"id":151,"name":"Denver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12"/>
        <v>start /low /b %USERPROFILE%\Documents\GitHub\eaglep3\Utilities\DownloadLogsFromS3.py --loco 4011 --day 2018-01-11</v>
      </c>
      <c r="AN109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23:41:25"},{"id":29,"name":"Sharepoint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14"/>
        <v>https://d0f6bd738d7f1b3e5a7ca70fe4ff75f0.us-east-1.aws.found.io/app/kibana#/discover/Steve-Slow-Train-Analysis-(2080s-and-2083s)?_g=(refreshInterval:(display:Off,pause:!f,section:0,value:0),time:(from:'2018-01-11T14:49:11-0700',mode:absolute,to:'2018-01-11T17:41:25-0700'))&amp;_a=(columns:!('Message%20ID',Summary),filters:!(),index:'emp_*',interval:auto,query:(query_string:(analyze_wildcard:!t,query:'%22rtdc.l.rtdc.4011%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23" customFormat="1" x14ac:dyDescent="0.3">
      <c r="A110" s="229" t="s">
        <v>817</v>
      </c>
      <c r="B110" s="225">
        <v>4042</v>
      </c>
      <c r="C110" s="227" t="s">
        <v>191</v>
      </c>
      <c r="D110" s="227" t="s">
        <v>978</v>
      </c>
      <c r="E110" s="226">
        <v>43111.637025462966</v>
      </c>
      <c r="F110" s="226">
        <v>43111.638275462959</v>
      </c>
      <c r="G110" s="225">
        <v>52</v>
      </c>
      <c r="H110" s="227" t="s">
        <v>929</v>
      </c>
      <c r="I110" s="226">
        <v>43111.663090277776</v>
      </c>
      <c r="J110" s="225">
        <v>0</v>
      </c>
      <c r="K110" s="237" t="str">
        <f>IF(ISEVEN(B110),(B110-1)&amp;"/"&amp;B110,B110&amp;"/"&amp;(B110+1))</f>
        <v>4041/4042</v>
      </c>
      <c r="L110" s="245" t="str">
        <f>VLOOKUP(A110,'Trips&amp;Operators'!$C$1:$G$99911,5,FALSE)</f>
        <v>LEVIN SCOTT</v>
      </c>
      <c r="M110" s="224">
        <f>I110-F110</f>
        <v>2.4814814816636499E-2</v>
      </c>
      <c r="N110" s="225">
        <f>24*60*SUM($M110:$M110)</f>
        <v>35.733333335956559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2018-01-11T14:17:19-0700',mode:absolute,to:'2018-01-11T16:54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6.7299999999999999E-2</v>
      </c>
      <c r="Z110" s="247">
        <f>RIGHT(H110,LEN(H110)-4)/10000</f>
        <v>23.334599999999998</v>
      </c>
      <c r="AA110" s="247">
        <f>ABS(Z110-Y110)</f>
        <v>23.267299999999999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193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s3://rtdc.mdm.uploadarchive.raw/RTDC4042/ "%USERPROFILE%\AppData\Local\Temp\OnboardLogs"\RTDC4042\2018-01-11 --exclude "*" --recursive --include "*20180111*" &amp; "%USERPROFILE%\Documents\GitHub\mrs-test-scripts\Headless Mode &amp; Sideloading\WalkAndUnGZ.bat" "%USERPROFILE%\AppData\Local\Temp\OnboardLogs"\RTDC4042\2018-01-11 &amp; aws s3 cp s3://rtdc.mdm.uploadarchive.raw/RTDC4042/ "%USERPROFILE%\AppData\Local\Temp\OnboardLogs"\RTDC4042\2018-01-12 --exclude "*" --recursive --include "*20180112*" &amp; "%USERPROFILE%\Documents\GitHub\mrs-test-scripts\Headless Mode &amp; Sideloading\WalkAndUnGZ.bat" "%USERPROFILE%\AppData\Local\Temp\OnboardLogs"\RTDC4042\2018-01-12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/stypes="app*4042*20180111*" /stext=" 22:.+((SYSTEM_STATE.+slice.+state.+changed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0"/>
        <v>"%USERPROFILE%\Documents\GitHub\eaglep3\Utilities\RefineRTDCRunTimes.py" --tripid 193-11 --locoid 4042 --swversion DE.1.0.9.0 --startMP 204:673 --initTime 2018-01-11T15:17:19 --startdatetime 2018-01-11T15:19:07 --delay 52 --endMP 204:233346 --enddatetime 2018-01-11T15:54:51 --enforcementcount 0 &gt;&gt;%USERPROFILE%\Documents\GitHub\eaglep3-reporting\EC\2018-01-11-refined-times.txt</v>
      </c>
      <c r="AI110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{"issue":{"subject":"","project_id":79,"tracker_id":40,"status_id":1,"priority_id":2,"assigned_to_id":338,"start_date":"2018-01-11","description":"","custom_fields":[{"id":1,"name":"Subdivision","value":"EC"},{"id":4,"name":"Milepost","value":"23.3346"},{"id":17,"name":"Train ID","value":"193-11"},{"id":16,"name":"Locomotive ID","value":"4042"},{"id":130,"name":"Impact","value":""},{"id":150,"name":"Time of Event (Mountain Time)","value":"15:54:51"},{"id":151,"name":"Denver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231"/>
      <c r="AL110" s="231"/>
      <c r="AM110" s="240" t="str">
        <f t="shared" si="12"/>
        <v>start /low /b %USERPROFILE%\Documents\GitHub\eaglep3\Utilities\DownloadLogsFromS3.py --loco 4042 --day 2018-01-11</v>
      </c>
      <c r="AN110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22:54:51"},{"id":29,"name":"Sharepoint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14"/>
        <v>https://d0f6bd738d7f1b3e5a7ca70fe4ff75f0.us-east-1.aws.found.io/app/kibana#/discover/Steve-Slow-Train-Analysis-(2080s-and-2083s)?_g=(refreshInterval:(display:Off,pause:!f,section:0,value:0),time:(from:'2018-01-11T14:17:19-0700',mode:absolute,to:'2018-01-11T16:54:51-0700'))&amp;_a=(columns:!('Message%20ID',Summary),filters:!(),index:'emp_*',interval:auto,query:(query_string:(analyze_wildcard:!t,query:'%22rtdc.l.rtdc.4042%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827</v>
      </c>
      <c r="B111" s="225">
        <v>4041</v>
      </c>
      <c r="C111" s="227" t="s">
        <v>191</v>
      </c>
      <c r="D111" s="227" t="s">
        <v>979</v>
      </c>
      <c r="E111" s="226">
        <v>43111.672442129631</v>
      </c>
      <c r="F111" s="226">
        <v>43111.675381944442</v>
      </c>
      <c r="G111" s="225">
        <v>57</v>
      </c>
      <c r="H111" s="227" t="s">
        <v>980</v>
      </c>
      <c r="I111" s="226">
        <v>43111.703425925924</v>
      </c>
      <c r="J111" s="225">
        <v>0</v>
      </c>
      <c r="K111" s="237" t="str">
        <f>IF(ISEVEN(B111),(B111-1)&amp;"/"&amp;B111,B111&amp;"/"&amp;(B111+1))</f>
        <v>4041/4042</v>
      </c>
      <c r="L111" s="245" t="str">
        <f>VLOOKUP(A111,'Trips&amp;Operators'!$C$1:$G$99911,5,FALSE)</f>
        <v>LEVIN SCOTT</v>
      </c>
      <c r="M111" s="224">
        <f>I111-F111</f>
        <v>2.8043981481459923E-2</v>
      </c>
      <c r="N111" s="225">
        <f>24*60*SUM($M111:$M111)</f>
        <v>40.383333333302289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2018-01-11T15:08:19-0700',mode:absolute,to:'2018-01-11T17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23.305299999999999</v>
      </c>
      <c r="Z111" s="247">
        <f>RIGHT(H111,LEN(H111)-4)/10000</f>
        <v>1.9099999999999999E-2</v>
      </c>
      <c r="AA111" s="247">
        <f>ABS(Z111-Y111)</f>
        <v>23.286199999999997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194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/stypes="app*4041*20180111*" /stext=" 23:.+((SYSTEM_STATE.+slice.+state.+changed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0"/>
        <v>"%USERPROFILE%\Documents\GitHub\eaglep3\Utilities\RefineRTDCRunTimes.py" --tripid 194-11 --locoid 4041 --swversion DE.1.0.9.0 --startMP 204:233053 --initTime 2018-01-11T16:08:19 --startdatetime 2018-01-11T16:12:33 --delay 57 --endMP 204:191 --enddatetime 2018-01-11T16:52:56 --enforcementcount 0 &gt;&gt;%USERPROFILE%\Documents\GitHub\eaglep3-reporting\EC\2018-01-11-refined-times.txt</v>
      </c>
      <c r="AI111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{"issue":{"subject":"","project_id":79,"tracker_id":40,"status_id":1,"priority_id":2,"assigned_to_id":338,"start_date":"2018-01-11","description":"","custom_fields":[{"id":1,"name":"Subdivision","value":"EC"},{"id":4,"name":"Milepost","value":"0.0191"},{"id":17,"name":"Train ID","value":"194-11"},{"id":16,"name":"Locomotive ID","value":"4041"},{"id":130,"name":"Impact","value":""},{"id":150,"name":"Time of Event (Mountain Time)","value":"16:52:56"},{"id":151,"name":"Denver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2"/>
        <v>start /low /b %USERPROFILE%\Documents\GitHub\eaglep3\Utilities\DownloadLogsFromS3.py --loco 4041 --day 2018-01-11</v>
      </c>
      <c r="AN111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14"/>
        <v>https://d0f6bd738d7f1b3e5a7ca70fe4ff75f0.us-east-1.aws.found.io/app/kibana#/discover/Steve-Slow-Train-Analysis-(2080s-and-2083s)?_g=(refreshInterval:(display:Off,pause:!f,section:0,value:0),time:(from:'2018-01-11T15:08:19-0700',mode:absolute,to:'2018-01-11T17:52:56-0700'))&amp;_a=(columns:!('Message%20ID',Summary),filters:!(),index:'emp_*',interval:auto,query:(query_string:(analyze_wildcard:!t,query:'%22rtdc.l.rtdc.4041%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29" t="s">
        <v>673</v>
      </c>
      <c r="B112" s="225">
        <v>4034</v>
      </c>
      <c r="C112" s="227" t="s">
        <v>191</v>
      </c>
      <c r="D112" s="227" t="s">
        <v>981</v>
      </c>
      <c r="E112" s="226">
        <v>43111.655601851853</v>
      </c>
      <c r="F112" s="226">
        <v>43111.656469907408</v>
      </c>
      <c r="G112" s="225">
        <v>46</v>
      </c>
      <c r="H112" s="227" t="s">
        <v>982</v>
      </c>
      <c r="I112" s="226">
        <v>43111.674456018518</v>
      </c>
      <c r="J112" s="225">
        <v>0</v>
      </c>
      <c r="K112" s="237" t="str">
        <f>IF(ISEVEN(B112),(B112-1)&amp;"/"&amp;B112,B112&amp;"/"&amp;(B112+1))</f>
        <v>4033/4034</v>
      </c>
      <c r="L112" s="245" t="str">
        <f>VLOOKUP(A112,'Trips&amp;Operators'!$C$1:$G$99911,5,FALSE)</f>
        <v>ROBINSON KADDIBA</v>
      </c>
      <c r="M112" s="224">
        <f>I112-F112</f>
        <v>1.7986111110076308E-2</v>
      </c>
      <c r="N112" s="225"/>
      <c r="O112" s="225"/>
      <c r="P112" s="225">
        <f>24*60*SUM($M112:$M112)</f>
        <v>25.899999998509884</v>
      </c>
      <c r="Q112" s="228"/>
      <c r="R112" s="242" t="s">
        <v>1115</v>
      </c>
      <c r="S112" s="249">
        <f>1/IF(AG112="EC",12,1)*SUM(U112:U112+U113)</f>
        <v>0.75</v>
      </c>
      <c r="T112" s="242" t="str">
        <f>IF(ISEVEN(LEFT(AD112,4)),"Southbound","NorthBound")</f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9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2018-01-11T14:44:04-0700',mode:absolute,to:'2018-01-11T17:11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2" s="247" t="str">
        <f>IF(AA112&lt;VLOOKUP(AG112,Variables!$AC$3:$AD$8,2,FALSE),"Y","N")</f>
        <v>Y</v>
      </c>
      <c r="X112" s="247">
        <f>VALUE(LEFT(AD112,4))-VALUE(LEFT(AD111,4))</f>
        <v>1</v>
      </c>
      <c r="Y112" s="247">
        <f>RIGHT(D112,LEN(D112)-4)/10000</f>
        <v>3.7223000000000002</v>
      </c>
      <c r="Z112" s="247">
        <f>RIGHT(H112,LEN(H112)-4)/10000</f>
        <v>23.328399999999998</v>
      </c>
      <c r="AA112" s="247">
        <f>ABS(Z112-Y112)</f>
        <v>19.606099999999998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195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/stypes="app*4034*20180111*" /stext=" 23:.+((SYSTEM_STATE.+slice.+state.+changed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si="10"/>
        <v>"%USERPROFILE%\Documents\GitHub\eaglep3\Utilities\RefineRTDCRunTimes.py" --tripid 195-11 --locoid 4034 --swversion DE.1.0.9.0 --startMP 204:37223 --initTime 2018-01-11T15:44:04 --startdatetime 2018-01-11T15:45:19 --delay 46 --endMP 204:233284 --enddatetime 2018-01-11T16:11:13 --enforcementcount 0 &gt;&gt;%USERPROFILE%\Documents\GitHub\eaglep3-reporting\EC\2018-01-11-refined-times.txt</v>
      </c>
      <c r="AI112" s="238" t="str">
        <f t="shared" si="11"/>
        <v>echo {"issue":{"subject":"Onboard en route failure","project_id":79,"tracker_id":40,"status_id":1,"priority_id":2,"assigned_to_id":338,"start_date":"2018-01-11","description":"","custom_fields":[{"id":1,"name":"Subdivision","value":"EC"},{"id":4,"name":"Milepost","value":"23.3284"},{"id":17,"name":"Train ID","value":"195-11"},{"id":16,"name":"Locomotive ID","value":"4034"},{"id":130,"name":"Impact","value":""},{"id":150,"name":"Time of Event (Mountain Time)","value":"16:11:13"},{"id":151,"name":"Denver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12"/>
        <v>start /low /b %USERPROFILE%\Documents\GitHub\eaglep3\Utilities\DownloadLogsFromS3.py --loco 4034 --day 2018-01-11</v>
      </c>
      <c r="AN112" s="241" t="str">
        <f t="shared" si="13"/>
        <v>echo {"issue":{"subject":"Onboard en route failure","project_id":30,"tracker_id":4,"status_id":1,"priority_id":1,"assigned_to_id":10,"start_date":"2018-01-11","description":"","custom_fields":[{"id":30,"name":"Category","value":"Issue"},{"id":3,"name":"Functional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23:11:13"},{"id":29,"name":"Sharepoint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14"/>
        <v>https://d0f6bd738d7f1b3e5a7ca70fe4ff75f0.us-east-1.aws.found.io/app/kibana#/discover/Steve-Slow-Train-Analysis-(2080s-and-2083s)?_g=(refreshInterval:(display:Off,pause:!f,section:0,value:0),time:(from:'2018-01-11T14:44:04-0700',mode:absolute,to:'2018-01-11T17:11:13-0700'))&amp;_a=(columns:!('Message%20ID',Summary),filters:!(),index:'emp_*',interval:auto,query:(query_string:(analyze_wildcard:!t,query:'%22rtdc.l.rtdc.4034%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23" customFormat="1" x14ac:dyDescent="0.3">
      <c r="A113" s="229" t="s">
        <v>673</v>
      </c>
      <c r="B113" s="225">
        <v>4034</v>
      </c>
      <c r="C113" s="227" t="s">
        <v>191</v>
      </c>
      <c r="D113" s="227" t="s">
        <v>500</v>
      </c>
      <c r="E113" s="226">
        <v>43111.6483912037</v>
      </c>
      <c r="F113" s="226">
        <v>43111.656469907408</v>
      </c>
      <c r="G113" s="225">
        <v>64</v>
      </c>
      <c r="H113" s="227" t="s">
        <v>983</v>
      </c>
      <c r="I113" s="226">
        <v>43111.674456018518</v>
      </c>
      <c r="J113" s="225">
        <v>0</v>
      </c>
      <c r="K113" s="237" t="str">
        <f>IF(ISEVEN(B113),(B113-1)&amp;"/"&amp;B113,B113&amp;"/"&amp;(B113+1))</f>
        <v>4033/4034</v>
      </c>
      <c r="L113" s="245" t="str">
        <f>VLOOKUP(A113,'Trips&amp;Operators'!$C$1:$G$99911,5,FALSE)</f>
        <v>ROBINSON KADDIBA</v>
      </c>
      <c r="M113" s="224">
        <f>I113-F113</f>
        <v>1.7986111110076308E-2</v>
      </c>
      <c r="N113" s="225"/>
      <c r="O113" s="225"/>
      <c r="P113" s="225"/>
      <c r="Q113" s="228"/>
      <c r="R113" s="242"/>
      <c r="S113" s="249"/>
      <c r="T113" s="242" t="str">
        <f>IF(ISEVEN(LEFT(AD113,4)),"Southbound","NorthBound")</f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0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2018-01-11T14:33:41-0700',mode:absolute,to:'2018-01-11T17:11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3" s="247" t="str">
        <f>IF(AA113&lt;VLOOKUP(AG113,Variables!$AC$3:$AD$8,2,FALSE),"Y","N")</f>
        <v>Y</v>
      </c>
      <c r="X113" s="247">
        <f>VALUE(LEFT(AD113,4))-VALUE(LEFT(AD112,4))</f>
        <v>0</v>
      </c>
      <c r="Y113" s="247">
        <f>RIGHT(D113,LEN(D113)-4)/10000</f>
        <v>5.0599999999999999E-2</v>
      </c>
      <c r="Z113" s="247">
        <f>RIGHT(H113,LEN(H113)-4)/10000</f>
        <v>0.21429999999999999</v>
      </c>
      <c r="AA113" s="247">
        <f>ABS(Z113-Y113)</f>
        <v>0.16369999999999998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195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/stypes="app*4034*20180111*" /stext=" 23:.+((SYSTEM_STATE.+slice.+state.+changed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0"/>
        <v>"%USERPROFILE%\Documents\GitHub\eaglep3\Utilities\RefineRTDCRunTimes.py" --tripid 195-11 --locoid 4034 --swversion DE.1.0.9.0 --startMP 204:506 --initTime 2018-01-11T15:33:41 --startdatetime 2018-01-11T15:45:19 --delay 64 --endMP 204:2143 --enddatetime 2018-01-11T16:11:13 --enforcementcount 0 &gt;&gt;%USERPROFILE%\Documents\GitHub\eaglep3-reporting\EC\2018-01-11-refined-times.txt</v>
      </c>
      <c r="AI113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{"issue":{"subject":"","project_id":79,"tracker_id":40,"status_id":1,"priority_id":2,"assigned_to_id":338,"start_date":"2018-01-11","description":"","custom_fields":[{"id":1,"name":"Subdivision","value":"EC"},{"id":4,"name":"Milepost","value":"0.2143"},{"id":17,"name":"Train ID","value":"195-11"},{"id":16,"name":"Locomotive ID","value":"4034"},{"id":130,"name":"Impact","value":""},{"id":150,"name":"Time of Event (Mountain Time)","value":"16:11:13"},{"id":151,"name":"Denver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231"/>
      <c r="AL113" s="231"/>
      <c r="AM113" s="240" t="str">
        <f t="shared" si="12"/>
        <v>start /low /b %USERPROFILE%\Documents\GitHub\eaglep3\Utilities\DownloadLogsFromS3.py --loco 4034 --day 2018-01-11</v>
      </c>
      <c r="AN113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23:11:13"},{"id":29,"name":"Sharepoint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14"/>
        <v>https://d0f6bd738d7f1b3e5a7ca70fe4ff75f0.us-east-1.aws.found.io/app/kibana#/discover/Steve-Slow-Train-Analysis-(2080s-and-2083s)?_g=(refreshInterval:(display:Off,pause:!f,section:0,value:0),time:(from:'2018-01-11T14:33:41-0700',mode:absolute,to:'2018-01-11T17:11:13-0700'))&amp;_a=(columns:!('Message%20ID',Summary),filters:!(),index:'emp_*',interval:auto,query:(query_string:(analyze_wildcard:!t,query:'%22rtdc.l.rtdc.4034%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829</v>
      </c>
      <c r="B114" s="225">
        <v>4033</v>
      </c>
      <c r="C114" s="227" t="s">
        <v>191</v>
      </c>
      <c r="D114" s="227" t="s">
        <v>932</v>
      </c>
      <c r="E114" s="226">
        <v>43111.681215277778</v>
      </c>
      <c r="F114" s="226">
        <v>43111.685590277775</v>
      </c>
      <c r="G114" s="225">
        <v>68</v>
      </c>
      <c r="H114" s="227" t="s">
        <v>480</v>
      </c>
      <c r="I114" s="226">
        <v>43111.714537037034</v>
      </c>
      <c r="J114" s="225">
        <v>0</v>
      </c>
      <c r="K114" s="237" t="str">
        <f>IF(ISEVEN(B114),(B114-1)&amp;"/"&amp;B114,B114&amp;"/"&amp;(B114+1))</f>
        <v>4033/4034</v>
      </c>
      <c r="L114" s="245" t="str">
        <f>VLOOKUP(A114,'Trips&amp;Operators'!$C$1:$G$99911,5,FALSE)</f>
        <v>ROBINSON KADDIBA</v>
      </c>
      <c r="M114" s="224">
        <f>I114-F114</f>
        <v>2.8946759259270038E-2</v>
      </c>
      <c r="N114" s="225">
        <f>24*60*SUM($M114:$M114)</f>
        <v>41.683333333348855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2018-01-11T15:20:57-0700',mode:absolute,to:'2018-01-11T18:08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4" s="247" t="str">
        <f>IF(AA114&lt;VLOOKUP(AG114,Variables!$AC$3:$AD$8,2,FALSE),"Y","N")</f>
        <v>N</v>
      </c>
      <c r="X114" s="247">
        <f>VALUE(LEFT(AD114,4))-VALUE(LEFT(AD113,4))</f>
        <v>1</v>
      </c>
      <c r="Y114" s="247">
        <f>RIGHT(D114,LEN(D114)-4)/10000</f>
        <v>23.298999999999999</v>
      </c>
      <c r="Z114" s="247">
        <f>RIGHT(H114,LEN(H114)-4)/10000</f>
        <v>1.54E-2</v>
      </c>
      <c r="AA114" s="247">
        <f>ABS(Z114-Y114)</f>
        <v>23.2836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196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s3://rtdc.mdm.uploadarchive.raw/RTDC4033/ "%USERPROFILE%\AppData\Local\Temp\OnboardLogs"\RTDC4033\2018-01-11 --exclude "*" --recursive --include "*20180111*" &amp; "%USERPROFILE%\Documents\GitHub\mrs-test-scripts\Headless Mode &amp; Sideloading\WalkAndUnGZ.bat" "%USERPROFILE%\AppData\Local\Temp\OnboardLogs"\RTDC4033\2018-01-11 &amp; aws s3 cp s3://rtdc.mdm.uploadarchive.raw/RTDC4033/ "%USERPROFILE%\AppData\Local\Temp\OnboardLogs"\RTDC4033\2018-01-12 --exclude "*" --recursive --include "*20180112*" &amp; "%USERPROFILE%\Documents\GitHub\mrs-test-scripts\Headless Mode &amp; Sideloading\WalkAndUnGZ.bat" "%USERPROFILE%\AppData\Local\Temp\OnboardLogs"\RTDC4033\2018-01-12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/stypes="app*4033*20180112*" /stext=" 00:.+((SYSTEM_STATE.+slice.+state.+changed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0"/>
        <v>"%USERPROFILE%\Documents\GitHub\eaglep3\Utilities\RefineRTDCRunTimes.py" --tripid 196-11 --locoid 4033 --swversion DE.1.0.9.0 --startMP 204:232990 --initTime 2018-01-11T16:20:57 --startdatetime 2018-01-11T16:27:15 --delay 68 --endMP 204:154 --enddatetime 2018-01-11T17:08:56 --enforcementcount 0 &gt;&gt;%USERPROFILE%\Documents\GitHub\eaglep3-reporting\EC\2018-01-11-refined-times.txt</v>
      </c>
      <c r="AI114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{"issue":{"subject":"","project_id":79,"tracker_id":40,"status_id":1,"priority_id":2,"assigned_to_id":338,"start_date":"2018-01-11","description":"","custom_fields":[{"id":1,"name":"Subdivision","value":"EC"},{"id":4,"name":"Milepost","value":"0.0154"},{"id":17,"name":"Train ID","value":"196-11"},{"id":16,"name":"Locomotive ID","value":"4033"},{"id":130,"name":"Impact","value":""},{"id":150,"name":"Time of Event (Mountain Time)","value":"17:08:56"},{"id":151,"name":"Denver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2"/>
        <v>start /low /b %USERPROFILE%\Documents\GitHub\eaglep3\Utilities\DownloadLogsFromS3.py --loco 4033 --day 2018-01-11</v>
      </c>
      <c r="AN114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14"/>
        <v>https://d0f6bd738d7f1b3e5a7ca70fe4ff75f0.us-east-1.aws.found.io/app/kibana#/discover/Steve-Slow-Train-Analysis-(2080s-and-2083s)?_g=(refreshInterval:(display:Off,pause:!f,section:0,value:0),time:(from:'2018-01-11T15:20:57-0700',mode:absolute,to:'2018-01-11T18:08:56-0700'))&amp;_a=(columns:!('Message%20ID',Summary),filters:!(),index:'emp_*',interval:auto,query:(query_string:(analyze_wildcard:!t,query:'%22rtdc.l.rtdc.4033%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822</v>
      </c>
      <c r="B115" s="225">
        <v>4016</v>
      </c>
      <c r="C115" s="227" t="s">
        <v>191</v>
      </c>
      <c r="D115" s="227" t="s">
        <v>461</v>
      </c>
      <c r="E115" s="226">
        <v>43111.656840277778</v>
      </c>
      <c r="F115" s="226">
        <v>43111.65834490741</v>
      </c>
      <c r="G115" s="225">
        <v>52</v>
      </c>
      <c r="H115" s="227" t="s">
        <v>984</v>
      </c>
      <c r="I115" s="226">
        <v>43111.684305555558</v>
      </c>
      <c r="J115" s="225">
        <v>0</v>
      </c>
      <c r="K115" s="237" t="str">
        <f>IF(ISEVEN(B115),(B115-1)&amp;"/"&amp;B115,B115&amp;"/"&amp;(B115+1))</f>
        <v>4015/4016</v>
      </c>
      <c r="L115" s="245" t="str">
        <f>VLOOKUP(A115,'Trips&amp;Operators'!$C$1:$G$99911,5,FALSE)</f>
        <v>LONG FULLER</v>
      </c>
      <c r="M115" s="224">
        <f>I115-F115</f>
        <v>2.5960648148611654E-2</v>
      </c>
      <c r="N115" s="225">
        <f>24*60*SUM($M115:$M115)</f>
        <v>37.383333334000781</v>
      </c>
      <c r="O115" s="225"/>
      <c r="P115" s="225"/>
      <c r="Q115" s="228"/>
      <c r="R115" s="242"/>
      <c r="S115" s="249">
        <f>1/IF(AG115="EC",12,1)*SUM(U115:U115)</f>
        <v>1</v>
      </c>
      <c r="T115" s="242" t="str">
        <f>IF(ISEVEN(LEFT(AD115,4)),"Southbound","NorthBound")</f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2018-01-11T14:45:51-0700',mode:absolute,to:'2018-01-11T17:25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5" s="247" t="str">
        <f>IF(AA115&lt;VLOOKUP(AG115,Variables!$AC$3:$AD$8,2,FALSE),"Y","N")</f>
        <v>N</v>
      </c>
      <c r="X115" s="247">
        <f>VALUE(LEFT(AD115,4))-VALUE(LEFT(AD114,4))</f>
        <v>1</v>
      </c>
      <c r="Y115" s="247">
        <f>RIGHT(D115,LEN(D115)-4)/10000</f>
        <v>5.5100000000000003E-2</v>
      </c>
      <c r="Z115" s="247">
        <f>RIGHT(H115,LEN(H115)-4)/10000</f>
        <v>23.33</v>
      </c>
      <c r="AA115" s="247">
        <f>ABS(Z115-Y115)</f>
        <v>23.274899999999999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197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s3://rtdc.mdm.uploadarchive.raw/RTDC4016/ "%USERPROFILE%\AppData\Local\Temp\OnboardLogs"\RTDC4016\2018-01-11 --exclude "*" --recursive --include "*20180111*" &amp; "%USERPROFILE%\Documents\GitHub\mrs-test-scripts\Headless Mode &amp; Sideloading\WalkAndUnGZ.bat" "%USERPROFILE%\AppData\Local\Temp\OnboardLogs"\RTDC4016\2018-01-11 &amp; 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/stypes="app*4016*20180111*" /stext=" 23:.+((SYSTEM_STATE.+slice.+state.+changed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0"/>
        <v>"%USERPROFILE%\Documents\GitHub\eaglep3\Utilities\RefineRTDCRunTimes.py" --tripid 197-11 --locoid 4016 --swversion DE.1.0.9.0 --startMP 204:551 --initTime 2018-01-11T15:45:51 --startdatetime 2018-01-11T15:48:01 --delay 52 --endMP 204:233300 --enddatetime 2018-01-11T16:25:24 --enforcementcount 0 &gt;&gt;%USERPROFILE%\Documents\GitHub\eaglep3-reporting\EC\2018-01-11-refined-times.txt</v>
      </c>
      <c r="AI115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{"issue":{"subject":"","project_id":79,"tracker_id":40,"status_id":1,"priority_id":2,"assigned_to_id":338,"start_date":"2018-01-11","description":"","custom_fields":[{"id":1,"name":"Subdivision","value":"EC"},{"id":4,"name":"Milepost","value":"23.33"},{"id":17,"name":"Train ID","value":"197-11"},{"id":16,"name":"Locomotive ID","value":"4016"},{"id":130,"name":"Impact","value":""},{"id":150,"name":"Time of Event (Mountain Time)","value":"16:25:24"},{"id":151,"name":"Denver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2"/>
        <v>start /low /b %USERPROFILE%\Documents\GitHub\eaglep3\Utilities\DownloadLogsFromS3.py --loco 4016 --day 2018-01-11</v>
      </c>
      <c r="AN115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14"/>
        <v>https://d0f6bd738d7f1b3e5a7ca70fe4ff75f0.us-east-1.aws.found.io/app/kibana#/discover/Steve-Slow-Train-Analysis-(2080s-and-2083s)?_g=(refreshInterval:(display:Off,pause:!f,section:0,value:0),time:(from:'2018-01-11T14:45:51-0700',mode:absolute,to:'2018-01-11T17:25:24-0700'))&amp;_a=(columns:!('Message%20ID',Summary),filters:!(),index:'emp_*',interval:auto,query:(query_string:(analyze_wildcard:!t,query:'%22rtdc.l.rtdc.4016%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9" t="s">
        <v>678</v>
      </c>
      <c r="B116" s="225">
        <v>4015</v>
      </c>
      <c r="C116" s="227" t="s">
        <v>191</v>
      </c>
      <c r="D116" s="227" t="s">
        <v>985</v>
      </c>
      <c r="E116" s="226">
        <v>43111.689988425926</v>
      </c>
      <c r="F116" s="226">
        <v>43111.696006944447</v>
      </c>
      <c r="G116" s="225">
        <v>100</v>
      </c>
      <c r="H116" s="227" t="s">
        <v>553</v>
      </c>
      <c r="I116" s="226">
        <v>43111.72446759259</v>
      </c>
      <c r="J116" s="225">
        <v>0</v>
      </c>
      <c r="K116" s="237" t="str">
        <f>IF(ISEVEN(B116),(B116-1)&amp;"/"&amp;B116,B116&amp;"/"&amp;(B116+1))</f>
        <v>4015/4016</v>
      </c>
      <c r="L116" s="245" t="str">
        <f>VLOOKUP(A116,'Trips&amp;Operators'!$C$1:$G$99911,5,FALSE)</f>
        <v>LONG FULLER</v>
      </c>
      <c r="M116" s="224">
        <f>I116-F116</f>
        <v>2.8460648143664002E-2</v>
      </c>
      <c r="N116" s="225">
        <f>24*60*SUM($M116:$M116)</f>
        <v>40.983333326876163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2018-01-11T15:33:35-0700',mode:absolute,to:'2018-01-11T18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23.298100000000002</v>
      </c>
      <c r="Z116" s="247">
        <f>RIGHT(H116,LEN(H116)-4)/10000</f>
        <v>2.4199999999999999E-2</v>
      </c>
      <c r="AA116" s="247">
        <f>ABS(Z116-Y116)</f>
        <v>23.273900000000001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198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s3://rtdc.mdm.uploadarchive.raw/RTDC4015/ "%USERPROFILE%\AppData\Local\Temp\OnboardLogs"\RTDC4015\2018-01-11 --exclude "*" --recursive --include "*20180111*" &amp; "%USERPROFILE%\Documents\GitHub\mrs-test-scripts\Headless Mode &amp; Sideloading\WalkAndUnGZ.bat" "%USERPROFILE%\AppData\Local\Temp\OnboardLogs"\RTDC4015\2018-01-11 &amp; 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/stypes="app*4015*20180112*"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0"/>
        <v>"%USERPROFILE%\Documents\GitHub\eaglep3\Utilities\RefineRTDCRunTimes.py" --tripid 198-11 --locoid 4015 --swversion DE.1.0.9.0 --startMP 204:232981 --initTime 2018-01-11T16:33:35 --startdatetime 2018-01-11T16:42:15 --delay 100 --endMP 204:242 --enddatetime 2018-01-11T17:23:14 --enforcementcount 0 &gt;&gt;%USERPROFILE%\Documents\GitHub\eaglep3-reporting\EC\2018-01-11-refined-times.txt</v>
      </c>
      <c r="AI116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{"issue":{"subject":"","project_id":79,"tracker_id":40,"status_id":1,"priority_id":2,"assigned_to_id":338,"start_date":"2018-01-11","description":"","custom_fields":[{"id":1,"name":"Subdivision","value":"EC"},{"id":4,"name":"Milepost","value":"0.0242"},{"id":17,"name":"Train ID","value":"198-11"},{"id":16,"name":"Locomotive ID","value":"4015"},{"id":130,"name":"Impact","value":""},{"id":150,"name":"Time of Event (Mountain Time)","value":"17:23:14"},{"id":151,"name":"Denver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12"/>
        <v>start /low /b %USERPROFILE%\Documents\GitHub\eaglep3\Utilities\DownloadLogsFromS3.py --loco 4015 --day 2018-01-11</v>
      </c>
      <c r="AN116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14"/>
        <v>https://d0f6bd738d7f1b3e5a7ca70fe4ff75f0.us-east-1.aws.found.io/app/kibana#/discover/Steve-Slow-Train-Analysis-(2080s-and-2083s)?_g=(refreshInterval:(display:Off,pause:!f,section:0,value:0),time:(from:'2018-01-11T15:33:35-0700',mode:absolute,to:'2018-01-11T18:23:14-0700'))&amp;_a=(columns:!('Message%20ID',Summary),filters:!(),index:'emp_*',interval:auto,query:(query_string:(analyze_wildcard:!t,query:'%22rtdc.l.rtdc.4015%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826</v>
      </c>
      <c r="B117" s="225">
        <v>4020</v>
      </c>
      <c r="C117" s="227" t="s">
        <v>191</v>
      </c>
      <c r="D117" s="227" t="s">
        <v>485</v>
      </c>
      <c r="E117" s="226">
        <v>43111.66746527778</v>
      </c>
      <c r="F117" s="226">
        <v>43111.669212962966</v>
      </c>
      <c r="G117" s="225">
        <v>56</v>
      </c>
      <c r="H117" s="227" t="s">
        <v>601</v>
      </c>
      <c r="I117" s="226">
        <v>43111.695196759261</v>
      </c>
      <c r="J117" s="225">
        <v>0</v>
      </c>
      <c r="K117" s="237" t="str">
        <f>IF(ISEVEN(B117),(B117-1)&amp;"/"&amp;B117,B117&amp;"/"&amp;(B117+1))</f>
        <v>4019/4020</v>
      </c>
      <c r="L117" s="245" t="str">
        <f>VLOOKUP(A117,'Trips&amp;Operators'!$C$1:$G$99911,5,FALSE)</f>
        <v>BADERTSCHER DIANE</v>
      </c>
      <c r="M117" s="224">
        <f>I117-F117</f>
        <v>2.5983796294895001E-2</v>
      </c>
      <c r="N117" s="225">
        <f>24*60*SUM($M117:$M117)</f>
        <v>37.416666664648801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2018-01-11T15:01:09-0700',mode:absolute,to:'2018-01-11T17:41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5.0200000000000002E-2</v>
      </c>
      <c r="Z117" s="247">
        <f>RIGHT(H117,LEN(H117)-4)/10000</f>
        <v>23.326599999999999</v>
      </c>
      <c r="AA117" s="247">
        <f>ABS(Z117-Y117)</f>
        <v>23.276399999999999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199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s3://rtdc.mdm.uploadarchive.raw/RTDC4020/ "%USERPROFILE%\AppData\Local\Temp\OnboardLogs"\RTDC4020\2018-01-11 --exclude "*" --recursive --include "*20180111*" &amp; "%USERPROFILE%\Documents\GitHub\mrs-test-scripts\Headless Mode &amp; Sideloading\WalkAndUnGZ.bat" "%USERPROFILE%\AppData\Local\Temp\OnboardLogs"\RTDC4020\2018-01-11 &amp; aws s3 cp s3://rtdc.mdm.uploadarchive.raw/RTDC4020/ "%USERPROFILE%\AppData\Local\Temp\OnboardLogs"\RTDC4020\2018-01-12 --exclude "*" --recursive --include "*20180112*" &amp; "%USERPROFILE%\Documents\GitHub\mrs-test-scripts\Headless Mode &amp; Sideloading\WalkAndUnGZ.bat" "%USERPROFILE%\AppData\Local\Temp\OnboardLogs"\RTDC4020\2018-01-12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/stypes="app*4020*20180111*" /stext=" 23:.+((SYSTEM_STATE.+slice.+state.+changed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0"/>
        <v>"%USERPROFILE%\Documents\GitHub\eaglep3\Utilities\RefineRTDCRunTimes.py" --tripid 199-11 --locoid 4020 --swversion DE.1.0.9.0 --startMP 204:502 --initTime 2018-01-11T16:01:09 --startdatetime 2018-01-11T16:03:40 --delay 56 --endMP 204:233266 --enddatetime 2018-01-11T16:41:05 --enforcementcount 0 &gt;&gt;%USERPROFILE%\Documents\GitHub\eaglep3-reporting\EC\2018-01-11-refined-times.txt</v>
      </c>
      <c r="AI117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{"issue":{"subject":"","project_id":79,"tracker_id":40,"status_id":1,"priority_id":2,"assigned_to_id":338,"start_date":"2018-01-11","description":"","custom_fields":[{"id":1,"name":"Subdivision","value":"EC"},{"id":4,"name":"Milepost","value":"23.3266"},{"id":17,"name":"Train ID","value":"199-11"},{"id":16,"name":"Locomotive ID","value":"4020"},{"id":130,"name":"Impact","value":""},{"id":150,"name":"Time of Event (Mountain Time)","value":"16:41:05"},{"id":151,"name":"Denver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12"/>
        <v>start /low /b %USERPROFILE%\Documents\GitHub\eaglep3\Utilities\DownloadLogsFromS3.py --loco 4020 --day 2018-01-11</v>
      </c>
      <c r="AN117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14"/>
        <v>https://d0f6bd738d7f1b3e5a7ca70fe4ff75f0.us-east-1.aws.found.io/app/kibana#/discover/Steve-Slow-Train-Analysis-(2080s-and-2083s)?_g=(refreshInterval:(display:Off,pause:!f,section:0,value:0),time:(from:'2018-01-11T15:01:09-0700',mode:absolute,to:'2018-01-11T17:41:05-0700'))&amp;_a=(columns:!('Message%20ID',Summary),filters:!(),index:'emp_*',interval:auto,query:(query_string:(analyze_wildcard:!t,query:'%22rtdc.l.rtdc.4020%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229" t="s">
        <v>834</v>
      </c>
      <c r="B118" s="225">
        <v>4019</v>
      </c>
      <c r="C118" s="227" t="s">
        <v>191</v>
      </c>
      <c r="D118" s="227" t="s">
        <v>494</v>
      </c>
      <c r="E118" s="226">
        <v>43111.702951388892</v>
      </c>
      <c r="F118" s="226">
        <v>43111.706550925926</v>
      </c>
      <c r="G118" s="225">
        <v>80</v>
      </c>
      <c r="H118" s="227" t="s">
        <v>590</v>
      </c>
      <c r="I118" s="226">
        <v>43111.733668981484</v>
      </c>
      <c r="J118" s="225">
        <v>0</v>
      </c>
      <c r="K118" s="237" t="str">
        <f>IF(ISEVEN(B118),(B118-1)&amp;"/"&amp;B118,B118&amp;"/"&amp;(B118+1))</f>
        <v>4019/4020</v>
      </c>
      <c r="L118" s="245" t="str">
        <f>VLOOKUP(A118,'Trips&amp;Operators'!$C$1:$G$99911,5,FALSE)</f>
        <v>BADERTSCHER DIANE</v>
      </c>
      <c r="M118" s="224">
        <f>I118-F118</f>
        <v>2.7118055557366461E-2</v>
      </c>
      <c r="N118" s="225">
        <f>24*60*SUM($M118:$M118)</f>
        <v>39.050000002607703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2018-01-11T15:52:15-0700',mode:absolute,to:'2018-01-11T18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23.293399999999998</v>
      </c>
      <c r="Z118" s="247">
        <f>RIGHT(H118,LEN(H118)-4)/10000</f>
        <v>2.4899999999999999E-2</v>
      </c>
      <c r="AA118" s="247">
        <f>ABS(Z118-Y118)</f>
        <v>23.2685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200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s3://rtdc.mdm.uploadarchive.raw/RTDC4019/ "%USERPROFILE%\AppData\Local\Temp\OnboardLogs"\RTDC4019\2018-01-11 --exclude "*" --recursive --include "*20180111*" &amp; "%USERPROFILE%\Documents\GitHub\mrs-test-scripts\Headless Mode &amp; Sideloading\WalkAndUnGZ.bat" "%USERPROFILE%\AppData\Local\Temp\OnboardLogs"\RTDC4019\2018-01-11 &amp; aws s3 cp s3://rtdc.mdm.uploadarchive.raw/RTDC4019/ "%USERPROFILE%\AppData\Local\Temp\OnboardLogs"\RTDC4019\2018-01-12 --exclude "*" --recursive --include "*20180112*" &amp; "%USERPROFILE%\Documents\GitHub\mrs-test-scripts\Headless Mode &amp; Sideloading\WalkAndUnGZ.bat" "%USERPROFILE%\AppData\Local\Temp\OnboardLogs"\RTDC4019\2018-01-12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/stypes="app*4019*20180112*" /stext=" 00:.+((SYSTEM_STATE.+slice.+state.+changed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0"/>
        <v>"%USERPROFILE%\Documents\GitHub\eaglep3\Utilities\RefineRTDCRunTimes.py" --tripid 200-11 --locoid 4019 --swversion DE.1.0.9.0 --startMP 204:232934 --initTime 2018-01-11T16:52:15 --startdatetime 2018-01-11T16:57:26 --delay 80 --endMP 204:249 --enddatetime 2018-01-11T17:36:29 --enforcementcount 0 &gt;&gt;%USERPROFILE%\Documents\GitHub\eaglep3-reporting\EC\2018-01-11-refined-times.txt</v>
      </c>
      <c r="AI118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{"issue":{"subject":"","project_id":79,"tracker_id":40,"status_id":1,"priority_id":2,"assigned_to_id":338,"start_date":"2018-01-11","description":"","custom_fields":[{"id":1,"name":"Subdivision","value":"EC"},{"id":4,"name":"Milepost","value":"0.0249"},{"id":17,"name":"Train ID","value":"200-11"},{"id":16,"name":"Locomotive ID","value":"4019"},{"id":130,"name":"Impact","value":""},{"id":150,"name":"Time of Event (Mountain Time)","value":"17:36:29"},{"id":151,"name":"Denver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12"/>
        <v>start /low /b %USERPROFILE%\Documents\GitHub\eaglep3\Utilities\DownloadLogsFromS3.py --loco 4019 --day 2018-01-11</v>
      </c>
      <c r="AN118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14"/>
        <v>https://d0f6bd738d7f1b3e5a7ca70fe4ff75f0.us-east-1.aws.found.io/app/kibana#/discover/Steve-Slow-Train-Analysis-(2080s-and-2083s)?_g=(refreshInterval:(display:Off,pause:!f,section:0,value:0),time:(from:'2018-01-11T15:52:15-0700',mode:absolute,to:'2018-01-11T18:36:29-0700'))&amp;_a=(columns:!('Message%20ID',Summary),filters:!(),index:'emp_*',interval:auto,query:(query_string:(analyze_wildcard:!t,query:'%22rtdc.l.rtdc.4019%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3">
      <c r="A119" s="229" t="s">
        <v>828</v>
      </c>
      <c r="B119" s="225">
        <v>4022</v>
      </c>
      <c r="C119" s="227" t="s">
        <v>191</v>
      </c>
      <c r="D119" s="227" t="s">
        <v>465</v>
      </c>
      <c r="E119" s="226">
        <v>43111.674803240741</v>
      </c>
      <c r="F119" s="226">
        <v>43111.677418981482</v>
      </c>
      <c r="G119" s="225">
        <v>74</v>
      </c>
      <c r="H119" s="227" t="s">
        <v>926</v>
      </c>
      <c r="I119" s="226">
        <v>43111.702777777777</v>
      </c>
      <c r="J119" s="225">
        <v>0</v>
      </c>
      <c r="K119" s="237" t="str">
        <f>IF(ISEVEN(B119),(B119-1)&amp;"/"&amp;B119,B119&amp;"/"&amp;(B119+1))</f>
        <v>4021/4022</v>
      </c>
      <c r="L119" s="245" t="str">
        <f>VLOOKUP(A119,'Trips&amp;Operators'!$C$1:$G$99911,5,FALSE)</f>
        <v>HOLCOMB KAMDEN</v>
      </c>
      <c r="M119" s="224">
        <f>I119-F119</f>
        <v>2.5358796294312924E-2</v>
      </c>
      <c r="N119" s="225">
        <f>24*60*SUM($M119:$M119)</f>
        <v>36.516666663810611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2018-01-11T15:11:43-0700',mode:absolute,to:'2018-01-11T17:52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5.33E-2</v>
      </c>
      <c r="Z119" s="247">
        <f>RIGHT(H119,LEN(H119)-4)/10000</f>
        <v>23.3278</v>
      </c>
      <c r="AA119" s="247">
        <f>ABS(Z119-Y119)</f>
        <v>23.2745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201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s3://rtdc.mdm.uploadarchive.raw/RTDC4022/ "%USERPROFILE%\AppData\Local\Temp\OnboardLogs"\RTDC4022\2018-01-11 --exclude "*" --recursive --include "*20180111*" &amp; "%USERPROFILE%\Documents\GitHub\mrs-test-scripts\Headless Mode &amp; Sideloading\WalkAndUnGZ.bat" "%USERPROFILE%\AppData\Local\Temp\OnboardLogs"\RTDC4022\2018-01-11 &amp; aws s3 cp s3://rtdc.mdm.uploadarchive.raw/RTDC4022/ "%USERPROFILE%\AppData\Local\Temp\OnboardLogs"\RTDC4022\2018-01-12 --exclude "*" --recursive --include "*20180112*" &amp; "%USERPROFILE%\Documents\GitHub\mrs-test-scripts\Headless Mode &amp; Sideloading\WalkAndUnGZ.bat" "%USERPROFILE%\AppData\Local\Temp\OnboardLogs"\RTDC4022\2018-01-12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/stypes="app*4022*20180111*" /stext=" 23:.+((SYSTEM_STATE.+slice.+state.+changed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0"/>
        <v>"%USERPROFILE%\Documents\GitHub\eaglep3\Utilities\RefineRTDCRunTimes.py" --tripid 201-11 --locoid 4022 --swversion DE.1.0.9.0 --startMP 204:533 --initTime 2018-01-11T16:11:43 --startdatetime 2018-01-11T16:15:29 --delay 74 --endMP 204:233278 --enddatetime 2018-01-11T16:52:00 --enforcementcount 0 &gt;&gt;%USERPROFILE%\Documents\GitHub\eaglep3-reporting\EC\2018-01-11-refined-times.txt</v>
      </c>
      <c r="AI119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{"issue":{"subject":"","project_id":79,"tracker_id":40,"status_id":1,"priority_id":2,"assigned_to_id":338,"start_date":"2018-01-11","description":"","custom_fields":[{"id":1,"name":"Subdivision","value":"EC"},{"id":4,"name":"Milepost","value":"23.3278"},{"id":17,"name":"Train ID","value":"201-11"},{"id":16,"name":"Locomotive ID","value":"4022"},{"id":130,"name":"Impact","value":""},{"id":150,"name":"Time of Event (Mountain Time)","value":"16:52:00"},{"id":151,"name":"Denver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12"/>
        <v>start /low /b %USERPROFILE%\Documents\GitHub\eaglep3\Utilities\DownloadLogsFromS3.py --loco 4022 --day 2018-01-11</v>
      </c>
      <c r="AN119" s="241" t="str">
        <f t="shared" si="13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14"/>
        <v>https://d0f6bd738d7f1b3e5a7ca70fe4ff75f0.us-east-1.aws.found.io/app/kibana#/discover/Steve-Slow-Train-Analysis-(2080s-and-2083s)?_g=(refreshInterval:(display:Off,pause:!f,section:0,value:0),time:(from:'2018-01-11T15:11:43-0700',mode:absolute,to:'2018-01-11T17:52:00-0700'))&amp;_a=(columns:!('Message%20ID',Summary),filters:!(),index:'emp_*',interval:auto,query:(query_string:(analyze_wildcard:!t,query:'%22rtdc.l.rtdc.4022%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838</v>
      </c>
      <c r="B120" s="225">
        <v>4021</v>
      </c>
      <c r="C120" s="227" t="s">
        <v>191</v>
      </c>
      <c r="D120" s="227" t="s">
        <v>462</v>
      </c>
      <c r="E120" s="226">
        <v>43111.71534722222</v>
      </c>
      <c r="F120" s="226">
        <v>43111.716851851852</v>
      </c>
      <c r="G120" s="225">
        <v>73</v>
      </c>
      <c r="H120" s="227" t="s">
        <v>522</v>
      </c>
      <c r="I120" s="226">
        <v>43111.742673611108</v>
      </c>
      <c r="J120" s="225">
        <v>0</v>
      </c>
      <c r="K120" s="237" t="str">
        <f>IF(ISEVEN(B120),(B120-1)&amp;"/"&amp;B120,B120&amp;"/"&amp;(B120+1))</f>
        <v>4021/4022</v>
      </c>
      <c r="L120" s="245" t="str">
        <f>VLOOKUP(A120,'Trips&amp;Operators'!$C$1:$G$99911,5,FALSE)</f>
        <v>HOLCOMB KAMDEN</v>
      </c>
      <c r="M120" s="224">
        <f>I120-F120</f>
        <v>2.5821759256359655E-2</v>
      </c>
      <c r="N120" s="225">
        <f>24*60*SUM($M120:$M120)</f>
        <v>37.183333329157904</v>
      </c>
      <c r="O120" s="225"/>
      <c r="P120" s="225"/>
      <c r="Q120" s="228"/>
      <c r="R120" s="242" t="s">
        <v>1125</v>
      </c>
      <c r="S120" s="249">
        <f>1/IF(AG120="EC",12,1)*SUM(U120:U120)</f>
        <v>1</v>
      </c>
      <c r="T120" s="242" t="str">
        <f>IF(ISEVEN(LEFT(AD120,4)),"Southbound","NorthBound")</f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-11T16:10:06-0700',mode:absolute,to:'2018-01-11T18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23.2942</v>
      </c>
      <c r="Z120" s="247">
        <f>RIGHT(H120,LEN(H120)-4)/10000</f>
        <v>2.3199999999999998E-2</v>
      </c>
      <c r="AA120" s="247">
        <f>ABS(Z120-Y120)</f>
        <v>23.271000000000001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202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s3://rtdc.mdm.uploadarchive.raw/RTDC4021/ "%USERPROFILE%\AppData\Local\Temp\OnboardLogs"\RTDC4021\2018-01-11 --exclude "*" --recursive --include "*20180111*" &amp; "%USERPROFILE%\Documents\GitHub\mrs-test-scripts\Headless Mode &amp; Sideloading\WalkAndUnGZ.bat" "%USERPROFILE%\AppData\Local\Temp\OnboardLogs"\RTDC4021\2018-01-11 &amp; aws s3 cp s3://rtdc.mdm.uploadarchive.raw/RTDC4021/ "%USERPROFILE%\AppData\Local\Temp\OnboardLogs"\RTDC4021\2018-01-12 --exclude "*" --recursive --include "*20180112*" &amp; "%USERPROFILE%\Documents\GitHub\mrs-test-scripts\Headless Mode &amp; Sideloading\WalkAndUnGZ.bat" "%USERPROFILE%\AppData\Local\Temp\OnboardLogs"\RTDC4021\2018-01-12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/stypes="app*4021*20180112*" /stext=" 00:.+((SYSTEM_STATE.+slice.+state.+changed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0"/>
        <v>"%USERPROFILE%\Documents\GitHub\eaglep3\Utilities\RefineRTDCRunTimes.py" --tripid 202-11 --locoid 4021 --swversion DE.1.0.9.0 --startMP 204:232942 --initTime 2018-01-11T17:10:06 --startdatetime 2018-01-11T17:12:16 --delay 73 --endMP 204:232 --enddatetime 2018-01-11T17:49:27 --enforcementcount 0 &gt;&gt;%USERPROFILE%\Documents\GitHub\eaglep3-reporting\EC\2018-01-11-refined-times.txt</v>
      </c>
      <c r="AI120" s="238" t="str">
        <f t="shared" si="11"/>
        <v>echo {"issue":{"subject":"Observed unhealthy xing at Chambers due to station stop","project_id":79,"tracker_id":40,"status_id":1,"priority_id":2,"assigned_to_id":338,"start_date":"2018-01-11","description":"","custom_fields":[{"id":1,"name":"Subdivision","value":"EC"},{"id":4,"name":"Milepost","value":"0.0232"},{"id":17,"name":"Train ID","value":"202-11"},{"id":16,"name":"Locomotive ID","value":"4021"},{"id":130,"name":"Impact","value":""},{"id":150,"name":"Time of Event (Mountain Time)","value":"17:49:27"},{"id":151,"name":"Denver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12"/>
        <v>start /low /b %USERPROFILE%\Documents\GitHub\eaglep3\Utilities\DownloadLogsFromS3.py --loco 4021 --day 2018-01-11</v>
      </c>
      <c r="AN120" s="241" t="str">
        <f t="shared" si="13"/>
        <v>echo {"issue":{"subject":"Observed unhealthy xing at Chambers due to station stop","project_id":30,"tracker_id":4,"status_id":1,"priority_id":1,"assigned_to_id":10,"start_date":"2018-01-12","description":"","custom_fields":[{"id":30,"name":"Category","value":"Issue"},{"id":3,"name":"Functional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14"/>
        <v>https://d0f6bd738d7f1b3e5a7ca70fe4ff75f0.us-east-1.aws.found.io/app/kibana#/discover/Steve-Slow-Train-Analysis-(2080s-and-2083s)?_g=(refreshInterval:(display:Off,pause:!f,section:0,value:0),time:(from:'2018-01-11T16:10:06-0700',mode:absolute,to:'2018-01-11T18:49:27-0700'))&amp;_a=(columns:!('Message%20ID',Summary),filters:!(),index:'emp_*',interval:auto,query:(query_string:(analyze_wildcard:!t,query:'%22rtdc.l.rtdc.4021%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830</v>
      </c>
      <c r="B121" s="225">
        <v>4056</v>
      </c>
      <c r="C121" s="227" t="s">
        <v>191</v>
      </c>
      <c r="D121" s="227" t="s">
        <v>444</v>
      </c>
      <c r="E121" s="226">
        <v>43111.684351851851</v>
      </c>
      <c r="F121" s="226">
        <v>43111.687696759262</v>
      </c>
      <c r="G121" s="225">
        <v>65</v>
      </c>
      <c r="H121" s="227" t="s">
        <v>957</v>
      </c>
      <c r="I121" s="226">
        <v>43111.711296296293</v>
      </c>
      <c r="J121" s="225">
        <v>0</v>
      </c>
      <c r="K121" s="237" t="str">
        <f>IF(ISEVEN(B121),(B121-1)&amp;"/"&amp;B121,B121&amp;"/"&amp;(B121+1))</f>
        <v>4055/4056</v>
      </c>
      <c r="L121" s="245" t="str">
        <f>VLOOKUP(A121,'Trips&amp;Operators'!$C$1:$G$99911,5,FALSE)</f>
        <v>BRUDER RICHARD</v>
      </c>
      <c r="M121" s="224">
        <f>I121-F121</f>
        <v>2.3599537031259388E-2</v>
      </c>
      <c r="N121" s="225">
        <f>24*60*SUM($M121:$M121)</f>
        <v>33.983333325013518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2018-01-11T15:25:28-0700',mode:absolute,to:'2018-01-11T18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5.1700000000000003E-2</v>
      </c>
      <c r="Z121" s="247">
        <f>RIGHT(H121,LEN(H121)-4)/10000</f>
        <v>23.321100000000001</v>
      </c>
      <c r="AA121" s="247">
        <f>ABS(Z121-Y121)</f>
        <v>23.269400000000001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203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/stypes="app*4056*20180112*" /stext=" 00:.+((SYSTEM_STATE.+slice.+state.+changed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0"/>
        <v>"%USERPROFILE%\Documents\GitHub\eaglep3\Utilities\RefineRTDCRunTimes.py" --tripid 203-11 --locoid 4056 --swversion DE.1.0.9.0 --startMP 204:517 --initTime 2018-01-11T16:25:28 --startdatetime 2018-01-11T16:30:17 --delay 65 --endMP 204:233211 --enddatetime 2018-01-11T17:04:16 --enforcementcount 0 &gt;&gt;%USERPROFILE%\Documents\GitHub\eaglep3-reporting\EC\2018-01-11-refined-times.txt</v>
      </c>
      <c r="AI121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{"issue":{"subject":"","project_id":79,"tracker_id":40,"status_id":1,"priority_id":2,"assigned_to_id":338,"start_date":"2018-01-11","description":"","custom_fields":[{"id":1,"name":"Subdivision","value":"EC"},{"id":4,"name":"Milepost","value":"23.3211"},{"id":17,"name":"Train ID","value":"203-11"},{"id":16,"name":"Locomotive ID","value":"4056"},{"id":130,"name":"Impact","value":""},{"id":150,"name":"Time of Event (Mountain Time)","value":"17:04:16"},{"id":151,"name":"Denver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12"/>
        <v>start /low /b %USERPROFILE%\Documents\GitHub\eaglep3\Utilities\DownloadLogsFromS3.py --loco 4056 --day 2018-01-11</v>
      </c>
      <c r="AN121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14"/>
        <v>https://d0f6bd738d7f1b3e5a7ca70fe4ff75f0.us-east-1.aws.found.io/app/kibana#/discover/Steve-Slow-Train-Analysis-(2080s-and-2083s)?_g=(refreshInterval:(display:Off,pause:!f,section:0,value:0),time:(from:'2018-01-11T15:25:28-0700',mode:absolute,to:'2018-01-11T18:04:16-0700'))&amp;_a=(columns:!('Message%20ID',Summary),filters:!(),index:'emp_*',interval:auto,query:(query_string:(analyze_wildcard:!t,query:'%22rtdc.l.rtdc.4056%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3">
      <c r="A122" s="229" t="s">
        <v>840</v>
      </c>
      <c r="B122" s="225">
        <v>4055</v>
      </c>
      <c r="C122" s="227" t="s">
        <v>191</v>
      </c>
      <c r="D122" s="227" t="s">
        <v>986</v>
      </c>
      <c r="E122" s="226">
        <v>43111.723668981482</v>
      </c>
      <c r="F122" s="226">
        <v>43111.727256944447</v>
      </c>
      <c r="G122" s="225">
        <v>58</v>
      </c>
      <c r="H122" s="227" t="s">
        <v>521</v>
      </c>
      <c r="I122" s="226">
        <v>43111.753136574072</v>
      </c>
      <c r="J122" s="225">
        <v>0</v>
      </c>
      <c r="K122" s="237" t="str">
        <f>IF(ISEVEN(B122),(B122-1)&amp;"/"&amp;B122,B122&amp;"/"&amp;(B122+1))</f>
        <v>4055/4056</v>
      </c>
      <c r="L122" s="245" t="str">
        <f>VLOOKUP(A122,'Trips&amp;Operators'!$C$1:$G$99911,5,FALSE)</f>
        <v>BRUDER RICHARD</v>
      </c>
      <c r="M122" s="224">
        <f>I122-F122</f>
        <v>2.5879629625706002E-2</v>
      </c>
      <c r="N122" s="225">
        <f>24*60*SUM($M122:$M122)</f>
        <v>37.266666661016643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2018-01-11T16:22:05-0700',mode:absolute,to:'2018-01-11T19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23.2882</v>
      </c>
      <c r="Z122" s="247">
        <f>RIGHT(H122,LEN(H122)-4)/10000</f>
        <v>2.2700000000000001E-2</v>
      </c>
      <c r="AA122" s="247">
        <f>ABS(Z122-Y122)</f>
        <v>23.265499999999999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204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 &amp; 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/stypes="app*4055*20180112*" /stext=" 01:.+((SYSTEM_STATE.+slice.+state.+changed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0"/>
        <v>"%USERPROFILE%\Documents\GitHub\eaglep3\Utilities\RefineRTDCRunTimes.py" --tripid 204-11 --locoid 4055 --swversion DE.1.0.9.0 --startMP 204:232882 --initTime 2018-01-11T17:22:05 --startdatetime 2018-01-11T17:27:15 --delay 58 --endMP 204:227 --enddatetime 2018-01-11T18:04:31 --enforcementcount 0 &gt;&gt;%USERPROFILE%\Documents\GitHub\eaglep3-reporting\EC\2018-01-11-refined-times.txt</v>
      </c>
      <c r="AI122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{"issue":{"subject":"","project_id":79,"tracker_id":40,"status_id":1,"priority_id":2,"assigned_to_id":338,"start_date":"2018-01-11","description":"","custom_fields":[{"id":1,"name":"Subdivision","value":"EC"},{"id":4,"name":"Milepost","value":"0.0227"},{"id":17,"name":"Train ID","value":"204-11"},{"id":16,"name":"Locomotive ID","value":"4055"},{"id":130,"name":"Impact","value":""},{"id":150,"name":"Time of Event (Mountain Time)","value":"18:04:31"},{"id":151,"name":"Denver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12"/>
        <v>start /low /b %USERPROFILE%\Documents\GitHub\eaglep3\Utilities\DownloadLogsFromS3.py --loco 4055 --day 2018-01-11</v>
      </c>
      <c r="AN122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01:04:31"},{"id":29,"name":"Sharepoint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14"/>
        <v>https://d0f6bd738d7f1b3e5a7ca70fe4ff75f0.us-east-1.aws.found.io/app/kibana#/discover/Steve-Slow-Train-Analysis-(2080s-and-2083s)?_g=(refreshInterval:(display:Off,pause:!f,section:0,value:0),time:(from:'2018-01-11T16:22:05-0700',mode:absolute,to:'2018-01-11T19:04:31-0700'))&amp;_a=(columns:!('Message%20ID',Summary),filters:!(),index:'emp_*',interval:auto,query:(query_string:(analyze_wildcard:!t,query:'%22rtdc.l.rtdc.4055%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833</v>
      </c>
      <c r="B123" s="225">
        <v>4012</v>
      </c>
      <c r="C123" s="227" t="s">
        <v>191</v>
      </c>
      <c r="D123" s="227" t="s">
        <v>986</v>
      </c>
      <c r="E123" s="226">
        <v>43111.723668981482</v>
      </c>
      <c r="F123" s="226">
        <v>43111.698611111111</v>
      </c>
      <c r="G123" s="225">
        <v>58</v>
      </c>
      <c r="H123" s="227" t="s">
        <v>521</v>
      </c>
      <c r="I123" s="226">
        <v>43111.723645833335</v>
      </c>
      <c r="J123" s="225">
        <v>0</v>
      </c>
      <c r="K123" s="237" t="str">
        <f>IF(ISEVEN(B123),(B123-1)&amp;"/"&amp;B123,B123&amp;"/"&amp;(B123+1))</f>
        <v>4011/4012</v>
      </c>
      <c r="L123" s="245" t="str">
        <f>VLOOKUP(A123,'Trips&amp;Operators'!$C$1:$G$99911,5,FALSE)</f>
        <v>STEWART MICHAEL</v>
      </c>
      <c r="M123" s="224">
        <f>I123-F123</f>
        <v>2.5034722224518191E-2</v>
      </c>
      <c r="N123" s="225">
        <f>24*60*SUM($M123:$M123)</f>
        <v>36.050000003306195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2018-01-11T16:22:05-0700',mode:absolute,to:'2018-01-11T18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v>7.2999999999999995E-2</v>
      </c>
      <c r="Z123" s="247">
        <v>23.3276</v>
      </c>
      <c r="AA123" s="247">
        <f>ABS(Z123-Y123)</f>
        <v>23.2546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205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 &amp; aws s3 cp s3://rtdc.mdm.uploadarchive.raw/RTDC4012/ "%USERPROFILE%\AppData\Local\Temp\OnboardLogs"\RTDC4012\2018-01-12 --exclude "*" --recursive --include "*20180112*" &amp; "%USERPROFILE%\Documents\GitHub\mrs-test-scripts\Headless Mode &amp; Sideloading\WalkAndUnGZ.bat" "%USERPROFILE%\AppData\Local\Temp\OnboardLogs"\RTDC4012\2018-01-12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/stypes="app*4012*20180112*" /stext=" 00:.+((SYSTEM_STATE.+slice.+state.+changed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ref="AH123" si="25">refinertdcruntimes&amp;" --tripid "&amp;A123&amp;" --locoid "&amp;B123&amp;" --swversion "&amp;C123&amp;" --startMP "&amp;D123&amp;" --initTime "&amp;TEXT(E123,"yyyy-mm-ddTHH:MM:SS")&amp;" --startdatetime "&amp;TEXT(F123,"yyyy-mm-ddTHH:MM:SS")&amp;" --delay "&amp;G123&amp;" --endMP "&amp;H123&amp;" --enddatetime "&amp;TEXT(I123,"yyyy-mm-ddTHH:MM:SS")&amp;" --enforcementcount "&amp;J123&amp;IF(outputrefinedruntimes," &gt;&gt;"&amp;RefinedRTDCRunTimesOutputFile,"")</f>
        <v>"%USERPROFILE%\Documents\GitHub\eaglep3\Utilities\RefineRTDCRunTimes.py" --tripid 205-11 --locoid 4012 --swversion DE.1.0.9.0 --startMP 204:232882 --initTime 2018-01-11T17:22:05 --startdatetime 2018-01-11T16:46:00 --delay 58 --endMP 204:227 --enddatetime 2018-01-11T17:22:03 --enforcementcount 0 &gt;&gt;%USERPROFILE%\Documents\GitHub\eaglep3-reporting\EC\2018-01-11-refined-times.txt</v>
      </c>
      <c r="AI123" s="238" t="str">
        <f t="shared" ref="AI123" si="26">"echo {""issue"":{""subject"":"""&amp;R123&amp;""",""project_id"":79,""tracker_id"":40,""status_id"":"&amp;redmine_status&amp;",""priority_id"":"&amp;redmine_priority&amp;",""assigned_to_id"":"&amp;redmine_assignee&amp;",""start_date"":"""&amp;TEXT(I123,"YYYY-mm-dd")&amp;""",""description"":"""&amp;AJ123&amp;""",""custom_fields"":[{""id"":1,""name"":""Subdivision"",""value"":"""&amp;AG123&amp;"""},{""id"":4,""name"":""Milepost"",""value"":"""&amp;Z123&amp;"""},{""id"":17,""name"":""Train ID"",""value"":"""&amp;A123&amp;"""},{""id"":16,""name"":""Locomotive ID"",""value"":"""&amp;B123&amp;"""},{""id"":130,""name"":""Impact"",""value"":"""&amp;AK123&amp;"""},{""id"":150,""name"":""Time of Event (Mountain Time)"",""value"":"""&amp;TEXT(I123,"hh:mm:ss")&amp;"""},{""id"":151,""name"":""Denver Issue ID"",""value"":"""&amp;"""},{""id"":178,""name"":""Operational Impact"",""value"":"""&amp;redmine_op_impact&amp;"""},{""id"":179,""name"":""Denver Segment Assigned"",""value"":"""&amp;AL123&amp;"""}]}}"&amp;"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{"issue":{"subject":"","project_id":79,"tracker_id":40,"status_id":1,"priority_id":2,"assigned_to_id":338,"start_date":"2018-01-11","description":"","custom_fields":[{"id":1,"name":"Subdivision","value":"EC"},{"id":4,"name":"Milepost","value":"23.3276"},{"id":17,"name":"Train ID","value":"205-11"},{"id":16,"name":"Locomotive ID","value":"4012"},{"id":130,"name":"Impact","value":""},{"id":150,"name":"Time of Event (Mountain Time)","value":"17:22:03"},{"id":151,"name":"Denver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ref="AM123" si="27">"start /low /b "&amp;dls3logs&amp;" --loco "&amp;B123&amp;" --day "&amp;TEXT(F123,"YYYY-MM-DD")</f>
        <v>start /low /b %USERPROFILE%\Documents\GitHub\eaglep3\Utilities\DownloadLogsFromS3.py --loco 4012 --day 2018-01-11</v>
      </c>
      <c r="AN123" s="241" t="str">
        <f t="shared" ref="AN123" si="28">"echo {""issue"":{""subject"":"""&amp;R123&amp;""",""project_id"":30,""tracker_id"":4,""status_id"":"&amp;redmine_status_wcr&amp;",""priority_id"":"&amp;redmine_priority_wcr&amp;",""assigned_to_id"":"&amp;redmine_assignee_wcr&amp;",""start_date"":"""&amp;TEXT(I123-utc_offset/24,"YYYY-mm-dd")&amp;""",""description"":"""&amp;AJ123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ref="AO123" si="29"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Message%20ID',Summary),filters:!(),index:'emp_*',interval:auto,query:"&amp;"(query_string:(analyze_wildcard:!t,query:'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2018-01-11T16:22:05-0700',mode:absolute,to:'2018-01-11T18:22:03-0700'))&amp;_a=(columns:!('Message%20ID',Summary),filters:!(),index:'emp_*',interval:auto,query:(query_string:(analyze_wildcard:!t,query:'%22rtdc.l.rtdc.4012%22')),sort:!(Time.ISO8601,asc))</v>
      </c>
    </row>
    <row r="124" spans="1:91" s="20" customFormat="1" x14ac:dyDescent="0.3">
      <c r="A124" s="229" t="s">
        <v>843</v>
      </c>
      <c r="B124" s="225">
        <v>4011</v>
      </c>
      <c r="C124" s="227" t="s">
        <v>191</v>
      </c>
      <c r="D124" s="227" t="s">
        <v>901</v>
      </c>
      <c r="E124" s="226">
        <v>43111.730706018519</v>
      </c>
      <c r="F124" s="226">
        <v>43111.734293981484</v>
      </c>
      <c r="G124" s="225">
        <v>58</v>
      </c>
      <c r="H124" s="227" t="s">
        <v>476</v>
      </c>
      <c r="I124" s="226">
        <v>43111.76457175926</v>
      </c>
      <c r="J124" s="225">
        <v>0</v>
      </c>
      <c r="K124" s="237" t="str">
        <f>IF(ISEVEN(B124),(B124-1)&amp;"/"&amp;B124,B124&amp;"/"&amp;(B124+1))</f>
        <v>4011/4012</v>
      </c>
      <c r="L124" s="245" t="str">
        <f>VLOOKUP(A124,'Trips&amp;Operators'!$C$1:$G$99911,5,FALSE)</f>
        <v>STEWART MICHAEL</v>
      </c>
      <c r="M124" s="224">
        <f>I124-F124</f>
        <v>3.0277777776063886E-2</v>
      </c>
      <c r="N124" s="225">
        <f>24*60*SUM($M124:$M124)</f>
        <v>43.599999997531995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2018-01-11T16:32:13-0700',mode:absolute,to:'2018-01-11T19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23.2959</v>
      </c>
      <c r="Z124" s="247">
        <f>RIGHT(H124,LEN(H124)-4)/10000</f>
        <v>1.8100000000000002E-2</v>
      </c>
      <c r="AA124" s="247">
        <f>ABS(Z124-Y124)</f>
        <v>23.277799999999999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206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 &amp; aws s3 cp s3://rtdc.mdm.uploadarchive.raw/RTDC4011/ "%USERPROFILE%\AppData\Local\Temp\OnboardLogs"\RTDC4011\2018-01-12 --exclude "*" --recursive --include "*20180112*" &amp; "%USERPROFILE%\Documents\GitHub\mrs-test-scripts\Headless Mode &amp; Sideloading\WalkAndUnGZ.bat" "%USERPROFILE%\AppData\Local\Temp\OnboardLogs"\RTDC4011\2018-01-12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/stypes="app*4011*20180112*"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0"/>
        <v>"%USERPROFILE%\Documents\GitHub\eaglep3\Utilities\RefineRTDCRunTimes.py" --tripid 206-11 --locoid 4011 --swversion DE.1.0.9.0 --startMP 204:232959 --initTime 2018-01-11T17:32:13 --startdatetime 2018-01-11T17:37:23 --delay 58 --endMP 204:181 --enddatetime 2018-01-11T18:20:59 --enforcementcount 0 &gt;&gt;%USERPROFILE%\Documents\GitHub\eaglep3-reporting\EC\2018-01-11-refined-times.txt</v>
      </c>
      <c r="AI124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{"issue":{"subject":"","project_id":79,"tracker_id":40,"status_id":1,"priority_id":2,"assigned_to_id":338,"start_date":"2018-01-11","description":"","custom_fields":[{"id":1,"name":"Subdivision","value":"EC"},{"id":4,"name":"Milepost","value":"0.0181"},{"id":17,"name":"Train ID","value":"206-11"},{"id":16,"name":"Locomotive ID","value":"4011"},{"id":130,"name":"Impact","value":""},{"id":150,"name":"Time of Event (Mountain Time)","value":"18:20:59"},{"id":151,"name":"Denver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12"/>
        <v>start /low /b %USERPROFILE%\Documents\GitHub\eaglep3\Utilities\DownloadLogsFromS3.py --loco 4011 --day 2018-01-11</v>
      </c>
      <c r="AN124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01:20:59"},{"id":29,"name":"Sharepoint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14"/>
        <v>https://d0f6bd738d7f1b3e5a7ca70fe4ff75f0.us-east-1.aws.found.io/app/kibana#/discover/Steve-Slow-Train-Analysis-(2080s-and-2083s)?_g=(refreshInterval:(display:Off,pause:!f,section:0,value:0),time:(from:'2018-01-11T16:32:13-0700',mode:absolute,to:'2018-01-11T19:20:59-0700'))&amp;_a=(columns:!('Message%20ID',Summary),filters:!(),index:'emp_*',interval:auto,query:(query_string:(analyze_wildcard:!t,query:'%22rtdc.l.rtdc.4011%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3">
      <c r="A125" s="229" t="s">
        <v>835</v>
      </c>
      <c r="B125" s="225">
        <v>4042</v>
      </c>
      <c r="C125" s="227" t="s">
        <v>191</v>
      </c>
      <c r="D125" s="227" t="s">
        <v>492</v>
      </c>
      <c r="E125" s="226">
        <v>43111.705462962964</v>
      </c>
      <c r="F125" s="226">
        <v>43111.708495370367</v>
      </c>
      <c r="G125" s="225">
        <v>69</v>
      </c>
      <c r="H125" s="227" t="s">
        <v>987</v>
      </c>
      <c r="I125" s="226">
        <v>43111.733043981483</v>
      </c>
      <c r="J125" s="225">
        <v>0</v>
      </c>
      <c r="K125" s="237" t="str">
        <f>IF(ISEVEN(B125),(B125-1)&amp;"/"&amp;B125,B125&amp;"/"&amp;(B125+1))</f>
        <v>4041/4042</v>
      </c>
      <c r="L125" s="245" t="str">
        <f>VLOOKUP(A125,'Trips&amp;Operators'!$C$1:$G$99911,5,FALSE)</f>
        <v>LEVIN SCOTT</v>
      </c>
      <c r="M125" s="224">
        <f>I125-F125</f>
        <v>2.4548611116188113E-2</v>
      </c>
      <c r="N125" s="225">
        <f>24*60*SUM($M125:$M125)</f>
        <v>35.350000007310882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2018-01-11T15:55:52-0700',mode:absolute,to:'2018-01-11T18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4.7699999999999999E-2</v>
      </c>
      <c r="Z125" s="247">
        <f>RIGHT(H125,LEN(H125)-4)/10000</f>
        <v>23.335699999999999</v>
      </c>
      <c r="AA125" s="247">
        <f>ABS(Z125-Y125)</f>
        <v>23.288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207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s3://rtdc.mdm.uploadarchive.raw/RTDC4042/ "%USERPROFILE%\AppData\Local\Temp\OnboardLogs"\RTDC4042\2018-01-11 --exclude "*" --recursive --include "*20180111*" &amp; "%USERPROFILE%\Documents\GitHub\mrs-test-scripts\Headless Mode &amp; Sideloading\WalkAndUnGZ.bat" "%USERPROFILE%\AppData\Local\Temp\OnboardLogs"\RTDC4042\2018-01-11 &amp; aws s3 cp s3://rtdc.mdm.uploadarchive.raw/RTDC4042/ "%USERPROFILE%\AppData\Local\Temp\OnboardLogs"\RTDC4042\2018-01-12 --exclude "*" --recursive --include "*20180112*" &amp; "%USERPROFILE%\Documents\GitHub\mrs-test-scripts\Headless Mode &amp; Sideloading\WalkAndUnGZ.bat" "%USERPROFILE%\AppData\Local\Temp\OnboardLogs"\RTDC4042\2018-01-12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/stypes="app*4042*20180112*" /stext=" 00:.+((SYSTEM_STATE.+slice.+state.+changed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0"/>
        <v>"%USERPROFILE%\Documents\GitHub\eaglep3\Utilities\RefineRTDCRunTimes.py" --tripid 207-11 --locoid 4042 --swversion DE.1.0.9.0 --startMP 204:477 --initTime 2018-01-11T16:55:52 --startdatetime 2018-01-11T17:00:14 --delay 69 --endMP 204:233357 --enddatetime 2018-01-11T17:35:35 --enforcementcount 0 &gt;&gt;%USERPROFILE%\Documents\GitHub\eaglep3-reporting\EC\2018-01-11-refined-times.txt</v>
      </c>
      <c r="AI125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{"issue":{"subject":"","project_id":79,"tracker_id":40,"status_id":1,"priority_id":2,"assigned_to_id":338,"start_date":"2018-01-11","description":"","custom_fields":[{"id":1,"name":"Subdivision","value":"EC"},{"id":4,"name":"Milepost","value":"23.3357"},{"id":17,"name":"Train ID","value":"207-11"},{"id":16,"name":"Locomotive ID","value":"4042"},{"id":130,"name":"Impact","value":""},{"id":150,"name":"Time of Event (Mountain Time)","value":"17:35:35"},{"id":151,"name":"Denver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12"/>
        <v>start /low /b %USERPROFILE%\Documents\GitHub\eaglep3\Utilities\DownloadLogsFromS3.py --loco 4042 --day 2018-01-11</v>
      </c>
      <c r="AN125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14"/>
        <v>https://d0f6bd738d7f1b3e5a7ca70fe4ff75f0.us-east-1.aws.found.io/app/kibana#/discover/Steve-Slow-Train-Analysis-(2080s-and-2083s)?_g=(refreshInterval:(display:Off,pause:!f,section:0,value:0),time:(from:'2018-01-11T15:55:52-0700',mode:absolute,to:'2018-01-11T18:35:35-0700'))&amp;_a=(columns:!('Message%20ID',Summary),filters:!(),index:'emp_*',interval:auto,query:(query_string:(analyze_wildcard:!t,query:'%22rtdc.l.rtdc.4042%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3">
      <c r="A126" s="229" t="s">
        <v>845</v>
      </c>
      <c r="B126" s="225">
        <v>4041</v>
      </c>
      <c r="C126" s="227" t="s">
        <v>191</v>
      </c>
      <c r="D126" s="227" t="s">
        <v>988</v>
      </c>
      <c r="E126" s="226">
        <v>43111.737534722219</v>
      </c>
      <c r="F126" s="226">
        <v>43111.748159722221</v>
      </c>
      <c r="G126" s="225">
        <v>63</v>
      </c>
      <c r="H126" s="227" t="s">
        <v>610</v>
      </c>
      <c r="I126" s="226">
        <v>43111.775011574071</v>
      </c>
      <c r="J126" s="225">
        <v>0</v>
      </c>
      <c r="K126" s="237" t="str">
        <f>IF(ISEVEN(B126),(B126-1)&amp;"/"&amp;B126,B126&amp;"/"&amp;(B126+1))</f>
        <v>4041/4042</v>
      </c>
      <c r="L126" s="245" t="str">
        <f>VLOOKUP(A126,'Trips&amp;Operators'!$C$1:$G$99911,5,FALSE)</f>
        <v>LEVIN SCOTT</v>
      </c>
      <c r="M126" s="224">
        <f>I126-F126</f>
        <v>2.6851851849642117E-2</v>
      </c>
      <c r="N126" s="225">
        <f>24*60*SUM($M126:$M126)</f>
        <v>38.666666663484648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2018-01-11T16:42:03-0700',mode:absolute,to:'2018-01-11T19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23.302099999999999</v>
      </c>
      <c r="Z126" s="247">
        <f>RIGHT(H126,LEN(H126)-4)/10000</f>
        <v>1.9599999999999999E-2</v>
      </c>
      <c r="AA126" s="247">
        <f>ABS(Z126-Y126)</f>
        <v>23.282499999999999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208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/stypes="app*4041*20180112*" /stext=" 01:.+((SYSTEM_STATE.+slice.+state.+changed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0"/>
        <v>"%USERPROFILE%\Documents\GitHub\eaglep3\Utilities\RefineRTDCRunTimes.py" --tripid 208-11 --locoid 4041 --swversion DE.1.0.9.0 --startMP 204:233021 --initTime 2018-01-11T17:42:03 --startdatetime 2018-01-11T17:57:21 --delay 63 --endMP 204:196 --enddatetime 2018-01-11T18:36:01 --enforcementcount 0 &gt;&gt;%USERPROFILE%\Documents\GitHub\eaglep3-reporting\EC\2018-01-11-refined-times.txt</v>
      </c>
      <c r="AI126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{"issue":{"subject":"","project_id":79,"tracker_id":40,"status_id":1,"priority_id":2,"assigned_to_id":338,"start_date":"2018-01-11","description":"","custom_fields":[{"id":1,"name":"Subdivision","value":"EC"},{"id":4,"name":"Milepost","value":"0.0196"},{"id":17,"name":"Train ID","value":"208-11"},{"id":16,"name":"Locomotive ID","value":"4041"},{"id":130,"name":"Impact","value":""},{"id":150,"name":"Time of Event (Mountain Time)","value":"18:36:01"},{"id":151,"name":"Denver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12"/>
        <v>start /low /b %USERPROFILE%\Documents\GitHub\eaglep3\Utilities\DownloadLogsFromS3.py --loco 4041 --day 2018-01-11</v>
      </c>
      <c r="AN126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14"/>
        <v>https://d0f6bd738d7f1b3e5a7ca70fe4ff75f0.us-east-1.aws.found.io/app/kibana#/discover/Steve-Slow-Train-Analysis-(2080s-and-2083s)?_g=(refreshInterval:(display:Off,pause:!f,section:0,value:0),time:(from:'2018-01-11T16:42:03-0700',mode:absolute,to:'2018-01-11T19:36:01-0700'))&amp;_a=(columns:!('Message%20ID',Summary),filters:!(),index:'emp_*',interval:auto,query:(query_string:(analyze_wildcard:!t,query:'%22rtdc.l.rtdc.4041%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839</v>
      </c>
      <c r="B127" s="225">
        <v>4034</v>
      </c>
      <c r="C127" s="227" t="s">
        <v>191</v>
      </c>
      <c r="D127" s="227" t="s">
        <v>637</v>
      </c>
      <c r="E127" s="226">
        <v>43111.71597222222</v>
      </c>
      <c r="F127" s="226">
        <v>43111.718969907408</v>
      </c>
      <c r="G127" s="225">
        <v>57</v>
      </c>
      <c r="H127" s="227" t="s">
        <v>923</v>
      </c>
      <c r="I127" s="226">
        <v>43111.743877314817</v>
      </c>
      <c r="J127" s="225">
        <v>0</v>
      </c>
      <c r="K127" s="237" t="str">
        <f>IF(ISEVEN(B127),(B127-1)&amp;"/"&amp;B127,B127&amp;"/"&amp;(B127+1))</f>
        <v>4033/4034</v>
      </c>
      <c r="L127" s="245" t="str">
        <f>VLOOKUP(A127,'Trips&amp;Operators'!$C$1:$G$99911,5,FALSE)</f>
        <v>ROBINSON KADDIBA</v>
      </c>
      <c r="M127" s="224">
        <f>I127-F127</f>
        <v>2.4907407409045845E-2</v>
      </c>
      <c r="N127" s="225">
        <f>24*60*SUM($M127:$M127)</f>
        <v>35.866666669026017</v>
      </c>
      <c r="O127" s="225"/>
      <c r="P127" s="225"/>
      <c r="Q127" s="228"/>
      <c r="R127" s="242"/>
      <c r="S127" s="249">
        <f>1/IF(AG127="EC",12,1)*SUM(U127:U127)</f>
        <v>1</v>
      </c>
      <c r="T127" s="242" t="str">
        <f>IF(ISEVEN(LEFT(AD127,4)),"Southbound","NorthBound")</f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2018-01-11T16:11:00-0700',mode:absolute,to:'2018-01-11T18:51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7" s="247" t="str">
        <f>IF(AA127&lt;VLOOKUP(AG127,Variables!$AC$3:$AD$8,2,FALSE),"Y","N")</f>
        <v>N</v>
      </c>
      <c r="X127" s="247">
        <f>VALUE(LEFT(AD127,4))-VALUE(LEFT(AD126,4))</f>
        <v>1</v>
      </c>
      <c r="Y127" s="247">
        <f>RIGHT(D127,LEN(D127)-4)/10000</f>
        <v>4.4400000000000002E-2</v>
      </c>
      <c r="Z127" s="247">
        <f>RIGHT(H127,LEN(H127)-4)/10000</f>
        <v>23.3308</v>
      </c>
      <c r="AA127" s="247">
        <f>ABS(Z127-Y127)</f>
        <v>23.2864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209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/stypes="app*4034*20180112*" /stext=" 00:.+((SYSTEM_STATE.+slice.+state.+changed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0"/>
        <v>"%USERPROFILE%\Documents\GitHub\eaglep3\Utilities\RefineRTDCRunTimes.py" --tripid 209-11 --locoid 4034 --swversion DE.1.0.9.0 --startMP 204:444 --initTime 2018-01-11T17:11:00 --startdatetime 2018-01-11T17:15:19 --delay 57 --endMP 204:233308 --enddatetime 2018-01-11T17:51:11 --enforcementcount 0 &gt;&gt;%USERPROFILE%\Documents\GitHub\eaglep3-reporting\EC\2018-01-11-refined-times.txt</v>
      </c>
      <c r="AI127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{"issue":{"subject":"","project_id":79,"tracker_id":40,"status_id":1,"priority_id":2,"assigned_to_id":338,"start_date":"2018-01-11","description":"","custom_fields":[{"id":1,"name":"Subdivision","value":"EC"},{"id":4,"name":"Milepost","value":"23.3308"},{"id":17,"name":"Train ID","value":"209-11"},{"id":16,"name":"Locomotive ID","value":"4034"},{"id":130,"name":"Impact","value":""},{"id":150,"name":"Time of Event (Mountain Time)","value":"17:51:11"},{"id":151,"name":"Denver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12"/>
        <v>start /low /b %USERPROFILE%\Documents\GitHub\eaglep3\Utilities\DownloadLogsFromS3.py --loco 4034 --day 2018-01-11</v>
      </c>
      <c r="AN127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14"/>
        <v>https://d0f6bd738d7f1b3e5a7ca70fe4ff75f0.us-east-1.aws.found.io/app/kibana#/discover/Steve-Slow-Train-Analysis-(2080s-and-2083s)?_g=(refreshInterval:(display:Off,pause:!f,section:0,value:0),time:(from:'2018-01-11T16:11:00-0700',mode:absolute,to:'2018-01-11T18:51:11-0700'))&amp;_a=(columns:!('Message%20ID',Summary),filters:!(),index:'emp_*',interval:auto,query:(query_string:(analyze_wildcard:!t,query:'%22rtdc.l.rtdc.4034%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3" customFormat="1" x14ac:dyDescent="0.3">
      <c r="A128" s="229" t="s">
        <v>853</v>
      </c>
      <c r="B128" s="225">
        <v>4033</v>
      </c>
      <c r="C128" s="227" t="s">
        <v>191</v>
      </c>
      <c r="D128" s="227" t="s">
        <v>637</v>
      </c>
      <c r="E128" s="226">
        <v>43111.71597222222</v>
      </c>
      <c r="F128" s="226">
        <v>43111.75849537037</v>
      </c>
      <c r="G128" s="225">
        <v>57</v>
      </c>
      <c r="H128" s="227" t="s">
        <v>923</v>
      </c>
      <c r="I128" s="226">
        <v>43111.78460648148</v>
      </c>
      <c r="J128" s="225">
        <v>0</v>
      </c>
      <c r="K128" s="237" t="str">
        <f>IF(ISEVEN(B128),(B128-1)&amp;"/"&amp;B128,B128&amp;"/"&amp;(B128+1))</f>
        <v>4033/4034</v>
      </c>
      <c r="L128" s="245" t="str">
        <f>VLOOKUP(A128,'Trips&amp;Operators'!$C$1:$G$99911,5,FALSE)</f>
        <v>ROBINSON KADDIBA</v>
      </c>
      <c r="M128" s="224">
        <f>I128-F128</f>
        <v>2.6111111110367347E-2</v>
      </c>
      <c r="N128" s="225">
        <f>24*60*SUM($M128:$M128)</f>
        <v>37.599999998928979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2018-01-11T16:11:00-0700',mode:absolute,to:'2018-01-11T19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v>23.2715</v>
      </c>
      <c r="Z128" s="247">
        <v>2.01E-2</v>
      </c>
      <c r="AA128" s="247">
        <f>ABS(Z128-Y128)</f>
        <v>23.2514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210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s3://rtdc.mdm.uploadarchive.raw/RTDC4033/ "%USERPROFILE%\AppData\Local\Temp\OnboardLogs"\RTDC4033\2018-01-11 --exclude "*" --recursive --include "*20180111*" &amp; "%USERPROFILE%\Documents\GitHub\mrs-test-scripts\Headless Mode &amp; Sideloading\WalkAndUnGZ.bat" "%USERPROFILE%\AppData\Local\Temp\OnboardLogs"\RTDC4033\2018-01-11 &amp; aws s3 cp s3://rtdc.mdm.uploadarchive.raw/RTDC4033/ "%USERPROFILE%\AppData\Local\Temp\OnboardLogs"\RTDC4033\2018-01-12 --exclude "*" --recursive --include "*20180112*" &amp; "%USERPROFILE%\Documents\GitHub\mrs-test-scripts\Headless Mode &amp; Sideloading\WalkAndUnGZ.bat" "%USERPROFILE%\AppData\Local\Temp\OnboardLogs"\RTDC4033\2018-01-12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/stypes="app*4033*20180112*" /stext=" 01:.+((SYSTEM_STATE.+slice.+state.+changed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ref="AH128" si="30">refinertdcruntimes&amp;" --tripid "&amp;A128&amp;" --locoid "&amp;B128&amp;" --swversion "&amp;C128&amp;" --startMP "&amp;D128&amp;" --initTime "&amp;TEXT(E128,"yyyy-mm-ddTHH:MM:SS")&amp;" --startdatetime "&amp;TEXT(F128,"yyyy-mm-ddTHH:MM:SS")&amp;" --delay "&amp;G128&amp;" --endMP "&amp;H128&amp;" --enddatetime "&amp;TEXT(I128,"yyyy-mm-ddTHH:MM:SS")&amp;" --enforcementcount "&amp;J128&amp;IF(outputrefinedruntimes," &gt;&gt;"&amp;RefinedRTDCRunTimesOutputFile,"")</f>
        <v>"%USERPROFILE%\Documents\GitHub\eaglep3\Utilities\RefineRTDCRunTimes.py" --tripid 210-11 --locoid 4033 --swversion DE.1.0.9.0 --startMP 204:444 --initTime 2018-01-11T17:11:00 --startdatetime 2018-01-11T18:12:14 --delay 57 --endMP 204:233308 --enddatetime 2018-01-11T18:49:50 --enforcementcount 0 &gt;&gt;%USERPROFILE%\Documents\GitHub\eaglep3-reporting\EC\2018-01-11-refined-times.txt</v>
      </c>
      <c r="AI128" s="238" t="str">
        <f t="shared" ref="AI128" si="31">"echo {""issue"":{""subject"":"""&amp;R128&amp;""",""project_id"":79,""tracker_id"":40,""status_id"":"&amp;redmine_status&amp;",""priority_id"":"&amp;redmine_priority&amp;",""assigned_to_id"":"&amp;redmine_assignee&amp;",""start_date"":"""&amp;TEXT(I128,"YYYY-mm-dd")&amp;""",""description"":"""&amp;AJ128&amp;""",""custom_fields"":[{""id"":1,""name"":""Subdivision"",""value"":"""&amp;AG128&amp;"""},{""id"":4,""name"":""Milepost"",""value"":"""&amp;Z128&amp;"""},{""id"":17,""name"":""Train ID"",""value"":"""&amp;A128&amp;"""},{""id"":16,""name"":""Locomotive ID"",""value"":"""&amp;B128&amp;"""},{""id"":130,""name"":""Impact"",""value"":"""&amp;AK128&amp;"""},{""id"":150,""name"":""Time of Event (Mountain Time)"",""value"":"""&amp;TEXT(I128,"hh:mm:ss")&amp;"""},{""id"":151,""name"":""Denver Issue ID"",""value"":"""&amp;"""},{""id"":178,""name"":""Operational Impact"",""value"":"""&amp;redmine_op_impact&amp;"""},{""id"":179,""name"":""Denver Segment Assigned"",""value"":"""&amp;AL128&amp;"""}]}}"&amp;"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{"issue":{"subject":"","project_id":79,"tracker_id":40,"status_id":1,"priority_id":2,"assigned_to_id":338,"start_date":"2018-01-11","description":"","custom_fields":[{"id":1,"name":"Subdivision","value":"EC"},{"id":4,"name":"Milepost","value":"0.0201"},{"id":17,"name":"Train ID","value":"210-11"},{"id":16,"name":"Locomotive ID","value":"4033"},{"id":130,"name":"Impact","value":""},{"id":150,"name":"Time of Event (Mountain Time)","value":"18:49:50"},{"id":151,"name":"Denver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1"/>
      <c r="AL128" s="231"/>
      <c r="AM128" s="240" t="str">
        <f t="shared" ref="AM128" si="32">"start /low /b "&amp;dls3logs&amp;" --loco "&amp;B128&amp;" --day "&amp;TEXT(F128,"YYYY-MM-DD")</f>
        <v>start /low /b %USERPROFILE%\Documents\GitHub\eaglep3\Utilities\DownloadLogsFromS3.py --loco 4033 --day 2018-01-11</v>
      </c>
      <c r="AN128" s="241" t="str">
        <f t="shared" ref="AN128" si="33">"echo {""issue"":{""subject"":"""&amp;R128&amp;""",""project_id"":30,""tracker_id"":4,""status_id"":"&amp;redmine_status_wcr&amp;",""priority_id"":"&amp;redmine_priority_wcr&amp;",""assigned_to_id"":"&amp;redmine_assignee_wcr&amp;",""start_date"":"""&amp;TEXT(I128-utc_offset/24,"YYYY-mm-dd")&amp;""",""description"":"""&amp;AJ128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01:49:50"},{"id":29,"name":"Sharepoint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ref="AO128" si="34"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Message%20ID',Summary),filters:!(),index:'emp_*',interval:auto,query:"&amp;"(query_string:(analyze_wildcard:!t,query:'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2018-01-11T16:11:00-0700',mode:absolute,to:'2018-01-11T19:49:50-0700'))&amp;_a=(columns:!('Message%20ID',Summary),filters:!(),index:'emp_*',interval:auto,query:(query_string:(analyze_wildcard:!t,query:'%22rtdc.l.rtdc.4033%22')),sort:!(Time.ISO8601,asc))</v>
      </c>
    </row>
    <row r="129" spans="1:91" s="223" customFormat="1" x14ac:dyDescent="0.3">
      <c r="A129" s="229" t="s">
        <v>842</v>
      </c>
      <c r="B129" s="225">
        <v>4016</v>
      </c>
      <c r="C129" s="227" t="s">
        <v>191</v>
      </c>
      <c r="D129" s="227" t="s">
        <v>552</v>
      </c>
      <c r="E129" s="226">
        <v>43111.725451388891</v>
      </c>
      <c r="F129" s="226">
        <v>43111.729363425926</v>
      </c>
      <c r="G129" s="225">
        <v>99</v>
      </c>
      <c r="H129" s="227" t="s">
        <v>518</v>
      </c>
      <c r="I129" s="226">
        <v>43111.755543981482</v>
      </c>
      <c r="J129" s="225">
        <v>0</v>
      </c>
      <c r="K129" s="237" t="str">
        <f>IF(ISEVEN(B129),(B129-1)&amp;"/"&amp;B129,B129&amp;"/"&amp;(B129+1))</f>
        <v>4015/4016</v>
      </c>
      <c r="L129" s="245" t="str">
        <f>VLOOKUP(A129,'Trips&amp;Operators'!$C$1:$G$99911,5,FALSE)</f>
        <v>LONG FULLER</v>
      </c>
      <c r="M129" s="224">
        <f>I129-F129</f>
        <v>2.6180555556493346E-2</v>
      </c>
      <c r="N129" s="225">
        <f>24*60*SUM($M129:$M129)</f>
        <v>37.700000001350418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-11T16:24:39-0700',mode:absolute,to:'2018-01-11T19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5.4800000000000001E-2</v>
      </c>
      <c r="Z129" s="247">
        <f>RIGHT(H129,LEN(H129)-4)/10000</f>
        <v>23.326799999999999</v>
      </c>
      <c r="AA129" s="247">
        <f>ABS(Z129-Y129)</f>
        <v>23.271999999999998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211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s3://rtdc.mdm.uploadarchive.raw/RTDC4016/ "%USERPROFILE%\AppData\Local\Temp\OnboardLogs"\RTDC4016\2018-01-11 --exclude "*" --recursive --include "*20180111*" &amp; "%USERPROFILE%\Documents\GitHub\mrs-test-scripts\Headless Mode &amp; Sideloading\WalkAndUnGZ.bat" "%USERPROFILE%\AppData\Local\Temp\OnboardLogs"\RTDC4016\2018-01-11 &amp; 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/stypes="app*4016*20180112*" /stext=" 01:.+((SYSTEM_STATE.+slice.+state.+changed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0"/>
        <v>"%USERPROFILE%\Documents\GitHub\eaglep3\Utilities\RefineRTDCRunTimes.py" --tripid 211-11 --locoid 4016 --swversion DE.1.0.9.0 --startMP 204:548 --initTime 2018-01-11T17:24:39 --startdatetime 2018-01-11T17:30:17 --delay 99 --endMP 204:233268 --enddatetime 2018-01-11T18:07:59 --enforcementcount 0 &gt;&gt;%USERPROFILE%\Documents\GitHub\eaglep3-reporting\EC\2018-01-11-refined-times.txt</v>
      </c>
      <c r="AI129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{"issue":{"subject":"","project_id":79,"tracker_id":40,"status_id":1,"priority_id":2,"assigned_to_id":338,"start_date":"2018-01-11","description":"","custom_fields":[{"id":1,"name":"Subdivision","value":"EC"},{"id":4,"name":"Milepost","value":"23.3268"},{"id":17,"name":"Train ID","value":"211-11"},{"id":16,"name":"Locomotive ID","value":"4016"},{"id":130,"name":"Impact","value":""},{"id":150,"name":"Time of Event (Mountain Time)","value":"18:07:59"},{"id":151,"name":"Denver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2"/>
        <v>start /low /b %USERPROFILE%\Documents\GitHub\eaglep3\Utilities\DownloadLogsFromS3.py --loco 4016 --day 2018-01-11</v>
      </c>
      <c r="AN129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01:07:59"},{"id":29,"name":"Sharepoint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14"/>
        <v>https://d0f6bd738d7f1b3e5a7ca70fe4ff75f0.us-east-1.aws.found.io/app/kibana#/discover/Steve-Slow-Train-Analysis-(2080s-and-2083s)?_g=(refreshInterval:(display:Off,pause:!f,section:0,value:0),time:(from:'2018-01-11T16:24:39-0700',mode:absolute,to:'2018-01-11T19:07:59-0700'))&amp;_a=(columns:!('Message%20ID',Summary),filters:!(),index:'emp_*',interval:auto,query:(query_string:(analyze_wildcard:!t,query:'%22rtdc.l.rtdc.4016%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29" t="s">
        <v>854</v>
      </c>
      <c r="B130" s="225">
        <v>4015</v>
      </c>
      <c r="C130" s="227" t="s">
        <v>191</v>
      </c>
      <c r="D130" s="227" t="s">
        <v>901</v>
      </c>
      <c r="E130" s="226">
        <v>43111.759872685187</v>
      </c>
      <c r="F130" s="226">
        <v>43111.768923611111</v>
      </c>
      <c r="G130" s="225">
        <v>87</v>
      </c>
      <c r="H130" s="227" t="s">
        <v>446</v>
      </c>
      <c r="I130" s="226">
        <v>43111.796516203707</v>
      </c>
      <c r="J130" s="225">
        <v>0</v>
      </c>
      <c r="K130" s="237" t="str">
        <f>IF(ISEVEN(B130),(B130-1)&amp;"/"&amp;B130,B130&amp;"/"&amp;(B130+1))</f>
        <v>4015/4016</v>
      </c>
      <c r="L130" s="245" t="str">
        <f>VLOOKUP(A130,'Trips&amp;Operators'!$C$1:$G$99911,5,FALSE)</f>
        <v>LONG FULLER</v>
      </c>
      <c r="M130" s="224">
        <f>I130-F130</f>
        <v>2.7592592596192844E-2</v>
      </c>
      <c r="N130" s="225">
        <f>24*60*SUM($M130:$M130)</f>
        <v>39.733333338517696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2018-01-11T17:14:13-0700',mode:absolute,to:'2018-01-11T20:06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23.2959</v>
      </c>
      <c r="Z130" s="247">
        <f>RIGHT(H130,LEN(H130)-4)/10000</f>
        <v>0.02</v>
      </c>
      <c r="AA130" s="247">
        <f>ABS(Z130-Y130)</f>
        <v>23.2759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212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s3://rtdc.mdm.uploadarchive.raw/RTDC4015/ "%USERPROFILE%\AppData\Local\Temp\OnboardLogs"\RTDC4015\2018-01-11 --exclude "*" --recursive --include "*20180111*" &amp; "%USERPROFILE%\Documents\GitHub\mrs-test-scripts\Headless Mode &amp; Sideloading\WalkAndUnGZ.bat" "%USERPROFILE%\AppData\Local\Temp\OnboardLogs"\RTDC4015\2018-01-11 &amp; 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/stypes="app*4015*20180112*" /stext=" 02:.+((SYSTEM_STATE.+slice.+state.+changed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0"/>
        <v>"%USERPROFILE%\Documents\GitHub\eaglep3\Utilities\RefineRTDCRunTimes.py" --tripid 212-11 --locoid 4015 --swversion DE.1.0.9.0 --startMP 204:232959 --initTime 2018-01-11T18:14:13 --startdatetime 2018-01-11T18:27:15 --delay 87 --endMP 204:200 --enddatetime 2018-01-11T19:06:59 --enforcementcount 0 &gt;&gt;%USERPROFILE%\Documents\GitHub\eaglep3-reporting\EC\2018-01-11-refined-times.txt</v>
      </c>
      <c r="AI130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{"issue":{"subject":"","project_id":79,"tracker_id":40,"status_id":1,"priority_id":2,"assigned_to_id":338,"start_date":"2018-01-11","description":"","custom_fields":[{"id":1,"name":"Subdivision","value":"EC"},{"id":4,"name":"Milepost","value":"0.02"},{"id":17,"name":"Train ID","value":"212-11"},{"id":16,"name":"Locomotive ID","value":"4015"},{"id":130,"name":"Impact","value":""},{"id":150,"name":"Time of Event (Mountain Time)","value":"19:06:59"},{"id":151,"name":"Denver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3"/>
      <c r="AK130" s="231"/>
      <c r="AL130" s="231"/>
      <c r="AM130" s="240" t="str">
        <f t="shared" si="12"/>
        <v>start /low /b %USERPROFILE%\Documents\GitHub\eaglep3\Utilities\DownloadLogsFromS3.py --loco 4015 --day 2018-01-11</v>
      </c>
      <c r="AN130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02:06:59"},{"id":29,"name":"Sharepoint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14"/>
        <v>https://d0f6bd738d7f1b3e5a7ca70fe4ff75f0.us-east-1.aws.found.io/app/kibana#/discover/Steve-Slow-Train-Analysis-(2080s-and-2083s)?_g=(refreshInterval:(display:Off,pause:!f,section:0,value:0),time:(from:'2018-01-11T17:14:13-0700',mode:absolute,to:'2018-01-11T20:06:59-0700'))&amp;_a=(columns:!('Message%20ID',Summary),filters:!(),index:'emp_*',interval:auto,query:(query_string:(analyze_wildcard:!t,query:'%22rtdc.l.rtdc.4015%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29" t="s">
        <v>846</v>
      </c>
      <c r="B131" s="225">
        <v>4020</v>
      </c>
      <c r="C131" s="227" t="s">
        <v>191</v>
      </c>
      <c r="D131" s="227" t="s">
        <v>989</v>
      </c>
      <c r="E131" s="226">
        <v>43111.737407407411</v>
      </c>
      <c r="F131" s="226">
        <v>43111.739803240744</v>
      </c>
      <c r="G131" s="225">
        <v>83</v>
      </c>
      <c r="H131" s="227" t="s">
        <v>990</v>
      </c>
      <c r="I131" s="226">
        <v>43111.752291666664</v>
      </c>
      <c r="J131" s="225">
        <v>0</v>
      </c>
      <c r="K131" s="237" t="str">
        <f>IF(ISEVEN(B131),(B131-1)&amp;"/"&amp;B131,B131&amp;"/"&amp;(B131+1))</f>
        <v>4019/4020</v>
      </c>
      <c r="L131" s="245" t="str">
        <f>VLOOKUP(A131,'Trips&amp;Operators'!$C$1:$G$99911,5,FALSE)</f>
        <v>LOZA FIDEL</v>
      </c>
      <c r="M131" s="224">
        <f>I131-F131</f>
        <v>1.2488425920309965E-2</v>
      </c>
      <c r="N131" s="225"/>
      <c r="O131" s="225"/>
      <c r="P131" s="225">
        <f>24*60*SUM($M131:$M131)</f>
        <v>17.983333325246349</v>
      </c>
      <c r="Q131" s="228"/>
      <c r="R131" s="242" t="s">
        <v>439</v>
      </c>
      <c r="S131" s="249">
        <f>1/IF(AG131="EC",12,1)*SUM(U131:U131)</f>
        <v>0.83333333333333326</v>
      </c>
      <c r="T131" s="242" t="str">
        <f>IF(ISEVEN(LEFT(AD131,4)),"Southbound","NorthBound")</f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10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2018-01-11T16:41:52-0700',mode:absolute,to:'2018-01-11T19:03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1" s="247" t="str">
        <f>IF(AA131&lt;VLOOKUP(AG131,Variables!$AC$3:$AD$8,2,FALSE),"Y","N")</f>
        <v>Y</v>
      </c>
      <c r="X131" s="247">
        <f>VALUE(LEFT(AD131,4))-VALUE(LEFT(AD130,4))</f>
        <v>1</v>
      </c>
      <c r="Y131" s="247">
        <f>RIGHT(D131,LEN(D131)-4)/10000</f>
        <v>5.4899999999999997E-2</v>
      </c>
      <c r="Z131" s="247">
        <f>RIGHT(H131,LEN(H131)-4)/10000</f>
        <v>9.6646000000000001</v>
      </c>
      <c r="AA131" s="247">
        <f>ABS(Z131-Y131)</f>
        <v>9.6097000000000001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213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s3://rtdc.mdm.uploadarchive.raw/RTDC4020/ "%USERPROFILE%\AppData\Local\Temp\OnboardLogs"\RTDC4020\2018-01-11 --exclude "*" --recursive --include "*20180111*" &amp; "%USERPROFILE%\Documents\GitHub\mrs-test-scripts\Headless Mode &amp; Sideloading\WalkAndUnGZ.bat" "%USERPROFILE%\AppData\Local\Temp\OnboardLogs"\RTDC4020\2018-01-11 &amp; aws s3 cp s3://rtdc.mdm.uploadarchive.raw/RTDC4020/ "%USERPROFILE%\AppData\Local\Temp\OnboardLogs"\RTDC4020\2018-01-12 --exclude "*" --recursive --include "*20180112*" &amp; "%USERPROFILE%\Documents\GitHub\mrs-test-scripts\Headless Mode &amp; Sideloading\WalkAndUnGZ.bat" "%USERPROFILE%\AppData\Local\Temp\OnboardLogs"\RTDC4020\2018-01-12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/stypes="app*4020*20180112*" /stext=" 01:.+((SYSTEM_STATE.+slice.+state.+changed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0"/>
        <v>"%USERPROFILE%\Documents\GitHub\eaglep3\Utilities\RefineRTDCRunTimes.py" --tripid 213-11 --locoid 4020 --swversion DE.1.0.9.0 --startMP 204:549 --initTime 2018-01-11T17:41:52 --startdatetime 2018-01-11T17:45:19 --delay 83 --endMP 204:96646 --enddatetime 2018-01-11T18:03:18 --enforcementcount 0 &gt;&gt;%USERPROFILE%\Documents\GitHub\eaglep3-reporting\EC\2018-01-11-refined-times.txt</v>
      </c>
      <c r="AI131" s="238" t="str">
        <f t="shared" si="11"/>
        <v>echo {"issue":{"subject":"Wi-MAX data drop","project_id":79,"tracker_id":40,"status_id":1,"priority_id":2,"assigned_to_id":338,"start_date":"2018-01-11","description":"","custom_fields":[{"id":1,"name":"Subdivision","value":"EC"},{"id":4,"name":"Milepost","value":"9.6646"},{"id":17,"name":"Train ID","value":"213-11"},{"id":16,"name":"Locomotive ID","value":"4020"},{"id":130,"name":"Impact","value":""},{"id":150,"name":"Time of Event (Mountain Time)","value":"18:03:18"},{"id":151,"name":"Denver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12"/>
        <v>start /low /b %USERPROFILE%\Documents\GitHub\eaglep3\Utilities\DownloadLogsFromS3.py --loco 4020 --day 2018-01-11</v>
      </c>
      <c r="AN131" s="241" t="str">
        <f t="shared" si="13"/>
        <v>echo {"issue":{"subject":"Wi-MAX data drop","project_id":30,"tracker_id":4,"status_id":1,"priority_id":1,"assigned_to_id":10,"start_date":"2018-01-12","description":"","custom_fields":[{"id":30,"name":"Category","value":"Issue"},{"id":3,"name":"Functional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01:03:18"},{"id":29,"name":"Sharepoint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14"/>
        <v>https://d0f6bd738d7f1b3e5a7ca70fe4ff75f0.us-east-1.aws.found.io/app/kibana#/discover/Steve-Slow-Train-Analysis-(2080s-and-2083s)?_g=(refreshInterval:(display:Off,pause:!f,section:0,value:0),time:(from:'2018-01-11T16:41:52-0700',mode:absolute,to:'2018-01-11T19:03:18-0700'))&amp;_a=(columns:!('Message%20ID',Summary),filters:!(),index:'emp_*',interval:auto,query:(query_string:(analyze_wildcard:!t,query:'%22rtdc.l.rtdc.4020%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3">
      <c r="A132" s="229" t="s">
        <v>858</v>
      </c>
      <c r="B132" s="225">
        <v>4019</v>
      </c>
      <c r="C132" s="227" t="s">
        <v>191</v>
      </c>
      <c r="D132" s="227" t="s">
        <v>502</v>
      </c>
      <c r="E132" s="226">
        <v>43111.776620370372</v>
      </c>
      <c r="F132" s="226">
        <v>43111.779398148145</v>
      </c>
      <c r="G132" s="225">
        <v>116</v>
      </c>
      <c r="H132" s="227" t="s">
        <v>521</v>
      </c>
      <c r="I132" s="226">
        <v>43111.804675925923</v>
      </c>
      <c r="J132" s="225">
        <v>0</v>
      </c>
      <c r="K132" s="237" t="str">
        <f>IF(ISEVEN(B132),(B132-1)&amp;"/"&amp;B132,B132&amp;"/"&amp;(B132+1))</f>
        <v>4019/4020</v>
      </c>
      <c r="L132" s="245" t="str">
        <f>VLOOKUP(A132,'Trips&amp;Operators'!$C$1:$G$99911,5,FALSE)</f>
        <v>LOZA FIDEL</v>
      </c>
      <c r="M132" s="224">
        <f>I132-F132</f>
        <v>2.527777777868323E-2</v>
      </c>
      <c r="N132" s="225">
        <f>24*60*SUM($M132:$M132)</f>
        <v>36.400000001303852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2018-01-11T17:38:20-0700',mode:absolute,to:'2018-01-11T20:18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23.296399999999998</v>
      </c>
      <c r="Z132" s="247">
        <f>RIGHT(H132,LEN(H132)-4)/10000</f>
        <v>2.2700000000000001E-2</v>
      </c>
      <c r="AA132" s="247">
        <f>ABS(Z132-Y132)</f>
        <v>23.273699999999998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214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s3://rtdc.mdm.uploadarchive.raw/RTDC4019/ "%USERPROFILE%\AppData\Local\Temp\OnboardLogs"\RTDC4019\2018-01-11 --exclude "*" --recursive --include "*20180111*" &amp; "%USERPROFILE%\Documents\GitHub\mrs-test-scripts\Headless Mode &amp; Sideloading\WalkAndUnGZ.bat" "%USERPROFILE%\AppData\Local\Temp\OnboardLogs"\RTDC4019\2018-01-11 &amp; aws s3 cp s3://rtdc.mdm.uploadarchive.raw/RTDC4019/ "%USERPROFILE%\AppData\Local\Temp\OnboardLogs"\RTDC4019\2018-01-12 --exclude "*" --recursive --include "*20180112*" &amp; "%USERPROFILE%\Documents\GitHub\mrs-test-scripts\Headless Mode &amp; Sideloading\WalkAndUnGZ.bat" "%USERPROFILE%\AppData\Local\Temp\OnboardLogs"\RTDC4019\2018-01-12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/stypes="app*4019*20180112*"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0"/>
        <v>"%USERPROFILE%\Documents\GitHub\eaglep3\Utilities\RefineRTDCRunTimes.py" --tripid 214-11 --locoid 4019 --swversion DE.1.0.9.0 --startMP 204:232964 --initTime 2018-01-11T18:38:20 --startdatetime 2018-01-11T18:42:20 --delay 116 --endMP 204:227 --enddatetime 2018-01-11T19:18:44 --enforcementcount 0 &gt;&gt;%USERPROFILE%\Documents\GitHub\eaglep3-reporting\EC\2018-01-11-refined-times.txt</v>
      </c>
      <c r="AI132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{"issue":{"subject":"","project_id":79,"tracker_id":40,"status_id":1,"priority_id":2,"assigned_to_id":338,"start_date":"2018-01-11","description":"","custom_fields":[{"id":1,"name":"Subdivision","value":"EC"},{"id":4,"name":"Milepost","value":"0.0227"},{"id":17,"name":"Train ID","value":"214-11"},{"id":16,"name":"Locomotive ID","value":"4019"},{"id":130,"name":"Impact","value":""},{"id":150,"name":"Time of Event (Mountain Time)","value":"19:18:44"},{"id":151,"name":"Denver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12"/>
        <v>start /low /b %USERPROFILE%\Documents\GitHub\eaglep3\Utilities\DownloadLogsFromS3.py --loco 4019 --day 2018-01-11</v>
      </c>
      <c r="AN132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02:18:44"},{"id":29,"name":"Sharepoint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14"/>
        <v>https://d0f6bd738d7f1b3e5a7ca70fe4ff75f0.us-east-1.aws.found.io/app/kibana#/discover/Steve-Slow-Train-Analysis-(2080s-and-2083s)?_g=(refreshInterval:(display:Off,pause:!f,section:0,value:0),time:(from:'2018-01-11T17:38:20-0700',mode:absolute,to:'2018-01-11T20:18:44-0700'))&amp;_a=(columns:!('Message%20ID',Summary),filters:!(),index:'emp_*',interval:auto,query:(query_string:(analyze_wildcard:!t,query:'%22rtdc.l.rtdc.4019%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23" customFormat="1" x14ac:dyDescent="0.3">
      <c r="A133" s="229" t="s">
        <v>848</v>
      </c>
      <c r="B133" s="225">
        <v>4022</v>
      </c>
      <c r="C133" s="227" t="s">
        <v>191</v>
      </c>
      <c r="D133" s="227" t="s">
        <v>497</v>
      </c>
      <c r="E133" s="226">
        <v>43111.747129629628</v>
      </c>
      <c r="F133" s="226">
        <v>43111.750428240739</v>
      </c>
      <c r="G133" s="225">
        <v>63</v>
      </c>
      <c r="H133" s="227" t="s">
        <v>493</v>
      </c>
      <c r="I133" s="226">
        <v>43111.774178240739</v>
      </c>
      <c r="J133" s="225">
        <v>0</v>
      </c>
      <c r="K133" s="237" t="str">
        <f>IF(ISEVEN(B133),(B133-1)&amp;"/"&amp;B133,B133&amp;"/"&amp;(B133+1))</f>
        <v>4021/4022</v>
      </c>
      <c r="L133" s="245" t="str">
        <f>VLOOKUP(A133,'Trips&amp;Operators'!$C$1:$G$99911,5,FALSE)</f>
        <v>HOLCOMB KAMDEN</v>
      </c>
      <c r="M133" s="224">
        <f>I133-F133</f>
        <v>2.3750000000291038E-2</v>
      </c>
      <c r="N133" s="225">
        <f>24*60*SUM($M133:$M133)</f>
        <v>34.200000000419095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-11T16:55:52-0700',mode:absolute,to:'2018-01-11T19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5.3699999999999998E-2</v>
      </c>
      <c r="Z133" s="247">
        <f>RIGHT(H133,LEN(H133)-4)/10000</f>
        <v>23.325900000000001</v>
      </c>
      <c r="AA133" s="247">
        <f>ABS(Z133-Y133)</f>
        <v>23.272200000000002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215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s3://rtdc.mdm.uploadarchive.raw/RTDC4022/ "%USERPROFILE%\AppData\Local\Temp\OnboardLogs"\RTDC4022\2018-01-11 --exclude "*" --recursive --include "*20180111*" &amp; "%USERPROFILE%\Documents\GitHub\mrs-test-scripts\Headless Mode &amp; Sideloading\WalkAndUnGZ.bat" "%USERPROFILE%\AppData\Local\Temp\OnboardLogs"\RTDC4022\2018-01-11 &amp; aws s3 cp s3://rtdc.mdm.uploadarchive.raw/RTDC4022/ "%USERPROFILE%\AppData\Local\Temp\OnboardLogs"\RTDC4022\2018-01-12 --exclude "*" --recursive --include "*20180112*" &amp; "%USERPROFILE%\Documents\GitHub\mrs-test-scripts\Headless Mode &amp; Sideloading\WalkAndUnGZ.bat" "%USERPROFILE%\AppData\Local\Temp\OnboardLogs"\RTDC4022\2018-01-12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/stypes="app*4022*20180112*" /stext=" 01:.+((SYSTEM_STATE.+slice.+state.+changed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0"/>
        <v>"%USERPROFILE%\Documents\GitHub\eaglep3\Utilities\RefineRTDCRunTimes.py" --tripid 215-11 --locoid 4022 --swversion DE.1.0.9.0 --startMP 204:537 --initTime 2018-01-11T17:55:52 --startdatetime 2018-01-11T18:00:37 --delay 63 --endMP 204:233259 --enddatetime 2018-01-11T18:34:49 --enforcementcount 0 &gt;&gt;%USERPROFILE%\Documents\GitHub\eaglep3-reporting\EC\2018-01-11-refined-times.txt</v>
      </c>
      <c r="AI133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{"issue":{"subject":"","project_id":79,"tracker_id":40,"status_id":1,"priority_id":2,"assigned_to_id":338,"start_date":"2018-01-11","description":"","custom_fields":[{"id":1,"name":"Subdivision","value":"EC"},{"id":4,"name":"Milepost","value":"23.3259"},{"id":17,"name":"Train ID","value":"215-11"},{"id":16,"name":"Locomotive ID","value":"4022"},{"id":130,"name":"Impact","value":""},{"id":150,"name":"Time of Event (Mountain Time)","value":"18:34:49"},{"id":151,"name":"Denver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231"/>
      <c r="AL133" s="231"/>
      <c r="AM133" s="240" t="str">
        <f t="shared" si="12"/>
        <v>start /low /b %USERPROFILE%\Documents\GitHub\eaglep3\Utilities\DownloadLogsFromS3.py --loco 4022 --day 2018-01-11</v>
      </c>
      <c r="AN133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01:34:49"},{"id":29,"name":"Sharepoint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14"/>
        <v>https://d0f6bd738d7f1b3e5a7ca70fe4ff75f0.us-east-1.aws.found.io/app/kibana#/discover/Steve-Slow-Train-Analysis-(2080s-and-2083s)?_g=(refreshInterval:(display:Off,pause:!f,section:0,value:0),time:(from:'2018-01-11T16:55:52-0700',mode:absolute,to:'2018-01-11T19:34:49-0700'))&amp;_a=(columns:!('Message%20ID',Summary),filters:!(),index:'emp_*',interval:auto,query:(query_string:(analyze_wildcard:!t,query:'%22rtdc.l.rtdc.4022%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23" customFormat="1" x14ac:dyDescent="0.3">
      <c r="A134" s="229" t="s">
        <v>860</v>
      </c>
      <c r="B134" s="225">
        <v>4021</v>
      </c>
      <c r="C134" s="227" t="s">
        <v>191</v>
      </c>
      <c r="D134" s="227" t="s">
        <v>592</v>
      </c>
      <c r="E134" s="226">
        <v>43111.785949074074</v>
      </c>
      <c r="F134" s="226">
        <v>43111.790277777778</v>
      </c>
      <c r="G134" s="225">
        <v>54</v>
      </c>
      <c r="H134" s="227" t="s">
        <v>476</v>
      </c>
      <c r="I134" s="226">
        <v>43111.816921296297</v>
      </c>
      <c r="J134" s="225">
        <v>0</v>
      </c>
      <c r="K134" s="237" t="str">
        <f>IF(ISEVEN(B134),(B134-1)&amp;"/"&amp;B134,B134&amp;"/"&amp;(B134+1))</f>
        <v>4021/4022</v>
      </c>
      <c r="L134" s="245" t="str">
        <f>VLOOKUP(A134,'Trips&amp;Operators'!$C$1:$G$99911,5,FALSE)</f>
        <v>HOLCOMB KAMDEN</v>
      </c>
      <c r="M134" s="224">
        <f>I134-F134</f>
        <v>2.6643518518540077E-2</v>
      </c>
      <c r="N134" s="225">
        <f>24*60*SUM($M134:$M134)</f>
        <v>38.366666666697711</v>
      </c>
      <c r="O134" s="225"/>
      <c r="P134" s="225"/>
      <c r="Q134" s="228"/>
      <c r="R134" s="242"/>
      <c r="S134" s="249">
        <f>1/IF(AG134="EC",12,1)*SUM(U134:U134)</f>
        <v>1</v>
      </c>
      <c r="T134" s="242" t="str">
        <f>IF(ISEVEN(LEFT(AD134,4)),"Southbound","NorthBound")</f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2018-01-11T17:51:46-0700',mode:absolute,to:'2018-01-11T20:36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23.294</v>
      </c>
      <c r="Z134" s="247">
        <f>RIGHT(H134,LEN(H134)-4)/10000</f>
        <v>1.8100000000000002E-2</v>
      </c>
      <c r="AA134" s="247">
        <f>ABS(Z134-Y134)</f>
        <v>23.2759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216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s3://rtdc.mdm.uploadarchive.raw/RTDC4021/ "%USERPROFILE%\AppData\Local\Temp\OnboardLogs"\RTDC4021\2018-01-11 --exclude "*" --recursive --include "*20180111*" &amp; "%USERPROFILE%\Documents\GitHub\mrs-test-scripts\Headless Mode &amp; Sideloading\WalkAndUnGZ.bat" "%USERPROFILE%\AppData\Local\Temp\OnboardLogs"\RTDC4021\2018-01-11 &amp; aws s3 cp s3://rtdc.mdm.uploadarchive.raw/RTDC4021/ "%USERPROFILE%\AppData\Local\Temp\OnboardLogs"\RTDC4021\2018-01-12 --exclude "*" --recursive --include "*20180112*" &amp; "%USERPROFILE%\Documents\GitHub\mrs-test-scripts\Headless Mode &amp; Sideloading\WalkAndUnGZ.bat" "%USERPROFILE%\AppData\Local\Temp\OnboardLogs"\RTDC4021\2018-01-12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/stypes="app*4021*20180112*" /stext=" 02:.+((SYSTEM_STATE.+slice.+state.+changed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0"/>
        <v>"%USERPROFILE%\Documents\GitHub\eaglep3\Utilities\RefineRTDCRunTimes.py" --tripid 216-11 --locoid 4021 --swversion DE.1.0.9.0 --startMP 204:232940 --initTime 2018-01-11T18:51:46 --startdatetime 2018-01-11T18:58:00 --delay 54 --endMP 204:181 --enddatetime 2018-01-11T19:36:22 --enforcementcount 0 &gt;&gt;%USERPROFILE%\Documents\GitHub\eaglep3-reporting\EC\2018-01-11-refined-times.txt</v>
      </c>
      <c r="AI134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{"issue":{"subject":"","project_id":79,"tracker_id":40,"status_id":1,"priority_id":2,"assigned_to_id":338,"start_date":"2018-01-11","description":"","custom_fields":[{"id":1,"name":"Subdivision","value":"EC"},{"id":4,"name":"Milepost","value":"0.0181"},{"id":17,"name":"Train ID","value":"216-11"},{"id":16,"name":"Locomotive ID","value":"4021"},{"id":130,"name":"Impact","value":""},{"id":150,"name":"Time of Event (Mountain Time)","value":"19:36:22"},{"id":151,"name":"Denver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231"/>
      <c r="AL134" s="231"/>
      <c r="AM134" s="240" t="str">
        <f t="shared" si="12"/>
        <v>start /low /b %USERPROFILE%\Documents\GitHub\eaglep3\Utilities\DownloadLogsFromS3.py --loco 4021 --day 2018-01-11</v>
      </c>
      <c r="AN134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02:36:22"},{"id":29,"name":"Sharepoint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14"/>
        <v>https://d0f6bd738d7f1b3e5a7ca70fe4ff75f0.us-east-1.aws.found.io/app/kibana#/discover/Steve-Slow-Train-Analysis-(2080s-and-2083s)?_g=(refreshInterval:(display:Off,pause:!f,section:0,value:0),time:(from:'2018-01-11T17:51:46-0700',mode:absolute,to:'2018-01-11T20:36:22-0700'))&amp;_a=(columns:!('Message%20ID',Summary),filters:!(),index:'emp_*',interval:auto,query:(query_string:(analyze_wildcard:!t,query:'%22rtdc.l.rtdc.4021%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29" t="s">
        <v>850</v>
      </c>
      <c r="B135" s="225">
        <v>4056</v>
      </c>
      <c r="C135" s="227" t="s">
        <v>191</v>
      </c>
      <c r="D135" s="227" t="s">
        <v>609</v>
      </c>
      <c r="E135" s="226">
        <v>43111.754780092589</v>
      </c>
      <c r="F135" s="226">
        <v>43111.760567129626</v>
      </c>
      <c r="G135" s="225">
        <v>111</v>
      </c>
      <c r="H135" s="227" t="s">
        <v>597</v>
      </c>
      <c r="I135" s="226">
        <v>43111.785127314812</v>
      </c>
      <c r="J135" s="225">
        <v>0</v>
      </c>
      <c r="K135" s="237" t="str">
        <f>IF(ISEVEN(B135),(B135-1)&amp;"/"&amp;B135,B135&amp;"/"&amp;(B135+1))</f>
        <v>4055/4056</v>
      </c>
      <c r="L135" s="245" t="str">
        <f>VLOOKUP(A135,'Trips&amp;Operators'!$C$1:$G$99911,5,FALSE)</f>
        <v>ELBAUM MIKE</v>
      </c>
      <c r="M135" s="224">
        <f>I135-F135</f>
        <v>2.4560185185691807E-2</v>
      </c>
      <c r="N135" s="225">
        <f>24*60*SUM($M135:$M135)</f>
        <v>35.366666667396203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2018-01-11T17:06:53-0700',mode:absolute,to:'2018-01-11T19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5.2600000000000001E-2</v>
      </c>
      <c r="Z135" s="247">
        <f>RIGHT(H135,LEN(H135)-4)/10000</f>
        <v>23.331199999999999</v>
      </c>
      <c r="AA135" s="247">
        <f>ABS(Z135-Y135)</f>
        <v>23.278599999999997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217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/stypes="app*4056*20180112*" /stext=" 01:.+((SYSTEM_STATE.+slice.+state.+changed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0"/>
        <v>"%USERPROFILE%\Documents\GitHub\eaglep3\Utilities\RefineRTDCRunTimes.py" --tripid 217-11 --locoid 4056 --swversion DE.1.0.9.0 --startMP 204:526 --initTime 2018-01-11T18:06:53 --startdatetime 2018-01-11T18:15:13 --delay 111 --endMP 204:233312 --enddatetime 2018-01-11T18:50:35 --enforcementcount 0 &gt;&gt;%USERPROFILE%\Documents\GitHub\eaglep3-reporting\EC\2018-01-11-refined-times.txt</v>
      </c>
      <c r="AI135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{"issue":{"subject":"","project_id":79,"tracker_id":40,"status_id":1,"priority_id":2,"assigned_to_id":338,"start_date":"2018-01-11","description":"","custom_fields":[{"id":1,"name":"Subdivision","value":"EC"},{"id":4,"name":"Milepost","value":"23.3312"},{"id":17,"name":"Train ID","value":"217-11"},{"id":16,"name":"Locomotive ID","value":"4056"},{"id":130,"name":"Impact","value":""},{"id":150,"name":"Time of Event (Mountain Time)","value":"18:50:35"},{"id":151,"name":"Denver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12"/>
        <v>start /low /b %USERPROFILE%\Documents\GitHub\eaglep3\Utilities\DownloadLogsFromS3.py --loco 4056 --day 2018-01-11</v>
      </c>
      <c r="AN135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01:50:35"},{"id":29,"name":"Sharepoint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14"/>
        <v>https://d0f6bd738d7f1b3e5a7ca70fe4ff75f0.us-east-1.aws.found.io/app/kibana#/discover/Steve-Slow-Train-Analysis-(2080s-and-2083s)?_g=(refreshInterval:(display:Off,pause:!f,section:0,value:0),time:(from:'2018-01-11T17:06:53-0700',mode:absolute,to:'2018-01-11T19:50:35-0700'))&amp;_a=(columns:!('Message%20ID',Summary),filters:!(),index:'emp_*',interval:auto,query:(query_string:(analyze_wildcard:!t,query:'%22rtdc.l.rtdc.4056%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3">
      <c r="A136" s="229" t="s">
        <v>861</v>
      </c>
      <c r="B136" s="225">
        <v>4055</v>
      </c>
      <c r="C136" s="227" t="s">
        <v>191</v>
      </c>
      <c r="D136" s="227" t="s">
        <v>623</v>
      </c>
      <c r="E136" s="226">
        <v>43111.786585648151</v>
      </c>
      <c r="F136" s="226">
        <v>43111.800138888888</v>
      </c>
      <c r="G136" s="225">
        <v>103</v>
      </c>
      <c r="H136" s="227" t="s">
        <v>991</v>
      </c>
      <c r="I136" s="226">
        <v>43111.825011574074</v>
      </c>
      <c r="J136" s="225">
        <v>0</v>
      </c>
      <c r="K136" s="237" t="str">
        <f>IF(ISEVEN(B136),(B136-1)&amp;"/"&amp;B136,B136&amp;"/"&amp;(B136+1))</f>
        <v>4055/4056</v>
      </c>
      <c r="L136" s="245" t="str">
        <f>VLOOKUP(A136,'Trips&amp;Operators'!$C$1:$G$99911,5,FALSE)</f>
        <v>ELBAUM MIKE</v>
      </c>
      <c r="M136" s="224">
        <f>I136-F136</f>
        <v>2.4872685185982846E-2</v>
      </c>
      <c r="N136" s="225">
        <f>24*60*SUM($M136:$M136)</f>
        <v>35.816666667815298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2018-01-11T17:52:41-0700',mode:absolute,to:'2018-01-11T20:48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23.2987</v>
      </c>
      <c r="Z136" s="247">
        <f>RIGHT(H136,LEN(H136)-4)/10000</f>
        <v>2.8500000000000001E-2</v>
      </c>
      <c r="AA136" s="247">
        <f>ABS(Z136-Y136)</f>
        <v>23.270199999999999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218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 &amp; 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/stypes="app*4055*20180112*" /stext=" 02:.+((SYSTEM_STATE.+slice.+state.+changed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0"/>
        <v>"%USERPROFILE%\Documents\GitHub\eaglep3\Utilities\RefineRTDCRunTimes.py" --tripid 218-11 --locoid 4055 --swversion DE.1.0.9.0 --startMP 204:232987 --initTime 2018-01-11T18:52:41 --startdatetime 2018-01-11T19:12:12 --delay 103 --endMP 204:285 --enddatetime 2018-01-11T19:48:01 --enforcementcount 0 &gt;&gt;%USERPROFILE%\Documents\GitHub\eaglep3-reporting\EC\2018-01-11-refined-times.txt</v>
      </c>
      <c r="AI136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{"issue":{"subject":"","project_id":79,"tracker_id":40,"status_id":1,"priority_id":2,"assigned_to_id":338,"start_date":"2018-01-11","description":"","custom_fields":[{"id":1,"name":"Subdivision","value":"EC"},{"id":4,"name":"Milepost","value":"0.0285"},{"id":17,"name":"Train ID","value":"218-11"},{"id":16,"name":"Locomotive ID","value":"4055"},{"id":130,"name":"Impact","value":""},{"id":150,"name":"Time of Event (Mountain Time)","value":"19:48:01"},{"id":151,"name":"Denver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si="12"/>
        <v>start /low /b %USERPROFILE%\Documents\GitHub\eaglep3\Utilities\DownloadLogsFromS3.py --loco 4055 --day 2018-01-11</v>
      </c>
      <c r="AN136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02:48:01"},{"id":29,"name":"Sharepoint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14"/>
        <v>https://d0f6bd738d7f1b3e5a7ca70fe4ff75f0.us-east-1.aws.found.io/app/kibana#/discover/Steve-Slow-Train-Analysis-(2080s-and-2083s)?_g=(refreshInterval:(display:Off,pause:!f,section:0,value:0),time:(from:'2018-01-11T17:52:41-0700',mode:absolute,to:'2018-01-11T20:48:01-0700'))&amp;_a=(columns:!('Message%20ID',Summary),filters:!(),index:'emp_*',interval:auto,query:(query_string:(analyze_wildcard:!t,query:'%22rtdc.l.rtdc.4055%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3" customFormat="1" x14ac:dyDescent="0.3">
      <c r="A137" s="229" t="s">
        <v>855</v>
      </c>
      <c r="B137" s="225">
        <v>4012</v>
      </c>
      <c r="C137" s="227" t="s">
        <v>191</v>
      </c>
      <c r="D137" s="227" t="s">
        <v>455</v>
      </c>
      <c r="E137" s="226">
        <v>43111.766793981478</v>
      </c>
      <c r="F137" s="226">
        <v>43111.77107638889</v>
      </c>
      <c r="G137" s="225">
        <v>115</v>
      </c>
      <c r="H137" s="227" t="s">
        <v>604</v>
      </c>
      <c r="I137" s="226">
        <v>43111.795937499999</v>
      </c>
      <c r="J137" s="225">
        <v>0</v>
      </c>
      <c r="K137" s="237" t="str">
        <f>IF(ISEVEN(B137),(B137-1)&amp;"/"&amp;B137,B137&amp;"/"&amp;(B137+1))</f>
        <v>4011/4012</v>
      </c>
      <c r="L137" s="245" t="str">
        <f>VLOOKUP(A137,'Trips&amp;Operators'!$C$1:$G$99911,5,FALSE)</f>
        <v>NICHOLSON WESLEY</v>
      </c>
      <c r="M137" s="224">
        <f>I137-F137</f>
        <v>2.4861111109203193E-2</v>
      </c>
      <c r="N137" s="225">
        <f>24*60*SUM($M137:$M137)</f>
        <v>35.799999997252598</v>
      </c>
      <c r="O137" s="225"/>
      <c r="P137" s="225"/>
      <c r="Q137" s="228"/>
      <c r="R137" s="242"/>
      <c r="S137" s="249">
        <f>1/IF(AG137="EC",12,1)*SUM(U137:U137)</f>
        <v>1</v>
      </c>
      <c r="T137" s="242" t="str">
        <f>IF(ISEVEN(LEFT(AD137,4)),"Southbound","NorthBound")</f>
        <v>NorthBound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2018-01-11T17:24:11-0700',mode:absolute,to:'2018-01-11T20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7" s="247" t="str">
        <f>IF(AA137&lt;VLOOKUP(AG137,Variables!$AC$3:$AD$8,2,FALSE),"Y","N")</f>
        <v>N</v>
      </c>
      <c r="X137" s="247">
        <f>VALUE(LEFT(AD137,4))-VALUE(LEFT(AD136,4))</f>
        <v>1</v>
      </c>
      <c r="Y137" s="247">
        <f>RIGHT(D137,LEN(D137)-4)/10000</f>
        <v>4.9799999999999997E-2</v>
      </c>
      <c r="Z137" s="247">
        <f>RIGHT(H137,LEN(H137)-4)/10000</f>
        <v>23.319299999999998</v>
      </c>
      <c r="AA137" s="247">
        <f>ABS(Z137-Y137)</f>
        <v>23.269499999999997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219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 &amp; aws s3 cp s3://rtdc.mdm.uploadarchive.raw/RTDC4012/ "%USERPROFILE%\AppData\Local\Temp\OnboardLogs"\RTDC4012\2018-01-12 --exclude "*" --recursive --include "*20180112*" &amp; "%USERPROFILE%\Documents\GitHub\mrs-test-scripts\Headless Mode &amp; Sideloading\WalkAndUnGZ.bat" "%USERPROFILE%\AppData\Local\Temp\OnboardLogs"\RTDC4012\2018-01-12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/stypes="app*4012*20180112*" /stext=" 02:.+((SYSTEM_STATE.+slice.+state.+changed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0"/>
        <v>"%USERPROFILE%\Documents\GitHub\eaglep3\Utilities\RefineRTDCRunTimes.py" --tripid 219-11 --locoid 4012 --swversion DE.1.0.9.0 --startMP 204:498 --initTime 2018-01-11T18:24:11 --startdatetime 2018-01-11T18:30:21 --delay 115 --endMP 204:233193 --enddatetime 2018-01-11T19:06:09 --enforcementcount 0 &gt;&gt;%USERPROFILE%\Documents\GitHub\eaglep3-reporting\EC\2018-01-11-refined-times.txt</v>
      </c>
      <c r="AI137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{"issue":{"subject":"","project_id":79,"tracker_id":40,"status_id":1,"priority_id":2,"assigned_to_id":338,"start_date":"2018-01-11","description":"","custom_fields":[{"id":1,"name":"Subdivision","value":"EC"},{"id":4,"name":"Milepost","value":"23.3193"},{"id":17,"name":"Train ID","value":"219-11"},{"id":16,"name":"Locomotive ID","value":"4012"},{"id":130,"name":"Impact","value":""},{"id":150,"name":"Time of Event (Mountain Time)","value":"19:06:09"},{"id":151,"name":"Denver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1"/>
      <c r="AL137" s="231"/>
      <c r="AM137" s="240" t="str">
        <f t="shared" si="12"/>
        <v>start /low /b %USERPROFILE%\Documents\GitHub\eaglep3\Utilities\DownloadLogsFromS3.py --loco 4012 --day 2018-01-11</v>
      </c>
      <c r="AN137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02:06:09"},{"id":29,"name":"Sharepoint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14"/>
        <v>https://d0f6bd738d7f1b3e5a7ca70fe4ff75f0.us-east-1.aws.found.io/app/kibana#/discover/Steve-Slow-Train-Analysis-(2080s-and-2083s)?_g=(refreshInterval:(display:Off,pause:!f,section:0,value:0),time:(from:'2018-01-11T17:24:11-0700',mode:absolute,to:'2018-01-11T20:06:09-0700'))&amp;_a=(columns:!('Message%20ID',Summary),filters:!(),index:'emp_*',interval:auto,query:(query_string:(analyze_wildcard:!t,query:'%22rtdc.l.rtdc.4012%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3">
      <c r="A138" s="229" t="s">
        <v>866</v>
      </c>
      <c r="B138" s="225">
        <v>4011</v>
      </c>
      <c r="C138" s="227" t="s">
        <v>191</v>
      </c>
      <c r="D138" s="227" t="s">
        <v>617</v>
      </c>
      <c r="E138" s="226">
        <v>43111.79923611111</v>
      </c>
      <c r="F138" s="226">
        <v>43111.810891203706</v>
      </c>
      <c r="G138" s="225">
        <v>137</v>
      </c>
      <c r="H138" s="227" t="s">
        <v>521</v>
      </c>
      <c r="I138" s="226">
        <v>43111.837337962963</v>
      </c>
      <c r="J138" s="225">
        <v>0</v>
      </c>
      <c r="K138" s="237" t="str">
        <f>IF(ISEVEN(B138),(B138-1)&amp;"/"&amp;B138,B138&amp;"/"&amp;(B138+1))</f>
        <v>4011/4012</v>
      </c>
      <c r="L138" s="245" t="str">
        <f>VLOOKUP(A138,'Trips&amp;Operators'!$C$1:$G$99911,5,FALSE)</f>
        <v>NICHOLSON WESLEY</v>
      </c>
      <c r="M138" s="224">
        <f>I138-F138</f>
        <v>2.6446759256941732E-2</v>
      </c>
      <c r="N138" s="225">
        <f>24*60*SUM($M138:$M138)</f>
        <v>38.083333329996094</v>
      </c>
      <c r="O138" s="225"/>
      <c r="P138" s="225"/>
      <c r="Q138" s="228"/>
      <c r="R138" s="242" t="s">
        <v>1125</v>
      </c>
      <c r="S138" s="249">
        <f>1/IF(AG138="EC",12,1)*SUM(U138:U138)</f>
        <v>1</v>
      </c>
      <c r="T138" s="242" t="str">
        <f>IF(ISEVEN(LEFT(AD138,4)),"Southbound","NorthBound")</f>
        <v>Southbound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2018-01-11T18:10:54-0700',mode:absolute,to:'2018-01-11T21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23.286899999999999</v>
      </c>
      <c r="Z138" s="247">
        <f>RIGHT(H138,LEN(H138)-4)/10000</f>
        <v>2.2700000000000001E-2</v>
      </c>
      <c r="AA138" s="247">
        <f>ABS(Z138-Y138)</f>
        <v>23.264199999999999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220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 &amp; aws s3 cp s3://rtdc.mdm.uploadarchive.raw/RTDC4011/ "%USERPROFILE%\AppData\Local\Temp\OnboardLogs"\RTDC4011\2018-01-12 --exclude "*" --recursive --include "*20180112*" &amp; "%USERPROFILE%\Documents\GitHub\mrs-test-scripts\Headless Mode &amp; Sideloading\WalkAndUnGZ.bat" "%USERPROFILE%\AppData\Local\Temp\OnboardLogs"\RTDC4011\2018-01-12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/stypes="app*4011*20180112*" /stext=" 03:.+((SYSTEM_STATE.+slice.+state.+changed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0"/>
        <v>"%USERPROFILE%\Documents\GitHub\eaglep3\Utilities\RefineRTDCRunTimes.py" --tripid 220-11 --locoid 4011 --swversion DE.1.0.9.0 --startMP 204:232869 --initTime 2018-01-11T19:10:54 --startdatetime 2018-01-11T19:27:41 --delay 137 --endMP 204:227 --enddatetime 2018-01-11T20:05:46 --enforcementcount 0 &gt;&gt;%USERPROFILE%\Documents\GitHub\eaglep3-reporting\EC\2018-01-11-refined-times.txt</v>
      </c>
      <c r="AI138" s="238" t="str">
        <f t="shared" si="11"/>
        <v>echo {"issue":{"subject":"Observed unhealthy xing at Chambers due to station stop","project_id":79,"tracker_id":40,"status_id":1,"priority_id":2,"assigned_to_id":338,"start_date":"2018-01-11","description":"","custom_fields":[{"id":1,"name":"Subdivision","value":"EC"},{"id":4,"name":"Milepost","value":"0.0227"},{"id":17,"name":"Train ID","value":"220-11"},{"id":16,"name":"Locomotive ID","value":"4011"},{"id":130,"name":"Impact","value":""},{"id":150,"name":"Time of Event (Mountain Time)","value":"20:05:46"},{"id":151,"name":"Denver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12"/>
        <v>start /low /b %USERPROFILE%\Documents\GitHub\eaglep3\Utilities\DownloadLogsFromS3.py --loco 4011 --day 2018-01-11</v>
      </c>
      <c r="AN138" s="241" t="str">
        <f t="shared" si="13"/>
        <v>echo {"issue":{"subject":"Observed unhealthy xing at Chambers due to station stop","project_id":30,"tracker_id":4,"status_id":1,"priority_id":1,"assigned_to_id":10,"start_date":"2018-01-12","description":"","custom_fields":[{"id":30,"name":"Category","value":"Issue"},{"id":3,"name":"Functional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03:05:46"},{"id":29,"name":"Sharepoint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14"/>
        <v>https://d0f6bd738d7f1b3e5a7ca70fe4ff75f0.us-east-1.aws.found.io/app/kibana#/discover/Steve-Slow-Train-Analysis-(2080s-and-2083s)?_g=(refreshInterval:(display:Off,pause:!f,section:0,value:0),time:(from:'2018-01-11T18:10:54-0700',mode:absolute,to:'2018-01-11T21:05:46-0700'))&amp;_a=(columns:!('Message%20ID',Summary),filters:!(),index:'emp_*',interval:auto,query:(query_string:(analyze_wildcard:!t,query:'%22rtdc.l.rtdc.4011%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3">
      <c r="A139" s="229" t="s">
        <v>862</v>
      </c>
      <c r="B139" s="225">
        <v>4034</v>
      </c>
      <c r="C139" s="227" t="s">
        <v>191</v>
      </c>
      <c r="D139" s="227" t="s">
        <v>514</v>
      </c>
      <c r="E139" s="226">
        <v>43111.787280092591</v>
      </c>
      <c r="F139" s="226">
        <v>43111.791851851849</v>
      </c>
      <c r="G139" s="225">
        <v>97</v>
      </c>
      <c r="H139" s="227" t="s">
        <v>924</v>
      </c>
      <c r="I139" s="226">
        <v>43111.816481481481</v>
      </c>
      <c r="J139" s="225">
        <v>0</v>
      </c>
      <c r="K139" s="237" t="str">
        <f>IF(ISEVEN(B139),(B139-1)&amp;"/"&amp;B139,B139&amp;"/"&amp;(B139+1))</f>
        <v>4033/4034</v>
      </c>
      <c r="L139" s="245" t="str">
        <f>VLOOKUP(A139,'Trips&amp;Operators'!$C$1:$G$99911,5,FALSE)</f>
        <v>LORI SANTOS</v>
      </c>
      <c r="M139" s="224">
        <f>I139-F139</f>
        <v>2.4629629631817807E-2</v>
      </c>
      <c r="N139" s="225">
        <f>24*60*SUM($M139:$M139)</f>
        <v>35.466666669817641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NorthBound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-11T17:53:41-0700',mode:absolute,to:'2018-01-11T20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4.9299999999999997E-2</v>
      </c>
      <c r="Z139" s="247">
        <f>RIGHT(H139,LEN(H139)-4)/10000</f>
        <v>23.3232</v>
      </c>
      <c r="AA139" s="247">
        <f>ABS(Z139-Y139)</f>
        <v>23.273900000000001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221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/stypes="app*4034*20180112*" /stext=" 02:.+((SYSTEM_STATE.+slice.+state.+changed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0"/>
        <v>"%USERPROFILE%\Documents\GitHub\eaglep3\Utilities\RefineRTDCRunTimes.py" --tripid 221-11 --locoid 4034 --swversion DE.1.0.9.0 --startMP 204:493 --initTime 2018-01-11T18:53:41 --startdatetime 2018-01-11T19:00:16 --delay 97 --endMP 204:233232 --enddatetime 2018-01-11T19:35:44 --enforcementcount 0 &gt;&gt;%USERPROFILE%\Documents\GitHub\eaglep3-reporting\EC\2018-01-11-refined-times.txt</v>
      </c>
      <c r="AI139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{"issue":{"subject":"","project_id":79,"tracker_id":40,"status_id":1,"priority_id":2,"assigned_to_id":338,"start_date":"2018-01-11","description":"","custom_fields":[{"id":1,"name":"Subdivision","value":"EC"},{"id":4,"name":"Milepost","value":"23.3232"},{"id":17,"name":"Train ID","value":"221-11"},{"id":16,"name":"Locomotive ID","value":"4034"},{"id":130,"name":"Impact","value":""},{"id":150,"name":"Time of Event (Mountain Time)","value":"19:35:44"},{"id":151,"name":"Denver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12"/>
        <v>start /low /b %USERPROFILE%\Documents\GitHub\eaglep3\Utilities\DownloadLogsFromS3.py --loco 4034 --day 2018-01-11</v>
      </c>
      <c r="AN139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02:35:44"},{"id":29,"name":"Sharepoint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14"/>
        <v>https://d0f6bd738d7f1b3e5a7ca70fe4ff75f0.us-east-1.aws.found.io/app/kibana#/discover/Steve-Slow-Train-Analysis-(2080s-and-2083s)?_g=(refreshInterval:(display:Off,pause:!f,section:0,value:0),time:(from:'2018-01-11T17:53:41-0700',mode:absolute,to:'2018-01-11T20:35:44-0700'))&amp;_a=(columns:!('Message%20ID',Summary),filters:!(),index:'emp_*',interval:auto,query:(query_string:(analyze_wildcard:!t,query:'%22rtdc.l.rtdc.4034%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29" t="s">
        <v>870</v>
      </c>
      <c r="B140" s="225">
        <v>4033</v>
      </c>
      <c r="C140" s="227" t="s">
        <v>191</v>
      </c>
      <c r="D140" s="227" t="s">
        <v>621</v>
      </c>
      <c r="E140" s="226">
        <v>43111.825335648151</v>
      </c>
      <c r="F140" s="226">
        <v>43111.831631944442</v>
      </c>
      <c r="G140" s="225">
        <v>65</v>
      </c>
      <c r="H140" s="227" t="s">
        <v>992</v>
      </c>
      <c r="I140" s="226">
        <v>43111.857465277775</v>
      </c>
      <c r="J140" s="225">
        <v>0</v>
      </c>
      <c r="K140" s="237" t="str">
        <f>IF(ISEVEN(B140),(B140-1)&amp;"/"&amp;B140,B140&amp;"/"&amp;(B140+1))</f>
        <v>4033/4034</v>
      </c>
      <c r="L140" s="245" t="str">
        <f>VLOOKUP(A140,'Trips&amp;Operators'!$C$1:$G$99911,5,FALSE)</f>
        <v>LORI SANTOS</v>
      </c>
      <c r="M140" s="224">
        <f>I140-F140</f>
        <v>2.5833333333139308E-2</v>
      </c>
      <c r="N140" s="225">
        <f>24*60*SUM($M140:$M140)</f>
        <v>37.199999999720603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Southbound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-11T18:48:29-0700',mode:absolute,to:'2018-01-11T21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23.2925</v>
      </c>
      <c r="Z140" s="247">
        <f>RIGHT(H140,LEN(H140)-4)/10000</f>
        <v>2.4E-2</v>
      </c>
      <c r="AA140" s="247">
        <f>ABS(Z140-Y140)</f>
        <v>23.2685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222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s3://rtdc.mdm.uploadarchive.raw/RTDC4033/ "%USERPROFILE%\AppData\Local\Temp\OnboardLogs"\RTDC4033\2018-01-11 --exclude "*" --recursive --include "*20180111*" &amp; "%USERPROFILE%\Documents\GitHub\mrs-test-scripts\Headless Mode &amp; Sideloading\WalkAndUnGZ.bat" "%USERPROFILE%\AppData\Local\Temp\OnboardLogs"\RTDC4033\2018-01-11 &amp; aws s3 cp s3://rtdc.mdm.uploadarchive.raw/RTDC4033/ "%USERPROFILE%\AppData\Local\Temp\OnboardLogs"\RTDC4033\2018-01-12 --exclude "*" --recursive --include "*20180112*" &amp; "%USERPROFILE%\Documents\GitHub\mrs-test-scripts\Headless Mode &amp; Sideloading\WalkAndUnGZ.bat" "%USERPROFILE%\AppData\Local\Temp\OnboardLogs"\RTDC4033\2018-01-12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/stypes="app*4033*20180112*" /stext=" 03:.+((SYSTEM_STATE.+slice.+state.+changed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10"/>
        <v>"%USERPROFILE%\Documents\GitHub\eaglep3\Utilities\RefineRTDCRunTimes.py" --tripid 222-11 --locoid 4033 --swversion DE.1.0.9.0 --startMP 204:232925 --initTime 2018-01-11T19:48:29 --startdatetime 2018-01-11T19:57:33 --delay 65 --endMP 204:240 --enddatetime 2018-01-11T20:34:45 --enforcementcount 0 &gt;&gt;%USERPROFILE%\Documents\GitHub\eaglep3-reporting\EC\2018-01-11-refined-times.txt</v>
      </c>
      <c r="AI140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{"issue":{"subject":"","project_id":79,"tracker_id":40,"status_id":1,"priority_id":2,"assigned_to_id":338,"start_date":"2018-01-11","description":"","custom_fields":[{"id":1,"name":"Subdivision","value":"EC"},{"id":4,"name":"Milepost","value":"0.024"},{"id":17,"name":"Train ID","value":"222-11"},{"id":16,"name":"Locomotive ID","value":"4033"},{"id":130,"name":"Impact","value":""},{"id":150,"name":"Time of Event (Mountain Time)","value":"20:34:45"},{"id":151,"name":"Denver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3"/>
      <c r="AK140" s="231"/>
      <c r="AL140" s="231"/>
      <c r="AM140" s="240" t="str">
        <f t="shared" si="12"/>
        <v>start /low /b %USERPROFILE%\Documents\GitHub\eaglep3\Utilities\DownloadLogsFromS3.py --loco 4033 --day 2018-01-11</v>
      </c>
      <c r="AN140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03:34:45"},{"id":29,"name":"Sharepoint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14"/>
        <v>https://d0f6bd738d7f1b3e5a7ca70fe4ff75f0.us-east-1.aws.found.io/app/kibana#/discover/Steve-Slow-Train-Analysis-(2080s-and-2083s)?_g=(refreshInterval:(display:Off,pause:!f,section:0,value:0),time:(from:'2018-01-11T18:48:29-0700',mode:absolute,to:'2018-01-11T21:34:45-0700'))&amp;_a=(columns:!('Message%20ID',Summary),filters:!(),index:'emp_*',interval:auto,query:(query_string:(analyze_wildcard:!t,query:'%22rtdc.l.rtdc.4033%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3">
      <c r="A141" s="229" t="s">
        <v>868</v>
      </c>
      <c r="B141" s="225">
        <v>4020</v>
      </c>
      <c r="C141" s="227" t="s">
        <v>191</v>
      </c>
      <c r="D141" s="227" t="s">
        <v>461</v>
      </c>
      <c r="E141" s="226">
        <v>43111.810370370367</v>
      </c>
      <c r="F141" s="226">
        <v>43111.812731481485</v>
      </c>
      <c r="G141" s="225">
        <v>69</v>
      </c>
      <c r="H141" s="227" t="s">
        <v>620</v>
      </c>
      <c r="I141" s="226">
        <v>43111.836342592593</v>
      </c>
      <c r="J141" s="225">
        <v>0</v>
      </c>
      <c r="K141" s="237" t="str">
        <f>IF(ISEVEN(B141),(B141-1)&amp;"/"&amp;B141,B141&amp;"/"&amp;(B141+1))</f>
        <v>4019/4020</v>
      </c>
      <c r="L141" s="245" t="str">
        <f>VLOOKUP(A141,'Trips&amp;Operators'!$C$1:$G$99911,5,FALSE)</f>
        <v>LOZA FIDEL</v>
      </c>
      <c r="M141" s="224">
        <f>I141-F141</f>
        <v>2.361111110803904E-2</v>
      </c>
      <c r="N141" s="225">
        <f>24*60*SUM($M141:$M141)</f>
        <v>33.999999995576218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NorthBound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-11T18:26:56-0700',mode:absolute,to:'2018-01-11T21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5.5100000000000003E-2</v>
      </c>
      <c r="Z141" s="247">
        <f>RIGHT(H141,LEN(H141)-4)/10000</f>
        <v>23.3249</v>
      </c>
      <c r="AA141" s="247">
        <f>ABS(Z141-Y141)</f>
        <v>23.2698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223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s3://rtdc.mdm.uploadarchive.raw/RTDC4020/ "%USERPROFILE%\AppData\Local\Temp\OnboardLogs"\RTDC4020\2018-01-11 --exclude "*" --recursive --include "*20180111*" &amp; "%USERPROFILE%\Documents\GitHub\mrs-test-scripts\Headless Mode &amp; Sideloading\WalkAndUnGZ.bat" "%USERPROFILE%\AppData\Local\Temp\OnboardLogs"\RTDC4020\2018-01-11 &amp; aws s3 cp s3://rtdc.mdm.uploadarchive.raw/RTDC4020/ "%USERPROFILE%\AppData\Local\Temp\OnboardLogs"\RTDC4020\2018-01-12 --exclude "*" --recursive --include "*20180112*" &amp; "%USERPROFILE%\Documents\GitHub\mrs-test-scripts\Headless Mode &amp; Sideloading\WalkAndUnGZ.bat" "%USERPROFILE%\AppData\Local\Temp\OnboardLogs"\RTDC4020\2018-01-12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/stypes="app*4020*20180112*" /stext=" 03:.+((SYSTEM_STATE.+slice.+state.+changed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0"/>
        <v>"%USERPROFILE%\Documents\GitHub\eaglep3\Utilities\RefineRTDCRunTimes.py" --tripid 223-11 --locoid 4020 --swversion DE.1.0.9.0 --startMP 204:551 --initTime 2018-01-11T19:26:56 --startdatetime 2018-01-11T19:30:20 --delay 69 --endMP 204:233249 --enddatetime 2018-01-11T20:04:20 --enforcementcount 0 &gt;&gt;%USERPROFILE%\Documents\GitHub\eaglep3-reporting\EC\2018-01-11-refined-times.txt</v>
      </c>
      <c r="AI141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{"issue":{"subject":"","project_id":79,"tracker_id":40,"status_id":1,"priority_id":2,"assigned_to_id":338,"start_date":"2018-01-11","description":"","custom_fields":[{"id":1,"name":"Subdivision","value":"EC"},{"id":4,"name":"Milepost","value":"23.3249"},{"id":17,"name":"Train ID","value":"223-11"},{"id":16,"name":"Locomotive ID","value":"4020"},{"id":130,"name":"Impact","value":""},{"id":150,"name":"Time of Event (Mountain Time)","value":"20:04:20"},{"id":151,"name":"Denver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12"/>
        <v>start /low /b %USERPROFILE%\Documents\GitHub\eaglep3\Utilities\DownloadLogsFromS3.py --loco 4020 --day 2018-01-11</v>
      </c>
      <c r="AN141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03:04:20"},{"id":29,"name":"Sharepoint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14"/>
        <v>https://d0f6bd738d7f1b3e5a7ca70fe4ff75f0.us-east-1.aws.found.io/app/kibana#/discover/Steve-Slow-Train-Analysis-(2080s-and-2083s)?_g=(refreshInterval:(display:Off,pause:!f,section:0,value:0),time:(from:'2018-01-11T18:26:56-0700',mode:absolute,to:'2018-01-11T21:04:20-0700'))&amp;_a=(columns:!('Message%20ID',Summary),filters:!(),index:'emp_*',interval:auto,query:(query_string:(analyze_wildcard:!t,query:'%22rtdc.l.rtdc.4020%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29" t="s">
        <v>874</v>
      </c>
      <c r="B142" s="225">
        <v>4019</v>
      </c>
      <c r="C142" s="227" t="s">
        <v>191</v>
      </c>
      <c r="D142" s="227" t="s">
        <v>954</v>
      </c>
      <c r="E142" s="226">
        <v>43111.849907407406</v>
      </c>
      <c r="F142" s="226">
        <v>43111.852372685185</v>
      </c>
      <c r="G142" s="225">
        <v>115</v>
      </c>
      <c r="H142" s="227" t="s">
        <v>992</v>
      </c>
      <c r="I142" s="226">
        <v>43111.877233796295</v>
      </c>
      <c r="J142" s="225">
        <v>0</v>
      </c>
      <c r="K142" s="237" t="str">
        <f>IF(ISEVEN(B142),(B142-1)&amp;"/"&amp;B142,B142&amp;"/"&amp;(B142+1))</f>
        <v>4019/4020</v>
      </c>
      <c r="L142" s="245" t="str">
        <f>VLOOKUP(A142,'Trips&amp;Operators'!$C$1:$G$99911,5,FALSE)</f>
        <v>LOZA FIDEL</v>
      </c>
      <c r="M142" s="224">
        <f>I142-F142</f>
        <v>2.4861111109203193E-2</v>
      </c>
      <c r="N142" s="225">
        <f>24*60*SUM($M142:$M142)</f>
        <v>35.799999997252598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Southbound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-11T19:23:52-0700',mode:absolute,to:'2018-01-11T22:03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f>RIGHT(D142,LEN(D142)-4)/10000</f>
        <v>23.293199999999999</v>
      </c>
      <c r="Z142" s="247">
        <f>RIGHT(H142,LEN(H142)-4)/10000</f>
        <v>2.4E-2</v>
      </c>
      <c r="AA142" s="247">
        <f>ABS(Z142-Y142)</f>
        <v>23.269199999999998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224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s3://rtdc.mdm.uploadarchive.raw/RTDC4019/ "%USERPROFILE%\AppData\Local\Temp\OnboardLogs"\RTDC4019\2018-01-11 --exclude "*" --recursive --include "*20180111*" &amp; "%USERPROFILE%\Documents\GitHub\mrs-test-scripts\Headless Mode &amp; Sideloading\WalkAndUnGZ.bat" "%USERPROFILE%\AppData\Local\Temp\OnboardLogs"\RTDC4019\2018-01-11 &amp; aws s3 cp s3://rtdc.mdm.uploadarchive.raw/RTDC4019/ "%USERPROFILE%\AppData\Local\Temp\OnboardLogs"\RTDC4019\2018-01-12 --exclude "*" --recursive --include "*20180112*" &amp; "%USERPROFILE%\Documents\GitHub\mrs-test-scripts\Headless Mode &amp; Sideloading\WalkAndUnGZ.bat" "%USERPROFILE%\AppData\Local\Temp\OnboardLogs"\RTDC4019\2018-01-12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/stypes="app*4019*20180112*" /stext=" 04:.+((SYSTEM_STATE.+slice.+state.+changed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si="10"/>
        <v>"%USERPROFILE%\Documents\GitHub\eaglep3\Utilities\RefineRTDCRunTimes.py" --tripid 224-11 --locoid 4019 --swversion DE.1.0.9.0 --startMP 204:232932 --initTime 2018-01-11T20:23:52 --startdatetime 2018-01-11T20:27:25 --delay 115 --endMP 204:240 --enddatetime 2018-01-11T21:03:13 --enforcementcount 0 &gt;&gt;%USERPROFILE%\Documents\GitHub\eaglep3-reporting\EC\2018-01-11-refined-times.txt</v>
      </c>
      <c r="AI142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{"issue":{"subject":"","project_id":79,"tracker_id":40,"status_id":1,"priority_id":2,"assigned_to_id":338,"start_date":"2018-01-11","description":"","custom_fields":[{"id":1,"name":"Subdivision","value":"EC"},{"id":4,"name":"Milepost","value":"0.024"},{"id":17,"name":"Train ID","value":"224-11"},{"id":16,"name":"Locomotive ID","value":"4019"},{"id":130,"name":"Impact","value":""},{"id":150,"name":"Time of Event (Mountain Time)","value":"21:03:13"},{"id":151,"name":"Denver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12"/>
        <v>start /low /b %USERPROFILE%\Documents\GitHub\eaglep3\Utilities\DownloadLogsFromS3.py --loco 4019 --day 2018-01-11</v>
      </c>
      <c r="AN142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04:03:13"},{"id":29,"name":"Sharepoint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14"/>
        <v>https://d0f6bd738d7f1b3e5a7ca70fe4ff75f0.us-east-1.aws.found.io/app/kibana#/discover/Steve-Slow-Train-Analysis-(2080s-and-2083s)?_g=(refreshInterval:(display:Off,pause:!f,section:0,value:0),time:(from:'2018-01-11T19:23:52-0700',mode:absolute,to:'2018-01-11T22:03:13-0700'))&amp;_a=(columns:!('Message%20ID',Summary),filters:!(),index:'emp_*',interval:auto,query:(query_string:(analyze_wildcard:!t,query:'%22rtdc.l.rtdc.4019%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3" customFormat="1" x14ac:dyDescent="0.3">
      <c r="A143" s="229" t="s">
        <v>871</v>
      </c>
      <c r="B143" s="225">
        <v>4056</v>
      </c>
      <c r="C143" s="227" t="s">
        <v>191</v>
      </c>
      <c r="D143" s="227" t="s">
        <v>993</v>
      </c>
      <c r="E143" s="226">
        <v>43111.82607638889</v>
      </c>
      <c r="F143" s="226">
        <v>43111.833483796298</v>
      </c>
      <c r="G143" s="225">
        <v>57</v>
      </c>
      <c r="H143" s="227" t="s">
        <v>994</v>
      </c>
      <c r="I143" s="226">
        <v>43111.857499999998</v>
      </c>
      <c r="J143" s="225">
        <v>0</v>
      </c>
      <c r="K143" s="237" t="str">
        <f>IF(ISEVEN(B143),(B143-1)&amp;"/"&amp;B143,B143&amp;"/"&amp;(B143+1))</f>
        <v>4055/4056</v>
      </c>
      <c r="L143" s="245" t="str">
        <f>VLOOKUP(A143,'Trips&amp;Operators'!$C$1:$G$99911,5,FALSE)</f>
        <v>ELBAUM MIKE</v>
      </c>
      <c r="M143" s="224">
        <f>I143-F143</f>
        <v>2.4016203700739425E-2</v>
      </c>
      <c r="N143" s="225">
        <f>24*60*SUM($M143:$M143)</f>
        <v>34.583333329064772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NorthBound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-11T18:49:33-0700',mode:absolute,to:'2018-01-11T21:34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f>RIGHT(D143,LEN(D143)-4)/10000</f>
        <v>5.7700000000000001E-2</v>
      </c>
      <c r="Z143" s="247">
        <f>RIGHT(H143,LEN(H143)-4)/10000</f>
        <v>23.331499999999998</v>
      </c>
      <c r="AA143" s="247">
        <f>ABS(Z143-Y143)</f>
        <v>23.273799999999998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225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/stypes="app*4056*20180112*" /stext=" 03:.+((SYSTEM_STATE.+slice.+state.+changed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si="10"/>
        <v>"%USERPROFILE%\Documents\GitHub\eaglep3\Utilities\RefineRTDCRunTimes.py" --tripid 225-11 --locoid 4056 --swversion DE.1.0.9.0 --startMP 204:577 --initTime 2018-01-11T19:49:33 --startdatetime 2018-01-11T20:00:13 --delay 57 --endMP 204:233315 --enddatetime 2018-01-11T20:34:48 --enforcementcount 0 &gt;&gt;%USERPROFILE%\Documents\GitHub\eaglep3-reporting\EC\2018-01-11-refined-times.txt</v>
      </c>
      <c r="AI143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{"issue":{"subject":"","project_id":79,"tracker_id":40,"status_id":1,"priority_id":2,"assigned_to_id":338,"start_date":"2018-01-11","description":"","custom_fields":[{"id":1,"name":"Subdivision","value":"EC"},{"id":4,"name":"Milepost","value":"23.3315"},{"id":17,"name":"Train ID","value":"225-11"},{"id":16,"name":"Locomotive ID","value":"4056"},{"id":130,"name":"Impact","value":""},{"id":150,"name":"Time of Event (Mountain Time)","value":"20:34:48"},{"id":151,"name":"Denver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si="12"/>
        <v>start /low /b %USERPROFILE%\Documents\GitHub\eaglep3\Utilities\DownloadLogsFromS3.py --loco 4056 --day 2018-01-11</v>
      </c>
      <c r="AN143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03:34:48"},{"id":29,"name":"Sharepoint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14"/>
        <v>https://d0f6bd738d7f1b3e5a7ca70fe4ff75f0.us-east-1.aws.found.io/app/kibana#/discover/Steve-Slow-Train-Analysis-(2080s-and-2083s)?_g=(refreshInterval:(display:Off,pause:!f,section:0,value:0),time:(from:'2018-01-11T18:49:33-0700',mode:absolute,to:'2018-01-11T21:34:48-0700'))&amp;_a=(columns:!('Message%20ID',Summary),filters:!(),index:'emp_*',interval:auto,query:(query_string:(analyze_wildcard:!t,query:'%22rtdc.l.rtdc.4056%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3">
      <c r="A144" s="229" t="s">
        <v>875</v>
      </c>
      <c r="B144" s="225">
        <v>4055</v>
      </c>
      <c r="C144" s="227" t="s">
        <v>191</v>
      </c>
      <c r="D144" s="227" t="s">
        <v>549</v>
      </c>
      <c r="E144" s="226">
        <v>43111.859224537038</v>
      </c>
      <c r="F144" s="226">
        <v>43111.873078703706</v>
      </c>
      <c r="G144" s="225">
        <v>68</v>
      </c>
      <c r="H144" s="227" t="s">
        <v>623</v>
      </c>
      <c r="I144" s="226">
        <v>43111.898206018515</v>
      </c>
      <c r="J144" s="225">
        <v>0</v>
      </c>
      <c r="K144" s="237" t="str">
        <f>IF(ISEVEN(B144),(B144-1)&amp;"/"&amp;B144,B144&amp;"/"&amp;(B144+1))</f>
        <v>4055/4056</v>
      </c>
      <c r="L144" s="245" t="str">
        <f>VLOOKUP(A144,'Trips&amp;Operators'!$C$1:$G$99911,5,FALSE)</f>
        <v>ELBAUM MIKE</v>
      </c>
      <c r="M144" s="224">
        <f>I144-F144</f>
        <v>2.512731480965158E-2</v>
      </c>
      <c r="N144" s="225"/>
      <c r="O144" s="225"/>
      <c r="P144" s="225"/>
      <c r="Q144" s="228"/>
      <c r="R144" s="242"/>
      <c r="S144" s="249"/>
      <c r="T144" s="242" t="str">
        <f>IF(ISEVEN(LEFT(AD144,4)),"Southbound","NorthBound")</f>
        <v>Southbound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2018-01-11T19:37:17-0700',mode:absolute,to:'2018-01-11T22:33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4" s="247" t="str">
        <f>IF(AA144&lt;VLOOKUP(AG144,Variables!$AC$3:$AD$8,2,FALSE),"Y","N")</f>
        <v>Y</v>
      </c>
      <c r="X144" s="247">
        <f>VALUE(LEFT(AD144,4))-VALUE(LEFT(AD143,4))</f>
        <v>1</v>
      </c>
      <c r="Y144" s="247">
        <f>RIGHT(D144,LEN(D144)-4)/10000</f>
        <v>23.299800000000001</v>
      </c>
      <c r="Z144" s="247">
        <f>RIGHT(H144,LEN(H144)-4)/10000</f>
        <v>23.2987</v>
      </c>
      <c r="AA144" s="247">
        <f>ABS(Z144-Y144)</f>
        <v>1.1000000000009891E-3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226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 &amp; 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/stypes="app*4055*20180112*" /stext=" 04:.+((SYSTEM_STATE.+slice.+state.+changed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10"/>
        <v>"%USERPROFILE%\Documents\GitHub\eaglep3\Utilities\RefineRTDCRunTimes.py" --tripid 226-11 --locoid 4055 --swversion DE.1.0.9.0 --startMP 204:232998 --initTime 2018-01-11T20:37:17 --startdatetime 2018-01-11T20:57:14 --delay 68 --endMP 204:232987 --enddatetime 2018-01-11T21:33:25 --enforcementcount 0 &gt;&gt;%USERPROFILE%\Documents\GitHub\eaglep3-reporting\EC\2018-01-11-refined-times.txt</v>
      </c>
      <c r="AI144" s="238" t="str">
        <f t="shared" si="11"/>
        <v>echo {"issue":{"subject":"","project_id":79,"tracker_id":40,"status_id":1,"priority_id":2,"assigned_to_id":338,"start_date":"2018-01-11","description":"","custom_fields":[{"id":1,"name":"Subdivision","value":"EC"},{"id":4,"name":"Milepost","value":"23.2987"},{"id":17,"name":"Train ID","value":"226-11"},{"id":16,"name":"Locomotive ID","value":"4055"},{"id":130,"name":"Impact","value":""},{"id":150,"name":"Time of Event (Mountain Time)","value":"21:33:25"},{"id":151,"name":"Denver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12"/>
        <v>start /low /b %USERPROFILE%\Documents\GitHub\eaglep3\Utilities\DownloadLogsFromS3.py --loco 4055 --day 2018-01-11</v>
      </c>
      <c r="AN144" s="241" t="str">
        <f t="shared" si="13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04:33:25"},{"id":29,"name":"Sharepoint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14"/>
        <v>https://d0f6bd738d7f1b3e5a7ca70fe4ff75f0.us-east-1.aws.found.io/app/kibana#/discover/Steve-Slow-Train-Analysis-(2080s-and-2083s)?_g=(refreshInterval:(display:Off,pause:!f,section:0,value:0),time:(from:'2018-01-11T19:37:17-0700',mode:absolute,to:'2018-01-11T22:33:25-0700'))&amp;_a=(columns:!('Message%20ID',Summary),filters:!(),index:'emp_*',interval:auto,query:(query_string:(analyze_wildcard:!t,query:'%22rtdc.l.rtdc.4055%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875</v>
      </c>
      <c r="B145" s="225">
        <v>4055</v>
      </c>
      <c r="C145" s="227" t="s">
        <v>191</v>
      </c>
      <c r="D145" s="227" t="s">
        <v>623</v>
      </c>
      <c r="E145" s="226">
        <v>43111.870416666665</v>
      </c>
      <c r="F145" s="226">
        <v>43111.873078703706</v>
      </c>
      <c r="G145" s="225">
        <v>50</v>
      </c>
      <c r="H145" s="227" t="s">
        <v>622</v>
      </c>
      <c r="I145" s="226">
        <v>43111.898206018515</v>
      </c>
      <c r="J145" s="225">
        <v>0</v>
      </c>
      <c r="K145" s="237" t="str">
        <f>IF(ISEVEN(B145),(B145-1)&amp;"/"&amp;B145,B145&amp;"/"&amp;(B145+1))</f>
        <v>4055/4056</v>
      </c>
      <c r="L145" s="245" t="str">
        <f>VLOOKUP(A145,'Trips&amp;Operators'!$C$1:$G$99911,5,FALSE)</f>
        <v>ELBAUM MIKE</v>
      </c>
      <c r="M145" s="224">
        <f>I145-F145</f>
        <v>2.512731480965158E-2</v>
      </c>
      <c r="N145" s="225">
        <f>24*60*SUM($M145:$M145)</f>
        <v>36.183333325898275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-11T19:53:24-0700',mode:absolute,to:'2018-01-11T22:33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0</v>
      </c>
      <c r="Y145" s="247">
        <f>RIGHT(D145,LEN(D145)-4)/10000</f>
        <v>23.2987</v>
      </c>
      <c r="Z145" s="247">
        <f>RIGHT(H145,LEN(H145)-4)/10000</f>
        <v>2.5600000000000001E-2</v>
      </c>
      <c r="AA145" s="247">
        <f>ABS(Z145-Y145)</f>
        <v>23.273099999999999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226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 &amp; 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/stypes="app*4055*20180112*" /stext=" 04:.+((SYSTEM_STATE.+slice.+state.+changed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ref="AH145:AH216" si="35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226-11 --locoid 4055 --swversion DE.1.0.9.0 --startMP 204:232987 --initTime 2018-01-11T20:53:24 --startdatetime 2018-01-11T20:57:14 --delay 50 --endMP 204:256 --enddatetime 2018-01-11T21:33:25 --enforcementcount 0 &gt;&gt;%USERPROFILE%\Documents\GitHub\eaglep3-reporting\EC\2018-01-11-refined-times.txt</v>
      </c>
      <c r="AI145" s="238" t="str">
        <f t="shared" ref="AI145:AI216" si="36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{"issue":{"subject":"","project_id":79,"tracker_id":40,"status_id":1,"priority_id":2,"assigned_to_id":338,"start_date":"2018-01-11","description":"","custom_fields":[{"id":1,"name":"Subdivision","value":"EC"},{"id":4,"name":"Milepost","value":"0.0256"},{"id":17,"name":"Train ID","value":"226-11"},{"id":16,"name":"Locomotive ID","value":"4055"},{"id":130,"name":"Impact","value":""},{"id":150,"name":"Time of Event (Mountain Time)","value":"21:33:25"},{"id":151,"name":"Denver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ref="AM145:AM216" si="37">"start /low /b "&amp;dls3logs&amp;" --loco "&amp;B145&amp;" --day "&amp;TEXT(F145,"YYYY-MM-DD")</f>
        <v>start /low /b %USERPROFILE%\Documents\GitHub\eaglep3\Utilities\DownloadLogsFromS3.py --loco 4055 --day 2018-01-11</v>
      </c>
      <c r="AN145" s="241" t="str">
        <f t="shared" ref="AN145:AN216" si="38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04:33:25"},{"id":29,"name":"Sharepoint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ref="AO145:AO216" si="39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-11T19:53:24-0700',mode:absolute,to:'2018-01-11T22:33:25-0700'))&amp;_a=(columns:!('Message%20ID',Summary),filters:!(),index:'emp_*',interval:auto,query:(query_string:(analyze_wildcard:!t,query:'%22rtdc.l.rtdc.4055%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873</v>
      </c>
      <c r="B146" s="225">
        <v>4012</v>
      </c>
      <c r="C146" s="227" t="s">
        <v>191</v>
      </c>
      <c r="D146" s="227" t="s">
        <v>623</v>
      </c>
      <c r="E146" s="226">
        <v>43111.870416666665</v>
      </c>
      <c r="F146" s="226">
        <v>43111.854398148149</v>
      </c>
      <c r="G146" s="225">
        <v>50</v>
      </c>
      <c r="H146" s="227" t="s">
        <v>622</v>
      </c>
      <c r="I146" s="226">
        <v>43111.879050925927</v>
      </c>
      <c r="J146" s="225">
        <v>0</v>
      </c>
      <c r="K146" s="237" t="str">
        <f>IF(ISEVEN(B146),(B146-1)&amp;"/"&amp;B146,B146&amp;"/"&amp;(B146+1))</f>
        <v>4011/4012</v>
      </c>
      <c r="L146" s="245" t="str">
        <f>VLOOKUP(A146,'Trips&amp;Operators'!$C$1:$G$99911,5,FALSE)</f>
        <v>NICHOLSON WESLEY</v>
      </c>
      <c r="M146" s="224">
        <f>I146-F146</f>
        <v>2.4652777778101154E-2</v>
      </c>
      <c r="N146" s="225">
        <f>24*60*SUM($M146:$M146)</f>
        <v>35.500000000465661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-11T19:53:24-0700',mode:absolute,to:'2018-01-11T22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v>7.4399999999999994E-2</v>
      </c>
      <c r="Z146" s="247">
        <v>23.319500000000001</v>
      </c>
      <c r="AA146" s="247">
        <f>ABS(Z146-Y146)</f>
        <v>23.245100000000001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227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 &amp; aws s3 cp s3://rtdc.mdm.uploadarchive.raw/RTDC4012/ "%USERPROFILE%\AppData\Local\Temp\OnboardLogs"\RTDC4012\2018-01-12 --exclude "*" --recursive --include "*20180112*" &amp; "%USERPROFILE%\Documents\GitHub\mrs-test-scripts\Headless Mode &amp; Sideloading\WalkAndUnGZ.bat" "%USERPROFILE%\AppData\Local\Temp\OnboardLogs"\RTDC4012\2018-01-12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/stypes="app*4012*20180112*" /stext=" 04:.+((SYSTEM_STATE.+slice.+state.+changed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ref="AH146" si="40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227-11 --locoid 4012 --swversion DE.1.0.9.0 --startMP 204:232987 --initTime 2018-01-11T20:53:24 --startdatetime 2018-01-11T20:30:20 --delay 50 --endMP 204:256 --enddatetime 2018-01-11T21:05:50 --enforcementcount 0 &gt;&gt;%USERPROFILE%\Documents\GitHub\eaglep3-reporting\EC\2018-01-11-refined-times.txt</v>
      </c>
      <c r="AI146" s="238" t="str">
        <f t="shared" ref="AI146" si="41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{"issue":{"subject":"","project_id":79,"tracker_id":40,"status_id":1,"priority_id":2,"assigned_to_id":338,"start_date":"2018-01-11","description":"","custom_fields":[{"id":1,"name":"Subdivision","value":"EC"},{"id":4,"name":"Milepost","value":"23.3195"},{"id":17,"name":"Train ID","value":"227-11"},{"id":16,"name":"Locomotive ID","value":"4012"},{"id":130,"name":"Impact","value":""},{"id":150,"name":"Time of Event (Mountain Time)","value":"21:05:50"},{"id":151,"name":"Denver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ref="AM146" si="42">"start /low /b "&amp;dls3logs&amp;" --loco "&amp;B146&amp;" --day "&amp;TEXT(F146,"YYYY-MM-DD")</f>
        <v>start /low /b %USERPROFILE%\Documents\GitHub\eaglep3\Utilities\DownloadLogsFromS3.py --loco 4012 --day 2018-01-11</v>
      </c>
      <c r="AN146" s="241" t="str">
        <f t="shared" ref="AN146" si="43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04:05:50"},{"id":29,"name":"Sharepoint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ref="AO146" si="44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-11T19:53:24-0700',mode:absolute,to:'2018-01-11T22:05:50-0700'))&amp;_a=(columns:!('Message%20ID',Summary),filters:!(),index:'emp_*',interval:auto,query:(query_string:(analyze_wildcard:!t,query:'%22rtdc.l.rtdc.4012%22')),sort:!(Time.ISO8601,asc))</v>
      </c>
    </row>
    <row r="147" spans="1:91" s="20" customFormat="1" x14ac:dyDescent="0.3">
      <c r="A147" s="229" t="s">
        <v>878</v>
      </c>
      <c r="B147" s="225">
        <v>4011</v>
      </c>
      <c r="C147" s="227" t="s">
        <v>191</v>
      </c>
      <c r="D147" s="227" t="s">
        <v>995</v>
      </c>
      <c r="E147" s="226">
        <v>43111.881296296298</v>
      </c>
      <c r="F147" s="226">
        <v>43111.894363425927</v>
      </c>
      <c r="G147" s="225">
        <v>63</v>
      </c>
      <c r="H147" s="227" t="s">
        <v>449</v>
      </c>
      <c r="I147" s="226">
        <v>43111.920775462961</v>
      </c>
      <c r="J147" s="225">
        <v>0</v>
      </c>
      <c r="K147" s="237" t="str">
        <f>IF(ISEVEN(B147),(B147-1)&amp;"/"&amp;B147,B147&amp;"/"&amp;(B147+1))</f>
        <v>4011/4012</v>
      </c>
      <c r="L147" s="245" t="str">
        <f>VLOOKUP(A147,'Trips&amp;Operators'!$C$1:$G$99911,5,FALSE)</f>
        <v>NICHOLSON WESLEY</v>
      </c>
      <c r="M147" s="224">
        <f>I147-F147</f>
        <v>2.6412037033878732E-2</v>
      </c>
      <c r="N147" s="225">
        <f>24*60*SUM($M147:$M147)</f>
        <v>38.033333328785375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2018-01-11T20:09:04-0700',mode:absolute,to:'2018-01-11T23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23.287099999999999</v>
      </c>
      <c r="Z147" s="247">
        <f>RIGHT(H147,LEN(H147)-4)/10000</f>
        <v>2.1399999999999999E-2</v>
      </c>
      <c r="AA147" s="247">
        <f>ABS(Z147-Y147)</f>
        <v>23.265699999999999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228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 &amp; aws s3 cp s3://rtdc.mdm.uploadarchive.raw/RTDC4011/ "%USERPROFILE%\AppData\Local\Temp\OnboardLogs"\RTDC4011\2018-01-12 --exclude "*" --recursive --include "*20180112*" &amp; "%USERPROFILE%\Documents\GitHub\mrs-test-scripts\Headless Mode &amp; Sideloading\WalkAndUnGZ.bat" "%USERPROFILE%\AppData\Local\Temp\OnboardLogs"\RTDC4011\2018-01-12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/stypes="app*4011*20180112*" /stext=" 05:.+((SYSTEM_STATE.+slice.+state.+changed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35"/>
        <v>"%USERPROFILE%\Documents\GitHub\eaglep3\Utilities\RefineRTDCRunTimes.py" --tripid 228-11 --locoid 4011 --swversion DE.1.0.9.0 --startMP 204:232871 --initTime 2018-01-11T21:09:04 --startdatetime 2018-01-11T21:27:53 --delay 63 --endMP 204:214 --enddatetime 2018-01-11T22:05:55 --enforcementcount 0 &gt;&gt;%USERPROFILE%\Documents\GitHub\eaglep3-reporting\EC\2018-01-11-refined-times.txt</v>
      </c>
      <c r="AI147" s="238" t="str">
        <f t="shared" si="36"/>
        <v>echo {"issue":{"subject":"","project_id":79,"tracker_id":40,"status_id":1,"priority_id":2,"assigned_to_id":338,"start_date":"2018-01-11","description":"","custom_fields":[{"id":1,"name":"Subdivision","value":"EC"},{"id":4,"name":"Milepost","value":"0.0214"},{"id":17,"name":"Train ID","value":"228-11"},{"id":16,"name":"Locomotive ID","value":"4011"},{"id":130,"name":"Impact","value":""},{"id":150,"name":"Time of Event (Mountain Time)","value":"22:05:55"},{"id":151,"name":"Denver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37"/>
        <v>start /low /b %USERPROFILE%\Documents\GitHub\eaglep3\Utilities\DownloadLogsFromS3.py --loco 4011 --day 2018-01-11</v>
      </c>
      <c r="AN147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05:05:55"},{"id":29,"name":"Sharepoint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39"/>
        <v>https://d0f6bd738d7f1b3e5a7ca70fe4ff75f0.us-east-1.aws.found.io/app/kibana#/discover/Steve-Slow-Train-Analysis-(2080s-and-2083s)?_g=(refreshInterval:(display:Off,pause:!f,section:0,value:0),time:(from:'2018-01-11T20:09:04-0700',mode:absolute,to:'2018-01-11T23:05:55-0700'))&amp;_a=(columns:!('Message%20ID',Summary),filters:!(),index:'emp_*',interval:auto,query:(query_string:(analyze_wildcard:!t,query:'%22rtdc.l.rtdc.4011%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29" t="s">
        <v>876</v>
      </c>
      <c r="B148" s="225">
        <v>4034</v>
      </c>
      <c r="C148" s="227" t="s">
        <v>191</v>
      </c>
      <c r="D148" s="227" t="s">
        <v>996</v>
      </c>
      <c r="E148" s="226">
        <v>43111.869606481479</v>
      </c>
      <c r="F148" s="226">
        <v>43111.875173611108</v>
      </c>
      <c r="G148" s="225">
        <v>62</v>
      </c>
      <c r="H148" s="227" t="s">
        <v>601</v>
      </c>
      <c r="I148" s="226">
        <v>43111.899791666663</v>
      </c>
      <c r="J148" s="225">
        <v>0</v>
      </c>
      <c r="K148" s="237" t="str">
        <f>IF(ISEVEN(B148),(B148-1)&amp;"/"&amp;B148,B148&amp;"/"&amp;(B148+1))</f>
        <v>4033/4034</v>
      </c>
      <c r="L148" s="245" t="str">
        <f>VLOOKUP(A148,'Trips&amp;Operators'!$C$1:$G$99911,5,FALSE)</f>
        <v>LORI SANTOS</v>
      </c>
      <c r="M148" s="224">
        <f>I148-F148</f>
        <v>2.4618055555038154E-2</v>
      </c>
      <c r="N148" s="225">
        <f>24*60*SUM($M148:$M148)</f>
        <v>35.449999999254942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-11T19:52:14-0700',mode:absolute,to:'2018-01-11T22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5.3499999999999999E-2</v>
      </c>
      <c r="Z148" s="247">
        <f>RIGHT(H148,LEN(H148)-4)/10000</f>
        <v>23.326599999999999</v>
      </c>
      <c r="AA148" s="247">
        <f>ABS(Z148-Y148)</f>
        <v>23.273099999999999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229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/stypes="app*4034*20180112*" /stext=" 04:.+((SYSTEM_STATE.+slice.+state.+changed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35"/>
        <v>"%USERPROFILE%\Documents\GitHub\eaglep3\Utilities\RefineRTDCRunTimes.py" --tripid 229-11 --locoid 4034 --swversion DE.1.0.9.0 --startMP 204:535 --initTime 2018-01-11T20:52:14 --startdatetime 2018-01-11T21:00:15 --delay 62 --endMP 204:233266 --enddatetime 2018-01-11T21:35:42 --enforcementcount 0 &gt;&gt;%USERPROFILE%\Documents\GitHub\eaglep3-reporting\EC\2018-01-11-refined-times.txt</v>
      </c>
      <c r="AI148" s="238" t="str">
        <f t="shared" si="36"/>
        <v>echo {"issue":{"subject":"","project_id":79,"tracker_id":40,"status_id":1,"priority_id":2,"assigned_to_id":338,"start_date":"2018-01-11","description":"","custom_fields":[{"id":1,"name":"Subdivision","value":"EC"},{"id":4,"name":"Milepost","value":"23.3266"},{"id":17,"name":"Train ID","value":"229-11"},{"id":16,"name":"Locomotive ID","value":"4034"},{"id":130,"name":"Impact","value":""},{"id":150,"name":"Time of Event (Mountain Time)","value":"21:35:42"},{"id":151,"name":"Denver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37"/>
        <v>start /low /b %USERPROFILE%\Documents\GitHub\eaglep3\Utilities\DownloadLogsFromS3.py --loco 4034 --day 2018-01-11</v>
      </c>
      <c r="AN148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04:35:42"},{"id":29,"name":"Sharepoint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39"/>
        <v>https://d0f6bd738d7f1b3e5a7ca70fe4ff75f0.us-east-1.aws.found.io/app/kibana#/discover/Steve-Slow-Train-Analysis-(2080s-and-2083s)?_g=(refreshInterval:(display:Off,pause:!f,section:0,value:0),time:(from:'2018-01-11T19:52:14-0700',mode:absolute,to:'2018-01-11T22:35:42-0700'))&amp;_a=(columns:!('Message%20ID',Summary),filters:!(),index:'emp_*',interval:auto,query:(query_string:(analyze_wildcard:!t,query:'%22rtdc.l.rtdc.4034%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3">
      <c r="A149" s="229" t="s">
        <v>881</v>
      </c>
      <c r="B149" s="225">
        <v>4033</v>
      </c>
      <c r="C149" s="227" t="s">
        <v>191</v>
      </c>
      <c r="D149" s="227" t="s">
        <v>996</v>
      </c>
      <c r="E149" s="226">
        <v>43111.869606481479</v>
      </c>
      <c r="F149" s="226">
        <v>43111.914756944447</v>
      </c>
      <c r="G149" s="225">
        <v>62</v>
      </c>
      <c r="H149" s="227" t="s">
        <v>601</v>
      </c>
      <c r="I149" s="226">
        <v>43111.94085648148</v>
      </c>
      <c r="J149" s="225">
        <v>0</v>
      </c>
      <c r="K149" s="237" t="str">
        <f>IF(ISEVEN(B149),(B149-1)&amp;"/"&amp;B149,B149&amp;"/"&amp;(B149+1))</f>
        <v>4033/4034</v>
      </c>
      <c r="L149" s="245" t="str">
        <f>VLOOKUP(A149,'Trips&amp;Operators'!$C$1:$G$99911,5,FALSE)</f>
        <v>LORI SANTOS</v>
      </c>
      <c r="M149" s="224">
        <f>I149-F149</f>
        <v>2.6099537033587694E-2</v>
      </c>
      <c r="N149" s="225">
        <f>24*60*SUM($M149:$M149)</f>
        <v>37.58333332836628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-11T19:52:14-0700',mode:absolute,to:'2018-01-11T23:34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v>23.270900000000001</v>
      </c>
      <c r="Z149" s="247">
        <v>2.18E-2</v>
      </c>
      <c r="AA149" s="247">
        <f>ABS(Z149-Y149)</f>
        <v>23.249100000000002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230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s3://rtdc.mdm.uploadarchive.raw/RTDC4033/ "%USERPROFILE%\AppData\Local\Temp\OnboardLogs"\RTDC4033\2018-01-11 --exclude "*" --recursive --include "*20180111*" &amp; "%USERPROFILE%\Documents\GitHub\mrs-test-scripts\Headless Mode &amp; Sideloading\WalkAndUnGZ.bat" "%USERPROFILE%\AppData\Local\Temp\OnboardLogs"\RTDC4033\2018-01-11 &amp; aws s3 cp s3://rtdc.mdm.uploadarchive.raw/RTDC4033/ "%USERPROFILE%\AppData\Local\Temp\OnboardLogs"\RTDC4033\2018-01-12 --exclude "*" --recursive --include "*20180112*" &amp; "%USERPROFILE%\Documents\GitHub\mrs-test-scripts\Headless Mode &amp; Sideloading\WalkAndUnGZ.bat" "%USERPROFILE%\AppData\Local\Temp\OnboardLogs"\RTDC4033\2018-01-12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/stypes="app*4033*20180112*" /stext=" 05:.+((SYSTEM_STATE.+slice.+state.+changed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ref="AH149" si="45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230-11 --locoid 4033 --swversion DE.1.0.9.0 --startMP 204:535 --initTime 2018-01-11T20:52:14 --startdatetime 2018-01-11T21:57:15 --delay 62 --endMP 204:233266 --enddatetime 2018-01-11T22:34:50 --enforcementcount 0 &gt;&gt;%USERPROFILE%\Documents\GitHub\eaglep3-reporting\EC\2018-01-11-refined-times.txt</v>
      </c>
      <c r="AI149" s="238" t="str">
        <f t="shared" ref="AI149" si="46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{"issue":{"subject":"","project_id":79,"tracker_id":40,"status_id":1,"priority_id":2,"assigned_to_id":338,"start_date":"2018-01-11","description":"","custom_fields":[{"id":1,"name":"Subdivision","value":"EC"},{"id":4,"name":"Milepost","value":"0.0218"},{"id":17,"name":"Train ID","value":"230-11"},{"id":16,"name":"Locomotive ID","value":"4033"},{"id":130,"name":"Impact","value":""},{"id":150,"name":"Time of Event (Mountain Time)","value":"22:34:50"},{"id":151,"name":"Denver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ref="AM149" si="47">"start /low /b "&amp;dls3logs&amp;" --loco "&amp;B149&amp;" --day "&amp;TEXT(F149,"YYYY-MM-DD")</f>
        <v>start /low /b %USERPROFILE%\Documents\GitHub\eaglep3\Utilities\DownloadLogsFromS3.py --loco 4033 --day 2018-01-11</v>
      </c>
      <c r="AN149" s="241" t="str">
        <f t="shared" ref="AN149" si="48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05:34:50"},{"id":29,"name":"Sharepoint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ref="AO149" si="49"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-11T19:52:14-0700',mode:absolute,to:'2018-01-11T23:34:50-0700'))&amp;_a=(columns:!('Message%20ID',Summary),filters:!(),index:'emp_*',interval:auto,query:(query_string:(analyze_wildcard:!t,query:'%22rtdc.l.rtdc.4033%22')),sort:!(Time.ISO8601,asc))</v>
      </c>
    </row>
    <row r="150" spans="1:91" s="223" customFormat="1" x14ac:dyDescent="0.3">
      <c r="A150" s="229" t="s">
        <v>885</v>
      </c>
      <c r="B150" s="225">
        <v>4019</v>
      </c>
      <c r="C150" s="227" t="s">
        <v>191</v>
      </c>
      <c r="D150" s="227" t="s">
        <v>927</v>
      </c>
      <c r="E150" s="226">
        <v>43111.935115740744</v>
      </c>
      <c r="F150" s="226">
        <v>43111.937372685185</v>
      </c>
      <c r="G150" s="225">
        <v>150</v>
      </c>
      <c r="H150" s="227" t="s">
        <v>590</v>
      </c>
      <c r="I150" s="226">
        <v>43111.962534722225</v>
      </c>
      <c r="J150" s="225">
        <v>0</v>
      </c>
      <c r="K150" s="237" t="str">
        <f>IF(ISEVEN(B150),(B150-1)&amp;"/"&amp;B150,B150&amp;"/"&amp;(B150+1))</f>
        <v>4019/4020</v>
      </c>
      <c r="L150" s="245" t="str">
        <f>VLOOKUP(A150,'Trips&amp;Operators'!$C$1:$G$99911,5,FALSE)</f>
        <v>LOZA FIDEL</v>
      </c>
      <c r="M150" s="224">
        <f>I150-F150</f>
        <v>2.5162037039990537E-2</v>
      </c>
      <c r="N150" s="225">
        <f>24*60*SUM($M150:$M150)</f>
        <v>36.233333337586373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Southbound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2018-01-11T21:26:34-0700',mode:absolute,to:'2018-01-12T00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2</v>
      </c>
      <c r="Y150" s="247">
        <f>RIGHT(D150,LEN(D150)-4)/10000</f>
        <v>23.296500000000002</v>
      </c>
      <c r="Z150" s="247">
        <f>RIGHT(H150,LEN(H150)-4)/10000</f>
        <v>2.4899999999999999E-2</v>
      </c>
      <c r="AA150" s="247">
        <f>ABS(Z150-Y150)</f>
        <v>23.271600000000003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232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s3://rtdc.mdm.uploadarchive.raw/RTDC4019/ "%USERPROFILE%\AppData\Local\Temp\OnboardLogs"\RTDC4019\2018-01-11 --exclude "*" --recursive --include "*20180111*" &amp; "%USERPROFILE%\Documents\GitHub\mrs-test-scripts\Headless Mode &amp; Sideloading\WalkAndUnGZ.bat" "%USERPROFILE%\AppData\Local\Temp\OnboardLogs"\RTDC4019\2018-01-11 &amp; aws s3 cp s3://rtdc.mdm.uploadarchive.raw/RTDC4019/ "%USERPROFILE%\AppData\Local\Temp\OnboardLogs"\RTDC4019\2018-01-12 --exclude "*" --recursive --include "*20180112*" &amp; "%USERPROFILE%\Documents\GitHub\mrs-test-scripts\Headless Mode &amp; Sideloading\WalkAndUnGZ.bat" "%USERPROFILE%\AppData\Local\Temp\OnboardLogs"\RTDC4019\2018-01-12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/stypes="app*4019*20180112*" /stext=" 06:.+((SYSTEM_STATE.+slice.+state.+changed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35"/>
        <v>"%USERPROFILE%\Documents\GitHub\eaglep3\Utilities\RefineRTDCRunTimes.py" --tripid 232-11 --locoid 4019 --swversion DE.1.0.9.0 --startMP 204:232965 --initTime 2018-01-11T22:26:34 --startdatetime 2018-01-11T22:29:49 --delay 150 --endMP 204:249 --enddatetime 2018-01-11T23:06:03 --enforcementcount 0 &gt;&gt;%USERPROFILE%\Documents\GitHub\eaglep3-reporting\EC\2018-01-11-refined-times.txt</v>
      </c>
      <c r="AI150" s="238" t="str">
        <f t="shared" si="36"/>
        <v>echo {"issue":{"subject":"","project_id":79,"tracker_id":40,"status_id":1,"priority_id":2,"assigned_to_id":338,"start_date":"2018-01-11","description":"","custom_fields":[{"id":1,"name":"Subdivision","value":"EC"},{"id":4,"name":"Milepost","value":"0.0249"},{"id":17,"name":"Train ID","value":"232-11"},{"id":16,"name":"Locomotive ID","value":"4019"},{"id":130,"name":"Impact","value":""},{"id":150,"name":"Time of Event (Mountain Time)","value":"23:06:03"},{"id":151,"name":"Denver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1"/>
      <c r="AL150" s="231"/>
      <c r="AM150" s="240" t="str">
        <f t="shared" si="37"/>
        <v>start /low /b %USERPROFILE%\Documents\GitHub\eaglep3\Utilities\DownloadLogsFromS3.py --loco 4019 --day 2018-01-11</v>
      </c>
      <c r="AN150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06:06:03"},{"id":29,"name":"Sharepoint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39"/>
        <v>https://d0f6bd738d7f1b3e5a7ca70fe4ff75f0.us-east-1.aws.found.io/app/kibana#/discover/Steve-Slow-Train-Analysis-(2080s-and-2083s)?_g=(refreshInterval:(display:Off,pause:!f,section:0,value:0),time:(from:'2018-01-11T21:26:34-0700',mode:absolute,to:'2018-01-12T00:06:03-0700'))&amp;_a=(columns:!('Message%20ID',Summary),filters:!(),index:'emp_*',interval:auto,query:(query_string:(analyze_wildcard:!t,query:'%22rtdc.l.rtdc.4019%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9" t="s">
        <v>880</v>
      </c>
      <c r="B151" s="225">
        <v>4056</v>
      </c>
      <c r="C151" s="227" t="s">
        <v>191</v>
      </c>
      <c r="D151" s="227" t="s">
        <v>596</v>
      </c>
      <c r="E151" s="226">
        <v>43111.899363425924</v>
      </c>
      <c r="F151" s="226">
        <v>43111.916817129626</v>
      </c>
      <c r="G151" s="225">
        <v>74</v>
      </c>
      <c r="H151" s="227" t="s">
        <v>611</v>
      </c>
      <c r="I151" s="226">
        <v>43111.940787037034</v>
      </c>
      <c r="J151" s="225">
        <v>0</v>
      </c>
      <c r="K151" s="237" t="str">
        <f>IF(ISEVEN(B151),(B151-1)&amp;"/"&amp;B151,B151&amp;"/"&amp;(B151+1))</f>
        <v>4055/4056</v>
      </c>
      <c r="L151" s="245" t="str">
        <f>VLOOKUP(A151,'Trips&amp;Operators'!$C$1:$G$99911,5,FALSE)</f>
        <v>ELBAUM MIKE</v>
      </c>
      <c r="M151" s="224">
        <f>I151-F151</f>
        <v>2.396990740817273E-2</v>
      </c>
      <c r="N151" s="225">
        <f>24*60*SUM($M151:$M151)</f>
        <v>34.516666667768732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NorthBound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2018-01-11T20:35:05-0700',mode:absolute,to:'2018-01-11T23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1" s="247" t="str">
        <f>IF(AA151&lt;VLOOKUP(AG151,Variables!$AC$3:$AD$8,2,FALSE),"Y","N")</f>
        <v>N</v>
      </c>
      <c r="X151" s="247">
        <f t="shared" ref="X151" si="50">VALUE(LEFT(AD151,4))-VALUE(LEFT(AD150,4))</f>
        <v>1</v>
      </c>
      <c r="Y151" s="247">
        <f>RIGHT(D151,LEN(D151)-4)/10000</f>
        <v>5.8000000000000003E-2</v>
      </c>
      <c r="Z151" s="247">
        <f>RIGHT(H151,LEN(H151)-4)/10000</f>
        <v>23.331</v>
      </c>
      <c r="AA151" s="247">
        <f>ABS(Z151-Y151)</f>
        <v>23.273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233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/stypes="app*4056*20180112*" /stext=" 05:.+((SYSTEM_STATE.+slice.+state.+changed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35"/>
        <v>"%USERPROFILE%\Documents\GitHub\eaglep3\Utilities\RefineRTDCRunTimes.py" --tripid 233-11 --locoid 4056 --swversion DE.1.0.9.0 --startMP 204:580 --initTime 2018-01-11T21:35:05 --startdatetime 2018-01-11T22:00:13 --delay 74 --endMP 204:233310 --enddatetime 2018-01-11T22:34:44 --enforcementcount 0 &gt;&gt;%USERPROFILE%\Documents\GitHub\eaglep3-reporting\EC\2018-01-11-refined-times.txt</v>
      </c>
      <c r="AI151" s="238" t="str">
        <f t="shared" si="36"/>
        <v>echo {"issue":{"subject":"","project_id":79,"tracker_id":40,"status_id":1,"priority_id":2,"assigned_to_id":338,"start_date":"2018-01-11","description":"","custom_fields":[{"id":1,"name":"Subdivision","value":"EC"},{"id":4,"name":"Milepost","value":"23.331"},{"id":17,"name":"Train ID","value":"233-11"},{"id":16,"name":"Locomotive ID","value":"4056"},{"id":130,"name":"Impact","value":""},{"id":150,"name":"Time of Event (Mountain Time)","value":"22:34:44"},{"id":151,"name":"Denver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37"/>
        <v>start /low /b %USERPROFILE%\Documents\GitHub\eaglep3\Utilities\DownloadLogsFromS3.py --loco 4056 --day 2018-01-11</v>
      </c>
      <c r="AN151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05:34:44"},{"id":29,"name":"Sharepoint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39"/>
        <v>https://d0f6bd738d7f1b3e5a7ca70fe4ff75f0.us-east-1.aws.found.io/app/kibana#/discover/Steve-Slow-Train-Analysis-(2080s-and-2083s)?_g=(refreshInterval:(display:Off,pause:!f,section:0,value:0),time:(from:'2018-01-11T20:35:05-0700',mode:absolute,to:'2018-01-11T23:34:44-0700'))&amp;_a=(columns:!('Message%20ID',Summary),filters:!(),index:'emp_*',interval:auto,query:(query_string:(analyze_wildcard:!t,query:'%22rtdc.l.rtdc.4056%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886</v>
      </c>
      <c r="B152" s="225">
        <v>4055</v>
      </c>
      <c r="C152" s="227" t="s">
        <v>191</v>
      </c>
      <c r="D152" s="227" t="s">
        <v>925</v>
      </c>
      <c r="E152" s="226">
        <v>43111.944826388892</v>
      </c>
      <c r="F152" s="226">
        <v>43111.956446759257</v>
      </c>
      <c r="G152" s="225">
        <v>46</v>
      </c>
      <c r="H152" s="227" t="s">
        <v>997</v>
      </c>
      <c r="I152" s="226">
        <v>43111.981585648151</v>
      </c>
      <c r="J152" s="225">
        <v>0</v>
      </c>
      <c r="K152" s="237" t="str">
        <f>IF(ISEVEN(B152),(B152-1)&amp;"/"&amp;B152,B152&amp;"/"&amp;(B152+1))</f>
        <v>4055/4056</v>
      </c>
      <c r="L152" s="245" t="str">
        <f>VLOOKUP(A152,'Trips&amp;Operators'!$C$1:$G$99911,5,FALSE)</f>
        <v>ELBAUM MIKE</v>
      </c>
      <c r="M152" s="224">
        <f>I152-F152</f>
        <v>2.513888889370719E-2</v>
      </c>
      <c r="N152" s="225">
        <f>24*60*SUM($M152:$M152)</f>
        <v>36.200000006938353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Southbound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2018-01-11T21:40:33-0700',mode:absolute,to:'2018-01-12T00:33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23.299600000000002</v>
      </c>
      <c r="Z152" s="247">
        <f>RIGHT(H152,LEN(H152)-4)/10000</f>
        <v>2.63E-2</v>
      </c>
      <c r="AA152" s="247">
        <f>ABS(Z152-Y152)</f>
        <v>23.273300000000003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234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 &amp; 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/stypes="app*4055*20180112*" /stext=" 06:.+((SYSTEM_STATE.+slice.+state.+changed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35"/>
        <v>"%USERPROFILE%\Documents\GitHub\eaglep3\Utilities\RefineRTDCRunTimes.py" --tripid 234-11 --locoid 4055 --swversion DE.1.0.9.0 --startMP 204:232996 --initTime 2018-01-11T22:40:33 --startdatetime 2018-01-11T22:57:17 --delay 46 --endMP 204:263 --enddatetime 2018-01-11T23:33:29 --enforcementcount 0 &gt;&gt;%USERPROFILE%\Documents\GitHub\eaglep3-reporting\EC\2018-01-11-refined-times.txt</v>
      </c>
      <c r="AI152" s="238" t="str">
        <f t="shared" si="36"/>
        <v>echo {"issue":{"subject":"","project_id":79,"tracker_id":40,"status_id":1,"priority_id":2,"assigned_to_id":338,"start_date":"2018-01-11","description":"","custom_fields":[{"id":1,"name":"Subdivision","value":"EC"},{"id":4,"name":"Milepost","value":"0.0263"},{"id":17,"name":"Train ID","value":"234-11"},{"id":16,"name":"Locomotive ID","value":"4055"},{"id":130,"name":"Impact","value":""},{"id":150,"name":"Time of Event (Mountain Time)","value":"23:33:29"},{"id":151,"name":"Denver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37"/>
        <v>start /low /b %USERPROFILE%\Documents\GitHub\eaglep3\Utilities\DownloadLogsFromS3.py --loco 4055 --day 2018-01-11</v>
      </c>
      <c r="AN152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06:33:29"},{"id":29,"name":"Sharepoint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39"/>
        <v>https://d0f6bd738d7f1b3e5a7ca70fe4ff75f0.us-east-1.aws.found.io/app/kibana#/discover/Steve-Slow-Train-Analysis-(2080s-and-2083s)?_g=(refreshInterval:(display:Off,pause:!f,section:0,value:0),time:(from:'2018-01-11T21:40:33-0700',mode:absolute,to:'2018-01-12T00:33:29-0700'))&amp;_a=(columns:!('Message%20ID',Summary),filters:!(),index:'emp_*',interval:auto,query:(query_string:(analyze_wildcard:!t,query:'%22rtdc.l.rtdc.4055%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23" customFormat="1" x14ac:dyDescent="0.3">
      <c r="A153" s="229" t="s">
        <v>883</v>
      </c>
      <c r="B153" s="225">
        <v>4012</v>
      </c>
      <c r="C153" s="227" t="s">
        <v>191</v>
      </c>
      <c r="D153" s="227" t="s">
        <v>925</v>
      </c>
      <c r="E153" s="226">
        <v>43111.944826388892</v>
      </c>
      <c r="F153" s="226">
        <v>43111.9377662037</v>
      </c>
      <c r="G153" s="225">
        <v>46</v>
      </c>
      <c r="H153" s="227" t="s">
        <v>997</v>
      </c>
      <c r="I153" s="226">
        <v>43111.96292824074</v>
      </c>
      <c r="J153" s="225">
        <v>0</v>
      </c>
      <c r="K153" s="237" t="str">
        <f>IF(ISEVEN(B153),(B153-1)&amp;"/"&amp;B153,B153&amp;"/"&amp;(B153+1))</f>
        <v>4011/4012</v>
      </c>
      <c r="L153" s="245" t="str">
        <f>VLOOKUP(A153,'Trips&amp;Operators'!$C$1:$G$99911,5,FALSE)</f>
        <v>NICHOLSON WESLEY</v>
      </c>
      <c r="M153" s="224">
        <f>I153-F153</f>
        <v>2.5162037039990537E-2</v>
      </c>
      <c r="N153" s="225">
        <f>24*60*SUM($M153:$M153)</f>
        <v>36.233333337586373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NorthBound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2018-01-11T21:40:33-0700',mode:absolute,to:'2018-01-12T00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v>7.1199999999999999E-2</v>
      </c>
      <c r="Z153" s="247">
        <v>23.320599999999999</v>
      </c>
      <c r="AA153" s="247">
        <f>ABS(Z153-Y153)</f>
        <v>23.249399999999998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>VALUE(LEFT(A153,LEN(A153)-3))</f>
        <v>235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s3://rtdc.mdm.uploadarchive.raw/RTDC4012/ "%USERPROFILE%\AppData\Local\Temp\OnboardLogs"\RTDC4012\2018-01-11 --exclude "*" --recursive --include "*20180111*" &amp; "%USERPROFILE%\Documents\GitHub\mrs-test-scripts\Headless Mode &amp; Sideloading\WalkAndUnGZ.bat" "%USERPROFILE%\AppData\Local\Temp\OnboardLogs"\RTDC4012\2018-01-11 &amp; aws s3 cp s3://rtdc.mdm.uploadarchive.raw/RTDC4012/ "%USERPROFILE%\AppData\Local\Temp\OnboardLogs"\RTDC4012\2018-01-12 --exclude "*" --recursive --include "*20180112*" &amp; "%USERPROFILE%\Documents\GitHub\mrs-test-scripts\Headless Mode &amp; Sideloading\WalkAndUnGZ.bat" "%USERPROFILE%\AppData\Local\Temp\OnboardLogs"\RTDC4012\2018-01-12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/stypes="app*4012*20180112*" /stext=" 06:.+((SYSTEM_STATE.+slice.+state.+changed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ref="AH153" si="51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235-11 --locoid 4012 --swversion DE.1.0.9.0 --startMP 204:232996 --initTime 2018-01-11T22:40:33 --startdatetime 2018-01-11T22:30:23 --delay 46 --endMP 204:263 --enddatetime 2018-01-11T23:06:37 --enforcementcount 0 &gt;&gt;%USERPROFILE%\Documents\GitHub\eaglep3-reporting\EC\2018-01-11-refined-times.txt</v>
      </c>
      <c r="AI153" s="238" t="str">
        <f t="shared" ref="AI153" si="52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{"issue":{"subject":"","project_id":79,"tracker_id":40,"status_id":1,"priority_id":2,"assigned_to_id":338,"start_date":"2018-01-11","description":"","custom_fields":[{"id":1,"name":"Subdivision","value":"EC"},{"id":4,"name":"Milepost","value":"23.3206"},{"id":17,"name":"Train ID","value":"235-11"},{"id":16,"name":"Locomotive ID","value":"4012"},{"id":130,"name":"Impact","value":""},{"id":150,"name":"Time of Event (Mountain Time)","value":"23:06:37"},{"id":151,"name":"Denver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231"/>
      <c r="AL153" s="231"/>
      <c r="AM153" s="240" t="str">
        <f t="shared" ref="AM153" si="53">"start /low /b "&amp;dls3logs&amp;" --loco "&amp;B153&amp;" --day "&amp;TEXT(F153,"YYYY-MM-DD")</f>
        <v>start /low /b %USERPROFILE%\Documents\GitHub\eaglep3\Utilities\DownloadLogsFromS3.py --loco 4012 --day 2018-01-11</v>
      </c>
      <c r="AN153" s="241" t="str">
        <f t="shared" ref="AN153" si="54"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06:06:37"},{"id":29,"name":"Sharepoint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ref="AO153" si="55"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2018-01-11T21:40:33-0700',mode:absolute,to:'2018-01-12T00:06:37-0700'))&amp;_a=(columns:!('Message%20ID',Summary),filters:!(),index:'emp_*',interval:auto,query:(query_string:(analyze_wildcard:!t,query:'%22rtdc.l.rtdc.4012%22')),sort:!(Time.ISO8601,asc))</v>
      </c>
    </row>
    <row r="154" spans="1:91" s="223" customFormat="1" x14ac:dyDescent="0.3">
      <c r="A154" s="229" t="s">
        <v>889</v>
      </c>
      <c r="B154" s="225">
        <v>4011</v>
      </c>
      <c r="C154" s="227" t="s">
        <v>191</v>
      </c>
      <c r="D154" s="227" t="s">
        <v>998</v>
      </c>
      <c r="E154" s="226">
        <v>43111.973483796297</v>
      </c>
      <c r="F154" s="226">
        <v>43111.977546296293</v>
      </c>
      <c r="G154" s="225">
        <v>67</v>
      </c>
      <c r="H154" s="227" t="s">
        <v>622</v>
      </c>
      <c r="I154" s="226">
        <v>43112.004756944443</v>
      </c>
      <c r="J154" s="225">
        <v>0</v>
      </c>
      <c r="K154" s="237" t="str">
        <f>IF(ISEVEN(B154),(B154-1)&amp;"/"&amp;B154,B154&amp;"/"&amp;(B154+1))</f>
        <v>4011/4012</v>
      </c>
      <c r="L154" s="245" t="str">
        <f>VLOOKUP(A154,'Trips&amp;Operators'!$C$1:$G$99911,5,FALSE)</f>
        <v>NICHOLSON WESLEY</v>
      </c>
      <c r="M154" s="224">
        <f>I154-F154</f>
        <v>2.7210648149775807E-2</v>
      </c>
      <c r="N154" s="225">
        <f>24*60*SUM($M154:$M154)</f>
        <v>39.183333335677162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Southbound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2018-01-11T22:21:49-0700',mode:absolute,to:'2018-01-12T01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4" s="247" t="str">
        <f>IF(AA154&lt;VLOOKUP(AG154,Variables!$AC$3:$AD$8,2,FALSE),"Y","N")</f>
        <v>N</v>
      </c>
      <c r="X154" s="247">
        <f t="shared" ref="X154:X155" si="56">VALUE(LEFT(AD154,4))-VALUE(LEFT(AD153,4))</f>
        <v>1</v>
      </c>
      <c r="Y154" s="247">
        <f>RIGHT(D154,LEN(D154)-4)/10000</f>
        <v>23.288900000000002</v>
      </c>
      <c r="Z154" s="247">
        <f>RIGHT(H154,LEN(H154)-4)/10000</f>
        <v>2.5600000000000001E-2</v>
      </c>
      <c r="AA154" s="247">
        <f>ABS(Z154-Y154)</f>
        <v>23.263300000000001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>VALUE(LEFT(A154,LEN(A154)-3))</f>
        <v>236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 &amp; aws s3 cp s3://rtdc.mdm.uploadarchive.raw/RTDC4011/ "%USERPROFILE%\AppData\Local\Temp\OnboardLogs"\RTDC4011\2018-01-12 --exclude "*" --recursive --include "*20180112*" &amp; "%USERPROFILE%\Documents\GitHub\mrs-test-scripts\Headless Mode &amp; Sideloading\WalkAndUnGZ.bat" "%USERPROFILE%\AppData\Local\Temp\OnboardLogs"\RTDC4011\2018-01-12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/stypes="app*4011*20180112*" /stext=" 07:.+((SYSTEM_STATE.+slice.+state.+changed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35"/>
        <v>"%USERPROFILE%\Documents\GitHub\eaglep3\Utilities\RefineRTDCRunTimes.py" --tripid 236-11 --locoid 4011 --swversion DE.1.0.9.0 --startMP 204:232889 --initTime 2018-01-11T23:21:49 --startdatetime 2018-01-11T23:27:40 --delay 67 --endMP 204:256 --enddatetime 2018-01-12T00:06:51 --enforcementcount 0 &gt;&gt;%USERPROFILE%\Documents\GitHub\eaglep3-reporting\EC\2018-01-11-refined-times.txt</v>
      </c>
      <c r="AI154" s="238" t="str">
        <f t="shared" si="36"/>
        <v>echo {"issue":{"subject":"","project_id":79,"tracker_id":40,"status_id":1,"priority_id":2,"assigned_to_id":338,"start_date":"2018-01-12","description":"","custom_fields":[{"id":1,"name":"Subdivision","value":"EC"},{"id":4,"name":"Milepost","value":"0.0256"},{"id":17,"name":"Train ID","value":"236-11"},{"id":16,"name":"Locomotive ID","value":"4011"},{"id":130,"name":"Impact","value":""},{"id":150,"name":"Time of Event (Mountain Time)","value":"00:06:51"},{"id":151,"name":"Denver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37"/>
        <v>start /low /b %USERPROFILE%\Documents\GitHub\eaglep3\Utilities\DownloadLogsFromS3.py --loco 4011 --day 2018-01-11</v>
      </c>
      <c r="AN154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07:06:51"},{"id":29,"name":"Sharepoint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39"/>
        <v>https://d0f6bd738d7f1b3e5a7ca70fe4ff75f0.us-east-1.aws.found.io/app/kibana#/discover/Steve-Slow-Train-Analysis-(2080s-and-2083s)?_g=(refreshInterval:(display:Off,pause:!f,section:0,value:0),time:(from:'2018-01-11T22:21:49-0700',mode:absolute,to:'2018-01-12T01:06:51-0700'))&amp;_a=(columns:!('Message%20ID',Summary),filters:!(),index:'emp_*',interval:auto,query:(query_string:(analyze_wildcard:!t,query:'%22rtdc.l.rtdc.4011%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23" customFormat="1" x14ac:dyDescent="0.3">
      <c r="A155" s="229" t="s">
        <v>887</v>
      </c>
      <c r="B155" s="225">
        <v>4034</v>
      </c>
      <c r="C155" s="227" t="s">
        <v>191</v>
      </c>
      <c r="D155" s="227" t="s">
        <v>999</v>
      </c>
      <c r="E155" s="226">
        <v>43111.955659722225</v>
      </c>
      <c r="F155" s="226">
        <v>43111.958518518521</v>
      </c>
      <c r="G155" s="225">
        <v>58</v>
      </c>
      <c r="H155" s="227" t="s">
        <v>614</v>
      </c>
      <c r="I155" s="226">
        <v>43111.983344907407</v>
      </c>
      <c r="J155" s="225">
        <v>0</v>
      </c>
      <c r="K155" s="237" t="str">
        <f>IF(ISEVEN(B155),(B155-1)&amp;"/"&amp;B155,B155&amp;"/"&amp;(B155+1))</f>
        <v>4033/4034</v>
      </c>
      <c r="L155" s="245" t="str">
        <f>VLOOKUP(A155,'Trips&amp;Operators'!$C$1:$G$99911,5,FALSE)</f>
        <v>LORI SANTOS</v>
      </c>
      <c r="M155" s="224">
        <f>I155-F155</f>
        <v>2.4826388886140194E-2</v>
      </c>
      <c r="N155" s="225">
        <f>24*60*SUM($M155:$M155)</f>
        <v>35.749999996041879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NorthBound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-11T21:56:09-0700',mode:absolute,to:'2018-01-12T00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5" s="247" t="str">
        <f>IF(AA155&lt;VLOOKUP(AG155,Variables!$AC$3:$AD$8,2,FALSE),"Y","N")</f>
        <v>N</v>
      </c>
      <c r="X155" s="247">
        <f t="shared" si="56"/>
        <v>1</v>
      </c>
      <c r="Y155" s="247">
        <f>RIGHT(D155,LEN(D155)-4)/10000</f>
        <v>5.4399999999999997E-2</v>
      </c>
      <c r="Z155" s="247">
        <f>RIGHT(H155,LEN(H155)-4)/10000</f>
        <v>23.3264</v>
      </c>
      <c r="AA155" s="247">
        <f>ABS(Z155-Y155)</f>
        <v>23.271999999999998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237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/stypes="app*4034*20180112*" /stext=" 06:.+((SYSTEM_STATE.+slice.+state.+changed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35"/>
        <v>"%USERPROFILE%\Documents\GitHub\eaglep3\Utilities\RefineRTDCRunTimes.py" --tripid 237-11 --locoid 4034 --swversion DE.1.0.9.0 --startMP 204:544 --initTime 2018-01-11T22:56:09 --startdatetime 2018-01-11T23:00:16 --delay 58 --endMP 204:233264 --enddatetime 2018-01-11T23:36:01 --enforcementcount 0 &gt;&gt;%USERPROFILE%\Documents\GitHub\eaglep3-reporting\EC\2018-01-11-refined-times.txt</v>
      </c>
      <c r="AI155" s="238" t="str">
        <f t="shared" si="36"/>
        <v>echo {"issue":{"subject":"","project_id":79,"tracker_id":40,"status_id":1,"priority_id":2,"assigned_to_id":338,"start_date":"2018-01-11","description":"","custom_fields":[{"id":1,"name":"Subdivision","value":"EC"},{"id":4,"name":"Milepost","value":"23.3264"},{"id":17,"name":"Train ID","value":"237-11"},{"id":16,"name":"Locomotive ID","value":"4034"},{"id":130,"name":"Impact","value":""},{"id":150,"name":"Time of Event (Mountain Time)","value":"23:36:01"},{"id":151,"name":"Denver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1"/>
      <c r="AL155" s="231"/>
      <c r="AM155" s="240" t="str">
        <f t="shared" si="37"/>
        <v>start /low /b %USERPROFILE%\Documents\GitHub\eaglep3\Utilities\DownloadLogsFromS3.py --loco 4034 --day 2018-01-11</v>
      </c>
      <c r="AN155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06:36:01"},{"id":29,"name":"Sharepoint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39"/>
        <v>https://d0f6bd738d7f1b3e5a7ca70fe4ff75f0.us-east-1.aws.found.io/app/kibana#/discover/Steve-Slow-Train-Analysis-(2080s-and-2083s)?_g=(refreshInterval:(display:Off,pause:!f,section:0,value:0),time:(from:'2018-01-11T21:56:09-0700',mode:absolute,to:'2018-01-12T00:36:01-0700'))&amp;_a=(columns:!('Message%20ID',Summary),filters:!(),index:'emp_*',interval:auto,query:(query_string:(analyze_wildcard:!t,query:'%22rtdc.l.rtdc.4034%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683</v>
      </c>
      <c r="B156" s="225">
        <v>4033</v>
      </c>
      <c r="C156" s="227" t="s">
        <v>191</v>
      </c>
      <c r="D156" s="227" t="s">
        <v>462</v>
      </c>
      <c r="E156" s="226">
        <v>43111.995057870372</v>
      </c>
      <c r="F156" s="226">
        <v>43111.998101851852</v>
      </c>
      <c r="G156" s="225">
        <v>58</v>
      </c>
      <c r="H156" s="227" t="s">
        <v>495</v>
      </c>
      <c r="I156" s="226">
        <v>43112.025173611109</v>
      </c>
      <c r="J156" s="225">
        <v>0</v>
      </c>
      <c r="K156" s="237" t="str">
        <f>IF(ISEVEN(B156),(B156-1)&amp;"/"&amp;B156,B156&amp;"/"&amp;(B156+1))</f>
        <v>4033/4034</v>
      </c>
      <c r="L156" s="245" t="str">
        <f>VLOOKUP(A156,'Trips&amp;Operators'!$C$1:$G$99911,5,FALSE)</f>
        <v>LORI SANTOS</v>
      </c>
      <c r="M156" s="224">
        <f>I156-F156</f>
        <v>2.7071759257523809E-2</v>
      </c>
      <c r="N156" s="225">
        <f>24*60*SUM($M156:$M156)</f>
        <v>38.983333330834284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Southbound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-11T22:52:53-0700',mode:absolute,to:'2018-01-12T01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>RIGHT(D156,LEN(D156)-4)/10000</f>
        <v>23.2942</v>
      </c>
      <c r="Z156" s="247">
        <f>RIGHT(H156,LEN(H156)-4)/10000</f>
        <v>2.23E-2</v>
      </c>
      <c r="AA156" s="247">
        <f>ABS(Z156-Y156)</f>
        <v>23.271899999999999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238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s3://rtdc.mdm.uploadarchive.raw/RTDC4033/ "%USERPROFILE%\AppData\Local\Temp\OnboardLogs"\RTDC4033\2018-01-11 --exclude "*" --recursive --include "*20180111*" &amp; "%USERPROFILE%\Documents\GitHub\mrs-test-scripts\Headless Mode &amp; Sideloading\WalkAndUnGZ.bat" "%USERPROFILE%\AppData\Local\Temp\OnboardLogs"\RTDC4033\2018-01-11 &amp; aws s3 cp s3://rtdc.mdm.uploadarchive.raw/RTDC4033/ "%USERPROFILE%\AppData\Local\Temp\OnboardLogs"\RTDC4033\2018-01-12 --exclude "*" --recursive --include "*20180112*" &amp; "%USERPROFILE%\Documents\GitHub\mrs-test-scripts\Headless Mode &amp; Sideloading\WalkAndUnGZ.bat" "%USERPROFILE%\AppData\Local\Temp\OnboardLogs"\RTDC4033\2018-01-12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/stypes="app*4033*20180112*" /stext=" 07:.+((SYSTEM_STATE.+slice.+state.+changed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35"/>
        <v>"%USERPROFILE%\Documents\GitHub\eaglep3\Utilities\RefineRTDCRunTimes.py" --tripid 238-11 --locoid 4033 --swversion DE.1.0.9.0 --startMP 204:232942 --initTime 2018-01-11T23:52:53 --startdatetime 2018-01-11T23:57:16 --delay 58 --endMP 204:223 --enddatetime 2018-01-12T00:36:15 --enforcementcount 0 &gt;&gt;%USERPROFILE%\Documents\GitHub\eaglep3-reporting\EC\2018-01-11-refined-times.txt</v>
      </c>
      <c r="AI156" s="238" t="str">
        <f t="shared" si="36"/>
        <v>echo {"issue":{"subject":"","project_id":79,"tracker_id":40,"status_id":1,"priority_id":2,"assigned_to_id":338,"start_date":"2018-01-12","description":"","custom_fields":[{"id":1,"name":"Subdivision","value":"EC"},{"id":4,"name":"Milepost","value":"0.0223"},{"id":17,"name":"Train ID","value":"238-11"},{"id":16,"name":"Locomotive ID","value":"4033"},{"id":130,"name":"Impact","value":""},{"id":150,"name":"Time of Event (Mountain Time)","value":"00:36:15"},{"id":151,"name":"Denver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37"/>
        <v>start /low /b %USERPROFILE%\Documents\GitHub\eaglep3\Utilities\DownloadLogsFromS3.py --loco 4033 --day 2018-01-11</v>
      </c>
      <c r="AN156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07:36:15"},{"id":29,"name":"Sharepoint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39"/>
        <v>https://d0f6bd738d7f1b3e5a7ca70fe4ff75f0.us-east-1.aws.found.io/app/kibana#/discover/Steve-Slow-Train-Analysis-(2080s-and-2083s)?_g=(refreshInterval:(display:Off,pause:!f,section:0,value:0),time:(from:'2018-01-11T22:52:53-0700',mode:absolute,to:'2018-01-12T01:36:15-0700'))&amp;_a=(columns:!('Message%20ID',Summary),filters:!(),index:'emp_*',interval:auto,query:(query_string:(analyze_wildcard:!t,query:'%22rtdc.l.rtdc.4033%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3" customFormat="1" x14ac:dyDescent="0.3">
      <c r="A157" s="229" t="s">
        <v>888</v>
      </c>
      <c r="B157" s="225">
        <v>4020</v>
      </c>
      <c r="C157" s="227" t="s">
        <v>191</v>
      </c>
      <c r="D157" s="227" t="s">
        <v>625</v>
      </c>
      <c r="E157" s="226">
        <v>43111.967002314814</v>
      </c>
      <c r="F157" s="226">
        <v>43111.97934027778</v>
      </c>
      <c r="G157" s="225">
        <v>179</v>
      </c>
      <c r="H157" s="227" t="s">
        <v>1000</v>
      </c>
      <c r="I157" s="226">
        <v>43112.004201388889</v>
      </c>
      <c r="J157" s="225">
        <v>0</v>
      </c>
      <c r="K157" s="237" t="str">
        <f>IF(ISEVEN(B157),(B157-1)&amp;"/"&amp;B157,B157&amp;"/"&amp;(B157+1))</f>
        <v>4019/4020</v>
      </c>
      <c r="L157" s="245" t="str">
        <f>VLOOKUP(A157,'Trips&amp;Operators'!$C$1:$G$99911,5,FALSE)</f>
        <v>LOZA FIDEL</v>
      </c>
      <c r="M157" s="224">
        <f>I157-F157</f>
        <v>2.4861111109203193E-2</v>
      </c>
      <c r="N157" s="225">
        <f>24*60*SUM($M157:$M157)</f>
        <v>35.799999997252598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NorthBound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-11T22:12:29-0700',mode:absolute,to:'2018-01-12T01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f>RIGHT(D157,LEN(D157)-4)/10000</f>
        <v>5.79E-2</v>
      </c>
      <c r="Z157" s="247">
        <f>RIGHT(H157,LEN(H157)-4)/10000</f>
        <v>23.344200000000001</v>
      </c>
      <c r="AA157" s="247">
        <f>ABS(Z157-Y157)</f>
        <v>23.286300000000001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239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s3://rtdc.mdm.uploadarchive.raw/RTDC4020/ "%USERPROFILE%\AppData\Local\Temp\OnboardLogs"\RTDC4020\2018-01-11 --exclude "*" --recursive --include "*20180111*" &amp; "%USERPROFILE%\Documents\GitHub\mrs-test-scripts\Headless Mode &amp; Sideloading\WalkAndUnGZ.bat" "%USERPROFILE%\AppData\Local\Temp\OnboardLogs"\RTDC4020\2018-01-11 &amp; aws s3 cp s3://rtdc.mdm.uploadarchive.raw/RTDC4020/ "%USERPROFILE%\AppData\Local\Temp\OnboardLogs"\RTDC4020\2018-01-12 --exclude "*" --recursive --include "*20180112*" &amp; "%USERPROFILE%\Documents\GitHub\mrs-test-scripts\Headless Mode &amp; Sideloading\WalkAndUnGZ.bat" "%USERPROFILE%\AppData\Local\Temp\OnboardLogs"\RTDC4020\2018-01-12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/stypes="app*4020*20180112*" /stext=" 07:.+((SYSTEM_STATE.+slice.+state.+changed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35"/>
        <v>"%USERPROFILE%\Documents\GitHub\eaglep3\Utilities\RefineRTDCRunTimes.py" --tripid 239-11 --locoid 4020 --swversion DE.1.0.9.0 --startMP 204:579 --initTime 2018-01-11T23:12:29 --startdatetime 2018-01-11T23:30:15 --delay 179 --endMP 204:233442 --enddatetime 2018-01-12T00:06:03 --enforcementcount 0 &gt;&gt;%USERPROFILE%\Documents\GitHub\eaglep3-reporting\EC\2018-01-11-refined-times.txt</v>
      </c>
      <c r="AI157" s="238" t="str">
        <f t="shared" si="36"/>
        <v>echo {"issue":{"subject":"","project_id":79,"tracker_id":40,"status_id":1,"priority_id":2,"assigned_to_id":338,"start_date":"2018-01-12","description":"","custom_fields":[{"id":1,"name":"Subdivision","value":"EC"},{"id":4,"name":"Milepost","value":"23.3442"},{"id":17,"name":"Train ID","value":"239-11"},{"id":16,"name":"Locomotive ID","value":"4020"},{"id":130,"name":"Impact","value":""},{"id":150,"name":"Time of Event (Mountain Time)","value":"00:06:03"},{"id":151,"name":"Denver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si="37"/>
        <v>start /low /b %USERPROFILE%\Documents\GitHub\eaglep3\Utilities\DownloadLogsFromS3.py --loco 4020 --day 2018-01-11</v>
      </c>
      <c r="AN157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07:06:03"},{"id":29,"name":"Sharepoint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39"/>
        <v>https://d0f6bd738d7f1b3e5a7ca70fe4ff75f0.us-east-1.aws.found.io/app/kibana#/discover/Steve-Slow-Train-Analysis-(2080s-and-2083s)?_g=(refreshInterval:(display:Off,pause:!f,section:0,value:0),time:(from:'2018-01-11T22:12:29-0700',mode:absolute,to:'2018-01-12T01:06:03-0700'))&amp;_a=(columns:!('Message%20ID',Summary),filters:!(),index:'emp_*',interval:auto,query:(query_string:(analyze_wildcard:!t,query:'%22rtdc.l.rtdc.4020%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893</v>
      </c>
      <c r="B158" s="225">
        <v>4019</v>
      </c>
      <c r="C158" s="227" t="s">
        <v>191</v>
      </c>
      <c r="D158" s="227" t="s">
        <v>1001</v>
      </c>
      <c r="E158" s="226">
        <v>43112.016284722224</v>
      </c>
      <c r="F158" s="226">
        <v>43112.01898148148</v>
      </c>
      <c r="G158" s="225">
        <v>69</v>
      </c>
      <c r="H158" s="227" t="s">
        <v>555</v>
      </c>
      <c r="I158" s="226">
        <v>43112.044259259259</v>
      </c>
      <c r="J158" s="225">
        <v>0</v>
      </c>
      <c r="K158" s="237" t="str">
        <f>IF(ISEVEN(B158),(B158-1)&amp;"/"&amp;B158,B158&amp;"/"&amp;(B158+1))</f>
        <v>4019/4020</v>
      </c>
      <c r="L158" s="245" t="str">
        <f>VLOOKUP(A158,'Trips&amp;Operators'!$C$1:$G$99911,5,FALSE)</f>
        <v>LOZA FIDEL</v>
      </c>
      <c r="M158" s="224">
        <f>I158-F158</f>
        <v>2.527777777868323E-2</v>
      </c>
      <c r="N158" s="225">
        <f>24*60*SUM($M158:$M158)</f>
        <v>36.400000001303852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-11T23:23:27-0700',mode:absolute,to:'2018-01-12T02:03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8" s="247" t="str">
        <f>IF(AA158&lt;VLOOKUP(AG158,Variables!$AC$3:$AD$8,2,FALSE),"Y","N")</f>
        <v>N</v>
      </c>
      <c r="X158" s="247">
        <f>VALUE(LEFT(AD158,4))-VALUE(LEFT(AD157,4))</f>
        <v>1</v>
      </c>
      <c r="Y158" s="247">
        <f>RIGHT(D158,LEN(D158)-4)/10000</f>
        <v>23.311</v>
      </c>
      <c r="Z158" s="247">
        <f>RIGHT(H158,LEN(H158)-4)/10000</f>
        <v>2.47E-2</v>
      </c>
      <c r="AA158" s="247">
        <f>ABS(Z158-Y158)</f>
        <v>23.286300000000001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240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s3://rtdc.mdm.uploadarchive.raw/RTDC4019/ "%USERPROFILE%\AppData\Local\Temp\OnboardLogs"\RTDC4019\2018-01-12 --exclude "*" --recursive --include "*20180112*" &amp; "%USERPROFILE%\Documents\GitHub\mrs-test-scripts\Headless Mode &amp; Sideloading\WalkAndUnGZ.bat" "%USERPROFILE%\AppData\Local\Temp\OnboardLogs"\RTDC4019\2018-01-12 &amp; aws s3 cp s3://rtdc.mdm.uploadarchive.raw/RTDC4019/ "%USERPROFILE%\AppData\Local\Temp\OnboardLogs"\RTDC4019\2018-01-13 --exclude "*" --recursive --include "*20180113*" &amp; "%USERPROFILE%\Documents\GitHub\mrs-test-scripts\Headless Mode &amp; Sideloading\WalkAndUnGZ.bat" "%USERPROFILE%\AppData\Local\Temp\OnboardLogs"\RTDC4019\2018-01-13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/stypes="app*4019*20180112*" /stext=" 08:.+((SYSTEM_STATE.+slice.+state.+changed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si="35"/>
        <v>"%USERPROFILE%\Documents\GitHub\eaglep3\Utilities\RefineRTDCRunTimes.py" --tripid 240-11 --locoid 4019 --swversion DE.1.0.9.0 --startMP 204:233110 --initTime 2018-01-12T00:23:27 --startdatetime 2018-01-12T00:27:20 --delay 69 --endMP 204:247 --enddatetime 2018-01-12T01:03:44 --enforcementcount 0 &gt;&gt;%USERPROFILE%\Documents\GitHub\eaglep3-reporting\EC\2018-01-11-refined-times.txt</v>
      </c>
      <c r="AI158" s="238" t="str">
        <f t="shared" si="36"/>
        <v>echo {"issue":{"subject":"","project_id":79,"tracker_id":40,"status_id":1,"priority_id":2,"assigned_to_id":338,"start_date":"2018-01-12","description":"","custom_fields":[{"id":1,"name":"Subdivision","value":"EC"},{"id":4,"name":"Milepost","value":"0.0247"},{"id":17,"name":"Train ID","value":"240-11"},{"id":16,"name":"Locomotive ID","value":"4019"},{"id":130,"name":"Impact","value":""},{"id":150,"name":"Time of Event (Mountain Time)","value":"01:03:44"},{"id":151,"name":"Denver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si="37"/>
        <v>start /low /b %USERPROFILE%\Documents\GitHub\eaglep3\Utilities\DownloadLogsFromS3.py --loco 4019 --day 2018-01-12</v>
      </c>
      <c r="AN158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08:03:44"},{"id":29,"name":"Sharepoint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39"/>
        <v>https://d0f6bd738d7f1b3e5a7ca70fe4ff75f0.us-east-1.aws.found.io/app/kibana#/discover/Steve-Slow-Train-Analysis-(2080s-and-2083s)?_g=(refreshInterval:(display:Off,pause:!f,section:0,value:0),time:(from:'2018-01-11T23:23:27-0700',mode:absolute,to:'2018-01-12T02:03:44-0700'))&amp;_a=(columns:!('Message%20ID',Summary),filters:!(),index:'emp_*',interval:auto,query:(query_string:(analyze_wildcard:!t,query:'%22rtdc.l.rtdc.4019%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3" customFormat="1" x14ac:dyDescent="0.3">
      <c r="A159" s="229" t="s">
        <v>891</v>
      </c>
      <c r="B159" s="225">
        <v>4056</v>
      </c>
      <c r="C159" s="227" t="s">
        <v>191</v>
      </c>
      <c r="D159" s="227" t="s">
        <v>989</v>
      </c>
      <c r="E159" s="226">
        <v>43111.98878472222</v>
      </c>
      <c r="F159" s="226">
        <v>43112.000150462962</v>
      </c>
      <c r="G159" s="225">
        <v>51</v>
      </c>
      <c r="H159" s="227" t="s">
        <v>1002</v>
      </c>
      <c r="I159" s="226">
        <v>43112.024259259262</v>
      </c>
      <c r="J159" s="225">
        <v>0</v>
      </c>
      <c r="K159" s="237" t="str">
        <f>IF(ISEVEN(B159),(B159-1)&amp;"/"&amp;B159,B159&amp;"/"&amp;(B159+1))</f>
        <v>4055/4056</v>
      </c>
      <c r="L159" s="245" t="str">
        <f>VLOOKUP(A159,'Trips&amp;Operators'!$C$1:$G$99911,5,FALSE)</f>
        <v>ELBAUM MIKE</v>
      </c>
      <c r="M159" s="224">
        <f>I159-F159</f>
        <v>2.4108796300424729E-2</v>
      </c>
      <c r="N159" s="225">
        <f>24*60*SUM($M159:$M159)</f>
        <v>34.716666672611609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-11T22:43:51-0700',mode:absolute,to:'2018-01-12T01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9" s="247" t="str">
        <f>IF(AA159&lt;VLOOKUP(AG159,Variables!$AC$3:$AD$8,2,FALSE),"Y","N")</f>
        <v>N</v>
      </c>
      <c r="X159" s="247">
        <f>VALUE(LEFT(AD159,4))-VALUE(LEFT(AD158,4))</f>
        <v>1</v>
      </c>
      <c r="Y159" s="247">
        <f>RIGHT(D159,LEN(D159)-4)/10000</f>
        <v>5.4899999999999997E-2</v>
      </c>
      <c r="Z159" s="247">
        <f>RIGHT(H159,LEN(H159)-4)/10000</f>
        <v>23.333600000000001</v>
      </c>
      <c r="AA159" s="247">
        <f>ABS(Z159-Y159)</f>
        <v>23.278700000000001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241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 &amp; aws s3 cp s3://rtdc.mdm.uploadarchive.raw/RTDC4056/ "%USERPROFILE%\AppData\Local\Temp\OnboardLogs"\RTDC4056\2018-01-13 --exclude "*" --recursive --include "*20180113*" &amp; "%USERPROFILE%\Documents\GitHub\mrs-test-scripts\Headless Mode &amp; Sideloading\WalkAndUnGZ.bat" "%USERPROFILE%\AppData\Local\Temp\OnboardLogs"\RTDC4056\2018-01-13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/stypes="app*4056*20180112*" /stext=" 07:.+((SYSTEM_STATE.+slice.+state.+changed )|(ment ac)|(multiple cpu faults)|(system.+state.+changed )|(\[timeout)|(PRM\|1\|D)|(kpr)|(kdp)|(train st.+moving)|(\|lc)|(penalty))"</v>
      </c>
      <c r="AG159" s="244" t="str">
        <f>DetSubdiv(A159)</f>
        <v>EC</v>
      </c>
      <c r="AH159" s="236" t="str">
        <f t="shared" si="35"/>
        <v>"%USERPROFILE%\Documents\GitHub\eaglep3\Utilities\RefineRTDCRunTimes.py" --tripid 241-11 --locoid 4056 --swversion DE.1.0.9.0 --startMP 204:549 --initTime 2018-01-11T23:43:51 --startdatetime 2018-01-12T00:00:13 --delay 51 --endMP 204:233336 --enddatetime 2018-01-12T00:34:56 --enforcementcount 0 &gt;&gt;%USERPROFILE%\Documents\GitHub\eaglep3-reporting\EC\2018-01-11-refined-times.txt</v>
      </c>
      <c r="AI159" s="238" t="str">
        <f t="shared" si="36"/>
        <v>echo {"issue":{"subject":"","project_id":79,"tracker_id":40,"status_id":1,"priority_id":2,"assigned_to_id":338,"start_date":"2018-01-12","description":"","custom_fields":[{"id":1,"name":"Subdivision","value":"EC"},{"id":4,"name":"Milepost","value":"23.3336"},{"id":17,"name":"Train ID","value":"241-11"},{"id":16,"name":"Locomotive ID","value":"4056"},{"id":130,"name":"Impact","value":""},{"id":150,"name":"Time of Event (Mountain Time)","value":"00:34:56"},{"id":151,"name":"Denver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si="37"/>
        <v>start /low /b %USERPROFILE%\Documents\GitHub\eaglep3\Utilities\DownloadLogsFromS3.py --loco 4056 --day 2018-01-12</v>
      </c>
      <c r="AN159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07:34:56"},{"id":29,"name":"Sharepoint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39"/>
        <v>https://d0f6bd738d7f1b3e5a7ca70fe4ff75f0.us-east-1.aws.found.io/app/kibana#/discover/Steve-Slow-Train-Analysis-(2080s-and-2083s)?_g=(refreshInterval:(display:Off,pause:!f,section:0,value:0),time:(from:'2018-01-11T22:43:51-0700',mode:absolute,to:'2018-01-12T01:34:56-0700'))&amp;_a=(columns:!('Message%20ID',Summary),filters:!(),index:'emp_*',interval:auto,query:(query_string:(analyze_wildcard:!t,query:'%22rtdc.l.rtdc.4056%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3">
      <c r="A160" s="229" t="s">
        <v>894</v>
      </c>
      <c r="B160" s="225">
        <v>4055</v>
      </c>
      <c r="C160" s="227" t="s">
        <v>191</v>
      </c>
      <c r="D160" s="227" t="s">
        <v>482</v>
      </c>
      <c r="E160" s="226">
        <v>43112.025289351855</v>
      </c>
      <c r="F160" s="226">
        <v>43112.039884259262</v>
      </c>
      <c r="G160" s="225">
        <v>63</v>
      </c>
      <c r="H160" s="227" t="s">
        <v>991</v>
      </c>
      <c r="I160" s="226">
        <v>43112.066979166666</v>
      </c>
      <c r="J160" s="225">
        <v>0</v>
      </c>
      <c r="K160" s="237" t="str">
        <f>IF(ISEVEN(B160),(B160-1)&amp;"/"&amp;B160,B160&amp;"/"&amp;(B160+1))</f>
        <v>4055/4056</v>
      </c>
      <c r="L160" s="245" t="str">
        <f>VLOOKUP(A160,'Trips&amp;Operators'!$C$1:$G$99911,5,FALSE)</f>
        <v>ELBAUM MIKE</v>
      </c>
      <c r="M160" s="224">
        <f>I160-F160</f>
        <v>2.7094907403807156E-2</v>
      </c>
      <c r="N160" s="225">
        <f>24*60*SUM($M160:$M160)</f>
        <v>39.016666661482304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-11T23:36:25-0700',mode:absolute,to:'2018-01-12T02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0" s="247" t="str">
        <f>IF(AA160&lt;VLOOKUP(AG160,Variables!$AC$3:$AD$8,2,FALSE),"Y","N")</f>
        <v>N</v>
      </c>
      <c r="X160" s="247">
        <f>VALUE(LEFT(AD160,4))-VALUE(LEFT(AD159,4))</f>
        <v>1</v>
      </c>
      <c r="Y160" s="247">
        <f>RIGHT(D160,LEN(D160)-4)/10000</f>
        <v>23.3</v>
      </c>
      <c r="Z160" s="247">
        <f>RIGHT(H160,LEN(H160)-4)/10000</f>
        <v>2.8500000000000001E-2</v>
      </c>
      <c r="AA160" s="247">
        <f>ABS(Z160-Y160)</f>
        <v>23.2715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242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 &amp; aws s3 cp s3://rtdc.mdm.uploadarchive.raw/RTDC4055/ "%USERPROFILE%\AppData\Local\Temp\OnboardLogs"\RTDC4055\2018-01-13 --exclude "*" --recursive --include "*20180113*" &amp; "%USERPROFILE%\Documents\GitHub\mrs-test-scripts\Headless Mode &amp; Sideloading\WalkAndUnGZ.bat" "%USERPROFILE%\AppData\Local\Temp\OnboardLogs"\RTDC4055\2018-01-13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/stypes="app*4055*20180112*" /stext=" 08:.+((SYSTEM_STATE.+slice.+state.+changed )|(ment ac)|(multiple cpu faults)|(system.+state.+changed )|(\[timeout)|(PRM\|1\|D)|(kpr)|(kdp)|(train st.+moving)|(\|lc)|(penalty))"</v>
      </c>
      <c r="AG160" s="244" t="str">
        <f>DetSubdiv(A160)</f>
        <v>EC</v>
      </c>
      <c r="AH160" s="236" t="str">
        <f t="shared" si="35"/>
        <v>"%USERPROFILE%\Documents\GitHub\eaglep3\Utilities\RefineRTDCRunTimes.py" --tripid 242-11 --locoid 4055 --swversion DE.1.0.9.0 --startMP 204:233000 --initTime 2018-01-12T00:36:25 --startdatetime 2018-01-12T00:57:26 --delay 63 --endMP 204:285 --enddatetime 2018-01-12T01:36:27 --enforcementcount 0 &gt;&gt;%USERPROFILE%\Documents\GitHub\eaglep3-reporting\EC\2018-01-11-refined-times.txt</v>
      </c>
      <c r="AI160" s="238" t="str">
        <f t="shared" si="36"/>
        <v>echo {"issue":{"subject":"","project_id":79,"tracker_id":40,"status_id":1,"priority_id":2,"assigned_to_id":338,"start_date":"2018-01-12","description":"","custom_fields":[{"id":1,"name":"Subdivision","value":"EC"},{"id":4,"name":"Milepost","value":"0.0285"},{"id":17,"name":"Train ID","value":"242-11"},{"id":16,"name":"Locomotive ID","value":"4055"},{"id":130,"name":"Impact","value":""},{"id":150,"name":"Time of Event (Mountain Time)","value":"01:36:27"},{"id":151,"name":"Denver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si="37"/>
        <v>start /low /b %USERPROFILE%\Documents\GitHub\eaglep3\Utilities\DownloadLogsFromS3.py --loco 4055 --day 2018-01-12</v>
      </c>
      <c r="AN160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08:36:27"},{"id":29,"name":"Sharepoint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39"/>
        <v>https://d0f6bd738d7f1b3e5a7ca70fe4ff75f0.us-east-1.aws.found.io/app/kibana#/discover/Steve-Slow-Train-Analysis-(2080s-and-2083s)?_g=(refreshInterval:(display:Off,pause:!f,section:0,value:0),time:(from:'2018-01-11T23:36:25-0700',mode:absolute,to:'2018-01-12T02:36:27-0700'))&amp;_a=(columns:!('Message%20ID',Summary),filters:!(),index:'emp_*',interval:auto,query:(query_string:(analyze_wildcard:!t,query:'%22rtdc.l.rtdc.4055%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3">
      <c r="A161" s="229" t="s">
        <v>892</v>
      </c>
      <c r="B161" s="225">
        <v>4012</v>
      </c>
      <c r="C161" s="227" t="s">
        <v>191</v>
      </c>
      <c r="D161" s="227" t="s">
        <v>482</v>
      </c>
      <c r="E161" s="226">
        <v>43112.025289351855</v>
      </c>
      <c r="F161" s="226">
        <v>43112.021087962959</v>
      </c>
      <c r="G161" s="225">
        <v>63</v>
      </c>
      <c r="H161" s="227" t="s">
        <v>991</v>
      </c>
      <c r="I161" s="226">
        <v>43112.04614583333</v>
      </c>
      <c r="J161" s="225">
        <v>0</v>
      </c>
      <c r="K161" s="237" t="str">
        <f>IF(ISEVEN(B161),(B161-1)&amp;"/"&amp;B161,B161&amp;"/"&amp;(B161+1))</f>
        <v>4011/4012</v>
      </c>
      <c r="L161" s="245" t="str">
        <f>VLOOKUP(A161,'Trips&amp;Operators'!$C$1:$G$99911,5,FALSE)</f>
        <v>NICHOLSON WESLEY</v>
      </c>
      <c r="M161" s="224">
        <f>I161-F161</f>
        <v>2.5057870370801538E-2</v>
      </c>
      <c r="N161" s="225">
        <f>24*60*SUM($M161:$M161)</f>
        <v>36.083333333954215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2018-01-11T23:36:25-0700',mode:absolute,to:'2018-01-12T02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1" s="247" t="str">
        <f>IF(AA161&lt;VLOOKUP(AG161,Variables!$AC$3:$AD$8,2,FALSE),"Y","N")</f>
        <v>N</v>
      </c>
      <c r="X161" s="247">
        <f>VALUE(LEFT(AD161,4))-VALUE(LEFT(AD160,4))</f>
        <v>1</v>
      </c>
      <c r="Y161" s="247">
        <v>7.9000000000000001E-2</v>
      </c>
      <c r="Z161" s="247">
        <v>23.3185</v>
      </c>
      <c r="AA161" s="247">
        <f>ABS(Z161-Y161)</f>
        <v>23.2395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243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s3://rtdc.mdm.uploadarchive.raw/RTDC4012/ "%USERPROFILE%\AppData\Local\Temp\OnboardLogs"\RTDC4012\2018-01-12 --exclude "*" --recursive --include "*20180112*" &amp; "%USERPROFILE%\Documents\GitHub\mrs-test-scripts\Headless Mode &amp; Sideloading\WalkAndUnGZ.bat" "%USERPROFILE%\AppData\Local\Temp\OnboardLogs"\RTDC4012\2018-01-12 &amp; 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/stypes="app*4012*20180112*" /stext=" 08:.+((SYSTEM_STATE.+slice.+state.+changed )|(ment ac)|(multiple cpu faults)|(system.+state.+changed )|(\[timeout)|(PRM\|1\|D)|(kpr)|(kdp)|(train st.+moving)|(\|lc)|(penalty))"</v>
      </c>
      <c r="AG161" s="244" t="str">
        <f>DetSubdiv(A161)</f>
        <v>EC</v>
      </c>
      <c r="AH161" s="236" t="str">
        <f t="shared" ref="AH161" si="57"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243-11 --locoid 4012 --swversion DE.1.0.9.0 --startMP 204:233000 --initTime 2018-01-12T00:36:25 --startdatetime 2018-01-12T00:30:22 --delay 63 --endMP 204:285 --enddatetime 2018-01-12T01:06:27 --enforcementcount 0 &gt;&gt;%USERPROFILE%\Documents\GitHub\eaglep3-reporting\EC\2018-01-11-refined-times.txt</v>
      </c>
      <c r="AI161" s="238" t="str">
        <f t="shared" ref="AI161" si="58"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{"issue":{"subject":"","project_id":79,"tracker_id":40,"status_id":1,"priority_id":2,"assigned_to_id":338,"start_date":"2018-01-12","description":"","custom_fields":[{"id":1,"name":"Subdivision","value":"EC"},{"id":4,"name":"Milepost","value":"23.3185"},{"id":17,"name":"Train ID","value":"243-11"},{"id":16,"name":"Locomotive ID","value":"4012"},{"id":130,"name":"Impact","value":""},{"id":150,"name":"Time of Event (Mountain Time)","value":"01:06:27"},{"id":151,"name":"Denver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ref="AM161" si="59">"start /low /b "&amp;dls3logs&amp;" --loco "&amp;B161&amp;" --day "&amp;TEXT(F161,"YYYY-MM-DD")</f>
        <v>start /low /b %USERPROFILE%\Documents\GitHub\eaglep3\Utilities\DownloadLogsFromS3.py --loco 4012 --day 2018-01-12</v>
      </c>
      <c r="AN161" s="241" t="str">
        <f t="shared" ref="AN161" si="60"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08:06:27"},{"id":29,"name":"Sharepoint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ref="AO161" si="61"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2018-01-11T23:36:25-0700',mode:absolute,to:'2018-01-12T02:06:27-0700'))&amp;_a=(columns:!('Message%20ID',Summary),filters:!(),index:'emp_*',interval:auto,query:(query_string:(analyze_wildcard:!t,query:'%22rtdc.l.rtdc.4012%22')),sort:!(Time.ISO8601,asc))</v>
      </c>
    </row>
    <row r="162" spans="1:91" s="223" customFormat="1" x14ac:dyDescent="0.3">
      <c r="A162" s="229" t="s">
        <v>897</v>
      </c>
      <c r="B162" s="225">
        <v>4011</v>
      </c>
      <c r="C162" s="227" t="s">
        <v>191</v>
      </c>
      <c r="D162" s="227" t="s">
        <v>1003</v>
      </c>
      <c r="E162" s="226">
        <v>43112.056006944447</v>
      </c>
      <c r="F162" s="226">
        <v>43112.060717592591</v>
      </c>
      <c r="G162" s="225">
        <v>59</v>
      </c>
      <c r="H162" s="227" t="s">
        <v>619</v>
      </c>
      <c r="I162" s="226">
        <v>43112.088020833333</v>
      </c>
      <c r="J162" s="225">
        <v>0</v>
      </c>
      <c r="K162" s="237" t="str">
        <f>IF(ISEVEN(B162),(B162-1)&amp;"/"&amp;B162,B162&amp;"/"&amp;(B162+1))</f>
        <v>4011/4012</v>
      </c>
      <c r="L162" s="245" t="str">
        <f>VLOOKUP(A162,'Trips&amp;Operators'!$C$1:$G$99911,5,FALSE)</f>
        <v>NICHOLSON WESLEY</v>
      </c>
      <c r="M162" s="224">
        <f>I162-F162</f>
        <v>2.7303240742185153E-2</v>
      </c>
      <c r="N162" s="225">
        <f>24*60*SUM($M162:$M162)</f>
        <v>39.31666666874662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2018-01-12T00:20:39-0700',mode:absolute,to:'2018-01-12T03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2" s="247" t="str">
        <f>IF(AA162&lt;VLOOKUP(AG162,Variables!$AC$3:$AD$8,2,FALSE),"Y","N")</f>
        <v>N</v>
      </c>
      <c r="X162" s="247">
        <f>VALUE(LEFT(AD162,4))-VALUE(LEFT(AD161,4))</f>
        <v>1</v>
      </c>
      <c r="Y162" s="247">
        <f>RIGHT(D162,LEN(D162)-4)/10000</f>
        <v>23.287199999999999</v>
      </c>
      <c r="Z162" s="247">
        <f>RIGHT(H162,LEN(H162)-4)/10000</f>
        <v>2.5100000000000001E-2</v>
      </c>
      <c r="AA162" s="247">
        <f>ABS(Z162-Y162)</f>
        <v>23.2621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244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s3://rtdc.mdm.uploadarchive.raw/RTDC4011/ "%USERPROFILE%\AppData\Local\Temp\OnboardLogs"\RTDC4011\2018-01-12 --exclude "*" --recursive --include "*20180112*" &amp; "%USERPROFILE%\Documents\GitHub\mrs-test-scripts\Headless Mode &amp; Sideloading\WalkAndUnGZ.bat" "%USERPROFILE%\AppData\Local\Temp\OnboardLogs"\RTDC4011\2018-01-12 &amp; aws s3 cp s3://rtdc.mdm.uploadarchive.raw/RTDC4011/ "%USERPROFILE%\AppData\Local\Temp\OnboardLogs"\RTDC4011\2018-01-13 --exclude "*" --recursive --include "*20180113*" &amp; "%USERPROFILE%\Documents\GitHub\mrs-test-scripts\Headless Mode &amp; Sideloading\WalkAndUnGZ.bat" "%USERPROFILE%\AppData\Local\Temp\OnboardLogs"\RTDC4011\2018-01-13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/stypes="app*4011*20180112*" /stext=" 09:.+((SYSTEM_STATE.+slice.+state.+changed )|(ment ac)|(multiple cpu faults)|(system.+state.+changed )|(\[timeout)|(PRM\|1\|D)|(kpr)|(kdp)|(train st.+moving)|(\|lc)|(penalty))"</v>
      </c>
      <c r="AG162" s="244" t="str">
        <f>DetSubdiv(A162)</f>
        <v>EC</v>
      </c>
      <c r="AH162" s="236" t="str">
        <f t="shared" si="35"/>
        <v>"%USERPROFILE%\Documents\GitHub\eaglep3\Utilities\RefineRTDCRunTimes.py" --tripid 244-11 --locoid 4011 --swversion DE.1.0.9.0 --startMP 204:232872 --initTime 2018-01-12T01:20:39 --startdatetime 2018-01-12T01:27:26 --delay 59 --endMP 204:251 --enddatetime 2018-01-12T02:06:45 --enforcementcount 0 &gt;&gt;%USERPROFILE%\Documents\GitHub\eaglep3-reporting\EC\2018-01-11-refined-times.txt</v>
      </c>
      <c r="AI162" s="238" t="str">
        <f t="shared" si="36"/>
        <v>echo {"issue":{"subject":"","project_id":79,"tracker_id":40,"status_id":1,"priority_id":2,"assigned_to_id":338,"start_date":"2018-01-12","description":"","custom_fields":[{"id":1,"name":"Subdivision","value":"EC"},{"id":4,"name":"Milepost","value":"0.0251"},{"id":17,"name":"Train ID","value":"244-11"},{"id":16,"name":"Locomotive ID","value":"4011"},{"id":130,"name":"Impact","value":""},{"id":150,"name":"Time of Event (Mountain Time)","value":"02:06:45"},{"id":151,"name":"Denver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37"/>
        <v>start /low /b %USERPROFILE%\Documents\GitHub\eaglep3\Utilities\DownloadLogsFromS3.py --loco 4011 --day 2018-01-12</v>
      </c>
      <c r="AN162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09:06:45"},{"id":29,"name":"Sharepoint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39"/>
        <v>https://d0f6bd738d7f1b3e5a7ca70fe4ff75f0.us-east-1.aws.found.io/app/kibana#/discover/Steve-Slow-Train-Analysis-(2080s-and-2083s)?_g=(refreshInterval:(display:Off,pause:!f,section:0,value:0),time:(from:'2018-01-12T00:20:39-0700',mode:absolute,to:'2018-01-12T03:06:45-0700'))&amp;_a=(columns:!('Message%20ID',Summary),filters:!(),index:'emp_*',interval:auto,query:(query_string:(analyze_wildcard:!t,query:'%22rtdc.l.rtdc.4011%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705</v>
      </c>
      <c r="B163" s="225">
        <v>4013</v>
      </c>
      <c r="C163" s="227" t="s">
        <v>191</v>
      </c>
      <c r="D163" s="227" t="s">
        <v>1053</v>
      </c>
      <c r="E163" s="226">
        <v>43111.210381944446</v>
      </c>
      <c r="F163" s="226">
        <v>43111.213043981479</v>
      </c>
      <c r="G163" s="225">
        <v>120</v>
      </c>
      <c r="H163" s="227" t="s">
        <v>472</v>
      </c>
      <c r="I163" s="226">
        <v>43111.227002314816</v>
      </c>
      <c r="J163" s="225">
        <v>0</v>
      </c>
      <c r="K163" s="237" t="str">
        <f>IF(ISEVEN(B163),(B163-1)&amp;"/"&amp;B163,B163&amp;"/"&amp;(B163+1))</f>
        <v>4013/4014</v>
      </c>
      <c r="L163" s="245" t="str">
        <f>VLOOKUP(A163,'Trips&amp;Operators'!$C$1:$G$99911,5,FALSE)</f>
        <v>LOPES KIMBERLY</v>
      </c>
      <c r="M163" s="224">
        <f>I163-F163</f>
        <v>1.3958333336631767E-2</v>
      </c>
      <c r="N163" s="225">
        <f>24*60*SUM($M163:$M163)</f>
        <v>20.100000004749745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Southbound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2018-01-11T04:02:57-0700',mode:absolute,to:'2018-01-11T06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3" s="247" t="str">
        <f>IF(AA163&lt;VLOOKUP(AG163,Variables!$AC$3:$AD$8,2,FALSE),"Y","N")</f>
        <v>N</v>
      </c>
      <c r="X163" s="247">
        <f>VALUE(LEFT(AD163,4))-VALUE(LEFT(AD162,4))</f>
        <v>556</v>
      </c>
      <c r="Y163" s="247">
        <f>RIGHT(D163,LEN(D163)-4)/10000</f>
        <v>5.8635999999999999</v>
      </c>
      <c r="Z163" s="247">
        <f>RIGHT(H163,LEN(H163)-4)/10000</f>
        <v>1.49E-2</v>
      </c>
      <c r="AA163" s="247">
        <f>ABS(Z163-Y163)</f>
        <v>5.8487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800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s3://rtdc.mdm.uploadarchive.raw/RTDC4013/ "%USERPROFILE%\AppData\Local\Temp\OnboardLogs"\RTDC4013\2018-01-11 --exclude "*" --recursive --include "*20180111*" &amp; "%USERPROFILE%\Documents\GitHub\mrs-test-scripts\Headless Mode &amp; Sideloading\WalkAndUnGZ.bat" "%USERPROFILE%\AppData\Local\Temp\OnboardLogs"\RTDC4013\2018-01-11 &amp; aws s3 cp s3://rtdc.mdm.uploadarchive.raw/RTDC4013/ "%USERPROFILE%\AppData\Local\Temp\OnboardLogs"\RTDC4013\2018-01-12 --exclude "*" --recursive --include "*20180112*" &amp; "%USERPROFILE%\Documents\GitHub\mrs-test-scripts\Headless Mode &amp; Sideloading\WalkAndUnGZ.bat" "%USERPROFILE%\AppData\Local\Temp\OnboardLogs"\RTDC4013\2018-01-12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/stypes="app*4013*20180111*" /stext=" 12:.+((SYSTEM_STATE.+slice.+state.+changed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35"/>
        <v>"%USERPROFILE%\Documents\GitHub\eaglep3\Utilities\RefineRTDCRunTimes.py" --tripid 800-11 --locoid 4013 --swversion DE.1.0.9.0 --startMP 300:58636 --initTime 2018-01-11T05:02:57 --startdatetime 2018-01-11T05:06:47 --delay 120 --endMP 204:149 --enddatetime 2018-01-11T05:26:53 --enforcementcount 0 &gt;&gt;%USERPROFILE%\Documents\GitHub\eaglep3-reporting\EC\2018-01-11-refined-times.txt</v>
      </c>
      <c r="AI163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{"issue":{"subject":"","project_id":79,"tracker_id":40,"status_id":1,"priority_id":2,"assigned_to_id":338,"start_date":"2018-01-11","description":"","custom_fields":[{"id":1,"name":"Subdivision","value":"NW"},{"id":4,"name":"Milepost","value":"0.0149"},{"id":17,"name":"Train ID","value":"800-11"},{"id":16,"name":"Locomotive ID","value":"4013"},{"id":130,"name":"Impact","value":""},{"id":150,"name":"Time of Event (Mountain Time)","value":"05:26:53"},{"id":151,"name":"Denver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37"/>
        <v>start /low /b %USERPROFILE%\Documents\GitHub\eaglep3\Utilities\DownloadLogsFromS3.py --loco 4013 --day 2018-01-11</v>
      </c>
      <c r="AN163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12:26:53"},{"id":29,"name":"Sharepoint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39"/>
        <v>https://d0f6bd738d7f1b3e5a7ca70fe4ff75f0.us-east-1.aws.found.io/app/kibana#/discover/Steve-Slow-Train-Analysis-(2080s-and-2083s)?_g=(refreshInterval:(display:Off,pause:!f,section:0,value:0),time:(from:'2018-01-11T04:02:57-0700',mode:absolute,to:'2018-01-11T06:26:53-0700'))&amp;_a=(columns:!('Message%20ID',Summary),filters:!(),index:'emp_*',interval:auto,query:(query_string:(analyze_wildcard:!t,query:'%22rtdc.l.rtdc.4013%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712</v>
      </c>
      <c r="B164" s="225">
        <v>4014</v>
      </c>
      <c r="C164" s="227" t="s">
        <v>191</v>
      </c>
      <c r="D164" s="227" t="s">
        <v>530</v>
      </c>
      <c r="E164" s="226">
        <v>43111.229930555557</v>
      </c>
      <c r="F164" s="226">
        <v>43111.235601851855</v>
      </c>
      <c r="G164" s="225">
        <v>49</v>
      </c>
      <c r="H164" s="227" t="s">
        <v>1054</v>
      </c>
      <c r="I164" s="226">
        <v>43111.245821759258</v>
      </c>
      <c r="J164" s="225">
        <v>0</v>
      </c>
      <c r="K164" s="237" t="str">
        <f>IF(ISEVEN(B164),(B164-1)&amp;"/"&amp;B164,B164&amp;"/"&amp;(B164+1))</f>
        <v>4013/4014</v>
      </c>
      <c r="L164" s="245" t="str">
        <f>VLOOKUP(A164,'Trips&amp;Operators'!$C$1:$G$99911,5,FALSE)</f>
        <v>LOPES KIMBERLY</v>
      </c>
      <c r="M164" s="224">
        <f>I164-F164</f>
        <v>1.0219907402643003E-2</v>
      </c>
      <c r="N164" s="225">
        <f>24*60*SUM($M164:$M164)</f>
        <v>14.716666659805924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NorthBound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2018-01-11T04:31:06-0700',mode:absolute,to:'2018-01-11T06:53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4" s="247" t="str">
        <f>IF(AA164&lt;VLOOKUP(AG164,Variables!$AC$3:$AD$8,2,FALSE),"Y","N")</f>
        <v>N</v>
      </c>
      <c r="X164" s="247">
        <f>VALUE(LEFT(AD164,4))-VALUE(LEFT(AD163,4))</f>
        <v>1</v>
      </c>
      <c r="Y164" s="247">
        <f>RIGHT(D164,LEN(D164)-4)/10000</f>
        <v>4.48E-2</v>
      </c>
      <c r="Z164" s="247">
        <f>RIGHT(H164,LEN(H164)-4)/10000</f>
        <v>5.8964999999999996</v>
      </c>
      <c r="AA164" s="247">
        <f>ABS(Z164-Y164)</f>
        <v>5.8516999999999992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801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s3://rtdc.mdm.uploadarchive.raw/RTDC4014/ "%USERPROFILE%\AppData\Local\Temp\OnboardLogs"\RTDC4014\2018-01-11 --exclude "*" --recursive --include "*20180111*" &amp; "%USERPROFILE%\Documents\GitHub\mrs-test-scripts\Headless Mode &amp; Sideloading\WalkAndUnGZ.bat" "%USERPROFILE%\AppData\Local\Temp\OnboardLogs"\RTDC4014\2018-01-11 &amp; aws s3 cp s3://rtdc.mdm.uploadarchive.raw/RTDC4014/ "%USERPROFILE%\AppData\Local\Temp\OnboardLogs"\RTDC4014\2018-01-12 --exclude "*" --recursive --include "*20180112*" &amp; "%USERPROFILE%\Documents\GitHub\mrs-test-scripts\Headless Mode &amp; Sideloading\WalkAndUnGZ.bat" "%USERPROFILE%\AppData\Local\Temp\OnboardLogs"\RTDC4014\2018-01-12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/stypes="app*4014*20180111*" /stext=" 12:.+((SYSTEM_STATE.+slice.+state.+changed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35"/>
        <v>"%USERPROFILE%\Documents\GitHub\eaglep3\Utilities\RefineRTDCRunTimes.py" --tripid 801-11 --locoid 4014 --swversion DE.1.0.9.0 --startMP 204:448 --initTime 2018-01-11T05:31:06 --startdatetime 2018-01-11T05:39:16 --delay 49 --endMP 300:58965 --enddatetime 2018-01-11T05:53:59 --enforcementcount 0 &gt;&gt;%USERPROFILE%\Documents\GitHub\eaglep3-reporting\EC\2018-01-11-refined-times.txt</v>
      </c>
      <c r="AI164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{"issue":{"subject":"","project_id":79,"tracker_id":40,"status_id":1,"priority_id":2,"assigned_to_id":338,"start_date":"2018-01-11","description":"","custom_fields":[{"id":1,"name":"Subdivision","value":"NW"},{"id":4,"name":"Milepost","value":"5.8965"},{"id":17,"name":"Train ID","value":"801-11"},{"id":16,"name":"Locomotive ID","value":"4014"},{"id":130,"name":"Impact","value":""},{"id":150,"name":"Time of Event (Mountain Time)","value":"05:53:59"},{"id":151,"name":"Denver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37"/>
        <v>start /low /b %USERPROFILE%\Documents\GitHub\eaglep3\Utilities\DownloadLogsFromS3.py --loco 4014 --day 2018-01-11</v>
      </c>
      <c r="AN164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12:53:59"},{"id":29,"name":"Sharepoint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39"/>
        <v>https://d0f6bd738d7f1b3e5a7ca70fe4ff75f0.us-east-1.aws.found.io/app/kibana#/discover/Steve-Slow-Train-Analysis-(2080s-and-2083s)?_g=(refreshInterval:(display:Off,pause:!f,section:0,value:0),time:(from:'2018-01-11T04:31:06-0700',mode:absolute,to:'2018-01-11T06:53:59-0700'))&amp;_a=(columns:!('Message%20ID',Summary),filters:!(),index:'emp_*',interval:auto,query:(query_string:(analyze_wildcard:!t,query:'%22rtdc.l.rtdc.4014%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3" customFormat="1" x14ac:dyDescent="0.3">
      <c r="A165" s="229" t="s">
        <v>717</v>
      </c>
      <c r="B165" s="225">
        <v>4013</v>
      </c>
      <c r="C165" s="227" t="s">
        <v>191</v>
      </c>
      <c r="D165" s="227" t="s">
        <v>1055</v>
      </c>
      <c r="E165" s="226">
        <v>43111.247013888889</v>
      </c>
      <c r="F165" s="226">
        <v>43111.259074074071</v>
      </c>
      <c r="G165" s="225">
        <v>60</v>
      </c>
      <c r="H165" s="227" t="s">
        <v>633</v>
      </c>
      <c r="I165" s="226">
        <v>43111.267175925925</v>
      </c>
      <c r="J165" s="225">
        <v>0</v>
      </c>
      <c r="K165" s="237" t="str">
        <f>IF(ISEVEN(B165),(B165-1)&amp;"/"&amp;B165,B165&amp;"/"&amp;(B165+1))</f>
        <v>4013/4014</v>
      </c>
      <c r="L165" s="245" t="str">
        <f>VLOOKUP(A165,'Trips&amp;Operators'!$C$1:$G$99911,5,FALSE)</f>
        <v>LOPES KIMBERLY</v>
      </c>
      <c r="M165" s="224">
        <f>I165-F165</f>
        <v>8.1018518540076911E-3</v>
      </c>
      <c r="N165" s="225">
        <f>24*60*SUM($M165:$M165)</f>
        <v>11.666666669771075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Southbound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2018-01-11T04:55:42-0700',mode:absolute,to:'2018-01-11T07:24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5.8647</v>
      </c>
      <c r="Z165" s="247">
        <f>RIGHT(H165,LEN(H165)-4)/10000</f>
        <v>1.5299999999999999E-2</v>
      </c>
      <c r="AA165" s="247">
        <f>ABS(Z165-Y165)</f>
        <v>5.8494000000000002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802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s3://rtdc.mdm.uploadarchive.raw/RTDC4013/ "%USERPROFILE%\AppData\Local\Temp\OnboardLogs"\RTDC4013\2018-01-11 --exclude "*" --recursive --include "*20180111*" &amp; "%USERPROFILE%\Documents\GitHub\mrs-test-scripts\Headless Mode &amp; Sideloading\WalkAndUnGZ.bat" "%USERPROFILE%\AppData\Local\Temp\OnboardLogs"\RTDC4013\2018-01-11 &amp; aws s3 cp s3://rtdc.mdm.uploadarchive.raw/RTDC4013/ "%USERPROFILE%\AppData\Local\Temp\OnboardLogs"\RTDC4013\2018-01-12 --exclude "*" --recursive --include "*20180112*" &amp; "%USERPROFILE%\Documents\GitHub\mrs-test-scripts\Headless Mode &amp; Sideloading\WalkAndUnGZ.bat" "%USERPROFILE%\AppData\Local\Temp\OnboardLogs"\RTDC4013\2018-01-12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/stypes="app*4013*20180111*" /stext=" 13:.+((SYSTEM_STATE.+slice.+state.+changed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35"/>
        <v>"%USERPROFILE%\Documents\GitHub\eaglep3\Utilities\RefineRTDCRunTimes.py" --tripid 802-11 --locoid 4013 --swversion DE.1.0.9.0 --startMP 300:58647 --initTime 2018-01-11T05:55:42 --startdatetime 2018-01-11T06:13:04 --delay 60 --endMP 204:153 --enddatetime 2018-01-11T06:24:44 --enforcementcount 0 &gt;&gt;%USERPROFILE%\Documents\GitHub\eaglep3-reporting\EC\2018-01-11-refined-times.txt</v>
      </c>
      <c r="AI165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{"issue":{"subject":"","project_id":79,"tracker_id":40,"status_id":1,"priority_id":2,"assigned_to_id":338,"start_date":"2018-01-11","description":"","custom_fields":[{"id":1,"name":"Subdivision","value":"NW"},{"id":4,"name":"Milepost","value":"0.0153"},{"id":17,"name":"Train ID","value":"802-11"},{"id":16,"name":"Locomotive ID","value":"4013"},{"id":130,"name":"Impact","value":""},{"id":150,"name":"Time of Event (Mountain Time)","value":"06:24:44"},{"id":151,"name":"Denver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1"/>
      <c r="AL165" s="231"/>
      <c r="AM165" s="240" t="str">
        <f t="shared" si="37"/>
        <v>start /low /b %USERPROFILE%\Documents\GitHub\eaglep3\Utilities\DownloadLogsFromS3.py --loco 4013 --day 2018-01-11</v>
      </c>
      <c r="AN165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13:24:44"},{"id":29,"name":"Sharepoint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39"/>
        <v>https://d0f6bd738d7f1b3e5a7ca70fe4ff75f0.us-east-1.aws.found.io/app/kibana#/discover/Steve-Slow-Train-Analysis-(2080s-and-2083s)?_g=(refreshInterval:(display:Off,pause:!f,section:0,value:0),time:(from:'2018-01-11T04:55:42-0700',mode:absolute,to:'2018-01-11T07:24:44-0700'))&amp;_a=(columns:!('Message%20ID',Summary),filters:!(),index:'emp_*',interval:auto,query:(query_string:(analyze_wildcard:!t,query:'%22rtdc.l.rtdc.4013%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229" t="s">
        <v>718</v>
      </c>
      <c r="B166" s="225">
        <v>4006</v>
      </c>
      <c r="C166" s="227" t="s">
        <v>191</v>
      </c>
      <c r="D166" s="227" t="s">
        <v>475</v>
      </c>
      <c r="E166" s="226">
        <v>43111.250381944446</v>
      </c>
      <c r="F166" s="226">
        <v>43111.256412037037</v>
      </c>
      <c r="G166" s="225">
        <v>63</v>
      </c>
      <c r="H166" s="227" t="s">
        <v>1056</v>
      </c>
      <c r="I166" s="226">
        <v>43111.266828703701</v>
      </c>
      <c r="J166" s="225">
        <v>0</v>
      </c>
      <c r="K166" s="237" t="str">
        <f>IF(ISEVEN(B166),(B166-1)&amp;"/"&amp;B166,B166&amp;"/"&amp;(B166+1))</f>
        <v>4005/4006</v>
      </c>
      <c r="L166" s="245" t="str">
        <f>VLOOKUP(A166,'Trips&amp;Operators'!$C$1:$G$99911,5,FALSE)</f>
        <v>FORTUNATO FRANK</v>
      </c>
      <c r="M166" s="224">
        <f>I166-F166</f>
        <v>1.0416666664241347E-2</v>
      </c>
      <c r="N166" s="225">
        <f>24*60*SUM($M166:$M166)</f>
        <v>14.99999999650754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NorthBound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2018-01-11T05:00:33-0700',mode:absolute,to:'2018-01-11T07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4.5499999999999999E-2</v>
      </c>
      <c r="Z166" s="247">
        <f>RIGHT(H166,LEN(H166)-4)/10000</f>
        <v>5.8983999999999996</v>
      </c>
      <c r="AA166" s="247">
        <f>ABS(Z166-Y166)</f>
        <v>5.8529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803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/stypes="app*4006*20180111*" /stext=" 13:.+((SYSTEM_STATE.+slice.+state.+changed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35"/>
        <v>"%USERPROFILE%\Documents\GitHub\eaglep3\Utilities\RefineRTDCRunTimes.py" --tripid 803-11 --locoid 4006 --swversion DE.1.0.9.0 --startMP 204:455 --initTime 2018-01-11T06:00:33 --startdatetime 2018-01-11T06:09:14 --delay 63 --endMP 300:58984 --enddatetime 2018-01-11T06:24:14 --enforcementcount 0 &gt;&gt;%USERPROFILE%\Documents\GitHub\eaglep3-reporting\EC\2018-01-11-refined-times.txt</v>
      </c>
      <c r="AI166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{"issue":{"subject":"","project_id":79,"tracker_id":40,"status_id":1,"priority_id":2,"assigned_to_id":338,"start_date":"2018-01-11","description":"","custom_fields":[{"id":1,"name":"Subdivision","value":"NW"},{"id":4,"name":"Milepost","value":"5.8984"},{"id":17,"name":"Train ID","value":"803-11"},{"id":16,"name":"Locomotive ID","value":"4006"},{"id":130,"name":"Impact","value":""},{"id":150,"name":"Time of Event (Mountain Time)","value":"06:24:14"},{"id":151,"name":"Denver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37"/>
        <v>start /low /b %USERPROFILE%\Documents\GitHub\eaglep3\Utilities\DownloadLogsFromS3.py --loco 4006 --day 2018-01-11</v>
      </c>
      <c r="AN166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13:24:14"},{"id":29,"name":"Sharepoint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39"/>
        <v>https://d0f6bd738d7f1b3e5a7ca70fe4ff75f0.us-east-1.aws.found.io/app/kibana#/discover/Steve-Slow-Train-Analysis-(2080s-and-2083s)?_g=(refreshInterval:(display:Off,pause:!f,section:0,value:0),time:(from:'2018-01-11T05:00:33-0700',mode:absolute,to:'2018-01-11T07:24:14-0700'))&amp;_a=(columns:!('Message%20ID',Summary),filters:!(),index:'emp_*',interval:auto,query:(query_string:(analyze_wildcard:!t,query:'%22rtdc.l.rtdc.4006%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3" customFormat="1" x14ac:dyDescent="0.3">
      <c r="A167" s="229" t="s">
        <v>723</v>
      </c>
      <c r="B167" s="225">
        <v>4005</v>
      </c>
      <c r="C167" s="227" t="s">
        <v>191</v>
      </c>
      <c r="D167" s="227" t="s">
        <v>1057</v>
      </c>
      <c r="E167" s="226">
        <v>43111.267997685187</v>
      </c>
      <c r="F167" s="226">
        <v>43111.279895833337</v>
      </c>
      <c r="G167" s="225">
        <v>50</v>
      </c>
      <c r="H167" s="227" t="s">
        <v>558</v>
      </c>
      <c r="I167" s="226">
        <v>43111.288495370369</v>
      </c>
      <c r="J167" s="225">
        <v>0</v>
      </c>
      <c r="K167" s="237" t="str">
        <f>IF(ISEVEN(B167),(B167-1)&amp;"/"&amp;B167,B167&amp;"/"&amp;(B167+1))</f>
        <v>4005/4006</v>
      </c>
      <c r="L167" s="245" t="str">
        <f>VLOOKUP(A167,'Trips&amp;Operators'!$C$1:$G$99911,5,FALSE)</f>
        <v>FORTUNATO FRANK</v>
      </c>
      <c r="M167" s="224">
        <f>I167-F167</f>
        <v>8.5995370318414643E-3</v>
      </c>
      <c r="N167" s="225">
        <f>24*60*SUM($M167:$M167)</f>
        <v>12.383333325851709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Southbound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2018-01-11T05:25:55-0700',mode:absolute,to:'2018-01-11T07:55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5.867</v>
      </c>
      <c r="Z167" s="247">
        <f>RIGHT(H167,LEN(H167)-4)/10000</f>
        <v>1.55E-2</v>
      </c>
      <c r="AA167" s="247">
        <f>ABS(Z167-Y167)</f>
        <v>5.8514999999999997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804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/stypes="app*4005*20180111*" /stext=" 13:.+((SYSTEM_STATE.+slice.+state.+changed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35"/>
        <v>"%USERPROFILE%\Documents\GitHub\eaglep3\Utilities\RefineRTDCRunTimes.py" --tripid 804-11 --locoid 4005 --swversion DE.1.0.9.0 --startMP 300:58670 --initTime 2018-01-11T06:25:55 --startdatetime 2018-01-11T06:43:03 --delay 50 --endMP 204:155 --enddatetime 2018-01-11T06:55:26 --enforcementcount 0 &gt;&gt;%USERPROFILE%\Documents\GitHub\eaglep3-reporting\EC\2018-01-11-refined-times.txt</v>
      </c>
      <c r="AI167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{"issue":{"subject":"","project_id":79,"tracker_id":40,"status_id":1,"priority_id":2,"assigned_to_id":338,"start_date":"2018-01-11","description":"","custom_fields":[{"id":1,"name":"Subdivision","value":"NW"},{"id":4,"name":"Milepost","value":"0.0155"},{"id":17,"name":"Train ID","value":"804-11"},{"id":16,"name":"Locomotive ID","value":"4005"},{"id":130,"name":"Impact","value":""},{"id":150,"name":"Time of Event (Mountain Time)","value":"06:55:26"},{"id":151,"name":"Denver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1"/>
      <c r="AL167" s="231"/>
      <c r="AM167" s="240" t="str">
        <f t="shared" si="37"/>
        <v>start /low /b %USERPROFILE%\Documents\GitHub\eaglep3\Utilities\DownloadLogsFromS3.py --loco 4005 --day 2018-01-11</v>
      </c>
      <c r="AN167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13:55:26"},{"id":29,"name":"Sharepoint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39"/>
        <v>https://d0f6bd738d7f1b3e5a7ca70fe4ff75f0.us-east-1.aws.found.io/app/kibana#/discover/Steve-Slow-Train-Analysis-(2080s-and-2083s)?_g=(refreshInterval:(display:Off,pause:!f,section:0,value:0),time:(from:'2018-01-11T05:25:55-0700',mode:absolute,to:'2018-01-11T07:55:26-0700'))&amp;_a=(columns:!('Message%20ID',Summary),filters:!(),index:'emp_*',interval:auto,query:(query_string:(analyze_wildcard:!t,query:'%22rtdc.l.rtdc.4005%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724</v>
      </c>
      <c r="B168" s="225">
        <v>4014</v>
      </c>
      <c r="C168" s="227" t="s">
        <v>191</v>
      </c>
      <c r="D168" s="227" t="s">
        <v>644</v>
      </c>
      <c r="E168" s="226">
        <v>43111.273287037038</v>
      </c>
      <c r="F168" s="226">
        <v>43111.277256944442</v>
      </c>
      <c r="G168" s="225">
        <v>49</v>
      </c>
      <c r="H168" s="227" t="s">
        <v>635</v>
      </c>
      <c r="I168" s="226">
        <v>43111.287222222221</v>
      </c>
      <c r="J168" s="225">
        <v>0</v>
      </c>
      <c r="K168" s="237" t="str">
        <f>IF(ISEVEN(B168),(B168-1)&amp;"/"&amp;B168,B168&amp;"/"&amp;(B168+1))</f>
        <v>4013/4014</v>
      </c>
      <c r="L168" s="245" t="str">
        <f>VLOOKUP(A168,'Trips&amp;Operators'!$C$1:$G$99911,5,FALSE)</f>
        <v>LOPES KIMBERLY</v>
      </c>
      <c r="M168" s="224">
        <f>I168-F168</f>
        <v>9.9652777789742686E-3</v>
      </c>
      <c r="N168" s="225">
        <f>24*60*SUM($M168:$M168)</f>
        <v>14.350000001722947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NorthBound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2018-01-11T05:33:32-0700',mode:absolute,to:'2018-01-11T07:53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8" s="247" t="str">
        <f>IF(AA168&lt;VLOOKUP(AG168,Variables!$AC$3:$AD$8,2,FALSE),"Y","N")</f>
        <v>N</v>
      </c>
      <c r="X168" s="247">
        <f>VALUE(LEFT(AD168,4))-VALUE(LEFT(AD167,4))</f>
        <v>1</v>
      </c>
      <c r="Y168" s="247">
        <f>RIGHT(D168,LEN(D168)-4)/10000</f>
        <v>4.3900000000000002E-2</v>
      </c>
      <c r="Z168" s="247">
        <f>RIGHT(H168,LEN(H168)-4)/10000</f>
        <v>5.8973000000000004</v>
      </c>
      <c r="AA168" s="247">
        <f>ABS(Z168-Y168)</f>
        <v>5.8534000000000006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805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s3://rtdc.mdm.uploadarchive.raw/RTDC4014/ "%USERPROFILE%\AppData\Local\Temp\OnboardLogs"\RTDC4014\2018-01-11 --exclude "*" --recursive --include "*20180111*" &amp; "%USERPROFILE%\Documents\GitHub\mrs-test-scripts\Headless Mode &amp; Sideloading\WalkAndUnGZ.bat" "%USERPROFILE%\AppData\Local\Temp\OnboardLogs"\RTDC4014\2018-01-11 &amp; aws s3 cp s3://rtdc.mdm.uploadarchive.raw/RTDC4014/ "%USERPROFILE%\AppData\Local\Temp\OnboardLogs"\RTDC4014\2018-01-12 --exclude "*" --recursive --include "*20180112*" &amp; "%USERPROFILE%\Documents\GitHub\mrs-test-scripts\Headless Mode &amp; Sideloading\WalkAndUnGZ.bat" "%USERPROFILE%\AppData\Local\Temp\OnboardLogs"\RTDC4014\2018-01-12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/stypes="app*4014*20180111*" /stext=" 13:.+((SYSTEM_STATE.+slice.+state.+changed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35"/>
        <v>"%USERPROFILE%\Documents\GitHub\eaglep3\Utilities\RefineRTDCRunTimes.py" --tripid 805-11 --locoid 4014 --swversion DE.1.0.9.0 --startMP 204:439 --initTime 2018-01-11T06:33:32 --startdatetime 2018-01-11T06:39:15 --delay 49 --endMP 300:58973 --enddatetime 2018-01-11T06:53:36 --enforcementcount 0 &gt;&gt;%USERPROFILE%\Documents\GitHub\eaglep3-reporting\EC\2018-01-11-refined-times.txt</v>
      </c>
      <c r="AI168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{"issue":{"subject":"","project_id":79,"tracker_id":40,"status_id":1,"priority_id":2,"assigned_to_id":338,"start_date":"2018-01-11","description":"","custom_fields":[{"id":1,"name":"Subdivision","value":"NW"},{"id":4,"name":"Milepost","value":"5.8973"},{"id":17,"name":"Train ID","value":"805-11"},{"id":16,"name":"Locomotive ID","value":"4014"},{"id":130,"name":"Impact","value":""},{"id":150,"name":"Time of Event (Mountain Time)","value":"06:53:36"},{"id":151,"name":"Denver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37"/>
        <v>start /low /b %USERPROFILE%\Documents\GitHub\eaglep3\Utilities\DownloadLogsFromS3.py --loco 4014 --day 2018-01-11</v>
      </c>
      <c r="AN168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13:53:36"},{"id":29,"name":"Sharepoint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39"/>
        <v>https://d0f6bd738d7f1b3e5a7ca70fe4ff75f0.us-east-1.aws.found.io/app/kibana#/discover/Steve-Slow-Train-Analysis-(2080s-and-2083s)?_g=(refreshInterval:(display:Off,pause:!f,section:0,value:0),time:(from:'2018-01-11T05:33:32-0700',mode:absolute,to:'2018-01-11T07:53:36-0700'))&amp;_a=(columns:!('Message%20ID',Summary),filters:!(),index:'emp_*',interval:auto,query:(query_string:(analyze_wildcard:!t,query:'%22rtdc.l.rtdc.4014%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9" t="s">
        <v>729</v>
      </c>
      <c r="B169" s="225">
        <v>4013</v>
      </c>
      <c r="C169" s="227" t="s">
        <v>191</v>
      </c>
      <c r="D169" s="227" t="s">
        <v>1058</v>
      </c>
      <c r="E169" s="226">
        <v>43111.289513888885</v>
      </c>
      <c r="F169" s="226">
        <v>43111.300034722219</v>
      </c>
      <c r="G169" s="225">
        <v>80</v>
      </c>
      <c r="H169" s="227" t="s">
        <v>496</v>
      </c>
      <c r="I169" s="226">
        <v>43111.310219907406</v>
      </c>
      <c r="J169" s="225">
        <v>0</v>
      </c>
      <c r="K169" s="237" t="str">
        <f>IF(ISEVEN(B169),(B169-1)&amp;"/"&amp;B169,B169&amp;"/"&amp;(B169+1))</f>
        <v>4013/4014</v>
      </c>
      <c r="L169" s="245" t="str">
        <f>VLOOKUP(A169,'Trips&amp;Operators'!$C$1:$G$99911,5,FALSE)</f>
        <v>LOPES KIMBERLY</v>
      </c>
      <c r="M169" s="224">
        <f>I169-F169</f>
        <v>1.0185185186855961E-2</v>
      </c>
      <c r="N169" s="225">
        <f>24*60*SUM($M169:$M169)</f>
        <v>14.666666669072583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Southbound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2018-01-11T05:56:54-0700',mode:absolute,to:'2018-01-11T08:26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5.8659999999999997</v>
      </c>
      <c r="Z169" s="247">
        <f>RIGHT(H169,LEN(H169)-4)/10000</f>
        <v>1.5800000000000002E-2</v>
      </c>
      <c r="AA169" s="247">
        <f>ABS(Z169-Y169)</f>
        <v>5.8502000000000001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806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s3://rtdc.mdm.uploadarchive.raw/RTDC4013/ "%USERPROFILE%\AppData\Local\Temp\OnboardLogs"\RTDC4013\2018-01-11 --exclude "*" --recursive --include "*20180111*" &amp; "%USERPROFILE%\Documents\GitHub\mrs-test-scripts\Headless Mode &amp; Sideloading\WalkAndUnGZ.bat" "%USERPROFILE%\AppData\Local\Temp\OnboardLogs"\RTDC4013\2018-01-11 &amp; aws s3 cp s3://rtdc.mdm.uploadarchive.raw/RTDC4013/ "%USERPROFILE%\AppData\Local\Temp\OnboardLogs"\RTDC4013\2018-01-12 --exclude "*" --recursive --include "*20180112*" &amp; "%USERPROFILE%\Documents\GitHub\mrs-test-scripts\Headless Mode &amp; Sideloading\WalkAndUnGZ.bat" "%USERPROFILE%\AppData\Local\Temp\OnboardLogs"\RTDC4013\2018-01-12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/stypes="app*4013*20180111*" /stext=" 14:.+((SYSTEM_STATE.+slice.+state.+changed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35"/>
        <v>"%USERPROFILE%\Documents\GitHub\eaglep3\Utilities\RefineRTDCRunTimes.py" --tripid 806-11 --locoid 4013 --swversion DE.1.0.9.0 --startMP 300:58660 --initTime 2018-01-11T06:56:54 --startdatetime 2018-01-11T07:12:03 --delay 80 --endMP 204:158 --enddatetime 2018-01-11T07:26:43 --enforcementcount 0 &gt;&gt;%USERPROFILE%\Documents\GitHub\eaglep3-reporting\EC\2018-01-11-refined-times.txt</v>
      </c>
      <c r="AI169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{"issue":{"subject":"","project_id":79,"tracker_id":40,"status_id":1,"priority_id":2,"assigned_to_id":338,"start_date":"2018-01-11","description":"","custom_fields":[{"id":1,"name":"Subdivision","value":"NW"},{"id":4,"name":"Milepost","value":"0.0158"},{"id":17,"name":"Train ID","value":"806-11"},{"id":16,"name":"Locomotive ID","value":"4013"},{"id":130,"name":"Impact","value":""},{"id":150,"name":"Time of Event (Mountain Time)","value":"07:26:43"},{"id":151,"name":"Denver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37"/>
        <v>start /low /b %USERPROFILE%\Documents\GitHub\eaglep3\Utilities\DownloadLogsFromS3.py --loco 4013 --day 2018-01-11</v>
      </c>
      <c r="AN169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14:26:43"},{"id":29,"name":"Sharepoint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39"/>
        <v>https://d0f6bd738d7f1b3e5a7ca70fe4ff75f0.us-east-1.aws.found.io/app/kibana#/discover/Steve-Slow-Train-Analysis-(2080s-and-2083s)?_g=(refreshInterval:(display:Off,pause:!f,section:0,value:0),time:(from:'2018-01-11T05:56:54-0700',mode:absolute,to:'2018-01-11T08:26:43-0700'))&amp;_a=(columns:!('Message%20ID',Summary),filters:!(),index:'emp_*',interval:auto,query:(query_string:(analyze_wildcard:!t,query:'%22rtdc.l.rtdc.4013%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29" t="s">
        <v>730</v>
      </c>
      <c r="B170" s="225">
        <v>4006</v>
      </c>
      <c r="C170" s="227" t="s">
        <v>191</v>
      </c>
      <c r="D170" s="227" t="s">
        <v>499</v>
      </c>
      <c r="E170" s="226">
        <v>43111.289872685185</v>
      </c>
      <c r="F170" s="226">
        <v>43111.298078703701</v>
      </c>
      <c r="G170" s="225">
        <v>50</v>
      </c>
      <c r="H170" s="227" t="s">
        <v>1059</v>
      </c>
      <c r="I170" s="226">
        <v>43111.308136574073</v>
      </c>
      <c r="J170" s="225">
        <v>0</v>
      </c>
      <c r="K170" s="237" t="str">
        <f>IF(ISEVEN(B170),(B170-1)&amp;"/"&amp;B170,B170&amp;"/"&amp;(B170+1))</f>
        <v>4005/4006</v>
      </c>
      <c r="L170" s="245" t="str">
        <f>VLOOKUP(A170,'Trips&amp;Operators'!$C$1:$G$99911,5,FALSE)</f>
        <v>FORTUNATO FRANK</v>
      </c>
      <c r="M170" s="224">
        <f>I170-F170</f>
        <v>1.0057870371383615E-2</v>
      </c>
      <c r="N170" s="225">
        <f>24*60*SUM($M170:$M170)</f>
        <v>14.483333334792405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NorthBound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2018-01-11T05:57:25-0700',mode:absolute,to:'2018-01-11T08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4.53E-2</v>
      </c>
      <c r="Z170" s="247">
        <f>RIGHT(H170,LEN(H170)-4)/10000</f>
        <v>5.8982000000000001</v>
      </c>
      <c r="AA170" s="247">
        <f>ABS(Z170-Y170)</f>
        <v>5.8529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807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/stypes="app*4006*20180111*" /stext=" 14:.+((SYSTEM_STATE.+slice.+state.+changed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35"/>
        <v>"%USERPROFILE%\Documents\GitHub\eaglep3\Utilities\RefineRTDCRunTimes.py" --tripid 807-11 --locoid 4006 --swversion DE.1.0.9.0 --startMP 204:453 --initTime 2018-01-11T06:57:25 --startdatetime 2018-01-11T07:09:14 --delay 50 --endMP 300:58982 --enddatetime 2018-01-11T07:23:43 --enforcementcount 0 &gt;&gt;%USERPROFILE%\Documents\GitHub\eaglep3-reporting\EC\2018-01-11-refined-times.txt</v>
      </c>
      <c r="AI170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{"issue":{"subject":"","project_id":79,"tracker_id":40,"status_id":1,"priority_id":2,"assigned_to_id":338,"start_date":"2018-01-11","description":"","custom_fields":[{"id":1,"name":"Subdivision","value":"NW"},{"id":4,"name":"Milepost","value":"5.8982"},{"id":17,"name":"Train ID","value":"807-11"},{"id":16,"name":"Locomotive ID","value":"4006"},{"id":130,"name":"Impact","value":""},{"id":150,"name":"Time of Event (Mountain Time)","value":"07:23:43"},{"id":151,"name":"Denver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37"/>
        <v>start /low /b %USERPROFILE%\Documents\GitHub\eaglep3\Utilities\DownloadLogsFromS3.py --loco 4006 --day 2018-01-11</v>
      </c>
      <c r="AN170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14:23:43"},{"id":29,"name":"Sharepoint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39"/>
        <v>https://d0f6bd738d7f1b3e5a7ca70fe4ff75f0.us-east-1.aws.found.io/app/kibana#/discover/Steve-Slow-Train-Analysis-(2080s-and-2083s)?_g=(refreshInterval:(display:Off,pause:!f,section:0,value:0),time:(from:'2018-01-11T05:57:25-0700',mode:absolute,to:'2018-01-11T08:23:43-0700'))&amp;_a=(columns:!('Message%20ID',Summary),filters:!(),index:'emp_*',interval:auto,query:(query_string:(analyze_wildcard:!t,query:'%22rtdc.l.rtdc.4006%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735</v>
      </c>
      <c r="B171" s="225">
        <v>4005</v>
      </c>
      <c r="C171" s="227" t="s">
        <v>191</v>
      </c>
      <c r="D171" s="227" t="s">
        <v>1060</v>
      </c>
      <c r="E171" s="226">
        <v>43111.309328703705</v>
      </c>
      <c r="F171" s="226">
        <v>43111.320868055554</v>
      </c>
      <c r="G171" s="225">
        <v>51</v>
      </c>
      <c r="H171" s="227" t="s">
        <v>529</v>
      </c>
      <c r="I171" s="226">
        <v>43111.330393518518</v>
      </c>
      <c r="J171" s="225">
        <v>0</v>
      </c>
      <c r="K171" s="237" t="str">
        <f>IF(ISEVEN(B171),(B171-1)&amp;"/"&amp;B171,B171&amp;"/"&amp;(B171+1))</f>
        <v>4005/4006</v>
      </c>
      <c r="L171" s="245" t="str">
        <f>VLOOKUP(A171,'Trips&amp;Operators'!$C$1:$G$99911,5,FALSE)</f>
        <v>FORTUNATO FRANK</v>
      </c>
      <c r="M171" s="224">
        <f>I171-F171</f>
        <v>9.5254629632108845E-3</v>
      </c>
      <c r="N171" s="225">
        <f>24*60*SUM($M171:$M171)</f>
        <v>13.716666667023674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Southbound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2018-01-11T06:25:26-0700',mode:absolute,to:'2018-01-11T08:55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5.8662000000000001</v>
      </c>
      <c r="Z171" s="247">
        <f>RIGHT(H171,LEN(H171)-4)/10000</f>
        <v>1.44E-2</v>
      </c>
      <c r="AA171" s="247">
        <f>ABS(Z171-Y171)</f>
        <v>5.8517999999999999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808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/stypes="app*4005*20180111*" /stext=" 14:.+((SYSTEM_STATE.+slice.+state.+changed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35"/>
        <v>"%USERPROFILE%\Documents\GitHub\eaglep3\Utilities\RefineRTDCRunTimes.py" --tripid 808-11 --locoid 4005 --swversion DE.1.0.9.0 --startMP 300:58662 --initTime 2018-01-11T07:25:26 --startdatetime 2018-01-11T07:42:03 --delay 51 --endMP 204:144 --enddatetime 2018-01-11T07:55:46 --enforcementcount 0 &gt;&gt;%USERPROFILE%\Documents\GitHub\eaglep3-reporting\EC\2018-01-11-refined-times.txt</v>
      </c>
      <c r="AI171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{"issue":{"subject":"","project_id":79,"tracker_id":40,"status_id":1,"priority_id":2,"assigned_to_id":338,"start_date":"2018-01-11","description":"","custom_fields":[{"id":1,"name":"Subdivision","value":"NW"},{"id":4,"name":"Milepost","value":"0.0144"},{"id":17,"name":"Train ID","value":"808-11"},{"id":16,"name":"Locomotive ID","value":"4005"},{"id":130,"name":"Impact","value":""},{"id":150,"name":"Time of Event (Mountain Time)","value":"07:55:46"},{"id":151,"name":"Denver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37"/>
        <v>start /low /b %USERPROFILE%\Documents\GitHub\eaglep3\Utilities\DownloadLogsFromS3.py --loco 4005 --day 2018-01-11</v>
      </c>
      <c r="AN171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14:55:46"},{"id":29,"name":"Sharepoint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39"/>
        <v>https://d0f6bd738d7f1b3e5a7ca70fe4ff75f0.us-east-1.aws.found.io/app/kibana#/discover/Steve-Slow-Train-Analysis-(2080s-and-2083s)?_g=(refreshInterval:(display:Off,pause:!f,section:0,value:0),time:(from:'2018-01-11T06:25:26-0700',mode:absolute,to:'2018-01-11T08:55:46-0700'))&amp;_a=(columns:!('Message%20ID',Summary),filters:!(),index:'emp_*',interval:auto,query:(query_string:(analyze_wildcard:!t,query:'%22rtdc.l.rtdc.4005%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736</v>
      </c>
      <c r="B172" s="225">
        <v>4014</v>
      </c>
      <c r="C172" s="227" t="s">
        <v>191</v>
      </c>
      <c r="D172" s="227" t="s">
        <v>641</v>
      </c>
      <c r="E172" s="226">
        <v>43111.311597222222</v>
      </c>
      <c r="F172" s="226">
        <v>43111.318912037037</v>
      </c>
      <c r="G172" s="225">
        <v>85</v>
      </c>
      <c r="H172" s="227" t="s">
        <v>1061</v>
      </c>
      <c r="I172" s="226">
        <v>43111.328379629631</v>
      </c>
      <c r="J172" s="225">
        <v>0</v>
      </c>
      <c r="K172" s="237" t="str">
        <f>IF(ISEVEN(B172),(B172-1)&amp;"/"&amp;B172,B172&amp;"/"&amp;(B172+1))</f>
        <v>4013/4014</v>
      </c>
      <c r="L172" s="245" t="str">
        <f>VLOOKUP(A172,'Trips&amp;Operators'!$C$1:$G$99911,5,FALSE)</f>
        <v>LOPES KIMBERLY</v>
      </c>
      <c r="M172" s="224">
        <f>I172-F172</f>
        <v>9.4675925938645378E-3</v>
      </c>
      <c r="N172" s="225">
        <f>24*60*SUM($M172:$M172)</f>
        <v>13.633333335164934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NorthBound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2018-01-11T06:28:42-0700',mode:absolute,to:'2018-01-11T08:52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4.4999999999999998E-2</v>
      </c>
      <c r="Z172" s="247">
        <f>RIGHT(H172,LEN(H172)-4)/10000</f>
        <v>5.8993000000000002</v>
      </c>
      <c r="AA172" s="247">
        <f>ABS(Z172-Y172)</f>
        <v>5.8543000000000003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809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s3://rtdc.mdm.uploadarchive.raw/RTDC4014/ "%USERPROFILE%\AppData\Local\Temp\OnboardLogs"\RTDC4014\2018-01-11 --exclude "*" --recursive --include "*20180111*" &amp; "%USERPROFILE%\Documents\GitHub\mrs-test-scripts\Headless Mode &amp; Sideloading\WalkAndUnGZ.bat" "%USERPROFILE%\AppData\Local\Temp\OnboardLogs"\RTDC4014\2018-01-11 &amp; aws s3 cp s3://rtdc.mdm.uploadarchive.raw/RTDC4014/ "%USERPROFILE%\AppData\Local\Temp\OnboardLogs"\RTDC4014\2018-01-12 --exclude "*" --recursive --include "*20180112*" &amp; "%USERPROFILE%\Documents\GitHub\mrs-test-scripts\Headless Mode &amp; Sideloading\WalkAndUnGZ.bat" "%USERPROFILE%\AppData\Local\Temp\OnboardLogs"\RTDC4014\2018-01-12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/stypes="app*4014*20180111*" /stext=" 14:.+((SYSTEM_STATE.+slice.+state.+changed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35"/>
        <v>"%USERPROFILE%\Documents\GitHub\eaglep3\Utilities\RefineRTDCRunTimes.py" --tripid 809-11 --locoid 4014 --swversion DE.1.0.9.0 --startMP 204:450 --initTime 2018-01-11T07:28:42 --startdatetime 2018-01-11T07:39:14 --delay 85 --endMP 300:58993 --enddatetime 2018-01-11T07:52:52 --enforcementcount 0 &gt;&gt;%USERPROFILE%\Documents\GitHub\eaglep3-reporting\EC\2018-01-11-refined-times.txt</v>
      </c>
      <c r="AI172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{"issue":{"subject":"","project_id":79,"tracker_id":40,"status_id":1,"priority_id":2,"assigned_to_id":338,"start_date":"2018-01-11","description":"","custom_fields":[{"id":1,"name":"Subdivision","value":"NW"},{"id":4,"name":"Milepost","value":"5.8993"},{"id":17,"name":"Train ID","value":"809-11"},{"id":16,"name":"Locomotive ID","value":"4014"},{"id":130,"name":"Impact","value":""},{"id":150,"name":"Time of Event (Mountain Time)","value":"07:52:52"},{"id":151,"name":"Denver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37"/>
        <v>start /low /b %USERPROFILE%\Documents\GitHub\eaglep3\Utilities\DownloadLogsFromS3.py --loco 4014 --day 2018-01-11</v>
      </c>
      <c r="AN172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14:52:52"},{"id":29,"name":"Sharepoint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39"/>
        <v>https://d0f6bd738d7f1b3e5a7ca70fe4ff75f0.us-east-1.aws.found.io/app/kibana#/discover/Steve-Slow-Train-Analysis-(2080s-and-2083s)?_g=(refreshInterval:(display:Off,pause:!f,section:0,value:0),time:(from:'2018-01-11T06:28:42-0700',mode:absolute,to:'2018-01-11T08:52:52-0700'))&amp;_a=(columns:!('Message%20ID',Summary),filters:!(),index:'emp_*',interval:auto,query:(query_string:(analyze_wildcard:!t,query:'%22rtdc.l.rtdc.4014%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229" t="s">
        <v>652</v>
      </c>
      <c r="B173" s="225">
        <v>4013</v>
      </c>
      <c r="C173" s="227" t="s">
        <v>191</v>
      </c>
      <c r="D173" s="227" t="s">
        <v>1062</v>
      </c>
      <c r="E173" s="226">
        <v>43111.329293981478</v>
      </c>
      <c r="F173" s="226">
        <v>43111.342418981483</v>
      </c>
      <c r="G173" s="225">
        <v>62</v>
      </c>
      <c r="H173" s="227" t="s">
        <v>1063</v>
      </c>
      <c r="I173" s="226">
        <v>43111.349942129629</v>
      </c>
      <c r="J173" s="225">
        <v>0</v>
      </c>
      <c r="K173" s="237" t="str">
        <f>IF(ISEVEN(B173),(B173-1)&amp;"/"&amp;B173,B173&amp;"/"&amp;(B173+1))</f>
        <v>4013/4014</v>
      </c>
      <c r="L173" s="245" t="str">
        <f>VLOOKUP(A173,'Trips&amp;Operators'!$C$1:$G$99911,5,FALSE)</f>
        <v>LOPES KIMBERLY</v>
      </c>
      <c r="M173" s="224">
        <f>I173-F173</f>
        <v>7.5231481459923089E-3</v>
      </c>
      <c r="N173" s="225">
        <f>24*60*SUM($M173:$M173)</f>
        <v>10.833333330228925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Southbound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2018-01-11T06:54:11-0700',mode:absolute,to:'2018-01-11T09:23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3" s="247" t="str">
        <f>IF(AA173&lt;VLOOKUP(AG173,Variables!$AC$3:$AD$8,2,FALSE),"Y","N")</f>
        <v>Y</v>
      </c>
      <c r="X173" s="247">
        <f>VALUE(LEFT(AD173,4))-VALUE(LEFT(AD172,4))</f>
        <v>1</v>
      </c>
      <c r="Y173" s="247">
        <f>RIGHT(D173,LEN(D173)-4)/10000</f>
        <v>5.8674999999999997</v>
      </c>
      <c r="Z173" s="247">
        <f>RIGHT(H173,LEN(H173)-4)/10000</f>
        <v>0.45240000000000002</v>
      </c>
      <c r="AA173" s="247">
        <f>ABS(Z173-Y173)</f>
        <v>5.4150999999999998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810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s3://rtdc.mdm.uploadarchive.raw/RTDC4013/ "%USERPROFILE%\AppData\Local\Temp\OnboardLogs"\RTDC4013\2018-01-11 --exclude "*" --recursive --include "*20180111*" &amp; "%USERPROFILE%\Documents\GitHub\mrs-test-scripts\Headless Mode &amp; Sideloading\WalkAndUnGZ.bat" "%USERPROFILE%\AppData\Local\Temp\OnboardLogs"\RTDC4013\2018-01-11 &amp; aws s3 cp s3://rtdc.mdm.uploadarchive.raw/RTDC4013/ "%USERPROFILE%\AppData\Local\Temp\OnboardLogs"\RTDC4013\2018-01-12 --exclude "*" --recursive --include "*20180112*" &amp; "%USERPROFILE%\Documents\GitHub\mrs-test-scripts\Headless Mode &amp; Sideloading\WalkAndUnGZ.bat" "%USERPROFILE%\AppData\Local\Temp\OnboardLogs"\RTDC4013\2018-01-12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/stypes="app*4013*20180111*" /stext=" 15:.+((SYSTEM_STATE.+slice.+state.+changed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35"/>
        <v>"%USERPROFILE%\Documents\GitHub\eaglep3\Utilities\RefineRTDCRunTimes.py" --tripid 810-11 --locoid 4013 --swversion DE.1.0.9.0 --startMP 300:58675 --initTime 2018-01-11T07:54:11 --startdatetime 2018-01-11T08:13:05 --delay 62 --endMP 204:4524 --enddatetime 2018-01-11T08:23:55 --enforcementcount 0 &gt;&gt;%USERPROFILE%\Documents\GitHub\eaglep3-reporting\EC\2018-01-11-refined-times.txt</v>
      </c>
      <c r="AI173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{"issue":{"subject":"","project_id":79,"tracker_id":40,"status_id":1,"priority_id":2,"assigned_to_id":338,"start_date":"2018-01-11","description":"","custom_fields":[{"id":1,"name":"Subdivision","value":"NW"},{"id":4,"name":"Milepost","value":"0.4524"},{"id":17,"name":"Train ID","value":"810-11"},{"id":16,"name":"Locomotive ID","value":"4013"},{"id":130,"name":"Impact","value":""},{"id":150,"name":"Time of Event (Mountain Time)","value":"08:23:55"},{"id":151,"name":"Denver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3"/>
      <c r="AK173" s="231"/>
      <c r="AL173" s="231"/>
      <c r="AM173" s="240" t="str">
        <f t="shared" si="37"/>
        <v>start /low /b %USERPROFILE%\Documents\GitHub\eaglep3\Utilities\DownloadLogsFromS3.py --loco 4013 --day 2018-01-11</v>
      </c>
      <c r="AN173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15:23:55"},{"id":29,"name":"Sharepoint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39"/>
        <v>https://d0f6bd738d7f1b3e5a7ca70fe4ff75f0.us-east-1.aws.found.io/app/kibana#/discover/Steve-Slow-Train-Analysis-(2080s-and-2083s)?_g=(refreshInterval:(display:Off,pause:!f,section:0,value:0),time:(from:'2018-01-11T06:54:11-0700',mode:absolute,to:'2018-01-11T09:23:55-0700'))&amp;_a=(columns:!('Message%20ID',Summary),filters:!(),index:'emp_*',interval:auto,query:(query_string:(analyze_wildcard:!t,query:'%22rtdc.l.rtdc.4013%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742</v>
      </c>
      <c r="B174" s="225">
        <v>4006</v>
      </c>
      <c r="C174" s="227" t="s">
        <v>191</v>
      </c>
      <c r="D174" s="227" t="s">
        <v>530</v>
      </c>
      <c r="E174" s="226">
        <v>43111.331863425927</v>
      </c>
      <c r="F174" s="226">
        <v>43111.339756944442</v>
      </c>
      <c r="G174" s="225">
        <v>52</v>
      </c>
      <c r="H174" s="227" t="s">
        <v>1064</v>
      </c>
      <c r="I174" s="226">
        <v>43111.35083333333</v>
      </c>
      <c r="J174" s="225">
        <v>0</v>
      </c>
      <c r="K174" s="237" t="str">
        <f>IF(ISEVEN(B174),(B174-1)&amp;"/"&amp;B174,B174&amp;"/"&amp;(B174+1))</f>
        <v>4005/4006</v>
      </c>
      <c r="L174" s="245" t="str">
        <f>VLOOKUP(A174,'Trips&amp;Operators'!$C$1:$G$99911,5,FALSE)</f>
        <v>FORTUNATO FRANK</v>
      </c>
      <c r="M174" s="224">
        <f>I174-F174</f>
        <v>1.1076388887886424E-2</v>
      </c>
      <c r="N174" s="225">
        <f>24*60*SUM($M174:$M174)</f>
        <v>15.94999999855645</v>
      </c>
      <c r="O174" s="225"/>
      <c r="P174" s="225"/>
      <c r="Q174" s="228"/>
      <c r="R174" s="242"/>
      <c r="S174" s="249">
        <f>1/IF(AG174="EC",12,1)*SUM(U174:U174)</f>
        <v>1</v>
      </c>
      <c r="T174" s="242" t="str">
        <f>IF(ISEVEN(LEFT(AD174,4)),"Southbound","NorthBound")</f>
        <v>NorthBound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2018-01-11T06:57:53-0700',mode:absolute,to:'2018-01-11T09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4" s="247" t="str">
        <f>IF(AA174&lt;VLOOKUP(AG174,Variables!$AC$3:$AD$8,2,FALSE),"Y","N")</f>
        <v>N</v>
      </c>
      <c r="X174" s="247">
        <f>VALUE(LEFT(AD174,4))-VALUE(LEFT(AD173,4))</f>
        <v>1</v>
      </c>
      <c r="Y174" s="247">
        <f>RIGHT(D174,LEN(D174)-4)/10000</f>
        <v>4.48E-2</v>
      </c>
      <c r="Z174" s="247">
        <f>RIGHT(H174,LEN(H174)-4)/10000</f>
        <v>5.8987999999999996</v>
      </c>
      <c r="AA174" s="247">
        <f>ABS(Z174-Y174)</f>
        <v>5.8539999999999992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811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/stypes="app*4006*20180111*" /stext=" 15:.+((SYSTEM_STATE.+slice.+state.+changed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35"/>
        <v>"%USERPROFILE%\Documents\GitHub\eaglep3\Utilities\RefineRTDCRunTimes.py" --tripid 811-11 --locoid 4006 --swversion DE.1.0.9.0 --startMP 204:448 --initTime 2018-01-11T07:57:53 --startdatetime 2018-01-11T08:09:15 --delay 52 --endMP 300:58988 --enddatetime 2018-01-11T08:25:12 --enforcementcount 0 &gt;&gt;%USERPROFILE%\Documents\GitHub\eaglep3-reporting\EC\2018-01-11-refined-times.txt</v>
      </c>
      <c r="AI174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{"issue":{"subject":"","project_id":79,"tracker_id":40,"status_id":1,"priority_id":2,"assigned_to_id":338,"start_date":"2018-01-11","description":"","custom_fields":[{"id":1,"name":"Subdivision","value":"NW"},{"id":4,"name":"Milepost","value":"5.8988"},{"id":17,"name":"Train ID","value":"811-11"},{"id":16,"name":"Locomotive ID","value":"4006"},{"id":130,"name":"Impact","value":""},{"id":150,"name":"Time of Event (Mountain Time)","value":"08:25:12"},{"id":151,"name":"Denver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37"/>
        <v>start /low /b %USERPROFILE%\Documents\GitHub\eaglep3\Utilities\DownloadLogsFromS3.py --loco 4006 --day 2018-01-11</v>
      </c>
      <c r="AN174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15:25:12"},{"id":29,"name":"Sharepoint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39"/>
        <v>https://d0f6bd738d7f1b3e5a7ca70fe4ff75f0.us-east-1.aws.found.io/app/kibana#/discover/Steve-Slow-Train-Analysis-(2080s-and-2083s)?_g=(refreshInterval:(display:Off,pause:!f,section:0,value:0),time:(from:'2018-01-11T06:57:53-0700',mode:absolute,to:'2018-01-11T09:25:12-0700'))&amp;_a=(columns:!('Message%20ID',Summary),filters:!(),index:'emp_*',interval:auto,query:(query_string:(analyze_wildcard:!t,query:'%22rtdc.l.rtdc.4006%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748</v>
      </c>
      <c r="B175" s="225">
        <v>4005</v>
      </c>
      <c r="C175" s="227" t="s">
        <v>191</v>
      </c>
      <c r="D175" s="227" t="s">
        <v>1057</v>
      </c>
      <c r="E175" s="226">
        <v>43111.352233796293</v>
      </c>
      <c r="F175" s="226">
        <v>43111.363275462965</v>
      </c>
      <c r="G175" s="225">
        <v>53</v>
      </c>
      <c r="H175" s="227" t="s">
        <v>472</v>
      </c>
      <c r="I175" s="226">
        <v>43111.371932870374</v>
      </c>
      <c r="J175" s="225">
        <v>0</v>
      </c>
      <c r="K175" s="237" t="str">
        <f>IF(ISEVEN(B175),(B175-1)&amp;"/"&amp;B175,B175&amp;"/"&amp;(B175+1))</f>
        <v>4005/4006</v>
      </c>
      <c r="L175" s="245" t="str">
        <f>VLOOKUP(A175,'Trips&amp;Operators'!$C$1:$G$99911,5,FALSE)</f>
        <v>FORTUNATO FRANK</v>
      </c>
      <c r="M175" s="224">
        <f>I175-F175</f>
        <v>8.6574074084637687E-3</v>
      </c>
      <c r="N175" s="225">
        <f>24*60*SUM($M175:$M175)</f>
        <v>12.466666668187827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Southbound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2018-01-11T07:27:13-0700',mode:absolute,to:'2018-01-11T09:55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5.867</v>
      </c>
      <c r="Z175" s="247">
        <f>RIGHT(H175,LEN(H175)-4)/10000</f>
        <v>1.49E-2</v>
      </c>
      <c r="AA175" s="247">
        <f>ABS(Z175-Y175)</f>
        <v>5.8521000000000001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812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/stypes="app*4005*20180111*" /stext=" 15:.+((SYSTEM_STATE.+slice.+state.+changed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35"/>
        <v>"%USERPROFILE%\Documents\GitHub\eaglep3\Utilities\RefineRTDCRunTimes.py" --tripid 812-11 --locoid 4005 --swversion DE.1.0.9.0 --startMP 300:58670 --initTime 2018-01-11T08:27:13 --startdatetime 2018-01-11T08:43:07 --delay 53 --endMP 204:149 --enddatetime 2018-01-11T08:55:35 --enforcementcount 0 &gt;&gt;%USERPROFILE%\Documents\GitHub\eaglep3-reporting\EC\2018-01-11-refined-times.txt</v>
      </c>
      <c r="AI175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{"issue":{"subject":"","project_id":79,"tracker_id":40,"status_id":1,"priority_id":2,"assigned_to_id":338,"start_date":"2018-01-11","description":"","custom_fields":[{"id":1,"name":"Subdivision","value":"NW"},{"id":4,"name":"Milepost","value":"0.0149"},{"id":17,"name":"Train ID","value":"812-11"},{"id":16,"name":"Locomotive ID","value":"4005"},{"id":130,"name":"Impact","value":""},{"id":150,"name":"Time of Event (Mountain Time)","value":"08:55:35"},{"id":151,"name":"Denver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37"/>
        <v>start /low /b %USERPROFILE%\Documents\GitHub\eaglep3\Utilities\DownloadLogsFromS3.py --loco 4005 --day 2018-01-11</v>
      </c>
      <c r="AN175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15:55:35"},{"id":29,"name":"Sharepoint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39"/>
        <v>https://d0f6bd738d7f1b3e5a7ca70fe4ff75f0.us-east-1.aws.found.io/app/kibana#/discover/Steve-Slow-Train-Analysis-(2080s-and-2083s)?_g=(refreshInterval:(display:Off,pause:!f,section:0,value:0),time:(from:'2018-01-11T07:27:13-0700',mode:absolute,to:'2018-01-11T09:55:35-0700'))&amp;_a=(columns:!('Message%20ID',Summary),filters:!(),index:'emp_*',interval:auto,query:(query_string:(analyze_wildcard:!t,query:'%22rtdc.l.rtdc.4005%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229" t="s">
        <v>753</v>
      </c>
      <c r="B176" s="225">
        <v>4006</v>
      </c>
      <c r="C176" s="227" t="s">
        <v>191</v>
      </c>
      <c r="D176" s="227" t="s">
        <v>637</v>
      </c>
      <c r="E176" s="226">
        <v>43111.373483796298</v>
      </c>
      <c r="F176" s="226">
        <v>43111.381412037037</v>
      </c>
      <c r="G176" s="225">
        <v>62</v>
      </c>
      <c r="H176" s="227" t="s">
        <v>635</v>
      </c>
      <c r="I176" s="226">
        <v>43111.391168981485</v>
      </c>
      <c r="J176" s="225">
        <v>0</v>
      </c>
      <c r="K176" s="237" t="str">
        <f>IF(ISEVEN(B176),(B176-1)&amp;"/"&amp;B176,B176&amp;"/"&amp;(B176+1))</f>
        <v>4005/4006</v>
      </c>
      <c r="L176" s="245" t="str">
        <f>VLOOKUP(A176,'Trips&amp;Operators'!$C$1:$G$99911,5,FALSE)</f>
        <v>FORTUNATO FRANK</v>
      </c>
      <c r="M176" s="224">
        <f>I176-F176</f>
        <v>9.7569444478722289E-3</v>
      </c>
      <c r="N176" s="225">
        <f>24*60*SUM($M176:$M176)</f>
        <v>14.05000000493601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NorthBound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2018-01-11T07:57:49-0700',mode:absolute,to:'2018-01-11T10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6" s="247" t="str">
        <f>IF(AA176&lt;VLOOKUP(AG176,Variables!$AC$3:$AD$8,2,FALSE),"Y","N")</f>
        <v>N</v>
      </c>
      <c r="X176" s="247">
        <f>VALUE(LEFT(AD176,4))-VALUE(LEFT(AD175,4))</f>
        <v>1</v>
      </c>
      <c r="Y176" s="247">
        <f>RIGHT(D176,LEN(D176)-4)/10000</f>
        <v>4.4400000000000002E-2</v>
      </c>
      <c r="Z176" s="247">
        <f>RIGHT(H176,LEN(H176)-4)/10000</f>
        <v>5.8973000000000004</v>
      </c>
      <c r="AA176" s="247">
        <f>ABS(Z176-Y176)</f>
        <v>5.8529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813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/stypes="app*4006*20180111*" /stext=" 16:.+((SYSTEM_STATE.+slice.+state.+changed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35"/>
        <v>"%USERPROFILE%\Documents\GitHub\eaglep3\Utilities\RefineRTDCRunTimes.py" --tripid 813-11 --locoid 4006 --swversion DE.1.0.9.0 --startMP 204:444 --initTime 2018-01-11T08:57:49 --startdatetime 2018-01-11T09:09:14 --delay 62 --endMP 300:58973 --enddatetime 2018-01-11T09:23:17 --enforcementcount 0 &gt;&gt;%USERPROFILE%\Documents\GitHub\eaglep3-reporting\EC\2018-01-11-refined-times.txt</v>
      </c>
      <c r="AI176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{"issue":{"subject":"","project_id":79,"tracker_id":40,"status_id":1,"priority_id":2,"assigned_to_id":338,"start_date":"2018-01-11","description":"","custom_fields":[{"id":1,"name":"Subdivision","value":"NW"},{"id":4,"name":"Milepost","value":"5.8973"},{"id":17,"name":"Train ID","value":"813-11"},{"id":16,"name":"Locomotive ID","value":"4006"},{"id":130,"name":"Impact","value":""},{"id":150,"name":"Time of Event (Mountain Time)","value":"09:23:17"},{"id":151,"name":"Denver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3"/>
      <c r="AK176" s="231"/>
      <c r="AL176" s="231"/>
      <c r="AM176" s="240" t="str">
        <f t="shared" si="37"/>
        <v>start /low /b %USERPROFILE%\Documents\GitHub\eaglep3\Utilities\DownloadLogsFromS3.py --loco 4006 --day 2018-01-11</v>
      </c>
      <c r="AN176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16:23:17"},{"id":29,"name":"Sharepoint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39"/>
        <v>https://d0f6bd738d7f1b3e5a7ca70fe4ff75f0.us-east-1.aws.found.io/app/kibana#/discover/Steve-Slow-Train-Analysis-(2080s-and-2083s)?_g=(refreshInterval:(display:Off,pause:!f,section:0,value:0),time:(from:'2018-01-11T07:57:49-0700',mode:absolute,to:'2018-01-11T10:23:17-0700'))&amp;_a=(columns:!('Message%20ID',Summary),filters:!(),index:'emp_*',interval:auto,query:(query_string:(analyze_wildcard:!t,query:'%22rtdc.l.rtdc.4006%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3">
      <c r="A177" s="229" t="s">
        <v>759</v>
      </c>
      <c r="B177" s="225">
        <v>4005</v>
      </c>
      <c r="C177" s="227" t="s">
        <v>191</v>
      </c>
      <c r="D177" s="227" t="s">
        <v>1058</v>
      </c>
      <c r="E177" s="226">
        <v>43111.39234953704</v>
      </c>
      <c r="F177" s="226">
        <v>43111.403969907406</v>
      </c>
      <c r="G177" s="225">
        <v>61</v>
      </c>
      <c r="H177" s="227" t="s">
        <v>536</v>
      </c>
      <c r="I177" s="226">
        <v>43111.413148148145</v>
      </c>
      <c r="J177" s="225">
        <v>0</v>
      </c>
      <c r="K177" s="237" t="str">
        <f>IF(ISEVEN(B177),(B177-1)&amp;"/"&amp;B177,B177&amp;"/"&amp;(B177+1))</f>
        <v>4005/4006</v>
      </c>
      <c r="L177" s="245" t="str">
        <f>VLOOKUP(A177,'Trips&amp;Operators'!$C$1:$G$99911,5,FALSE)</f>
        <v>FORTUNATO FRANK</v>
      </c>
      <c r="M177" s="224">
        <f>I177-F177</f>
        <v>9.1782407398568466E-3</v>
      </c>
      <c r="N177" s="225">
        <f>24*60*SUM($M177:$M177)</f>
        <v>13.216666665393859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Southbound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2018-01-11T08:24:59-0700',mode:absolute,to:'2018-01-11T10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5.8659999999999997</v>
      </c>
      <c r="Z177" s="247">
        <f>RIGHT(H177,LEN(H177)-4)/10000</f>
        <v>1.5699999999999999E-2</v>
      </c>
      <c r="AA177" s="247">
        <f>ABS(Z177-Y177)</f>
        <v>5.8502999999999998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814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/stypes="app*4005*20180111*" /stext=" 16:.+((SYSTEM_STATE.+slice.+state.+changed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35"/>
        <v>"%USERPROFILE%\Documents\GitHub\eaglep3\Utilities\RefineRTDCRunTimes.py" --tripid 814-11 --locoid 4005 --swversion DE.1.0.9.0 --startMP 300:58660 --initTime 2018-01-11T09:24:59 --startdatetime 2018-01-11T09:41:43 --delay 61 --endMP 204:157 --enddatetime 2018-01-11T09:54:56 --enforcementcount 0 &gt;&gt;%USERPROFILE%\Documents\GitHub\eaglep3-reporting\EC\2018-01-11-refined-times.txt</v>
      </c>
      <c r="AI177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{"issue":{"subject":"","project_id":79,"tracker_id":40,"status_id":1,"priority_id":2,"assigned_to_id":338,"start_date":"2018-01-11","description":"","custom_fields":[{"id":1,"name":"Subdivision","value":"NW"},{"id":4,"name":"Milepost","value":"0.0157"},{"id":17,"name":"Train ID","value":"814-11"},{"id":16,"name":"Locomotive ID","value":"4005"},{"id":130,"name":"Impact","value":""},{"id":150,"name":"Time of Event (Mountain Time)","value":"09:54:56"},{"id":151,"name":"Denver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37"/>
        <v>start /low /b %USERPROFILE%\Documents\GitHub\eaglep3\Utilities\DownloadLogsFromS3.py --loco 4005 --day 2018-01-11</v>
      </c>
      <c r="AN177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16:54:56"},{"id":29,"name":"Sharepoint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39"/>
        <v>https://d0f6bd738d7f1b3e5a7ca70fe4ff75f0.us-east-1.aws.found.io/app/kibana#/discover/Steve-Slow-Train-Analysis-(2080s-and-2083s)?_g=(refreshInterval:(display:Off,pause:!f,section:0,value:0),time:(from:'2018-01-11T08:24:59-0700',mode:absolute,to:'2018-01-11T10:54:56-0700'))&amp;_a=(columns:!('Message%20ID',Summary),filters:!(),index:'emp_*',interval:auto,query:(query_string:(analyze_wildcard:!t,query:'%22rtdc.l.rtdc.4005%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23" customFormat="1" x14ac:dyDescent="0.3">
      <c r="A178" s="229" t="s">
        <v>657</v>
      </c>
      <c r="B178" s="225">
        <v>4006</v>
      </c>
      <c r="C178" s="227" t="s">
        <v>191</v>
      </c>
      <c r="D178" s="227" t="s">
        <v>483</v>
      </c>
      <c r="E178" s="226">
        <v>43111.417303240742</v>
      </c>
      <c r="F178" s="226">
        <v>43111.423078703701</v>
      </c>
      <c r="G178" s="225">
        <v>223</v>
      </c>
      <c r="H178" s="227" t="s">
        <v>646</v>
      </c>
      <c r="I178" s="226">
        <v>43111.432662037034</v>
      </c>
      <c r="J178" s="225">
        <v>0</v>
      </c>
      <c r="K178" s="237" t="str">
        <f>IF(ISEVEN(B178),(B178-1)&amp;"/"&amp;B178,B178&amp;"/"&amp;(B178+1))</f>
        <v>4005/4006</v>
      </c>
      <c r="L178" s="245" t="str">
        <f>VLOOKUP(A178,'Trips&amp;Operators'!$C$1:$G$99911,5,FALSE)</f>
        <v>FORTUNATO FRANK</v>
      </c>
      <c r="M178" s="224">
        <f>I178-F178</f>
        <v>9.5833333325572312E-3</v>
      </c>
      <c r="N178" s="225">
        <f>24*60*SUM($M178:$M178)</f>
        <v>13.799999998882413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NorthBound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2018-01-11T09:00:55-0700',mode:absolute,to:'2018-01-11T11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4.6399999999999997E-2</v>
      </c>
      <c r="Z178" s="247">
        <f>RIGHT(H178,LEN(H178)-4)/10000</f>
        <v>5.8949999999999996</v>
      </c>
      <c r="AA178" s="247">
        <f>ABS(Z178-Y178)</f>
        <v>5.8485999999999994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815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/stypes="app*4006*20180111*" /stext=" 17:.+((SYSTEM_STATE.+slice.+state.+changed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35"/>
        <v>"%USERPROFILE%\Documents\GitHub\eaglep3\Utilities\RefineRTDCRunTimes.py" --tripid 815-11 --locoid 4006 --swversion DE.1.0.9.0 --startMP 204:464 --initTime 2018-01-11T10:00:55 --startdatetime 2018-01-11T10:09:14 --delay 223 --endMP 300:58950 --enddatetime 2018-01-11T10:23:02 --enforcementcount 0 &gt;&gt;%USERPROFILE%\Documents\GitHub\eaglep3-reporting\EC\2018-01-11-refined-times.txt</v>
      </c>
      <c r="AI178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{"issue":{"subject":"","project_id":79,"tracker_id":40,"status_id":1,"priority_id":2,"assigned_to_id":338,"start_date":"2018-01-11","description":"","custom_fields":[{"id":1,"name":"Subdivision","value":"NW"},{"id":4,"name":"Milepost","value":"5.895"},{"id":17,"name":"Train ID","value":"815-11"},{"id":16,"name":"Locomotive ID","value":"4006"},{"id":130,"name":"Impact","value":""},{"id":150,"name":"Time of Event (Mountain Time)","value":"10:23:02"},{"id":151,"name":"Denver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231"/>
      <c r="AL178" s="231"/>
      <c r="AM178" s="240" t="str">
        <f t="shared" si="37"/>
        <v>start /low /b %USERPROFILE%\Documents\GitHub\eaglep3\Utilities\DownloadLogsFromS3.py --loco 4006 --day 2018-01-11</v>
      </c>
      <c r="AN178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17:23:02"},{"id":29,"name":"Sharepoint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39"/>
        <v>https://d0f6bd738d7f1b3e5a7ca70fe4ff75f0.us-east-1.aws.found.io/app/kibana#/discover/Steve-Slow-Train-Analysis-(2080s-and-2083s)?_g=(refreshInterval:(display:Off,pause:!f,section:0,value:0),time:(from:'2018-01-11T09:00:55-0700',mode:absolute,to:'2018-01-11T11:23:02-0700'))&amp;_a=(columns:!('Message%20ID',Summary),filters:!(),index:'emp_*',interval:auto,query:(query_string:(analyze_wildcard:!t,query:'%22rtdc.l.rtdc.4006%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23" customFormat="1" x14ac:dyDescent="0.3">
      <c r="A179" s="229" t="s">
        <v>773</v>
      </c>
      <c r="B179" s="225">
        <v>4005</v>
      </c>
      <c r="C179" s="227" t="s">
        <v>191</v>
      </c>
      <c r="D179" s="227" t="s">
        <v>634</v>
      </c>
      <c r="E179" s="226">
        <v>43111.433854166666</v>
      </c>
      <c r="F179" s="226">
        <v>43111.446550925924</v>
      </c>
      <c r="G179" s="225">
        <v>50</v>
      </c>
      <c r="H179" s="227" t="s">
        <v>559</v>
      </c>
      <c r="I179" s="226">
        <v>43111.454699074071</v>
      </c>
      <c r="J179" s="225">
        <v>0</v>
      </c>
      <c r="K179" s="237" t="str">
        <f>IF(ISEVEN(B179),(B179-1)&amp;"/"&amp;B179,B179&amp;"/"&amp;(B179+1))</f>
        <v>4005/4006</v>
      </c>
      <c r="L179" s="245" t="str">
        <f>VLOOKUP(A179,'Trips&amp;Operators'!$C$1:$G$99911,5,FALSE)</f>
        <v>FORTUNATO FRANK</v>
      </c>
      <c r="M179" s="224">
        <f>I179-F179</f>
        <v>8.1481481465743855E-3</v>
      </c>
      <c r="N179" s="225">
        <f>24*60*SUM($M179:$M179)</f>
        <v>11.733333331067115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Southbound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2018-01-11T09:24:45-0700',mode:absolute,to:'2018-01-11T11:54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5.8643000000000001</v>
      </c>
      <c r="Z179" s="247">
        <f>RIGHT(H179,LEN(H179)-4)/10000</f>
        <v>1.35E-2</v>
      </c>
      <c r="AA179" s="247">
        <f>ABS(Z179-Y179)</f>
        <v>5.8508000000000004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816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/stypes="app*4005*20180111*" /stext=" 17:.+((SYSTEM_STATE.+slice.+state.+changed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35"/>
        <v>"%USERPROFILE%\Documents\GitHub\eaglep3\Utilities\RefineRTDCRunTimes.py" --tripid 816-11 --locoid 4005 --swversion DE.1.0.9.0 --startMP 300:58643 --initTime 2018-01-11T10:24:45 --startdatetime 2018-01-11T10:43:02 --delay 50 --endMP 204:135 --enddatetime 2018-01-11T10:54:46 --enforcementcount 0 &gt;&gt;%USERPROFILE%\Documents\GitHub\eaglep3-reporting\EC\2018-01-11-refined-times.txt</v>
      </c>
      <c r="AI179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{"issue":{"subject":"","project_id":79,"tracker_id":40,"status_id":1,"priority_id":2,"assigned_to_id":338,"start_date":"2018-01-11","description":"","custom_fields":[{"id":1,"name":"Subdivision","value":"NW"},{"id":4,"name":"Milepost","value":"0.0135"},{"id":17,"name":"Train ID","value":"816-11"},{"id":16,"name":"Locomotive ID","value":"4005"},{"id":130,"name":"Impact","value":""},{"id":150,"name":"Time of Event (Mountain Time)","value":"10:54:46"},{"id":151,"name":"Denver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231"/>
      <c r="AL179" s="231"/>
      <c r="AM179" s="240" t="str">
        <f t="shared" si="37"/>
        <v>start /low /b %USERPROFILE%\Documents\GitHub\eaglep3\Utilities\DownloadLogsFromS3.py --loco 4005 --day 2018-01-11</v>
      </c>
      <c r="AN179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17:54:46"},{"id":29,"name":"Sharepoint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39"/>
        <v>https://d0f6bd738d7f1b3e5a7ca70fe4ff75f0.us-east-1.aws.found.io/app/kibana#/discover/Steve-Slow-Train-Analysis-(2080s-and-2083s)?_g=(refreshInterval:(display:Off,pause:!f,section:0,value:0),time:(from:'2018-01-11T09:24:45-0700',mode:absolute,to:'2018-01-11T11:54:46-0700'))&amp;_a=(columns:!('Message%20ID',Summary),filters:!(),index:'emp_*',interval:auto,query:(query_string:(analyze_wildcard:!t,query:'%22rtdc.l.rtdc.4005%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3" customFormat="1" x14ac:dyDescent="0.3">
      <c r="A180" s="229" t="s">
        <v>775</v>
      </c>
      <c r="B180" s="225">
        <v>4006</v>
      </c>
      <c r="C180" s="227" t="s">
        <v>191</v>
      </c>
      <c r="D180" s="227" t="s">
        <v>1065</v>
      </c>
      <c r="E180" s="226">
        <v>43111.456064814818</v>
      </c>
      <c r="F180" s="226">
        <v>43111.464745370373</v>
      </c>
      <c r="G180" s="225">
        <v>46</v>
      </c>
      <c r="H180" s="227" t="s">
        <v>635</v>
      </c>
      <c r="I180" s="226">
        <v>43111.475266203706</v>
      </c>
      <c r="J180" s="225">
        <v>0</v>
      </c>
      <c r="K180" s="237" t="str">
        <f>IF(ISEVEN(B180),(B180-1)&amp;"/"&amp;B180,B180&amp;"/"&amp;(B180+1))</f>
        <v>4005/4006</v>
      </c>
      <c r="L180" s="245" t="str">
        <f>VLOOKUP(A180,'Trips&amp;Operators'!$C$1:$G$99911,5,FALSE)</f>
        <v>FORTUNATO FRANK</v>
      </c>
      <c r="M180" s="224">
        <f>I180-F180</f>
        <v>1.0520833333430346E-2</v>
      </c>
      <c r="N180" s="225">
        <f>24*60*SUM($M180:$M180)</f>
        <v>15.150000000139698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NorthBound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2018-01-11T09:56:44-0700',mode:absolute,to:'2018-01-11T12:24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4.5900000000000003E-2</v>
      </c>
      <c r="Z180" s="247">
        <f>RIGHT(H180,LEN(H180)-4)/10000</f>
        <v>5.8973000000000004</v>
      </c>
      <c r="AA180" s="247">
        <f>ABS(Z180-Y180)</f>
        <v>5.8514000000000008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817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/stypes="app*4006*20180111*" /stext=" 18:.+((SYSTEM_STATE.+slice.+state.+changed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35"/>
        <v>"%USERPROFILE%\Documents\GitHub\eaglep3\Utilities\RefineRTDCRunTimes.py" --tripid 817-11 --locoid 4006 --swversion DE.1.0.9.0 --startMP 204:459 --initTime 2018-01-11T10:56:44 --startdatetime 2018-01-11T11:09:14 --delay 46 --endMP 300:58973 --enddatetime 2018-01-11T11:24:23 --enforcementcount 0 &gt;&gt;%USERPROFILE%\Documents\GitHub\eaglep3-reporting\EC\2018-01-11-refined-times.txt</v>
      </c>
      <c r="AI180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{"issue":{"subject":"","project_id":79,"tracker_id":40,"status_id":1,"priority_id":2,"assigned_to_id":338,"start_date":"2018-01-11","description":"","custom_fields":[{"id":1,"name":"Subdivision","value":"NW"},{"id":4,"name":"Milepost","value":"5.8973"},{"id":17,"name":"Train ID","value":"817-11"},{"id":16,"name":"Locomotive ID","value":"4006"},{"id":130,"name":"Impact","value":""},{"id":150,"name":"Time of Event (Mountain Time)","value":"11:24:23"},{"id":151,"name":"Denver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1"/>
      <c r="AL180" s="231"/>
      <c r="AM180" s="240" t="str">
        <f t="shared" si="37"/>
        <v>start /low /b %USERPROFILE%\Documents\GitHub\eaglep3\Utilities\DownloadLogsFromS3.py --loco 4006 --day 2018-01-11</v>
      </c>
      <c r="AN180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18:24:23"},{"id":29,"name":"Sharepoint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39"/>
        <v>https://d0f6bd738d7f1b3e5a7ca70fe4ff75f0.us-east-1.aws.found.io/app/kibana#/discover/Steve-Slow-Train-Analysis-(2080s-and-2083s)?_g=(refreshInterval:(display:Off,pause:!f,section:0,value:0),time:(from:'2018-01-11T09:56:44-0700',mode:absolute,to:'2018-01-11T12:24:23-0700'))&amp;_a=(columns:!('Message%20ID',Summary),filters:!(),index:'emp_*',interval:auto,query:(query_string:(analyze_wildcard:!t,query:'%22rtdc.l.rtdc.4006%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3">
      <c r="A181" s="229" t="s">
        <v>781</v>
      </c>
      <c r="B181" s="225">
        <v>4005</v>
      </c>
      <c r="C181" s="227" t="s">
        <v>191</v>
      </c>
      <c r="D181" s="227" t="s">
        <v>1060</v>
      </c>
      <c r="E181" s="226">
        <v>43111.476377314815</v>
      </c>
      <c r="F181" s="226">
        <v>43111.487928240742</v>
      </c>
      <c r="G181" s="225">
        <v>59</v>
      </c>
      <c r="H181" s="227" t="s">
        <v>529</v>
      </c>
      <c r="I181" s="226">
        <v>43111.497141203705</v>
      </c>
      <c r="J181" s="225">
        <v>0</v>
      </c>
      <c r="K181" s="237" t="str">
        <f>IF(ISEVEN(B181),(B181-1)&amp;"/"&amp;B181,B181&amp;"/"&amp;(B181+1))</f>
        <v>4005/4006</v>
      </c>
      <c r="L181" s="245" t="str">
        <f>VLOOKUP(A181,'Trips&amp;Operators'!$C$1:$G$99911,5,FALSE)</f>
        <v>FORTUNATO FRANK</v>
      </c>
      <c r="M181" s="224">
        <f>I181-F181</f>
        <v>9.2129629629198462E-3</v>
      </c>
      <c r="N181" s="225">
        <f>24*60*SUM($M181:$M181)</f>
        <v>13.266666666604578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Southbound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2018-01-11T10:25:59-0700',mode:absolute,to:'2018-01-11T12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5.8662000000000001</v>
      </c>
      <c r="Z181" s="247">
        <f>RIGHT(H181,LEN(H181)-4)/10000</f>
        <v>1.44E-2</v>
      </c>
      <c r="AA181" s="247">
        <f>ABS(Z181-Y181)</f>
        <v>5.8517999999999999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818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/stypes="app*4005*20180111*" /stext=" 18:.+((SYSTEM_STATE.+slice.+state.+changed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35"/>
        <v>"%USERPROFILE%\Documents\GitHub\eaglep3\Utilities\RefineRTDCRunTimes.py" --tripid 818-11 --locoid 4005 --swversion DE.1.0.9.0 --startMP 300:58662 --initTime 2018-01-11T11:25:59 --startdatetime 2018-01-11T11:42:37 --delay 59 --endMP 204:144 --enddatetime 2018-01-11T11:55:53 --enforcementcount 0 &gt;&gt;%USERPROFILE%\Documents\GitHub\eaglep3-reporting\EC\2018-01-11-refined-times.txt</v>
      </c>
      <c r="AI181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{"issue":{"subject":"","project_id":79,"tracker_id":40,"status_id":1,"priority_id":2,"assigned_to_id":338,"start_date":"2018-01-11","description":"","custom_fields":[{"id":1,"name":"Subdivision","value":"NW"},{"id":4,"name":"Milepost","value":"0.0144"},{"id":17,"name":"Train ID","value":"818-11"},{"id":16,"name":"Locomotive ID","value":"4005"},{"id":130,"name":"Impact","value":""},{"id":150,"name":"Time of Event (Mountain Time)","value":"11:55:53"},{"id":151,"name":"Denver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37"/>
        <v>start /low /b %USERPROFILE%\Documents\GitHub\eaglep3\Utilities\DownloadLogsFromS3.py --loco 4005 --day 2018-01-11</v>
      </c>
      <c r="AN181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18:55:53"},{"id":29,"name":"Sharepoint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39"/>
        <v>https://d0f6bd738d7f1b3e5a7ca70fe4ff75f0.us-east-1.aws.found.io/app/kibana#/discover/Steve-Slow-Train-Analysis-(2080s-and-2083s)?_g=(refreshInterval:(display:Off,pause:!f,section:0,value:0),time:(from:'2018-01-11T10:25:59-0700',mode:absolute,to:'2018-01-11T12:55:53-0700'))&amp;_a=(columns:!('Message%20ID',Summary),filters:!(),index:'emp_*',interval:auto,query:(query_string:(analyze_wildcard:!t,query:'%22rtdc.l.rtdc.4005%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787</v>
      </c>
      <c r="B182" s="225">
        <v>4006</v>
      </c>
      <c r="C182" s="227" t="s">
        <v>191</v>
      </c>
      <c r="D182" s="227" t="s">
        <v>526</v>
      </c>
      <c r="E182" s="226">
        <v>43111.499050925922</v>
      </c>
      <c r="F182" s="226">
        <v>43111.50640046296</v>
      </c>
      <c r="G182" s="225">
        <v>46</v>
      </c>
      <c r="H182" s="227" t="s">
        <v>1066</v>
      </c>
      <c r="I182" s="226">
        <v>43111.517071759263</v>
      </c>
      <c r="J182" s="225">
        <v>0</v>
      </c>
      <c r="K182" s="237" t="str">
        <f>IF(ISEVEN(B182),(B182-1)&amp;"/"&amp;B182,B182&amp;"/"&amp;(B182+1))</f>
        <v>4005/4006</v>
      </c>
      <c r="L182" s="245" t="str">
        <f>VLOOKUP(A182,'Trips&amp;Operators'!$C$1:$G$99911,5,FALSE)</f>
        <v>FORTUNATO FRANK</v>
      </c>
      <c r="M182" s="224">
        <f>I182-F182</f>
        <v>1.0671296302461997E-2</v>
      </c>
      <c r="N182" s="225">
        <f>24*60*SUM($M182:$M182)</f>
        <v>15.366666675545275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NorthBound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2018-01-11T10:58:38-0700',mode:absolute,to:'2018-01-11T13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4.4600000000000001E-2</v>
      </c>
      <c r="Z182" s="247">
        <f>RIGHT(H182,LEN(H182)-4)/10000</f>
        <v>5.8994999999999997</v>
      </c>
      <c r="AA182" s="247">
        <f>ABS(Z182-Y182)</f>
        <v>5.8548999999999998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819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/stypes="app*4006*20180111*" /stext=" 19:.+((SYSTEM_STATE.+slice.+state.+changed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35"/>
        <v>"%USERPROFILE%\Documents\GitHub\eaglep3\Utilities\RefineRTDCRunTimes.py" --tripid 819-11 --locoid 4006 --swversion DE.1.0.9.0 --startMP 204:446 --initTime 2018-01-11T11:58:38 --startdatetime 2018-01-11T12:09:13 --delay 46 --endMP 300:58995 --enddatetime 2018-01-11T12:24:35 --enforcementcount 0 &gt;&gt;%USERPROFILE%\Documents\GitHub\eaglep3-reporting\EC\2018-01-11-refined-times.txt</v>
      </c>
      <c r="AI182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{"issue":{"subject":"","project_id":79,"tracker_id":40,"status_id":1,"priority_id":2,"assigned_to_id":338,"start_date":"2018-01-11","description":"","custom_fields":[{"id":1,"name":"Subdivision","value":"NW"},{"id":4,"name":"Milepost","value":"5.8995"},{"id":17,"name":"Train ID","value":"819-11"},{"id":16,"name":"Locomotive ID","value":"4006"},{"id":130,"name":"Impact","value":""},{"id":150,"name":"Time of Event (Mountain Time)","value":"12:24:35"},{"id":151,"name":"Denver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37"/>
        <v>start /low /b %USERPROFILE%\Documents\GitHub\eaglep3\Utilities\DownloadLogsFromS3.py --loco 4006 --day 2018-01-11</v>
      </c>
      <c r="AN182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39"/>
        <v>https://d0f6bd738d7f1b3e5a7ca70fe4ff75f0.us-east-1.aws.found.io/app/kibana#/discover/Steve-Slow-Train-Analysis-(2080s-and-2083s)?_g=(refreshInterval:(display:Off,pause:!f,section:0,value:0),time:(from:'2018-01-11T10:58:38-0700',mode:absolute,to:'2018-01-11T13:24:35-0700'))&amp;_a=(columns:!('Message%20ID',Summary),filters:!(),index:'emp_*',interval:auto,query:(query_string:(analyze_wildcard:!t,query:'%22rtdc.l.rtdc.4006%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3">
      <c r="A183" s="229" t="s">
        <v>793</v>
      </c>
      <c r="B183" s="225">
        <v>4005</v>
      </c>
      <c r="C183" s="227" t="s">
        <v>191</v>
      </c>
      <c r="D183" s="227" t="s">
        <v>1067</v>
      </c>
      <c r="E183" s="226">
        <v>43111.518483796295</v>
      </c>
      <c r="F183" s="226">
        <v>43111.529814814814</v>
      </c>
      <c r="G183" s="225">
        <v>80</v>
      </c>
      <c r="H183" s="227" t="s">
        <v>1068</v>
      </c>
      <c r="I183" s="226">
        <v>43111.538310185184</v>
      </c>
      <c r="J183" s="225">
        <v>0</v>
      </c>
      <c r="K183" s="237" t="str">
        <f>IF(ISEVEN(B183),(B183-1)&amp;"/"&amp;B183,B183&amp;"/"&amp;(B183+1))</f>
        <v>4005/4006</v>
      </c>
      <c r="L183" s="245" t="str">
        <f>VLOOKUP(A183,'Trips&amp;Operators'!$C$1:$G$99911,5,FALSE)</f>
        <v>FORTUNATO FRANK</v>
      </c>
      <c r="M183" s="224">
        <f>I183-F183</f>
        <v>8.4953703699284233E-3</v>
      </c>
      <c r="N183" s="225">
        <f>24*60*SUM($M183:$M183)</f>
        <v>12.23333333269693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Southbound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2018-01-11T11:26:37-0700',mode:absolute,to:'2018-01-11T13:55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5.8677000000000001</v>
      </c>
      <c r="Z183" s="247">
        <f>RIGHT(H183,LEN(H183)-4)/10000</f>
        <v>1.6199999999999999E-2</v>
      </c>
      <c r="AA183" s="247">
        <f>ABS(Z183-Y183)</f>
        <v>5.8514999999999997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820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/stypes="app*4005*20180111*" /stext=" 19:.+((SYSTEM_STATE.+slice.+state.+changed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35"/>
        <v>"%USERPROFILE%\Documents\GitHub\eaglep3\Utilities\RefineRTDCRunTimes.py" --tripid 820-11 --locoid 4005 --swversion DE.1.0.9.0 --startMP 300:58677 --initTime 2018-01-11T12:26:37 --startdatetime 2018-01-11T12:42:56 --delay 80 --endMP 204:162 --enddatetime 2018-01-11T12:55:10 --enforcementcount 0 &gt;&gt;%USERPROFILE%\Documents\GitHub\eaglep3-reporting\EC\2018-01-11-refined-times.txt</v>
      </c>
      <c r="AI183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{"issue":{"subject":"","project_id":79,"tracker_id":40,"status_id":1,"priority_id":2,"assigned_to_id":338,"start_date":"2018-01-11","description":"","custom_fields":[{"id":1,"name":"Subdivision","value":"NW"},{"id":4,"name":"Milepost","value":"0.0162"},{"id":17,"name":"Train ID","value":"820-11"},{"id":16,"name":"Locomotive ID","value":"4005"},{"id":130,"name":"Impact","value":""},{"id":150,"name":"Time of Event (Mountain Time)","value":"12:55:10"},{"id":151,"name":"Denver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37"/>
        <v>start /low /b %USERPROFILE%\Documents\GitHub\eaglep3\Utilities\DownloadLogsFromS3.py --loco 4005 --day 2018-01-11</v>
      </c>
      <c r="AN183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39"/>
        <v>https://d0f6bd738d7f1b3e5a7ca70fe4ff75f0.us-east-1.aws.found.io/app/kibana#/discover/Steve-Slow-Train-Analysis-(2080s-and-2083s)?_g=(refreshInterval:(display:Off,pause:!f,section:0,value:0),time:(from:'2018-01-11T11:26:37-0700',mode:absolute,to:'2018-01-11T13:55:10-0700'))&amp;_a=(columns:!('Message%20ID',Summary),filters:!(),index:'emp_*',interval:auto,query:(query_string:(analyze_wildcard:!t,query:'%22rtdc.l.rtdc.4005%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666</v>
      </c>
      <c r="B184" s="225">
        <v>4006</v>
      </c>
      <c r="C184" s="227" t="s">
        <v>191</v>
      </c>
      <c r="D184" s="227" t="s">
        <v>641</v>
      </c>
      <c r="E184" s="226">
        <v>43111.543194444443</v>
      </c>
      <c r="F184" s="226">
        <v>43111.548113425924</v>
      </c>
      <c r="G184" s="225">
        <v>68</v>
      </c>
      <c r="H184" s="227" t="s">
        <v>533</v>
      </c>
      <c r="I184" s="226">
        <v>43111.557766203703</v>
      </c>
      <c r="J184" s="225">
        <v>0</v>
      </c>
      <c r="K184" s="237" t="str">
        <f>IF(ISEVEN(B184),(B184-1)&amp;"/"&amp;B184,B184&amp;"/"&amp;(B184+1))</f>
        <v>4005/4006</v>
      </c>
      <c r="L184" s="245" t="str">
        <f>VLOOKUP(A184,'Trips&amp;Operators'!$C$1:$G$99911,5,FALSE)</f>
        <v>STAMBAUGH JAMES</v>
      </c>
      <c r="M184" s="224">
        <f>I184-F184</f>
        <v>9.6527777786832303E-3</v>
      </c>
      <c r="N184" s="225">
        <f>24*60*SUM($M184:$M184)</f>
        <v>13.900000001303852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NorthBound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-11T12:02:12-0700',mode:absolute,to:'2018-01-11T14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4.4999999999999998E-2</v>
      </c>
      <c r="Z184" s="247">
        <f>RIGHT(H184,LEN(H184)-4)/10000</f>
        <v>5.8936999999999999</v>
      </c>
      <c r="AA184" s="247">
        <f>ABS(Z184-Y184)</f>
        <v>5.8487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821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/stypes="app*4006*20180111*" /stext=" 20:.+((SYSTEM_STATE.+slice.+state.+changed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35"/>
        <v>"%USERPROFILE%\Documents\GitHub\eaglep3\Utilities\RefineRTDCRunTimes.py" --tripid 821-11 --locoid 4006 --swversion DE.1.0.9.0 --startMP 204:450 --initTime 2018-01-11T13:02:12 --startdatetime 2018-01-11T13:09:17 --delay 68 --endMP 300:58937 --enddatetime 2018-01-11T13:23:11 --enforcementcount 0 &gt;&gt;%USERPROFILE%\Documents\GitHub\eaglep3-reporting\EC\2018-01-11-refined-times.txt</v>
      </c>
      <c r="AI184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{"issue":{"subject":"","project_id":79,"tracker_id":40,"status_id":1,"priority_id":2,"assigned_to_id":338,"start_date":"2018-01-11","description":"","custom_fields":[{"id":1,"name":"Subdivision","value":"NW"},{"id":4,"name":"Milepost","value":"5.8937"},{"id":17,"name":"Train ID","value":"821-11"},{"id":16,"name":"Locomotive ID","value":"4006"},{"id":130,"name":"Impact","value":""},{"id":150,"name":"Time of Event (Mountain Time)","value":"13:23:11"},{"id":151,"name":"Denver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37"/>
        <v>start /low /b %USERPROFILE%\Documents\GitHub\eaglep3\Utilities\DownloadLogsFromS3.py --loco 4006 --day 2018-01-11</v>
      </c>
      <c r="AN184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20:23:11"},{"id":29,"name":"Sharepoint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39"/>
        <v>https://d0f6bd738d7f1b3e5a7ca70fe4ff75f0.us-east-1.aws.found.io/app/kibana#/discover/Steve-Slow-Train-Analysis-(2080s-and-2083s)?_g=(refreshInterval:(display:Off,pause:!f,section:0,value:0),time:(from:'2018-01-11T12:02:12-0700',mode:absolute,to:'2018-01-11T14:23:11-0700'))&amp;_a=(columns:!('Message%20ID',Summary),filters:!(),index:'emp_*',interval:auto,query:(query_string:(analyze_wildcard:!t,query:'%22rtdc.l.rtdc.4006%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3">
      <c r="A185" s="229" t="s">
        <v>802</v>
      </c>
      <c r="B185" s="225">
        <v>4005</v>
      </c>
      <c r="C185" s="227" t="s">
        <v>191</v>
      </c>
      <c r="D185" s="227" t="s">
        <v>531</v>
      </c>
      <c r="E185" s="226">
        <v>43111.560428240744</v>
      </c>
      <c r="F185" s="226">
        <v>43111.57099537037</v>
      </c>
      <c r="G185" s="225">
        <v>80</v>
      </c>
      <c r="H185" s="227" t="s">
        <v>1069</v>
      </c>
      <c r="I185" s="226">
        <v>43111.579502314817</v>
      </c>
      <c r="J185" s="225">
        <v>0</v>
      </c>
      <c r="K185" s="237" t="str">
        <f>IF(ISEVEN(B185),(B185-1)&amp;"/"&amp;B185,B185&amp;"/"&amp;(B185+1))</f>
        <v>4005/4006</v>
      </c>
      <c r="L185" s="245" t="str">
        <f>VLOOKUP(A185,'Trips&amp;Operators'!$C$1:$G$99911,5,FALSE)</f>
        <v>STAMBAUGH JAMES</v>
      </c>
      <c r="M185" s="224">
        <f>I185-F185</f>
        <v>8.5069444467080757E-3</v>
      </c>
      <c r="N185" s="225">
        <f>24*60*SUM($M185:$M185)</f>
        <v>12.250000003259629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Southbound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2018-01-11T12:27:01-0700',mode:absolute,to:'2018-01-11T14:54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5.8620999999999999</v>
      </c>
      <c r="Z185" s="247">
        <f>RIGHT(H185,LEN(H185)-4)/10000</f>
        <v>1.4800000000000001E-2</v>
      </c>
      <c r="AA185" s="247">
        <f>ABS(Z185-Y185)</f>
        <v>5.8472999999999997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822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/stypes="app*4005*20180111*" /stext=" 20:.+((SYSTEM_STATE.+slice.+state.+changed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35"/>
        <v>"%USERPROFILE%\Documents\GitHub\eaglep3\Utilities\RefineRTDCRunTimes.py" --tripid 822-11 --locoid 4005 --swversion DE.1.0.9.0 --startMP 300:58621 --initTime 2018-01-11T13:27:01 --startdatetime 2018-01-11T13:42:14 --delay 80 --endMP 204:148 --enddatetime 2018-01-11T13:54:29 --enforcementcount 0 &gt;&gt;%USERPROFILE%\Documents\GitHub\eaglep3-reporting\EC\2018-01-11-refined-times.txt</v>
      </c>
      <c r="AI185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{"issue":{"subject":"","project_id":79,"tracker_id":40,"status_id":1,"priority_id":2,"assigned_to_id":338,"start_date":"2018-01-11","description":"","custom_fields":[{"id":1,"name":"Subdivision","value":"NW"},{"id":4,"name":"Milepost","value":"0.0148"},{"id":17,"name":"Train ID","value":"822-11"},{"id":16,"name":"Locomotive ID","value":"4005"},{"id":130,"name":"Impact","value":""},{"id":150,"name":"Time of Event (Mountain Time)","value":"13:54:29"},{"id":151,"name":"Denver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37"/>
        <v>start /low /b %USERPROFILE%\Documents\GitHub\eaglep3\Utilities\DownloadLogsFromS3.py --loco 4005 --day 2018-01-11</v>
      </c>
      <c r="AN185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20:54:29"},{"id":29,"name":"Sharepoint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39"/>
        <v>https://d0f6bd738d7f1b3e5a7ca70fe4ff75f0.us-east-1.aws.found.io/app/kibana#/discover/Steve-Slow-Train-Analysis-(2080s-and-2083s)?_g=(refreshInterval:(display:Off,pause:!f,section:0,value:0),time:(from:'2018-01-11T12:27:01-0700',mode:absolute,to:'2018-01-11T14:54:29-0700'))&amp;_a=(columns:!('Message%20ID',Summary),filters:!(),index:'emp_*',interval:auto,query:(query_string:(analyze_wildcard:!t,query:'%22rtdc.l.rtdc.4005%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29" t="s">
        <v>808</v>
      </c>
      <c r="B186" s="225">
        <v>4006</v>
      </c>
      <c r="C186" s="227" t="s">
        <v>191</v>
      </c>
      <c r="D186" s="227" t="s">
        <v>951</v>
      </c>
      <c r="E186" s="226">
        <v>43111.588113425925</v>
      </c>
      <c r="F186" s="226">
        <v>43111.590150462966</v>
      </c>
      <c r="G186" s="225">
        <v>62</v>
      </c>
      <c r="H186" s="227" t="s">
        <v>534</v>
      </c>
      <c r="I186" s="226">
        <v>43111.599398148152</v>
      </c>
      <c r="J186" s="225">
        <v>0</v>
      </c>
      <c r="K186" s="237" t="str">
        <f>IF(ISEVEN(B186),(B186-1)&amp;"/"&amp;B186,B186&amp;"/"&amp;(B186+1))</f>
        <v>4005/4006</v>
      </c>
      <c r="L186" s="245" t="str">
        <f>VLOOKUP(A186,'Trips&amp;Operators'!$C$1:$G$99911,5,FALSE)</f>
        <v>STAMBAUGH JAMES</v>
      </c>
      <c r="M186" s="224">
        <f>I186-F186</f>
        <v>9.2476851859828457E-3</v>
      </c>
      <c r="N186" s="225">
        <f>24*60*SUM($M186:$M186)</f>
        <v>13.316666667815298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NorthBound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-11T13:06:53-0700',mode:absolute,to:'2018-01-11T15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6" s="247" t="str">
        <f>IF(AA186&lt;VLOOKUP(AG186,Variables!$AC$3:$AD$8,2,FALSE),"Y","N")</f>
        <v>N</v>
      </c>
      <c r="X186" s="247">
        <f>VALUE(LEFT(AD186,4))-VALUE(LEFT(AD185,4))</f>
        <v>1</v>
      </c>
      <c r="Y186" s="247">
        <f>RIGHT(D186,LEN(D186)-4)/10000</f>
        <v>4.5100000000000001E-2</v>
      </c>
      <c r="Z186" s="247">
        <f>RIGHT(H186,LEN(H186)-4)/10000</f>
        <v>5.8940999999999999</v>
      </c>
      <c r="AA186" s="247">
        <f>ABS(Z186-Y186)</f>
        <v>5.8490000000000002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823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/stypes="app*4006*20180111*" /stext=" 21:.+((SYSTEM_STATE.+slice.+state.+changed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35"/>
        <v>"%USERPROFILE%\Documents\GitHub\eaglep3\Utilities\RefineRTDCRunTimes.py" --tripid 823-11 --locoid 4006 --swversion DE.1.0.9.0 --startMP 204:451 --initTime 2018-01-11T14:06:53 --startdatetime 2018-01-11T14:09:49 --delay 62 --endMP 300:58941 --enddatetime 2018-01-11T14:23:08 --enforcementcount 0 &gt;&gt;%USERPROFILE%\Documents\GitHub\eaglep3-reporting\EC\2018-01-11-refined-times.txt</v>
      </c>
      <c r="AI186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{"issue":{"subject":"","project_id":79,"tracker_id":40,"status_id":1,"priority_id":2,"assigned_to_id":338,"start_date":"2018-01-11","description":"","custom_fields":[{"id":1,"name":"Subdivision","value":"NW"},{"id":4,"name":"Milepost","value":"5.8941"},{"id":17,"name":"Train ID","value":"823-11"},{"id":16,"name":"Locomotive ID","value":"4006"},{"id":130,"name":"Impact","value":""},{"id":150,"name":"Time of Event (Mountain Time)","value":"14:23:08"},{"id":151,"name":"Denver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37"/>
        <v>start /low /b %USERPROFILE%\Documents\GitHub\eaglep3\Utilities\DownloadLogsFromS3.py --loco 4006 --day 2018-01-11</v>
      </c>
      <c r="AN186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39"/>
        <v>https://d0f6bd738d7f1b3e5a7ca70fe4ff75f0.us-east-1.aws.found.io/app/kibana#/discover/Steve-Slow-Train-Analysis-(2080s-and-2083s)?_g=(refreshInterval:(display:Off,pause:!f,section:0,value:0),time:(from:'2018-01-11T13:06:53-0700',mode:absolute,to:'2018-01-11T15:23:08-0700'))&amp;_a=(columns:!('Message%20ID',Summary),filters:!(),index:'emp_*',interval:auto,query:(query_string:(analyze_wildcard:!t,query:'%22rtdc.l.rtdc.4006%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29" t="s">
        <v>670</v>
      </c>
      <c r="B187" s="225">
        <v>4005</v>
      </c>
      <c r="C187" s="227" t="s">
        <v>191</v>
      </c>
      <c r="D187" s="227" t="s">
        <v>531</v>
      </c>
      <c r="E187" s="226">
        <v>43111.600729166668</v>
      </c>
      <c r="F187" s="226">
        <v>43111.613275462965</v>
      </c>
      <c r="G187" s="225">
        <v>61</v>
      </c>
      <c r="H187" s="227" t="s">
        <v>1070</v>
      </c>
      <c r="I187" s="226">
        <v>43111.620775462965</v>
      </c>
      <c r="J187" s="225">
        <v>0</v>
      </c>
      <c r="K187" s="237" t="str">
        <f>IF(ISEVEN(B187),(B187-1)&amp;"/"&amp;B187,B187&amp;"/"&amp;(B187+1))</f>
        <v>4005/4006</v>
      </c>
      <c r="L187" s="245" t="str">
        <f>VLOOKUP(A187,'Trips&amp;Operators'!$C$1:$G$99911,5,FALSE)</f>
        <v>STAMBAUGH JAMES</v>
      </c>
      <c r="M187" s="224">
        <f>I187-F187</f>
        <v>7.4999999997089617E-3</v>
      </c>
      <c r="N187" s="225">
        <f>24*60*SUM($M187:$M187)</f>
        <v>10.799999999580905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Southbound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2018-01-11T13:25:03-0700',mode:absolute,to:'2018-01-11T15:53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7" s="247" t="str">
        <f>IF(AA187&lt;VLOOKUP(AG187,Variables!$AC$3:$AD$8,2,FALSE),"Y","N")</f>
        <v>Y</v>
      </c>
      <c r="X187" s="247">
        <f>VALUE(LEFT(AD187,4))-VALUE(LEFT(AD186,4))</f>
        <v>1</v>
      </c>
      <c r="Y187" s="247">
        <f>RIGHT(D187,LEN(D187)-4)/10000</f>
        <v>5.8620999999999999</v>
      </c>
      <c r="Z187" s="247">
        <f>RIGHT(H187,LEN(H187)-4)/10000</f>
        <v>0.49280000000000002</v>
      </c>
      <c r="AA187" s="247">
        <f>ABS(Z187-Y187)</f>
        <v>5.3693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824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/stypes="app*4005*20180111*" /stext=" 21:.+((SYSTEM_STATE.+slice.+state.+changed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35"/>
        <v>"%USERPROFILE%\Documents\GitHub\eaglep3\Utilities\RefineRTDCRunTimes.py" --tripid 824-11 --locoid 4005 --swversion DE.1.0.9.0 --startMP 300:58621 --initTime 2018-01-11T14:25:03 --startdatetime 2018-01-11T14:43:07 --delay 61 --endMP 300:4928 --enddatetime 2018-01-11T14:53:55 --enforcementcount 0 &gt;&gt;%USERPROFILE%\Documents\GitHub\eaglep3-reporting\EC\2018-01-11-refined-times.txt</v>
      </c>
      <c r="AI187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{"issue":{"subject":"","project_id":79,"tracker_id":40,"status_id":1,"priority_id":2,"assigned_to_id":338,"start_date":"2018-01-11","description":"","custom_fields":[{"id":1,"name":"Subdivision","value":"NW"},{"id":4,"name":"Milepost","value":"0.4928"},{"id":17,"name":"Train ID","value":"824-11"},{"id":16,"name":"Locomotive ID","value":"4005"},{"id":130,"name":"Impact","value":""},{"id":150,"name":"Time of Event (Mountain Time)","value":"14:53:55"},{"id":151,"name":"Denver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37"/>
        <v>start /low /b %USERPROFILE%\Documents\GitHub\eaglep3\Utilities\DownloadLogsFromS3.py --loco 4005 --day 2018-01-11</v>
      </c>
      <c r="AN187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39"/>
        <v>https://d0f6bd738d7f1b3e5a7ca70fe4ff75f0.us-east-1.aws.found.io/app/kibana#/discover/Steve-Slow-Train-Analysis-(2080s-and-2083s)?_g=(refreshInterval:(display:Off,pause:!f,section:0,value:0),time:(from:'2018-01-11T13:25:03-0700',mode:absolute,to:'2018-01-11T15:53:55-0700'))&amp;_a=(columns:!('Message%20ID',Summary),filters:!(),index:'emp_*',interval:auto,query:(query_string:(analyze_wildcard:!t,query:'%22rtdc.l.rtdc.4005%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814</v>
      </c>
      <c r="B188" s="225">
        <v>4006</v>
      </c>
      <c r="C188" s="227" t="s">
        <v>191</v>
      </c>
      <c r="D188" s="227" t="s">
        <v>642</v>
      </c>
      <c r="E188" s="226">
        <v>43111.625138888892</v>
      </c>
      <c r="F188" s="226">
        <v>43111.631469907406</v>
      </c>
      <c r="G188" s="225">
        <v>66</v>
      </c>
      <c r="H188" s="227" t="s">
        <v>535</v>
      </c>
      <c r="I188" s="226">
        <v>43111.640902777777</v>
      </c>
      <c r="J188" s="225">
        <v>0</v>
      </c>
      <c r="K188" s="237" t="str">
        <f>IF(ISEVEN(B188),(B188-1)&amp;"/"&amp;B188,B188&amp;"/"&amp;(B188+1))</f>
        <v>4005/4006</v>
      </c>
      <c r="L188" s="245" t="str">
        <f>VLOOKUP(A188,'Trips&amp;Operators'!$C$1:$G$99911,5,FALSE)</f>
        <v>STAMBAUGH JAMES</v>
      </c>
      <c r="M188" s="224">
        <f>I188-F188</f>
        <v>9.4328703708015382E-3</v>
      </c>
      <c r="N188" s="225">
        <f>24*60*SUM($M188:$M188)</f>
        <v>13.583333333954215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NorthBound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2018-01-11T14:00:12-0700',mode:absolute,to:'2018-01-11T16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4.1700000000000001E-2</v>
      </c>
      <c r="Z188" s="247">
        <f>RIGHT(H188,LEN(H188)-4)/10000</f>
        <v>5.8933</v>
      </c>
      <c r="AA188" s="247">
        <f>ABS(Z188-Y188)</f>
        <v>5.8516000000000004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825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/stypes="app*4006*20180111*" /stext=" 22:.+((SYSTEM_STATE.+slice.+state.+changed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35"/>
        <v>"%USERPROFILE%\Documents\GitHub\eaglep3\Utilities\RefineRTDCRunTimes.py" --tripid 825-11 --locoid 4006 --swversion DE.1.0.9.0 --startMP 204:417 --initTime 2018-01-11T15:00:12 --startdatetime 2018-01-11T15:09:19 --delay 66 --endMP 300:58933 --enddatetime 2018-01-11T15:22:54 --enforcementcount 0 &gt;&gt;%USERPROFILE%\Documents\GitHub\eaglep3-reporting\EC\2018-01-11-refined-times.txt</v>
      </c>
      <c r="AI188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{"issue":{"subject":"","project_id":79,"tracker_id":40,"status_id":1,"priority_id":2,"assigned_to_id":338,"start_date":"2018-01-11","description":"","custom_fields":[{"id":1,"name":"Subdivision","value":"NW"},{"id":4,"name":"Milepost","value":"5.8933"},{"id":17,"name":"Train ID","value":"825-11"},{"id":16,"name":"Locomotive ID","value":"4006"},{"id":130,"name":"Impact","value":""},{"id":150,"name":"Time of Event (Mountain Time)","value":"15:22:54"},{"id":151,"name":"Denver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37"/>
        <v>start /low /b %USERPROFILE%\Documents\GitHub\eaglep3\Utilities\DownloadLogsFromS3.py --loco 4006 --day 2018-01-11</v>
      </c>
      <c r="AN188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22:22:54"},{"id":29,"name":"Sharepoint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39"/>
        <v>https://d0f6bd738d7f1b3e5a7ca70fe4ff75f0.us-east-1.aws.found.io/app/kibana#/discover/Steve-Slow-Train-Analysis-(2080s-and-2083s)?_g=(refreshInterval:(display:Off,pause:!f,section:0,value:0),time:(from:'2018-01-11T14:00:12-0700',mode:absolute,to:'2018-01-11T16:22:54-0700'))&amp;_a=(columns:!('Message%20ID',Summary),filters:!(),index:'emp_*',interval:auto,query:(query_string:(analyze_wildcard:!t,query:'%22rtdc.l.rtdc.4006%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819</v>
      </c>
      <c r="B189" s="225">
        <v>4005</v>
      </c>
      <c r="C189" s="227" t="s">
        <v>191</v>
      </c>
      <c r="D189" s="227" t="s">
        <v>1071</v>
      </c>
      <c r="E189" s="226">
        <v>43111.642372685186</v>
      </c>
      <c r="F189" s="226">
        <v>43111.654953703706</v>
      </c>
      <c r="G189" s="225">
        <v>77</v>
      </c>
      <c r="H189" s="227" t="s">
        <v>536</v>
      </c>
      <c r="I189" s="226">
        <v>43111.662662037037</v>
      </c>
      <c r="J189" s="225">
        <v>0</v>
      </c>
      <c r="K189" s="237" t="str">
        <f>IF(ISEVEN(B189),(B189-1)&amp;"/"&amp;B189,B189&amp;"/"&amp;(B189+1))</f>
        <v>4005/4006</v>
      </c>
      <c r="L189" s="245" t="str">
        <f>VLOOKUP(A189,'Trips&amp;Operators'!$C$1:$G$99911,5,FALSE)</f>
        <v>STAMBAUGH JAMES</v>
      </c>
      <c r="M189" s="224">
        <f>I189-F189</f>
        <v>7.7083333308110014E-3</v>
      </c>
      <c r="N189" s="225">
        <f>24*60*SUM($M189:$M189)</f>
        <v>11.099999996367842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Southbound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2018-01-11T14:25:01-0700',mode:absolute,to:'2018-01-11T16:54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5.8623000000000003</v>
      </c>
      <c r="Z189" s="247">
        <f>RIGHT(H189,LEN(H189)-4)/10000</f>
        <v>1.5699999999999999E-2</v>
      </c>
      <c r="AA189" s="247">
        <f>ABS(Z189-Y189)</f>
        <v>5.8466000000000005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826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/stypes="app*4005*20180111*" /stext=" 22:.+((SYSTEM_STATE.+slice.+state.+changed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35"/>
        <v>"%USERPROFILE%\Documents\GitHub\eaglep3\Utilities\RefineRTDCRunTimes.py" --tripid 826-11 --locoid 4005 --swversion DE.1.0.9.0 --startMP 300:58623 --initTime 2018-01-11T15:25:01 --startdatetime 2018-01-11T15:43:08 --delay 77 --endMP 204:157 --enddatetime 2018-01-11T15:54:14 --enforcementcount 0 &gt;&gt;%USERPROFILE%\Documents\GitHub\eaglep3-reporting\EC\2018-01-11-refined-times.txt</v>
      </c>
      <c r="AI189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{"issue":{"subject":"","project_id":79,"tracker_id":40,"status_id":1,"priority_id":2,"assigned_to_id":338,"start_date":"2018-01-11","description":"","custom_fields":[{"id":1,"name":"Subdivision","value":"NW"},{"id":4,"name":"Milepost","value":"0.0157"},{"id":17,"name":"Train ID","value":"826-11"},{"id":16,"name":"Locomotive ID","value":"4005"},{"id":130,"name":"Impact","value":""},{"id":150,"name":"Time of Event (Mountain Time)","value":"15:54:14"},{"id":151,"name":"Denver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37"/>
        <v>start /low /b %USERPROFILE%\Documents\GitHub\eaglep3\Utilities\DownloadLogsFromS3.py --loco 4005 --day 2018-01-11</v>
      </c>
      <c r="AN189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22:54:14"},{"id":29,"name":"Sharepoint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39"/>
        <v>https://d0f6bd738d7f1b3e5a7ca70fe4ff75f0.us-east-1.aws.found.io/app/kibana#/discover/Steve-Slow-Train-Analysis-(2080s-and-2083s)?_g=(refreshInterval:(display:Off,pause:!f,section:0,value:0),time:(from:'2018-01-11T14:25:01-0700',mode:absolute,to:'2018-01-11T16:54:14-0700'))&amp;_a=(columns:!('Message%20ID',Summary),filters:!(),index:'emp_*',interval:auto,query:(query_string:(analyze_wildcard:!t,query:'%22rtdc.l.rtdc.4005%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29" t="s">
        <v>820</v>
      </c>
      <c r="B190" s="225">
        <v>4014</v>
      </c>
      <c r="C190" s="227" t="s">
        <v>191</v>
      </c>
      <c r="D190" s="227" t="s">
        <v>945</v>
      </c>
      <c r="E190" s="226">
        <v>43111.647523148145</v>
      </c>
      <c r="F190" s="226">
        <v>43111.652256944442</v>
      </c>
      <c r="G190" s="225">
        <v>94</v>
      </c>
      <c r="H190" s="227" t="s">
        <v>1066</v>
      </c>
      <c r="I190" s="226">
        <v>43111.663182870368</v>
      </c>
      <c r="J190" s="225">
        <v>0</v>
      </c>
      <c r="K190" s="237" t="str">
        <f>IF(ISEVEN(B190),(B190-1)&amp;"/"&amp;B190,B190&amp;"/"&amp;(B190+1))</f>
        <v>4013/4014</v>
      </c>
      <c r="L190" s="245" t="str">
        <f>VLOOKUP(A190,'Trips&amp;Operators'!$C$1:$G$99911,5,FALSE)</f>
        <v>ZEWDU DEREJE</v>
      </c>
      <c r="M190" s="224">
        <f>I190-F190</f>
        <v>1.0925925926130731E-2</v>
      </c>
      <c r="N190" s="225">
        <f>24*60*SUM($M190:$M190)</f>
        <v>15.733333333628252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NorthBound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2018-01-11T14:32:26-0700',mode:absolute,to:'2018-01-11T16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0" s="247" t="str">
        <f>IF(AA190&lt;VLOOKUP(AG190,Variables!$AC$3:$AD$8,2,FALSE),"Y","N")</f>
        <v>N</v>
      </c>
      <c r="X190" s="247">
        <f>VALUE(LEFT(AD190,4))-VALUE(LEFT(AD189,4))</f>
        <v>1</v>
      </c>
      <c r="Y190" s="247">
        <f>RIGHT(D190,LEN(D190)-4)/10000</f>
        <v>4.5999999999999999E-2</v>
      </c>
      <c r="Z190" s="247">
        <f>RIGHT(H190,LEN(H190)-4)/10000</f>
        <v>5.8994999999999997</v>
      </c>
      <c r="AA190" s="247">
        <f>ABS(Z190-Y190)</f>
        <v>5.8534999999999995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827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s3://rtdc.mdm.uploadarchive.raw/RTDC4014/ "%USERPROFILE%\AppData\Local\Temp\OnboardLogs"\RTDC4014\2018-01-11 --exclude "*" --recursive --include "*20180111*" &amp; "%USERPROFILE%\Documents\GitHub\mrs-test-scripts\Headless Mode &amp; Sideloading\WalkAndUnGZ.bat" "%USERPROFILE%\AppData\Local\Temp\OnboardLogs"\RTDC4014\2018-01-11 &amp; aws s3 cp s3://rtdc.mdm.uploadarchive.raw/RTDC4014/ "%USERPROFILE%\AppData\Local\Temp\OnboardLogs"\RTDC4014\2018-01-12 --exclude "*" --recursive --include "*20180112*" &amp; "%USERPROFILE%\Documents\GitHub\mrs-test-scripts\Headless Mode &amp; Sideloading\WalkAndUnGZ.bat" "%USERPROFILE%\AppData\Local\Temp\OnboardLogs"\RTDC4014\2018-01-12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/stypes="app*4014*20180111*" /stext=" 22:.+((SYSTEM_STATE.+slice.+state.+changed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35"/>
        <v>"%USERPROFILE%\Documents\GitHub\eaglep3\Utilities\RefineRTDCRunTimes.py" --tripid 827-11 --locoid 4014 --swversion DE.1.0.9.0 --startMP 204:460 --initTime 2018-01-11T15:32:26 --startdatetime 2018-01-11T15:39:15 --delay 94 --endMP 300:58995 --enddatetime 2018-01-11T15:54:59 --enforcementcount 0 &gt;&gt;%USERPROFILE%\Documents\GitHub\eaglep3-reporting\EC\2018-01-11-refined-times.txt</v>
      </c>
      <c r="AI190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{"issue":{"subject":"","project_id":79,"tracker_id":40,"status_id":1,"priority_id":2,"assigned_to_id":338,"start_date":"2018-01-11","description":"","custom_fields":[{"id":1,"name":"Subdivision","value":"NW"},{"id":4,"name":"Milepost","value":"5.8995"},{"id":17,"name":"Train ID","value":"827-11"},{"id":16,"name":"Locomotive ID","value":"4014"},{"id":130,"name":"Impact","value":""},{"id":150,"name":"Time of Event (Mountain Time)","value":"15:54:59"},{"id":151,"name":"Denver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37"/>
        <v>start /low /b %USERPROFILE%\Documents\GitHub\eaglep3\Utilities\DownloadLogsFromS3.py --loco 4014 --day 2018-01-11</v>
      </c>
      <c r="AN190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22:54:59"},{"id":29,"name":"Sharepoint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39"/>
        <v>https://d0f6bd738d7f1b3e5a7ca70fe4ff75f0.us-east-1.aws.found.io/app/kibana#/discover/Steve-Slow-Train-Analysis-(2080s-and-2083s)?_g=(refreshInterval:(display:Off,pause:!f,section:0,value:0),time:(from:'2018-01-11T14:32:26-0700',mode:absolute,to:'2018-01-11T16:54:59-0700'))&amp;_a=(columns:!('Message%20ID',Summary),filters:!(),index:'emp_*',interval:auto,query:(query_string:(analyze_wildcard:!t,query:'%22rtdc.l.rtdc.4014%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23" customFormat="1" x14ac:dyDescent="0.3">
      <c r="A191" s="229" t="s">
        <v>825</v>
      </c>
      <c r="B191" s="225">
        <v>4013</v>
      </c>
      <c r="C191" s="227" t="s">
        <v>191</v>
      </c>
      <c r="D191" s="227" t="s">
        <v>1072</v>
      </c>
      <c r="E191" s="226">
        <v>43111.664293981485</v>
      </c>
      <c r="F191" s="226">
        <v>43111.675879629627</v>
      </c>
      <c r="G191" s="225">
        <v>76</v>
      </c>
      <c r="H191" s="227" t="s">
        <v>1073</v>
      </c>
      <c r="I191" s="226">
        <v>43111.68408564815</v>
      </c>
      <c r="J191" s="225">
        <v>0</v>
      </c>
      <c r="K191" s="237" t="str">
        <f>IF(ISEVEN(B191),(B191-1)&amp;"/"&amp;B191,B191&amp;"/"&amp;(B191+1))</f>
        <v>4013/4014</v>
      </c>
      <c r="L191" s="245" t="str">
        <f>VLOOKUP(A191,'Trips&amp;Operators'!$C$1:$G$99911,5,FALSE)</f>
        <v>ZEWDU DEREJE</v>
      </c>
      <c r="M191" s="224">
        <f>I191-F191</f>
        <v>8.2060185231966898E-3</v>
      </c>
      <c r="N191" s="225">
        <f>24*60*SUM($M191:$M191)</f>
        <v>11.816666673403233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Southbound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2018-01-11T14:56:35-0700',mode:absolute,to:'2018-01-11T17:25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5.8681000000000001</v>
      </c>
      <c r="Z191" s="247">
        <f>RIGHT(H191,LEN(H191)-4)/10000</f>
        <v>1.7100000000000001E-2</v>
      </c>
      <c r="AA191" s="247">
        <f>ABS(Z191-Y191)</f>
        <v>5.851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828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s3://rtdc.mdm.uploadarchive.raw/RTDC4013/ "%USERPROFILE%\AppData\Local\Temp\OnboardLogs"\RTDC4013\2018-01-11 --exclude "*" --recursive --include "*20180111*" &amp; "%USERPROFILE%\Documents\GitHub\mrs-test-scripts\Headless Mode &amp; Sideloading\WalkAndUnGZ.bat" "%USERPROFILE%\AppData\Local\Temp\OnboardLogs"\RTDC4013\2018-01-11 &amp; aws s3 cp s3://rtdc.mdm.uploadarchive.raw/RTDC4013/ "%USERPROFILE%\AppData\Local\Temp\OnboardLogs"\RTDC4013\2018-01-12 --exclude "*" --recursive --include "*20180112*" &amp; "%USERPROFILE%\Documents\GitHub\mrs-test-scripts\Headless Mode &amp; Sideloading\WalkAndUnGZ.bat" "%USERPROFILE%\AppData\Local\Temp\OnboardLogs"\RTDC4013\2018-01-12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/stypes="app*4013*20180111*" /stext=" 23:.+((SYSTEM_STATE.+slice.+state.+changed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35"/>
        <v>"%USERPROFILE%\Documents\GitHub\eaglep3\Utilities\RefineRTDCRunTimes.py" --tripid 828-11 --locoid 4013 --swversion DE.1.0.9.0 --startMP 300:58681 --initTime 2018-01-11T15:56:35 --startdatetime 2018-01-11T16:13:16 --delay 76 --endMP 204:171 --enddatetime 2018-01-11T16:25:05 --enforcementcount 0 &gt;&gt;%USERPROFILE%\Documents\GitHub\eaglep3-reporting\EC\2018-01-11-refined-times.txt</v>
      </c>
      <c r="AI191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{"issue":{"subject":"","project_id":79,"tracker_id":40,"status_id":1,"priority_id":2,"assigned_to_id":338,"start_date":"2018-01-11","description":"","custom_fields":[{"id":1,"name":"Subdivision","value":"NW"},{"id":4,"name":"Milepost","value":"0.0171"},{"id":17,"name":"Train ID","value":"828-11"},{"id":16,"name":"Locomotive ID","value":"4013"},{"id":130,"name":"Impact","value":""},{"id":150,"name":"Time of Event (Mountain Time)","value":"16:25:05"},{"id":151,"name":"Denver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231"/>
      <c r="AL191" s="231"/>
      <c r="AM191" s="240" t="str">
        <f t="shared" si="37"/>
        <v>start /low /b %USERPROFILE%\Documents\GitHub\eaglep3\Utilities\DownloadLogsFromS3.py --loco 4013 --day 2018-01-11</v>
      </c>
      <c r="AN191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39"/>
        <v>https://d0f6bd738d7f1b3e5a7ca70fe4ff75f0.us-east-1.aws.found.io/app/kibana#/discover/Steve-Slow-Train-Analysis-(2080s-and-2083s)?_g=(refreshInterval:(display:Off,pause:!f,section:0,value:0),time:(from:'2018-01-11T14:56:35-0700',mode:absolute,to:'2018-01-11T17:25:05-0700'))&amp;_a=(columns:!('Message%20ID',Summary),filters:!(),index:'emp_*',interval:auto,query:(query_string:(analyze_wildcard:!t,query:'%22rtdc.l.rtdc.4013%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824</v>
      </c>
      <c r="B192" s="225">
        <v>4006</v>
      </c>
      <c r="C192" s="227" t="s">
        <v>191</v>
      </c>
      <c r="D192" s="227" t="s">
        <v>1072</v>
      </c>
      <c r="E192" s="226">
        <v>43111.664293981485</v>
      </c>
      <c r="F192" s="226">
        <v>43111.673113425924</v>
      </c>
      <c r="G192" s="225">
        <v>76</v>
      </c>
      <c r="H192" s="227" t="s">
        <v>1073</v>
      </c>
      <c r="I192" s="226">
        <v>43111.683819444443</v>
      </c>
      <c r="J192" s="225">
        <v>0</v>
      </c>
      <c r="K192" s="237" t="str">
        <f>IF(ISEVEN(B192),(B192-1)&amp;"/"&amp;B192,B192&amp;"/"&amp;(B192+1))</f>
        <v>4005/4006</v>
      </c>
      <c r="L192" s="245" t="str">
        <f>VLOOKUP(A192,'Trips&amp;Operators'!$C$1:$G$99911,5,FALSE)</f>
        <v>STAMBAUGH JAMES</v>
      </c>
      <c r="M192" s="224">
        <f>I192-F192</f>
        <v>1.0706018518249039E-2</v>
      </c>
      <c r="N192" s="225">
        <f>24*60*SUM($M192:$M192)</f>
        <v>15.416666666278616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NorthBound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2018-01-11T14:56:35-0700',mode:absolute,to:'2018-01-11T17:24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v>6.9400000000000003E-2</v>
      </c>
      <c r="Z192" s="247">
        <v>5.8076999999999996</v>
      </c>
      <c r="AA192" s="247">
        <f>ABS(Z192-Y192)</f>
        <v>5.7382999999999997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829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/stypes="app*4006*20180111*" /stext=" 23:.+((SYSTEM_STATE.+slice.+state.+changed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ref="AH192" si="62">refinertdcruntimes&amp;" --tripid "&amp;A192&amp;" --locoid "&amp;B192&amp;" --swversion "&amp;C192&amp;" --startMP "&amp;D192&amp;" --initTime "&amp;TEXT(E192,"yyyy-mm-ddTHH:MM:SS")&amp;" --startdatetime "&amp;TEXT(F192,"yyyy-mm-ddTHH:MM:SS")&amp;" --delay "&amp;G192&amp;" --endMP "&amp;H192&amp;" --enddatetime "&amp;TEXT(I192,"yyyy-mm-ddTHH:MM:SS")&amp;" --enforcementcount "&amp;J192&amp;IF(outputrefinedruntimes," &gt;&gt;"&amp;RefinedRTDCRunTimesOutputFile,"")</f>
        <v>"%USERPROFILE%\Documents\GitHub\eaglep3\Utilities\RefineRTDCRunTimes.py" --tripid 829-11 --locoid 4006 --swversion DE.1.0.9.0 --startMP 300:58681 --initTime 2018-01-11T15:56:35 --startdatetime 2018-01-11T16:09:17 --delay 76 --endMP 204:171 --enddatetime 2018-01-11T16:24:42 --enforcementcount 0 &gt;&gt;%USERPROFILE%\Documents\GitHub\eaglep3-reporting\EC\2018-01-11-refined-times.txt</v>
      </c>
      <c r="AI192" s="238" t="str">
        <f t="shared" ref="AI192" si="63">"echo {""issue"":{""subject"":"""&amp;R192&amp;""",""project_id"":79,""tracker_id"":40,""status_id"":"&amp;redmine_status&amp;",""priority_id"":"&amp;redmine_priority&amp;",""assigned_to_id"":"&amp;redmine_assignee&amp;",""start_date"":"""&amp;TEXT(I192,"YYYY-mm-dd")&amp;""",""description"":"""&amp;AJ192&amp;""",""custom_fields"":[{""id"":1,""name"":""Subdivision"",""value"":"""&amp;AG192&amp;"""},{""id"":4,""name"":""Milepost"",""value"":"""&amp;Z192&amp;"""},{""id"":17,""name"":""Train ID"",""value"":"""&amp;A192&amp;"""},{""id"":16,""name"":""Locomotive ID"",""value"":"""&amp;B192&amp;"""},{""id"":130,""name"":""Impact"",""value"":"""&amp;AK192&amp;"""},{""id"":150,""name"":""Time of Event (Mountain Time)"",""value"":"""&amp;TEXT(I192,"hh:mm:ss")&amp;"""},{""id"":151,""name"":""Denver Issue ID"",""value"":"""&amp;"""},{""id"":178,""name"":""Operational Impact"",""value"":"""&amp;redmine_op_impact&amp;"""},{""id"":179,""name"":""Denver Segment Assigned"",""value"":"""&amp;AL192&amp;"""}]}}"&amp;"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{"issue":{"subject":"","project_id":79,"tracker_id":40,"status_id":1,"priority_id":2,"assigned_to_id":338,"start_date":"2018-01-11","description":"","custom_fields":[{"id":1,"name":"Subdivision","value":"NW"},{"id":4,"name":"Milepost","value":"5.8077"},{"id":17,"name":"Train ID","value":"829-11"},{"id":16,"name":"Locomotive ID","value":"4006"},{"id":130,"name":"Impact","value":""},{"id":150,"name":"Time of Event (Mountain Time)","value":"16:24:42"},{"id":151,"name":"Denver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ref="AM192" si="64">"start /low /b "&amp;dls3logs&amp;" --loco "&amp;B192&amp;" --day "&amp;TEXT(F192,"YYYY-MM-DD")</f>
        <v>start /low /b %USERPROFILE%\Documents\GitHub\eaglep3\Utilities\DownloadLogsFromS3.py --loco 4006 --day 2018-01-11</v>
      </c>
      <c r="AN192" s="241" t="str">
        <f t="shared" ref="AN192" si="65">"echo {""issue"":{""subject"":"""&amp;R192&amp;""",""project_id"":30,""tracker_id"":4,""status_id"":"&amp;redmine_status_wcr&amp;",""priority_id"":"&amp;redmine_priority_wcr&amp;",""assigned_to_id"":"&amp;redmine_assignee_wcr&amp;",""start_date"":"""&amp;TEXT(I192-utc_offset/24,"YYYY-mm-dd")&amp;""",""description"":"""&amp;AJ192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ref="AO192" si="66"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Message%20ID',Summary),filters:!(),index:'emp_*',interval:auto,query:"&amp;"(query_string:(analyze_wildcard:!t,query:'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2018-01-11T14:56:35-0700',mode:absolute,to:'2018-01-11T17:24:42-0700'))&amp;_a=(columns:!('Message%20ID',Summary),filters:!(),index:'emp_*',interval:auto,query:(query_string:(analyze_wildcard:!t,query:'%22rtdc.l.rtdc.4006%22')),sort:!(Time.ISO8601,asc))</v>
      </c>
    </row>
    <row r="193" spans="1:91" s="223" customFormat="1" x14ac:dyDescent="0.3">
      <c r="A193" s="229" t="s">
        <v>831</v>
      </c>
      <c r="B193" s="225">
        <v>4005</v>
      </c>
      <c r="C193" s="227" t="s">
        <v>191</v>
      </c>
      <c r="D193" s="227" t="s">
        <v>636</v>
      </c>
      <c r="E193" s="226">
        <v>43111.686157407406</v>
      </c>
      <c r="F193" s="226">
        <v>43111.696597222224</v>
      </c>
      <c r="G193" s="225">
        <v>67</v>
      </c>
      <c r="H193" s="227" t="s">
        <v>532</v>
      </c>
      <c r="I193" s="226">
        <v>43111.704837962963</v>
      </c>
      <c r="J193" s="225">
        <v>0</v>
      </c>
      <c r="K193" s="237" t="str">
        <f>IF(ISEVEN(B193),(B193-1)&amp;"/"&amp;B193,B193&amp;"/"&amp;(B193+1))</f>
        <v>4005/4006</v>
      </c>
      <c r="L193" s="245" t="str">
        <f>VLOOKUP(A193,'Trips&amp;Operators'!$C$1:$G$99911,5,FALSE)</f>
        <v>STAMBAUGH JAMES</v>
      </c>
      <c r="M193" s="224">
        <f>I193-F193</f>
        <v>8.2407407389837317E-3</v>
      </c>
      <c r="N193" s="225">
        <f>24*60*SUM($M193:$M193)</f>
        <v>11.866666664136574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Southbound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2018-01-11T15:28:04-0700',mode:absolute,to:'2018-01-11T17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5.8628</v>
      </c>
      <c r="Z193" s="247">
        <f>RIGHT(H193,LEN(H193)-4)/10000</f>
        <v>1.3100000000000001E-2</v>
      </c>
      <c r="AA193" s="247">
        <f>ABS(Z193-Y193)</f>
        <v>5.8497000000000003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830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/stypes="app*4005*20180111*" /stext=" 23:.+((SYSTEM_STATE.+slice.+state.+changed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35"/>
        <v>"%USERPROFILE%\Documents\GitHub\eaglep3\Utilities\RefineRTDCRunTimes.py" --tripid 830-11 --locoid 4005 --swversion DE.1.0.9.0 --startMP 300:58628 --initTime 2018-01-11T16:28:04 --startdatetime 2018-01-11T16:43:06 --delay 67 --endMP 204:131 --enddatetime 2018-01-11T16:54:58 --enforcementcount 0 &gt;&gt;%USERPROFILE%\Documents\GitHub\eaglep3-reporting\EC\2018-01-11-refined-times.txt</v>
      </c>
      <c r="AI193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{"issue":{"subject":"","project_id":79,"tracker_id":40,"status_id":1,"priority_id":2,"assigned_to_id":338,"start_date":"2018-01-11","description":"","custom_fields":[{"id":1,"name":"Subdivision","value":"NW"},{"id":4,"name":"Milepost","value":"0.0131"},{"id":17,"name":"Train ID","value":"830-11"},{"id":16,"name":"Locomotive ID","value":"4005"},{"id":130,"name":"Impact","value":""},{"id":150,"name":"Time of Event (Mountain Time)","value":"16:54:58"},{"id":151,"name":"Denver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37"/>
        <v>start /low /b %USERPROFILE%\Documents\GitHub\eaglep3\Utilities\DownloadLogsFromS3.py --loco 4005 --day 2018-01-11</v>
      </c>
      <c r="AN193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39"/>
        <v>https://d0f6bd738d7f1b3e5a7ca70fe4ff75f0.us-east-1.aws.found.io/app/kibana#/discover/Steve-Slow-Train-Analysis-(2080s-and-2083s)?_g=(refreshInterval:(display:Off,pause:!f,section:0,value:0),time:(from:'2018-01-11T15:28:04-0700',mode:absolute,to:'2018-01-11T17:54:58-0700'))&amp;_a=(columns:!('Message%20ID',Summary),filters:!(),index:'emp_*',interval:auto,query:(query_string:(analyze_wildcard:!t,query:'%22rtdc.l.rtdc.4005%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832</v>
      </c>
      <c r="B194" s="225">
        <v>4014</v>
      </c>
      <c r="C194" s="227" t="s">
        <v>191</v>
      </c>
      <c r="D194" s="227" t="s">
        <v>1074</v>
      </c>
      <c r="E194" s="226">
        <v>43111.689456018517</v>
      </c>
      <c r="F194" s="226">
        <v>43111.694016203706</v>
      </c>
      <c r="G194" s="225">
        <v>61</v>
      </c>
      <c r="H194" s="227" t="s">
        <v>1075</v>
      </c>
      <c r="I194" s="226">
        <v>43111.704907407409</v>
      </c>
      <c r="J194" s="225">
        <v>0</v>
      </c>
      <c r="K194" s="237" t="str">
        <f>IF(ISEVEN(B194),(B194-1)&amp;"/"&amp;B194,B194&amp;"/"&amp;(B194+1))</f>
        <v>4013/4014</v>
      </c>
      <c r="L194" s="245" t="str">
        <f>VLOOKUP(A194,'Trips&amp;Operators'!$C$1:$G$99911,5,FALSE)</f>
        <v>ZEWDU DEREJE</v>
      </c>
      <c r="M194" s="224">
        <f>I194-F194</f>
        <v>1.0891203703067731E-2</v>
      </c>
      <c r="N194" s="225">
        <f>24*60*SUM($M194:$M194)</f>
        <v>15.683333332417533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-11T15:32:49-0700',mode:absolute,to:'2018-01-11T17:55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4.7899999999999998E-2</v>
      </c>
      <c r="Z194" s="247">
        <f>RIGHT(H194,LEN(H194)-4)/10000</f>
        <v>5.8997000000000002</v>
      </c>
      <c r="AA194" s="247">
        <f>ABS(Z194-Y194)</f>
        <v>5.8517999999999999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831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s3://rtdc.mdm.uploadarchive.raw/RTDC4014/ "%USERPROFILE%\AppData\Local\Temp\OnboardLogs"\RTDC4014\2018-01-11 --exclude "*" --recursive --include "*20180111*" &amp; "%USERPROFILE%\Documents\GitHub\mrs-test-scripts\Headless Mode &amp; Sideloading\WalkAndUnGZ.bat" "%USERPROFILE%\AppData\Local\Temp\OnboardLogs"\RTDC4014\2018-01-11 &amp; aws s3 cp s3://rtdc.mdm.uploadarchive.raw/RTDC4014/ "%USERPROFILE%\AppData\Local\Temp\OnboardLogs"\RTDC4014\2018-01-12 --exclude "*" --recursive --include "*20180112*" &amp; "%USERPROFILE%\Documents\GitHub\mrs-test-scripts\Headless Mode &amp; Sideloading\WalkAndUnGZ.bat" "%USERPROFILE%\AppData\Local\Temp\OnboardLogs"\RTDC4014\2018-01-12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/stypes="app*4014*20180111*" /stext=" 23:.+((SYSTEM_STATE.+slice.+state.+changed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35"/>
        <v>"%USERPROFILE%\Documents\GitHub\eaglep3\Utilities\RefineRTDCRunTimes.py" --tripid 831-11 --locoid 4014 --swversion DE.1.0.9.0 --startMP 204:479 --initTime 2018-01-11T16:32:49 --startdatetime 2018-01-11T16:39:23 --delay 61 --endMP 300:58997 --enddatetime 2018-01-11T16:55:04 --enforcementcount 0 &gt;&gt;%USERPROFILE%\Documents\GitHub\eaglep3-reporting\EC\2018-01-11-refined-times.txt</v>
      </c>
      <c r="AI194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{"issue":{"subject":"","project_id":79,"tracker_id":40,"status_id":1,"priority_id":2,"assigned_to_id":338,"start_date":"2018-01-11","description":"","custom_fields":[{"id":1,"name":"Subdivision","value":"NW"},{"id":4,"name":"Milepost","value":"5.8997"},{"id":17,"name":"Train ID","value":"831-11"},{"id":16,"name":"Locomotive ID","value":"4014"},{"id":130,"name":"Impact","value":""},{"id":150,"name":"Time of Event (Mountain Time)","value":"16:55:04"},{"id":151,"name":"Denver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37"/>
        <v>start /low /b %USERPROFILE%\Documents\GitHub\eaglep3\Utilities\DownloadLogsFromS3.py --loco 4014 --day 2018-01-11</v>
      </c>
      <c r="AN194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39"/>
        <v>https://d0f6bd738d7f1b3e5a7ca70fe4ff75f0.us-east-1.aws.found.io/app/kibana#/discover/Steve-Slow-Train-Analysis-(2080s-and-2083s)?_g=(refreshInterval:(display:Off,pause:!f,section:0,value:0),time:(from:'2018-01-11T15:32:49-0700',mode:absolute,to:'2018-01-11T17:55:04-0700'))&amp;_a=(columns:!('Message%20ID',Summary),filters:!(),index:'emp_*',interval:auto,query:(query_string:(analyze_wildcard:!t,query:'%22rtdc.l.rtdc.4014%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23" customFormat="1" x14ac:dyDescent="0.3">
      <c r="A195" s="229" t="s">
        <v>679</v>
      </c>
      <c r="B195" s="225">
        <v>4013</v>
      </c>
      <c r="C195" s="227" t="s">
        <v>191</v>
      </c>
      <c r="D195" s="227" t="s">
        <v>1076</v>
      </c>
      <c r="E195" s="226">
        <v>43111.706122685187</v>
      </c>
      <c r="F195" s="226">
        <v>43111.717210648145</v>
      </c>
      <c r="G195" s="225">
        <v>59</v>
      </c>
      <c r="H195" s="227" t="s">
        <v>1077</v>
      </c>
      <c r="I195" s="226">
        <v>43111.725173611114</v>
      </c>
      <c r="J195" s="225">
        <v>0</v>
      </c>
      <c r="K195" s="237" t="str">
        <f>IF(ISEVEN(B195),(B195-1)&amp;"/"&amp;B195,B195&amp;"/"&amp;(B195+1))</f>
        <v>4013/4014</v>
      </c>
      <c r="L195" s="245" t="str">
        <f>VLOOKUP(A195,'Trips&amp;Operators'!$C$1:$G$99911,5,FALSE)</f>
        <v>ZEWDU DEREJE</v>
      </c>
      <c r="M195" s="224">
        <f>I195-F195</f>
        <v>7.9629629690316506E-3</v>
      </c>
      <c r="N195" s="225">
        <f>24*60*SUM($M195:$M195)</f>
        <v>11.466666675405577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2018-01-11T15:56:49-0700',mode:absolute,to:'2018-01-11T18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5" s="247" t="str">
        <f>IF(AA195&lt;VLOOKUP(AG195,Variables!$AC$3:$AD$8,2,FALSE),"Y","N")</f>
        <v>Y</v>
      </c>
      <c r="X195" s="247">
        <f>VALUE(LEFT(AD195,4))-VALUE(LEFT(AD194,4))</f>
        <v>1</v>
      </c>
      <c r="Y195" s="247">
        <f>RIGHT(D195,LEN(D195)-4)/10000</f>
        <v>5.8682999999999996</v>
      </c>
      <c r="Z195" s="247">
        <f>RIGHT(H195,LEN(H195)-4)/10000</f>
        <v>0.45350000000000001</v>
      </c>
      <c r="AA195" s="247">
        <f>ABS(Z195-Y195)</f>
        <v>5.4147999999999996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832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s3://rtdc.mdm.uploadarchive.raw/RTDC4013/ "%USERPROFILE%\AppData\Local\Temp\OnboardLogs"\RTDC4013\2018-01-11 --exclude "*" --recursive --include "*20180111*" &amp; "%USERPROFILE%\Documents\GitHub\mrs-test-scripts\Headless Mode &amp; Sideloading\WalkAndUnGZ.bat" "%USERPROFILE%\AppData\Local\Temp\OnboardLogs"\RTDC4013\2018-01-11 &amp; aws s3 cp s3://rtdc.mdm.uploadarchive.raw/RTDC4013/ "%USERPROFILE%\AppData\Local\Temp\OnboardLogs"\RTDC4013\2018-01-12 --exclude "*" --recursive --include "*20180112*" &amp; "%USERPROFILE%\Documents\GitHub\mrs-test-scripts\Headless Mode &amp; Sideloading\WalkAndUnGZ.bat" "%USERPROFILE%\AppData\Local\Temp\OnboardLogs"\RTDC4013\2018-01-12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/stypes="app*4013*20180112*" /stext=" 00:.+((SYSTEM_STATE.+slice.+state.+changed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35"/>
        <v>"%USERPROFILE%\Documents\GitHub\eaglep3\Utilities\RefineRTDCRunTimes.py" --tripid 832-11 --locoid 4013 --swversion DE.1.0.9.0 --startMP 300:58683 --initTime 2018-01-11T16:56:49 --startdatetime 2018-01-11T17:12:47 --delay 59 --endMP 204:4535 --enddatetime 2018-01-11T17:24:15 --enforcementcount 0 &gt;&gt;%USERPROFILE%\Documents\GitHub\eaglep3-reporting\EC\2018-01-11-refined-times.txt</v>
      </c>
      <c r="AI195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{"issue":{"subject":"","project_id":79,"tracker_id":40,"status_id":1,"priority_id":2,"assigned_to_id":338,"start_date":"2018-01-11","description":"","custom_fields":[{"id":1,"name":"Subdivision","value":"NW"},{"id":4,"name":"Milepost","value":"0.4535"},{"id":17,"name":"Train ID","value":"832-11"},{"id":16,"name":"Locomotive ID","value":"4013"},{"id":130,"name":"Impact","value":""},{"id":150,"name":"Time of Event (Mountain Time)","value":"17:24:15"},{"id":151,"name":"Denver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231"/>
      <c r="AL195" s="231"/>
      <c r="AM195" s="240" t="str">
        <f t="shared" si="37"/>
        <v>start /low /b %USERPROFILE%\Documents\GitHub\eaglep3\Utilities\DownloadLogsFromS3.py --loco 4013 --day 2018-01-11</v>
      </c>
      <c r="AN195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39"/>
        <v>https://d0f6bd738d7f1b3e5a7ca70fe4ff75f0.us-east-1.aws.found.io/app/kibana#/discover/Steve-Slow-Train-Analysis-(2080s-and-2083s)?_g=(refreshInterval:(display:Off,pause:!f,section:0,value:0),time:(from:'2018-01-11T15:56:49-0700',mode:absolute,to:'2018-01-11T18:24:15-0700'))&amp;_a=(columns:!('Message%20ID',Summary),filters:!(),index:'emp_*',interval:auto,query:(query_string:(analyze_wildcard:!t,query:'%22rtdc.l.rtdc.4013%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29" t="s">
        <v>836</v>
      </c>
      <c r="B196" s="225">
        <v>4006</v>
      </c>
      <c r="C196" s="227" t="s">
        <v>191</v>
      </c>
      <c r="D196" s="227" t="s">
        <v>1078</v>
      </c>
      <c r="E196" s="226">
        <v>43111.712488425925</v>
      </c>
      <c r="F196" s="226">
        <v>43111.714930555558</v>
      </c>
      <c r="G196" s="225">
        <v>52</v>
      </c>
      <c r="H196" s="227" t="s">
        <v>533</v>
      </c>
      <c r="I196" s="226">
        <v>43111.724953703706</v>
      </c>
      <c r="J196" s="225">
        <v>0</v>
      </c>
      <c r="K196" s="237" t="str">
        <f>IF(ISEVEN(B196),(B196-1)&amp;"/"&amp;B196,B196&amp;"/"&amp;(B196+1))</f>
        <v>4005/4006</v>
      </c>
      <c r="L196" s="245" t="str">
        <f>VLOOKUP(A196,'Trips&amp;Operators'!$C$1:$G$99911,5,FALSE)</f>
        <v>STAMBAUGH JAMES</v>
      </c>
      <c r="M196" s="224">
        <f>I196-F196</f>
        <v>1.0023148148320615E-2</v>
      </c>
      <c r="N196" s="225">
        <f>24*60*SUM($M196:$M196)</f>
        <v>14.433333333581686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2018-01-11T16:05:59-0700',mode:absolute,to:'2018-01-11T18:23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6" s="247" t="str">
        <f>IF(AA196&lt;VLOOKUP(AG196,Variables!$AC$3:$AD$8,2,FALSE),"Y","N")</f>
        <v>N</v>
      </c>
      <c r="X196" s="247">
        <f>VALUE(LEFT(AD196,4))-VALUE(LEFT(AD195,4))</f>
        <v>1</v>
      </c>
      <c r="Y196" s="247">
        <f>RIGHT(D196,LEN(D196)-4)/10000</f>
        <v>4.3700000000000003E-2</v>
      </c>
      <c r="Z196" s="247">
        <f>RIGHT(H196,LEN(H196)-4)/10000</f>
        <v>5.8936999999999999</v>
      </c>
      <c r="AA196" s="247">
        <f>ABS(Z196-Y196)</f>
        <v>5.85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833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/stypes="app*4006*20180112*" /stext=" 00:.+((SYSTEM_STATE.+slice.+state.+changed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35"/>
        <v>"%USERPROFILE%\Documents\GitHub\eaglep3\Utilities\RefineRTDCRunTimes.py" --tripid 833-11 --locoid 4006 --swversion DE.1.0.9.0 --startMP 204:437 --initTime 2018-01-11T17:05:59 --startdatetime 2018-01-11T17:09:30 --delay 52 --endMP 300:58937 --enddatetime 2018-01-11T17:23:56 --enforcementcount 0 &gt;&gt;%USERPROFILE%\Documents\GitHub\eaglep3-reporting\EC\2018-01-11-refined-times.txt</v>
      </c>
      <c r="AI196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{"issue":{"subject":"","project_id":79,"tracker_id":40,"status_id":1,"priority_id":2,"assigned_to_id":338,"start_date":"2018-01-11","description":"","custom_fields":[{"id":1,"name":"Subdivision","value":"NW"},{"id":4,"name":"Milepost","value":"5.8937"},{"id":17,"name":"Train ID","value":"833-11"},{"id":16,"name":"Locomotive ID","value":"4006"},{"id":130,"name":"Impact","value":""},{"id":150,"name":"Time of Event (Mountain Time)","value":"17:23:56"},{"id":151,"name":"Denver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37"/>
        <v>start /low /b %USERPROFILE%\Documents\GitHub\eaglep3\Utilities\DownloadLogsFromS3.py --loco 4006 --day 2018-01-11</v>
      </c>
      <c r="AN196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39"/>
        <v>https://d0f6bd738d7f1b3e5a7ca70fe4ff75f0.us-east-1.aws.found.io/app/kibana#/discover/Steve-Slow-Train-Analysis-(2080s-and-2083s)?_g=(refreshInterval:(display:Off,pause:!f,section:0,value:0),time:(from:'2018-01-11T16:05:59-0700',mode:absolute,to:'2018-01-11T18:23:56-0700'))&amp;_a=(columns:!('Message%20ID',Summary),filters:!(),index:'emp_*',interval:auto,query:(query_string:(analyze_wildcard:!t,query:'%22rtdc.l.rtdc.4006%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841</v>
      </c>
      <c r="B197" s="225">
        <v>4005</v>
      </c>
      <c r="C197" s="227" t="s">
        <v>191</v>
      </c>
      <c r="D197" s="227" t="s">
        <v>527</v>
      </c>
      <c r="E197" s="226">
        <v>43111.725937499999</v>
      </c>
      <c r="F197" s="226">
        <v>43111.738298611112</v>
      </c>
      <c r="G197" s="225">
        <v>53</v>
      </c>
      <c r="H197" s="227" t="s">
        <v>632</v>
      </c>
      <c r="I197" s="226">
        <v>43111.74591435185</v>
      </c>
      <c r="J197" s="225">
        <v>0</v>
      </c>
      <c r="K197" s="237" t="str">
        <f>IF(ISEVEN(B197),(B197-1)&amp;"/"&amp;B197,B197&amp;"/"&amp;(B197+1))</f>
        <v>4005/4006</v>
      </c>
      <c r="L197" s="245" t="str">
        <f>VLOOKUP(A197,'Trips&amp;Operators'!$C$1:$G$99911,5,FALSE)</f>
        <v>STAMBAUGH JAMES</v>
      </c>
      <c r="M197" s="224">
        <f>I197-F197</f>
        <v>7.6157407384016551E-3</v>
      </c>
      <c r="N197" s="225">
        <f>24*60*SUM($M197:$M197)</f>
        <v>10.966666663298383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2018-01-11T16:25:21-0700',mode:absolute,to:'2018-01-11T18:54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7" s="247" t="str">
        <f>IF(AA197&lt;VLOOKUP(AG197,Variables!$AC$3:$AD$8,2,FALSE),"Y","N")</f>
        <v>N</v>
      </c>
      <c r="X197" s="247">
        <f>VALUE(LEFT(AD197,4))-VALUE(LEFT(AD196,4))</f>
        <v>1</v>
      </c>
      <c r="Y197" s="247">
        <f>RIGHT(D197,LEN(D197)-4)/10000</f>
        <v>5.8619000000000003</v>
      </c>
      <c r="Z197" s="247">
        <f>RIGHT(H197,LEN(H197)-4)/10000</f>
        <v>1.66E-2</v>
      </c>
      <c r="AA197" s="247">
        <f>ABS(Z197-Y197)</f>
        <v>5.8452999999999999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834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/stypes="app*4005*20180112*" /stext=" 00:.+((SYSTEM_STATE.+slice.+state.+changed )|(ment ac)|(multiple cpu faults)|(system.+state.+changed )|(\[timeout)|(PRM\|1\|D)|(kpr)|(kdp)|(train st.+moving)|(\|lc)|(penalty))"</v>
      </c>
      <c r="AG197" s="244" t="str">
        <f>DetSubdiv(A197)</f>
        <v>NW</v>
      </c>
      <c r="AH197" s="236" t="str">
        <f t="shared" si="35"/>
        <v>"%USERPROFILE%\Documents\GitHub\eaglep3\Utilities\RefineRTDCRunTimes.py" --tripid 834-11 --locoid 4005 --swversion DE.1.0.9.0 --startMP 300:58619 --initTime 2018-01-11T17:25:21 --startdatetime 2018-01-11T17:43:09 --delay 53 --endMP 204:166 --enddatetime 2018-01-11T17:54:07 --enforcementcount 0 &gt;&gt;%USERPROFILE%\Documents\GitHub\eaglep3-reporting\EC\2018-01-11-refined-times.txt</v>
      </c>
      <c r="AI197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{"issue":{"subject":"","project_id":79,"tracker_id":40,"status_id":1,"priority_id":2,"assigned_to_id":338,"start_date":"2018-01-11","description":"","custom_fields":[{"id":1,"name":"Subdivision","value":"NW"},{"id":4,"name":"Milepost","value":"0.0166"},{"id":17,"name":"Train ID","value":"834-11"},{"id":16,"name":"Locomotive ID","value":"4005"},{"id":130,"name":"Impact","value":""},{"id":150,"name":"Time of Event (Mountain Time)","value":"17:54:07"},{"id":151,"name":"Denver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37"/>
        <v>start /low /b %USERPROFILE%\Documents\GitHub\eaglep3\Utilities\DownloadLogsFromS3.py --loco 4005 --day 2018-01-11</v>
      </c>
      <c r="AN197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39"/>
        <v>https://d0f6bd738d7f1b3e5a7ca70fe4ff75f0.us-east-1.aws.found.io/app/kibana#/discover/Steve-Slow-Train-Analysis-(2080s-and-2083s)?_g=(refreshInterval:(display:Off,pause:!f,section:0,value:0),time:(from:'2018-01-11T16:25:21-0700',mode:absolute,to:'2018-01-11T18:54:07-0700'))&amp;_a=(columns:!('Message%20ID',Summary),filters:!(),index:'emp_*',interval:auto,query:(query_string:(analyze_wildcard:!t,query:'%22rtdc.l.rtdc.4005%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23" customFormat="1" x14ac:dyDescent="0.3">
      <c r="A198" s="229" t="s">
        <v>844</v>
      </c>
      <c r="B198" s="225">
        <v>4014</v>
      </c>
      <c r="C198" s="227" t="s">
        <v>191</v>
      </c>
      <c r="D198" s="227" t="s">
        <v>605</v>
      </c>
      <c r="E198" s="226">
        <v>43111.731134259258</v>
      </c>
      <c r="F198" s="226">
        <v>43111.735613425924</v>
      </c>
      <c r="G198" s="225">
        <v>66</v>
      </c>
      <c r="H198" s="227" t="s">
        <v>1079</v>
      </c>
      <c r="I198" s="226">
        <v>43111.746400462966</v>
      </c>
      <c r="J198" s="225">
        <v>0</v>
      </c>
      <c r="K198" s="237" t="str">
        <f>IF(ISEVEN(B198),(B198-1)&amp;"/"&amp;B198,B198&amp;"/"&amp;(B198+1))</f>
        <v>4013/4014</v>
      </c>
      <c r="L198" s="245" t="str">
        <f>VLOOKUP(A198,'Trips&amp;Operators'!$C$1:$G$99911,5,FALSE)</f>
        <v>ZEWDU DEREJE</v>
      </c>
      <c r="M198" s="224">
        <f>I198-F198</f>
        <v>1.078703704115469E-2</v>
      </c>
      <c r="N198" s="225">
        <f>24*60*SUM($M198:$M198)</f>
        <v>15.533333339262754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2018-01-11T16:32:50-0700',mode:absolute,to:'2018-01-11T18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8" s="247" t="str">
        <f>IF(AA198&lt;VLOOKUP(AG198,Variables!$AC$3:$AD$8,2,FALSE),"Y","N")</f>
        <v>N</v>
      </c>
      <c r="X198" s="247">
        <f>VALUE(LEFT(AD198,4))-VALUE(LEFT(AD197,4))</f>
        <v>1</v>
      </c>
      <c r="Y198" s="247">
        <f>RIGHT(D198,LEN(D198)-4)/10000</f>
        <v>4.8599999999999997E-2</v>
      </c>
      <c r="Z198" s="247">
        <f>RIGHT(H198,LEN(H198)-4)/10000</f>
        <v>5.8998999999999997</v>
      </c>
      <c r="AA198" s="247">
        <f>ABS(Z198-Y198)</f>
        <v>5.8512999999999993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835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s3://rtdc.mdm.uploadarchive.raw/RTDC4014/ "%USERPROFILE%\AppData\Local\Temp\OnboardLogs"\RTDC4014\2018-01-11 --exclude "*" --recursive --include "*20180111*" &amp; "%USERPROFILE%\Documents\GitHub\mrs-test-scripts\Headless Mode &amp; Sideloading\WalkAndUnGZ.bat" "%USERPROFILE%\AppData\Local\Temp\OnboardLogs"\RTDC4014\2018-01-11 &amp; aws s3 cp s3://rtdc.mdm.uploadarchive.raw/RTDC4014/ "%USERPROFILE%\AppData\Local\Temp\OnboardLogs"\RTDC4014\2018-01-12 --exclude "*" --recursive --include "*20180112*" &amp; "%USERPROFILE%\Documents\GitHub\mrs-test-scripts\Headless Mode &amp; Sideloading\WalkAndUnGZ.bat" "%USERPROFILE%\AppData\Local\Temp\OnboardLogs"\RTDC4014\2018-01-12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/stypes="app*4014*20180112*" /stext=" 00:.+((SYSTEM_STATE.+slice.+state.+changed )|(ment ac)|(multiple cpu faults)|(system.+state.+changed )|(\[timeout)|(PRM\|1\|D)|(kpr)|(kdp)|(train st.+moving)|(\|lc)|(penalty))"</v>
      </c>
      <c r="AG198" s="244" t="str">
        <f>DetSubdiv(A198)</f>
        <v>NW</v>
      </c>
      <c r="AH198" s="236" t="str">
        <f t="shared" si="35"/>
        <v>"%USERPROFILE%\Documents\GitHub\eaglep3\Utilities\RefineRTDCRunTimes.py" --tripid 835-11 --locoid 4014 --swversion DE.1.0.9.0 --startMP 204:486 --initTime 2018-01-11T17:32:50 --startdatetime 2018-01-11T17:39:17 --delay 66 --endMP 300:58999 --enddatetime 2018-01-11T17:54:49 --enforcementcount 0 &gt;&gt;%USERPROFILE%\Documents\GitHub\eaglep3-reporting\EC\2018-01-11-refined-times.txt</v>
      </c>
      <c r="AI198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{"issue":{"subject":"","project_id":79,"tracker_id":40,"status_id":1,"priority_id":2,"assigned_to_id":338,"start_date":"2018-01-11","description":"","custom_fields":[{"id":1,"name":"Subdivision","value":"NW"},{"id":4,"name":"Milepost","value":"5.8999"},{"id":17,"name":"Train ID","value":"835-11"},{"id":16,"name":"Locomotive ID","value":"4014"},{"id":130,"name":"Impact","value":""},{"id":150,"name":"Time of Event (Mountain Time)","value":"17:54:49"},{"id":151,"name":"Denver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231"/>
      <c r="AL198" s="231"/>
      <c r="AM198" s="240" t="str">
        <f t="shared" si="37"/>
        <v>start /low /b %USERPROFILE%\Documents\GitHub\eaglep3\Utilities\DownloadLogsFromS3.py --loco 4014 --day 2018-01-11</v>
      </c>
      <c r="AN198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39"/>
        <v>https://d0f6bd738d7f1b3e5a7ca70fe4ff75f0.us-east-1.aws.found.io/app/kibana#/discover/Steve-Slow-Train-Analysis-(2080s-and-2083s)?_g=(refreshInterval:(display:Off,pause:!f,section:0,value:0),time:(from:'2018-01-11T16:32:50-0700',mode:absolute,to:'2018-01-11T18:54:49-0700'))&amp;_a=(columns:!('Message%20ID',Summary),filters:!(),index:'emp_*',interval:auto,query:(query_string:(analyze_wildcard:!t,query:'%22rtdc.l.rtdc.4014%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23" customFormat="1" x14ac:dyDescent="0.3">
      <c r="A199" s="229" t="s">
        <v>849</v>
      </c>
      <c r="B199" s="225">
        <v>4013</v>
      </c>
      <c r="C199" s="227" t="s">
        <v>191</v>
      </c>
      <c r="D199" s="227" t="s">
        <v>1080</v>
      </c>
      <c r="E199" s="226">
        <v>43111.747615740744</v>
      </c>
      <c r="F199" s="226">
        <v>43111.758784722224</v>
      </c>
      <c r="G199" s="225">
        <v>66</v>
      </c>
      <c r="H199" s="227" t="s">
        <v>1068</v>
      </c>
      <c r="I199" s="226">
        <v>43111.767280092594</v>
      </c>
      <c r="J199" s="225">
        <v>0</v>
      </c>
      <c r="K199" s="237" t="str">
        <f>IF(ISEVEN(B199),(B199-1)&amp;"/"&amp;B199,B199&amp;"/"&amp;(B199+1))</f>
        <v>4013/4014</v>
      </c>
      <c r="L199" s="245" t="str">
        <f>VLOOKUP(A199,'Trips&amp;Operators'!$C$1:$G$99911,5,FALSE)</f>
        <v>ZEWDU DEREJE</v>
      </c>
      <c r="M199" s="224">
        <f>I199-F199</f>
        <v>8.4953703699284233E-3</v>
      </c>
      <c r="N199" s="225">
        <f>24*60*SUM($M199:$M199)</f>
        <v>12.23333333269693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2018-01-11T16:56:34-0700',mode:absolute,to:'2018-01-11T19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9" s="247" t="str">
        <f>IF(AA199&lt;VLOOKUP(AG199,Variables!$AC$3:$AD$8,2,FALSE),"Y","N")</f>
        <v>N</v>
      </c>
      <c r="X199" s="247">
        <f>VALUE(LEFT(AD199,4))-VALUE(LEFT(AD198,4))</f>
        <v>1</v>
      </c>
      <c r="Y199" s="247">
        <f>RIGHT(D199,LEN(D199)-4)/10000</f>
        <v>5.8685</v>
      </c>
      <c r="Z199" s="247">
        <f>RIGHT(H199,LEN(H199)-4)/10000</f>
        <v>1.6199999999999999E-2</v>
      </c>
      <c r="AA199" s="247">
        <f>ABS(Z199-Y199)</f>
        <v>5.8522999999999996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836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s3://rtdc.mdm.uploadarchive.raw/RTDC4013/ "%USERPROFILE%\AppData\Local\Temp\OnboardLogs"\RTDC4013\2018-01-11 --exclude "*" --recursive --include "*20180111*" &amp; "%USERPROFILE%\Documents\GitHub\mrs-test-scripts\Headless Mode &amp; Sideloading\WalkAndUnGZ.bat" "%USERPROFILE%\AppData\Local\Temp\OnboardLogs"\RTDC4013\2018-01-11 &amp; aws s3 cp s3://rtdc.mdm.uploadarchive.raw/RTDC4013/ "%USERPROFILE%\AppData\Local\Temp\OnboardLogs"\RTDC4013\2018-01-12 --exclude "*" --recursive --include "*20180112*" &amp; "%USERPROFILE%\Documents\GitHub\mrs-test-scripts\Headless Mode &amp; Sideloading\WalkAndUnGZ.bat" "%USERPROFILE%\AppData\Local\Temp\OnboardLogs"\RTDC4013\2018-01-12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/stypes="app*4013*20180112*" /stext=" 01:.+((SYSTEM_STATE.+slice.+state.+changed )|(ment ac)|(multiple cpu faults)|(system.+state.+changed )|(\[timeout)|(PRM\|1\|D)|(kpr)|(kdp)|(train st.+moving)|(\|lc)|(penalty))"</v>
      </c>
      <c r="AG199" s="244" t="str">
        <f>DetSubdiv(A199)</f>
        <v>NW</v>
      </c>
      <c r="AH199" s="236" t="str">
        <f t="shared" si="35"/>
        <v>"%USERPROFILE%\Documents\GitHub\eaglep3\Utilities\RefineRTDCRunTimes.py" --tripid 836-11 --locoid 4013 --swversion DE.1.0.9.0 --startMP 300:58685 --initTime 2018-01-11T17:56:34 --startdatetime 2018-01-11T18:12:39 --delay 66 --endMP 204:162 --enddatetime 2018-01-11T18:24:53 --enforcementcount 0 &gt;&gt;%USERPROFILE%\Documents\GitHub\eaglep3-reporting\EC\2018-01-11-refined-times.txt</v>
      </c>
      <c r="AI199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{"issue":{"subject":"","project_id":79,"tracker_id":40,"status_id":1,"priority_id":2,"assigned_to_id":338,"start_date":"2018-01-11","description":"","custom_fields":[{"id":1,"name":"Subdivision","value":"NW"},{"id":4,"name":"Milepost","value":"0.0162"},{"id":17,"name":"Train ID","value":"836-11"},{"id":16,"name":"Locomotive ID","value":"4013"},{"id":130,"name":"Impact","value":""},{"id":150,"name":"Time of Event (Mountain Time)","value":"18:24:53"},{"id":151,"name":"Denver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231"/>
      <c r="AL199" s="231"/>
      <c r="AM199" s="240" t="str">
        <f t="shared" si="37"/>
        <v>start /low /b %USERPROFILE%\Documents\GitHub\eaglep3\Utilities\DownloadLogsFromS3.py --loco 4013 --day 2018-01-11</v>
      </c>
      <c r="AN199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01:24:53"},{"id":29,"name":"Sharepoint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39"/>
        <v>https://d0f6bd738d7f1b3e5a7ca70fe4ff75f0.us-east-1.aws.found.io/app/kibana#/discover/Steve-Slow-Train-Analysis-(2080s-and-2083s)?_g=(refreshInterval:(display:Off,pause:!f,section:0,value:0),time:(from:'2018-01-11T16:56:34-0700',mode:absolute,to:'2018-01-11T19:24:53-0700'))&amp;_a=(columns:!('Message%20ID',Summary),filters:!(),index:'emp_*',interval:auto,query:(query_string:(analyze_wildcard:!t,query:'%22rtdc.l.rtdc.4013%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3">
      <c r="A200" s="229" t="s">
        <v>680</v>
      </c>
      <c r="B200" s="225">
        <v>4006</v>
      </c>
      <c r="C200" s="227" t="s">
        <v>191</v>
      </c>
      <c r="D200" s="227" t="s">
        <v>483</v>
      </c>
      <c r="E200" s="226">
        <v>43111.751145833332</v>
      </c>
      <c r="F200" s="226">
        <v>43111.75675925926</v>
      </c>
      <c r="G200" s="225">
        <v>77</v>
      </c>
      <c r="H200" s="227" t="s">
        <v>1081</v>
      </c>
      <c r="I200" s="226">
        <v>43111.766458333332</v>
      </c>
      <c r="J200" s="225">
        <v>0</v>
      </c>
      <c r="K200" s="237" t="str">
        <f>IF(ISEVEN(B200),(B200-1)&amp;"/"&amp;B200,B200&amp;"/"&amp;(B200+1))</f>
        <v>4005/4006</v>
      </c>
      <c r="L200" s="245" t="str">
        <f>VLOOKUP(A200,'Trips&amp;Operators'!$C$1:$G$99911,5,FALSE)</f>
        <v>STAMBAUGH JAMES</v>
      </c>
      <c r="M200" s="224">
        <f>I200-F200</f>
        <v>9.6990740712499246E-3</v>
      </c>
      <c r="N200" s="225">
        <f>24*60*SUM($M200:$M200)</f>
        <v>13.966666662599891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2018-01-11T17:01:39-0700',mode:absolute,to:'2018-01-11T19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0" s="247" t="str">
        <f>IF(AA200&lt;VLOOKUP(AG200,Variables!$AC$3:$AD$8,2,FALSE),"Y","N")</f>
        <v>N</v>
      </c>
      <c r="X200" s="247">
        <f>VALUE(LEFT(AD200,4))-VALUE(LEFT(AD199,4))</f>
        <v>1</v>
      </c>
      <c r="Y200" s="247">
        <f>RIGHT(D200,LEN(D200)-4)/10000</f>
        <v>4.6399999999999997E-2</v>
      </c>
      <c r="Z200" s="247">
        <f>RIGHT(H200,LEN(H200)-4)/10000</f>
        <v>5.8909000000000002</v>
      </c>
      <c r="AA200" s="247">
        <f>ABS(Z200-Y200)</f>
        <v>5.8445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837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/stypes="app*4006*20180112*" /stext=" 01:.+((SYSTEM_STATE.+slice.+state.+changed )|(ment ac)|(multiple cpu faults)|(system.+state.+changed )|(\[timeout)|(PRM\|1\|D)|(kpr)|(kdp)|(train st.+moving)|(\|lc)|(penalty))"</v>
      </c>
      <c r="AG200" s="244" t="str">
        <f>DetSubdiv(A200)</f>
        <v>NW</v>
      </c>
      <c r="AH200" s="236" t="str">
        <f t="shared" si="35"/>
        <v>"%USERPROFILE%\Documents\GitHub\eaglep3\Utilities\RefineRTDCRunTimes.py" --tripid 837-11 --locoid 4006 --swversion DE.1.0.9.0 --startMP 204:464 --initTime 2018-01-11T18:01:39 --startdatetime 2018-01-11T18:09:44 --delay 77 --endMP 300:58909 --enddatetime 2018-01-11T18:23:42 --enforcementcount 0 &gt;&gt;%USERPROFILE%\Documents\GitHub\eaglep3-reporting\EC\2018-01-11-refined-times.txt</v>
      </c>
      <c r="AI200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{"issue":{"subject":"","project_id":79,"tracker_id":40,"status_id":1,"priority_id":2,"assigned_to_id":338,"start_date":"2018-01-11","description":"","custom_fields":[{"id":1,"name":"Subdivision","value":"NW"},{"id":4,"name":"Milepost","value":"5.8909"},{"id":17,"name":"Train ID","value":"837-11"},{"id":16,"name":"Locomotive ID","value":"4006"},{"id":130,"name":"Impact","value":""},{"id":150,"name":"Time of Event (Mountain Time)","value":"18:23:42"},{"id":151,"name":"Denver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37"/>
        <v>start /low /b %USERPROFILE%\Documents\GitHub\eaglep3\Utilities\DownloadLogsFromS3.py --loco 4006 --day 2018-01-11</v>
      </c>
      <c r="AN200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01:23:42"},{"id":29,"name":"Sharepoint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39"/>
        <v>https://d0f6bd738d7f1b3e5a7ca70fe4ff75f0.us-east-1.aws.found.io/app/kibana#/discover/Steve-Slow-Train-Analysis-(2080s-and-2083s)?_g=(refreshInterval:(display:Off,pause:!f,section:0,value:0),time:(from:'2018-01-11T17:01:39-0700',mode:absolute,to:'2018-01-11T19:23:42-0700'))&amp;_a=(columns:!('Message%20ID',Summary),filters:!(),index:'emp_*',interval:auto,query:(query_string:(analyze_wildcard:!t,query:'%22rtdc.l.rtdc.4006%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23" customFormat="1" x14ac:dyDescent="0.3">
      <c r="A201" s="229" t="s">
        <v>857</v>
      </c>
      <c r="B201" s="225">
        <v>4005</v>
      </c>
      <c r="C201" s="227" t="s">
        <v>191</v>
      </c>
      <c r="D201" s="227" t="s">
        <v>639</v>
      </c>
      <c r="E201" s="226">
        <v>43111.769201388888</v>
      </c>
      <c r="F201" s="226">
        <v>43111.779907407406</v>
      </c>
      <c r="G201" s="225">
        <v>89</v>
      </c>
      <c r="H201" s="227" t="s">
        <v>1082</v>
      </c>
      <c r="I201" s="226">
        <v>43111.78806712963</v>
      </c>
      <c r="J201" s="225">
        <v>0</v>
      </c>
      <c r="K201" s="237" t="str">
        <f>IF(ISEVEN(B201),(B201-1)&amp;"/"&amp;B201,B201&amp;"/"&amp;(B201+1))</f>
        <v>4005/4006</v>
      </c>
      <c r="L201" s="245" t="str">
        <f>VLOOKUP(A201,'Trips&amp;Operators'!$C$1:$G$99911,5,FALSE)</f>
        <v>STAMBAUGH JAMES</v>
      </c>
      <c r="M201" s="224">
        <f>I201-F201</f>
        <v>8.1597222233540379E-3</v>
      </c>
      <c r="N201" s="225">
        <f>24*60*SUM($M201:$M201)</f>
        <v>11.750000001629815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-11T17:27:39-0700',mode:absolute,to:'2018-01-11T19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1" s="247" t="str">
        <f>IF(AA201&lt;VLOOKUP(AG201,Variables!$AC$3:$AD$8,2,FALSE),"Y","N")</f>
        <v>N</v>
      </c>
      <c r="X201" s="247">
        <f>VALUE(LEFT(AD201,4))-VALUE(LEFT(AD200,4))</f>
        <v>1</v>
      </c>
      <c r="Y201" s="247">
        <f>RIGHT(D201,LEN(D201)-4)/10000</f>
        <v>5.8581000000000003</v>
      </c>
      <c r="Z201" s="247">
        <f>RIGHT(H201,LEN(H201)-4)/10000</f>
        <v>1.2200000000000001E-2</v>
      </c>
      <c r="AA201" s="247">
        <f>ABS(Z201-Y201)</f>
        <v>5.8459000000000003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838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/stypes="app*4005*20180112*" /stext=" 01:.+((SYSTEM_STATE.+slice.+state.+changed )|(ment ac)|(multiple cpu faults)|(system.+state.+changed )|(\[timeout)|(PRM\|1\|D)|(kpr)|(kdp)|(train st.+moving)|(\|lc)|(penalty))"</v>
      </c>
      <c r="AG201" s="244" t="str">
        <f>DetSubdiv(A201)</f>
        <v>NW</v>
      </c>
      <c r="AH201" s="236" t="str">
        <f t="shared" si="35"/>
        <v>"%USERPROFILE%\Documents\GitHub\eaglep3\Utilities\RefineRTDCRunTimes.py" --tripid 838-11 --locoid 4005 --swversion DE.1.0.9.0 --startMP 300:58581 --initTime 2018-01-11T18:27:39 --startdatetime 2018-01-11T18:43:04 --delay 89 --endMP 204:122 --enddatetime 2018-01-11T18:54:49 --enforcementcount 0 &gt;&gt;%USERPROFILE%\Documents\GitHub\eaglep3-reporting\EC\2018-01-11-refined-times.txt</v>
      </c>
      <c r="AI201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{"issue":{"subject":"","project_id":79,"tracker_id":40,"status_id":1,"priority_id":2,"assigned_to_id":338,"start_date":"2018-01-11","description":"","custom_fields":[{"id":1,"name":"Subdivision","value":"NW"},{"id":4,"name":"Milepost","value":"0.0122"},{"id":17,"name":"Train ID","value":"838-11"},{"id":16,"name":"Locomotive ID","value":"4005"},{"id":130,"name":"Impact","value":""},{"id":150,"name":"Time of Event (Mountain Time)","value":"18:54:49"},{"id":151,"name":"Denver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231"/>
      <c r="AL201" s="231"/>
      <c r="AM201" s="240" t="str">
        <f t="shared" si="37"/>
        <v>start /low /b %USERPROFILE%\Documents\GitHub\eaglep3\Utilities\DownloadLogsFromS3.py --loco 4005 --day 2018-01-11</v>
      </c>
      <c r="AN201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01:54:49"},{"id":29,"name":"Sharepoint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39"/>
        <v>https://d0f6bd738d7f1b3e5a7ca70fe4ff75f0.us-east-1.aws.found.io/app/kibana#/discover/Steve-Slow-Train-Analysis-(2080s-and-2083s)?_g=(refreshInterval:(display:Off,pause:!f,section:0,value:0),time:(from:'2018-01-11T17:27:39-0700',mode:absolute,to:'2018-01-11T19:54:49-0700'))&amp;_a=(columns:!('Message%20ID',Summary),filters:!(),index:'emp_*',interval:auto,query:(query_string:(analyze_wildcard:!t,query:'%22rtdc.l.rtdc.4005%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3">
      <c r="A202" s="229" t="s">
        <v>856</v>
      </c>
      <c r="B202" s="225">
        <v>4014</v>
      </c>
      <c r="C202" s="227" t="s">
        <v>191</v>
      </c>
      <c r="D202" s="227" t="s">
        <v>945</v>
      </c>
      <c r="E202" s="226">
        <v>43111.769224537034</v>
      </c>
      <c r="F202" s="226">
        <v>43111.777326388888</v>
      </c>
      <c r="G202" s="225">
        <v>57</v>
      </c>
      <c r="H202" s="227" t="s">
        <v>1083</v>
      </c>
      <c r="I202" s="226">
        <v>43111.787523148145</v>
      </c>
      <c r="J202" s="225">
        <v>0</v>
      </c>
      <c r="K202" s="237" t="str">
        <f>IF(ISEVEN(B202),(B202-1)&amp;"/"&amp;B202,B202&amp;"/"&amp;(B202+1))</f>
        <v>4013/4014</v>
      </c>
      <c r="L202" s="245" t="str">
        <f>VLOOKUP(A202,'Trips&amp;Operators'!$C$1:$G$99911,5,FALSE)</f>
        <v>ZEWDU DEREJE</v>
      </c>
      <c r="M202" s="224">
        <f>I202-F202</f>
        <v>1.0196759256359655E-2</v>
      </c>
      <c r="N202" s="225">
        <f>24*60*SUM($M202:$M202)</f>
        <v>14.683333329157904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2018-01-11T17:27:41-0700',mode:absolute,to:'2018-01-11T19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2" s="247" t="str">
        <f>IF(AA202&lt;VLOOKUP(AG202,Variables!$AC$3:$AD$8,2,FALSE),"Y","N")</f>
        <v>N</v>
      </c>
      <c r="X202" s="247">
        <f>VALUE(LEFT(AD202,4))-VALUE(LEFT(AD201,4))</f>
        <v>1</v>
      </c>
      <c r="Y202" s="247">
        <f>RIGHT(D202,LEN(D202)-4)/10000</f>
        <v>4.5999999999999999E-2</v>
      </c>
      <c r="Z202" s="247">
        <f>RIGHT(H202,LEN(H202)-4)/10000</f>
        <v>5.899</v>
      </c>
      <c r="AA202" s="247">
        <f>ABS(Z202-Y202)</f>
        <v>5.8529999999999998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839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s3://rtdc.mdm.uploadarchive.raw/RTDC4014/ "%USERPROFILE%\AppData\Local\Temp\OnboardLogs"\RTDC4014\2018-01-11 --exclude "*" --recursive --include "*20180111*" &amp; "%USERPROFILE%\Documents\GitHub\mrs-test-scripts\Headless Mode &amp; Sideloading\WalkAndUnGZ.bat" "%USERPROFILE%\AppData\Local\Temp\OnboardLogs"\RTDC4014\2018-01-11 &amp; aws s3 cp s3://rtdc.mdm.uploadarchive.raw/RTDC4014/ "%USERPROFILE%\AppData\Local\Temp\OnboardLogs"\RTDC4014\2018-01-12 --exclude "*" --recursive --include "*20180112*" &amp; "%USERPROFILE%\Documents\GitHub\mrs-test-scripts\Headless Mode &amp; Sideloading\WalkAndUnGZ.bat" "%USERPROFILE%\AppData\Local\Temp\OnboardLogs"\RTDC4014\2018-01-12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/stypes="app*4014*20180112*" /stext=" 01:.+((SYSTEM_STATE.+slice.+state.+changed )|(ment ac)|(multiple cpu faults)|(system.+state.+changed )|(\[timeout)|(PRM\|1\|D)|(kpr)|(kdp)|(train st.+moving)|(\|lc)|(penalty))"</v>
      </c>
      <c r="AG202" s="244" t="str">
        <f>DetSubdiv(A202)</f>
        <v>NW</v>
      </c>
      <c r="AH202" s="236" t="str">
        <f t="shared" si="35"/>
        <v>"%USERPROFILE%\Documents\GitHub\eaglep3\Utilities\RefineRTDCRunTimes.py" --tripid 839-11 --locoid 4014 --swversion DE.1.0.9.0 --startMP 204:460 --initTime 2018-01-11T18:27:41 --startdatetime 2018-01-11T18:39:21 --delay 57 --endMP 300:58990 --enddatetime 2018-01-11T18:54:02 --enforcementcount 0 &gt;&gt;%USERPROFILE%\Documents\GitHub\eaglep3-reporting\EC\2018-01-11-refined-times.txt</v>
      </c>
      <c r="AI202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{"issue":{"subject":"","project_id":79,"tracker_id":40,"status_id":1,"priority_id":2,"assigned_to_id":338,"start_date":"2018-01-11","description":"","custom_fields":[{"id":1,"name":"Subdivision","value":"NW"},{"id":4,"name":"Milepost","value":"5.899"},{"id":17,"name":"Train ID","value":"839-11"},{"id":16,"name":"Locomotive ID","value":"4014"},{"id":130,"name":"Impact","value":""},{"id":150,"name":"Time of Event (Mountain Time)","value":"18:54:02"},{"id":151,"name":"Denver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37"/>
        <v>start /low /b %USERPROFILE%\Documents\GitHub\eaglep3\Utilities\DownloadLogsFromS3.py --loco 4014 --day 2018-01-11</v>
      </c>
      <c r="AN202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01:54:02"},{"id":29,"name":"Sharepoint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39"/>
        <v>https://d0f6bd738d7f1b3e5a7ca70fe4ff75f0.us-east-1.aws.found.io/app/kibana#/discover/Steve-Slow-Train-Analysis-(2080s-and-2083s)?_g=(refreshInterval:(display:Off,pause:!f,section:0,value:0),time:(from:'2018-01-11T17:27:41-0700',mode:absolute,to:'2018-01-11T19:54:02-0700'))&amp;_a=(columns:!('Message%20ID',Summary),filters:!(),index:'emp_*',interval:auto,query:(query_string:(analyze_wildcard:!t,query:'%22rtdc.l.rtdc.4014%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29" t="s">
        <v>867</v>
      </c>
      <c r="B203" s="225">
        <v>4005</v>
      </c>
      <c r="C203" s="227" t="s">
        <v>191</v>
      </c>
      <c r="D203" s="227" t="s">
        <v>1084</v>
      </c>
      <c r="E203" s="226">
        <v>43111.808888888889</v>
      </c>
      <c r="F203" s="226">
        <v>43111.820254629631</v>
      </c>
      <c r="G203" s="225">
        <v>62</v>
      </c>
      <c r="H203" s="227" t="s">
        <v>633</v>
      </c>
      <c r="I203" s="226">
        <v>43111.829456018517</v>
      </c>
      <c r="J203" s="225">
        <v>0</v>
      </c>
      <c r="K203" s="237" t="str">
        <f>IF(ISEVEN(B203),(B203-1)&amp;"/"&amp;B203,B203&amp;"/"&amp;(B203+1))</f>
        <v>4005/4006</v>
      </c>
      <c r="L203" s="245" t="str">
        <f>VLOOKUP(A203,'Trips&amp;Operators'!$C$1:$G$99911,5,FALSE)</f>
        <v>STAMBAUGH JAMES</v>
      </c>
      <c r="M203" s="224">
        <f>I203-F203</f>
        <v>9.2013888861401938E-3</v>
      </c>
      <c r="N203" s="225">
        <f>24*60*SUM($M203:$M203)</f>
        <v>13.249999996041879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2018-01-11T18:24:48-0700',mode:absolute,to:'2018-01-11T20:54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3" s="247" t="str">
        <f>IF(AA203&lt;VLOOKUP(AG203,Variables!$AC$3:$AD$8,2,FALSE),"Y","N")</f>
        <v>N</v>
      </c>
      <c r="X203" s="247">
        <f>VALUE(LEFT(AD203,4))-VALUE(LEFT(AD202,4))</f>
        <v>1</v>
      </c>
      <c r="Y203" s="247">
        <f>RIGHT(D203,LEN(D203)-4)/10000</f>
        <v>5.8605999999999998</v>
      </c>
      <c r="Z203" s="247">
        <f>RIGHT(H203,LEN(H203)-4)/10000</f>
        <v>1.5299999999999999E-2</v>
      </c>
      <c r="AA203" s="247">
        <f>ABS(Z203-Y203)</f>
        <v>5.8452999999999999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840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/stypes="app*4005*20180112*" /stext=" 02:.+((SYSTEM_STATE.+slice.+state.+changed )|(ment ac)|(multiple cpu faults)|(system.+state.+changed )|(\[timeout)|(PRM\|1\|D)|(kpr)|(kdp)|(train st.+moving)|(\|lc)|(penalty))"</v>
      </c>
      <c r="AG203" s="244" t="str">
        <f>DetSubdiv(A203)</f>
        <v>NW</v>
      </c>
      <c r="AH203" s="236" t="str">
        <f t="shared" si="35"/>
        <v>"%USERPROFILE%\Documents\GitHub\eaglep3\Utilities\RefineRTDCRunTimes.py" --tripid 840-11 --locoid 4005 --swversion DE.1.0.9.0 --startMP 300:58606 --initTime 2018-01-11T19:24:48 --startdatetime 2018-01-11T19:41:10 --delay 62 --endMP 204:153 --enddatetime 2018-01-11T19:54:25 --enforcementcount 0 &gt;&gt;%USERPROFILE%\Documents\GitHub\eaglep3-reporting\EC\2018-01-11-refined-times.txt</v>
      </c>
      <c r="AI203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{"issue":{"subject":"","project_id":79,"tracker_id":40,"status_id":1,"priority_id":2,"assigned_to_id":338,"start_date":"2018-01-11","description":"","custom_fields":[{"id":1,"name":"Subdivision","value":"NW"},{"id":4,"name":"Milepost","value":"0.0153"},{"id":17,"name":"Train ID","value":"840-11"},{"id":16,"name":"Locomotive ID","value":"4005"},{"id":130,"name":"Impact","value":""},{"id":150,"name":"Time of Event (Mountain Time)","value":"19:54:25"},{"id":151,"name":"Denver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37"/>
        <v>start /low /b %USERPROFILE%\Documents\GitHub\eaglep3\Utilities\DownloadLogsFromS3.py --loco 4005 --day 2018-01-11</v>
      </c>
      <c r="AN203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02:54:25"},{"id":29,"name":"Sharepoint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39"/>
        <v>https://d0f6bd738d7f1b3e5a7ca70fe4ff75f0.us-east-1.aws.found.io/app/kibana#/discover/Steve-Slow-Train-Analysis-(2080s-and-2083s)?_g=(refreshInterval:(display:Off,pause:!f,section:0,value:0),time:(from:'2018-01-11T18:24:48-0700',mode:absolute,to:'2018-01-11T20:54:25-0700'))&amp;_a=(columns:!('Message%20ID',Summary),filters:!(),index:'emp_*',interval:auto,query:(query_string:(analyze_wildcard:!t,query:'%22rtdc.l.rtdc.4005%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29" t="s">
        <v>864</v>
      </c>
      <c r="B204" s="225">
        <v>4006</v>
      </c>
      <c r="C204" s="227" t="s">
        <v>191</v>
      </c>
      <c r="D204" s="227" t="s">
        <v>556</v>
      </c>
      <c r="E204" s="226">
        <v>43111.794479166667</v>
      </c>
      <c r="F204" s="226">
        <v>43111.798333333332</v>
      </c>
      <c r="G204" s="225">
        <v>51</v>
      </c>
      <c r="H204" s="227" t="s">
        <v>643</v>
      </c>
      <c r="I204" s="226">
        <v>43111.807708333334</v>
      </c>
      <c r="J204" s="225">
        <v>0</v>
      </c>
      <c r="K204" s="237" t="str">
        <f>IF(ISEVEN(B204),(B204-1)&amp;"/"&amp;B204,B204&amp;"/"&amp;(B204+1))</f>
        <v>4005/4006</v>
      </c>
      <c r="L204" s="245" t="str">
        <f>VLOOKUP(A204,'Trips&amp;Operators'!$C$1:$G$99911,5,FALSE)</f>
        <v>STAMBAUGH JAMES</v>
      </c>
      <c r="M204" s="224">
        <f>I204-F204</f>
        <v>9.3750000014551915E-3</v>
      </c>
      <c r="N204" s="225">
        <f>24*60*SUM($M204:$M204)</f>
        <v>13.500000002095476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2018-01-11T18:04:03-0700',mode:absolute,to:'2018-01-11T20:23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4" s="247" t="str">
        <f>IF(AA204&lt;VLOOKUP(AG204,Variables!$AC$3:$AD$8,2,FALSE),"Y","N")</f>
        <v>N</v>
      </c>
      <c r="X204" s="247">
        <f>VALUE(LEFT(AD204,4))-VALUE(LEFT(AD203,4))</f>
        <v>1</v>
      </c>
      <c r="Y204" s="247">
        <f>RIGHT(D204,LEN(D204)-4)/10000</f>
        <v>4.24E-2</v>
      </c>
      <c r="Z204" s="247">
        <f>RIGHT(H204,LEN(H204)-4)/10000</f>
        <v>5.8924000000000003</v>
      </c>
      <c r="AA204" s="247">
        <f>ABS(Z204-Y204)</f>
        <v>5.8500000000000005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841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/stypes="app*4006*20180112*" /stext=" 02:.+((SYSTEM_STATE.+slice.+state.+changed )|(ment ac)|(multiple cpu faults)|(system.+state.+changed )|(\[timeout)|(PRM\|1\|D)|(kpr)|(kdp)|(train st.+moving)|(\|lc)|(penalty))"</v>
      </c>
      <c r="AG204" s="244" t="str">
        <f>DetSubdiv(A204)</f>
        <v>NW</v>
      </c>
      <c r="AH204" s="236" t="str">
        <f t="shared" si="35"/>
        <v>"%USERPROFILE%\Documents\GitHub\eaglep3\Utilities\RefineRTDCRunTimes.py" --tripid 841-11 --locoid 4006 --swversion DE.1.0.9.0 --startMP 204:424 --initTime 2018-01-11T19:04:03 --startdatetime 2018-01-11T19:09:36 --delay 51 --endMP 300:58924 --enddatetime 2018-01-11T19:23:06 --enforcementcount 0 &gt;&gt;%USERPROFILE%\Documents\GitHub\eaglep3-reporting\EC\2018-01-11-refined-times.txt</v>
      </c>
      <c r="AI204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{"issue":{"subject":"","project_id":79,"tracker_id":40,"status_id":1,"priority_id":2,"assigned_to_id":338,"start_date":"2018-01-11","description":"","custom_fields":[{"id":1,"name":"Subdivision","value":"NW"},{"id":4,"name":"Milepost","value":"5.8924"},{"id":17,"name":"Train ID","value":"841-11"},{"id":16,"name":"Locomotive ID","value":"4006"},{"id":130,"name":"Impact","value":""},{"id":150,"name":"Time of Event (Mountain Time)","value":"19:23:06"},{"id":151,"name":"Denver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37"/>
        <v>start /low /b %USERPROFILE%\Documents\GitHub\eaglep3\Utilities\DownloadLogsFromS3.py --loco 4006 --day 2018-01-11</v>
      </c>
      <c r="AN204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02:23:06"},{"id":29,"name":"Sharepoint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39"/>
        <v>https://d0f6bd738d7f1b3e5a7ca70fe4ff75f0.us-east-1.aws.found.io/app/kibana#/discover/Steve-Slow-Train-Analysis-(2080s-and-2083s)?_g=(refreshInterval:(display:Off,pause:!f,section:0,value:0),time:(from:'2018-01-11T18:04:03-0700',mode:absolute,to:'2018-01-11T20:23:06-0700'))&amp;_a=(columns:!('Message%20ID',Summary),filters:!(),index:'emp_*',interval:auto,query:(query_string:(analyze_wildcard:!t,query:'%22rtdc.l.rtdc.4006%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3">
      <c r="A205" s="229" t="s">
        <v>681</v>
      </c>
      <c r="B205" s="225">
        <v>4005</v>
      </c>
      <c r="C205" s="227" t="s">
        <v>191</v>
      </c>
      <c r="D205" s="227" t="s">
        <v>527</v>
      </c>
      <c r="E205" s="226">
        <v>43111.850289351853</v>
      </c>
      <c r="F205" s="226">
        <v>43111.863425925927</v>
      </c>
      <c r="G205" s="225">
        <v>62</v>
      </c>
      <c r="H205" s="227" t="s">
        <v>1085</v>
      </c>
      <c r="I205" s="226">
        <v>43111.869780092595</v>
      </c>
      <c r="J205" s="225">
        <v>0</v>
      </c>
      <c r="K205" s="237" t="str">
        <f>IF(ISEVEN(B205),(B205-1)&amp;"/"&amp;B205,B205&amp;"/"&amp;(B205+1))</f>
        <v>4005/4006</v>
      </c>
      <c r="L205" s="245" t="str">
        <f>VLOOKUP(A205,'Trips&amp;Operators'!$C$1:$G$99911,5,FALSE)</f>
        <v>STAMBAUGH JAMES</v>
      </c>
      <c r="M205" s="224">
        <f>I205-F205</f>
        <v>6.3541666677338071E-3</v>
      </c>
      <c r="N205" s="225">
        <f>24*60*SUM($M205:$M205)</f>
        <v>9.1500000015366822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-11T19:24:25-0700',mode:absolute,to:'2018-01-11T21:52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5" s="247" t="str">
        <f>IF(AA205&lt;VLOOKUP(AG205,Variables!$AC$3:$AD$8,2,FALSE),"Y","N")</f>
        <v>Y</v>
      </c>
      <c r="X205" s="247">
        <f>VALUE(LEFT(AD205,4))-VALUE(LEFT(AD204,4))</f>
        <v>1</v>
      </c>
      <c r="Y205" s="247">
        <f>RIGHT(D205,LEN(D205)-4)/10000</f>
        <v>5.8619000000000003</v>
      </c>
      <c r="Z205" s="247">
        <f>RIGHT(H205,LEN(H205)-4)/10000</f>
        <v>0.4461</v>
      </c>
      <c r="AA205" s="247">
        <f>ABS(Z205-Y205)</f>
        <v>5.4157999999999999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842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/stypes="app*4005*20180112*" /stext=" 03:.+((SYSTEM_STATE.+slice.+state.+changed )|(ment ac)|(multiple cpu faults)|(system.+state.+changed )|(\[timeout)|(PRM\|1\|D)|(kpr)|(kdp)|(train st.+moving)|(\|lc)|(penalty))"</v>
      </c>
      <c r="AG205" s="244" t="str">
        <f>DetSubdiv(A205)</f>
        <v>NW</v>
      </c>
      <c r="AH205" s="236" t="str">
        <f t="shared" si="35"/>
        <v>"%USERPROFILE%\Documents\GitHub\eaglep3\Utilities\RefineRTDCRunTimes.py" --tripid 842-11 --locoid 4005 --swversion DE.1.0.9.0 --startMP 300:58619 --initTime 2018-01-11T20:24:25 --startdatetime 2018-01-11T20:43:20 --delay 62 --endMP 204:4461 --enddatetime 2018-01-11T20:52:29 --enforcementcount 0 &gt;&gt;%USERPROFILE%\Documents\GitHub\eaglep3-reporting\EC\2018-01-11-refined-times.txt</v>
      </c>
      <c r="AI205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{"issue":{"subject":"","project_id":79,"tracker_id":40,"status_id":1,"priority_id":2,"assigned_to_id":338,"start_date":"2018-01-11","description":"","custom_fields":[{"id":1,"name":"Subdivision","value":"NW"},{"id":4,"name":"Milepost","value":"0.4461"},{"id":17,"name":"Train ID","value":"842-11"},{"id":16,"name":"Locomotive ID","value":"4005"},{"id":130,"name":"Impact","value":""},{"id":150,"name":"Time of Event (Mountain Time)","value":"20:52:29"},{"id":151,"name":"Denver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si="37"/>
        <v>start /low /b %USERPROFILE%\Documents\GitHub\eaglep3\Utilities\DownloadLogsFromS3.py --loco 4005 --day 2018-01-11</v>
      </c>
      <c r="AN205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03:52:29"},{"id":29,"name":"Sharepoint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39"/>
        <v>https://d0f6bd738d7f1b3e5a7ca70fe4ff75f0.us-east-1.aws.found.io/app/kibana#/discover/Steve-Slow-Train-Analysis-(2080s-and-2083s)?_g=(refreshInterval:(display:Off,pause:!f,section:0,value:0),time:(from:'2018-01-11T19:24:25-0700',mode:absolute,to:'2018-01-11T21:52:29-0700'))&amp;_a=(columns:!('Message%20ID',Summary),filters:!(),index:'emp_*',interval:auto,query:(query_string:(analyze_wildcard:!t,query:'%22rtdc.l.rtdc.4005%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29" t="s">
        <v>872</v>
      </c>
      <c r="B206" s="225">
        <v>4006</v>
      </c>
      <c r="C206" s="227" t="s">
        <v>191</v>
      </c>
      <c r="D206" s="227" t="s">
        <v>637</v>
      </c>
      <c r="E206" s="226">
        <v>43111.831655092596</v>
      </c>
      <c r="F206" s="226">
        <v>43111.84003472222</v>
      </c>
      <c r="G206" s="225">
        <v>65</v>
      </c>
      <c r="H206" s="227" t="s">
        <v>528</v>
      </c>
      <c r="I206" s="226">
        <v>43111.848819444444</v>
      </c>
      <c r="J206" s="225">
        <v>0</v>
      </c>
      <c r="K206" s="237" t="str">
        <f>IF(ISEVEN(B206),(B206-1)&amp;"/"&amp;B206,B206&amp;"/"&amp;(B206+1))</f>
        <v>4005/4006</v>
      </c>
      <c r="L206" s="245" t="str">
        <f>VLOOKUP(A206,'Trips&amp;Operators'!$C$1:$G$99911,5,FALSE)</f>
        <v>STAMBAUGH JAMES</v>
      </c>
      <c r="M206" s="224">
        <f>I206-F206</f>
        <v>8.7847222239361145E-3</v>
      </c>
      <c r="N206" s="225">
        <f>24*60*SUM($M206:$M206)</f>
        <v>12.650000002468005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2018-01-11T18:57:35-0700',mode:absolute,to:'2018-01-11T21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6" s="247" t="str">
        <f>IF(AA206&lt;VLOOKUP(AG206,Variables!$AC$3:$AD$8,2,FALSE),"Y","N")</f>
        <v>N</v>
      </c>
      <c r="X206" s="247">
        <f>VALUE(LEFT(AD206,4))-VALUE(LEFT(AD205,4))</f>
        <v>1</v>
      </c>
      <c r="Y206" s="247">
        <f>RIGHT(D206,LEN(D206)-4)/10000</f>
        <v>4.4400000000000002E-2</v>
      </c>
      <c r="Z206" s="247">
        <f>RIGHT(H206,LEN(H206)-4)/10000</f>
        <v>5.8928000000000003</v>
      </c>
      <c r="AA206" s="247">
        <f>ABS(Z206-Y206)</f>
        <v>5.8483999999999998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843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/stypes="app*4006*20180112*" /stext=" 03:.+((SYSTEM_STATE.+slice.+state.+changed )|(ment ac)|(multiple cpu faults)|(system.+state.+changed )|(\[timeout)|(PRM\|1\|D)|(kpr)|(kdp)|(train st.+moving)|(\|lc)|(penalty))"</v>
      </c>
      <c r="AG206" s="244" t="str">
        <f>DetSubdiv(A206)</f>
        <v>NW</v>
      </c>
      <c r="AH206" s="236" t="str">
        <f t="shared" si="35"/>
        <v>"%USERPROFILE%\Documents\GitHub\eaglep3\Utilities\RefineRTDCRunTimes.py" --tripid 843-11 --locoid 4006 --swversion DE.1.0.9.0 --startMP 204:444 --initTime 2018-01-11T19:57:35 --startdatetime 2018-01-11T20:09:39 --delay 65 --endMP 300:58928 --enddatetime 2018-01-11T20:22:18 --enforcementcount 0 &gt;&gt;%USERPROFILE%\Documents\GitHub\eaglep3-reporting\EC\2018-01-11-refined-times.txt</v>
      </c>
      <c r="AI206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{"issue":{"subject":"","project_id":79,"tracker_id":40,"status_id":1,"priority_id":2,"assigned_to_id":338,"start_date":"2018-01-11","description":"","custom_fields":[{"id":1,"name":"Subdivision","value":"NW"},{"id":4,"name":"Milepost","value":"5.8928"},{"id":17,"name":"Train ID","value":"843-11"},{"id":16,"name":"Locomotive ID","value":"4006"},{"id":130,"name":"Impact","value":""},{"id":150,"name":"Time of Event (Mountain Time)","value":"20:22:18"},{"id":151,"name":"Denver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37"/>
        <v>start /low /b %USERPROFILE%\Documents\GitHub\eaglep3\Utilities\DownloadLogsFromS3.py --loco 4006 --day 2018-01-11</v>
      </c>
      <c r="AN206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03:22:18"},{"id":29,"name":"Sharepoint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39"/>
        <v>https://d0f6bd738d7f1b3e5a7ca70fe4ff75f0.us-east-1.aws.found.io/app/kibana#/discover/Steve-Slow-Train-Analysis-(2080s-and-2083s)?_g=(refreshInterval:(display:Off,pause:!f,section:0,value:0),time:(from:'2018-01-11T18:57:35-0700',mode:absolute,to:'2018-01-11T21:22:18-0700'))&amp;_a=(columns:!('Message%20ID',Summary),filters:!(),index:'emp_*',interval:auto,query:(query_string:(analyze_wildcard:!t,query:'%22rtdc.l.rtdc.4006%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3" customFormat="1" x14ac:dyDescent="0.3">
      <c r="A207" s="229" t="s">
        <v>879</v>
      </c>
      <c r="B207" s="225">
        <v>4005</v>
      </c>
      <c r="C207" s="227" t="s">
        <v>191</v>
      </c>
      <c r="D207" s="227" t="s">
        <v>638</v>
      </c>
      <c r="E207" s="226">
        <v>43111.893518518518</v>
      </c>
      <c r="F207" s="226">
        <v>43111.90488425926</v>
      </c>
      <c r="G207" s="225">
        <v>83</v>
      </c>
      <c r="H207" s="227" t="s">
        <v>645</v>
      </c>
      <c r="I207" s="226">
        <v>43111.913518518515</v>
      </c>
      <c r="J207" s="225">
        <v>0</v>
      </c>
      <c r="K207" s="237" t="str">
        <f>IF(ISEVEN(B207),(B207-1)&amp;"/"&amp;B207,B207&amp;"/"&amp;(B207+1))</f>
        <v>4005/4006</v>
      </c>
      <c r="L207" s="245" t="str">
        <f>VLOOKUP(A207,'Trips&amp;Operators'!$C$1:$G$99911,5,FALSE)</f>
        <v>ANDREA WILLIAMS</v>
      </c>
      <c r="M207" s="224">
        <f>I207-F207</f>
        <v>8.6342592549044639E-3</v>
      </c>
      <c r="N207" s="225">
        <f>24*60*SUM($M207:$M207)</f>
        <v>12.433333327062428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Southbound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-11T20:26:40-0700',mode:absolute,to:'2018-01-11T22:55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7" s="247" t="str">
        <f>IF(AA207&lt;VLOOKUP(AG207,Variables!$AC$3:$AD$8,2,FALSE),"Y","N")</f>
        <v>N</v>
      </c>
      <c r="X207" s="247">
        <f>VALUE(LEFT(AD207,4))-VALUE(LEFT(AD206,4))</f>
        <v>1</v>
      </c>
      <c r="Y207" s="247">
        <f>RIGHT(D207,LEN(D207)-4)/10000</f>
        <v>5.8609</v>
      </c>
      <c r="Z207" s="247">
        <f>RIGHT(H207,LEN(H207)-4)/10000</f>
        <v>1.6400000000000001E-2</v>
      </c>
      <c r="AA207" s="247">
        <f>ABS(Z207-Y207)</f>
        <v>5.8445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844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/stypes="app*4005*20180112*" /stext=" 04:.+((SYSTEM_STATE.+slice.+state.+changed )|(ment ac)|(multiple cpu faults)|(system.+state.+changed )|(\[timeout)|(PRM\|1\|D)|(kpr)|(kdp)|(train st.+moving)|(\|lc)|(penalty))"</v>
      </c>
      <c r="AG207" s="244" t="str">
        <f>DetSubdiv(A207)</f>
        <v>NW</v>
      </c>
      <c r="AH207" s="236" t="str">
        <f t="shared" si="35"/>
        <v>"%USERPROFILE%\Documents\GitHub\eaglep3\Utilities\RefineRTDCRunTimes.py" --tripid 844-11 --locoid 4005 --swversion DE.1.0.9.0 --startMP 300:58609 --initTime 2018-01-11T21:26:40 --startdatetime 2018-01-11T21:43:02 --delay 83 --endMP 204:164 --enddatetime 2018-01-11T21:55:28 --enforcementcount 0 &gt;&gt;%USERPROFILE%\Documents\GitHub\eaglep3-reporting\EC\2018-01-11-refined-times.txt</v>
      </c>
      <c r="AI207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{"issue":{"subject":"","project_id":79,"tracker_id":40,"status_id":1,"priority_id":2,"assigned_to_id":338,"start_date":"2018-01-11","description":"","custom_fields":[{"id":1,"name":"Subdivision","value":"NW"},{"id":4,"name":"Milepost","value":"0.0164"},{"id":17,"name":"Train ID","value":"844-11"},{"id":16,"name":"Locomotive ID","value":"4005"},{"id":130,"name":"Impact","value":""},{"id":150,"name":"Time of Event (Mountain Time)","value":"21:55:28"},{"id":151,"name":"Denver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1"/>
      <c r="AL207" s="231"/>
      <c r="AM207" s="240" t="str">
        <f t="shared" si="37"/>
        <v>start /low /b %USERPROFILE%\Documents\GitHub\eaglep3\Utilities\DownloadLogsFromS3.py --loco 4005 --day 2018-01-11</v>
      </c>
      <c r="AN207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04:55:28"},{"id":29,"name":"Sharepoint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39"/>
        <v>https://d0f6bd738d7f1b3e5a7ca70fe4ff75f0.us-east-1.aws.found.io/app/kibana#/discover/Steve-Slow-Train-Analysis-(2080s-and-2083s)?_g=(refreshInterval:(display:Off,pause:!f,section:0,value:0),time:(from:'2018-01-11T20:26:40-0700',mode:absolute,to:'2018-01-11T22:55:28-0700'))&amp;_a=(columns:!('Message%20ID',Summary),filters:!(),index:'emp_*',interval:auto,query:(query_string:(analyze_wildcard:!t,query:'%22rtdc.l.rtdc.4005%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3">
      <c r="A208" s="229" t="s">
        <v>877</v>
      </c>
      <c r="B208" s="225">
        <v>4006</v>
      </c>
      <c r="C208" s="227" t="s">
        <v>191</v>
      </c>
      <c r="D208" s="227" t="s">
        <v>638</v>
      </c>
      <c r="E208" s="226">
        <v>43111.893518518518</v>
      </c>
      <c r="F208" s="226">
        <v>43111.881550925929</v>
      </c>
      <c r="G208" s="225">
        <v>83</v>
      </c>
      <c r="H208" s="227" t="s">
        <v>645</v>
      </c>
      <c r="I208" s="226">
        <v>43111.891770833332</v>
      </c>
      <c r="J208" s="225">
        <v>0</v>
      </c>
      <c r="K208" s="237" t="str">
        <f>IF(ISEVEN(B208),(B208-1)&amp;"/"&amp;B208,B208&amp;"/"&amp;(B208+1))</f>
        <v>4005/4006</v>
      </c>
      <c r="L208" s="245" t="str">
        <f>VLOOKUP(A208,'Trips&amp;Operators'!$C$1:$G$99911,5,FALSE)</f>
        <v>ANDREA WILLIAMS</v>
      </c>
      <c r="M208" s="224">
        <f>I208-F208</f>
        <v>1.0219907402643003E-2</v>
      </c>
      <c r="N208" s="225">
        <f>24*60*SUM($M208:$M208)</f>
        <v>14.716666659805924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NorthBound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-11T20:26:40-0700',mode:absolute,to:'2018-01-11T22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8" s="247" t="str">
        <f>IF(AA208&lt;VLOOKUP(AG208,Variables!$AC$3:$AD$8,2,FALSE),"Y","N")</f>
        <v>N</v>
      </c>
      <c r="X208" s="247">
        <f>VALUE(LEFT(AD208,4))-VALUE(LEFT(AD207,4))</f>
        <v>1</v>
      </c>
      <c r="Y208" s="247">
        <v>6.9900000000000004E-2</v>
      </c>
      <c r="Z208" s="247">
        <v>5.8933</v>
      </c>
      <c r="AA208" s="247">
        <f>ABS(Z208-Y208)</f>
        <v>5.8234000000000004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845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/stypes="app*4006*20180112*" /stext=" 04:.+((SYSTEM_STATE.+slice.+state.+changed )|(ment ac)|(multiple cpu faults)|(system.+state.+changed )|(\[timeout)|(PRM\|1\|D)|(kpr)|(kdp)|(train st.+moving)|(\|lc)|(penalty))"</v>
      </c>
      <c r="AG208" s="244" t="str">
        <f>DetSubdiv(A208)</f>
        <v>NW</v>
      </c>
      <c r="AH208" s="236" t="str">
        <f t="shared" ref="AH208" si="67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845-11 --locoid 4006 --swversion DE.1.0.9.0 --startMP 300:58609 --initTime 2018-01-11T21:26:40 --startdatetime 2018-01-11T21:09:26 --delay 83 --endMP 204:164 --enddatetime 2018-01-11T21:24:09 --enforcementcount 0 &gt;&gt;%USERPROFILE%\Documents\GitHub\eaglep3-reporting\EC\2018-01-11-refined-times.txt</v>
      </c>
      <c r="AI208" s="238" t="str">
        <f t="shared" ref="AI208" si="68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{"issue":{"subject":"","project_id":79,"tracker_id":40,"status_id":1,"priority_id":2,"assigned_to_id":338,"start_date":"2018-01-11","description":"","custom_fields":[{"id":1,"name":"Subdivision","value":"NW"},{"id":4,"name":"Milepost","value":"5.8933"},{"id":17,"name":"Train ID","value":"845-11"},{"id":16,"name":"Locomotive ID","value":"4006"},{"id":130,"name":"Impact","value":""},{"id":150,"name":"Time of Event (Mountain Time)","value":"21:24:09"},{"id":151,"name":"Denver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ref="AM208" si="69">"start /low /b "&amp;dls3logs&amp;" --loco "&amp;B208&amp;" --day "&amp;TEXT(F208,"YYYY-MM-DD")</f>
        <v>start /low /b %USERPROFILE%\Documents\GitHub\eaglep3\Utilities\DownloadLogsFromS3.py --loco 4006 --day 2018-01-11</v>
      </c>
      <c r="AN208" s="241" t="str">
        <f t="shared" ref="AN208" si="70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04:24:09"},{"id":29,"name":"Sharepoint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ref="AO208" si="71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-11T20:26:40-0700',mode:absolute,to:'2018-01-11T22:24:09-0700'))&amp;_a=(columns:!('Message%20ID',Summary),filters:!(),index:'emp_*',interval:auto,query:(query_string:(analyze_wildcard:!t,query:'%22rtdc.l.rtdc.4006%22')),sort:!(Time.ISO8601,asc))</v>
      </c>
    </row>
    <row r="209" spans="1:91" s="223" customFormat="1" x14ac:dyDescent="0.3">
      <c r="A209" s="229" t="s">
        <v>884</v>
      </c>
      <c r="B209" s="225">
        <v>4005</v>
      </c>
      <c r="C209" s="227" t="s">
        <v>191</v>
      </c>
      <c r="D209" s="227" t="s">
        <v>1086</v>
      </c>
      <c r="E209" s="226">
        <v>43111.935347222221</v>
      </c>
      <c r="F209" s="226">
        <v>43111.946631944447</v>
      </c>
      <c r="G209" s="225">
        <v>59</v>
      </c>
      <c r="H209" s="227" t="s">
        <v>472</v>
      </c>
      <c r="I209" s="226">
        <v>43111.955127314817</v>
      </c>
      <c r="J209" s="225">
        <v>0</v>
      </c>
      <c r="K209" s="237" t="str">
        <f>IF(ISEVEN(B209),(B209-1)&amp;"/"&amp;B209,B209&amp;"/"&amp;(B209+1))</f>
        <v>4005/4006</v>
      </c>
      <c r="L209" s="245" t="str">
        <f>VLOOKUP(A209,'Trips&amp;Operators'!$C$1:$G$99911,5,FALSE)</f>
        <v>ANDREA WILLIAMS</v>
      </c>
      <c r="M209" s="224">
        <f>I209-F209</f>
        <v>8.4953703699284233E-3</v>
      </c>
      <c r="N209" s="225">
        <f>24*60*SUM($M209:$M209)</f>
        <v>12.23333333269693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Southbound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-11T21:26:54-0700',mode:absolute,to:'2018-01-11T23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9" s="247" t="str">
        <f>IF(AA209&lt;VLOOKUP(AG209,Variables!$AC$3:$AD$8,2,FALSE),"Y","N")</f>
        <v>N</v>
      </c>
      <c r="X209" s="247">
        <f t="shared" ref="X209:X212" si="72">VALUE(LEFT(AD209,4))-VALUE(LEFT(AD208,4))</f>
        <v>1</v>
      </c>
      <c r="Y209" s="247">
        <f>RIGHT(D209,LEN(D209)-4)/10000</f>
        <v>5.8590999999999998</v>
      </c>
      <c r="Z209" s="247">
        <f>RIGHT(H209,LEN(H209)-4)/10000</f>
        <v>1.49E-2</v>
      </c>
      <c r="AA209" s="247">
        <f>ABS(Z209-Y209)</f>
        <v>5.8441999999999998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846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/stypes="app*4005*20180112*" /stext=" 05:.+((SYSTEM_STATE.+slice.+state.+changed )|(ment ac)|(multiple cpu faults)|(system.+state.+changed )|(\[timeout)|(PRM\|1\|D)|(kpr)|(kdp)|(train st.+moving)|(\|lc)|(penalty))"</v>
      </c>
      <c r="AG209" s="244" t="str">
        <f>DetSubdiv(A209)</f>
        <v>NW</v>
      </c>
      <c r="AH209" s="236" t="str">
        <f t="shared" si="35"/>
        <v>"%USERPROFILE%\Documents\GitHub\eaglep3\Utilities\RefineRTDCRunTimes.py" --tripid 846-11 --locoid 4005 --swversion DE.1.0.9.0 --startMP 300:58591 --initTime 2018-01-11T22:26:54 --startdatetime 2018-01-11T22:43:09 --delay 59 --endMP 204:149 --enddatetime 2018-01-11T22:55:23 --enforcementcount 0 &gt;&gt;%USERPROFILE%\Documents\GitHub\eaglep3-reporting\EC\2018-01-11-refined-times.txt</v>
      </c>
      <c r="AI209" s="238" t="str">
        <f t="shared" si="36"/>
        <v>echo {"issue":{"subject":"","project_id":79,"tracker_id":40,"status_id":1,"priority_id":2,"assigned_to_id":338,"start_date":"2018-01-11","description":"","custom_fields":[{"id":1,"name":"Subdivision","value":"NW"},{"id":4,"name":"Milepost","value":"0.0149"},{"id":17,"name":"Train ID","value":"846-11"},{"id":16,"name":"Locomotive ID","value":"4005"},{"id":130,"name":"Impact","value":""},{"id":150,"name":"Time of Event (Mountain Time)","value":"22:55:23"},{"id":151,"name":"Denver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37"/>
        <v>start /low /b %USERPROFILE%\Documents\GitHub\eaglep3\Utilities\DownloadLogsFromS3.py --loco 4005 --day 2018-01-11</v>
      </c>
      <c r="AN209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05:55:23"},{"id":29,"name":"Sharepoint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39"/>
        <v>https://d0f6bd738d7f1b3e5a7ca70fe4ff75f0.us-east-1.aws.found.io/app/kibana#/discover/Steve-Slow-Train-Analysis-(2080s-and-2083s)?_g=(refreshInterval:(display:Off,pause:!f,section:0,value:0),time:(from:'2018-01-11T21:26:54-0700',mode:absolute,to:'2018-01-11T23:55:23-0700'))&amp;_a=(columns:!('Message%20ID',Summary),filters:!(),index:'emp_*',interval:auto,query:(query_string:(analyze_wildcard:!t,query:'%22rtdc.l.rtdc.4005%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23" customFormat="1" x14ac:dyDescent="0.3">
      <c r="A210" s="229" t="s">
        <v>882</v>
      </c>
      <c r="B210" s="225">
        <v>4006</v>
      </c>
      <c r="C210" s="227" t="s">
        <v>191</v>
      </c>
      <c r="D210" s="227" t="s">
        <v>1086</v>
      </c>
      <c r="E210" s="226">
        <v>43111.935347222221</v>
      </c>
      <c r="F210" s="226">
        <v>43111.923194444447</v>
      </c>
      <c r="G210" s="225">
        <v>59</v>
      </c>
      <c r="H210" s="227" t="s">
        <v>472</v>
      </c>
      <c r="I210" s="226">
        <v>43111.93310185185</v>
      </c>
      <c r="J210" s="225">
        <v>0</v>
      </c>
      <c r="K210" s="237" t="str">
        <f>IF(ISEVEN(B210),(B210-1)&amp;"/"&amp;B210,B210&amp;"/"&amp;(B210+1))</f>
        <v>4005/4006</v>
      </c>
      <c r="L210" s="245" t="str">
        <f>VLOOKUP(A210,'Trips&amp;Operators'!$C$1:$G$99911,5,FALSE)</f>
        <v>ANDREA WILLIAMS</v>
      </c>
      <c r="M210" s="224">
        <f>I210-F210</f>
        <v>9.9074074023519643E-3</v>
      </c>
      <c r="N210" s="225">
        <f>24*60*SUM($M210:$M210)</f>
        <v>14.266666659386829</v>
      </c>
      <c r="O210" s="225"/>
      <c r="P210" s="225"/>
      <c r="Q210" s="228"/>
      <c r="R210" s="242"/>
      <c r="S210" s="249">
        <f>1/IF(AG210="EC",12,1)*SUM(U210:U210)</f>
        <v>1</v>
      </c>
      <c r="T210" s="242" t="str">
        <f>IF(ISEVEN(LEFT(AD210,4)),"Southbound","NorthBound")</f>
        <v>NorthBound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-11T21:26:54-0700',mode:absolute,to:'2018-01-11T23:23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0" s="247" t="str">
        <f>IF(AA210&lt;VLOOKUP(AG210,Variables!$AC$3:$AD$8,2,FALSE),"Y","N")</f>
        <v>N</v>
      </c>
      <c r="X210" s="247">
        <f t="shared" si="72"/>
        <v>1</v>
      </c>
      <c r="Y210" s="247">
        <v>6.8099999999999994E-2</v>
      </c>
      <c r="Z210" s="247">
        <v>5.8910999999999998</v>
      </c>
      <c r="AA210" s="247">
        <f>ABS(Z210-Y210)</f>
        <v>5.8229999999999995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847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/stypes="app*4006*20180112*" /stext=" 05:.+((SYSTEM_STATE.+slice.+state.+changed )|(ment ac)|(multiple cpu faults)|(system.+state.+changed )|(\[timeout)|(PRM\|1\|D)|(kpr)|(kdp)|(train st.+moving)|(\|lc)|(penalty))"</v>
      </c>
      <c r="AG210" s="244" t="str">
        <f>DetSubdiv(A210)</f>
        <v>NW</v>
      </c>
      <c r="AH210" s="236" t="str">
        <f t="shared" ref="AH210" si="73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847-11 --locoid 4006 --swversion DE.1.0.9.0 --startMP 300:58591 --initTime 2018-01-11T22:26:54 --startdatetime 2018-01-11T22:09:24 --delay 59 --endMP 204:149 --enddatetime 2018-01-11T22:23:40 --enforcementcount 0 &gt;&gt;%USERPROFILE%\Documents\GitHub\eaglep3-reporting\EC\2018-01-11-refined-times.txt</v>
      </c>
      <c r="AI210" s="238" t="str">
        <f t="shared" ref="AI210" si="74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{"issue":{"subject":"","project_id":79,"tracker_id":40,"status_id":1,"priority_id":2,"assigned_to_id":338,"start_date":"2018-01-11","description":"","custom_fields":[{"id":1,"name":"Subdivision","value":"NW"},{"id":4,"name":"Milepost","value":"5.8911"},{"id":17,"name":"Train ID","value":"847-11"},{"id":16,"name":"Locomotive ID","value":"4006"},{"id":130,"name":"Impact","value":""},{"id":150,"name":"Time of Event (Mountain Time)","value":"22:23:40"},{"id":151,"name":"Denver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231"/>
      <c r="AL210" s="231"/>
      <c r="AM210" s="240" t="str">
        <f t="shared" ref="AM210" si="75">"start /low /b "&amp;dls3logs&amp;" --loco "&amp;B210&amp;" --day "&amp;TEXT(F210,"YYYY-MM-DD")</f>
        <v>start /low /b %USERPROFILE%\Documents\GitHub\eaglep3\Utilities\DownloadLogsFromS3.py --loco 4006 --day 2018-01-11</v>
      </c>
      <c r="AN210" s="241" t="str">
        <f t="shared" ref="AN210" si="76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05:23:40"},{"id":29,"name":"Sharepoint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ref="AO210" si="77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-11T21:26:54-0700',mode:absolute,to:'2018-01-11T23:23:40-0700'))&amp;_a=(columns:!('Message%20ID',Summary),filters:!(),index:'emp_*',interval:auto,query:(query_string:(analyze_wildcard:!t,query:'%22rtdc.l.rtdc.4006%22')),sort:!(Time.ISO8601,asc))</v>
      </c>
    </row>
    <row r="211" spans="1:91" s="223" customFormat="1" x14ac:dyDescent="0.3">
      <c r="A211" s="229" t="s">
        <v>682</v>
      </c>
      <c r="B211" s="225">
        <v>4006</v>
      </c>
      <c r="C211" s="227" t="s">
        <v>191</v>
      </c>
      <c r="D211" s="227" t="s">
        <v>1086</v>
      </c>
      <c r="E211" s="226">
        <v>43111.935347222221</v>
      </c>
      <c r="F211" s="226">
        <v>43111.964999999997</v>
      </c>
      <c r="G211" s="225">
        <v>59</v>
      </c>
      <c r="H211" s="227" t="s">
        <v>472</v>
      </c>
      <c r="I211" s="226">
        <v>43111.975092592591</v>
      </c>
      <c r="J211" s="225">
        <v>0</v>
      </c>
      <c r="K211" s="237" t="str">
        <f>IF(ISEVEN(B211),(B211-1)&amp;"/"&amp;B211,B211&amp;"/"&amp;(B211+1))</f>
        <v>4005/4006</v>
      </c>
      <c r="L211" s="245" t="str">
        <f>VLOOKUP(A211,'Trips&amp;Operators'!$C$1:$G$99911,5,FALSE)</f>
        <v>ANDREA WILLIAMS</v>
      </c>
      <c r="M211" s="224">
        <f>I211-F211</f>
        <v>1.0092592594446614E-2</v>
      </c>
      <c r="N211" s="225">
        <f>24*60*SUM($M211:$M211)</f>
        <v>14.533333336003125</v>
      </c>
      <c r="O211" s="225"/>
      <c r="P211" s="225"/>
      <c r="Q211" s="228"/>
      <c r="R211" s="242"/>
      <c r="S211" s="249">
        <f>1/IF(AG211="EC",12,1)*SUM(U211:U211)</f>
        <v>1</v>
      </c>
      <c r="T211" s="242" t="str">
        <f>IF(ISEVEN(LEFT(AD211,4)),"Southbound","NorthBound")</f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-11T21:26:54-0700',mode:absolute,to:'2018-01-12T00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1" s="247" t="str">
        <f>IF(AA211&lt;VLOOKUP(AG211,Variables!$AC$3:$AD$8,2,FALSE),"Y","N")</f>
        <v>N</v>
      </c>
      <c r="X211" s="247">
        <f t="shared" si="72"/>
        <v>2</v>
      </c>
      <c r="Y211" s="247">
        <v>7.1199999999999999E-2</v>
      </c>
      <c r="Z211" s="247">
        <v>5.8928000000000003</v>
      </c>
      <c r="AA211" s="247">
        <f>ABS(Z211-Y211)</f>
        <v>5.8216000000000001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849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/stypes="app*4006*20180112*" /stext=" 06:.+((SYSTEM_STATE.+slice.+state.+changed )|(ment ac)|(multiple cpu faults)|(system.+state.+changed )|(\[timeout)|(PRM\|1\|D)|(kpr)|(kdp)|(train st.+moving)|(\|lc)|(penalty))"</v>
      </c>
      <c r="AG211" s="244" t="str">
        <f>DetSubdiv(A211)</f>
        <v>NW</v>
      </c>
      <c r="AH211" s="236" t="str">
        <f t="shared" ref="AH211" si="78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849-11 --locoid 4006 --swversion DE.1.0.9.0 --startMP 300:58591 --initTime 2018-01-11T22:26:54 --startdatetime 2018-01-11T23:09:36 --delay 59 --endMP 204:149 --enddatetime 2018-01-11T23:24:08 --enforcementcount 0 &gt;&gt;%USERPROFILE%\Documents\GitHub\eaglep3-reporting\EC\2018-01-11-refined-times.txt</v>
      </c>
      <c r="AI211" s="238" t="str">
        <f t="shared" ref="AI211" si="79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{"issue":{"subject":"","project_id":79,"tracker_id":40,"status_id":1,"priority_id":2,"assigned_to_id":338,"start_date":"2018-01-11","description":"","custom_fields":[{"id":1,"name":"Subdivision","value":"NW"},{"id":4,"name":"Milepost","value":"5.8928"},{"id":17,"name":"Train ID","value":"849-11"},{"id":16,"name":"Locomotive ID","value":"4006"},{"id":130,"name":"Impact","value":""},{"id":150,"name":"Time of Event (Mountain Time)","value":"23:24:08"},{"id":151,"name":"Denver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ref="AM211" si="80">"start /low /b "&amp;dls3logs&amp;" --loco "&amp;B211&amp;" --day "&amp;TEXT(F211,"YYYY-MM-DD")</f>
        <v>start /low /b %USERPROFILE%\Documents\GitHub\eaglep3\Utilities\DownloadLogsFromS3.py --loco 4006 --day 2018-01-11</v>
      </c>
      <c r="AN211" s="241" t="str">
        <f t="shared" ref="AN211" si="81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06:24:08"},{"id":29,"name":"Sharepoint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ref="AO211" si="82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-11T21:26:54-0700',mode:absolute,to:'2018-01-12T00:24:08-0700'))&amp;_a=(columns:!('Message%20ID',Summary),filters:!(),index:'emp_*',interval:auto,query:(query_string:(analyze_wildcard:!t,query:'%22rtdc.l.rtdc.4006%22')),sort:!(Time.ISO8601,asc))</v>
      </c>
    </row>
    <row r="212" spans="1:91" s="223" customFormat="1" x14ac:dyDescent="0.3">
      <c r="A212" s="229" t="s">
        <v>859</v>
      </c>
      <c r="B212" s="225">
        <v>4042</v>
      </c>
      <c r="C212" s="227" t="s">
        <v>191</v>
      </c>
      <c r="D212" s="227" t="s">
        <v>452</v>
      </c>
      <c r="E212" s="226">
        <v>43111.777222222219</v>
      </c>
      <c r="F212" s="226">
        <v>43111.778645833336</v>
      </c>
      <c r="G212" s="225">
        <v>58</v>
      </c>
      <c r="H212" s="227" t="s">
        <v>1004</v>
      </c>
      <c r="I212" s="226">
        <v>43111.784756944442</v>
      </c>
      <c r="J212" s="225">
        <v>0</v>
      </c>
      <c r="K212" s="237" t="str">
        <f>IF(ISEVEN(B212),(B212-1)&amp;"/"&amp;B212,B212&amp;"/"&amp;(B212+1))</f>
        <v>4041/4042</v>
      </c>
      <c r="L212" s="245" t="str">
        <f>VLOOKUP(A212,'Trips&amp;Operators'!$C$1:$G$99911,5,FALSE)</f>
        <v>LEVIN SCOTT</v>
      </c>
      <c r="M212" s="224">
        <f>I212-F212</f>
        <v>6.1111111062928103E-3</v>
      </c>
      <c r="N212" s="225">
        <f>24*60*SUM($M212:$M212)</f>
        <v>8.7999999930616468</v>
      </c>
      <c r="O212" s="225"/>
      <c r="P212" s="225"/>
      <c r="Q212" s="228"/>
      <c r="R212" s="242"/>
      <c r="S212" s="249">
        <f>1/IF(AG212="EC",12,1)*SUM(U212:U212)</f>
        <v>1</v>
      </c>
      <c r="T212" s="242" t="str">
        <f>IF(ISEVEN(LEFT(AD212,4)),"Southbound","NorthBound")</f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2018-01-11T17:39:12-0700',mode:absolute,to:'2018-01-11T19:50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2" s="247" t="str">
        <f>IF(AA212&lt;VLOOKUP(AG212,Variables!$AC$3:$AD$8,2,FALSE),"Y","N")</f>
        <v>Y</v>
      </c>
      <c r="X212" s="247">
        <f t="shared" si="72"/>
        <v>-548</v>
      </c>
      <c r="Y212" s="247">
        <f>RIGHT(D212,LEN(D212)-4)/10000</f>
        <v>5.0799999999999998E-2</v>
      </c>
      <c r="Z212" s="247">
        <f>RIGHT(H212,LEN(H212)-4)/10000</f>
        <v>2.3311999999999999</v>
      </c>
      <c r="AA212" s="247">
        <f>ABS(Z212-Y212)</f>
        <v>2.2803999999999998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301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s3://rtdc.mdm.uploadarchive.raw/RTDC4042/ "%USERPROFILE%\AppData\Local\Temp\OnboardLogs"\RTDC4042\2018-01-11 --exclude "*" --recursive --include "*20180111*" &amp; "%USERPROFILE%\Documents\GitHub\mrs-test-scripts\Headless Mode &amp; Sideloading\WalkAndUnGZ.bat" "%USERPROFILE%\AppData\Local\Temp\OnboardLogs"\RTDC4042\2018-01-11 &amp; aws s3 cp s3://rtdc.mdm.uploadarchive.raw/RTDC4042/ "%USERPROFILE%\AppData\Local\Temp\OnboardLogs"\RTDC4042\2018-01-12 --exclude "*" --recursive --include "*20180112*" &amp; "%USERPROFILE%\Documents\GitHub\mrs-test-scripts\Headless Mode &amp; Sideloading\WalkAndUnGZ.bat" "%USERPROFILE%\AppData\Local\Temp\OnboardLogs"\RTDC4042\2018-01-12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/stypes="app*4042*20180112*" /stext=" 01:.+((SYSTEM_STATE.+slice.+state.+changed )|(ment ac)|(multiple cpu faults)|(system.+state.+changed )|(\[timeout)|(PRM\|1\|D)|(kpr)|(kdp)|(train st.+moving)|(\|lc)|(penalty))"</v>
      </c>
      <c r="AG212" s="244" t="str">
        <f>DetSubdiv(A212)</f>
        <v>Other</v>
      </c>
      <c r="AH212" s="236" t="str">
        <f t="shared" si="35"/>
        <v>"%USERPROFILE%\Documents\GitHub\eaglep3\Utilities\RefineRTDCRunTimes.py" --tripid 301-11 --locoid 4042 --swversion DE.1.0.9.0 --startMP 204:508 --initTime 2018-01-11T18:39:12 --startdatetime 2018-01-11T18:41:15 --delay 58 --endMP 300:23312 --enddatetime 2018-01-11T18:50:03 --enforcementcount 0 &gt;&gt;%USERPROFILE%\Documents\GitHub\eaglep3-reporting\EC\2018-01-11-refined-times.txt</v>
      </c>
      <c r="AI212" s="238" t="str">
        <f t="shared" si="36"/>
        <v>echo {"issue":{"subject":"","project_id":79,"tracker_id":40,"status_id":1,"priority_id":2,"assigned_to_id":338,"start_date":"2018-01-11","description":"","custom_fields":[{"id":1,"name":"Subdivision","value":"Other"},{"id":4,"name":"Milepost","value":"2.3312"},{"id":17,"name":"Train ID","value":"301-11"},{"id":16,"name":"Locomotive ID","value":"4042"},{"id":130,"name":"Impact","value":""},{"id":150,"name":"Time of Event (Mountain Time)","value":"18:50:03"},{"id":151,"name":"Denver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37"/>
        <v>start /low /b %USERPROFILE%\Documents\GitHub\eaglep3\Utilities\DownloadLogsFromS3.py --loco 4042 --day 2018-01-11</v>
      </c>
      <c r="AN212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01:50:03"},{"id":29,"name":"Sharepoint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39"/>
        <v>https://d0f6bd738d7f1b3e5a7ca70fe4ff75f0.us-east-1.aws.found.io/app/kibana#/discover/Steve-Slow-Train-Analysis-(2080s-and-2083s)?_g=(refreshInterval:(display:Off,pause:!f,section:0,value:0),time:(from:'2018-01-11T17:39:12-0700',mode:absolute,to:'2018-01-11T19:50:03-0700'))&amp;_a=(columns:!('Message%20ID',Summary),filters:!(),index:'emp_*',interval:auto,query:(query_string:(analyze_wildcard:!t,query:'%22rtdc.l.rtdc.4042%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23" customFormat="1" x14ac:dyDescent="0.3">
      <c r="A213" s="229" t="s">
        <v>686</v>
      </c>
      <c r="B213" s="225">
        <v>4063</v>
      </c>
      <c r="C213" s="227" t="s">
        <v>191</v>
      </c>
      <c r="D213" s="227" t="s">
        <v>1005</v>
      </c>
      <c r="E213" s="226">
        <v>43111.139050925929</v>
      </c>
      <c r="F213" s="226">
        <v>43111.144409722219</v>
      </c>
      <c r="G213" s="225">
        <v>64</v>
      </c>
      <c r="H213" s="227" t="s">
        <v>1006</v>
      </c>
      <c r="I213" s="226">
        <v>43111.149328703701</v>
      </c>
      <c r="J213" s="225">
        <v>0</v>
      </c>
      <c r="K213" s="237" t="str">
        <f>IF(ISEVEN(B213),(B213-1)&amp;"/"&amp;B213,B213&amp;"/"&amp;(B213+1))</f>
        <v>4063/4064</v>
      </c>
      <c r="L213" s="245" t="str">
        <f>VLOOKUP(A213,'Trips&amp;Operators'!$C$1:$G$99911,5,FALSE)</f>
        <v>MAELZER KURT</v>
      </c>
      <c r="M213" s="224">
        <f>I213-F213</f>
        <v>4.9189814817509614E-3</v>
      </c>
      <c r="N213" s="225">
        <f>24*60*SUM($M213:$M213)</f>
        <v>7.0833333337213844</v>
      </c>
      <c r="O213" s="225"/>
      <c r="P213" s="225"/>
      <c r="Q213" s="228"/>
      <c r="R213" s="242"/>
      <c r="S213" s="249">
        <f>1/IF(AG213="EC",12,1)*SUM(U213:U213)</f>
        <v>1</v>
      </c>
      <c r="T213" s="242" t="str">
        <f>IF(ISEVEN(LEFT(AD213,4)),"Southbound","NorthBound")</f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-11T02:20:14-0700',mode:absolute,to:'2018-01-11T04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1</v>
      </c>
      <c r="Y213" s="247">
        <f>RIGHT(D213,LEN(D213)-4)/10000</f>
        <v>1.9805999999999999</v>
      </c>
      <c r="Z213" s="247">
        <f>RIGHT(H213,LEN(H213)-4)/10000</f>
        <v>1.83E-2</v>
      </c>
      <c r="AA213" s="247">
        <f>ABS(Z213-Y213)</f>
        <v>1.9622999999999999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302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s3://rtdc.mdm.uploadarchive.raw/RTDC4063/ "%USERPROFILE%\AppData\Local\Temp\OnboardLogs"\RTDC4063\2018-01-11 --exclude "*" --recursive --include "*20180111*" &amp; "%USERPROFILE%\Documents\GitHub\mrs-test-scripts\Headless Mode &amp; Sideloading\WalkAndUnGZ.bat" "%USERPROFILE%\AppData\Local\Temp\OnboardLogs"\RTDC4063\2018-01-11 &amp; aws s3 cp s3://rtdc.mdm.uploadarchive.raw/RTDC4063/ "%USERPROFILE%\AppData\Local\Temp\OnboardLogs"\RTDC4063\2018-01-12 --exclude "*" --recursive --include "*20180112*" &amp; "%USERPROFILE%\Documents\GitHub\mrs-test-scripts\Headless Mode &amp; Sideloading\WalkAndUnGZ.bat" "%USERPROFILE%\AppData\Local\Temp\OnboardLogs"\RTDC4063\2018-01-12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/stypes="app*4063*20180111*" /stext=" 10:.+((SYSTEM_STATE.+slice.+state.+changed )|(ment ac)|(multiple cpu faults)|(system.+state.+changed )|(\[timeout)|(PRM\|1\|D)|(kpr)|(kdp)|(train st.+moving)|(\|lc)|(penalty))"</v>
      </c>
      <c r="AG213" s="244" t="str">
        <f>DetSubdiv(A213)</f>
        <v>Other</v>
      </c>
      <c r="AH213" s="236" t="str">
        <f t="shared" si="35"/>
        <v>"%USERPROFILE%\Documents\GitHub\eaglep3\Utilities\RefineRTDCRunTimes.py" --tripid 302-11 --locoid 4063 --swversion DE.1.0.9.0 --startMP 300:19806 --initTime 2018-01-11T03:20:14 --startdatetime 2018-01-11T03:27:57 --delay 64 --endMP 204:183 --enddatetime 2018-01-11T03:35:02 --enforcementcount 0 &gt;&gt;%USERPROFILE%\Documents\GitHub\eaglep3-reporting\EC\2018-01-11-refined-times.txt</v>
      </c>
      <c r="AI213" s="238" t="str">
        <f t="shared" si="36"/>
        <v>echo {"issue":{"subject":"","project_id":79,"tracker_id":40,"status_id":1,"priority_id":2,"assigned_to_id":338,"start_date":"2018-01-11","description":"","custom_fields":[{"id":1,"name":"Subdivision","value":"Other"},{"id":4,"name":"Milepost","value":"0.0183"},{"id":17,"name":"Train ID","value":"302-11"},{"id":16,"name":"Locomotive ID","value":"4063"},{"id":130,"name":"Impact","value":""},{"id":150,"name":"Time of Event (Mountain Time)","value":"03:35:02"},{"id":151,"name":"Denver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231"/>
      <c r="AL213" s="231"/>
      <c r="AM213" s="240" t="str">
        <f t="shared" si="37"/>
        <v>start /low /b %USERPROFILE%\Documents\GitHub\eaglep3\Utilities\DownloadLogsFromS3.py --loco 4063 --day 2018-01-11</v>
      </c>
      <c r="AN213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10:35:02"},{"id":29,"name":"Sharepoint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39"/>
        <v>https://d0f6bd738d7f1b3e5a7ca70fe4ff75f0.us-east-1.aws.found.io/app/kibana#/discover/Steve-Slow-Train-Analysis-(2080s-and-2083s)?_g=(refreshInterval:(display:Off,pause:!f,section:0,value:0),time:(from:'2018-01-11T02:20:14-0700',mode:absolute,to:'2018-01-11T04:35:02-0700'))&amp;_a=(columns:!('Message%20ID',Summary),filters:!(),index:'emp_*',interval:auto,query:(query_string:(analyze_wildcard:!t,query:'%22rtdc.l.rtdc.4063%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865</v>
      </c>
      <c r="B214" s="225">
        <v>4016</v>
      </c>
      <c r="C214" s="227" t="s">
        <v>191</v>
      </c>
      <c r="D214" s="227" t="s">
        <v>444</v>
      </c>
      <c r="E214" s="226">
        <v>43111.798634259256</v>
      </c>
      <c r="F214" s="226">
        <v>43111.802777777775</v>
      </c>
      <c r="G214" s="225">
        <v>78</v>
      </c>
      <c r="H214" s="227" t="s">
        <v>503</v>
      </c>
      <c r="I214" s="226">
        <v>43111.817037037035</v>
      </c>
      <c r="J214" s="225">
        <v>0</v>
      </c>
      <c r="K214" s="237" t="str">
        <f>IF(ISEVEN(B214),(B214-1)&amp;"/"&amp;B214,B214&amp;"/"&amp;(B214+1))</f>
        <v>4015/4016</v>
      </c>
      <c r="L214" s="245" t="str">
        <f>VLOOKUP(A214,'Trips&amp;Operators'!$C$1:$G$99911,5,FALSE)</f>
        <v>LONG FULLER</v>
      </c>
      <c r="M214" s="224">
        <f>I214-F214</f>
        <v>1.4259259260143153E-2</v>
      </c>
      <c r="N214" s="225">
        <f>24*60*SUM($M214:$M214)</f>
        <v>20.533333334606141</v>
      </c>
      <c r="O214" s="225"/>
      <c r="P214" s="225"/>
      <c r="Q214" s="228"/>
      <c r="R214" s="242"/>
      <c r="S214" s="249">
        <f>1/IF(AG214="EC",12,1)*SUM(U214:U214)</f>
        <v>1</v>
      </c>
      <c r="T214" s="242" t="str">
        <f>IF(ISEVEN(LEFT(AD214,4)),"Southbound","NorthBound")</f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2018-01-11T18:10:02-0700',mode:absolute,to:'2018-01-11T20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1</v>
      </c>
      <c r="Y214" s="247">
        <f>RIGHT(D214,LEN(D214)-4)/10000</f>
        <v>5.1700000000000003E-2</v>
      </c>
      <c r="Z214" s="247">
        <f>RIGHT(H214,LEN(H214)-4)/10000</f>
        <v>2.3306</v>
      </c>
      <c r="AA214" s="247">
        <f>ABS(Z214-Y214)</f>
        <v>2.2789000000000001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303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s3://rtdc.mdm.uploadarchive.raw/RTDC4016/ "%USERPROFILE%\AppData\Local\Temp\OnboardLogs"\RTDC4016\2018-01-11 --exclude "*" --recursive --include "*20180111*" &amp; "%USERPROFILE%\Documents\GitHub\mrs-test-scripts\Headless Mode &amp; Sideloading\WalkAndUnGZ.bat" "%USERPROFILE%\AppData\Local\Temp\OnboardLogs"\RTDC4016\2018-01-11 &amp; aws s3 cp s3://rtdc.mdm.uploadarchive.raw/RTDC4016/ "%USERPROFILE%\AppData\Local\Temp\OnboardLogs"\RTDC4016\2018-01-12 --exclude "*" --recursive --include "*20180112*" &amp; "%USERPROFILE%\Documents\GitHub\mrs-test-scripts\Headless Mode &amp; Sideloading\WalkAndUnGZ.bat" "%USERPROFILE%\AppData\Local\Temp\OnboardLogs"\RTDC4016\2018-01-12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/stypes="app*4016*20180112*" /stext=" 02:.+((SYSTEM_STATE.+slice.+state.+changed )|(ment ac)|(multiple cpu faults)|(system.+state.+changed )|(\[timeout)|(PRM\|1\|D)|(kpr)|(kdp)|(train st.+moving)|(\|lc)|(penalty))"</v>
      </c>
      <c r="AG214" s="244" t="str">
        <f>DetSubdiv(A214)</f>
        <v>Other</v>
      </c>
      <c r="AH214" s="236" t="str">
        <f t="shared" si="35"/>
        <v>"%USERPROFILE%\Documents\GitHub\eaglep3\Utilities\RefineRTDCRunTimes.py" --tripid 303-11 --locoid 4016 --swversion DE.1.0.9.0 --startMP 204:517 --initTime 2018-01-11T19:10:02 --startdatetime 2018-01-11T19:16:00 --delay 78 --endMP 300:23306 --enddatetime 2018-01-11T19:36:32 --enforcementcount 0 &gt;&gt;%USERPROFILE%\Documents\GitHub\eaglep3-reporting\EC\2018-01-11-refined-times.txt</v>
      </c>
      <c r="AI214" s="238" t="str">
        <f t="shared" si="36"/>
        <v>echo {"issue":{"subject":"","project_id":79,"tracker_id":40,"status_id":1,"priority_id":2,"assigned_to_id":338,"start_date":"2018-01-11","description":"","custom_fields":[{"id":1,"name":"Subdivision","value":"Other"},{"id":4,"name":"Milepost","value":"2.3306"},{"id":17,"name":"Train ID","value":"303-11"},{"id":16,"name":"Locomotive ID","value":"4016"},{"id":130,"name":"Impact","value":""},{"id":150,"name":"Time of Event (Mountain Time)","value":"19:36:32"},{"id":151,"name":"Denver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37"/>
        <v>start /low /b %USERPROFILE%\Documents\GitHub\eaglep3\Utilities\DownloadLogsFromS3.py --loco 4016 --day 2018-01-11</v>
      </c>
      <c r="AN214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02:36:32"},{"id":29,"name":"Sharepoint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39"/>
        <v>https://d0f6bd738d7f1b3e5a7ca70fe4ff75f0.us-east-1.aws.found.io/app/kibana#/discover/Steve-Slow-Train-Analysis-(2080s-and-2083s)?_g=(refreshInterval:(display:Off,pause:!f,section:0,value:0),time:(from:'2018-01-11T18:10:02-0700',mode:absolute,to:'2018-01-11T20:36:32-0700'))&amp;_a=(columns:!('Message%20ID',Summary),filters:!(),index:'emp_*',interval:auto,query:(query_string:(analyze_wildcard:!t,query:'%22rtdc.l.rtdc.4016%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3" customFormat="1" x14ac:dyDescent="0.3">
      <c r="A215" s="229" t="s">
        <v>691</v>
      </c>
      <c r="B215" s="225">
        <v>4055</v>
      </c>
      <c r="C215" s="227" t="s">
        <v>191</v>
      </c>
      <c r="D215" s="227" t="s">
        <v>1007</v>
      </c>
      <c r="E215" s="226">
        <v>43111.158842592595</v>
      </c>
      <c r="F215" s="226">
        <v>43111.162905092591</v>
      </c>
      <c r="G215" s="225">
        <v>77</v>
      </c>
      <c r="H215" s="227" t="s">
        <v>600</v>
      </c>
      <c r="I215" s="226">
        <v>43111.16783564815</v>
      </c>
      <c r="J215" s="225">
        <v>0</v>
      </c>
      <c r="K215" s="237" t="str">
        <f>IF(ISEVEN(B215),(B215-1)&amp;"/"&amp;B215,B215&amp;"/"&amp;(B215+1))</f>
        <v>4055/4056</v>
      </c>
      <c r="L215" s="245" t="str">
        <f>VLOOKUP(A215,'Trips&amp;Operators'!$C$1:$G$99911,5,FALSE)</f>
        <v>BONDS REYNALDO</v>
      </c>
      <c r="M215" s="224">
        <f>I215-F215</f>
        <v>4.9305555585306138E-3</v>
      </c>
      <c r="N215" s="225">
        <f>24*60*SUM($M215:$M215)</f>
        <v>7.1000000042840838</v>
      </c>
      <c r="O215" s="225"/>
      <c r="P215" s="225"/>
      <c r="Q215" s="228"/>
      <c r="R215" s="242"/>
      <c r="S215" s="249">
        <f>1/IF(AG215="EC",12,1)*SUM(U215:U215)</f>
        <v>1</v>
      </c>
      <c r="T215" s="242" t="str">
        <f>IF(ISEVEN(LEFT(AD215,4)),"Southbound","NorthBound")</f>
        <v>Southbound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2018-01-11T02:48:44-0700',mode:absolute,to:'2018-01-11T05:01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1</v>
      </c>
      <c r="Y215" s="247">
        <f>RIGHT(D215,LEN(D215)-4)/10000</f>
        <v>2.1728999999999998</v>
      </c>
      <c r="Z215" s="247">
        <f>RIGHT(H215,LEN(H215)-4)/10000</f>
        <v>2.0299999999999999E-2</v>
      </c>
      <c r="AA215" s="247">
        <f>ABS(Z215-Y215)</f>
        <v>2.1525999999999996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304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s3://rtdc.mdm.uploadarchive.raw/RTDC4055/ "%USERPROFILE%\AppData\Local\Temp\OnboardLogs"\RTDC4055\2018-01-11 --exclude "*" --recursive --include "*20180111*" &amp; "%USERPROFILE%\Documents\GitHub\mrs-test-scripts\Headless Mode &amp; Sideloading\WalkAndUnGZ.bat" "%USERPROFILE%\AppData\Local\Temp\OnboardLogs"\RTDC4055\2018-01-11 &amp; aws s3 cp s3://rtdc.mdm.uploadarchive.raw/RTDC4055/ "%USERPROFILE%\AppData\Local\Temp\OnboardLogs"\RTDC4055\2018-01-12 --exclude "*" --recursive --include "*20180112*" &amp; "%USERPROFILE%\Documents\GitHub\mrs-test-scripts\Headless Mode &amp; Sideloading\WalkAndUnGZ.bat" "%USERPROFILE%\AppData\Local\Temp\OnboardLogs"\RTDC4055\2018-01-12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/stypes="app*4055*20180111*" /stext=" 11:.+((SYSTEM_STATE.+slice.+state.+changed )|(ment ac)|(multiple cpu faults)|(system.+state.+changed )|(\[timeout)|(PRM\|1\|D)|(kpr)|(kdp)|(train st.+moving)|(\|lc)|(penalty))"</v>
      </c>
      <c r="AG215" s="244" t="str">
        <f>DetSubdiv(A215)</f>
        <v>Other</v>
      </c>
      <c r="AH215" s="236" t="str">
        <f t="shared" si="35"/>
        <v>"%USERPROFILE%\Documents\GitHub\eaglep3\Utilities\RefineRTDCRunTimes.py" --tripid 304-11 --locoid 4055 --swversion DE.1.0.9.0 --startMP 300:21729 --initTime 2018-01-11T03:48:44 --startdatetime 2018-01-11T03:54:35 --delay 77 --endMP 204:203 --enddatetime 2018-01-11T04:01:41 --enforcementcount 0 &gt;&gt;%USERPROFILE%\Documents\GitHub\eaglep3-reporting\EC\2018-01-11-refined-times.txt</v>
      </c>
      <c r="AI215" s="238" t="str">
        <f t="shared" si="36"/>
        <v>echo {"issue":{"subject":"","project_id":79,"tracker_id":40,"status_id":1,"priority_id":2,"assigned_to_id":338,"start_date":"2018-01-11","description":"","custom_fields":[{"id":1,"name":"Subdivision","value":"Other"},{"id":4,"name":"Milepost","value":"0.0203"},{"id":17,"name":"Train ID","value":"304-11"},{"id":16,"name":"Locomotive ID","value":"4055"},{"id":130,"name":"Impact","value":""},{"id":150,"name":"Time of Event (Mountain Time)","value":"04:01:41"},{"id":151,"name":"Denver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1"/>
      <c r="AL215" s="231"/>
      <c r="AM215" s="240" t="str">
        <f t="shared" si="37"/>
        <v>start /low /b %USERPROFILE%\Documents\GitHub\eaglep3\Utilities\DownloadLogsFromS3.py --loco 4055 --day 2018-01-11</v>
      </c>
      <c r="AN215" s="241" t="str">
        <f t="shared" si="38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11:01:41"},{"id":29,"name":"Sharepoint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39"/>
        <v>https://d0f6bd738d7f1b3e5a7ca70fe4ff75f0.us-east-1.aws.found.io/app/kibana#/discover/Steve-Slow-Train-Analysis-(2080s-and-2083s)?_g=(refreshInterval:(display:Off,pause:!f,section:0,value:0),time:(from:'2018-01-11T02:48:44-0700',mode:absolute,to:'2018-01-11T05:01:41-0700'))&amp;_a=(columns:!('Message%20ID',Summary),filters:!(),index:'emp_*',interval:auto,query:(query_string:(analyze_wildcard:!t,query:'%22rtdc.l.rtdc.4055%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3" customFormat="1" x14ac:dyDescent="0.3">
      <c r="A216" s="229" t="s">
        <v>869</v>
      </c>
      <c r="B216" s="225">
        <v>4022</v>
      </c>
      <c r="C216" s="227" t="s">
        <v>191</v>
      </c>
      <c r="D216" s="227" t="s">
        <v>498</v>
      </c>
      <c r="E216" s="226">
        <v>43111.818969907406</v>
      </c>
      <c r="F216" s="226">
        <v>43111.8202662037</v>
      </c>
      <c r="G216" s="225">
        <v>58</v>
      </c>
      <c r="H216" s="227" t="s">
        <v>630</v>
      </c>
      <c r="I216" s="226">
        <v>43111.826388888891</v>
      </c>
      <c r="J216" s="225">
        <v>0</v>
      </c>
      <c r="K216" s="237" t="str">
        <f>IF(ISEVEN(B216),(B216-1)&amp;"/"&amp;B216,B216&amp;"/"&amp;(B216+1))</f>
        <v>4021/4022</v>
      </c>
      <c r="L216" s="245" t="str">
        <f>VLOOKUP(A216,'Trips&amp;Operators'!$C$1:$G$99911,5,FALSE)</f>
        <v>HOLCOMB KAMDEN</v>
      </c>
      <c r="M216" s="224">
        <f>I216-F216</f>
        <v>6.1226851903484203E-3</v>
      </c>
      <c r="N216" s="225">
        <f>24*60*SUM($M216:$M216)</f>
        <v>8.8166666741017252</v>
      </c>
      <c r="O216" s="225"/>
      <c r="P216" s="225"/>
      <c r="Q216" s="228"/>
      <c r="R216" s="242"/>
      <c r="S216" s="249">
        <f>1/IF(AG216="EC",12,1)*SUM(U216:U216)</f>
        <v>1</v>
      </c>
      <c r="T216" s="242" t="str">
        <f>IF(ISEVEN(LEFT(AD216,4)),"Southbound","NorthBound")</f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2018-01-11T18:39:19-0700',mode:absolute,to:'2018-01-11T20:50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1</v>
      </c>
      <c r="Y216" s="247">
        <f>RIGHT(D216,LEN(D216)-4)/10000</f>
        <v>4.7300000000000002E-2</v>
      </c>
      <c r="Z216" s="247">
        <f>RIGHT(H216,LEN(H216)-4)/10000</f>
        <v>2.3294999999999999</v>
      </c>
      <c r="AA216" s="247">
        <f>ABS(Z216-Y216)</f>
        <v>2.2822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305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s3://rtdc.mdm.uploadarchive.raw/RTDC4022/ "%USERPROFILE%\AppData\Local\Temp\OnboardLogs"\RTDC4022\2018-01-11 --exclude "*" --recursive --include "*20180111*" &amp; "%USERPROFILE%\Documents\GitHub\mrs-test-scripts\Headless Mode &amp; Sideloading\WalkAndUnGZ.bat" "%USERPROFILE%\AppData\Local\Temp\OnboardLogs"\RTDC4022\2018-01-11 &amp; aws s3 cp s3://rtdc.mdm.uploadarchive.raw/RTDC4022/ "%USERPROFILE%\AppData\Local\Temp\OnboardLogs"\RTDC4022\2018-01-12 --exclude "*" --recursive --include "*20180112*" &amp; "%USERPROFILE%\Documents\GitHub\mrs-test-scripts\Headless Mode &amp; Sideloading\WalkAndUnGZ.bat" "%USERPROFILE%\AppData\Local\Temp\OnboardLogs"\RTDC4022\2018-01-12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/stypes="app*4022*20180112*" /stext=" 02:.+((SYSTEM_STATE.+slice.+state.+changed )|(ment ac)|(multiple cpu faults)|(system.+state.+changed )|(\[timeout)|(PRM\|1\|D)|(kpr)|(kdp)|(train st.+moving)|(\|lc)|(penalty))"</v>
      </c>
      <c r="AG216" s="244" t="str">
        <f>DetSubdiv(A216)</f>
        <v>Other</v>
      </c>
      <c r="AH216" s="236" t="str">
        <f t="shared" si="35"/>
        <v>"%USERPROFILE%\Documents\GitHub\eaglep3\Utilities\RefineRTDCRunTimes.py" --tripid 305-11 --locoid 4022 --swversion DE.1.0.9.0 --startMP 204:473 --initTime 2018-01-11T19:39:19 --startdatetime 2018-01-11T19:41:11 --delay 58 --endMP 300:23295 --enddatetime 2018-01-11T19:50:00 --enforcementcount 0 &gt;&gt;%USERPROFILE%\Documents\GitHub\eaglep3-reporting\EC\2018-01-11-refined-times.txt</v>
      </c>
      <c r="AI216" s="238" t="str">
        <f t="shared" si="36"/>
        <v>echo {"issue":{"subject":"","project_id":79,"tracker_id":40,"status_id":1,"priority_id":2,"assigned_to_id":338,"start_date":"2018-01-11","description":"","custom_fields":[{"id":1,"name":"Subdivision","value":"Other"},{"id":4,"name":"Milepost","value":"2.3295"},{"id":17,"name":"Train ID","value":"305-11"},{"id":16,"name":"Locomotive ID","value":"4022"},{"id":130,"name":"Impact","value":""},{"id":150,"name":"Time of Event (Mountain Time)","value":"19:50:00"},{"id":151,"name":"Denver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231"/>
      <c r="AL216" s="231"/>
      <c r="AM216" s="240" t="str">
        <f t="shared" si="37"/>
        <v>start /low /b %USERPROFILE%\Documents\GitHub\eaglep3\Utilities\DownloadLogsFromS3.py --loco 4022 --day 2018-01-11</v>
      </c>
      <c r="AN216" s="241" t="str">
        <f t="shared" si="38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02:50:00"},{"id":29,"name":"Sharepoint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39"/>
        <v>https://d0f6bd738d7f1b3e5a7ca70fe4ff75f0.us-east-1.aws.found.io/app/kibana#/discover/Steve-Slow-Train-Analysis-(2080s-and-2083s)?_g=(refreshInterval:(display:Off,pause:!f,section:0,value:0),time:(from:'2018-01-11T18:39:19-0700',mode:absolute,to:'2018-01-11T20:50:00-0700'))&amp;_a=(columns:!('Message%20ID',Summary),filters:!(),index:'emp_*',interval:auto,query:(query_string:(analyze_wildcard:!t,query:'%22rtdc.l.rtdc.4022%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3">
      <c r="A217" s="229" t="s">
        <v>694</v>
      </c>
      <c r="B217" s="225">
        <v>4011</v>
      </c>
      <c r="C217" s="227" t="s">
        <v>191</v>
      </c>
      <c r="D217" s="227" t="s">
        <v>1008</v>
      </c>
      <c r="E217" s="226">
        <v>43111.16810185185</v>
      </c>
      <c r="F217" s="226">
        <v>43111.173518518517</v>
      </c>
      <c r="G217" s="225">
        <v>98</v>
      </c>
      <c r="H217" s="227" t="s">
        <v>607</v>
      </c>
      <c r="I217" s="226">
        <v>43111.180219907408</v>
      </c>
      <c r="J217" s="225">
        <v>0</v>
      </c>
      <c r="K217" s="237" t="str">
        <f>IF(ISEVEN(B217),(B217-1)&amp;"/"&amp;B217,B217&amp;"/"&amp;(B217+1))</f>
        <v>4011/4012</v>
      </c>
      <c r="L217" s="245" t="str">
        <f>VLOOKUP(A217,'Trips&amp;Operators'!$C$1:$G$99911,5,FALSE)</f>
        <v>GEBRETEKLE DAGNEW</v>
      </c>
      <c r="M217" s="224">
        <f>I217-F217</f>
        <v>6.701388891087845E-3</v>
      </c>
      <c r="N217" s="225">
        <f>24*60*SUM($M217:$M217)</f>
        <v>9.6500000031664968</v>
      </c>
      <c r="O217" s="225"/>
      <c r="P217" s="225"/>
      <c r="Q217" s="228"/>
      <c r="R217" s="242"/>
      <c r="S217" s="249">
        <f>1/IF(AG217="EC",12,1)*SUM(U217:U217)</f>
        <v>1</v>
      </c>
      <c r="T217" s="242" t="str">
        <f>IF(ISEVEN(LEFT(AD217,4)),"Southbound","NorthBound")</f>
        <v>Southbound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2018-01-11T03:02:04-0700',mode:absolute,to:'2018-01-11T05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1</v>
      </c>
      <c r="Y217" s="247">
        <f>RIGHT(D217,LEN(D217)-4)/10000</f>
        <v>2.379</v>
      </c>
      <c r="Z217" s="247">
        <f>RIGHT(H217,LEN(H217)-4)/10000</f>
        <v>1.6E-2</v>
      </c>
      <c r="AA217" s="247">
        <f>ABS(Z217-Y217)</f>
        <v>2.363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306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s3://rtdc.mdm.uploadarchive.raw/RTDC4011/ "%USERPROFILE%\AppData\Local\Temp\OnboardLogs"\RTDC4011\2018-01-11 --exclude "*" --recursive --include "*20180111*" &amp; "%USERPROFILE%\Documents\GitHub\mrs-test-scripts\Headless Mode &amp; Sideloading\WalkAndUnGZ.bat" "%USERPROFILE%\AppData\Local\Temp\OnboardLogs"\RTDC4011\2018-01-11 &amp; aws s3 cp s3://rtdc.mdm.uploadarchive.raw/RTDC4011/ "%USERPROFILE%\AppData\Local\Temp\OnboardLogs"\RTDC4011\2018-01-12 --exclude "*" --recursive --include "*20180112*" &amp; "%USERPROFILE%\Documents\GitHub\mrs-test-scripts\Headless Mode &amp; Sideloading\WalkAndUnGZ.bat" "%USERPROFILE%\AppData\Local\Temp\OnboardLogs"\RTDC4011\2018-01-12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/stypes="app*4011*20180111*" /stext=" 11:.+((SYSTEM_STATE.+slice.+state.+changed )|(ment ac)|(multiple cpu faults)|(system.+state.+changed )|(\[timeout)|(PRM\|1\|D)|(kpr)|(kdp)|(train st.+moving)|(\|lc)|(penalty))"</v>
      </c>
      <c r="AG217" s="244" t="str">
        <f>DetSubdiv(A217)</f>
        <v>Other</v>
      </c>
      <c r="AH217" s="236" t="str">
        <f t="shared" ref="AH217:AH255" si="83"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306-11 --locoid 4011 --swversion DE.1.0.9.0 --startMP 300:23790 --initTime 2018-01-11T04:02:04 --startdatetime 2018-01-11T04:09:52 --delay 98 --endMP 204:160 --enddatetime 2018-01-11T04:19:31 --enforcementcount 0 &gt;&gt;%USERPROFILE%\Documents\GitHub\eaglep3-reporting\EC\2018-01-11-refined-times.txt</v>
      </c>
      <c r="AI217" s="238" t="str">
        <f t="shared" ref="AI217:AI255" si="84"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{"issue":{"subject":"","project_id":79,"tracker_id":40,"status_id":1,"priority_id":2,"assigned_to_id":338,"start_date":"2018-01-11","description":"","custom_fields":[{"id":1,"name":"Subdivision","value":"Other"},{"id":4,"name":"Milepost","value":"0.016"},{"id":17,"name":"Train ID","value":"306-11"},{"id":16,"name":"Locomotive ID","value":"4011"},{"id":130,"name":"Impact","value":""},{"id":150,"name":"Time of Event (Mountain Time)","value":"04:19:31"},{"id":151,"name":"Denver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1"/>
      <c r="AL217" s="231"/>
      <c r="AM217" s="240" t="str">
        <f t="shared" ref="AM217:AM255" si="85">"start /low /b "&amp;dls3logs&amp;" --loco "&amp;B217&amp;" --day "&amp;TEXT(F217,"YYYY-MM-DD")</f>
        <v>start /low /b %USERPROFILE%\Documents\GitHub\eaglep3\Utilities\DownloadLogsFromS3.py --loco 4011 --day 2018-01-11</v>
      </c>
      <c r="AN217" s="241" t="str">
        <f t="shared" ref="AN217:AN255" si="86">"echo {""issue"":{""subject"":"""&amp;R217&amp;""",""project_id"":30,""tracker_id"":4,""status_id"":"&amp;redmine_status_wcr&amp;",""priority_id"":"&amp;redmine_priority_wcr&amp;",""assigned_to_id"":"&amp;redmine_assignee_wcr&amp;",""start_date"":"""&amp;TEXT(I217-utc_offset/24,"YYYY-mm-dd")&amp;""",""description"":"""&amp;AJ217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11:19:31"},{"id":29,"name":"Sharepoint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ref="AO217:AO255" si="87"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Message%20ID',Summary),filters:!(),index:'emp_*',interval:auto,query:"&amp;"(query_string:(analyze_wildcard:!t,query:'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2018-01-11T03:02:04-0700',mode:absolute,to:'2018-01-11T05:19:31-0700'))&amp;_a=(columns:!('Message%20ID',Summary),filters:!(),index:'emp_*',interval:auto,query:(query_string:(analyze_wildcard:!t,query:'%22rtdc.l.rtdc.4011%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3">
      <c r="A218" s="229" t="s">
        <v>896</v>
      </c>
      <c r="B218" s="225">
        <v>4020</v>
      </c>
      <c r="C218" s="227" t="s">
        <v>191</v>
      </c>
      <c r="D218" s="227" t="s">
        <v>1009</v>
      </c>
      <c r="E218" s="226">
        <v>43112.046423611115</v>
      </c>
      <c r="F218" s="226">
        <v>43112.047986111109</v>
      </c>
      <c r="G218" s="225">
        <v>57</v>
      </c>
      <c r="H218" s="227" t="s">
        <v>626</v>
      </c>
      <c r="I218" s="226">
        <v>25568.708333333332</v>
      </c>
      <c r="J218" s="225">
        <v>0</v>
      </c>
      <c r="K218" s="237" t="str">
        <f>IF(ISEVEN(B218),(B218-1)&amp;"/"&amp;B218,B218&amp;"/"&amp;(B218+1))</f>
        <v>4019/4020</v>
      </c>
      <c r="L218" s="245" t="str">
        <f>VLOOKUP(A218,'Trips&amp;Operators'!$C$1:$G$99911,5,FALSE)</f>
        <v>LOZA FIDEL</v>
      </c>
      <c r="M218" s="224">
        <f>I218-F218</f>
        <v>-17543.339652777777</v>
      </c>
      <c r="N218" s="225">
        <f>24*60*SUM($M218:$M218)</f>
        <v>-25262409.099999998</v>
      </c>
      <c r="O218" s="225"/>
      <c r="P218" s="225"/>
      <c r="Q218" s="228"/>
      <c r="R218" s="242"/>
      <c r="S218" s="249">
        <f>1/IF(AG218="EC",12,1)*SUM(U218:U218)</f>
        <v>1</v>
      </c>
      <c r="T218" s="242" t="str">
        <f>IF(ISEVEN(LEFT(AD218,4)),"Southbound","NorthBound")</f>
        <v>NorthBound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2018-01-12T00:06:51-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1</v>
      </c>
      <c r="Y218" s="247">
        <f>RIGHT(D218,LEN(D218)-4)/10000</f>
        <v>5.5899999999999998E-2</v>
      </c>
      <c r="Z218" s="247">
        <f>RIGHT(H218,LEN(H218)-4)/10000</f>
        <v>2.3304</v>
      </c>
      <c r="AA218" s="247">
        <f>ABS(Z218-Y218)</f>
        <v>2.2745000000000002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307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s3://rtdc.mdm.uploadarchive.raw/RTDC4020/ "%USERPROFILE%\AppData\Local\Temp\OnboardLogs"\RTDC4020\2018-01-12 --exclude "*" --recursive --include "*20180112*" &amp; "%USERPROFILE%\Documents\GitHub\mrs-test-scripts\Headless Mode &amp; Sideloading\WalkAndUnGZ.bat" "%USERPROFILE%\AppData\Local\Temp\OnboardLogs"\RTDC4020\2018-01-12 &amp; aws s3 cp s3://rtdc.mdm.uploadarchive.raw/RTDC4020/ "%USERPROFILE%\AppData\Local\Temp\OnboardLogs"\RTDC4020\2018-01-13 --exclude "*" --recursive --include "*20180113*" &amp; "%USERPROFILE%\Documents\GitHub\mrs-test-scripts\Headless Mode &amp; Sideloading\WalkAndUnGZ.bat" "%USERPROFILE%\AppData\Local\Temp\OnboardLogs"\RTDC4020\2018-01-13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/stypes="app*4020*19700101*" /stext=" 00:.+((SYSTEM_STATE.+slice.+state.+changed )|(ment ac)|(multiple cpu faults)|(system.+state.+changed )|(\[timeout)|(PRM\|1\|D)|(kpr)|(kdp)|(train st.+moving)|(\|lc)|(penalty))"</v>
      </c>
      <c r="AG218" s="244" t="str">
        <f>DetSubdiv(A218)</f>
        <v>Other</v>
      </c>
      <c r="AH218" s="236" t="str">
        <f t="shared" si="83"/>
        <v>"%USERPROFILE%\Documents\GitHub\eaglep3\Utilities\RefineRTDCRunTimes.py" --tripid 307-11 --locoid 4020 --swversion DE.1.0.9.0 --startMP 204:559 --initTime 2018-01-12T01:06:51 --startdatetime 2018-01-12T01:09:06 --delay 57 --endMP 300:23304 --enddatetime 1969-12-31T17:00:00 --enforcementcount 0 &gt;&gt;%USERPROFILE%\Documents\GitHub\eaglep3-reporting\EC\2018-01-11-refined-times.txt</v>
      </c>
      <c r="AI218" s="238" t="str">
        <f t="shared" si="84"/>
        <v>echo {"issue":{"subject":"","project_id":79,"tracker_id":40,"status_id":1,"priority_id":2,"assigned_to_id":338,"start_date":"1969-12-31","description":"","custom_fields":[{"id":1,"name":"Subdivision","value":"Other"},{"id":4,"name":"Milepost","value":"2.3304"},{"id":17,"name":"Train ID","value":"307-11"},{"id":16,"name":"Locomotive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1"/>
      <c r="AL218" s="231"/>
      <c r="AM218" s="240" t="str">
        <f t="shared" si="85"/>
        <v>start /low /b %USERPROFILE%\Documents\GitHub\eaglep3\Utilities\DownloadLogsFromS3.py --loco 4020 --day 2018-01-12</v>
      </c>
      <c r="AN218" s="241" t="str">
        <f t="shared" si="86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87"/>
        <v>https://d0f6bd738d7f1b3e5a7ca70fe4ff75f0.us-east-1.aws.found.io/app/kibana#/discover/Steve-Slow-Train-Analysis-(2080s-and-2083s)?_g=(refreshInterval:(display:Off,pause:!f,section:0,value:0),time:(from:'2018-01-12T00:06:51-0700',mode:absolute,to:'1969-12-31T18:00:00-0700'))&amp;_a=(columns:!('Message%20ID',Summary),filters:!(),index:'emp_*',interval:auto,query:(query_string:(analyze_wildcard:!t,query:'%22rtdc.l.rtdc.4020%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 s="229" t="s">
        <v>695</v>
      </c>
      <c r="B219" s="225">
        <v>4041</v>
      </c>
      <c r="C219" s="227" t="s">
        <v>191</v>
      </c>
      <c r="D219" s="227" t="s">
        <v>1010</v>
      </c>
      <c r="E219" s="226">
        <v>43111.172060185185</v>
      </c>
      <c r="F219" s="226">
        <v>43111.176006944443</v>
      </c>
      <c r="G219" s="225">
        <v>140</v>
      </c>
      <c r="H219" s="227" t="s">
        <v>442</v>
      </c>
      <c r="I219" s="226">
        <v>43111.182199074072</v>
      </c>
      <c r="J219" s="225">
        <v>0</v>
      </c>
      <c r="K219" s="237" t="str">
        <f>IF(ISEVEN(B219),(B219-1)&amp;"/"&amp;B219,B219&amp;"/"&amp;(B219+1))</f>
        <v>4041/4042</v>
      </c>
      <c r="L219" s="245" t="str">
        <f>VLOOKUP(A219,'Trips&amp;Operators'!$C$1:$G$99911,5,FALSE)</f>
        <v>WILLIAMS DONTE</v>
      </c>
      <c r="M219" s="224">
        <f>I219-F219</f>
        <v>6.1921296291984618E-3</v>
      </c>
      <c r="N219" s="225">
        <f>24*60*SUM($M219:$M219)</f>
        <v>8.916666666045785</v>
      </c>
      <c r="O219" s="225"/>
      <c r="P219" s="225"/>
      <c r="Q219" s="228"/>
      <c r="R219" s="242"/>
      <c r="S219" s="249">
        <f>1/IF(AG219="EC",12,1)*SUM(U219:U219)</f>
        <v>1</v>
      </c>
      <c r="T219" s="242" t="str">
        <f>IF(ISEVEN(LEFT(AD219,4)),"Southbound","NorthBound")</f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2018-01-11T03:07:46-0700',mode:absolute,to:'2018-01-11T05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1</v>
      </c>
      <c r="Y219" s="247">
        <f>RIGHT(D219,LEN(D219)-4)/10000</f>
        <v>2.3605</v>
      </c>
      <c r="Z219" s="247">
        <f>RIGHT(H219,LEN(H219)-4)/10000</f>
        <v>2.01E-2</v>
      </c>
      <c r="AA219" s="247">
        <f>ABS(Z219-Y219)</f>
        <v>2.3404000000000003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308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/stypes="app*4041*20180111*" /stext=" 11:.+((SYSTEM_STATE.+slice.+state.+changed )|(ment ac)|(multiple cpu faults)|(system.+state.+changed )|(\[timeout)|(PRM\|1\|D)|(kpr)|(kdp)|(train st.+moving)|(\|lc)|(penalty))"</v>
      </c>
      <c r="AG219" s="244" t="str">
        <f>DetSubdiv(A219)</f>
        <v>Other</v>
      </c>
      <c r="AH219" s="236" t="str">
        <f t="shared" si="83"/>
        <v>"%USERPROFILE%\Documents\GitHub\eaglep3\Utilities\RefineRTDCRunTimes.py" --tripid 308-11 --locoid 4041 --swversion DE.1.0.9.0 --startMP 300:23605 --initTime 2018-01-11T04:07:46 --startdatetime 2018-01-11T04:13:27 --delay 140 --endMP 204:201 --enddatetime 2018-01-11T04:22:22 --enforcementcount 0 &gt;&gt;%USERPROFILE%\Documents\GitHub\eaglep3-reporting\EC\2018-01-11-refined-times.txt</v>
      </c>
      <c r="AI219" s="238" t="str">
        <f t="shared" si="84"/>
        <v>echo {"issue":{"subject":"","project_id":79,"tracker_id":40,"status_id":1,"priority_id":2,"assigned_to_id":338,"start_date":"2018-01-11","description":"","custom_fields":[{"id":1,"name":"Subdivision","value":"Other"},{"id":4,"name":"Milepost","value":"0.0201"},{"id":17,"name":"Train ID","value":"308-11"},{"id":16,"name":"Locomotive ID","value":"4041"},{"id":130,"name":"Impact","value":""},{"id":150,"name":"Time of Event (Mountain Time)","value":"04:22:22"},{"id":151,"name":"Denver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85"/>
        <v>start /low /b %USERPROFILE%\Documents\GitHub\eaglep3\Utilities\DownloadLogsFromS3.py --loco 4041 --day 2018-01-11</v>
      </c>
      <c r="AN219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11:22:22"},{"id":29,"name":"Sharepoint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87"/>
        <v>https://d0f6bd738d7f1b3e5a7ca70fe4ff75f0.us-east-1.aws.found.io/app/kibana#/discover/Steve-Slow-Train-Analysis-(2080s-and-2083s)?_g=(refreshInterval:(display:Off,pause:!f,section:0,value:0),time:(from:'2018-01-11T03:07:46-0700',mode:absolute,to:'2018-01-11T05:22:22-0700'))&amp;_a=(columns:!('Message%20ID',Summary),filters:!(),index:'emp_*',interval:auto,query:(query_string:(analyze_wildcard:!t,query:'%22rtdc.l.rtdc.4041%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23" customFormat="1" x14ac:dyDescent="0.3">
      <c r="A220" s="229" t="s">
        <v>700</v>
      </c>
      <c r="B220" s="225">
        <v>4015</v>
      </c>
      <c r="C220" s="227" t="s">
        <v>191</v>
      </c>
      <c r="D220" s="227" t="s">
        <v>1011</v>
      </c>
      <c r="E220" s="226">
        <v>43111.195381944446</v>
      </c>
      <c r="F220" s="226">
        <v>43111.197824074072</v>
      </c>
      <c r="G220" s="225">
        <v>80</v>
      </c>
      <c r="H220" s="227" t="s">
        <v>1012</v>
      </c>
      <c r="I220" s="226">
        <v>43111.203067129631</v>
      </c>
      <c r="J220" s="225">
        <v>0</v>
      </c>
      <c r="K220" s="237" t="str">
        <f>IF(ISEVEN(B220),(B220-1)&amp;"/"&amp;B220,B220&amp;"/"&amp;(B220+1))</f>
        <v>4015/4016</v>
      </c>
      <c r="L220" s="245" t="str">
        <f>VLOOKUP(A220,'Trips&amp;Operators'!$C$1:$G$99911,5,FALSE)</f>
        <v>YANAI IAN</v>
      </c>
      <c r="M220" s="224">
        <f>I220-F220</f>
        <v>5.2430555588216521E-3</v>
      </c>
      <c r="N220" s="225">
        <f>24*60*SUM($M220:$M220)</f>
        <v>7.550000004703179</v>
      </c>
      <c r="O220" s="225"/>
      <c r="P220" s="225"/>
      <c r="Q220" s="228"/>
      <c r="R220" s="242"/>
      <c r="S220" s="249">
        <f>1/IF(AG220="EC",12,1)*SUM(U220:U220)</f>
        <v>1</v>
      </c>
      <c r="T220" s="242" t="str">
        <f>IF(ISEVEN(LEFT(AD220,4)),"Southbound","NorthBound")</f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2018-01-11T03:41:21-0700',mode:absolute,to:'2018-01-11T05:52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2</v>
      </c>
      <c r="Y220" s="247">
        <f>RIGHT(D220,LEN(D220)-4)/10000</f>
        <v>2.351</v>
      </c>
      <c r="Z220" s="247">
        <f>RIGHT(H220,LEN(H220)-4)/10000</f>
        <v>1.52E-2</v>
      </c>
      <c r="AA220" s="247">
        <f>ABS(Z220-Y220)</f>
        <v>2.3357999999999999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310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s3://rtdc.mdm.uploadarchive.raw/RTDC4015/ "%USERPROFILE%\AppData\Local\Temp\OnboardLogs"\RTDC4015\2018-01-11 --exclude "*" --recursive --include "*20180111*" &amp; "%USERPROFILE%\Documents\GitHub\mrs-test-scripts\Headless Mode &amp; Sideloading\WalkAndUnGZ.bat" "%USERPROFILE%\AppData\Local\Temp\OnboardLogs"\RTDC4015\2018-01-11 &amp; 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/stypes="app*4015*20180111*" /stext=" 11:.+((SYSTEM_STATE.+slice.+state.+changed )|(ment ac)|(multiple cpu faults)|(system.+state.+changed )|(\[timeout)|(PRM\|1\|D)|(kpr)|(kdp)|(train st.+moving)|(\|lc)|(penalty))"</v>
      </c>
      <c r="AG220" s="244" t="str">
        <f>DetSubdiv(A220)</f>
        <v>Other</v>
      </c>
      <c r="AH220" s="236" t="str">
        <f t="shared" si="83"/>
        <v>"%USERPROFILE%\Documents\GitHub\eaglep3\Utilities\RefineRTDCRunTimes.py" --tripid 310-11 --locoid 4015 --swversion DE.1.0.9.0 --startMP 300:23510 --initTime 2018-01-11T04:41:21 --startdatetime 2018-01-11T04:44:52 --delay 80 --endMP 204:152 --enddatetime 2018-01-11T04:52:25 --enforcementcount 0 &gt;&gt;%USERPROFILE%\Documents\GitHub\eaglep3-reporting\EC\2018-01-11-refined-times.txt</v>
      </c>
      <c r="AI220" s="238" t="str">
        <f t="shared" si="84"/>
        <v>echo {"issue":{"subject":"","project_id":79,"tracker_id":40,"status_id":1,"priority_id":2,"assigned_to_id":338,"start_date":"2018-01-11","description":"","custom_fields":[{"id":1,"name":"Subdivision","value":"Other"},{"id":4,"name":"Milepost","value":"0.0152"},{"id":17,"name":"Train ID","value":"310-11"},{"id":16,"name":"Locomotive ID","value":"4015"},{"id":130,"name":"Impact","value":""},{"id":150,"name":"Time of Event (Mountain Time)","value":"04:52:25"},{"id":151,"name":"Denver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231"/>
      <c r="AL220" s="231"/>
      <c r="AM220" s="240" t="str">
        <f t="shared" si="85"/>
        <v>start /low /b %USERPROFILE%\Documents\GitHub\eaglep3\Utilities\DownloadLogsFromS3.py --loco 4015 --day 2018-01-11</v>
      </c>
      <c r="AN220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11:52:25"},{"id":29,"name":"Sharepoint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87"/>
        <v>https://d0f6bd738d7f1b3e5a7ca70fe4ff75f0.us-east-1.aws.found.io/app/kibana#/discover/Steve-Slow-Train-Analysis-(2080s-and-2083s)?_g=(refreshInterval:(display:Off,pause:!f,section:0,value:0),time:(from:'2018-01-11T03:41:21-0700',mode:absolute,to:'2018-01-11T05:52:25-0700'))&amp;_a=(columns:!('Message%20ID',Summary),filters:!(),index:'emp_*',interval:auto,query:(query_string:(analyze_wildcard:!t,query:'%22rtdc.l.rtdc.4015%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3" customFormat="1" x14ac:dyDescent="0.3">
      <c r="A221" s="229" t="s">
        <v>899</v>
      </c>
      <c r="B221" s="225">
        <v>4012</v>
      </c>
      <c r="C221" s="227" t="s">
        <v>191</v>
      </c>
      <c r="D221" s="227" t="s">
        <v>461</v>
      </c>
      <c r="E221" s="226">
        <v>43112.090775462966</v>
      </c>
      <c r="F221" s="226">
        <v>43112.092777777776</v>
      </c>
      <c r="G221" s="225">
        <v>78</v>
      </c>
      <c r="H221" s="227" t="s">
        <v>523</v>
      </c>
      <c r="I221" s="226">
        <v>43112.10392361111</v>
      </c>
      <c r="J221" s="225">
        <v>0</v>
      </c>
      <c r="K221" s="237" t="str">
        <f>IF(ISEVEN(B221),(B221-1)&amp;"/"&amp;B221,B221&amp;"/"&amp;(B221+1))</f>
        <v>4011/4012</v>
      </c>
      <c r="L221" s="245" t="str">
        <f>VLOOKUP(A221,'Trips&amp;Operators'!$C$1:$G$99911,5,FALSE)</f>
        <v>NICHOLSON WESLEY</v>
      </c>
      <c r="M221" s="224">
        <f>I221-F221</f>
        <v>1.1145833334012423E-2</v>
      </c>
      <c r="N221" s="225">
        <f>24*60*SUM($M221:$M221)</f>
        <v>16.050000000977889</v>
      </c>
      <c r="O221" s="225"/>
      <c r="P221" s="225"/>
      <c r="Q221" s="228"/>
      <c r="R221" s="242"/>
      <c r="S221" s="249">
        <f>1/IF(AG221="EC",12,1)*SUM(U221:U221)</f>
        <v>1</v>
      </c>
      <c r="T221" s="242" t="str">
        <f>IF(ISEVEN(LEFT(AD221,4)),"Southbound","NorthBound")</f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2018-01-12T01:10:43-0700',mode:absolute,to:'2018-01-12T03:29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1" s="247" t="str">
        <f>IF(AA221&lt;VLOOKUP(AG221,Variables!$AC$3:$AD$8,2,FALSE),"Y","N")</f>
        <v>Y</v>
      </c>
      <c r="X221" s="247">
        <f>VALUE(LEFT(AD221,4))-VALUE(LEFT(AD220,4))</f>
        <v>1</v>
      </c>
      <c r="Y221" s="247">
        <f>RIGHT(D221,LEN(D221)-4)/10000</f>
        <v>5.5100000000000003E-2</v>
      </c>
      <c r="Z221" s="247">
        <f>RIGHT(H221,LEN(H221)-4)/10000</f>
        <v>2.3302</v>
      </c>
      <c r="AA221" s="247">
        <f>ABS(Z221-Y221)</f>
        <v>2.2751000000000001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>VALUE(LEFT(A221,LEN(A221)-3))</f>
        <v>311</v>
      </c>
      <c r="AE221" s="23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s3://rtdc.mdm.uploadarchive.raw/RTDC4012/ "%USERPROFILE%\AppData\Local\Temp\OnboardLogs"\RTDC4012\2018-01-12 --exclude "*" --recursive --include "*20180112*" &amp; "%USERPROFILE%\Documents\GitHub\mrs-test-scripts\Headless Mode &amp; Sideloading\WalkAndUnGZ.bat" "%USERPROFILE%\AppData\Local\Temp\OnboardLogs"\RTDC4012\2018-01-12 &amp; aws s3 cp s3://rtdc.mdm.uploadarchive.raw/RTDC4012/ "%USERPROFILE%\AppData\Local\Temp\OnboardLogs"\RTDC4012\2018-01-13 --exclude "*" --recursive --include "*20180113*" &amp; "%USERPROFILE%\Documents\GitHub\mrs-test-scripts\Headless Mode &amp; Sideloading\WalkAndUnGZ.bat" "%USERPROFILE%\AppData\Local\Temp\OnboardLogs"\RTDC4012\2018-01-13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/stypes="app*4012*20180112*" /stext=" 09:.+((SYSTEM_STATE.+slice.+state.+changed )|(ment ac)|(multiple cpu faults)|(system.+state.+changed )|(\[timeout)|(PRM\|1\|D)|(kpr)|(kdp)|(train st.+moving)|(\|lc)|(penalty))"</v>
      </c>
      <c r="AG221" s="244" t="str">
        <f>DetSubdiv(A221)</f>
        <v>Other</v>
      </c>
      <c r="AH221" s="236" t="str">
        <f t="shared" si="83"/>
        <v>"%USERPROFILE%\Documents\GitHub\eaglep3\Utilities\RefineRTDCRunTimes.py" --tripid 311-11 --locoid 4012 --swversion DE.1.0.9.0 --startMP 204:551 --initTime 2018-01-12T02:10:43 --startdatetime 2018-01-12T02:13:36 --delay 78 --endMP 300:23302 --enddatetime 2018-01-12T02:29:39 --enforcementcount 0 &gt;&gt;%USERPROFILE%\Documents\GitHub\eaglep3-reporting\EC\2018-01-11-refined-times.txt</v>
      </c>
      <c r="AI221" s="238" t="str">
        <f t="shared" si="84"/>
        <v>echo {"issue":{"subject":"","project_id":79,"tracker_id":40,"status_id":1,"priority_id":2,"assigned_to_id":338,"start_date":"2018-01-12","description":"","custom_fields":[{"id":1,"name":"Subdivision","value":"Other"},{"id":4,"name":"Milepost","value":"2.3302"},{"id":17,"name":"Train ID","value":"311-11"},{"id":16,"name":"Locomotive ID","value":"4012"},{"id":130,"name":"Impact","value":""},{"id":150,"name":"Time of Event (Mountain Time)","value":"02:29:39"},{"id":151,"name":"Denver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231"/>
      <c r="AL221" s="231"/>
      <c r="AM221" s="240" t="str">
        <f t="shared" si="85"/>
        <v>start /low /b %USERPROFILE%\Documents\GitHub\eaglep3\Utilities\DownloadLogsFromS3.py --loco 4012 --day 2018-01-12</v>
      </c>
      <c r="AN221" s="241" t="str">
        <f t="shared" si="86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09:29:39"},{"id":29,"name":"Sharepoint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87"/>
        <v>https://d0f6bd738d7f1b3e5a7ca70fe4ff75f0.us-east-1.aws.found.io/app/kibana#/discover/Steve-Slow-Train-Analysis-(2080s-and-2083s)?_g=(refreshInterval:(display:Off,pause:!f,section:0,value:0),time:(from:'2018-01-12T01:10:43-0700',mode:absolute,to:'2018-01-12T03:29:39-0700'))&amp;_a=(columns:!('Message%20ID',Summary),filters:!(),index:'emp_*',interval:auto,query:(query_string:(analyze_wildcard:!t,query:'%22rtdc.l.rtdc.4012%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3">
      <c r="A222" s="229" t="s">
        <v>710</v>
      </c>
      <c r="B222" s="225">
        <v>4021</v>
      </c>
      <c r="C222" s="227" t="s">
        <v>191</v>
      </c>
      <c r="D222" s="227" t="s">
        <v>1013</v>
      </c>
      <c r="E222" s="226">
        <v>43111.221377314818</v>
      </c>
      <c r="F222" s="226">
        <v>43111.225682870368</v>
      </c>
      <c r="G222" s="225">
        <v>115</v>
      </c>
      <c r="H222" s="227" t="s">
        <v>457</v>
      </c>
      <c r="I222" s="226">
        <v>43111.231273148151</v>
      </c>
      <c r="J222" s="225">
        <v>0</v>
      </c>
      <c r="K222" s="237" t="str">
        <f>IF(ISEVEN(B222),(B222-1)&amp;"/"&amp;B222,B222&amp;"/"&amp;(B222+1))</f>
        <v>4021/4022</v>
      </c>
      <c r="L222" s="245" t="str">
        <f>VLOOKUP(A222,'Trips&amp;Operators'!$C$1:$G$99911,5,FALSE)</f>
        <v>DAVIDSON DAVID</v>
      </c>
      <c r="M222" s="224">
        <f>I222-F222</f>
        <v>5.5902777821756899E-3</v>
      </c>
      <c r="N222" s="225">
        <f>24*60*SUM($M222:$M222)</f>
        <v>8.0500000063329935</v>
      </c>
      <c r="O222" s="225"/>
      <c r="P222" s="225"/>
      <c r="Q222" s="228"/>
      <c r="R222" s="242"/>
      <c r="S222" s="249">
        <f>1/IF(AG222="EC",12,1)*SUM(U222:U222)</f>
        <v>1</v>
      </c>
      <c r="T222" s="242" t="str">
        <f>IF(ISEVEN(LEFT(AD222,4)),"Southbound","NorthBound")</f>
        <v>Southbound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8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2018-01-11T04:18:47-0700',mode:absolute,to:'2018-01-11T06:33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2" s="247" t="str">
        <f>IF(AA222&lt;VLOOKUP(AG222,Variables!$AC$3:$AD$8,2,FALSE),"Y","N")</f>
        <v>Y</v>
      </c>
      <c r="X222" s="247">
        <f>VALUE(LEFT(AD222,4))-VALUE(LEFT(AD221,4))</f>
        <v>1</v>
      </c>
      <c r="Y222" s="247">
        <f>RIGHT(D222,LEN(D222)-4)/10000</f>
        <v>2.2824</v>
      </c>
      <c r="Z222" s="247">
        <f>RIGHT(H222,LEN(H222)-4)/10000</f>
        <v>2.18E-2</v>
      </c>
      <c r="AA222" s="247">
        <f>ABS(Z222-Y222)</f>
        <v>2.2606000000000002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>VALUE(LEFT(A222,LEN(A222)-3))</f>
        <v>312</v>
      </c>
      <c r="AE222" s="23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s3://rtdc.mdm.uploadarchive.raw/RTDC4021/ "%USERPROFILE%\AppData\Local\Temp\OnboardLogs"\RTDC4021\2018-01-11 --exclude "*" --recursive --include "*20180111*" &amp; "%USERPROFILE%\Documents\GitHub\mrs-test-scripts\Headless Mode &amp; Sideloading\WalkAndUnGZ.bat" "%USERPROFILE%\AppData\Local\Temp\OnboardLogs"\RTDC4021\2018-01-11 &amp; aws s3 cp s3://rtdc.mdm.uploadarchive.raw/RTDC4021/ "%USERPROFILE%\AppData\Local\Temp\OnboardLogs"\RTDC4021\2018-01-12 --exclude "*" --recursive --include "*20180112*" &amp; "%USERPROFILE%\Documents\GitHub\mrs-test-scripts\Headless Mode &amp; Sideloading\WalkAndUnGZ.bat" "%USERPROFILE%\AppData\Local\Temp\OnboardLogs"\RTDC4021\2018-01-12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/stypes="app*4021*20180111*" /stext=" 12:.+((SYSTEM_STATE.+slice.+state.+changed )|(ment ac)|(multiple cpu faults)|(system.+state.+changed )|(\[timeout)|(PRM\|1\|D)|(kpr)|(kdp)|(train st.+moving)|(\|lc)|(penalty))"</v>
      </c>
      <c r="AG222" s="244" t="str">
        <f>DetSubdiv(A222)</f>
        <v>Other</v>
      </c>
      <c r="AH222" s="236" t="str">
        <f t="shared" si="83"/>
        <v>"%USERPROFILE%\Documents\GitHub\eaglep3\Utilities\RefineRTDCRunTimes.py" --tripid 312-11 --locoid 4021 --swversion DE.1.0.9.0 --startMP 300:22824 --initTime 2018-01-11T05:18:47 --startdatetime 2018-01-11T05:24:59 --delay 115 --endMP 204:218 --enddatetime 2018-01-11T05:33:02 --enforcementcount 0 &gt;&gt;%USERPROFILE%\Documents\GitHub\eaglep3-reporting\EC\2018-01-11-refined-times.txt</v>
      </c>
      <c r="AI222" s="238" t="str">
        <f t="shared" si="84"/>
        <v>echo {"issue":{"subject":"","project_id":79,"tracker_id":40,"status_id":1,"priority_id":2,"assigned_to_id":338,"start_date":"2018-01-11","description":"","custom_fields":[{"id":1,"name":"Subdivision","value":"Other"},{"id":4,"name":"Milepost","value":"0.0218"},{"id":17,"name":"Train ID","value":"312-11"},{"id":16,"name":"Locomotive ID","value":"4021"},{"id":130,"name":"Impact","value":""},{"id":150,"name":"Time of Event (Mountain Time)","value":"05:33:02"},{"id":151,"name":"Denver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1"/>
      <c r="AL222" s="231"/>
      <c r="AM222" s="240" t="str">
        <f t="shared" si="85"/>
        <v>start /low /b %USERPROFILE%\Documents\GitHub\eaglep3\Utilities\DownloadLogsFromS3.py --loco 4021 --day 2018-01-11</v>
      </c>
      <c r="AN222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12:33:02"},{"id":29,"name":"Sharepoint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87"/>
        <v>https://d0f6bd738d7f1b3e5a7ca70fe4ff75f0.us-east-1.aws.found.io/app/kibana#/discover/Steve-Slow-Train-Analysis-(2080s-and-2083s)?_g=(refreshInterval:(display:Off,pause:!f,section:0,value:0),time:(from:'2018-01-11T04:18:47-0700',mode:absolute,to:'2018-01-11T06:33:02-0700'))&amp;_a=(columns:!('Message%20ID',Summary),filters:!(),index:'emp_*',interval:auto,query:(query_string:(analyze_wildcard:!t,query:'%22rtdc.l.rtdc.4021%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3">
      <c r="A223" s="229" t="s">
        <v>895</v>
      </c>
      <c r="B223" s="225">
        <v>4034</v>
      </c>
      <c r="C223" s="227" t="s">
        <v>191</v>
      </c>
      <c r="D223" s="227" t="s">
        <v>1014</v>
      </c>
      <c r="E223" s="226">
        <v>43112.028136574074</v>
      </c>
      <c r="F223" s="226">
        <v>43112.029699074075</v>
      </c>
      <c r="G223" s="225">
        <v>64</v>
      </c>
      <c r="H223" s="227" t="s">
        <v>630</v>
      </c>
      <c r="I223" s="226">
        <v>43112.037280092591</v>
      </c>
      <c r="J223" s="225">
        <v>0</v>
      </c>
      <c r="K223" s="237" t="str">
        <f>IF(ISEVEN(B223),(B223-1)&amp;"/"&amp;B223,B223&amp;"/"&amp;(B223+1))</f>
        <v>4033/4034</v>
      </c>
      <c r="L223" s="245" t="str">
        <f>VLOOKUP(A223,'Trips&amp;Operators'!$C$1:$G$99911,5,FALSE)</f>
        <v>LORI SANTOS</v>
      </c>
      <c r="M223" s="224">
        <f>I223-F223</f>
        <v>7.5810185153386556E-3</v>
      </c>
      <c r="N223" s="225">
        <f>24*60*SUM($M223:$M223)</f>
        <v>10.916666662087664</v>
      </c>
      <c r="O223" s="225"/>
      <c r="P223" s="225"/>
      <c r="Q223" s="228"/>
      <c r="R223" s="242"/>
      <c r="S223" s="249">
        <f>1/IF(AG223="EC",12,1)*SUM(U223:U223)</f>
        <v>1</v>
      </c>
      <c r="T223" s="242" t="str">
        <f>IF(ISEVEN(LEFT(AD223,4)),"Southbound","NorthBound")</f>
        <v>NorthBound</v>
      </c>
      <c r="U223" s="24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48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2018-01-11T23:40:31-0700',mode:absolute,to:'2018-01-12T01:53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23" s="247" t="str">
        <f>IF(AA223&lt;VLOOKUP(AG223,Variables!$AC$3:$AD$8,2,FALSE),"Y","N")</f>
        <v>Y</v>
      </c>
      <c r="X223" s="247">
        <f>VALUE(LEFT(AD223,4))-VALUE(LEFT(AD222,4))</f>
        <v>1</v>
      </c>
      <c r="Y223" s="247">
        <f>RIGHT(D223,LEN(D223)-4)/10000</f>
        <v>5.28E-2</v>
      </c>
      <c r="Z223" s="247">
        <f>RIGHT(H223,LEN(H223)-4)/10000</f>
        <v>2.3294999999999999</v>
      </c>
      <c r="AA223" s="247">
        <f>ABS(Z223-Y223)</f>
        <v>2.2766999999999999</v>
      </c>
      <c r="AB223" s="233" t="e">
        <f>VLOOKUP(A223,Enforcements!$C$7:$K$9,8,0)</f>
        <v>#N/A</v>
      </c>
      <c r="AC223" s="232" t="e">
        <f>VLOOKUP(A223,Enforcements!$C$7:$E$9,3,0)</f>
        <v>#N/A</v>
      </c>
      <c r="AD223" s="243">
        <f>VALUE(LEFT(A223,LEN(A223)-3))</f>
        <v>313</v>
      </c>
      <c r="AE223" s="23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 &amp; aws s3 cp s3://rtdc.mdm.uploadarchive.raw/RTDC4034/ "%USERPROFILE%\AppData\Local\Temp\OnboardLogs"\RTDC4034\2018-01-13 --exclude "*" --recursive --include "*20180113*" &amp; "%USERPROFILE%\Documents\GitHub\mrs-test-scripts\Headless Mode &amp; Sideloading\WalkAndUnGZ.bat" "%USERPROFILE%\AppData\Local\Temp\OnboardLogs"\RTDC4034\2018-01-13</v>
      </c>
      <c r="AF223" s="23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/stypes="app*4034*20180112*" /stext=" 07:.+((SYSTEM_STATE.+slice.+state.+changed )|(ment ac)|(multiple cpu faults)|(system.+state.+changed )|(\[timeout)|(PRM\|1\|D)|(kpr)|(kdp)|(train st.+moving)|(\|lc)|(penalty))"</v>
      </c>
      <c r="AG223" s="244" t="str">
        <f>DetSubdiv(A223)</f>
        <v>Other</v>
      </c>
      <c r="AH223" s="236" t="str">
        <f t="shared" si="83"/>
        <v>"%USERPROFILE%\Documents\GitHub\eaglep3\Utilities\RefineRTDCRunTimes.py" --tripid 313-11 --locoid 4034 --swversion DE.1.0.9.0 --startMP 204:528 --initTime 2018-01-12T00:40:31 --startdatetime 2018-01-12T00:42:46 --delay 64 --endMP 300:23295 --enddatetime 2018-01-12T00:53:41 --enforcementcount 0 &gt;&gt;%USERPROFILE%\Documents\GitHub\eaglep3-reporting\EC\2018-01-11-refined-times.txt</v>
      </c>
      <c r="AI223" s="238" t="str">
        <f t="shared" si="84"/>
        <v>echo {"issue":{"subject":"","project_id":79,"tracker_id":40,"status_id":1,"priority_id":2,"assigned_to_id":338,"start_date":"2018-01-12","description":"","custom_fields":[{"id":1,"name":"Subdivision","value":"Other"},{"id":4,"name":"Milepost","value":"2.3295"},{"id":17,"name":"Train ID","value":"313-11"},{"id":16,"name":"Locomotive ID","value":"4034"},{"id":130,"name":"Impact","value":""},{"id":150,"name":"Time of Event (Mountain Time)","value":"00:53:41"},{"id":151,"name":"Denver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231"/>
      <c r="AL223" s="231"/>
      <c r="AM223" s="240" t="str">
        <f t="shared" si="85"/>
        <v>start /low /b %USERPROFILE%\Documents\GitHub\eaglep3\Utilities\DownloadLogsFromS3.py --loco 4034 --day 2018-01-12</v>
      </c>
      <c r="AN223" s="241" t="str">
        <f t="shared" si="86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07:53:41"},{"id":29,"name":"Sharepoint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0" t="str">
        <f t="shared" si="87"/>
        <v>https://d0f6bd738d7f1b3e5a7ca70fe4ff75f0.us-east-1.aws.found.io/app/kibana#/discover/Steve-Slow-Train-Analysis-(2080s-and-2083s)?_g=(refreshInterval:(display:Off,pause:!f,section:0,value:0),time:(from:'2018-01-11T23:40:31-0700',mode:absolute,to:'2018-01-12T01:53:41-0700'))&amp;_a=(columns:!('Message%20ID',Summary),filters:!(),index:'emp_*',interval:auto,query:(query_string:(analyze_wildcard:!t,query:'%22rtdc.l.rtdc.4034%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229" t="s">
        <v>702</v>
      </c>
      <c r="B224" s="225">
        <v>4014</v>
      </c>
      <c r="C224" s="227" t="s">
        <v>191</v>
      </c>
      <c r="D224" s="227" t="s">
        <v>1087</v>
      </c>
      <c r="E224" s="226">
        <v>43111.199374999997</v>
      </c>
      <c r="F224" s="226">
        <v>43111.203622685185</v>
      </c>
      <c r="G224" s="225">
        <v>70</v>
      </c>
      <c r="H224" s="227" t="s">
        <v>631</v>
      </c>
      <c r="I224" s="226">
        <v>43111.209270833337</v>
      </c>
      <c r="J224" s="225">
        <v>0</v>
      </c>
      <c r="K224" s="237" t="str">
        <f>IF(ISEVEN(B224),(B224-1)&amp;"/"&amp;B224,B224&amp;"/"&amp;(B224+1))</f>
        <v>4013/4014</v>
      </c>
      <c r="L224" s="245" t="str">
        <f>VLOOKUP(A224,'Trips&amp;Operators'!$C$1:$G$99911,5,FALSE)</f>
        <v>LOPES KIMBERLY</v>
      </c>
      <c r="M224" s="224">
        <f>I224-F224</f>
        <v>5.6481481515220366E-3</v>
      </c>
      <c r="N224" s="225">
        <f>24*60*SUM($M224:$M224)</f>
        <v>8.1333333381917328</v>
      </c>
      <c r="O224" s="225"/>
      <c r="P224" s="225"/>
      <c r="Q224" s="228"/>
      <c r="R224" s="242"/>
      <c r="S224" s="249">
        <f>1/IF(AG224="EC",12,1)*SUM(U224:U224)</f>
        <v>0</v>
      </c>
      <c r="T224" s="242" t="str">
        <f>IF(ISEVEN(LEFT(AD224,4)),"Southbound","NorthBound")</f>
        <v>NorthBound</v>
      </c>
      <c r="U224" s="24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48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2018-01-11T03:47:06-0700',mode:absolute,to:'2018-01-11T06:01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4" s="247" t="str">
        <f>IF(AA224&lt;VLOOKUP(AG224,Variables!$AC$3:$AD$8,2,FALSE),"Y","N")</f>
        <v>Y</v>
      </c>
      <c r="X224" s="247">
        <f>VALUE(LEFT(AD224,4))-VALUE(LEFT(AD223,4))</f>
        <v>588</v>
      </c>
      <c r="Y224" s="247">
        <f>RIGHT(D224,LEN(D224)-4)/10000</f>
        <v>3.0230999999999999</v>
      </c>
      <c r="Z224" s="247">
        <f>RIGHT(H224,LEN(H224)-4)/10000</f>
        <v>5.8952</v>
      </c>
      <c r="AA224" s="247">
        <f>ABS(Z224-Y224)</f>
        <v>2.8721000000000001</v>
      </c>
      <c r="AB224" s="233" t="e">
        <f>VLOOKUP(A224,Enforcements!$C$7:$K$9,8,0)</f>
        <v>#N/A</v>
      </c>
      <c r="AC224" s="232" t="e">
        <f>VLOOKUP(A224,Enforcements!$C$7:$E$9,3,0)</f>
        <v>#N/A</v>
      </c>
      <c r="AD224" s="243">
        <f>VALUE(LEFT(A224,LEN(A224)-3))</f>
        <v>901</v>
      </c>
      <c r="AE224" s="23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s3://rtdc.mdm.uploadarchive.raw/RTDC4014/ "%USERPROFILE%\AppData\Local\Temp\OnboardLogs"\RTDC4014\2018-01-11 --exclude "*" --recursive --include "*20180111*" &amp; "%USERPROFILE%\Documents\GitHub\mrs-test-scripts\Headless Mode &amp; Sideloading\WalkAndUnGZ.bat" "%USERPROFILE%\AppData\Local\Temp\OnboardLogs"\RTDC4014\2018-01-11 &amp; aws s3 cp s3://rtdc.mdm.uploadarchive.raw/RTDC4014/ "%USERPROFILE%\AppData\Local\Temp\OnboardLogs"\RTDC4014\2018-01-12 --exclude "*" --recursive --include "*20180112*" &amp; "%USERPROFILE%\Documents\GitHub\mrs-test-scripts\Headless Mode &amp; Sideloading\WalkAndUnGZ.bat" "%USERPROFILE%\AppData\Local\Temp\OnboardLogs"\RTDC4014\2018-01-12</v>
      </c>
      <c r="AF224" s="23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/stypes="app*4014*20180111*" /stext=" 12:.+((SYSTEM_STATE.+slice.+state.+changed )|(ment ac)|(multiple cpu faults)|(system.+state.+changed )|(\[timeout)|(PRM\|1\|D)|(kpr)|(kdp)|(train st.+moving)|(\|lc)|(penalty))"</v>
      </c>
      <c r="AG224" s="244" t="str">
        <f>DetSubdiv(A224)</f>
        <v>Other</v>
      </c>
      <c r="AH224" s="236" t="str">
        <f t="shared" si="83"/>
        <v>"%USERPROFILE%\Documents\GitHub\eaglep3\Utilities\RefineRTDCRunTimes.py" --tripid 901-11 --locoid 4014 --swversion DE.1.0.9.0 --startMP 300:30231 --initTime 2018-01-11T04:47:06 --startdatetime 2018-01-11T04:53:13 --delay 70 --endMP 300:58952 --enddatetime 2018-01-11T05:01:21 --enforcementcount 0 &gt;&gt;%USERPROFILE%\Documents\GitHub\eaglep3-reporting\EC\2018-01-11-refined-times.txt</v>
      </c>
      <c r="AI224" s="238" t="str">
        <f t="shared" si="84"/>
        <v>echo {"issue":{"subject":"","project_id":79,"tracker_id":40,"status_id":1,"priority_id":2,"assigned_to_id":338,"start_date":"2018-01-11","description":"","custom_fields":[{"id":1,"name":"Subdivision","value":"Other"},{"id":4,"name":"Milepost","value":"5.8952"},{"id":17,"name":"Train ID","value":"901-11"},{"id":16,"name":"Locomotive ID","value":"4014"},{"id":130,"name":"Impact","value":""},{"id":150,"name":"Time of Event (Mountain Time)","value":"05:01:21"},{"id":151,"name":"Denver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3"/>
      <c r="AK224" s="231"/>
      <c r="AL224" s="231"/>
      <c r="AM224" s="240" t="str">
        <f t="shared" si="85"/>
        <v>start /low /b %USERPROFILE%\Documents\GitHub\eaglep3\Utilities\DownloadLogsFromS3.py --loco 4014 --day 2018-01-11</v>
      </c>
      <c r="AN224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12:01:21"},{"id":29,"name":"Sharepoint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0" t="str">
        <f t="shared" si="87"/>
        <v>https://d0f6bd738d7f1b3e5a7ca70fe4ff75f0.us-east-1.aws.found.io/app/kibana#/discover/Steve-Slow-Train-Analysis-(2080s-and-2083s)?_g=(refreshInterval:(display:Off,pause:!f,section:0,value:0),time:(from:'2018-01-11T03:47:06-0700',mode:absolute,to:'2018-01-11T06:01:21-0700'))&amp;_a=(columns:!('Message%20ID',Summary),filters:!(),index:'emp_*',interval:auto,query:(query_string:(analyze_wildcard:!t,query:'%22rtdc.l.rtdc.4014%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23" customFormat="1" x14ac:dyDescent="0.3">
      <c r="A225" s="229" t="s">
        <v>650</v>
      </c>
      <c r="B225" s="225">
        <v>4005</v>
      </c>
      <c r="C225" s="227" t="s">
        <v>191</v>
      </c>
      <c r="D225" s="227" t="s">
        <v>1088</v>
      </c>
      <c r="E225" s="226">
        <v>43111.237986111111</v>
      </c>
      <c r="F225" s="226">
        <v>43111.242800925924</v>
      </c>
      <c r="G225" s="225">
        <v>70</v>
      </c>
      <c r="H225" s="227" t="s">
        <v>1089</v>
      </c>
      <c r="I225" s="226">
        <v>43111.248796296299</v>
      </c>
      <c r="J225" s="225">
        <v>0</v>
      </c>
      <c r="K225" s="237" t="str">
        <f>IF(ISEVEN(B225),(B225-1)&amp;"/"&amp;B225,B225&amp;"/"&amp;(B225+1))</f>
        <v>4005/4006</v>
      </c>
      <c r="L225" s="245" t="str">
        <f>VLOOKUP(A225,'Trips&amp;Operators'!$C$1:$G$99911,5,FALSE)</f>
        <v>FORTUNATO FRANK</v>
      </c>
      <c r="M225" s="224">
        <f>I225-F225</f>
        <v>5.9953703748760745E-3</v>
      </c>
      <c r="N225" s="225">
        <f>24*60*SUM($M225:$M225)</f>
        <v>8.6333333398215473</v>
      </c>
      <c r="O225" s="225"/>
      <c r="P225" s="225"/>
      <c r="Q225" s="228"/>
      <c r="R225" s="242"/>
      <c r="S225" s="249">
        <f>1/IF(AG225="EC",12,1)*SUM(U225:U225)</f>
        <v>0</v>
      </c>
      <c r="T225" s="242" t="str">
        <f>IF(ISEVEN(LEFT(AD225,4)),"Southbound","NorthBound")</f>
        <v>Southbound</v>
      </c>
      <c r="U225" s="24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48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2018-01-11T04:42:42-0700',mode:absolute,to:'2018-01-11T06:58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5" s="247" t="str">
        <f>IF(AA225&lt;VLOOKUP(AG225,Variables!$AC$3:$AD$8,2,FALSE),"Y","N")</f>
        <v>Y</v>
      </c>
      <c r="X225" s="247">
        <f>VALUE(LEFT(AD225,4))-VALUE(LEFT(AD224,4))</f>
        <v>1</v>
      </c>
      <c r="Y225" s="247">
        <f>RIGHT(D225,LEN(D225)-4)/10000</f>
        <v>2.3664999999999998</v>
      </c>
      <c r="Z225" s="247">
        <f>RIGHT(H225,LEN(H225)-4)/10000</f>
        <v>2.3363999999999998</v>
      </c>
      <c r="AA225" s="247">
        <f>ABS(Z225-Y225)</f>
        <v>3.0100000000000016E-2</v>
      </c>
      <c r="AB225" s="233" t="e">
        <f>VLOOKUP(A225,Enforcements!$C$7:$K$9,8,0)</f>
        <v>#N/A</v>
      </c>
      <c r="AC225" s="232" t="e">
        <f>VLOOKUP(A225,Enforcements!$C$7:$E$9,3,0)</f>
        <v>#N/A</v>
      </c>
      <c r="AD225" s="243">
        <f>VALUE(LEFT(A225,LEN(A225)-3))</f>
        <v>902</v>
      </c>
      <c r="AE225" s="23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225" s="23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/stypes="app*4005*20180111*" /stext=" 12:.+((SYSTEM_STATE.+slice.+state.+changed )|(ment ac)|(multiple cpu faults)|(system.+state.+changed )|(\[timeout)|(PRM\|1\|D)|(kpr)|(kdp)|(train st.+moving)|(\|lc)|(penalty))"</v>
      </c>
      <c r="AG225" s="244" t="str">
        <f>DetSubdiv(A225)</f>
        <v>Other</v>
      </c>
      <c r="AH225" s="236" t="str">
        <f t="shared" si="83"/>
        <v>"%USERPROFILE%\Documents\GitHub\eaglep3\Utilities\RefineRTDCRunTimes.py" --tripid 902-11 --locoid 4005 --swversion DE.1.0.9.0 --startMP 300:23665 --initTime 2018-01-11T05:42:42 --startdatetime 2018-01-11T05:49:38 --delay 70 --endMP 300:23364 --enddatetime 2018-01-11T05:58:16 --enforcementcount 0 &gt;&gt;%USERPROFILE%\Documents\GitHub\eaglep3-reporting\EC\2018-01-11-refined-times.txt</v>
      </c>
      <c r="AI225" s="238" t="str">
        <f t="shared" si="84"/>
        <v>echo {"issue":{"subject":"","project_id":79,"tracker_id":40,"status_id":1,"priority_id":2,"assigned_to_id":338,"start_date":"2018-01-11","description":"","custom_fields":[{"id":1,"name":"Subdivision","value":"Other"},{"id":4,"name":"Milepost","value":"2.3364"},{"id":17,"name":"Train ID","value":"902-11"},{"id":16,"name":"Locomotive ID","value":"4005"},{"id":130,"name":"Impact","value":""},{"id":150,"name":"Time of Event (Mountain Time)","value":"05:58:16"},{"id":151,"name":"Denver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231"/>
      <c r="AL225" s="231"/>
      <c r="AM225" s="240" t="str">
        <f t="shared" si="85"/>
        <v>start /low /b %USERPROFILE%\Documents\GitHub\eaglep3\Utilities\DownloadLogsFromS3.py --loco 4005 --day 2018-01-11</v>
      </c>
      <c r="AN225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12:58:16"},{"id":29,"name":"Sharepoint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0" t="str">
        <f t="shared" si="87"/>
        <v>https://d0f6bd738d7f1b3e5a7ca70fe4ff75f0.us-east-1.aws.found.io/app/kibana#/discover/Steve-Slow-Train-Analysis-(2080s-and-2083s)?_g=(refreshInterval:(display:Off,pause:!f,section:0,value:0),time:(from:'2018-01-11T04:42:42-0700',mode:absolute,to:'2018-01-11T06:58:16-0700'))&amp;_a=(columns:!('Message%20ID',Summary),filters:!(),index:'emp_*',interval:auto,query:(query_string:(analyze_wildcard:!t,query:'%22rtdc.l.rtdc.4005%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229" t="s">
        <v>650</v>
      </c>
      <c r="B226" s="225">
        <v>4005</v>
      </c>
      <c r="C226" s="227" t="s">
        <v>191</v>
      </c>
      <c r="D226" s="227" t="s">
        <v>1090</v>
      </c>
      <c r="E226" s="226">
        <v>43111.241956018515</v>
      </c>
      <c r="F226" s="226">
        <v>43111.242800925924</v>
      </c>
      <c r="G226" s="225">
        <v>40</v>
      </c>
      <c r="H226" s="227" t="s">
        <v>1091</v>
      </c>
      <c r="I226" s="226">
        <v>43111.248796296299</v>
      </c>
      <c r="J226" s="225">
        <v>0</v>
      </c>
      <c r="K226" s="237" t="str">
        <f>IF(ISEVEN(B226),(B226-1)&amp;"/"&amp;B226,B226&amp;"/"&amp;(B226+1))</f>
        <v>4005/4006</v>
      </c>
      <c r="L226" s="245" t="str">
        <f>VLOOKUP(A226,'Trips&amp;Operators'!$C$1:$G$99911,5,FALSE)</f>
        <v>FORTUNATO FRANK</v>
      </c>
      <c r="M226" s="224">
        <f>I226-F226</f>
        <v>5.9953703748760745E-3</v>
      </c>
      <c r="N226" s="225">
        <f>24*60*SUM($M226:$M226)</f>
        <v>8.6333333398215473</v>
      </c>
      <c r="O226" s="225"/>
      <c r="P226" s="225"/>
      <c r="Q226" s="228"/>
      <c r="R226" s="242"/>
      <c r="S226" s="249">
        <f>1/IF(AG226="EC",12,1)*SUM(U226:U226)</f>
        <v>1</v>
      </c>
      <c r="T226" s="242" t="str">
        <f>IF(ISEVEN(LEFT(AD226,4)),"Southbound","NorthBound")</f>
        <v>Southbound</v>
      </c>
      <c r="U226" s="24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48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2018-01-11T04:48:25-0700',mode:absolute,to:'2018-01-11T06:58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6" s="247" t="str">
        <f>IF(AA226&lt;VLOOKUP(AG226,Variables!$AC$3:$AD$8,2,FALSE),"Y","N")</f>
        <v>Y</v>
      </c>
      <c r="X226" s="247">
        <f>VALUE(LEFT(AD226,4))-VALUE(LEFT(AD225,4))</f>
        <v>0</v>
      </c>
      <c r="Y226" s="247">
        <f>RIGHT(D226,LEN(D226)-4)/10000</f>
        <v>2.3201000000000001</v>
      </c>
      <c r="Z226" s="247">
        <f>RIGHT(H226,LEN(H226)-4)/10000</f>
        <v>1.3299999999999999E-2</v>
      </c>
      <c r="AA226" s="247">
        <f>ABS(Z226-Y226)</f>
        <v>2.3068</v>
      </c>
      <c r="AB226" s="233" t="e">
        <f>VLOOKUP(A226,Enforcements!$C$7:$K$9,8,0)</f>
        <v>#N/A</v>
      </c>
      <c r="AC226" s="232" t="e">
        <f>VLOOKUP(A226,Enforcements!$C$7:$E$9,3,0)</f>
        <v>#N/A</v>
      </c>
      <c r="AD226" s="243">
        <f>VALUE(LEFT(A226,LEN(A226)-3))</f>
        <v>902</v>
      </c>
      <c r="AE226" s="23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226" s="23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/stypes="app*4005*20180111*" /stext=" 12:.+((SYSTEM_STATE.+slice.+state.+changed )|(ment ac)|(multiple cpu faults)|(system.+state.+changed )|(\[timeout)|(PRM\|1\|D)|(kpr)|(kdp)|(train st.+moving)|(\|lc)|(penalty))"</v>
      </c>
      <c r="AG226" s="244" t="str">
        <f>DetSubdiv(A226)</f>
        <v>Other</v>
      </c>
      <c r="AH226" s="236" t="str">
        <f t="shared" si="83"/>
        <v>"%USERPROFILE%\Documents\GitHub\eaglep3\Utilities\RefineRTDCRunTimes.py" --tripid 902-11 --locoid 4005 --swversion DE.1.0.9.0 --startMP 300:23201 --initTime 2018-01-11T05:48:25 --startdatetime 2018-01-11T05:49:38 --delay 40 --endMP 204:133 --enddatetime 2018-01-11T05:58:16 --enforcementcount 0 &gt;&gt;%USERPROFILE%\Documents\GitHub\eaglep3-reporting\EC\2018-01-11-refined-times.txt</v>
      </c>
      <c r="AI226" s="238" t="str">
        <f t="shared" si="84"/>
        <v>echo {"issue":{"subject":"","project_id":79,"tracker_id":40,"status_id":1,"priority_id":2,"assigned_to_id":338,"start_date":"2018-01-11","description":"","custom_fields":[{"id":1,"name":"Subdivision","value":"Other"},{"id":4,"name":"Milepost","value":"0.0133"},{"id":17,"name":"Train ID","value":"902-11"},{"id":16,"name":"Locomotive ID","value":"4005"},{"id":130,"name":"Impact","value":""},{"id":150,"name":"Time of Event (Mountain Time)","value":"05:58:16"},{"id":151,"name":"Denver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3"/>
      <c r="AK226" s="231"/>
      <c r="AL226" s="231"/>
      <c r="AM226" s="240" t="str">
        <f t="shared" si="85"/>
        <v>start /low /b %USERPROFILE%\Documents\GitHub\eaglep3\Utilities\DownloadLogsFromS3.py --loco 4005 --day 2018-01-11</v>
      </c>
      <c r="AN226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12:58:16"},{"id":29,"name":"Sharepoint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0" t="str">
        <f t="shared" si="87"/>
        <v>https://d0f6bd738d7f1b3e5a7ca70fe4ff75f0.us-east-1.aws.found.io/app/kibana#/discover/Steve-Slow-Train-Analysis-(2080s-and-2083s)?_g=(refreshInterval:(display:Off,pause:!f,section:0,value:0),time:(from:'2018-01-11T04:48:25-0700',mode:absolute,to:'2018-01-11T06:58:16-0700'))&amp;_a=(columns:!('Message%20ID',Summary),filters:!(),index:'emp_*',interval:auto,query:(query_string:(analyze_wildcard:!t,query:'%22rtdc.l.rtdc.4005%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229" t="s">
        <v>749</v>
      </c>
      <c r="B227" s="225">
        <v>4014</v>
      </c>
      <c r="C227" s="227" t="s">
        <v>191</v>
      </c>
      <c r="D227" s="227" t="s">
        <v>1092</v>
      </c>
      <c r="E227" s="226">
        <v>43111.353888888887</v>
      </c>
      <c r="F227" s="226">
        <v>43111.355173611111</v>
      </c>
      <c r="G227" s="225">
        <v>51</v>
      </c>
      <c r="H227" s="227" t="s">
        <v>1093</v>
      </c>
      <c r="I227" s="226">
        <v>43111.360266203701</v>
      </c>
      <c r="J227" s="225">
        <v>0</v>
      </c>
      <c r="K227" s="237" t="str">
        <f>IF(ISEVEN(B227),(B227-1)&amp;"/"&amp;B227,B227&amp;"/"&amp;(B227+1))</f>
        <v>4013/4014</v>
      </c>
      <c r="L227" s="245" t="str">
        <f>VLOOKUP(A227,'Trips&amp;Operators'!$C$1:$G$99911,5,FALSE)</f>
        <v>LOPES KIMBERLY</v>
      </c>
      <c r="M227" s="224">
        <f>I227-F227</f>
        <v>5.0925925897900015E-3</v>
      </c>
      <c r="N227" s="225">
        <f>24*60*SUM($M227:$M227)</f>
        <v>7.3333333292976022</v>
      </c>
      <c r="O227" s="225"/>
      <c r="P227" s="225"/>
      <c r="Q227" s="228"/>
      <c r="R227" s="242"/>
      <c r="S227" s="249">
        <f>1/IF(AG227="EC",12,1)*SUM(U227:U227)</f>
        <v>1</v>
      </c>
      <c r="T227" s="242" t="str">
        <f>IF(ISEVEN(LEFT(AD227,4)),"Southbound","NorthBound")</f>
        <v>NorthBound</v>
      </c>
      <c r="U227" s="24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48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2018-01-11T07:29:36-0700',mode:absolute,to:'2018-01-11T09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7" s="247" t="str">
        <f>IF(AA227&lt;VLOOKUP(AG227,Variables!$AC$3:$AD$8,2,FALSE),"Y","N")</f>
        <v>Y</v>
      </c>
      <c r="X227" s="247">
        <f>VALUE(LEFT(AD227,4))-VALUE(LEFT(AD226,4))</f>
        <v>1</v>
      </c>
      <c r="Y227" s="247">
        <f>RIGHT(D227,LEN(D227)-4)/10000</f>
        <v>4.2999999999999997E-2</v>
      </c>
      <c r="Z227" s="247">
        <f>RIGHT(H227,LEN(H227)-4)/10000</f>
        <v>2.4253999999999998</v>
      </c>
      <c r="AA227" s="247">
        <f>ABS(Z227-Y227)</f>
        <v>2.3823999999999996</v>
      </c>
      <c r="AB227" s="233" t="e">
        <f>VLOOKUP(A227,Enforcements!$C$7:$K$9,8,0)</f>
        <v>#N/A</v>
      </c>
      <c r="AC227" s="232" t="e">
        <f>VLOOKUP(A227,Enforcements!$C$7:$E$9,3,0)</f>
        <v>#N/A</v>
      </c>
      <c r="AD227" s="243">
        <f>VALUE(LEFT(A227,LEN(A227)-3))</f>
        <v>903</v>
      </c>
      <c r="AE227" s="23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s3://rtdc.mdm.uploadarchive.raw/RTDC4014/ "%USERPROFILE%\AppData\Local\Temp\OnboardLogs"\RTDC4014\2018-01-11 --exclude "*" --recursive --include "*20180111*" &amp; "%USERPROFILE%\Documents\GitHub\mrs-test-scripts\Headless Mode &amp; Sideloading\WalkAndUnGZ.bat" "%USERPROFILE%\AppData\Local\Temp\OnboardLogs"\RTDC4014\2018-01-11 &amp; aws s3 cp s3://rtdc.mdm.uploadarchive.raw/RTDC4014/ "%USERPROFILE%\AppData\Local\Temp\OnboardLogs"\RTDC4014\2018-01-12 --exclude "*" --recursive --include "*20180112*" &amp; "%USERPROFILE%\Documents\GitHub\mrs-test-scripts\Headless Mode &amp; Sideloading\WalkAndUnGZ.bat" "%USERPROFILE%\AppData\Local\Temp\OnboardLogs"\RTDC4014\2018-01-12</v>
      </c>
      <c r="AF227" s="23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/stypes="app*4014*20180111*" /stext=" 15:.+((SYSTEM_STATE.+slice.+state.+changed )|(ment ac)|(multiple cpu faults)|(system.+state.+changed )|(\[timeout)|(PRM\|1\|D)|(kpr)|(kdp)|(train st.+moving)|(\|lc)|(penalty))"</v>
      </c>
      <c r="AG227" s="244" t="str">
        <f>DetSubdiv(A227)</f>
        <v>Other</v>
      </c>
      <c r="AH227" s="236" t="str">
        <f t="shared" si="83"/>
        <v>"%USERPROFILE%\Documents\GitHub\eaglep3\Utilities\RefineRTDCRunTimes.py" --tripid 903-11 --locoid 4014 --swversion DE.1.0.9.0 --startMP 204:430 --initTime 2018-01-11T08:29:36 --startdatetime 2018-01-11T08:31:27 --delay 51 --endMP 300:24254 --enddatetime 2018-01-11T08:38:47 --enforcementcount 0 &gt;&gt;%USERPROFILE%\Documents\GitHub\eaglep3-reporting\EC\2018-01-11-refined-times.txt</v>
      </c>
      <c r="AI227" s="238" t="str">
        <f t="shared" si="84"/>
        <v>echo {"issue":{"subject":"","project_id":79,"tracker_id":40,"status_id":1,"priority_id":2,"assigned_to_id":338,"start_date":"2018-01-11","description":"","custom_fields":[{"id":1,"name":"Subdivision","value":"Other"},{"id":4,"name":"Milepost","value":"2.4254"},{"id":17,"name":"Train ID","value":"903-11"},{"id":16,"name":"Locomotive ID","value":"4014"},{"id":130,"name":"Impact","value":""},{"id":150,"name":"Time of Event (Mountain Time)","value":"08:38:47"},{"id":151,"name":"Denver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3"/>
      <c r="AK227" s="231"/>
      <c r="AL227" s="231"/>
      <c r="AM227" s="240" t="str">
        <f t="shared" si="85"/>
        <v>start /low /b %USERPROFILE%\Documents\GitHub\eaglep3\Utilities\DownloadLogsFromS3.py --loco 4014 --day 2018-01-11</v>
      </c>
      <c r="AN227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15:38:47"},{"id":29,"name":"Sharepoint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0" t="str">
        <f t="shared" si="87"/>
        <v>https://d0f6bd738d7f1b3e5a7ca70fe4ff75f0.us-east-1.aws.found.io/app/kibana#/discover/Steve-Slow-Train-Analysis-(2080s-and-2083s)?_g=(refreshInterval:(display:Off,pause:!f,section:0,value:0),time:(from:'2018-01-11T07:29:36-0700',mode:absolute,to:'2018-01-11T09:38:47-0700'))&amp;_a=(columns:!('Message%20ID',Summary),filters:!(),index:'emp_*',interval:auto,query:(query_string:(analyze_wildcard:!t,query:'%22rtdc.l.rtdc.4014%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23" customFormat="1" x14ac:dyDescent="0.3">
      <c r="A228" s="229" t="s">
        <v>816</v>
      </c>
      <c r="B228" s="225">
        <v>4013</v>
      </c>
      <c r="C228" s="227" t="s">
        <v>191</v>
      </c>
      <c r="D228" s="227" t="s">
        <v>1094</v>
      </c>
      <c r="E228" s="226">
        <v>43111.636111111111</v>
      </c>
      <c r="F228" s="226">
        <v>43111.639317129629</v>
      </c>
      <c r="G228" s="225">
        <v>132</v>
      </c>
      <c r="H228" s="227" t="s">
        <v>640</v>
      </c>
      <c r="I228" s="226">
        <v>43111.645011574074</v>
      </c>
      <c r="J228" s="225">
        <v>0</v>
      </c>
      <c r="K228" s="237" t="str">
        <f>IF(ISEVEN(B228),(B228-1)&amp;"/"&amp;B228,B228&amp;"/"&amp;(B228+1))</f>
        <v>4013/4014</v>
      </c>
      <c r="L228" s="245" t="str">
        <f>VLOOKUP(A228,'Trips&amp;Operators'!$C$1:$G$99911,5,FALSE)</f>
        <v>ZEWDU DEREJE</v>
      </c>
      <c r="M228" s="224">
        <f>I228-F228</f>
        <v>5.694444444088731E-3</v>
      </c>
      <c r="N228" s="225">
        <f>24*60*SUM($M228:$M228)</f>
        <v>8.1999999994877726</v>
      </c>
      <c r="O228" s="225"/>
      <c r="P228" s="225"/>
      <c r="Q228" s="228"/>
      <c r="R228" s="242"/>
      <c r="S228" s="249">
        <f>1/IF(AG228="EC",12,1)*SUM(U228:U228)</f>
        <v>1</v>
      </c>
      <c r="T228" s="242" t="str">
        <f>IF(ISEVEN(LEFT(AD228,4)),"Southbound","NorthBound")</f>
        <v>Southbound</v>
      </c>
      <c r="U228" s="24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48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2018-01-11T14:16:00-0700',mode:absolute,to:'2018-01-11T16:28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8" s="247" t="str">
        <f>IF(AA228&lt;VLOOKUP(AG228,Variables!$AC$3:$AD$8,2,FALSE),"Y","N")</f>
        <v>Y</v>
      </c>
      <c r="X228" s="247">
        <f>VALUE(LEFT(AD228,4))-VALUE(LEFT(AD227,4))</f>
        <v>1</v>
      </c>
      <c r="Y228" s="247">
        <f>RIGHT(D228,LEN(D228)-4)/10000</f>
        <v>2.3603000000000001</v>
      </c>
      <c r="Z228" s="247">
        <f>RIGHT(H228,LEN(H228)-4)/10000</f>
        <v>1.38E-2</v>
      </c>
      <c r="AA228" s="247">
        <f>ABS(Z228-Y228)</f>
        <v>2.3465000000000003</v>
      </c>
      <c r="AB228" s="233" t="e">
        <f>VLOOKUP(A228,Enforcements!$C$7:$K$9,8,0)</f>
        <v>#N/A</v>
      </c>
      <c r="AC228" s="232" t="e">
        <f>VLOOKUP(A228,Enforcements!$C$7:$E$9,3,0)</f>
        <v>#N/A</v>
      </c>
      <c r="AD228" s="243">
        <f>VALUE(LEFT(A228,LEN(A228)-3))</f>
        <v>904</v>
      </c>
      <c r="AE228" s="23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s3://rtdc.mdm.uploadarchive.raw/RTDC4013/ "%USERPROFILE%\AppData\Local\Temp\OnboardLogs"\RTDC4013\2018-01-11 --exclude "*" --recursive --include "*20180111*" &amp; "%USERPROFILE%\Documents\GitHub\mrs-test-scripts\Headless Mode &amp; Sideloading\WalkAndUnGZ.bat" "%USERPROFILE%\AppData\Local\Temp\OnboardLogs"\RTDC4013\2018-01-11 &amp; aws s3 cp s3://rtdc.mdm.uploadarchive.raw/RTDC4013/ "%USERPROFILE%\AppData\Local\Temp\OnboardLogs"\RTDC4013\2018-01-12 --exclude "*" --recursive --include "*20180112*" &amp; "%USERPROFILE%\Documents\GitHub\mrs-test-scripts\Headless Mode &amp; Sideloading\WalkAndUnGZ.bat" "%USERPROFILE%\AppData\Local\Temp\OnboardLogs"\RTDC4013\2018-01-12</v>
      </c>
      <c r="AF228" s="23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/stypes="app*4013*20180111*" /stext=" 22:.+((SYSTEM_STATE.+slice.+state.+changed )|(ment ac)|(multiple cpu faults)|(system.+state.+changed )|(\[timeout)|(PRM\|1\|D)|(kpr)|(kdp)|(train st.+moving)|(\|lc)|(penalty))"</v>
      </c>
      <c r="AG228" s="244" t="str">
        <f>DetSubdiv(A228)</f>
        <v>Other</v>
      </c>
      <c r="AH228" s="236" t="str">
        <f t="shared" si="83"/>
        <v>"%USERPROFILE%\Documents\GitHub\eaglep3\Utilities\RefineRTDCRunTimes.py" --tripid 904-11 --locoid 4013 --swversion DE.1.0.9.0 --startMP 300:23603 --initTime 2018-01-11T15:16:00 --startdatetime 2018-01-11T15:20:37 --delay 132 --endMP 204:138 --enddatetime 2018-01-11T15:28:49 --enforcementcount 0 &gt;&gt;%USERPROFILE%\Documents\GitHub\eaglep3-reporting\EC\2018-01-11-refined-times.txt</v>
      </c>
      <c r="AI228" s="238" t="str">
        <f t="shared" si="84"/>
        <v>echo {"issue":{"subject":"","project_id":79,"tracker_id":40,"status_id":1,"priority_id":2,"assigned_to_id":338,"start_date":"2018-01-11","description":"","custom_fields":[{"id":1,"name":"Subdivision","value":"Other"},{"id":4,"name":"Milepost","value":"0.0138"},{"id":17,"name":"Train ID","value":"904-11"},{"id":16,"name":"Locomotive ID","value":"4013"},{"id":130,"name":"Impact","value":""},{"id":150,"name":"Time of Event (Mountain Time)","value":"15:28:49"},{"id":151,"name":"Denver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231"/>
      <c r="AL228" s="231"/>
      <c r="AM228" s="240" t="str">
        <f t="shared" si="85"/>
        <v>start /low /b %USERPROFILE%\Documents\GitHub\eaglep3\Utilities\DownloadLogsFromS3.py --loco 4013 --day 2018-01-11</v>
      </c>
      <c r="AN228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22:28:49"},{"id":29,"name":"Sharepoint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0" t="str">
        <f t="shared" si="87"/>
        <v>https://d0f6bd738d7f1b3e5a7ca70fe4ff75f0.us-east-1.aws.found.io/app/kibana#/discover/Steve-Slow-Train-Analysis-(2080s-and-2083s)?_g=(refreshInterval:(display:Off,pause:!f,section:0,value:0),time:(from:'2018-01-11T14:16:00-0700',mode:absolute,to:'2018-01-11T16:28:49-0700'))&amp;_a=(columns:!('Message%20ID',Summary),filters:!(),index:'emp_*',interval:auto,query:(query_string:(analyze_wildcard:!t,query:'%22rtdc.l.rtdc.4013%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23" customFormat="1" x14ac:dyDescent="0.3">
      <c r="A229" s="229" t="s">
        <v>863</v>
      </c>
      <c r="B229" s="225">
        <v>4013</v>
      </c>
      <c r="C229" s="227" t="s">
        <v>191</v>
      </c>
      <c r="D229" s="227" t="s">
        <v>1095</v>
      </c>
      <c r="E229" s="226">
        <v>43111.789560185185</v>
      </c>
      <c r="F229" s="226">
        <v>43111.791574074072</v>
      </c>
      <c r="G229" s="225">
        <v>66</v>
      </c>
      <c r="H229" s="227" t="s">
        <v>1096</v>
      </c>
      <c r="I229" s="226">
        <v>43111.799189814818</v>
      </c>
      <c r="J229" s="225">
        <v>0</v>
      </c>
      <c r="K229" s="237" t="str">
        <f>IF(ISEVEN(B229),(B229-1)&amp;"/"&amp;B229,B229&amp;"/"&amp;(B229+1))</f>
        <v>4013/4014</v>
      </c>
      <c r="L229" s="245" t="str">
        <f>VLOOKUP(A229,'Trips&amp;Operators'!$C$1:$G$99911,5,FALSE)</f>
        <v>ZEWDU DEREJE</v>
      </c>
      <c r="M229" s="224">
        <f>I229-F229</f>
        <v>7.6157407456776127E-3</v>
      </c>
      <c r="N229" s="225">
        <f>24*60*SUM($M229:$M229)</f>
        <v>10.966666673775762</v>
      </c>
      <c r="O229" s="225"/>
      <c r="P229" s="225"/>
      <c r="Q229" s="228"/>
      <c r="R229" s="242"/>
      <c r="S229" s="249">
        <f>1/IF(AG229="EC",12,1)*SUM(U229:U229)</f>
        <v>0</v>
      </c>
      <c r="T229" s="242" t="str">
        <f>IF(ISEVEN(LEFT(AD229,4)),"Southbound","NorthBound")</f>
        <v>Southbound</v>
      </c>
      <c r="U229" s="24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8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2018-01-11T17:56:58-0700',mode:absolute,to:'2018-01-11T20:10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9" s="247" t="str">
        <f>IF(AA229&lt;VLOOKUP(AG229,Variables!$AC$3:$AD$8,2,FALSE),"Y","N")</f>
        <v>Y</v>
      </c>
      <c r="X229" s="247">
        <f>VALUE(LEFT(AD229,4))-VALUE(LEFT(AD228,4))</f>
        <v>2</v>
      </c>
      <c r="Y229" s="247">
        <f>RIGHT(D229,LEN(D229)-4)/10000</f>
        <v>5.8673000000000002</v>
      </c>
      <c r="Z229" s="247">
        <f>RIGHT(H229,LEN(H229)-4)/10000</f>
        <v>2.8776000000000002</v>
      </c>
      <c r="AA229" s="247">
        <f>ABS(Z229-Y229)</f>
        <v>2.9897</v>
      </c>
      <c r="AB229" s="233" t="e">
        <f>VLOOKUP(A229,Enforcements!$C$7:$K$9,8,0)</f>
        <v>#N/A</v>
      </c>
      <c r="AC229" s="232" t="e">
        <f>VLOOKUP(A229,Enforcements!$C$7:$E$9,3,0)</f>
        <v>#N/A</v>
      </c>
      <c r="AD229" s="243">
        <f>VALUE(LEFT(A229,LEN(A229)-3))</f>
        <v>906</v>
      </c>
      <c r="AE229" s="23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s3://rtdc.mdm.uploadarchive.raw/RTDC4013/ "%USERPROFILE%\AppData\Local\Temp\OnboardLogs"\RTDC4013\2018-01-11 --exclude "*" --recursive --include "*20180111*" &amp; "%USERPROFILE%\Documents\GitHub\mrs-test-scripts\Headless Mode &amp; Sideloading\WalkAndUnGZ.bat" "%USERPROFILE%\AppData\Local\Temp\OnboardLogs"\RTDC4013\2018-01-11 &amp; aws s3 cp s3://rtdc.mdm.uploadarchive.raw/RTDC4013/ "%USERPROFILE%\AppData\Local\Temp\OnboardLogs"\RTDC4013\2018-01-12 --exclude "*" --recursive --include "*20180112*" &amp; "%USERPROFILE%\Documents\GitHub\mrs-test-scripts\Headless Mode &amp; Sideloading\WalkAndUnGZ.bat" "%USERPROFILE%\AppData\Local\Temp\OnboardLogs"\RTDC4013\2018-01-12</v>
      </c>
      <c r="AF229" s="23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/stypes="app*4013*20180112*" /stext=" 02:.+((SYSTEM_STATE.+slice.+state.+changed )|(ment ac)|(multiple cpu faults)|(system.+state.+changed )|(\[timeout)|(PRM\|1\|D)|(kpr)|(kdp)|(train st.+moving)|(\|lc)|(penalty))"</v>
      </c>
      <c r="AG229" s="244" t="str">
        <f>DetSubdiv(A229)</f>
        <v>Other</v>
      </c>
      <c r="AH229" s="236" t="str">
        <f t="shared" si="83"/>
        <v>"%USERPROFILE%\Documents\GitHub\eaglep3\Utilities\RefineRTDCRunTimes.py" --tripid 906-11 --locoid 4013 --swversion DE.1.0.9.0 --startMP 300:58673 --initTime 2018-01-11T18:56:58 --startdatetime 2018-01-11T18:59:52 --delay 66 --endMP 300:28776 --enddatetime 2018-01-11T19:10:50 --enforcementcount 0 &gt;&gt;%USERPROFILE%\Documents\GitHub\eaglep3-reporting\EC\2018-01-11-refined-times.txt</v>
      </c>
      <c r="AI229" s="238" t="str">
        <f t="shared" si="84"/>
        <v>echo {"issue":{"subject":"","project_id":79,"tracker_id":40,"status_id":1,"priority_id":2,"assigned_to_id":338,"start_date":"2018-01-11","description":"","custom_fields":[{"id":1,"name":"Subdivision","value":"Other"},{"id":4,"name":"Milepost","value":"2.8776"},{"id":17,"name":"Train ID","value":"906-11"},{"id":16,"name":"Locomotive ID","value":"4013"},{"id":130,"name":"Impact","value":""},{"id":150,"name":"Time of Event (Mountain Time)","value":"19:10:50"},{"id":151,"name":"Denver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231"/>
      <c r="AL229" s="231"/>
      <c r="AM229" s="240" t="str">
        <f t="shared" si="85"/>
        <v>start /low /b %USERPROFILE%\Documents\GitHub\eaglep3\Utilities\DownloadLogsFromS3.py --loco 4013 --day 2018-01-11</v>
      </c>
      <c r="AN229" s="241" t="str">
        <f t="shared" si="86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02:10:50"},{"id":29,"name":"Sharepoint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0" t="str">
        <f t="shared" si="87"/>
        <v>https://d0f6bd738d7f1b3e5a7ca70fe4ff75f0.us-east-1.aws.found.io/app/kibana#/discover/Steve-Slow-Train-Analysis-(2080s-and-2083s)?_g=(refreshInterval:(display:Off,pause:!f,section:0,value:0),time:(from:'2018-01-11T17:56:58-0700',mode:absolute,to:'2018-01-11T20:10:50-0700'))&amp;_a=(columns:!('Message%20ID',Summary),filters:!(),index:'emp_*',interval:auto,query:(query_string:(analyze_wildcard:!t,query:'%22rtdc.l.rtdc.4013%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23" customFormat="1" x14ac:dyDescent="0.3">
      <c r="A230" s="229" t="s">
        <v>890</v>
      </c>
      <c r="B230" s="225">
        <v>4005</v>
      </c>
      <c r="C230" s="227" t="s">
        <v>191</v>
      </c>
      <c r="D230" s="227" t="s">
        <v>1097</v>
      </c>
      <c r="E230" s="226">
        <v>43111.976354166669</v>
      </c>
      <c r="F230" s="226">
        <v>43111.978379629632</v>
      </c>
      <c r="G230" s="225">
        <v>82</v>
      </c>
      <c r="H230" s="227" t="s">
        <v>1098</v>
      </c>
      <c r="I230" s="226">
        <v>43111.986909722225</v>
      </c>
      <c r="J230" s="225">
        <v>0</v>
      </c>
      <c r="K230" s="237" t="str">
        <f>IF(ISEVEN(B230),(B230-1)&amp;"/"&amp;B230,B230&amp;"/"&amp;(B230+1))</f>
        <v>4005/4006</v>
      </c>
      <c r="L230" s="245" t="str">
        <f>VLOOKUP(A230,'Trips&amp;Operators'!$C$1:$G$99911,5,FALSE)</f>
        <v>ANDREA WILLIAMS</v>
      </c>
      <c r="M230" s="224">
        <f>I230-F230</f>
        <v>8.5300925929914229E-3</v>
      </c>
      <c r="N230" s="225">
        <f>24*60*SUM($M230:$M230)</f>
        <v>12.283333333907649</v>
      </c>
      <c r="O230" s="225"/>
      <c r="P230" s="225"/>
      <c r="Q230" s="228"/>
      <c r="R230" s="242"/>
      <c r="S230" s="249">
        <f>1/IF(AG230="EC",12,1)*SUM(U230:U230)</f>
        <v>0</v>
      </c>
      <c r="T230" s="242" t="str">
        <f>IF(ISEVEN(LEFT(AD230,4)),"Southbound","NorthBound")</f>
        <v>Southbound</v>
      </c>
      <c r="U230" s="24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8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2018-01-11T22:25:57-0700',mode:absolute,to:'2018-01-12T00:41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0" s="247" t="str">
        <f>IF(AA230&lt;VLOOKUP(AG230,Variables!$AC$3:$AD$8,2,FALSE),"Y","N")</f>
        <v>Y</v>
      </c>
      <c r="X230" s="247">
        <f>VALUE(LEFT(AD230,4))-VALUE(LEFT(AD229,4))</f>
        <v>2</v>
      </c>
      <c r="Y230" s="247">
        <f>RIGHT(D230,LEN(D230)-4)/10000</f>
        <v>5.8604000000000003</v>
      </c>
      <c r="Z230" s="247">
        <f>RIGHT(H230,LEN(H230)-4)/10000</f>
        <v>2.8791000000000002</v>
      </c>
      <c r="AA230" s="247">
        <f>ABS(Z230-Y230)</f>
        <v>2.9813000000000001</v>
      </c>
      <c r="AB230" s="233" t="e">
        <f>VLOOKUP(A230,Enforcements!$C$7:$K$9,8,0)</f>
        <v>#N/A</v>
      </c>
      <c r="AC230" s="232" t="e">
        <f>VLOOKUP(A230,Enforcements!$C$7:$E$9,3,0)</f>
        <v>#N/A</v>
      </c>
      <c r="AD230" s="243">
        <f>VALUE(LEFT(A230,LEN(A230)-3))</f>
        <v>908</v>
      </c>
      <c r="AE230" s="23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AF230" s="23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/stypes="app*4005*20180112*" /stext=" 06:.+((SYSTEM_STATE.+slice.+state.+changed )|(ment ac)|(multiple cpu faults)|(system.+state.+changed )|(\[timeout)|(PRM\|1\|D)|(kpr)|(kdp)|(train st.+moving)|(\|lc)|(penalty))"</v>
      </c>
      <c r="AG230" s="244" t="str">
        <f>DetSubdiv(A230)</f>
        <v>Other</v>
      </c>
      <c r="AH230" s="236" t="str">
        <f t="shared" si="83"/>
        <v>"%USERPROFILE%\Documents\GitHub\eaglep3\Utilities\RefineRTDCRunTimes.py" --tripid 908-11 --locoid 4005 --swversion DE.1.0.9.0 --startMP 300:58604 --initTime 2018-01-11T23:25:57 --startdatetime 2018-01-11T23:28:52 --delay 82 --endMP 300:28791 --enddatetime 2018-01-11T23:41:09 --enforcementcount 0 &gt;&gt;%USERPROFILE%\Documents\GitHub\eaglep3-reporting\EC\2018-01-11-refined-times.txt</v>
      </c>
      <c r="AI230" s="238" t="str">
        <f t="shared" si="84"/>
        <v>echo {"issue":{"subject":"","project_id":79,"tracker_id":40,"status_id":1,"priority_id":2,"assigned_to_id":338,"start_date":"2018-01-11","description":"","custom_fields":[{"id":1,"name":"Subdivision","value":"Other"},{"id":4,"name":"Milepost","value":"2.8791"},{"id":17,"name":"Train ID","value":"908-11"},{"id":16,"name":"Locomotive ID","value":"4005"},{"id":130,"name":"Impact","value":""},{"id":150,"name":"Time of Event (Mountain Time)","value":"23:41:09"},{"id":151,"name":"Denver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231"/>
      <c r="AL230" s="231"/>
      <c r="AM230" s="240" t="str">
        <f t="shared" si="85"/>
        <v>start /low /b %USERPROFILE%\Documents\GitHub\eaglep3\Utilities\DownloadLogsFromS3.py --loco 4005 --day 2018-01-11</v>
      </c>
      <c r="AN230" s="241" t="str">
        <f t="shared" si="86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06:41:09"},{"id":29,"name":"Sharepoint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0" t="str">
        <f t="shared" si="87"/>
        <v>https://d0f6bd738d7f1b3e5a7ca70fe4ff75f0.us-east-1.aws.found.io/app/kibana#/discover/Steve-Slow-Train-Analysis-(2080s-and-2083s)?_g=(refreshInterval:(display:Off,pause:!f,section:0,value:0),time:(from:'2018-01-11T22:25:57-0700',mode:absolute,to:'2018-01-12T00:41:09-0700'))&amp;_a=(columns:!('Message%20ID',Summary),filters:!(),index:'emp_*',interval:auto,query:(query_string:(analyze_wildcard:!t,query:'%22rtdc.l.rtdc.4005%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229" t="s">
        <v>761</v>
      </c>
      <c r="B231" s="225">
        <v>4009</v>
      </c>
      <c r="C231" s="227" t="s">
        <v>191</v>
      </c>
      <c r="D231" s="227" t="s">
        <v>1015</v>
      </c>
      <c r="E231" s="226">
        <v>43111.393807870372</v>
      </c>
      <c r="F231" s="226">
        <v>43111.397094907406</v>
      </c>
      <c r="G231" s="225">
        <v>73</v>
      </c>
      <c r="H231" s="227" t="s">
        <v>1016</v>
      </c>
      <c r="I231" s="226">
        <v>43111.408101851855</v>
      </c>
      <c r="J231" s="225">
        <v>0</v>
      </c>
      <c r="K231" s="237" t="str">
        <f>IF(ISEVEN(B231),(B231-1)&amp;"/"&amp;B231,B231&amp;"/"&amp;(B231+1))</f>
        <v>4009/4010</v>
      </c>
      <c r="L231" s="245" t="str">
        <f>VLOOKUP(A231,'Trips&amp;Operators'!$C$1:$G$99911,5,FALSE)</f>
        <v>HUFFSMITH MONTY</v>
      </c>
      <c r="M231" s="224">
        <f>I231-F231</f>
        <v>1.1006944449036382E-2</v>
      </c>
      <c r="N231" s="225">
        <f>24*60*SUM($M231:$M231)</f>
        <v>15.85000000661239</v>
      </c>
      <c r="O231" s="225"/>
      <c r="P231" s="225"/>
      <c r="Q231" s="228"/>
      <c r="R231" s="242"/>
      <c r="S231" s="249">
        <f>1/IF(AG231="EC",12,1)*SUM(U231:U231)</f>
        <v>0</v>
      </c>
      <c r="T231" s="242" t="str">
        <f>IF(ISEVEN(LEFT(AD231,4)),"Southbound","NorthBound")</f>
        <v>Southbound</v>
      </c>
      <c r="U231" s="24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48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2018-01-11T08:27:05-0700',mode:absolute,to:'2018-01-11T10:47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1" s="247" t="str">
        <f>IF(AA231&lt;VLOOKUP(AG231,Variables!$AC$3:$AD$8,2,FALSE),"Y","N")</f>
        <v>Y</v>
      </c>
      <c r="X231" s="247">
        <f>VALUE(LEFT(AD231,4))-VALUE(LEFT(AD230,4))</f>
        <v>-858</v>
      </c>
      <c r="Y231" s="247">
        <f>RIGHT(D231,LEN(D231)-4)/10000</f>
        <v>11.2197</v>
      </c>
      <c r="Z231" s="247">
        <f>RIGHT(H231,LEN(H231)-4)/10000</f>
        <v>2.9066000000000001</v>
      </c>
      <c r="AA231" s="247">
        <f>ABS(Z231-Y231)</f>
        <v>8.3130999999999986</v>
      </c>
      <c r="AB231" s="233" t="e">
        <f>VLOOKUP(A231,Enforcements!$C$7:$K$9,8,0)</f>
        <v>#N/A</v>
      </c>
      <c r="AC231" s="232" t="e">
        <f>VLOOKUP(A231,Enforcements!$C$7:$E$9,3,0)</f>
        <v>#N/A</v>
      </c>
      <c r="AD231" s="243">
        <f>VALUE(LEFT(A231,LEN(A231)-3))</f>
        <v>50</v>
      </c>
      <c r="AE231" s="23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s3://rtdc.mdm.uploadarchive.raw/RTDC4009/ "%USERPROFILE%\AppData\Local\Temp\OnboardLogs"\RTDC4009\2018-01-11 --exclude "*" --recursive --include "*20180111*" &amp; "%USERPROFILE%\Documents\GitHub\mrs-test-scripts\Headless Mode &amp; Sideloading\WalkAndUnGZ.bat" "%USERPROFILE%\AppData\Local\Temp\OnboardLogs"\RTDC4009\2018-01-11 &amp; aws s3 cp s3://rtdc.mdm.uploadarchive.raw/RTDC4009/ "%USERPROFILE%\AppData\Local\Temp\OnboardLogs"\RTDC4009\2018-01-12 --exclude "*" --recursive --include "*20180112*" &amp; "%USERPROFILE%\Documents\GitHub\mrs-test-scripts\Headless Mode &amp; Sideloading\WalkAndUnGZ.bat" "%USERPROFILE%\AppData\Local\Temp\OnboardLogs"\RTDC4009\2018-01-12</v>
      </c>
      <c r="AF231" s="23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/stypes="app*4009*20180111*" /stext=" 16:.+((SYSTEM_STATE.+slice.+state.+changed )|(ment ac)|(multiple cpu faults)|(system.+state.+changed )|(\[timeout)|(PRM\|1\|D)|(kpr)|(kdp)|(train st.+moving)|(\|lc)|(penalty))"</v>
      </c>
      <c r="AG231" s="244" t="str">
        <f>DetSubdiv(A231)</f>
        <v>Shuttle/Test</v>
      </c>
      <c r="AH231" s="236" t="str">
        <f t="shared" si="83"/>
        <v>"%USERPROFILE%\Documents\GitHub\eaglep3\Utilities\RefineRTDCRunTimes.py" --tripid 50-11 --locoid 4009 --swversion DE.1.0.9.0 --startMP 300:112197 --initTime 2018-01-11T09:27:05 --startdatetime 2018-01-11T09:31:49 --delay 73 --endMP 300:29066 --enddatetime 2018-01-11T09:47:40 --enforcementcount 0 &gt;&gt;%USERPROFILE%\Documents\GitHub\eaglep3-reporting\EC\2018-01-11-refined-times.txt</v>
      </c>
      <c r="AI231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2.9066"},{"id":17,"name":"Train ID","value":"50-11"},{"id":16,"name":"Locomotive ID","value":"4009"},{"id":130,"name":"Impact","value":""},{"id":150,"name":"Time of Event (Mountain Time)","value":"09:47:40"},{"id":151,"name":"Denver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3"/>
      <c r="AK231" s="231"/>
      <c r="AL231" s="231"/>
      <c r="AM231" s="240" t="str">
        <f t="shared" si="85"/>
        <v>start /low /b %USERPROFILE%\Documents\GitHub\eaglep3\Utilities\DownloadLogsFromS3.py --loco 4009 --day 2018-01-11</v>
      </c>
      <c r="AN231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16:47:40"},{"id":29,"name":"Sharepoint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0" t="str">
        <f t="shared" si="87"/>
        <v>https://d0f6bd738d7f1b3e5a7ca70fe4ff75f0.us-east-1.aws.found.io/app/kibana#/discover/Steve-Slow-Train-Analysis-(2080s-and-2083s)?_g=(refreshInterval:(display:Off,pause:!f,section:0,value:0),time:(from:'2018-01-11T08:27:05-0700',mode:absolute,to:'2018-01-11T10:47:40-0700'))&amp;_a=(columns:!('Message%20ID',Summary),filters:!(),index:'emp_*',interval:auto,query:(query_string:(analyze_wildcard:!t,query:'%22rtdc.l.rtdc.4009%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23" customFormat="1" x14ac:dyDescent="0.3">
      <c r="A232" s="229" t="s">
        <v>761</v>
      </c>
      <c r="B232" s="225">
        <v>4009</v>
      </c>
      <c r="C232" s="227" t="s">
        <v>191</v>
      </c>
      <c r="D232" s="227" t="s">
        <v>628</v>
      </c>
      <c r="E232" s="226">
        <v>43111.53534722222</v>
      </c>
      <c r="F232" s="226">
        <v>43111.540046296293</v>
      </c>
      <c r="G232" s="225">
        <v>62</v>
      </c>
      <c r="H232" s="227" t="s">
        <v>1017</v>
      </c>
      <c r="I232" s="226">
        <v>43111.551111111112</v>
      </c>
      <c r="J232" s="225">
        <v>0</v>
      </c>
      <c r="K232" s="237" t="str">
        <f>IF(ISEVEN(B232),(B232-1)&amp;"/"&amp;B232,B232&amp;"/"&amp;(B232+1))</f>
        <v>4009/4010</v>
      </c>
      <c r="L232" s="245" t="str">
        <f>VLOOKUP(A232,'Trips&amp;Operators'!$C$1:$G$99911,5,FALSE)</f>
        <v>HUFFSMITH MONTY</v>
      </c>
      <c r="M232" s="224">
        <f>I232-F232</f>
        <v>1.1064814818382729E-2</v>
      </c>
      <c r="N232" s="225">
        <f>24*60*SUM($M232:$M232)</f>
        <v>15.93333333847113</v>
      </c>
      <c r="O232" s="225"/>
      <c r="P232" s="225"/>
      <c r="Q232" s="228"/>
      <c r="R232" s="242"/>
      <c r="S232" s="249">
        <f>1/IF(AG232="EC",12,1)*SUM(U232:U232)</f>
        <v>0</v>
      </c>
      <c r="T232" s="242" t="str">
        <f>IF(ISEVEN(LEFT(AD232,4)),"Southbound","NorthBound")</f>
        <v>Southbound</v>
      </c>
      <c r="U232" s="24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48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2018-01-11T11:50:54-0700',mode:absolute,to:'2018-01-11T14:13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2" s="247" t="str">
        <f>IF(AA232&lt;VLOOKUP(AG232,Variables!$AC$3:$AD$8,2,FALSE),"Y","N")</f>
        <v>Y</v>
      </c>
      <c r="X232" s="247">
        <f>VALUE(LEFT(AD232,4))-VALUE(LEFT(AD231,4))</f>
        <v>0</v>
      </c>
      <c r="Y232" s="247">
        <f>RIGHT(D232,LEN(D232)-4)/10000</f>
        <v>11.2262</v>
      </c>
      <c r="Z232" s="247">
        <f>RIGHT(H232,LEN(H232)-4)/10000</f>
        <v>2.6610999999999998</v>
      </c>
      <c r="AA232" s="247">
        <f>ABS(Z232-Y232)</f>
        <v>8.565100000000001</v>
      </c>
      <c r="AB232" s="233" t="e">
        <f>VLOOKUP(A232,Enforcements!$C$7:$K$9,8,0)</f>
        <v>#N/A</v>
      </c>
      <c r="AC232" s="232" t="e">
        <f>VLOOKUP(A232,Enforcements!$C$7:$E$9,3,0)</f>
        <v>#N/A</v>
      </c>
      <c r="AD232" s="243">
        <f>VALUE(LEFT(A232,LEN(A232)-3))</f>
        <v>50</v>
      </c>
      <c r="AE232" s="23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s3://rtdc.mdm.uploadarchive.raw/RTDC4009/ "%USERPROFILE%\AppData\Local\Temp\OnboardLogs"\RTDC4009\2018-01-11 --exclude "*" --recursive --include "*20180111*" &amp; "%USERPROFILE%\Documents\GitHub\mrs-test-scripts\Headless Mode &amp; Sideloading\WalkAndUnGZ.bat" "%USERPROFILE%\AppData\Local\Temp\OnboardLogs"\RTDC4009\2018-01-11 &amp; aws s3 cp s3://rtdc.mdm.uploadarchive.raw/RTDC4009/ "%USERPROFILE%\AppData\Local\Temp\OnboardLogs"\RTDC4009\2018-01-12 --exclude "*" --recursive --include "*20180112*" &amp; "%USERPROFILE%\Documents\GitHub\mrs-test-scripts\Headless Mode &amp; Sideloading\WalkAndUnGZ.bat" "%USERPROFILE%\AppData\Local\Temp\OnboardLogs"\RTDC4009\2018-01-12</v>
      </c>
      <c r="AF232" s="23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/stypes="app*4009*20180111*" /stext=" 20:.+((SYSTEM_STATE.+slice.+state.+changed )|(ment ac)|(multiple cpu faults)|(system.+state.+changed )|(\[timeout)|(PRM\|1\|D)|(kpr)|(kdp)|(train st.+moving)|(\|lc)|(penalty))"</v>
      </c>
      <c r="AG232" s="244" t="str">
        <f>DetSubdiv(A232)</f>
        <v>Shuttle/Test</v>
      </c>
      <c r="AH232" s="236" t="str">
        <f t="shared" si="83"/>
        <v>"%USERPROFILE%\Documents\GitHub\eaglep3\Utilities\RefineRTDCRunTimes.py" --tripid 50-11 --locoid 4009 --swversion DE.1.0.9.0 --startMP 300:112262 --initTime 2018-01-11T12:50:54 --startdatetime 2018-01-11T12:57:40 --delay 62 --endMP 300:26611 --enddatetime 2018-01-11T13:13:36 --enforcementcount 0 &gt;&gt;%USERPROFILE%\Documents\GitHub\eaglep3-reporting\EC\2018-01-11-refined-times.txt</v>
      </c>
      <c r="AI232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2.6611"},{"id":17,"name":"Train ID","value":"50-11"},{"id":16,"name":"Locomotive ID","value":"4009"},{"id":130,"name":"Impact","value":""},{"id":150,"name":"Time of Event (Mountain Time)","value":"13:13:36"},{"id":151,"name":"Denver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231"/>
      <c r="AL232" s="231"/>
      <c r="AM232" s="240" t="str">
        <f t="shared" si="85"/>
        <v>start /low /b %USERPROFILE%\Documents\GitHub\eaglep3\Utilities\DownloadLogsFromS3.py --loco 4009 --day 2018-01-11</v>
      </c>
      <c r="AN232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20:13:36"},{"id":29,"name":"Sharepoint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0" t="str">
        <f t="shared" si="87"/>
        <v>https://d0f6bd738d7f1b3e5a7ca70fe4ff75f0.us-east-1.aws.found.io/app/kibana#/discover/Steve-Slow-Train-Analysis-(2080s-and-2083s)?_g=(refreshInterval:(display:Off,pause:!f,section:0,value:0),time:(from:'2018-01-11T11:50:54-0700',mode:absolute,to:'2018-01-11T14:13:36-0700'))&amp;_a=(columns:!('Message%20ID',Summary),filters:!(),index:'emp_*',interval:auto,query:(query_string:(analyze_wildcard:!t,query:'%22rtdc.l.rtdc.4009%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3" customFormat="1" x14ac:dyDescent="0.3">
      <c r="A233" s="229" t="s">
        <v>653</v>
      </c>
      <c r="B233" s="225">
        <v>4034</v>
      </c>
      <c r="C233" s="227" t="s">
        <v>191</v>
      </c>
      <c r="D233" s="227" t="s">
        <v>1018</v>
      </c>
      <c r="E233" s="226">
        <v>43111.124224537038</v>
      </c>
      <c r="F233" s="226">
        <v>43111.143009259256</v>
      </c>
      <c r="G233" s="225">
        <v>110</v>
      </c>
      <c r="H233" s="227" t="s">
        <v>1019</v>
      </c>
      <c r="I233" s="226">
        <v>43111.143958333334</v>
      </c>
      <c r="J233" s="225">
        <v>0</v>
      </c>
      <c r="K233" s="237" t="str">
        <f>IF(ISEVEN(B233),(B233-1)&amp;"/"&amp;B233,B233&amp;"/"&amp;(B233+1))</f>
        <v>4033/4034</v>
      </c>
      <c r="L233" s="245" t="str">
        <f>VLOOKUP(A233,'Trips&amp;Operators'!$C$1:$G$99911,5,FALSE)</f>
        <v>ROCHA YAOTL</v>
      </c>
      <c r="M233" s="224">
        <f>I233-F233</f>
        <v>9.490740776527673E-4</v>
      </c>
      <c r="N233" s="225">
        <f>24*60*SUM($M233:$M233)</f>
        <v>1.3666666718199849</v>
      </c>
      <c r="O233" s="225"/>
      <c r="P233" s="225"/>
      <c r="Q233" s="228"/>
      <c r="R233" s="242"/>
      <c r="S233" s="249">
        <f>1/IF(AG233="EC",12,1)*SUM(U233:U233)</f>
        <v>0</v>
      </c>
      <c r="T233" s="242" t="str">
        <f>IF(ISEVEN(LEFT(AD233,4)),"Southbound","NorthBound")</f>
        <v>NorthBound</v>
      </c>
      <c r="U233" s="24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8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2018-01-11T01:58:53-0700',mode:absolute,to:'2018-01-11T04:27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3" s="247" t="str">
        <f>IF(AA233&lt;VLOOKUP(AG233,Variables!$AC$3:$AD$8,2,FALSE),"Y","N")</f>
        <v>Y</v>
      </c>
      <c r="X233" s="247">
        <f>VALUE(LEFT(AD233,4))-VALUE(LEFT(AD232,4))</f>
        <v>1</v>
      </c>
      <c r="Y233" s="247">
        <f>RIGHT(D233,LEN(D233)-4)/10000</f>
        <v>4.82E-2</v>
      </c>
      <c r="Z233" s="247">
        <f>RIGHT(H233,LEN(H233)-4)/10000</f>
        <v>0.33400000000000002</v>
      </c>
      <c r="AA233" s="247">
        <f>ABS(Z233-Y233)</f>
        <v>0.2858</v>
      </c>
      <c r="AB233" s="233" t="e">
        <f>VLOOKUP(A233,Enforcements!$C$7:$K$9,8,0)</f>
        <v>#N/A</v>
      </c>
      <c r="AC233" s="232" t="e">
        <f>VLOOKUP(A233,Enforcements!$C$7:$E$9,3,0)</f>
        <v>#N/A</v>
      </c>
      <c r="AD233" s="243">
        <f>VALUE(LEFT(A233,LEN(A233)-3))</f>
        <v>51</v>
      </c>
      <c r="AE233" s="23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AF233" s="23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/stypes="app*4034*20180111*" /stext=" 10:.+((SYSTEM_STATE.+slice.+state.+changed )|(ment ac)|(multiple cpu faults)|(system.+state.+changed )|(\[timeout)|(PRM\|1\|D)|(kpr)|(kdp)|(train st.+moving)|(\|lc)|(penalty))"</v>
      </c>
      <c r="AG233" s="244" t="str">
        <f>DetSubdiv(A233)</f>
        <v>Shuttle/Test</v>
      </c>
      <c r="AH233" s="236" t="str">
        <f t="shared" si="83"/>
        <v>"%USERPROFILE%\Documents\GitHub\eaglep3\Utilities\RefineRTDCRunTimes.py" --tripid 51-11 --locoid 4034 --swversion DE.1.0.9.0 --startMP 204:482 --initTime 2018-01-11T02:58:53 --startdatetime 2018-01-11T03:25:56 --delay 110 --endMP 204:3340 --enddatetime 2018-01-11T03:27:18 --enforcementcount 0 &gt;&gt;%USERPROFILE%\Documents\GitHub\eaglep3-reporting\EC\2018-01-11-refined-times.txt</v>
      </c>
      <c r="AI233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0.334"},{"id":17,"name":"Train ID","value":"51-11"},{"id":16,"name":"Locomotive ID","value":"4034"},{"id":130,"name":"Impact","value":""},{"id":150,"name":"Time of Event (Mountain Time)","value":"03:27:18"},{"id":151,"name":"Denver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231"/>
      <c r="AL233" s="231"/>
      <c r="AM233" s="240" t="str">
        <f t="shared" si="85"/>
        <v>start /low /b %USERPROFILE%\Documents\GitHub\eaglep3\Utilities\DownloadLogsFromS3.py --loco 4034 --day 2018-01-11</v>
      </c>
      <c r="AN233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10:27:18"},{"id":29,"name":"Sharepoint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0" t="str">
        <f t="shared" si="87"/>
        <v>https://d0f6bd738d7f1b3e5a7ca70fe4ff75f0.us-east-1.aws.found.io/app/kibana#/discover/Steve-Slow-Train-Analysis-(2080s-and-2083s)?_g=(refreshInterval:(display:Off,pause:!f,section:0,value:0),time:(from:'2018-01-11T01:58:53-0700',mode:absolute,to:'2018-01-11T04:27:18-0700'))&amp;_a=(columns:!('Message%20ID',Summary),filters:!(),index:'emp_*',interval:auto,query:(query_string:(analyze_wildcard:!t,query:'%22rtdc.l.rtdc.4034%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229" t="s">
        <v>653</v>
      </c>
      <c r="B234" s="225">
        <v>4033</v>
      </c>
      <c r="C234" s="227" t="s">
        <v>191</v>
      </c>
      <c r="D234" s="227" t="s">
        <v>1020</v>
      </c>
      <c r="E234" s="226">
        <v>43111.14166666667</v>
      </c>
      <c r="F234" s="226">
        <v>43111.143009259256</v>
      </c>
      <c r="G234" s="225">
        <v>53</v>
      </c>
      <c r="H234" s="227" t="s">
        <v>1021</v>
      </c>
      <c r="I234" s="226">
        <v>43111.143958333334</v>
      </c>
      <c r="J234" s="225">
        <v>0</v>
      </c>
      <c r="K234" s="237" t="str">
        <f>IF(ISEVEN(B234),(B234-1)&amp;"/"&amp;B234,B234&amp;"/"&amp;(B234+1))</f>
        <v>4033/4034</v>
      </c>
      <c r="L234" s="245" t="str">
        <f>VLOOKUP(A234,'Trips&amp;Operators'!$C$1:$G$99911,5,FALSE)</f>
        <v>ROCHA YAOTL</v>
      </c>
      <c r="M234" s="224">
        <f>I234-F234</f>
        <v>9.490740776527673E-4</v>
      </c>
      <c r="N234" s="225">
        <f>24*60*SUM($M234:$M234)</f>
        <v>1.3666666718199849</v>
      </c>
      <c r="O234" s="225"/>
      <c r="P234" s="225"/>
      <c r="Q234" s="228"/>
      <c r="R234" s="242"/>
      <c r="S234" s="249">
        <f>1/IF(AG234="EC",12,1)*SUM(U234:U234)</f>
        <v>0</v>
      </c>
      <c r="T234" s="242" t="str">
        <f>IF(ISEVEN(LEFT(AD234,4)),"Southbound","NorthBound")</f>
        <v>NorthBound</v>
      </c>
      <c r="U234" s="24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8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2018-01-11T02:24:00-0700',mode:absolute,to:'2018-01-11T04:27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34" s="247" t="str">
        <f>IF(AA234&lt;VLOOKUP(AG234,Variables!$AC$3:$AD$8,2,FALSE),"Y","N")</f>
        <v>Y</v>
      </c>
      <c r="X234" s="247">
        <f>VALUE(LEFT(AD234,4))-VALUE(LEFT(AD233,4))</f>
        <v>0</v>
      </c>
      <c r="Y234" s="247">
        <f>RIGHT(D234,LEN(D234)-4)/10000</f>
        <v>0.30009999999999998</v>
      </c>
      <c r="Z234" s="247">
        <f>RIGHT(H234,LEN(H234)-4)/10000</f>
        <v>0.1152</v>
      </c>
      <c r="AA234" s="247">
        <f>ABS(Z234-Y234)</f>
        <v>0.18489999999999998</v>
      </c>
      <c r="AB234" s="233" t="e">
        <f>VLOOKUP(A234,Enforcements!$C$7:$K$9,8,0)</f>
        <v>#N/A</v>
      </c>
      <c r="AC234" s="232" t="e">
        <f>VLOOKUP(A234,Enforcements!$C$7:$E$9,3,0)</f>
        <v>#N/A</v>
      </c>
      <c r="AD234" s="243">
        <f>VALUE(LEFT(A234,LEN(A234)-3))</f>
        <v>51</v>
      </c>
      <c r="AE234" s="23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s3://rtdc.mdm.uploadarchive.raw/RTDC4033/ "%USERPROFILE%\AppData\Local\Temp\OnboardLogs"\RTDC4033\2018-01-11 --exclude "*" --recursive --include "*20180111*" &amp; "%USERPROFILE%\Documents\GitHub\mrs-test-scripts\Headless Mode &amp; Sideloading\WalkAndUnGZ.bat" "%USERPROFILE%\AppData\Local\Temp\OnboardLogs"\RTDC4033\2018-01-11 &amp; aws s3 cp s3://rtdc.mdm.uploadarchive.raw/RTDC4033/ "%USERPROFILE%\AppData\Local\Temp\OnboardLogs"\RTDC4033\2018-01-12 --exclude "*" --recursive --include "*20180112*" &amp; "%USERPROFILE%\Documents\GitHub\mrs-test-scripts\Headless Mode &amp; Sideloading\WalkAndUnGZ.bat" "%USERPROFILE%\AppData\Local\Temp\OnboardLogs"\RTDC4033\2018-01-12</v>
      </c>
      <c r="AF234" s="23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/stypes="app*4033*20180111*" /stext=" 10:.+((SYSTEM_STATE.+slice.+state.+changed )|(ment ac)|(multiple cpu faults)|(system.+state.+changed )|(\[timeout)|(PRM\|1\|D)|(kpr)|(kdp)|(train st.+moving)|(\|lc)|(penalty))"</v>
      </c>
      <c r="AG234" s="244" t="str">
        <f>DetSubdiv(A234)</f>
        <v>Shuttle/Test</v>
      </c>
      <c r="AH234" s="236" t="str">
        <f t="shared" si="83"/>
        <v>"%USERPROFILE%\Documents\GitHub\eaglep3\Utilities\RefineRTDCRunTimes.py" --tripid 51-11 --locoid 4033 --swversion DE.1.0.9.0 --startMP 204:3001 --initTime 2018-01-11T03:24:00 --startdatetime 2018-01-11T03:25:56 --delay 53 --endMP 204:1152 --enddatetime 2018-01-11T03:27:18 --enforcementcount 0 &gt;&gt;%USERPROFILE%\Documents\GitHub\eaglep3-reporting\EC\2018-01-11-refined-times.txt</v>
      </c>
      <c r="AI234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0.1152"},{"id":17,"name":"Train ID","value":"51-11"},{"id":16,"name":"Locomotive ID","value":"4033"},{"id":130,"name":"Impact","value":""},{"id":150,"name":"Time of Event (Mountain Time)","value":"03:27:18"},{"id":151,"name":"Denver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3"/>
      <c r="AK234" s="231"/>
      <c r="AL234" s="231"/>
      <c r="AM234" s="240" t="str">
        <f t="shared" si="85"/>
        <v>start /low /b %USERPROFILE%\Documents\GitHub\eaglep3\Utilities\DownloadLogsFromS3.py --loco 4033 --day 2018-01-11</v>
      </c>
      <c r="AN234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10:27:18"},{"id":29,"name":"Sharepoint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0" t="str">
        <f t="shared" si="87"/>
        <v>https://d0f6bd738d7f1b3e5a7ca70fe4ff75f0.us-east-1.aws.found.io/app/kibana#/discover/Steve-Slow-Train-Analysis-(2080s-and-2083s)?_g=(refreshInterval:(display:Off,pause:!f,section:0,value:0),time:(from:'2018-01-11T02:24:00-0700',mode:absolute,to:'2018-01-11T04:27:18-0700'))&amp;_a=(columns:!('Message%20ID',Summary),filters:!(),index:'emp_*',interval:auto,query:(query_string:(analyze_wildcard:!t,query:'%22rtdc.l.rtdc.4033%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229" t="s">
        <v>653</v>
      </c>
      <c r="B235" s="225">
        <v>4010</v>
      </c>
      <c r="C235" s="227" t="s">
        <v>191</v>
      </c>
      <c r="D235" s="227" t="s">
        <v>1022</v>
      </c>
      <c r="E235" s="226">
        <v>43111.409270833334</v>
      </c>
      <c r="F235" s="226">
        <v>43111.412395833337</v>
      </c>
      <c r="G235" s="225">
        <v>62</v>
      </c>
      <c r="H235" s="227" t="s">
        <v>1023</v>
      </c>
      <c r="I235" s="226">
        <v>43111.427164351851</v>
      </c>
      <c r="J235" s="225">
        <v>0</v>
      </c>
      <c r="K235" s="237" t="str">
        <f>IF(ISEVEN(B235),(B235-1)&amp;"/"&amp;B235,B235&amp;"/"&amp;(B235+1))</f>
        <v>4009/4010</v>
      </c>
      <c r="L235" s="245" t="str">
        <f>VLOOKUP(A235,'Trips&amp;Operators'!$C$1:$G$99911,5,FALSE)</f>
        <v>ROCHA YAOTL</v>
      </c>
      <c r="M235" s="224">
        <f>I235-F235</f>
        <v>1.4768518514756579E-2</v>
      </c>
      <c r="N235" s="225">
        <f>24*60*SUM($M235:$M235)</f>
        <v>21.266666661249474</v>
      </c>
      <c r="O235" s="225"/>
      <c r="P235" s="225"/>
      <c r="Q235" s="228"/>
      <c r="R235" s="242"/>
      <c r="S235" s="249">
        <f>1/IF(AG235="EC",12,1)*SUM(U235:U235)</f>
        <v>0</v>
      </c>
      <c r="T235" s="242" t="str">
        <f>IF(ISEVEN(LEFT(AD235,4)),"Southbound","NorthBound")</f>
        <v>NorthBound</v>
      </c>
      <c r="U235" s="246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8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2018-01-11T08:49:21-0700',mode:absolute,to:'2018-01-11T11:15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5" s="247" t="str">
        <f>IF(AA235&lt;VLOOKUP(AG235,Variables!$AC$3:$AD$8,2,FALSE),"Y","N")</f>
        <v>Y</v>
      </c>
      <c r="X235" s="247">
        <f>VALUE(LEFT(AD235,4))-VALUE(LEFT(AD234,4))</f>
        <v>0</v>
      </c>
      <c r="Y235" s="247">
        <f>RIGHT(D235,LEN(D235)-4)/10000</f>
        <v>2.9375</v>
      </c>
      <c r="Z235" s="247">
        <f>RIGHT(H235,LEN(H235)-4)/10000</f>
        <v>11.2582</v>
      </c>
      <c r="AA235" s="247">
        <f>ABS(Z235-Y235)</f>
        <v>8.3207000000000004</v>
      </c>
      <c r="AB235" s="233" t="e">
        <f>VLOOKUP(A235,Enforcements!$C$7:$K$9,8,0)</f>
        <v>#N/A</v>
      </c>
      <c r="AC235" s="232" t="e">
        <f>VLOOKUP(A235,Enforcements!$C$7:$E$9,3,0)</f>
        <v>#N/A</v>
      </c>
      <c r="AD235" s="243">
        <f>VALUE(LEFT(A235,LEN(A235)-3))</f>
        <v>51</v>
      </c>
      <c r="AE235" s="23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s3://rtdc.mdm.uploadarchive.raw/RTDC4010/ "%USERPROFILE%\AppData\Local\Temp\OnboardLogs"\RTDC4010\2018-01-11 --exclude "*" --recursive --include "*20180111*" &amp; "%USERPROFILE%\Documents\GitHub\mrs-test-scripts\Headless Mode &amp; Sideloading\WalkAndUnGZ.bat" "%USERPROFILE%\AppData\Local\Temp\OnboardLogs"\RTDC4010\2018-01-11 &amp; aws s3 cp s3://rtdc.mdm.uploadarchive.raw/RTDC4010/ "%USERPROFILE%\AppData\Local\Temp\OnboardLogs"\RTDC4010\2018-01-12 --exclude "*" --recursive --include "*20180112*" &amp; "%USERPROFILE%\Documents\GitHub\mrs-test-scripts\Headless Mode &amp; Sideloading\WalkAndUnGZ.bat" "%USERPROFILE%\AppData\Local\Temp\OnboardLogs"\RTDC4010\2018-01-12</v>
      </c>
      <c r="AF235" s="23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/stypes="app*4010*20180111*" /stext=" 17:.+((SYSTEM_STATE.+slice.+state.+changed )|(ment ac)|(multiple cpu faults)|(system.+state.+changed )|(\[timeout)|(PRM\|1\|D)|(kpr)|(kdp)|(train st.+moving)|(\|lc)|(penalty))"</v>
      </c>
      <c r="AG235" s="244" t="str">
        <f>DetSubdiv(A235)</f>
        <v>Shuttle/Test</v>
      </c>
      <c r="AH235" s="236" t="str">
        <f t="shared" si="83"/>
        <v>"%USERPROFILE%\Documents\GitHub\eaglep3\Utilities\RefineRTDCRunTimes.py" --tripid 51-11 --locoid 4010 --swversion DE.1.0.9.0 --startMP 300:29375 --initTime 2018-01-11T09:49:21 --startdatetime 2018-01-11T09:53:51 --delay 62 --endMP 300:112582 --enddatetime 2018-01-11T10:15:07 --enforcementcount 0 &gt;&gt;%USERPROFILE%\Documents\GitHub\eaglep3-reporting\EC\2018-01-11-refined-times.txt</v>
      </c>
      <c r="AI235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11.2582"},{"id":17,"name":"Train ID","value":"51-11"},{"id":16,"name":"Locomotive ID","value":"4010"},{"id":130,"name":"Impact","value":""},{"id":150,"name":"Time of Event (Mountain Time)","value":"10:15:07"},{"id":151,"name":"Denver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3"/>
      <c r="AK235" s="231"/>
      <c r="AL235" s="231"/>
      <c r="AM235" s="240" t="str">
        <f t="shared" si="85"/>
        <v>start /low /b %USERPROFILE%\Documents\GitHub\eaglep3\Utilities\DownloadLogsFromS3.py --loco 4010 --day 2018-01-11</v>
      </c>
      <c r="AN235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17:15:07"},{"id":29,"name":"Sharepoint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0" t="str">
        <f t="shared" si="87"/>
        <v>https://d0f6bd738d7f1b3e5a7ca70fe4ff75f0.us-east-1.aws.found.io/app/kibana#/discover/Steve-Slow-Train-Analysis-(2080s-and-2083s)?_g=(refreshInterval:(display:Off,pause:!f,section:0,value:0),time:(from:'2018-01-11T08:49:21-0700',mode:absolute,to:'2018-01-11T11:15:07-0700'))&amp;_a=(columns:!('Message%20ID',Summary),filters:!(),index:'emp_*',interval:auto,query:(query_string:(analyze_wildcard:!t,query:'%22rtdc.l.rtdc.4010%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23" customFormat="1" x14ac:dyDescent="0.3">
      <c r="A236" s="229" t="s">
        <v>768</v>
      </c>
      <c r="B236" s="225">
        <v>4009</v>
      </c>
      <c r="C236" s="227" t="s">
        <v>191</v>
      </c>
      <c r="D236" s="227" t="s">
        <v>1024</v>
      </c>
      <c r="E236" s="226">
        <v>43111.42864583333</v>
      </c>
      <c r="F236" s="226">
        <v>43111.460775462961</v>
      </c>
      <c r="G236" s="225">
        <v>92</v>
      </c>
      <c r="H236" s="227" t="s">
        <v>1025</v>
      </c>
      <c r="I236" s="226">
        <v>43111.464537037034</v>
      </c>
      <c r="J236" s="225">
        <v>0</v>
      </c>
      <c r="K236" s="237" t="str">
        <f>IF(ISEVEN(B236),(B236-1)&amp;"/"&amp;B236,B236&amp;"/"&amp;(B236+1))</f>
        <v>4009/4010</v>
      </c>
      <c r="L236" s="245" t="str">
        <f>VLOOKUP(A236,'Trips&amp;Operators'!$C$1:$G$99911,5,FALSE)</f>
        <v>GONZALEZ ARMANDO</v>
      </c>
      <c r="M236" s="224">
        <f>I236-F236</f>
        <v>3.7615740729961544E-3</v>
      </c>
      <c r="N236" s="225">
        <f>24*60*SUM($M236:$M236)</f>
        <v>5.4166666651144624</v>
      </c>
      <c r="O236" s="225"/>
      <c r="P236" s="225"/>
      <c r="Q236" s="228"/>
      <c r="R236" s="242"/>
      <c r="S236" s="249">
        <f>1/IF(AG236="EC",12,1)*SUM(U236:U236)</f>
        <v>0</v>
      </c>
      <c r="T236" s="242" t="str">
        <f>IF(ISEVEN(LEFT(AD236,4)),"Southbound","NorthBound")</f>
        <v>Southbound</v>
      </c>
      <c r="U236" s="246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48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2018-01-11T09:17:15-0700',mode:absolute,to:'2018-01-11T12:08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6" s="247" t="str">
        <f>IF(AA236&lt;VLOOKUP(AG236,Variables!$AC$3:$AD$8,2,FALSE),"Y","N")</f>
        <v>Y</v>
      </c>
      <c r="X236" s="247">
        <f>VALUE(LEFT(AD236,4))-VALUE(LEFT(AD235,4))</f>
        <v>1</v>
      </c>
      <c r="Y236" s="247">
        <f>RIGHT(D236,LEN(D236)-4)/10000</f>
        <v>11.2258</v>
      </c>
      <c r="Z236" s="247">
        <f>RIGHT(H236,LEN(H236)-4)/10000</f>
        <v>2.8917999999999999</v>
      </c>
      <c r="AA236" s="247">
        <f>ABS(Z236-Y236)</f>
        <v>8.3339999999999996</v>
      </c>
      <c r="AB236" s="233" t="e">
        <f>VLOOKUP(A236,Enforcements!$C$7:$K$9,8,0)</f>
        <v>#N/A</v>
      </c>
      <c r="AC236" s="232" t="e">
        <f>VLOOKUP(A236,Enforcements!$C$7:$E$9,3,0)</f>
        <v>#N/A</v>
      </c>
      <c r="AD236" s="243">
        <f>VALUE(LEFT(A236,LEN(A236)-3))</f>
        <v>52</v>
      </c>
      <c r="AE236" s="23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s3://rtdc.mdm.uploadarchive.raw/RTDC4009/ "%USERPROFILE%\AppData\Local\Temp\OnboardLogs"\RTDC4009\2018-01-11 --exclude "*" --recursive --include "*20180111*" &amp; "%USERPROFILE%\Documents\GitHub\mrs-test-scripts\Headless Mode &amp; Sideloading\WalkAndUnGZ.bat" "%USERPROFILE%\AppData\Local\Temp\OnboardLogs"\RTDC4009\2018-01-11 &amp; aws s3 cp s3://rtdc.mdm.uploadarchive.raw/RTDC4009/ "%USERPROFILE%\AppData\Local\Temp\OnboardLogs"\RTDC4009\2018-01-12 --exclude "*" --recursive --include "*20180112*" &amp; "%USERPROFILE%\Documents\GitHub\mrs-test-scripts\Headless Mode &amp; Sideloading\WalkAndUnGZ.bat" "%USERPROFILE%\AppData\Local\Temp\OnboardLogs"\RTDC4009\2018-01-12</v>
      </c>
      <c r="AF236" s="23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/stypes="app*4009*20180111*" /stext=" 18:.+((SYSTEM_STATE.+slice.+state.+changed )|(ment ac)|(multiple cpu faults)|(system.+state.+changed )|(\[timeout)|(PRM\|1\|D)|(kpr)|(kdp)|(train st.+moving)|(\|lc)|(penalty))"</v>
      </c>
      <c r="AG236" s="244" t="str">
        <f>DetSubdiv(A236)</f>
        <v>Shuttle/Test</v>
      </c>
      <c r="AH236" s="236" t="str">
        <f t="shared" si="83"/>
        <v>"%USERPROFILE%\Documents\GitHub\eaglep3\Utilities\RefineRTDCRunTimes.py" --tripid 52-11 --locoid 4009 --swversion DE.1.0.9.0 --startMP 300:112258 --initTime 2018-01-11T10:17:15 --startdatetime 2018-01-11T11:03:31 --delay 92 --endMP 300:28918 --enddatetime 2018-01-11T11:08:56 --enforcementcount 0 &gt;&gt;%USERPROFILE%\Documents\GitHub\eaglep3-reporting\EC\2018-01-11-refined-times.txt</v>
      </c>
      <c r="AI236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2.8918"},{"id":17,"name":"Train ID","value":"52-11"},{"id":16,"name":"Locomotive ID","value":"4009"},{"id":130,"name":"Impact","value":""},{"id":150,"name":"Time of Event (Mountain Time)","value":"11:08:56"},{"id":151,"name":"Denver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231"/>
      <c r="AL236" s="231"/>
      <c r="AM236" s="240" t="str">
        <f t="shared" si="85"/>
        <v>start /low /b %USERPROFILE%\Documents\GitHub\eaglep3\Utilities\DownloadLogsFromS3.py --loco 4009 --day 2018-01-11</v>
      </c>
      <c r="AN236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18:08:56"},{"id":29,"name":"Sharepoint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0" t="str">
        <f t="shared" si="87"/>
        <v>https://d0f6bd738d7f1b3e5a7ca70fe4ff75f0.us-east-1.aws.found.io/app/kibana#/discover/Steve-Slow-Train-Analysis-(2080s-and-2083s)?_g=(refreshInterval:(display:Off,pause:!f,section:0,value:0),time:(from:'2018-01-11T09:17:15-0700',mode:absolute,to:'2018-01-11T12:08:56-0700'))&amp;_a=(columns:!('Message%20ID',Summary),filters:!(),index:'emp_*',interval:auto,query:(query_string:(analyze_wildcard:!t,query:'%22rtdc.l.rtdc.4009%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229" t="s">
        <v>768</v>
      </c>
      <c r="B237" s="225">
        <v>4009</v>
      </c>
      <c r="C237" s="227" t="s">
        <v>191</v>
      </c>
      <c r="D237" s="227" t="s">
        <v>1026</v>
      </c>
      <c r="E237" s="226">
        <v>43111.45820601852</v>
      </c>
      <c r="F237" s="226">
        <v>43111.460775462961</v>
      </c>
      <c r="G237" s="225">
        <v>88</v>
      </c>
      <c r="H237" s="227" t="s">
        <v>1027</v>
      </c>
      <c r="I237" s="226">
        <v>43111.464537037034</v>
      </c>
      <c r="J237" s="225">
        <v>0</v>
      </c>
      <c r="K237" s="237" t="str">
        <f>IF(ISEVEN(B237),(B237-1)&amp;"/"&amp;B237,B237&amp;"/"&amp;(B237+1))</f>
        <v>4009/4010</v>
      </c>
      <c r="L237" s="245" t="str">
        <f>VLOOKUP(A237,'Trips&amp;Operators'!$C$1:$G$99911,5,FALSE)</f>
        <v>GONZALEZ ARMANDO</v>
      </c>
      <c r="M237" s="224">
        <f>I237-F237</f>
        <v>3.7615740729961544E-3</v>
      </c>
      <c r="N237" s="225">
        <f>24*60*SUM($M237:$M237)</f>
        <v>5.4166666651144624</v>
      </c>
      <c r="O237" s="225"/>
      <c r="P237" s="225"/>
      <c r="Q237" s="228"/>
      <c r="R237" s="242"/>
      <c r="S237" s="249">
        <f>1/IF(AG237="EC",12,1)*SUM(U237:U237)</f>
        <v>0</v>
      </c>
      <c r="T237" s="242" t="str">
        <f>IF(ISEVEN(LEFT(AD237,4)),"Southbound","NorthBound")</f>
        <v>Southbound</v>
      </c>
      <c r="U237" s="246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48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2018-01-11T09:59:49-0700',mode:absolute,to:'2018-01-11T12:08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7" s="247" t="str">
        <f>IF(AA237&lt;VLOOKUP(AG237,Variables!$AC$3:$AD$8,2,FALSE),"Y","N")</f>
        <v>Y</v>
      </c>
      <c r="X237" s="247">
        <f>VALUE(LEFT(AD237,4))-VALUE(LEFT(AD236,4))</f>
        <v>0</v>
      </c>
      <c r="Y237" s="247">
        <f>RIGHT(D237,LEN(D237)-4)/10000</f>
        <v>4.5518999999999998</v>
      </c>
      <c r="Z237" s="247">
        <f>RIGHT(H237,LEN(H237)-4)/10000</f>
        <v>2.8469000000000002</v>
      </c>
      <c r="AA237" s="247">
        <f>ABS(Z237-Y237)</f>
        <v>1.7049999999999996</v>
      </c>
      <c r="AB237" s="233" t="e">
        <f>VLOOKUP(A237,Enforcements!$C$7:$K$9,8,0)</f>
        <v>#N/A</v>
      </c>
      <c r="AC237" s="232" t="e">
        <f>VLOOKUP(A237,Enforcements!$C$7:$E$9,3,0)</f>
        <v>#N/A</v>
      </c>
      <c r="AD237" s="243">
        <f>VALUE(LEFT(A237,LEN(A237)-3))</f>
        <v>52</v>
      </c>
      <c r="AE237" s="23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s3://rtdc.mdm.uploadarchive.raw/RTDC4009/ "%USERPROFILE%\AppData\Local\Temp\OnboardLogs"\RTDC4009\2018-01-11 --exclude "*" --recursive --include "*20180111*" &amp; "%USERPROFILE%\Documents\GitHub\mrs-test-scripts\Headless Mode &amp; Sideloading\WalkAndUnGZ.bat" "%USERPROFILE%\AppData\Local\Temp\OnboardLogs"\RTDC4009\2018-01-11 &amp; aws s3 cp s3://rtdc.mdm.uploadarchive.raw/RTDC4009/ "%USERPROFILE%\AppData\Local\Temp\OnboardLogs"\RTDC4009\2018-01-12 --exclude "*" --recursive --include "*20180112*" &amp; "%USERPROFILE%\Documents\GitHub\mrs-test-scripts\Headless Mode &amp; Sideloading\WalkAndUnGZ.bat" "%USERPROFILE%\AppData\Local\Temp\OnboardLogs"\RTDC4009\2018-01-12</v>
      </c>
      <c r="AF237" s="23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/stypes="app*4009*20180111*" /stext=" 18:.+((SYSTEM_STATE.+slice.+state.+changed )|(ment ac)|(multiple cpu faults)|(system.+state.+changed )|(\[timeout)|(PRM\|1\|D)|(kpr)|(kdp)|(train st.+moving)|(\|lc)|(penalty))"</v>
      </c>
      <c r="AG237" s="244" t="str">
        <f>DetSubdiv(A237)</f>
        <v>Shuttle/Test</v>
      </c>
      <c r="AH237" s="236" t="str">
        <f t="shared" si="83"/>
        <v>"%USERPROFILE%\Documents\GitHub\eaglep3\Utilities\RefineRTDCRunTimes.py" --tripid 52-11 --locoid 4009 --swversion DE.1.0.9.0 --startMP 300:45519 --initTime 2018-01-11T10:59:49 --startdatetime 2018-01-11T11:03:31 --delay 88 --endMP 300:28469 --enddatetime 2018-01-11T11:08:56 --enforcementcount 0 &gt;&gt;%USERPROFILE%\Documents\GitHub\eaglep3-reporting\EC\2018-01-11-refined-times.txt</v>
      </c>
      <c r="AI237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2.8469"},{"id":17,"name":"Train ID","value":"52-11"},{"id":16,"name":"Locomotive ID","value":"4009"},{"id":130,"name":"Impact","value":""},{"id":150,"name":"Time of Event (Mountain Time)","value":"11:08:56"},{"id":151,"name":"Denver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3"/>
      <c r="AK237" s="231"/>
      <c r="AL237" s="231"/>
      <c r="AM237" s="240" t="str">
        <f t="shared" si="85"/>
        <v>start /low /b %USERPROFILE%\Documents\GitHub\eaglep3\Utilities\DownloadLogsFromS3.py --loco 4009 --day 2018-01-11</v>
      </c>
      <c r="AN237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18:08:56"},{"id":29,"name":"Sharepoint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0" t="str">
        <f t="shared" si="87"/>
        <v>https://d0f6bd738d7f1b3e5a7ca70fe4ff75f0.us-east-1.aws.found.io/app/kibana#/discover/Steve-Slow-Train-Analysis-(2080s-and-2083s)?_g=(refreshInterval:(display:Off,pause:!f,section:0,value:0),time:(from:'2018-01-11T09:59:49-0700',mode:absolute,to:'2018-01-11T12:08:56-0700'))&amp;_a=(columns:!('Message%20ID',Summary),filters:!(),index:'emp_*',interval:auto,query:(query_string:(analyze_wildcard:!t,query:'%22rtdc.l.rtdc.4009%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3" customFormat="1" x14ac:dyDescent="0.3">
      <c r="A238" s="229" t="s">
        <v>768</v>
      </c>
      <c r="B238" s="225">
        <v>4009</v>
      </c>
      <c r="C238" s="227" t="s">
        <v>191</v>
      </c>
      <c r="D238" s="227" t="s">
        <v>1024</v>
      </c>
      <c r="E238" s="226">
        <v>43111.484988425924</v>
      </c>
      <c r="F238" s="226">
        <v>43111.488483796296</v>
      </c>
      <c r="G238" s="225">
        <v>95</v>
      </c>
      <c r="H238" s="227" t="s">
        <v>627</v>
      </c>
      <c r="I238" s="226">
        <v>43111.500613425924</v>
      </c>
      <c r="J238" s="225">
        <v>0</v>
      </c>
      <c r="K238" s="237" t="str">
        <f>IF(ISEVEN(B238),(B238-1)&amp;"/"&amp;B238,B238&amp;"/"&amp;(B238+1))</f>
        <v>4009/4010</v>
      </c>
      <c r="L238" s="245" t="str">
        <f>VLOOKUP(A238,'Trips&amp;Operators'!$C$1:$G$99911,5,FALSE)</f>
        <v>GONZALEZ ARMANDO</v>
      </c>
      <c r="M238" s="224">
        <f>I238-F238</f>
        <v>1.2129629627452232E-2</v>
      </c>
      <c r="N238" s="225">
        <f>24*60*SUM($M238:$M238)</f>
        <v>17.466666663531214</v>
      </c>
      <c r="O238" s="225"/>
      <c r="P238" s="225"/>
      <c r="Q238" s="228"/>
      <c r="R238" s="242"/>
      <c r="S238" s="249">
        <f>1/IF(AG238="EC",12,1)*SUM(U238:U238)</f>
        <v>0</v>
      </c>
      <c r="T238" s="242" t="str">
        <f>IF(ISEVEN(LEFT(AD238,4)),"Southbound","NorthBound")</f>
        <v>Southbound</v>
      </c>
      <c r="U238" s="246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48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2018-01-11T10:38:23-0700',mode:absolute,to:'2018-01-11T13:00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8" s="247" t="str">
        <f>IF(AA238&lt;VLOOKUP(AG238,Variables!$AC$3:$AD$8,2,FALSE),"Y","N")</f>
        <v>Y</v>
      </c>
      <c r="X238" s="247">
        <f>VALUE(LEFT(AD238,4))-VALUE(LEFT(AD237,4))</f>
        <v>0</v>
      </c>
      <c r="Y238" s="247">
        <f>RIGHT(D238,LEN(D238)-4)/10000</f>
        <v>11.2258</v>
      </c>
      <c r="Z238" s="247">
        <f>RIGHT(H238,LEN(H238)-4)/10000</f>
        <v>2.8149999999999999</v>
      </c>
      <c r="AA238" s="247">
        <f>ABS(Z238-Y238)</f>
        <v>8.4108000000000001</v>
      </c>
      <c r="AB238" s="233" t="e">
        <f>VLOOKUP(A238,Enforcements!$C$7:$K$9,8,0)</f>
        <v>#N/A</v>
      </c>
      <c r="AC238" s="232" t="e">
        <f>VLOOKUP(A238,Enforcements!$C$7:$E$9,3,0)</f>
        <v>#N/A</v>
      </c>
      <c r="AD238" s="243">
        <f>VALUE(LEFT(A238,LEN(A238)-3))</f>
        <v>52</v>
      </c>
      <c r="AE238" s="23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s3://rtdc.mdm.uploadarchive.raw/RTDC4009/ "%USERPROFILE%\AppData\Local\Temp\OnboardLogs"\RTDC4009\2018-01-11 --exclude "*" --recursive --include "*20180111*" &amp; "%USERPROFILE%\Documents\GitHub\mrs-test-scripts\Headless Mode &amp; Sideloading\WalkAndUnGZ.bat" "%USERPROFILE%\AppData\Local\Temp\OnboardLogs"\RTDC4009\2018-01-11 &amp; aws s3 cp s3://rtdc.mdm.uploadarchive.raw/RTDC4009/ "%USERPROFILE%\AppData\Local\Temp\OnboardLogs"\RTDC4009\2018-01-12 --exclude "*" --recursive --include "*20180112*" &amp; "%USERPROFILE%\Documents\GitHub\mrs-test-scripts\Headless Mode &amp; Sideloading\WalkAndUnGZ.bat" "%USERPROFILE%\AppData\Local\Temp\OnboardLogs"\RTDC4009\2018-01-12</v>
      </c>
      <c r="AF238" s="23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/stypes="app*4009*20180111*" /stext=" 19:.+((SYSTEM_STATE.+slice.+state.+changed )|(ment ac)|(multiple cpu faults)|(system.+state.+changed )|(\[timeout)|(PRM\|1\|D)|(kpr)|(kdp)|(train st.+moving)|(\|lc)|(penalty))"</v>
      </c>
      <c r="AG238" s="244" t="str">
        <f>DetSubdiv(A238)</f>
        <v>Shuttle/Test</v>
      </c>
      <c r="AH238" s="236" t="str">
        <f t="shared" si="83"/>
        <v>"%USERPROFILE%\Documents\GitHub\eaglep3\Utilities\RefineRTDCRunTimes.py" --tripid 52-11 --locoid 4009 --swversion DE.1.0.9.0 --startMP 300:112258 --initTime 2018-01-11T11:38:23 --startdatetime 2018-01-11T11:43:25 --delay 95 --endMP 300:28150 --enddatetime 2018-01-11T12:00:53 --enforcementcount 0 &gt;&gt;%USERPROFILE%\Documents\GitHub\eaglep3-reporting\EC\2018-01-11-refined-times.txt</v>
      </c>
      <c r="AI238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2.815"},{"id":17,"name":"Train ID","value":"52-11"},{"id":16,"name":"Locomotive ID","value":"4009"},{"id":130,"name":"Impact","value":""},{"id":150,"name":"Time of Event (Mountain Time)","value":"12:00:53"},{"id":151,"name":"Denver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231"/>
      <c r="AL238" s="231"/>
      <c r="AM238" s="240" t="str">
        <f t="shared" si="85"/>
        <v>start /low /b %USERPROFILE%\Documents\GitHub\eaglep3\Utilities\DownloadLogsFromS3.py --loco 4009 --day 2018-01-11</v>
      </c>
      <c r="AN238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19:00:53"},{"id":29,"name":"Sharepoint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0" t="str">
        <f t="shared" si="87"/>
        <v>https://d0f6bd738d7f1b3e5a7ca70fe4ff75f0.us-east-1.aws.found.io/app/kibana#/discover/Steve-Slow-Train-Analysis-(2080s-and-2083s)?_g=(refreshInterval:(display:Off,pause:!f,section:0,value:0),time:(from:'2018-01-11T10:38:23-0700',mode:absolute,to:'2018-01-11T13:00:53-0700'))&amp;_a=(columns:!('Message%20ID',Summary),filters:!(),index:'emp_*',interval:auto,query:(query_string:(analyze_wildcard:!t,query:'%22rtdc.l.rtdc.4009%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3" customFormat="1" x14ac:dyDescent="0.3">
      <c r="A239" s="229" t="s">
        <v>663</v>
      </c>
      <c r="B239" s="225">
        <v>4010</v>
      </c>
      <c r="C239" s="227" t="s">
        <v>191</v>
      </c>
      <c r="D239" s="227" t="s">
        <v>1028</v>
      </c>
      <c r="E239" s="226">
        <v>43111.448958333334</v>
      </c>
      <c r="F239" s="226">
        <v>43111.471145833333</v>
      </c>
      <c r="G239" s="225">
        <v>96</v>
      </c>
      <c r="H239" s="227" t="s">
        <v>1029</v>
      </c>
      <c r="I239" s="226">
        <v>43111.483576388891</v>
      </c>
      <c r="J239" s="225">
        <v>0</v>
      </c>
      <c r="K239" s="237" t="str">
        <f>IF(ISEVEN(B239),(B239-1)&amp;"/"&amp;B239,B239&amp;"/"&amp;(B239+1))</f>
        <v>4009/4010</v>
      </c>
      <c r="L239" s="245" t="str">
        <f>VLOOKUP(A239,'Trips&amp;Operators'!$C$1:$G$99911,5,FALSE)</f>
        <v>GONZALEZ ARMANDO</v>
      </c>
      <c r="M239" s="224">
        <f>I239-F239</f>
        <v>1.2430555558239575E-2</v>
      </c>
      <c r="N239" s="225">
        <f>24*60*SUM($M239:$M239)</f>
        <v>17.900000003864989</v>
      </c>
      <c r="O239" s="225"/>
      <c r="P239" s="225"/>
      <c r="Q239" s="228"/>
      <c r="R239" s="242"/>
      <c r="S239" s="249">
        <f>1/IF(AG239="EC",12,1)*SUM(U239:U239)</f>
        <v>0</v>
      </c>
      <c r="T239" s="242" t="str">
        <f>IF(ISEVEN(LEFT(AD239,4)),"Southbound","NorthBound")</f>
        <v>NorthBound</v>
      </c>
      <c r="U239" s="246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48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2018-01-11T09:46:30-0700',mode:absolute,to:'2018-01-11T12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9" s="247" t="str">
        <f>IF(AA239&lt;VLOOKUP(AG239,Variables!$AC$3:$AD$8,2,FALSE),"Y","N")</f>
        <v>Y</v>
      </c>
      <c r="X239" s="247">
        <f>VALUE(LEFT(AD239,4))-VALUE(LEFT(AD238,4))</f>
        <v>1</v>
      </c>
      <c r="Y239" s="247">
        <f>RIGHT(D239,LEN(D239)-4)/10000</f>
        <v>2.9241999999999999</v>
      </c>
      <c r="Z239" s="247">
        <f>RIGHT(H239,LEN(H239)-4)/10000</f>
        <v>4.5811000000000002</v>
      </c>
      <c r="AA239" s="247">
        <f>ABS(Z239-Y239)</f>
        <v>1.6569000000000003</v>
      </c>
      <c r="AB239" s="233" t="e">
        <f>VLOOKUP(A239,Enforcements!$C$7:$K$9,8,0)</f>
        <v>#N/A</v>
      </c>
      <c r="AC239" s="232" t="e">
        <f>VLOOKUP(A239,Enforcements!$C$7:$E$9,3,0)</f>
        <v>#N/A</v>
      </c>
      <c r="AD239" s="243">
        <f>VALUE(LEFT(A239,LEN(A239)-3))</f>
        <v>53</v>
      </c>
      <c r="AE239" s="23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s3://rtdc.mdm.uploadarchive.raw/RTDC4010/ "%USERPROFILE%\AppData\Local\Temp\OnboardLogs"\RTDC4010\2018-01-11 --exclude "*" --recursive --include "*20180111*" &amp; "%USERPROFILE%\Documents\GitHub\mrs-test-scripts\Headless Mode &amp; Sideloading\WalkAndUnGZ.bat" "%USERPROFILE%\AppData\Local\Temp\OnboardLogs"\RTDC4010\2018-01-11 &amp; aws s3 cp s3://rtdc.mdm.uploadarchive.raw/RTDC4010/ "%USERPROFILE%\AppData\Local\Temp\OnboardLogs"\RTDC4010\2018-01-12 --exclude "*" --recursive --include "*20180112*" &amp; "%USERPROFILE%\Documents\GitHub\mrs-test-scripts\Headless Mode &amp; Sideloading\WalkAndUnGZ.bat" "%USERPROFILE%\AppData\Local\Temp\OnboardLogs"\RTDC4010\2018-01-12</v>
      </c>
      <c r="AF239" s="23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/stypes="app*4010*20180111*" /stext=" 18:.+((SYSTEM_STATE.+slice.+state.+changed )|(ment ac)|(multiple cpu faults)|(system.+state.+changed )|(\[timeout)|(PRM\|1\|D)|(kpr)|(kdp)|(train st.+moving)|(\|lc)|(penalty))"</v>
      </c>
      <c r="AG239" s="244" t="str">
        <f>DetSubdiv(A239)</f>
        <v>Shuttle/Test</v>
      </c>
      <c r="AH239" s="236" t="str">
        <f t="shared" si="83"/>
        <v>"%USERPROFILE%\Documents\GitHub\eaglep3\Utilities\RefineRTDCRunTimes.py" --tripid 53-11 --locoid 4010 --swversion DE.1.0.9.0 --startMP 300:29242 --initTime 2018-01-11T10:46:30 --startdatetime 2018-01-11T11:18:27 --delay 96 --endMP 300:45811 --enddatetime 2018-01-11T11:36:21 --enforcementcount 0 &gt;&gt;%USERPROFILE%\Documents\GitHub\eaglep3-reporting\EC\2018-01-11-refined-times.txt</v>
      </c>
      <c r="AI239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4.5811"},{"id":17,"name":"Train ID","value":"53-11"},{"id":16,"name":"Locomotive ID","value":"4010"},{"id":130,"name":"Impact","value":""},{"id":150,"name":"Time of Event (Mountain Time)","value":"11:36:21"},{"id":151,"name":"Denver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231"/>
      <c r="AL239" s="231"/>
      <c r="AM239" s="240" t="str">
        <f t="shared" si="85"/>
        <v>start /low /b %USERPROFILE%\Documents\GitHub\eaglep3\Utilities\DownloadLogsFromS3.py --loco 4010 --day 2018-01-11</v>
      </c>
      <c r="AN239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18:36:21"},{"id":29,"name":"Sharepoint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0" t="str">
        <f t="shared" si="87"/>
        <v>https://d0f6bd738d7f1b3e5a7ca70fe4ff75f0.us-east-1.aws.found.io/app/kibana#/discover/Steve-Slow-Train-Analysis-(2080s-and-2083s)?_g=(refreshInterval:(display:Off,pause:!f,section:0,value:0),time:(from:'2018-01-11T09:46:30-0700',mode:absolute,to:'2018-01-11T12:36:21-0700'))&amp;_a=(columns:!('Message%20ID',Summary),filters:!(),index:'emp_*',interval:auto,query:(query_string:(analyze_wildcard:!t,query:'%22rtdc.l.rtdc.4010%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3">
      <c r="A240" s="229" t="s">
        <v>663</v>
      </c>
      <c r="B240" s="225">
        <v>4010</v>
      </c>
      <c r="C240" s="227" t="s">
        <v>191</v>
      </c>
      <c r="D240" s="227" t="s">
        <v>1030</v>
      </c>
      <c r="E240" s="226">
        <v>43111.50204861111</v>
      </c>
      <c r="F240" s="226">
        <v>43111.513298611113</v>
      </c>
      <c r="G240" s="225">
        <v>86</v>
      </c>
      <c r="H240" s="227" t="s">
        <v>1030</v>
      </c>
      <c r="I240" s="226">
        <v>43111.533229166664</v>
      </c>
      <c r="J240" s="225">
        <v>0</v>
      </c>
      <c r="K240" s="237" t="str">
        <f>IF(ISEVEN(B240),(B240-1)&amp;"/"&amp;B240,B240&amp;"/"&amp;(B240+1))</f>
        <v>4009/4010</v>
      </c>
      <c r="L240" s="245" t="str">
        <f>VLOOKUP(A240,'Trips&amp;Operators'!$C$1:$G$99911,5,FALSE)</f>
        <v>GONZALEZ ARMANDO</v>
      </c>
      <c r="M240" s="224">
        <f>I240-F240</f>
        <v>1.993055555067258E-2</v>
      </c>
      <c r="N240" s="225">
        <f>24*60*SUM($M240:$M240)</f>
        <v>28.699999992968515</v>
      </c>
      <c r="O240" s="225"/>
      <c r="P240" s="225"/>
      <c r="Q240" s="228"/>
      <c r="R240" s="242"/>
      <c r="S240" s="249">
        <f>1/IF(AG240="EC",12,1)*SUM(U240:U240)</f>
        <v>0</v>
      </c>
      <c r="T240" s="242" t="str">
        <f>IF(ISEVEN(LEFT(AD240,4)),"Southbound","NorthBound")</f>
        <v>NorthBound</v>
      </c>
      <c r="U240" s="246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48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2018-01-11T11:02:57-0700',mode:absolute,to:'2018-01-11T13:47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0" s="247" t="str">
        <f>IF(AA240&lt;VLOOKUP(AG240,Variables!$AC$3:$AD$8,2,FALSE),"Y","N")</f>
        <v>Y</v>
      </c>
      <c r="X240" s="247">
        <f>VALUE(LEFT(AD240,4))-VALUE(LEFT(AD239,4))</f>
        <v>0</v>
      </c>
      <c r="Y240" s="247">
        <f>RIGHT(D240,LEN(D240)-4)/10000</f>
        <v>2.8513000000000002</v>
      </c>
      <c r="Z240" s="247">
        <f>RIGHT(H240,LEN(H240)-4)/10000</f>
        <v>2.8513000000000002</v>
      </c>
      <c r="AA240" s="247">
        <f>ABS(Z240-Y240)</f>
        <v>0</v>
      </c>
      <c r="AB240" s="233" t="e">
        <f>VLOOKUP(A240,Enforcements!$C$7:$K$9,8,0)</f>
        <v>#N/A</v>
      </c>
      <c r="AC240" s="232" t="e">
        <f>VLOOKUP(A240,Enforcements!$C$7:$E$9,3,0)</f>
        <v>#N/A</v>
      </c>
      <c r="AD240" s="243">
        <f>VALUE(LEFT(A240,LEN(A240)-3))</f>
        <v>53</v>
      </c>
      <c r="AE240" s="23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s3://rtdc.mdm.uploadarchive.raw/RTDC4010/ "%USERPROFILE%\AppData\Local\Temp\OnboardLogs"\RTDC4010\2018-01-11 --exclude "*" --recursive --include "*20180111*" &amp; "%USERPROFILE%\Documents\GitHub\mrs-test-scripts\Headless Mode &amp; Sideloading\WalkAndUnGZ.bat" "%USERPROFILE%\AppData\Local\Temp\OnboardLogs"\RTDC4010\2018-01-11 &amp; aws s3 cp s3://rtdc.mdm.uploadarchive.raw/RTDC4010/ "%USERPROFILE%\AppData\Local\Temp\OnboardLogs"\RTDC4010\2018-01-12 --exclude "*" --recursive --include "*20180112*" &amp; "%USERPROFILE%\Documents\GitHub\mrs-test-scripts\Headless Mode &amp; Sideloading\WalkAndUnGZ.bat" "%USERPROFILE%\AppData\Local\Temp\OnboardLogs"\RTDC4010\2018-01-12</v>
      </c>
      <c r="AF240" s="23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/stypes="app*4010*20180111*" /stext=" 19:.+((SYSTEM_STATE.+slice.+state.+changed )|(ment ac)|(multiple cpu faults)|(system.+state.+changed )|(\[timeout)|(PRM\|1\|D)|(kpr)|(kdp)|(train st.+moving)|(\|lc)|(penalty))"</v>
      </c>
      <c r="AG240" s="244" t="str">
        <f>DetSubdiv(A240)</f>
        <v>Shuttle/Test</v>
      </c>
      <c r="AH240" s="236" t="str">
        <f t="shared" si="83"/>
        <v>"%USERPROFILE%\Documents\GitHub\eaglep3\Utilities\RefineRTDCRunTimes.py" --tripid 53-11 --locoid 4010 --swversion DE.1.0.9.0 --startMP 300:28513 --initTime 2018-01-11T12:02:57 --startdatetime 2018-01-11T12:19:09 --delay 86 --endMP 300:28513 --enddatetime 2018-01-11T12:47:51 --enforcementcount 0 &gt;&gt;%USERPROFILE%\Documents\GitHub\eaglep3-reporting\EC\2018-01-11-refined-times.txt</v>
      </c>
      <c r="AI240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2.8513"},{"id":17,"name":"Train ID","value":"53-11"},{"id":16,"name":"Locomotive ID","value":"4010"},{"id":130,"name":"Impact","value":""},{"id":150,"name":"Time of Event (Mountain Time)","value":"12:47:51"},{"id":151,"name":"Denver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231"/>
      <c r="AL240" s="231"/>
      <c r="AM240" s="240" t="str">
        <f t="shared" si="85"/>
        <v>start /low /b %USERPROFILE%\Documents\GitHub\eaglep3\Utilities\DownloadLogsFromS3.py --loco 4010 --day 2018-01-11</v>
      </c>
      <c r="AN240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19:47:51"},{"id":29,"name":"Sharepoint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0" t="str">
        <f t="shared" si="87"/>
        <v>https://d0f6bd738d7f1b3e5a7ca70fe4ff75f0.us-east-1.aws.found.io/app/kibana#/discover/Steve-Slow-Train-Analysis-(2080s-and-2083s)?_g=(refreshInterval:(display:Off,pause:!f,section:0,value:0),time:(from:'2018-01-11T11:02:57-0700',mode:absolute,to:'2018-01-11T13:47:51-0700'))&amp;_a=(columns:!('Message%20ID',Summary),filters:!(),index:'emp_*',interval:auto,query:(query_string:(analyze_wildcard:!t,query:'%22rtdc.l.rtdc.4010%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23" customFormat="1" x14ac:dyDescent="0.3">
      <c r="A241" s="229" t="s">
        <v>663</v>
      </c>
      <c r="B241" s="225">
        <v>4010</v>
      </c>
      <c r="C241" s="227" t="s">
        <v>191</v>
      </c>
      <c r="D241" s="227" t="s">
        <v>1031</v>
      </c>
      <c r="E241" s="226">
        <v>43111.465729166666</v>
      </c>
      <c r="F241" s="226">
        <v>43111.513298611113</v>
      </c>
      <c r="G241" s="225">
        <v>74</v>
      </c>
      <c r="H241" s="227" t="s">
        <v>1032</v>
      </c>
      <c r="I241" s="226">
        <v>43111.533229166664</v>
      </c>
      <c r="J241" s="225">
        <v>0</v>
      </c>
      <c r="K241" s="237" t="str">
        <f>IF(ISEVEN(B241),(B241-1)&amp;"/"&amp;B241,B241&amp;"/"&amp;(B241+1))</f>
        <v>4009/4010</v>
      </c>
      <c r="L241" s="245" t="str">
        <f>VLOOKUP(A241,'Trips&amp;Operators'!$C$1:$G$99911,5,FALSE)</f>
        <v>GONZALEZ ARMANDO</v>
      </c>
      <c r="M241" s="224">
        <f>I241-F241</f>
        <v>1.993055555067258E-2</v>
      </c>
      <c r="N241" s="225">
        <f>24*60*SUM($M241:$M241)</f>
        <v>28.699999992968515</v>
      </c>
      <c r="O241" s="225"/>
      <c r="P241" s="225"/>
      <c r="Q241" s="228"/>
      <c r="R241" s="242"/>
      <c r="S241" s="249">
        <f>1/IF(AG241="EC",12,1)*SUM(U241:U241)</f>
        <v>0</v>
      </c>
      <c r="T241" s="242" t="str">
        <f>IF(ISEVEN(LEFT(AD241,4)),"Southbound","NorthBound")</f>
        <v>NorthBound</v>
      </c>
      <c r="U241" s="246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48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2018-01-11T10:10:39-0700',mode:absolute,to:'2018-01-11T13:47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1" s="247" t="str">
        <f>IF(AA241&lt;VLOOKUP(AG241,Variables!$AC$3:$AD$8,2,FALSE),"Y","N")</f>
        <v>Y</v>
      </c>
      <c r="X241" s="247">
        <f>VALUE(LEFT(AD241,4))-VALUE(LEFT(AD240,4))</f>
        <v>0</v>
      </c>
      <c r="Y241" s="247">
        <f>RIGHT(D241,LEN(D241)-4)/10000</f>
        <v>2.8774000000000002</v>
      </c>
      <c r="Z241" s="247">
        <f>RIGHT(H241,LEN(H241)-4)/10000</f>
        <v>11.257400000000001</v>
      </c>
      <c r="AA241" s="247">
        <f>ABS(Z241-Y241)</f>
        <v>8.3800000000000008</v>
      </c>
      <c r="AB241" s="233" t="e">
        <f>VLOOKUP(A241,Enforcements!$C$7:$K$9,8,0)</f>
        <v>#N/A</v>
      </c>
      <c r="AC241" s="232" t="e">
        <f>VLOOKUP(A241,Enforcements!$C$7:$E$9,3,0)</f>
        <v>#N/A</v>
      </c>
      <c r="AD241" s="243">
        <f>VALUE(LEFT(A241,LEN(A241)-3))</f>
        <v>53</v>
      </c>
      <c r="AE241" s="23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s3://rtdc.mdm.uploadarchive.raw/RTDC4010/ "%USERPROFILE%\AppData\Local\Temp\OnboardLogs"\RTDC4010\2018-01-11 --exclude "*" --recursive --include "*20180111*" &amp; "%USERPROFILE%\Documents\GitHub\mrs-test-scripts\Headless Mode &amp; Sideloading\WalkAndUnGZ.bat" "%USERPROFILE%\AppData\Local\Temp\OnboardLogs"\RTDC4010\2018-01-11 &amp; aws s3 cp s3://rtdc.mdm.uploadarchive.raw/RTDC4010/ "%USERPROFILE%\AppData\Local\Temp\OnboardLogs"\RTDC4010\2018-01-12 --exclude "*" --recursive --include "*20180112*" &amp; "%USERPROFILE%\Documents\GitHub\mrs-test-scripts\Headless Mode &amp; Sideloading\WalkAndUnGZ.bat" "%USERPROFILE%\AppData\Local\Temp\OnboardLogs"\RTDC4010\2018-01-12</v>
      </c>
      <c r="AF241" s="23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/stypes="app*4010*20180111*" /stext=" 19:.+((SYSTEM_STATE.+slice.+state.+changed )|(ment ac)|(multiple cpu faults)|(system.+state.+changed )|(\[timeout)|(PRM\|1\|D)|(kpr)|(kdp)|(train st.+moving)|(\|lc)|(penalty))"</v>
      </c>
      <c r="AG241" s="244" t="str">
        <f>DetSubdiv(A241)</f>
        <v>Shuttle/Test</v>
      </c>
      <c r="AH241" s="236" t="str">
        <f t="shared" si="83"/>
        <v>"%USERPROFILE%\Documents\GitHub\eaglep3\Utilities\RefineRTDCRunTimes.py" --tripid 53-11 --locoid 4010 --swversion DE.1.0.9.0 --startMP 300:28774 --initTime 2018-01-11T11:10:39 --startdatetime 2018-01-11T12:19:09 --delay 74 --endMP 300:112574 --enddatetime 2018-01-11T12:47:51 --enforcementcount 0 &gt;&gt;%USERPROFILE%\Documents\GitHub\eaglep3-reporting\EC\2018-01-11-refined-times.txt</v>
      </c>
      <c r="AI241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11.2574"},{"id":17,"name":"Train ID","value":"53-11"},{"id":16,"name":"Locomotive ID","value":"4010"},{"id":130,"name":"Impact","value":""},{"id":150,"name":"Time of Event (Mountain Time)","value":"12:47:51"},{"id":151,"name":"Denver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231"/>
      <c r="AL241" s="231"/>
      <c r="AM241" s="240" t="str">
        <f t="shared" si="85"/>
        <v>start /low /b %USERPROFILE%\Documents\GitHub\eaglep3\Utilities\DownloadLogsFromS3.py --loco 4010 --day 2018-01-11</v>
      </c>
      <c r="AN241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19:47:51"},{"id":29,"name":"Sharepoint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0" t="str">
        <f t="shared" si="87"/>
        <v>https://d0f6bd738d7f1b3e5a7ca70fe4ff75f0.us-east-1.aws.found.io/app/kibana#/discover/Steve-Slow-Train-Analysis-(2080s-and-2083s)?_g=(refreshInterval:(display:Off,pause:!f,section:0,value:0),time:(from:'2018-01-11T10:10:39-0700',mode:absolute,to:'2018-01-11T13:47:51-0700'))&amp;_a=(columns:!('Message%20ID',Summary),filters:!(),index:'emp_*',interval:auto,query:(query_string:(analyze_wildcard:!t,query:'%22rtdc.l.rtdc.4010%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23" customFormat="1" x14ac:dyDescent="0.3">
      <c r="A242" s="229" t="s">
        <v>675</v>
      </c>
      <c r="B242" s="225">
        <v>4009</v>
      </c>
      <c r="C242" s="227" t="s">
        <v>191</v>
      </c>
      <c r="D242" s="227" t="s">
        <v>1033</v>
      </c>
      <c r="E242" s="226">
        <v>43111.589085648149</v>
      </c>
      <c r="F242" s="226">
        <v>43111.590486111112</v>
      </c>
      <c r="G242" s="225">
        <v>54</v>
      </c>
      <c r="H242" s="227" t="s">
        <v>1034</v>
      </c>
      <c r="I242" s="226">
        <v>43111.604664351849</v>
      </c>
      <c r="J242" s="225">
        <v>0</v>
      </c>
      <c r="K242" s="237" t="str">
        <f>IF(ISEVEN(B242),(B242-1)&amp;"/"&amp;B242,B242&amp;"/"&amp;(B242+1))</f>
        <v>4009/4010</v>
      </c>
      <c r="L242" s="245" t="str">
        <f>VLOOKUP(A242,'Trips&amp;Operators'!$C$1:$G$99911,5,FALSE)</f>
        <v>MAGEE KENYA</v>
      </c>
      <c r="M242" s="224">
        <f>I242-F242</f>
        <v>1.4178240737237502E-2</v>
      </c>
      <c r="N242" s="225">
        <f>24*60*SUM($M242:$M242)</f>
        <v>20.416666661622003</v>
      </c>
      <c r="O242" s="225"/>
      <c r="P242" s="225"/>
      <c r="Q242" s="228"/>
      <c r="R242" s="242"/>
      <c r="S242" s="249">
        <f>1/IF(AG242="EC",12,1)*SUM(U242:U242)</f>
        <v>0</v>
      </c>
      <c r="T242" s="242" t="str">
        <f>IF(ISEVEN(LEFT(AD242,4)),"Southbound","NorthBound")</f>
        <v>Southbound</v>
      </c>
      <c r="U242" s="246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48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2018-01-11T13:08:17-0700',mode:absolute,to:'2018-01-11T15:30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2" s="247" t="str">
        <f>IF(AA242&lt;VLOOKUP(AG242,Variables!$AC$3:$AD$8,2,FALSE),"Y","N")</f>
        <v>Y</v>
      </c>
      <c r="X242" s="247">
        <f>VALUE(LEFT(AD242,4))-VALUE(LEFT(AD241,4))</f>
        <v>7</v>
      </c>
      <c r="Y242" s="247">
        <f>RIGHT(D242,LEN(D242)-4)/10000</f>
        <v>11.2281</v>
      </c>
      <c r="Z242" s="247">
        <f>RIGHT(H242,LEN(H242)-4)/10000</f>
        <v>2.8769</v>
      </c>
      <c r="AA242" s="247">
        <f>ABS(Z242-Y242)</f>
        <v>8.3511999999999986</v>
      </c>
      <c r="AB242" s="233" t="e">
        <f>VLOOKUP(A242,Enforcements!$C$7:$K$9,8,0)</f>
        <v>#N/A</v>
      </c>
      <c r="AC242" s="232" t="e">
        <f>VLOOKUP(A242,Enforcements!$C$7:$E$9,3,0)</f>
        <v>#N/A</v>
      </c>
      <c r="AD242" s="243">
        <f>VALUE(LEFT(A242,LEN(A242)-3))</f>
        <v>60</v>
      </c>
      <c r="AE242" s="23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s3://rtdc.mdm.uploadarchive.raw/RTDC4009/ "%USERPROFILE%\AppData\Local\Temp\OnboardLogs"\RTDC4009\2018-01-11 --exclude "*" --recursive --include "*20180111*" &amp; "%USERPROFILE%\Documents\GitHub\mrs-test-scripts\Headless Mode &amp; Sideloading\WalkAndUnGZ.bat" "%USERPROFILE%\AppData\Local\Temp\OnboardLogs"\RTDC4009\2018-01-11 &amp; aws s3 cp s3://rtdc.mdm.uploadarchive.raw/RTDC4009/ "%USERPROFILE%\AppData\Local\Temp\OnboardLogs"\RTDC4009\2018-01-12 --exclude "*" --recursive --include "*20180112*" &amp; "%USERPROFILE%\Documents\GitHub\mrs-test-scripts\Headless Mode &amp; Sideloading\WalkAndUnGZ.bat" "%USERPROFILE%\AppData\Local\Temp\OnboardLogs"\RTDC4009\2018-01-12</v>
      </c>
      <c r="AF242" s="23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/stypes="app*4009*20180111*" /stext=" 21:.+((SYSTEM_STATE.+slice.+state.+changed )|(ment ac)|(multiple cpu faults)|(system.+state.+changed )|(\[timeout)|(PRM\|1\|D)|(kpr)|(kdp)|(train st.+moving)|(\|lc)|(penalty))"</v>
      </c>
      <c r="AG242" s="244" t="str">
        <f>DetSubdiv(A242)</f>
        <v>Shuttle/Test</v>
      </c>
      <c r="AH242" s="236" t="str">
        <f t="shared" si="83"/>
        <v>"%USERPROFILE%\Documents\GitHub\eaglep3\Utilities\RefineRTDCRunTimes.py" --tripid 60-11 --locoid 4009 --swversion DE.1.0.9.0 --startMP 300:112281 --initTime 2018-01-11T14:08:17 --startdatetime 2018-01-11T14:10:18 --delay 54 --endMP 300:28769 --enddatetime 2018-01-11T14:30:43 --enforcementcount 0 &gt;&gt;%USERPROFILE%\Documents\GitHub\eaglep3-reporting\EC\2018-01-11-refined-times.txt</v>
      </c>
      <c r="AI242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2.8769"},{"id":17,"name":"Train ID","value":"60-11"},{"id":16,"name":"Locomotive ID","value":"4009"},{"id":130,"name":"Impact","value":""},{"id":150,"name":"Time of Event (Mountain Time)","value":"14:30:43"},{"id":151,"name":"Denver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231"/>
      <c r="AL242" s="231"/>
      <c r="AM242" s="240" t="str">
        <f t="shared" si="85"/>
        <v>start /low /b %USERPROFILE%\Documents\GitHub\eaglep3\Utilities\DownloadLogsFromS3.py --loco 4009 --day 2018-01-11</v>
      </c>
      <c r="AN242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0" t="str">
        <f t="shared" si="87"/>
        <v>https://d0f6bd738d7f1b3e5a7ca70fe4ff75f0.us-east-1.aws.found.io/app/kibana#/discover/Steve-Slow-Train-Analysis-(2080s-and-2083s)?_g=(refreshInterval:(display:Off,pause:!f,section:0,value:0),time:(from:'2018-01-11T13:08:17-0700',mode:absolute,to:'2018-01-11T15:30:43-0700'))&amp;_a=(columns:!('Message%20ID',Summary),filters:!(),index:'emp_*',interval:auto,query:(query_string:(analyze_wildcard:!t,query:'%22rtdc.l.rtdc.4009%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23" customFormat="1" x14ac:dyDescent="0.3">
      <c r="A243" s="229" t="s">
        <v>675</v>
      </c>
      <c r="B243" s="225">
        <v>4009</v>
      </c>
      <c r="C243" s="227" t="s">
        <v>191</v>
      </c>
      <c r="D243" s="227" t="s">
        <v>1035</v>
      </c>
      <c r="E243" s="226">
        <v>43111.578344907408</v>
      </c>
      <c r="F243" s="226">
        <v>43111.590486111112</v>
      </c>
      <c r="G243" s="225">
        <v>82</v>
      </c>
      <c r="H243" s="227" t="s">
        <v>1036</v>
      </c>
      <c r="I243" s="226">
        <v>43111.604664351849</v>
      </c>
      <c r="J243" s="225">
        <v>0</v>
      </c>
      <c r="K243" s="237" t="str">
        <f>IF(ISEVEN(B243),(B243-1)&amp;"/"&amp;B243,B243&amp;"/"&amp;(B243+1))</f>
        <v>4009/4010</v>
      </c>
      <c r="L243" s="245" t="str">
        <f>VLOOKUP(A243,'Trips&amp;Operators'!$C$1:$G$99911,5,FALSE)</f>
        <v>MAGEE KENYA</v>
      </c>
      <c r="M243" s="224">
        <f>I243-F243</f>
        <v>1.4178240737237502E-2</v>
      </c>
      <c r="N243" s="225">
        <f>24*60*SUM($M243:$M243)</f>
        <v>20.416666661622003</v>
      </c>
      <c r="O243" s="225"/>
      <c r="P243" s="225"/>
      <c r="Q243" s="228"/>
      <c r="R243" s="242"/>
      <c r="S243" s="249">
        <f>1/IF(AG243="EC",12,1)*SUM(U243:U243)</f>
        <v>0</v>
      </c>
      <c r="T243" s="242" t="str">
        <f>IF(ISEVEN(LEFT(AD243,4)),"Southbound","NorthBound")</f>
        <v>Southbound</v>
      </c>
      <c r="U243" s="246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48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2018-01-11T12:52:49-0700',mode:absolute,to:'2018-01-11T15:30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3" s="247" t="str">
        <f>IF(AA243&lt;VLOOKUP(AG243,Variables!$AC$3:$AD$8,2,FALSE),"Y","N")</f>
        <v>Y</v>
      </c>
      <c r="X243" s="247">
        <f>VALUE(LEFT(AD243,4))-VALUE(LEFT(AD242,4))</f>
        <v>0</v>
      </c>
      <c r="Y243" s="247">
        <f>RIGHT(D243,LEN(D243)-4)/10000</f>
        <v>11.2249</v>
      </c>
      <c r="Z243" s="247">
        <f>RIGHT(H243,LEN(H243)-4)/10000</f>
        <v>10.986800000000001</v>
      </c>
      <c r="AA243" s="247">
        <f>ABS(Z243-Y243)</f>
        <v>0.23809999999999931</v>
      </c>
      <c r="AB243" s="233" t="e">
        <f>VLOOKUP(A243,Enforcements!$C$7:$K$9,8,0)</f>
        <v>#N/A</v>
      </c>
      <c r="AC243" s="232" t="e">
        <f>VLOOKUP(A243,Enforcements!$C$7:$E$9,3,0)</f>
        <v>#N/A</v>
      </c>
      <c r="AD243" s="243">
        <f>VALUE(LEFT(A243,LEN(A243)-3))</f>
        <v>60</v>
      </c>
      <c r="AE243" s="235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s3://rtdc.mdm.uploadarchive.raw/RTDC4009/ "%USERPROFILE%\AppData\Local\Temp\OnboardLogs"\RTDC4009\2018-01-11 --exclude "*" --recursive --include "*20180111*" &amp; "%USERPROFILE%\Documents\GitHub\mrs-test-scripts\Headless Mode &amp; Sideloading\WalkAndUnGZ.bat" "%USERPROFILE%\AppData\Local\Temp\OnboardLogs"\RTDC4009\2018-01-11 &amp; aws s3 cp s3://rtdc.mdm.uploadarchive.raw/RTDC4009/ "%USERPROFILE%\AppData\Local\Temp\OnboardLogs"\RTDC4009\2018-01-12 --exclude "*" --recursive --include "*20180112*" &amp; "%USERPROFILE%\Documents\GitHub\mrs-test-scripts\Headless Mode &amp; Sideloading\WalkAndUnGZ.bat" "%USERPROFILE%\AppData\Local\Temp\OnboardLogs"\RTDC4009\2018-01-12</v>
      </c>
      <c r="AF243" s="23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/stypes="app*4009*20180111*" /stext=" 21:.+((SYSTEM_STATE.+slice.+state.+changed )|(ment ac)|(multiple cpu faults)|(system.+state.+changed )|(\[timeout)|(PRM\|1\|D)|(kpr)|(kdp)|(train st.+moving)|(\|lc)|(penalty))"</v>
      </c>
      <c r="AG243" s="244" t="str">
        <f>DetSubdiv(A243)</f>
        <v>Shuttle/Test</v>
      </c>
      <c r="AH243" s="236" t="str">
        <f t="shared" si="83"/>
        <v>"%USERPROFILE%\Documents\GitHub\eaglep3\Utilities\RefineRTDCRunTimes.py" --tripid 60-11 --locoid 4009 --swversion DE.1.0.9.0 --startMP 300:112249 --initTime 2018-01-11T13:52:49 --startdatetime 2018-01-11T14:10:18 --delay 82 --endMP 300:109868 --enddatetime 2018-01-11T14:30:43 --enforcementcount 0 &gt;&gt;%USERPROFILE%\Documents\GitHub\eaglep3-reporting\EC\2018-01-11-refined-times.txt</v>
      </c>
      <c r="AI243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10.9868"},{"id":17,"name":"Train ID","value":"60-11"},{"id":16,"name":"Locomotive ID","value":"4009"},{"id":130,"name":"Impact","value":""},{"id":150,"name":"Time of Event (Mountain Time)","value":"14:30:43"},{"id":151,"name":"Denver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231"/>
      <c r="AL243" s="231"/>
      <c r="AM243" s="240" t="str">
        <f t="shared" si="85"/>
        <v>start /low /b %USERPROFILE%\Documents\GitHub\eaglep3\Utilities\DownloadLogsFromS3.py --loco 4009 --day 2018-01-11</v>
      </c>
      <c r="AN243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230" t="str">
        <f t="shared" si="87"/>
        <v>https://d0f6bd738d7f1b3e5a7ca70fe4ff75f0.us-east-1.aws.found.io/app/kibana#/discover/Steve-Slow-Train-Analysis-(2080s-and-2083s)?_g=(refreshInterval:(display:Off,pause:!f,section:0,value:0),time:(from:'2018-01-11T12:52:49-0700',mode:absolute,to:'2018-01-11T15:30:43-0700'))&amp;_a=(columns:!('Message%20ID',Summary),filters:!(),index:'emp_*',interval:auto,query:(query_string:(analyze_wildcard:!t,query:'%22rtdc.l.rtdc.4009%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23" customFormat="1" x14ac:dyDescent="0.3">
      <c r="A244" s="229" t="s">
        <v>675</v>
      </c>
      <c r="B244" s="225">
        <v>4031</v>
      </c>
      <c r="C244" s="227" t="s">
        <v>191</v>
      </c>
      <c r="D244" s="227" t="s">
        <v>1037</v>
      </c>
      <c r="E244" s="226">
        <v>43111.639004629629</v>
      </c>
      <c r="F244" s="226">
        <v>43111.669120370374</v>
      </c>
      <c r="G244" s="225">
        <v>181</v>
      </c>
      <c r="H244" s="227" t="s">
        <v>1017</v>
      </c>
      <c r="I244" s="226">
        <v>43111.685335648152</v>
      </c>
      <c r="J244" s="225">
        <v>0</v>
      </c>
      <c r="K244" s="237" t="str">
        <f>IF(ISEVEN(B244),(B244-1)&amp;"/"&amp;B244,B244&amp;"/"&amp;(B244+1))</f>
        <v>4031/4032</v>
      </c>
      <c r="L244" s="245" t="str">
        <f>VLOOKUP(A244,'Trips&amp;Operators'!$C$1:$G$99911,5,FALSE)</f>
        <v>MAGEE KENYA</v>
      </c>
      <c r="M244" s="224">
        <f>I244-F244</f>
        <v>1.6215277777519077E-2</v>
      </c>
      <c r="N244" s="225">
        <f>24*60*SUM($M244:$M244)</f>
        <v>23.349999999627471</v>
      </c>
      <c r="O244" s="225"/>
      <c r="P244" s="225"/>
      <c r="Q244" s="228"/>
      <c r="R244" s="242"/>
      <c r="S244" s="249">
        <f>1/IF(AG244="EC",12,1)*SUM(U244:U244)</f>
        <v>0</v>
      </c>
      <c r="T244" s="242" t="str">
        <f>IF(ISEVEN(LEFT(AD244,4)),"Southbound","NorthBound")</f>
        <v>Southbound</v>
      </c>
      <c r="U244" s="246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48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2018-01-11T14:20:10-0700',mode:absolute,to:'2018-01-11T17:26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4" s="247" t="str">
        <f>IF(AA244&lt;VLOOKUP(AG244,Variables!$AC$3:$AD$8,2,FALSE),"Y","N")</f>
        <v>Y</v>
      </c>
      <c r="X244" s="247">
        <f>VALUE(LEFT(AD244,4))-VALUE(LEFT(AD243,4))</f>
        <v>0</v>
      </c>
      <c r="Y244" s="247">
        <f>RIGHT(D244,LEN(D244)-4)/10000</f>
        <v>11.220800000000001</v>
      </c>
      <c r="Z244" s="247">
        <f>RIGHT(H244,LEN(H244)-4)/10000</f>
        <v>2.6610999999999998</v>
      </c>
      <c r="AA244" s="247">
        <f>ABS(Z244-Y244)</f>
        <v>8.5597000000000012</v>
      </c>
      <c r="AB244" s="233" t="e">
        <f>VLOOKUP(A244,Enforcements!$C$7:$K$9,8,0)</f>
        <v>#N/A</v>
      </c>
      <c r="AC244" s="232" t="e">
        <f>VLOOKUP(A244,Enforcements!$C$7:$E$9,3,0)</f>
        <v>#N/A</v>
      </c>
      <c r="AD244" s="243">
        <f>VALUE(LEFT(A244,LEN(A244)-3))</f>
        <v>60</v>
      </c>
      <c r="AE244" s="235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s3://rtdc.mdm.uploadarchive.raw/RTDC4031/ "%USERPROFILE%\AppData\Local\Temp\OnboardLogs"\RTDC4031\2018-01-11 --exclude "*" --recursive --include "*20180111*" &amp; "%USERPROFILE%\Documents\GitHub\mrs-test-scripts\Headless Mode &amp; Sideloading\WalkAndUnGZ.bat" "%USERPROFILE%\AppData\Local\Temp\OnboardLogs"\RTDC4031\2018-01-11 &amp; aws s3 cp s3://rtdc.mdm.uploadarchive.raw/RTDC4031/ "%USERPROFILE%\AppData\Local\Temp\OnboardLogs"\RTDC4031\2018-01-12 --exclude "*" --recursive --include "*20180112*" &amp; "%USERPROFILE%\Documents\GitHub\mrs-test-scripts\Headless Mode &amp; Sideloading\WalkAndUnGZ.bat" "%USERPROFILE%\AppData\Local\Temp\OnboardLogs"\RTDC4031\2018-01-12</v>
      </c>
      <c r="AF244" s="23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/stypes="app*4031*20180111*" /stext=" 23:.+((SYSTEM_STATE.+slice.+state.+changed )|(ment ac)|(multiple cpu faults)|(system.+state.+changed )|(\[timeout)|(PRM\|1\|D)|(kpr)|(kdp)|(train st.+moving)|(\|lc)|(penalty))"</v>
      </c>
      <c r="AG244" s="244" t="str">
        <f>DetSubdiv(A244)</f>
        <v>Shuttle/Test</v>
      </c>
      <c r="AH244" s="236" t="str">
        <f t="shared" si="83"/>
        <v>"%USERPROFILE%\Documents\GitHub\eaglep3\Utilities\RefineRTDCRunTimes.py" --tripid 60-11 --locoid 4031 --swversion DE.1.0.9.0 --startMP 300:112208 --initTime 2018-01-11T15:20:10 --startdatetime 2018-01-11T16:03:32 --delay 181 --endMP 300:26611 --enddatetime 2018-01-11T16:26:53 --enforcementcount 0 &gt;&gt;%USERPROFILE%\Documents\GitHub\eaglep3-reporting\EC\2018-01-11-refined-times.txt</v>
      </c>
      <c r="AI244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2.6611"},{"id":17,"name":"Train ID","value":"60-11"},{"id":16,"name":"Locomotive ID","value":"4031"},{"id":130,"name":"Impact","value":""},{"id":150,"name":"Time of Event (Mountain Time)","value":"16:26:53"},{"id":151,"name":"Denver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231"/>
      <c r="AL244" s="231"/>
      <c r="AM244" s="240" t="str">
        <f t="shared" si="85"/>
        <v>start /low /b %USERPROFILE%\Documents\GitHub\eaglep3\Utilities\DownloadLogsFromS3.py --loco 4031 --day 2018-01-11</v>
      </c>
      <c r="AN244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23:26:53"},{"id":29,"name":"Sharepoint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230" t="str">
        <f t="shared" si="87"/>
        <v>https://d0f6bd738d7f1b3e5a7ca70fe4ff75f0.us-east-1.aws.found.io/app/kibana#/discover/Steve-Slow-Train-Analysis-(2080s-and-2083s)?_g=(refreshInterval:(display:Off,pause:!f,section:0,value:0),time:(from:'2018-01-11T14:20:10-0700',mode:absolute,to:'2018-01-11T17:26:53-0700'))&amp;_a=(columns:!('Message%20ID',Summary),filters:!(),index:'emp_*',interval:auto,query:(query_string:(analyze_wildcard:!t,query:'%22rtdc.l.rtdc.4031%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23" customFormat="1" x14ac:dyDescent="0.3">
      <c r="A245" s="229" t="s">
        <v>675</v>
      </c>
      <c r="B245" s="225">
        <v>4031</v>
      </c>
      <c r="C245" s="227" t="s">
        <v>191</v>
      </c>
      <c r="D245" s="227" t="s">
        <v>557</v>
      </c>
      <c r="E245" s="226">
        <v>43111.687106481484</v>
      </c>
      <c r="F245" s="226">
        <v>43111.68949074074</v>
      </c>
      <c r="G245" s="225">
        <v>62</v>
      </c>
      <c r="H245" s="227" t="s">
        <v>1038</v>
      </c>
      <c r="I245" s="226">
        <v>43111.708622685182</v>
      </c>
      <c r="J245" s="225">
        <v>0</v>
      </c>
      <c r="K245" s="237" t="str">
        <f>IF(ISEVEN(B245),(B245-1)&amp;"/"&amp;B245,B245&amp;"/"&amp;(B245+1))</f>
        <v>4031/4032</v>
      </c>
      <c r="L245" s="245" t="str">
        <f>VLOOKUP(A245,'Trips&amp;Operators'!$C$1:$G$99911,5,FALSE)</f>
        <v>MAGEE KENYA</v>
      </c>
      <c r="M245" s="224">
        <f>I245-F245</f>
        <v>1.9131944442051463E-2</v>
      </c>
      <c r="N245" s="225">
        <f>24*60*SUM($M245:$M245)</f>
        <v>27.549999996554106</v>
      </c>
      <c r="O245" s="225"/>
      <c r="P245" s="225"/>
      <c r="Q245" s="228"/>
      <c r="R245" s="242"/>
      <c r="S245" s="249">
        <f>1/IF(AG245="EC",12,1)*SUM(U245:U245)</f>
        <v>0</v>
      </c>
      <c r="T245" s="242" t="str">
        <f>IF(ISEVEN(LEFT(AD245,4)),"Southbound","NorthBound")</f>
        <v>Southbound</v>
      </c>
      <c r="U245" s="246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48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2018-01-11T15:29:26-0700',mode:absolute,to:'2018-01-11T18:00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5" s="247" t="str">
        <f>IF(AA245&lt;VLOOKUP(AG245,Variables!$AC$3:$AD$8,2,FALSE),"Y","N")</f>
        <v>Y</v>
      </c>
      <c r="X245" s="247">
        <f>VALUE(LEFT(AD245,4))-VALUE(LEFT(AD244,4))</f>
        <v>0</v>
      </c>
      <c r="Y245" s="247">
        <f>RIGHT(D245,LEN(D245)-4)/10000</f>
        <v>11.226000000000001</v>
      </c>
      <c r="Z245" s="247">
        <f>RIGHT(H245,LEN(H245)-4)/10000</f>
        <v>2.8788</v>
      </c>
      <c r="AA245" s="247">
        <f>ABS(Z245-Y245)</f>
        <v>8.3472000000000008</v>
      </c>
      <c r="AB245" s="233" t="e">
        <f>VLOOKUP(A245,Enforcements!$C$7:$K$9,8,0)</f>
        <v>#N/A</v>
      </c>
      <c r="AC245" s="232" t="e">
        <f>VLOOKUP(A245,Enforcements!$C$7:$E$9,3,0)</f>
        <v>#N/A</v>
      </c>
      <c r="AD245" s="243">
        <f>VALUE(LEFT(A245,LEN(A245)-3))</f>
        <v>60</v>
      </c>
      <c r="AE245" s="235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s3://rtdc.mdm.uploadarchive.raw/RTDC4031/ "%USERPROFILE%\AppData\Local\Temp\OnboardLogs"\RTDC4031\2018-01-11 --exclude "*" --recursive --include "*20180111*" &amp; "%USERPROFILE%\Documents\GitHub\mrs-test-scripts\Headless Mode &amp; Sideloading\WalkAndUnGZ.bat" "%USERPROFILE%\AppData\Local\Temp\OnboardLogs"\RTDC4031\2018-01-11 &amp; aws s3 cp s3://rtdc.mdm.uploadarchive.raw/RTDC4031/ "%USERPROFILE%\AppData\Local\Temp\OnboardLogs"\RTDC4031\2018-01-12 --exclude "*" --recursive --include "*20180112*" &amp; "%USERPROFILE%\Documents\GitHub\mrs-test-scripts\Headless Mode &amp; Sideloading\WalkAndUnGZ.bat" "%USERPROFILE%\AppData\Local\Temp\OnboardLogs"\RTDC4031\2018-01-12</v>
      </c>
      <c r="AF245" s="23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/stypes="app*4031*20180112*" /stext=" 00:.+((SYSTEM_STATE.+slice.+state.+changed )|(ment ac)|(multiple cpu faults)|(system.+state.+changed )|(\[timeout)|(PRM\|1\|D)|(kpr)|(kdp)|(train st.+moving)|(\|lc)|(penalty))"</v>
      </c>
      <c r="AG245" s="244" t="str">
        <f>DetSubdiv(A245)</f>
        <v>Shuttle/Test</v>
      </c>
      <c r="AH245" s="236" t="str">
        <f t="shared" si="83"/>
        <v>"%USERPROFILE%\Documents\GitHub\eaglep3\Utilities\RefineRTDCRunTimes.py" --tripid 60-11 --locoid 4031 --swversion DE.1.0.9.0 --startMP 300:112260 --initTime 2018-01-11T16:29:26 --startdatetime 2018-01-11T16:32:52 --delay 62 --endMP 300:28788 --enddatetime 2018-01-11T17:00:25 --enforcementcount 0 &gt;&gt;%USERPROFILE%\Documents\GitHub\eaglep3-reporting\EC\2018-01-11-refined-times.txt</v>
      </c>
      <c r="AI245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2.8788"},{"id":17,"name":"Train ID","value":"60-11"},{"id":16,"name":"Locomotive ID","value":"4031"},{"id":130,"name":"Impact","value":""},{"id":150,"name":"Time of Event (Mountain Time)","value":"17:00:25"},{"id":151,"name":"Denver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5" s="231"/>
      <c r="AL245" s="231"/>
      <c r="AM245" s="240" t="str">
        <f t="shared" si="85"/>
        <v>start /low /b %USERPROFILE%\Documents\GitHub\eaglep3\Utilities\DownloadLogsFromS3.py --loco 4031 --day 2018-01-11</v>
      </c>
      <c r="AN245" s="241" t="str">
        <f t="shared" si="86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00:00:25"},{"id":29,"name":"Sharepoint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230" t="str">
        <f t="shared" si="87"/>
        <v>https://d0f6bd738d7f1b3e5a7ca70fe4ff75f0.us-east-1.aws.found.io/app/kibana#/discover/Steve-Slow-Train-Analysis-(2080s-and-2083s)?_g=(refreshInterval:(display:Off,pause:!f,section:0,value:0),time:(from:'2018-01-11T15:29:26-0700',mode:absolute,to:'2018-01-11T18:00:25-0700'))&amp;_a=(columns:!('Message%20ID',Summary),filters:!(),index:'emp_*',interval:auto,query:(query_string:(analyze_wildcard:!t,query:'%22rtdc.l.rtdc.4031%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 s="229" t="s">
        <v>667</v>
      </c>
      <c r="B246" s="225">
        <v>4010</v>
      </c>
      <c r="C246" s="227" t="s">
        <v>191</v>
      </c>
      <c r="D246" s="227" t="s">
        <v>1039</v>
      </c>
      <c r="E246" s="226">
        <v>43111.56040509259</v>
      </c>
      <c r="F246" s="226">
        <v>25568.708333333332</v>
      </c>
      <c r="G246" s="225">
        <v>113</v>
      </c>
      <c r="H246" s="227" t="s">
        <v>1040</v>
      </c>
      <c r="I246" s="226">
        <v>25568.708333333332</v>
      </c>
      <c r="J246" s="225">
        <v>0</v>
      </c>
      <c r="K246" s="237" t="str">
        <f>IF(ISEVEN(B246),(B246-1)&amp;"/"&amp;B246,B246&amp;"/"&amp;(B246+1))</f>
        <v>4009/4010</v>
      </c>
      <c r="L246" s="245" t="str">
        <f>VLOOKUP(A246,'Trips&amp;Operators'!$C$1:$G$99911,5,FALSE)</f>
        <v>MAGEE KENYA</v>
      </c>
      <c r="M246" s="224">
        <f>I246-F246</f>
        <v>0</v>
      </c>
      <c r="N246" s="225">
        <f>24*60*SUM($M246:$M246)</f>
        <v>0</v>
      </c>
      <c r="O246" s="225"/>
      <c r="P246" s="225"/>
      <c r="Q246" s="228"/>
      <c r="R246" s="242"/>
      <c r="S246" s="249">
        <f>1/IF(AG246="EC",12,1)*SUM(U246:U246)</f>
        <v>0</v>
      </c>
      <c r="T246" s="242" t="str">
        <f>IF(ISEVEN(LEFT(AD246,4)),"Southbound","NorthBound")</f>
        <v>NorthBound</v>
      </c>
      <c r="U246" s="246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48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2018-01-11T12:26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6" s="247" t="str">
        <f>IF(AA246&lt;VLOOKUP(AG246,Variables!$AC$3:$AD$8,2,FALSE),"Y","N")</f>
        <v>Y</v>
      </c>
      <c r="X246" s="247">
        <f>VALUE(LEFT(AD246,4))-VALUE(LEFT(AD245,4))</f>
        <v>1</v>
      </c>
      <c r="Y246" s="247">
        <f>RIGHT(D246,LEN(D246)-4)/10000</f>
        <v>2.6938</v>
      </c>
      <c r="Z246" s="247">
        <f>RIGHT(H246,LEN(H246)-4)/10000</f>
        <v>11.255699999999999</v>
      </c>
      <c r="AA246" s="247">
        <f>ABS(Z246-Y246)</f>
        <v>8.5618999999999996</v>
      </c>
      <c r="AB246" s="233" t="e">
        <f>VLOOKUP(A246,Enforcements!$C$7:$K$9,8,0)</f>
        <v>#N/A</v>
      </c>
      <c r="AC246" s="232" t="e">
        <f>VLOOKUP(A246,Enforcements!$C$7:$E$9,3,0)</f>
        <v>#N/A</v>
      </c>
      <c r="AD246" s="243">
        <f>VALUE(LEFT(A246,LEN(A246)-3))</f>
        <v>61</v>
      </c>
      <c r="AE246" s="235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AF246" s="23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/stypes="app*4010*19700101*" /stext=" 00:.+((SYSTEM_STATE.+slice.+state.+changed )|(ment ac)|(multiple cpu faults)|(system.+state.+changed )|(\[timeout)|(PRM\|1\|D)|(kpr)|(kdp)|(train st.+moving)|(\|lc)|(penalty))"</v>
      </c>
      <c r="AG246" s="244" t="str">
        <f>DetSubdiv(A246)</f>
        <v>Shuttle/Test</v>
      </c>
      <c r="AH246" s="236" t="str">
        <f t="shared" si="83"/>
        <v>"%USERPROFILE%\Documents\GitHub\eaglep3\Utilities\RefineRTDCRunTimes.py" --tripid 61-11 --locoid 4010 --swversion DE.1.0.9.0 --startMP 300:26938 --initTime 2018-01-11T13:26:59 --startdatetime 1969-12-31T17:00:00 --delay 113 --endMP 300:112557 --enddatetime 1969-12-31T17:00:00 --enforcementcount 0 &gt;&gt;%USERPROFILE%\Documents\GitHub\eaglep3-reporting\EC\2018-01-11-refined-times.txt</v>
      </c>
      <c r="AI246" s="238" t="str">
        <f t="shared" si="84"/>
        <v>echo {"issue":{"subject":"","project_id":79,"tracker_id":40,"status_id":1,"priority_id":2,"assigned_to_id":338,"start_date":"1969-12-31","description":"","custom_fields":[{"id":1,"name":"Subdivision","value":"Shuttle/Test"},{"id":4,"name":"Milepost","value":"11.2557"},{"id":17,"name":"Train ID","value":"61-11"},{"id":16,"name":"Locomotive ID","value":"4010"},{"id":130,"name":"Impact","value":""},{"id":150,"name":"Time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6" s="223"/>
      <c r="AK246" s="231"/>
      <c r="AL246" s="231"/>
      <c r="AM246" s="240" t="str">
        <f t="shared" si="85"/>
        <v>start /low /b %USERPROFILE%\Documents\GitHub\eaglep3\Utilities\DownloadLogsFromS3.py --loco 4010 --day 1969-12-31</v>
      </c>
      <c r="AN246" s="241" t="str">
        <f t="shared" si="86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230" t="str">
        <f t="shared" si="87"/>
        <v>https://d0f6bd738d7f1b3e5a7ca70fe4ff75f0.us-east-1.aws.found.io/app/kibana#/discover/Steve-Slow-Train-Analysis-(2080s-and-2083s)?_g=(refreshInterval:(display:Off,pause:!f,section:0,value:0),time:(from:'2018-01-11T12:26:59-0700',mode:absolute,to:'1969-12-31T18:00:00-0700'))&amp;_a=(columns:!('Message%20ID',Summary),filters:!(),index:'emp_*',interval:auto,query:(query_string:(analyze_wildcard:!t,query:'%22rtdc.l.rtdc.4010%22')),sort:!(Time.ISO8601,asc))</v>
      </c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23" customFormat="1" x14ac:dyDescent="0.3">
      <c r="A247" s="229" t="s">
        <v>667</v>
      </c>
      <c r="B247" s="225">
        <v>4032</v>
      </c>
      <c r="C247" s="227" t="s">
        <v>191</v>
      </c>
      <c r="D247" s="227" t="s">
        <v>1041</v>
      </c>
      <c r="E247" s="226">
        <v>43111.611597222225</v>
      </c>
      <c r="F247" s="226">
        <v>43111.6172337963</v>
      </c>
      <c r="G247" s="225">
        <v>410</v>
      </c>
      <c r="H247" s="227" t="s">
        <v>1042</v>
      </c>
      <c r="I247" s="226">
        <v>43111.618692129632</v>
      </c>
      <c r="J247" s="225">
        <v>0</v>
      </c>
      <c r="K247" s="237" t="str">
        <f>IF(ISEVEN(B247),(B247-1)&amp;"/"&amp;B247,B247&amp;"/"&amp;(B247+1))</f>
        <v>4031/4032</v>
      </c>
      <c r="L247" s="245" t="str">
        <f>VLOOKUP(A247,'Trips&amp;Operators'!$C$1:$G$99911,5,FALSE)</f>
        <v>MAGEE KENYA</v>
      </c>
      <c r="M247" s="224">
        <f>I247-F247</f>
        <v>1.4583333322661929E-3</v>
      </c>
      <c r="N247" s="225">
        <f>24*60*SUM($M247:$M247)</f>
        <v>2.0999999984633178</v>
      </c>
      <c r="O247" s="225"/>
      <c r="P247" s="225"/>
      <c r="Q247" s="228"/>
      <c r="R247" s="242" t="s">
        <v>1124</v>
      </c>
      <c r="S247" s="249">
        <f>1/IF(AG247="EC",12,1)*SUM(U247:U247)</f>
        <v>0</v>
      </c>
      <c r="T247" s="242" t="str">
        <f>IF(ISEVEN(LEFT(AD247,4)),"Southbound","NorthBound")</f>
        <v>NorthBound</v>
      </c>
      <c r="U247" s="246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48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2018-01-11T13:40:42-0700',mode:absolute,to:'2018-01-11T15:50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7" s="247" t="str">
        <f>IF(AA247&lt;VLOOKUP(AG247,Variables!$AC$3:$AD$8,2,FALSE),"Y","N")</f>
        <v>Y</v>
      </c>
      <c r="X247" s="247">
        <f>VALUE(LEFT(AD247,4))-VALUE(LEFT(AD246,4))</f>
        <v>0</v>
      </c>
      <c r="Y247" s="247">
        <f>RIGHT(D247,LEN(D247)-4)/10000</f>
        <v>2.9441999999999999</v>
      </c>
      <c r="Z247" s="247">
        <f>RIGHT(H247,LEN(H247)-4)/10000</f>
        <v>3.3092999999999999</v>
      </c>
      <c r="AA247" s="247">
        <f>ABS(Z247-Y247)</f>
        <v>0.36509999999999998</v>
      </c>
      <c r="AB247" s="233" t="e">
        <f>VLOOKUP(A247,Enforcements!$C$7:$K$9,8,0)</f>
        <v>#N/A</v>
      </c>
      <c r="AC247" s="232" t="e">
        <f>VLOOKUP(A247,Enforcements!$C$7:$E$9,3,0)</f>
        <v>#N/A</v>
      </c>
      <c r="AD247" s="243">
        <f>VALUE(LEFT(A247,LEN(A247)-3))</f>
        <v>61</v>
      </c>
      <c r="AE247" s="235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s3://rtdc.mdm.uploadarchive.raw/RTDC4032/ "%USERPROFILE%\AppData\Local\Temp\OnboardLogs"\RTDC4032\2018-01-11 --exclude "*" --recursive --include "*20180111*" &amp; "%USERPROFILE%\Documents\GitHub\mrs-test-scripts\Headless Mode &amp; Sideloading\WalkAndUnGZ.bat" "%USERPROFILE%\AppData\Local\Temp\OnboardLogs"\RTDC4032\2018-01-11 &amp; aws s3 cp s3://rtdc.mdm.uploadarchive.raw/RTDC4032/ "%USERPROFILE%\AppData\Local\Temp\OnboardLogs"\RTDC4032\2018-01-12 --exclude "*" --recursive --include "*20180112*" &amp; "%USERPROFILE%\Documents\GitHub\mrs-test-scripts\Headless Mode &amp; Sideloading\WalkAndUnGZ.bat" "%USERPROFILE%\AppData\Local\Temp\OnboardLogs"\RTDC4032\2018-01-12</v>
      </c>
      <c r="AF247" s="23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/stypes="app*4032*20180111*" /stext=" 21:.+((SYSTEM_STATE.+slice.+state.+changed )|(ment ac)|(multiple cpu faults)|(system.+state.+changed )|(\[timeout)|(PRM\|1\|D)|(kpr)|(kdp)|(train st.+moving)|(\|lc)|(penalty))"</v>
      </c>
      <c r="AG247" s="244" t="str">
        <f>DetSubdiv(A247)</f>
        <v>Shuttle/Test</v>
      </c>
      <c r="AH247" s="236" t="str">
        <f t="shared" si="83"/>
        <v>"%USERPROFILE%\Documents\GitHub\eaglep3\Utilities\RefineRTDCRunTimes.py" --tripid 61-11 --locoid 4032 --swversion DE.1.0.9.0 --startMP 300:29442 --initTime 2018-01-11T14:40:42 --startdatetime 2018-01-11T14:48:49 --delay 410 --endMP 300:33093 --enddatetime 2018-01-11T14:50:55 --enforcementcount 0 &gt;&gt;%USERPROFILE%\Documents\GitHub\eaglep3-reporting\EC\2018-01-11-refined-times.txt</v>
      </c>
      <c r="AI247" s="238" t="str">
        <f t="shared" si="84"/>
        <v>echo {"issue":{"subject":"Wi-MAX data drop caused enforcement","project_id":79,"tracker_id":40,"status_id":1,"priority_id":2,"assigned_to_id":338,"start_date":"2018-01-11","description":"","custom_fields":[{"id":1,"name":"Subdivision","value":"Shuttle/Test"},{"id":4,"name":"Milepost","value":"3.3093"},{"id":17,"name":"Train ID","value":"61-11"},{"id":16,"name":"Locomotive ID","value":"4032"},{"id":130,"name":"Impact","value":""},{"id":150,"name":"Time of Event (Mountain Time)","value":"14:50:55"},{"id":151,"name":"Denver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7" s="231"/>
      <c r="AL247" s="231"/>
      <c r="AM247" s="240" t="str">
        <f t="shared" si="85"/>
        <v>start /low /b %USERPROFILE%\Documents\GitHub\eaglep3\Utilities\DownloadLogsFromS3.py --loco 4032 --day 2018-01-11</v>
      </c>
      <c r="AN247" s="241" t="str">
        <f t="shared" si="86"/>
        <v>echo {"issue":{"subject":"Wi-MAX data drop caused enforcement","project_id":30,"tracker_id":4,"status_id":1,"priority_id":1,"assigned_to_id":10,"start_date":"2018-01-11","description":"","custom_fields":[{"id":30,"name":"Category","value":"Issue"},{"id":3,"name":"Functional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21:50:55"},{"id":29,"name":"Sharepoint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230" t="str">
        <f t="shared" si="87"/>
        <v>https://d0f6bd738d7f1b3e5a7ca70fe4ff75f0.us-east-1.aws.found.io/app/kibana#/discover/Steve-Slow-Train-Analysis-(2080s-and-2083s)?_g=(refreshInterval:(display:Off,pause:!f,section:0,value:0),time:(from:'2018-01-11T13:40:42-0700',mode:absolute,to:'2018-01-11T15:50:55-0700'))&amp;_a=(columns:!('Message%20ID',Summary),filters:!(),index:'emp_*',interval:auto,query:(query_string:(analyze_wildcard:!t,query:'%22rtdc.l.rtdc.4032%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23" customFormat="1" x14ac:dyDescent="0.3">
      <c r="A248" s="229" t="s">
        <v>667</v>
      </c>
      <c r="B248" s="225">
        <v>4010</v>
      </c>
      <c r="C248" s="227" t="s">
        <v>191</v>
      </c>
      <c r="D248" s="227" t="s">
        <v>1043</v>
      </c>
      <c r="E248" s="226">
        <v>43111.585601851853</v>
      </c>
      <c r="F248" s="226">
        <v>25568.708333333332</v>
      </c>
      <c r="G248" s="225">
        <v>75</v>
      </c>
      <c r="H248" s="227" t="s">
        <v>1044</v>
      </c>
      <c r="I248" s="226">
        <v>25568.708333333332</v>
      </c>
      <c r="J248" s="225">
        <v>0</v>
      </c>
      <c r="K248" s="237" t="str">
        <f>IF(ISEVEN(B248),(B248-1)&amp;"/"&amp;B248,B248&amp;"/"&amp;(B248+1))</f>
        <v>4009/4010</v>
      </c>
      <c r="L248" s="245" t="str">
        <f>VLOOKUP(A248,'Trips&amp;Operators'!$C$1:$G$99911,5,FALSE)</f>
        <v>MAGEE KENYA</v>
      </c>
      <c r="M248" s="224">
        <f>I248-F248</f>
        <v>0</v>
      </c>
      <c r="N248" s="225">
        <f>24*60*SUM($M248:$M248)</f>
        <v>0</v>
      </c>
      <c r="O248" s="225"/>
      <c r="P248" s="225"/>
      <c r="Q248" s="228"/>
      <c r="R248" s="242"/>
      <c r="S248" s="249">
        <f>1/IF(AG248="EC",12,1)*SUM(U248:U248)</f>
        <v>0</v>
      </c>
      <c r="T248" s="242" t="str">
        <f>IF(ISEVEN(LEFT(AD248,4)),"Southbound","NorthBound")</f>
        <v>NorthBound</v>
      </c>
      <c r="U248" s="246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248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2018-01-11T13:03:16-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8" s="247" t="str">
        <f>IF(AA248&lt;VLOOKUP(AG248,Variables!$AC$3:$AD$8,2,FALSE),"Y","N")</f>
        <v>Y</v>
      </c>
      <c r="X248" s="247">
        <f>VALUE(LEFT(AD248,4))-VALUE(LEFT(AD247,4))</f>
        <v>0</v>
      </c>
      <c r="Y248" s="247">
        <f>RIGHT(D248,LEN(D248)-4)/10000</f>
        <v>11.029199999999999</v>
      </c>
      <c r="Z248" s="247">
        <f>RIGHT(H248,LEN(H248)-4)/10000</f>
        <v>11.029</v>
      </c>
      <c r="AA248" s="247">
        <f>ABS(Z248-Y248)</f>
        <v>1.9999999999953388E-4</v>
      </c>
      <c r="AB248" s="233" t="e">
        <f>VLOOKUP(A248,Enforcements!$C$7:$K$9,8,0)</f>
        <v>#N/A</v>
      </c>
      <c r="AC248" s="232" t="e">
        <f>VLOOKUP(A248,Enforcements!$C$7:$E$9,3,0)</f>
        <v>#N/A</v>
      </c>
      <c r="AD248" s="243">
        <f>VALUE(LEFT(A248,LEN(A248)-3))</f>
        <v>61</v>
      </c>
      <c r="AE248" s="235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AF248" s="23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/stypes="app*4010*19700101*" /stext=" 00:.+((SYSTEM_STATE.+slice.+state.+changed )|(ment ac)|(multiple cpu faults)|(system.+state.+changed )|(\[timeout)|(PRM\|1\|D)|(kpr)|(kdp)|(train st.+moving)|(\|lc)|(penalty))"</v>
      </c>
      <c r="AG248" s="244" t="str">
        <f>DetSubdiv(A248)</f>
        <v>Shuttle/Test</v>
      </c>
      <c r="AH248" s="236" t="str">
        <f t="shared" si="83"/>
        <v>"%USERPROFILE%\Documents\GitHub\eaglep3\Utilities\RefineRTDCRunTimes.py" --tripid 61-11 --locoid 4010 --swversion DE.1.0.9.0 --startMP 300:110292 --initTime 2018-01-11T14:03:16 --startdatetime 1969-12-31T17:00:00 --delay 75 --endMP 300:110290 --enddatetime 1969-12-31T17:00:00 --enforcementcount 0 &gt;&gt;%USERPROFILE%\Documents\GitHub\eaglep3-reporting\EC\2018-01-11-refined-times.txt</v>
      </c>
      <c r="AI248" s="238" t="str">
        <f t="shared" si="84"/>
        <v>echo {"issue":{"subject":"","project_id":79,"tracker_id":40,"status_id":1,"priority_id":2,"assigned_to_id":338,"start_date":"1969-12-31","description":"","custom_fields":[{"id":1,"name":"Subdivision","value":"Shuttle/Test"},{"id":4,"name":"Milepost","value":"11.029"},{"id":17,"name":"Train ID","value":"61-11"},{"id":16,"name":"Locomotive ID","value":"4010"},{"id":130,"name":"Impact","value":""},{"id":150,"name":"Time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8" s="231"/>
      <c r="AL248" s="231"/>
      <c r="AM248" s="240" t="str">
        <f t="shared" si="85"/>
        <v>start /low /b %USERPROFILE%\Documents\GitHub\eaglep3\Utilities\DownloadLogsFromS3.py --loco 4010 --day 1969-12-31</v>
      </c>
      <c r="AN248" s="241" t="str">
        <f t="shared" si="86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230" t="str">
        <f t="shared" si="87"/>
        <v>https://d0f6bd738d7f1b3e5a7ca70fe4ff75f0.us-east-1.aws.found.io/app/kibana#/discover/Steve-Slow-Train-Analysis-(2080s-and-2083s)?_g=(refreshInterval:(display:Off,pause:!f,section:0,value:0),time:(from:'2018-01-11T13:03:16-0700',mode:absolute,to:'1969-12-31T18:00:00-0700'))&amp;_a=(columns:!('Message%20ID',Summary),filters:!(),index:'emp_*',interval:auto,query:(query_string:(analyze_wildcard:!t,query:'%22rtdc.l.rtdc.4010%22')),sort:!(Time.ISO8601,asc))</v>
      </c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23" customFormat="1" x14ac:dyDescent="0.3">
      <c r="A249" s="229" t="s">
        <v>667</v>
      </c>
      <c r="B249" s="225">
        <v>4032</v>
      </c>
      <c r="C249" s="227" t="s">
        <v>191</v>
      </c>
      <c r="D249" s="227" t="s">
        <v>1045</v>
      </c>
      <c r="E249" s="226">
        <v>43111.667615740742</v>
      </c>
      <c r="F249" s="226">
        <v>43111.68949074074</v>
      </c>
      <c r="G249" s="225">
        <v>58</v>
      </c>
      <c r="H249" s="227" t="s">
        <v>524</v>
      </c>
      <c r="I249" s="226">
        <v>43111.708622685182</v>
      </c>
      <c r="J249" s="225">
        <v>0</v>
      </c>
      <c r="K249" s="237" t="str">
        <f>IF(ISEVEN(B249),(B249-1)&amp;"/"&amp;B249,B249&amp;"/"&amp;(B249+1))</f>
        <v>4031/4032</v>
      </c>
      <c r="L249" s="245" t="str">
        <f>VLOOKUP(A249,'Trips&amp;Operators'!$C$1:$G$99911,5,FALSE)</f>
        <v>MAGEE KENYA</v>
      </c>
      <c r="M249" s="224">
        <f>I249-F249</f>
        <v>1.9131944442051463E-2</v>
      </c>
      <c r="N249" s="225">
        <f>24*60*SUM($M249:$M249)</f>
        <v>27.549999996554106</v>
      </c>
      <c r="O249" s="225"/>
      <c r="P249" s="225"/>
      <c r="Q249" s="228"/>
      <c r="R249" s="242"/>
      <c r="S249" s="249">
        <f>1/IF(AG249="EC",12,1)*SUM(U249:U249)</f>
        <v>0</v>
      </c>
      <c r="T249" s="242" t="str">
        <f>IF(ISEVEN(LEFT(AD249,4)),"Southbound","NorthBound")</f>
        <v>NorthBound</v>
      </c>
      <c r="U249" s="246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248" t="str">
        <f>"https://d0f6bd738d7f1b3e5a7ca70fe4ff75f0.us-east-1.aws.found.io/app/kibana#/discover/Steve-Slow-Train-Analysis-(2080s-and-2083s)?_g="&amp;"(refreshInterval:(display:Off,pause:!f,section:0,value:0),time:(from:'"&amp;TEXT(E249-1/24,"yyyy-MM-DDThh:mm:ss")&amp;utc_offset&amp;"00"&amp;"',mode:absolute,to:'"&amp;TEXT(I249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249&amp;"%22')),sort:!(Time.ISO8601,asc))"</f>
        <v>https://d0f6bd738d7f1b3e5a7ca70fe4ff75f0.us-east-1.aws.found.io/app/kibana#/discover/Steve-Slow-Train-Analysis-(2080s-and-2083s)?_g=(refreshInterval:(display:Off,pause:!f,section:0,value:0),time:(from:'2018-01-11T15:01:22-0700',mode:absolute,to:'2018-01-11T18:00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9" s="247" t="str">
        <f>IF(AA249&lt;VLOOKUP(AG249,Variables!$AC$3:$AD$8,2,FALSE),"Y","N")</f>
        <v>Y</v>
      </c>
      <c r="X249" s="247">
        <f>VALUE(LEFT(AD249,4))-VALUE(LEFT(AD248,4))</f>
        <v>0</v>
      </c>
      <c r="Y249" s="247">
        <f>RIGHT(D249,LEN(D249)-4)/10000</f>
        <v>2.6939000000000002</v>
      </c>
      <c r="Z249" s="247">
        <f>RIGHT(H249,LEN(H249)-4)/10000</f>
        <v>11.2578</v>
      </c>
      <c r="AA249" s="247">
        <f>ABS(Z249-Y249)</f>
        <v>8.5639000000000003</v>
      </c>
      <c r="AB249" s="233" t="e">
        <f>VLOOKUP(A249,Enforcements!$C$7:$K$9,8,0)</f>
        <v>#N/A</v>
      </c>
      <c r="AC249" s="232" t="e">
        <f>VLOOKUP(A249,Enforcements!$C$7:$E$9,3,0)</f>
        <v>#N/A</v>
      </c>
      <c r="AD249" s="243">
        <f>VALUE(LEFT(A249,LEN(A249)-3))</f>
        <v>61</v>
      </c>
      <c r="AE249" s="235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s3://rtdc.mdm.uploadarchive.raw/RTDC4032/ "%USERPROFILE%\AppData\Local\Temp\OnboardLogs"\RTDC4032\2018-01-11 --exclude "*" --recursive --include "*20180111*" &amp; "%USERPROFILE%\Documents\GitHub\mrs-test-scripts\Headless Mode &amp; Sideloading\WalkAndUnGZ.bat" "%USERPROFILE%\AppData\Local\Temp\OnboardLogs"\RTDC4032\2018-01-11 &amp; aws s3 cp s3://rtdc.mdm.uploadarchive.raw/RTDC4032/ "%USERPROFILE%\AppData\Local\Temp\OnboardLogs"\RTDC4032\2018-01-12 --exclude "*" --recursive --include "*20180112*" &amp; "%USERPROFILE%\Documents\GitHub\mrs-test-scripts\Headless Mode &amp; Sideloading\WalkAndUnGZ.bat" "%USERPROFILE%\AppData\Local\Temp\OnboardLogs"\RTDC4032\2018-01-12</v>
      </c>
      <c r="AF249" s="234" t="str">
        <f>astrogrep_path&amp;" /e /r /s /spath="&amp;search_path&amp;" /stypes=""app*"&amp;B249&amp;"*"&amp;TEXT(I249-utc_offset/24,"YYYYMMDD")&amp;"*"" /stext="" "&amp;TEXT(I249-utc_offset/24,"HH")&amp;search_regexp&amp;""""</f>
        <v>"C:\Program Files (x86)\AstroGrep\AstroGrep.exe" /e /r /s /spath="%USERPROFILE%\AppData\Local\Temp\OnboardLogs" /stypes="app*4032*20180112*" /stext=" 00:.+((SYSTEM_STATE.+slice.+state.+changed )|(ment ac)|(multiple cpu faults)|(system.+state.+changed )|(\[timeout)|(PRM\|1\|D)|(kpr)|(kdp)|(train st.+moving)|(\|lc)|(penalty))"</v>
      </c>
      <c r="AG249" s="244" t="str">
        <f>DetSubdiv(A249)</f>
        <v>Shuttle/Test</v>
      </c>
      <c r="AH249" s="236" t="str">
        <f t="shared" si="83"/>
        <v>"%USERPROFILE%\Documents\GitHub\eaglep3\Utilities\RefineRTDCRunTimes.py" --tripid 61-11 --locoid 4032 --swversion DE.1.0.9.0 --startMP 300:26939 --initTime 2018-01-11T16:01:22 --startdatetime 2018-01-11T16:32:52 --delay 58 --endMP 300:112578 --enddatetime 2018-01-11T17:00:25 --enforcementcount 0 &gt;&gt;%USERPROFILE%\Documents\GitHub\eaglep3-reporting\EC\2018-01-11-refined-times.txt</v>
      </c>
      <c r="AI249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11.2578"},{"id":17,"name":"Train ID","value":"61-11"},{"id":16,"name":"Locomotive ID","value":"4032"},{"id":130,"name":"Impact","value":""},{"id":150,"name":"Time of Event (Mountain Time)","value":"17:00:25"},{"id":151,"name":"Denver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9" s="231"/>
      <c r="AL249" s="231"/>
      <c r="AM249" s="240" t="str">
        <f t="shared" si="85"/>
        <v>start /low /b %USERPROFILE%\Documents\GitHub\eaglep3\Utilities\DownloadLogsFromS3.py --loco 4032 --day 2018-01-11</v>
      </c>
      <c r="AN249" s="241" t="str">
        <f t="shared" si="86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00:00:25"},{"id":29,"name":"Sharepoint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230" t="str">
        <f t="shared" si="87"/>
        <v>https://d0f6bd738d7f1b3e5a7ca70fe4ff75f0.us-east-1.aws.found.io/app/kibana#/discover/Steve-Slow-Train-Analysis-(2080s-and-2083s)?_g=(refreshInterval:(display:Off,pause:!f,section:0,value:0),time:(from:'2018-01-11T15:01:22-0700',mode:absolute,to:'2018-01-11T18:00:25-0700'))&amp;_a=(columns:!('Message%20ID',Summary),filters:!(),index:'emp_*',interval:auto,query:(query_string:(analyze_wildcard:!t,query:'%22rtdc.l.rtdc.4032%22')),sort:!(Time.ISO8601,asc))</v>
      </c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23" customFormat="1" x14ac:dyDescent="0.3">
      <c r="A250" s="229" t="s">
        <v>837</v>
      </c>
      <c r="B250" s="225">
        <v>4064</v>
      </c>
      <c r="C250" s="227" t="s">
        <v>191</v>
      </c>
      <c r="D250" s="227" t="s">
        <v>1046</v>
      </c>
      <c r="E250" s="226">
        <v>43111.712442129632</v>
      </c>
      <c r="F250" s="226">
        <v>43111.715787037036</v>
      </c>
      <c r="G250" s="225">
        <v>158</v>
      </c>
      <c r="H250" s="227" t="s">
        <v>1047</v>
      </c>
      <c r="I250" s="226">
        <v>43111.728275462963</v>
      </c>
      <c r="J250" s="225">
        <v>0</v>
      </c>
      <c r="K250" s="237" t="str">
        <f>IF(ISEVEN(B250),(B250-1)&amp;"/"&amp;B250,B250&amp;"/"&amp;(B250+1))</f>
        <v>4063/4064</v>
      </c>
      <c r="L250" s="245" t="str">
        <f>VLOOKUP(A250,'Trips&amp;Operators'!$C$1:$G$99911,5,FALSE)</f>
        <v>MCREYNOLDS KYLE</v>
      </c>
      <c r="M250" s="224">
        <f>I250-F250</f>
        <v>1.2488425927585922E-2</v>
      </c>
      <c r="N250" s="225">
        <f>24*60*SUM($M250:$M250)</f>
        <v>17.983333335723728</v>
      </c>
      <c r="O250" s="225"/>
      <c r="P250" s="225"/>
      <c r="Q250" s="228"/>
      <c r="R250" s="242"/>
      <c r="S250" s="249">
        <f>1/IF(AG250="EC",12,1)*SUM(U250:U250)</f>
        <v>1</v>
      </c>
      <c r="T250" s="242" t="str">
        <f>IF(ISEVEN(LEFT(AD250,4)),"Southbound","NorthBound")</f>
        <v>NorthBound</v>
      </c>
      <c r="U250" s="246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248" t="str">
        <f>"https://d0f6bd738d7f1b3e5a7ca70fe4ff75f0.us-east-1.aws.found.io/app/kibana#/discover/Steve-Slow-Train-Analysis-(2080s-and-2083s)?_g="&amp;"(refreshInterval:(display:Off,pause:!f,section:0,value:0),time:(from:'"&amp;TEXT(E250-1/24,"yyyy-MM-DDThh:mm:ss")&amp;utc_offset&amp;"00"&amp;"',mode:absolute,to:'"&amp;TEXT(I250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250&amp;"%22')),sort:!(Time.ISO8601,asc))"</f>
        <v>https://d0f6bd738d7f1b3e5a7ca70fe4ff75f0.us-east-1.aws.found.io/app/kibana#/discover/Steve-Slow-Train-Analysis-(2080s-and-2083s)?_g=(refreshInterval:(display:Off,pause:!f,section:0,value:0),time:(from:'2018-01-11T16:05:55-0700',mode:absolute,to:'2018-01-11T18:28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0" s="247" t="str">
        <f>IF(AA250&lt;VLOOKUP(AG250,Variables!$AC$3:$AD$8,2,FALSE),"Y","N")</f>
        <v>Y</v>
      </c>
      <c r="X250" s="247">
        <f>VALUE(LEFT(AD250,4))-VALUE(LEFT(AD249,4))</f>
        <v>2</v>
      </c>
      <c r="Y250" s="247">
        <f>RIGHT(D250,LEN(D250)-4)/10000</f>
        <v>0.1173</v>
      </c>
      <c r="Z250" s="247">
        <f>RIGHT(H250,LEN(H250)-4)/10000</f>
        <v>2.3296999999999999</v>
      </c>
      <c r="AA250" s="247">
        <f>ABS(Z250-Y250)</f>
        <v>2.2123999999999997</v>
      </c>
      <c r="AB250" s="233" t="e">
        <f>VLOOKUP(A250,Enforcements!$C$7:$K$9,8,0)</f>
        <v>#N/A</v>
      </c>
      <c r="AC250" s="232" t="e">
        <f>VLOOKUP(A250,Enforcements!$C$7:$E$9,3,0)</f>
        <v>#N/A</v>
      </c>
      <c r="AD250" s="243">
        <f>VALUE(LEFT(A250,LEN(A250)-3))</f>
        <v>63</v>
      </c>
      <c r="AE250" s="235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s3://rtdc.mdm.uploadarchive.raw/RTDC4064/ "%USERPROFILE%\AppData\Local\Temp\OnboardLogs"\RTDC4064\2018-01-11 --exclude "*" --recursive --include "*20180111*" &amp; "%USERPROFILE%\Documents\GitHub\mrs-test-scripts\Headless Mode &amp; Sideloading\WalkAndUnGZ.bat" "%USERPROFILE%\AppData\Local\Temp\OnboardLogs"\RTDC4064\2018-01-11 &amp; aws s3 cp s3://rtdc.mdm.uploadarchive.raw/RTDC4064/ "%USERPROFILE%\AppData\Local\Temp\OnboardLogs"\RTDC4064\2018-01-12 --exclude "*" --recursive --include "*20180112*" &amp; "%USERPROFILE%\Documents\GitHub\mrs-test-scripts\Headless Mode &amp; Sideloading\WalkAndUnGZ.bat" "%USERPROFILE%\AppData\Local\Temp\OnboardLogs"\RTDC4064\2018-01-12</v>
      </c>
      <c r="AF250" s="234" t="str">
        <f>astrogrep_path&amp;" /e /r /s /spath="&amp;search_path&amp;" /stypes=""app*"&amp;B250&amp;"*"&amp;TEXT(I250-utc_offset/24,"YYYYMMDD")&amp;"*"" /stext="" "&amp;TEXT(I250-utc_offset/24,"HH")&amp;search_regexp&amp;""""</f>
        <v>"C:\Program Files (x86)\AstroGrep\AstroGrep.exe" /e /r /s /spath="%USERPROFILE%\AppData\Local\Temp\OnboardLogs" /stypes="app*4064*20180112*" /stext=" 00:.+((SYSTEM_STATE.+slice.+state.+changed )|(ment ac)|(multiple cpu faults)|(system.+state.+changed )|(\[timeout)|(PRM\|1\|D)|(kpr)|(kdp)|(train st.+moving)|(\|lc)|(penalty))"</v>
      </c>
      <c r="AG250" s="244" t="str">
        <f>DetSubdiv(A250)</f>
        <v>Shuttle/Test</v>
      </c>
      <c r="AH250" s="236" t="str">
        <f t="shared" si="83"/>
        <v>"%USERPROFILE%\Documents\GitHub\eaglep3\Utilities\RefineRTDCRunTimes.py" --tripid 63-11 --locoid 4064 --swversion DE.1.0.9.0 --startMP 204:1173 --initTime 2018-01-11T17:05:55 --startdatetime 2018-01-11T17:10:44 --delay 158 --endMP 300:23297 --enddatetime 2018-01-11T17:28:43 --enforcementcount 0 &gt;&gt;%USERPROFILE%\Documents\GitHub\eaglep3-reporting\EC\2018-01-11-refined-times.txt</v>
      </c>
      <c r="AI250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2.3297"},{"id":17,"name":"Train ID","value":"63-11"},{"id":16,"name":"Locomotive ID","value":"4064"},{"id":130,"name":"Impact","value":""},{"id":150,"name":"Time of Event (Mountain Time)","value":"17:28:43"},{"id":151,"name":"Denver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0" s="231"/>
      <c r="AL250" s="231"/>
      <c r="AM250" s="240" t="str">
        <f t="shared" si="85"/>
        <v>start /low /b %USERPROFILE%\Documents\GitHub\eaglep3\Utilities\DownloadLogsFromS3.py --loco 4064 --day 2018-01-11</v>
      </c>
      <c r="AN250" s="241" t="str">
        <f t="shared" si="86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00:28:43"},{"id":29,"name":"Sharepoint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230" t="str">
        <f t="shared" si="87"/>
        <v>https://d0f6bd738d7f1b3e5a7ca70fe4ff75f0.us-east-1.aws.found.io/app/kibana#/discover/Steve-Slow-Train-Analysis-(2080s-and-2083s)?_g=(refreshInterval:(display:Off,pause:!f,section:0,value:0),time:(from:'2018-01-11T16:05:55-0700',mode:absolute,to:'2018-01-11T18:28:43-0700'))&amp;_a=(columns:!('Message%20ID',Summary),filters:!(),index:'emp_*',interval:auto,query:(query_string:(analyze_wildcard:!t,query:'%22rtdc.l.rtdc.4064%22')),sort:!(Time.ISO8601,asc))</v>
      </c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23" customFormat="1" x14ac:dyDescent="0.3">
      <c r="A251" s="229" t="s">
        <v>662</v>
      </c>
      <c r="B251" s="225">
        <v>4050</v>
      </c>
      <c r="C251" s="227" t="s">
        <v>191</v>
      </c>
      <c r="D251" s="227" t="s">
        <v>1048</v>
      </c>
      <c r="E251" s="226">
        <v>43111.506064814814</v>
      </c>
      <c r="F251" s="226">
        <v>43111.507650462961</v>
      </c>
      <c r="G251" s="225">
        <v>69</v>
      </c>
      <c r="H251" s="227" t="s">
        <v>626</v>
      </c>
      <c r="I251" s="226">
        <v>43111.514641203707</v>
      </c>
      <c r="J251" s="225">
        <v>0</v>
      </c>
      <c r="K251" s="237" t="str">
        <f>IF(ISEVEN(B251),(B251-1)&amp;"/"&amp;B251,B251&amp;"/"&amp;(B251+1))</f>
        <v>4049/4050</v>
      </c>
      <c r="L251" s="245" t="str">
        <f>VLOOKUP(A251,'Trips&amp;Operators'!$C$1:$G$99911,5,FALSE)</f>
        <v>NEWELL JAMES</v>
      </c>
      <c r="M251" s="224">
        <f>I251-F251</f>
        <v>6.9907407450955361E-3</v>
      </c>
      <c r="N251" s="225">
        <f>24*60*SUM($M251:$M251)</f>
        <v>10.066666672937572</v>
      </c>
      <c r="O251" s="225"/>
      <c r="P251" s="225"/>
      <c r="Q251" s="228"/>
      <c r="R251" s="242"/>
      <c r="S251" s="249">
        <f>1/IF(AG251="EC",12,1)*SUM(U251:U251)</f>
        <v>1</v>
      </c>
      <c r="T251" s="242" t="str">
        <f>IF(ISEVEN(LEFT(AD251,4)),"Southbound","NorthBound")</f>
        <v>NorthBound</v>
      </c>
      <c r="U251" s="246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1</v>
      </c>
      <c r="V251" s="248" t="str">
        <f>"https://d0f6bd738d7f1b3e5a7ca70fe4ff75f0.us-east-1.aws.found.io/app/kibana#/discover/Steve-Slow-Train-Analysis-(2080s-and-2083s)?_g="&amp;"(refreshInterval:(display:Off,pause:!f,section:0,value:0),time:(from:'"&amp;TEXT(E251-1/24,"yyyy-MM-DDThh:mm:ss")&amp;utc_offset&amp;"00"&amp;"',mode:absolute,to:'"&amp;TEXT(I251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251&amp;"%22')),sort:!(Time.ISO8601,asc))"</f>
        <v>https://d0f6bd738d7f1b3e5a7ca70fe4ff75f0.us-east-1.aws.found.io/app/kibana#/discover/Steve-Slow-Train-Analysis-(2080s-and-2083s)?_g=(refreshInterval:(display:Off,pause:!f,section:0,value:0),time:(from:'2018-01-11T11:08:44-0700',mode:absolute,to:'2018-01-11T13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51" s="247" t="str">
        <f>IF(AA251&lt;VLOOKUP(AG251,Variables!$AC$3:$AD$8,2,FALSE),"Y","N")</f>
        <v>Y</v>
      </c>
      <c r="X251" s="247">
        <f>VALUE(LEFT(AD251,4))-VALUE(LEFT(AD250,4))</f>
        <v>4</v>
      </c>
      <c r="Y251" s="247">
        <f>RIGHT(D251,LEN(D251)-4)/10000</f>
        <v>0.12590000000000001</v>
      </c>
      <c r="Z251" s="247">
        <f>RIGHT(H251,LEN(H251)-4)/10000</f>
        <v>2.3304</v>
      </c>
      <c r="AA251" s="247">
        <f>ABS(Z251-Y251)</f>
        <v>2.2044999999999999</v>
      </c>
      <c r="AB251" s="233" t="e">
        <f>VLOOKUP(A251,Enforcements!$C$7:$K$9,8,0)</f>
        <v>#N/A</v>
      </c>
      <c r="AC251" s="232" t="e">
        <f>VLOOKUP(A251,Enforcements!$C$7:$E$9,3,0)</f>
        <v>#N/A</v>
      </c>
      <c r="AD251" s="243">
        <f>VALUE(LEFT(A251,LEN(A251)-3))</f>
        <v>67</v>
      </c>
      <c r="AE251" s="235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s3://rtdc.mdm.uploadarchive.raw/RTDC4050/ "%USERPROFILE%\AppData\Local\Temp\OnboardLogs"\RTDC4050\2018-01-11 --exclude "*" --recursive --include "*20180111*" &amp; "%USERPROFILE%\Documents\GitHub\mrs-test-scripts\Headless Mode &amp; Sideloading\WalkAndUnGZ.bat" "%USERPROFILE%\AppData\Local\Temp\OnboardLogs"\RTDC4050\2018-01-11 &amp; aws s3 cp s3://rtdc.mdm.uploadarchive.raw/RTDC4050/ "%USERPROFILE%\AppData\Local\Temp\OnboardLogs"\RTDC4050\2018-01-12 --exclude "*" --recursive --include "*20180112*" &amp; "%USERPROFILE%\Documents\GitHub\mrs-test-scripts\Headless Mode &amp; Sideloading\WalkAndUnGZ.bat" "%USERPROFILE%\AppData\Local\Temp\OnboardLogs"\RTDC4050\2018-01-12</v>
      </c>
      <c r="AF251" s="234" t="str">
        <f>astrogrep_path&amp;" /e /r /s /spath="&amp;search_path&amp;" /stypes=""app*"&amp;B251&amp;"*"&amp;TEXT(I251-utc_offset/24,"YYYYMMDD")&amp;"*"" /stext="" "&amp;TEXT(I251-utc_offset/24,"HH")&amp;search_regexp&amp;""""</f>
        <v>"C:\Program Files (x86)\AstroGrep\AstroGrep.exe" /e /r /s /spath="%USERPROFILE%\AppData\Local\Temp\OnboardLogs" /stypes="app*4050*20180111*" /stext=" 19:.+((SYSTEM_STATE.+slice.+state.+changed )|(ment ac)|(multiple cpu faults)|(system.+state.+changed )|(\[timeout)|(PRM\|1\|D)|(kpr)|(kdp)|(train st.+moving)|(\|lc)|(penalty))"</v>
      </c>
      <c r="AG251" s="244" t="str">
        <f>DetSubdiv(A251)</f>
        <v>Shuttle/Test</v>
      </c>
      <c r="AH251" s="236" t="str">
        <f t="shared" si="83"/>
        <v>"%USERPROFILE%\Documents\GitHub\eaglep3\Utilities\RefineRTDCRunTimes.py" --tripid 67-11 --locoid 4050 --swversion DE.1.0.9.0 --startMP 204:1259 --initTime 2018-01-11T12:08:44 --startdatetime 2018-01-11T12:11:01 --delay 69 --endMP 300:23304 --enddatetime 2018-01-11T12:21:05 --enforcementcount 0 &gt;&gt;%USERPROFILE%\Documents\GitHub\eaglep3-reporting\EC\2018-01-11-refined-times.txt</v>
      </c>
      <c r="AI251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2.3304"},{"id":17,"name":"Train ID","value":"67-11"},{"id":16,"name":"Locomotive ID","value":"4050"},{"id":130,"name":"Impact","value":""},{"id":150,"name":"Time of Event (Mountain Time)","value":"12:21:05"},{"id":151,"name":"Denver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1" s="231"/>
      <c r="AL251" s="231"/>
      <c r="AM251" s="240" t="str">
        <f t="shared" si="85"/>
        <v>start /low /b %USERPROFILE%\Documents\GitHub\eaglep3\Utilities\DownloadLogsFromS3.py --loco 4050 --day 2018-01-11</v>
      </c>
      <c r="AN251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230" t="str">
        <f t="shared" si="87"/>
        <v>https://d0f6bd738d7f1b3e5a7ca70fe4ff75f0.us-east-1.aws.found.io/app/kibana#/discover/Steve-Slow-Train-Analysis-(2080s-and-2083s)?_g=(refreshInterval:(display:Off,pause:!f,section:0,value:0),time:(from:'2018-01-11T11:08:44-0700',mode:absolute,to:'2018-01-11T13:21:05-0700'))&amp;_a=(columns:!('Message%20ID',Summary),filters:!(),index:'emp_*',interval:auto,query:(query_string:(analyze_wildcard:!t,query:'%22rtdc.l.rtdc.4050%22')),sort:!(Time.ISO8601,asc))</v>
      </c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 s="229" t="s">
        <v>795</v>
      </c>
      <c r="B252" s="225">
        <v>4053</v>
      </c>
      <c r="C252" s="227" t="s">
        <v>191</v>
      </c>
      <c r="D252" s="227" t="s">
        <v>1049</v>
      </c>
      <c r="E252" s="226">
        <v>43111.531122685185</v>
      </c>
      <c r="F252" s="226">
        <v>43111.533449074072</v>
      </c>
      <c r="G252" s="225">
        <v>73</v>
      </c>
      <c r="H252" s="227" t="s">
        <v>1046</v>
      </c>
      <c r="I252" s="226">
        <v>43111.539131944446</v>
      </c>
      <c r="J252" s="225">
        <v>0</v>
      </c>
      <c r="K252" s="237" t="str">
        <f>IF(ISEVEN(B252),(B252-1)&amp;"/"&amp;B252,B252&amp;"/"&amp;(B252+1))</f>
        <v>4053/4054</v>
      </c>
      <c r="L252" s="245" t="str">
        <f>VLOOKUP(A252,'Trips&amp;Operators'!$C$1:$G$99911,5,FALSE)</f>
        <v>NEWELL JAMES</v>
      </c>
      <c r="M252" s="224">
        <f>I252-F252</f>
        <v>5.6828703745850362E-3</v>
      </c>
      <c r="N252" s="225">
        <f>24*60*SUM($M252:$M252)</f>
        <v>8.1833333394024521</v>
      </c>
      <c r="O252" s="225"/>
      <c r="P252" s="225"/>
      <c r="Q252" s="228"/>
      <c r="R252" s="242"/>
      <c r="S252" s="249">
        <f>1/IF(AG252="EC",12,1)*SUM(U252:U252)</f>
        <v>1</v>
      </c>
      <c r="T252" s="242" t="str">
        <f>IF(ISEVEN(LEFT(AD252,4)),"Southbound","NorthBound")</f>
        <v>Southbound</v>
      </c>
      <c r="U252" s="246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248" t="str">
        <f>"https://d0f6bd738d7f1b3e5a7ca70fe4ff75f0.us-east-1.aws.found.io/app/kibana#/discover/Steve-Slow-Train-Analysis-(2080s-and-2083s)?_g="&amp;"(refreshInterval:(display:Off,pause:!f,section:0,value:0),time:(from:'"&amp;TEXT(E252-1/24,"yyyy-MM-DDThh:mm:ss")&amp;utc_offset&amp;"00"&amp;"',mode:absolute,to:'"&amp;TEXT(I252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252&amp;"%22')),sort:!(Time.ISO8601,asc))"</f>
        <v>https://d0f6bd738d7f1b3e5a7ca70fe4ff75f0.us-east-1.aws.found.io/app/kibana#/discover/Steve-Slow-Train-Analysis-(2080s-and-2083s)?_g=(refreshInterval:(display:Off,pause:!f,section:0,value:0),time:(from:'2018-01-11T11:44:49-0700',mode:absolute,to:'2018-01-11T13:56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52" s="247" t="str">
        <f>IF(AA252&lt;VLOOKUP(AG252,Variables!$AC$3:$AD$8,2,FALSE),"Y","N")</f>
        <v>Y</v>
      </c>
      <c r="X252" s="247">
        <f>VALUE(LEFT(AD252,4))-VALUE(LEFT(AD251,4))</f>
        <v>1</v>
      </c>
      <c r="Y252" s="247">
        <f>RIGHT(D252,LEN(D252)-4)/10000</f>
        <v>2.3401999999999998</v>
      </c>
      <c r="Z252" s="247">
        <f>RIGHT(H252,LEN(H252)-4)/10000</f>
        <v>0.1173</v>
      </c>
      <c r="AA252" s="247">
        <f>ABS(Z252-Y252)</f>
        <v>2.2228999999999997</v>
      </c>
      <c r="AB252" s="233" t="e">
        <f>VLOOKUP(A252,Enforcements!$C$7:$K$9,8,0)</f>
        <v>#N/A</v>
      </c>
      <c r="AC252" s="232" t="e">
        <f>VLOOKUP(A252,Enforcements!$C$7:$E$9,3,0)</f>
        <v>#N/A</v>
      </c>
      <c r="AD252" s="243">
        <f>VALUE(LEFT(A252,LEN(A252)-3))</f>
        <v>68</v>
      </c>
      <c r="AE252" s="235" t="str">
        <f>"aws s3 cp "&amp;s3_bucket&amp;"/RTDC"&amp;B252&amp;"/ "&amp;search_path&amp;"\RTDC"&amp;B252&amp;"\"&amp;TEXT(F252,"YYYY-MM-DD")&amp;" --exclude ""*"" --recursive --include ""*"&amp;TEXT(F252,"YYYYMMDD")&amp;"*"" &amp; """&amp;walkandungz&amp;""" "&amp;search_path&amp;"\RTDC"&amp;B252&amp;"\"&amp;TEXT(F252,"YYYY-MM-DD")
&amp;" &amp; "&amp;"aws s3 cp "&amp;s3_bucket&amp;"/RTDC"&amp;B252&amp;"/ "&amp;search_path&amp;"\RTDC"&amp;B252&amp;"\"&amp;TEXT(F252+1,"YYYY-MM-DD")&amp;" --exclude ""*"" --recursive --include ""*"&amp;TEXT(F252+1,"YYYYMMDD")&amp;"*"" &amp; """&amp;walkandungz&amp;""" "&amp;search_path&amp;"\RTDC"&amp;B252&amp;"\"&amp;TEXT(F252+1,"YYYY-MM-DD")</f>
        <v>aws s3 cp s3://rtdc.mdm.uploadarchive.raw/RTDC4053/ "%USERPROFILE%\AppData\Local\Temp\OnboardLogs"\RTDC4053\2018-01-11 --exclude "*" --recursive --include "*20180111*" &amp; "%USERPROFILE%\Documents\GitHub\mrs-test-scripts\Headless Mode &amp; Sideloading\WalkAndUnGZ.bat" "%USERPROFILE%\AppData\Local\Temp\OnboardLogs"\RTDC4053\2018-01-11 &amp; aws s3 cp s3://rtdc.mdm.uploadarchive.raw/RTDC4053/ "%USERPROFILE%\AppData\Local\Temp\OnboardLogs"\RTDC4053\2018-01-12 --exclude "*" --recursive --include "*20180112*" &amp; "%USERPROFILE%\Documents\GitHub\mrs-test-scripts\Headless Mode &amp; Sideloading\WalkAndUnGZ.bat" "%USERPROFILE%\AppData\Local\Temp\OnboardLogs"\RTDC4053\2018-01-12</v>
      </c>
      <c r="AF252" s="234" t="str">
        <f>astrogrep_path&amp;" /e /r /s /spath="&amp;search_path&amp;" /stypes=""app*"&amp;B252&amp;"*"&amp;TEXT(I252-utc_offset/24,"YYYYMMDD")&amp;"*"" /stext="" "&amp;TEXT(I252-utc_offset/24,"HH")&amp;search_regexp&amp;""""</f>
        <v>"C:\Program Files (x86)\AstroGrep\AstroGrep.exe" /e /r /s /spath="%USERPROFILE%\AppData\Local\Temp\OnboardLogs" /stypes="app*4053*20180111*" /stext=" 19:.+((SYSTEM_STATE.+slice.+state.+changed )|(ment ac)|(multiple cpu faults)|(system.+state.+changed )|(\[timeout)|(PRM\|1\|D)|(kpr)|(kdp)|(train st.+moving)|(\|lc)|(penalty))"</v>
      </c>
      <c r="AG252" s="244" t="str">
        <f>DetSubdiv(A252)</f>
        <v>Shuttle/Test</v>
      </c>
      <c r="AH252" s="236" t="str">
        <f t="shared" si="83"/>
        <v>"%USERPROFILE%\Documents\GitHub\eaglep3\Utilities\RefineRTDCRunTimes.py" --tripid 68-11 --locoid 4053 --swversion DE.1.0.9.0 --startMP 300:23402 --initTime 2018-01-11T12:44:49 --startdatetime 2018-01-11T12:48:10 --delay 73 --endMP 204:1173 --enddatetime 2018-01-11T12:56:21 --enforcementcount 0 &gt;&gt;%USERPROFILE%\Documents\GitHub\eaglep3-reporting\EC\2018-01-11-refined-times.txt</v>
      </c>
      <c r="AI252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0.1173"},{"id":17,"name":"Train ID","value":"68-11"},{"id":16,"name":"Locomotive ID","value":"4053"},{"id":130,"name":"Impact","value":""},{"id":150,"name":"Time of Event (Mountain Time)","value":"12:56:21"},{"id":151,"name":"Denver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2" s="223"/>
      <c r="AK252" s="231"/>
      <c r="AL252" s="231"/>
      <c r="AM252" s="240" t="str">
        <f t="shared" si="85"/>
        <v>start /low /b %USERPROFILE%\Documents\GitHub\eaglep3\Utilities\DownloadLogsFromS3.py --loco 4053 --day 2018-01-11</v>
      </c>
      <c r="AN252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19:56:21"},{"id":29,"name":"Sharepoint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 s="230" t="str">
        <f t="shared" si="87"/>
        <v>https://d0f6bd738d7f1b3e5a7ca70fe4ff75f0.us-east-1.aws.found.io/app/kibana#/discover/Steve-Slow-Train-Analysis-(2080s-and-2083s)?_g=(refreshInterval:(display:Off,pause:!f,section:0,value:0),time:(from:'2018-01-11T11:44:49-0700',mode:absolute,to:'2018-01-11T13:56:21-0700'))&amp;_a=(columns:!('Message%20ID',Summary),filters:!(),index:'emp_*',interval:auto,query:(query_string:(analyze_wildcard:!t,query:'%22rtdc.l.rtdc.4053%22')),sort:!(Time.ISO8601,asc))</v>
      </c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 s="229" t="s">
        <v>766</v>
      </c>
      <c r="B253" s="225">
        <v>4019</v>
      </c>
      <c r="C253" s="227" t="s">
        <v>191</v>
      </c>
      <c r="D253" s="227" t="s">
        <v>1050</v>
      </c>
      <c r="E253" s="226">
        <v>43111.437418981484</v>
      </c>
      <c r="F253" s="226">
        <v>43111.438900462963</v>
      </c>
      <c r="G253" s="225">
        <v>68</v>
      </c>
      <c r="H253" s="227" t="s">
        <v>480</v>
      </c>
      <c r="I253" s="226">
        <v>43111.439965277779</v>
      </c>
      <c r="J253" s="225">
        <v>0</v>
      </c>
      <c r="K253" s="237" t="str">
        <f>IF(ISEVEN(B253),(B253-1)&amp;"/"&amp;B253,B253&amp;"/"&amp;(B253+1))</f>
        <v>4019/4020</v>
      </c>
      <c r="L253" s="245" t="str">
        <f>VLOOKUP(A253,'Trips&amp;Operators'!$C$1:$G$99911,5,FALSE)</f>
        <v>ROCHA YAOTL</v>
      </c>
      <c r="M253" s="224">
        <f>I253-F253</f>
        <v>1.0648148163454607E-3</v>
      </c>
      <c r="N253" s="225">
        <f>24*60*SUM($M253:$M253)</f>
        <v>1.5333333355374634</v>
      </c>
      <c r="O253" s="225"/>
      <c r="P253" s="225"/>
      <c r="Q253" s="228"/>
      <c r="R253" s="242"/>
      <c r="S253" s="249">
        <f>1/IF(AG253="EC",12,1)*SUM(U253:U253)</f>
        <v>0</v>
      </c>
      <c r="T253" s="242" t="str">
        <f>IF(ISEVEN(LEFT(AD253,4)),"Southbound","NorthBound")</f>
        <v>NorthBound</v>
      </c>
      <c r="U253" s="246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248" t="str">
        <f>"https://d0f6bd738d7f1b3e5a7ca70fe4ff75f0.us-east-1.aws.found.io/app/kibana#/discover/Steve-Slow-Train-Analysis-(2080s-and-2083s)?_g="&amp;"(refreshInterval:(display:Off,pause:!f,section:0,value:0),time:(from:'"&amp;TEXT(E253-1/24,"yyyy-MM-DDThh:mm:ss")&amp;utc_offset&amp;"00"&amp;"',mode:absolute,to:'"&amp;TEXT(I253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253&amp;"%22')),sort:!(Time.ISO8601,asc))"</f>
        <v>https://d0f6bd738d7f1b3e5a7ca70fe4ff75f0.us-east-1.aws.found.io/app/kibana#/discover/Steve-Slow-Train-Analysis-(2080s-and-2083s)?_g=(refreshInterval:(display:Off,pause:!f,section:0,value:0),time:(from:'2018-01-11T09:29:53-0700',mode:absolute,to:'2018-01-11T11:33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53" s="247" t="str">
        <f>IF(AA253&lt;VLOOKUP(AG253,Variables!$AC$3:$AD$8,2,FALSE),"Y","N")</f>
        <v>Y</v>
      </c>
      <c r="X253" s="247">
        <f>VALUE(LEFT(AD253,4))-VALUE(LEFT(AD252,4))</f>
        <v>7</v>
      </c>
      <c r="Y253" s="247">
        <f>RIGHT(D253,LEN(D253)-4)/10000</f>
        <v>0.31940000000000002</v>
      </c>
      <c r="Z253" s="247">
        <f>RIGHT(H253,LEN(H253)-4)/10000</f>
        <v>1.54E-2</v>
      </c>
      <c r="AA253" s="247">
        <f>ABS(Z253-Y253)</f>
        <v>0.30399999999999999</v>
      </c>
      <c r="AB253" s="233" t="e">
        <f>VLOOKUP(A253,Enforcements!$C$7:$K$9,8,0)</f>
        <v>#N/A</v>
      </c>
      <c r="AC253" s="232" t="e">
        <f>VLOOKUP(A253,Enforcements!$C$7:$E$9,3,0)</f>
        <v>#N/A</v>
      </c>
      <c r="AD253" s="243">
        <f>VALUE(LEFT(A253,LEN(A253)-3))</f>
        <v>75</v>
      </c>
      <c r="AE253" s="235" t="str">
        <f>"aws s3 cp "&amp;s3_bucket&amp;"/RTDC"&amp;B253&amp;"/ "&amp;search_path&amp;"\RTDC"&amp;B253&amp;"\"&amp;TEXT(F253,"YYYY-MM-DD")&amp;" --exclude ""*"" --recursive --include ""*"&amp;TEXT(F253,"YYYYMMDD")&amp;"*"" &amp; """&amp;walkandungz&amp;""" "&amp;search_path&amp;"\RTDC"&amp;B253&amp;"\"&amp;TEXT(F253,"YYYY-MM-DD")
&amp;" &amp; "&amp;"aws s3 cp "&amp;s3_bucket&amp;"/RTDC"&amp;B253&amp;"/ "&amp;search_path&amp;"\RTDC"&amp;B253&amp;"\"&amp;TEXT(F253+1,"YYYY-MM-DD")&amp;" --exclude ""*"" --recursive --include ""*"&amp;TEXT(F253+1,"YYYYMMDD")&amp;"*"" &amp; """&amp;walkandungz&amp;""" "&amp;search_path&amp;"\RTDC"&amp;B253&amp;"\"&amp;TEXT(F253+1,"YYYY-MM-DD")</f>
        <v>aws s3 cp s3://rtdc.mdm.uploadarchive.raw/RTDC4019/ "%USERPROFILE%\AppData\Local\Temp\OnboardLogs"\RTDC4019\2018-01-11 --exclude "*" --recursive --include "*20180111*" &amp; "%USERPROFILE%\Documents\GitHub\mrs-test-scripts\Headless Mode &amp; Sideloading\WalkAndUnGZ.bat" "%USERPROFILE%\AppData\Local\Temp\OnboardLogs"\RTDC4019\2018-01-11 &amp; aws s3 cp s3://rtdc.mdm.uploadarchive.raw/RTDC4019/ "%USERPROFILE%\AppData\Local\Temp\OnboardLogs"\RTDC4019\2018-01-12 --exclude "*" --recursive --include "*20180112*" &amp; "%USERPROFILE%\Documents\GitHub\mrs-test-scripts\Headless Mode &amp; Sideloading\WalkAndUnGZ.bat" "%USERPROFILE%\AppData\Local\Temp\OnboardLogs"\RTDC4019\2018-01-12</v>
      </c>
      <c r="AF253" s="234" t="str">
        <f>astrogrep_path&amp;" /e /r /s /spath="&amp;search_path&amp;" /stypes=""app*"&amp;B253&amp;"*"&amp;TEXT(I253-utc_offset/24,"YYYYMMDD")&amp;"*"" /stext="" "&amp;TEXT(I253-utc_offset/24,"HH")&amp;search_regexp&amp;""""</f>
        <v>"C:\Program Files (x86)\AstroGrep\AstroGrep.exe" /e /r /s /spath="%USERPROFILE%\AppData\Local\Temp\OnboardLogs" /stypes="app*4019*20180111*" /stext=" 17:.+((SYSTEM_STATE.+slice.+state.+changed )|(ment ac)|(multiple cpu faults)|(system.+state.+changed )|(\[timeout)|(PRM\|1\|D)|(kpr)|(kdp)|(train st.+moving)|(\|lc)|(penalty))"</v>
      </c>
      <c r="AG253" s="244" t="str">
        <f>DetSubdiv(A253)</f>
        <v>Shuttle/Test</v>
      </c>
      <c r="AH253" s="236" t="str">
        <f t="shared" si="83"/>
        <v>"%USERPROFILE%\Documents\GitHub\eaglep3\Utilities\RefineRTDCRunTimes.py" --tripid 75-11 --locoid 4019 --swversion DE.1.0.9.0 --startMP 204:3194 --initTime 2018-01-11T10:29:53 --startdatetime 2018-01-11T10:32:01 --delay 68 --endMP 204:154 --enddatetime 2018-01-11T10:33:33 --enforcementcount 0 &gt;&gt;%USERPROFILE%\Documents\GitHub\eaglep3-reporting\EC\2018-01-11-refined-times.txt</v>
      </c>
      <c r="AI253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0.0154"},{"id":17,"name":"Train ID","value":"75-11"},{"id":16,"name":"Locomotive ID","value":"4019"},{"id":130,"name":"Impact","value":""},{"id":150,"name":"Time of Event (Mountain Time)","value":"10:33:33"},{"id":151,"name":"Denver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3" s="223"/>
      <c r="AK253" s="231"/>
      <c r="AL253" s="231"/>
      <c r="AM253" s="240" t="str">
        <f t="shared" si="85"/>
        <v>start /low /b %USERPROFILE%\Documents\GitHub\eaglep3\Utilities\DownloadLogsFromS3.py --loco 4019 --day 2018-01-11</v>
      </c>
      <c r="AN253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17:33:33"},{"id":29,"name":"Sharepoint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 s="230" t="str">
        <f t="shared" si="87"/>
        <v>https://d0f6bd738d7f1b3e5a7ca70fe4ff75f0.us-east-1.aws.found.io/app/kibana#/discover/Steve-Slow-Train-Analysis-(2080s-and-2083s)?_g=(refreshInterval:(display:Off,pause:!f,section:0,value:0),time:(from:'2018-01-11T09:29:53-0700',mode:absolute,to:'2018-01-11T11:33:33-0700'))&amp;_a=(columns:!('Message%20ID',Summary),filters:!(),index:'emp_*',interval:auto,query:(query_string:(analyze_wildcard:!t,query:'%22rtdc.l.rtdc.4019%22')),sort:!(Time.ISO8601,asc))</v>
      </c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23" customFormat="1" x14ac:dyDescent="0.3">
      <c r="A254" s="229" t="s">
        <v>766</v>
      </c>
      <c r="B254" s="225">
        <v>4020</v>
      </c>
      <c r="C254" s="227" t="s">
        <v>191</v>
      </c>
      <c r="D254" s="227" t="s">
        <v>629</v>
      </c>
      <c r="E254" s="226">
        <v>43111.43472222222</v>
      </c>
      <c r="F254" s="226">
        <v>43111.438900462963</v>
      </c>
      <c r="G254" s="225">
        <v>65</v>
      </c>
      <c r="H254" s="227" t="s">
        <v>1051</v>
      </c>
      <c r="I254" s="226">
        <v>43111.439965277779</v>
      </c>
      <c r="J254" s="225">
        <v>0</v>
      </c>
      <c r="K254" s="237" t="str">
        <f>IF(ISEVEN(B254),(B254-1)&amp;"/"&amp;B254,B254&amp;"/"&amp;(B254+1))</f>
        <v>4019/4020</v>
      </c>
      <c r="L254" s="245" t="str">
        <f>VLOOKUP(A254,'Trips&amp;Operators'!$C$1:$G$99911,5,FALSE)</f>
        <v>ROCHA YAOTL</v>
      </c>
      <c r="M254" s="224">
        <f>I254-F254</f>
        <v>1.0648148163454607E-3</v>
      </c>
      <c r="N254" s="225">
        <f>24*60*SUM($M254:$M254)</f>
        <v>1.5333333355374634</v>
      </c>
      <c r="O254" s="225"/>
      <c r="P254" s="225"/>
      <c r="Q254" s="228"/>
      <c r="R254" s="242"/>
      <c r="S254" s="249">
        <f>1/IF(AG254="EC",12,1)*SUM(U254:U254)</f>
        <v>0</v>
      </c>
      <c r="T254" s="242" t="str">
        <f>IF(ISEVEN(LEFT(AD254,4)),"Southbound","NorthBound")</f>
        <v>NorthBound</v>
      </c>
      <c r="U254" s="246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248" t="str">
        <f>"https://d0f6bd738d7f1b3e5a7ca70fe4ff75f0.us-east-1.aws.found.io/app/kibana#/discover/Steve-Slow-Train-Analysis-(2080s-and-2083s)?_g="&amp;"(refreshInterval:(display:Off,pause:!f,section:0,value:0),time:(from:'"&amp;TEXT(E254-1/24,"yyyy-MM-DDThh:mm:ss")&amp;utc_offset&amp;"00"&amp;"',mode:absolute,to:'"&amp;TEXT(I254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254&amp;"%22')),sort:!(Time.ISO8601,asc))"</f>
        <v>https://d0f6bd738d7f1b3e5a7ca70fe4ff75f0.us-east-1.aws.found.io/app/kibana#/discover/Steve-Slow-Train-Analysis-(2080s-and-2083s)?_g=(refreshInterval:(display:Off,pause:!f,section:0,value:0),time:(from:'2018-01-11T09:26:00-0700',mode:absolute,to:'2018-01-11T11:33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4" s="247" t="str">
        <f>IF(AA254&lt;VLOOKUP(AG254,Variables!$AC$3:$AD$8,2,FALSE),"Y","N")</f>
        <v>Y</v>
      </c>
      <c r="X254" s="247">
        <f>VALUE(LEFT(AD254,4))-VALUE(LEFT(AD253,4))</f>
        <v>0</v>
      </c>
      <c r="Y254" s="247">
        <f>RIGHT(D254,LEN(D254)-4)/10000</f>
        <v>0.1158</v>
      </c>
      <c r="Z254" s="247">
        <f>RIGHT(H254,LEN(H254)-4)/10000</f>
        <v>0.3493</v>
      </c>
      <c r="AA254" s="247">
        <f>ABS(Z254-Y254)</f>
        <v>0.23349999999999999</v>
      </c>
      <c r="AB254" s="233" t="e">
        <f>VLOOKUP(A254,Enforcements!$C$7:$K$9,8,0)</f>
        <v>#N/A</v>
      </c>
      <c r="AC254" s="232" t="e">
        <f>VLOOKUP(A254,Enforcements!$C$7:$E$9,3,0)</f>
        <v>#N/A</v>
      </c>
      <c r="AD254" s="243">
        <f>VALUE(LEFT(A254,LEN(A254)-3))</f>
        <v>75</v>
      </c>
      <c r="AE254" s="235" t="str">
        <f>"aws s3 cp "&amp;s3_bucket&amp;"/RTDC"&amp;B254&amp;"/ "&amp;search_path&amp;"\RTDC"&amp;B254&amp;"\"&amp;TEXT(F254,"YYYY-MM-DD")&amp;" --exclude ""*"" --recursive --include ""*"&amp;TEXT(F254,"YYYYMMDD")&amp;"*"" &amp; """&amp;walkandungz&amp;""" "&amp;search_path&amp;"\RTDC"&amp;B254&amp;"\"&amp;TEXT(F254,"YYYY-MM-DD")
&amp;" &amp; "&amp;"aws s3 cp "&amp;s3_bucket&amp;"/RTDC"&amp;B254&amp;"/ "&amp;search_path&amp;"\RTDC"&amp;B254&amp;"\"&amp;TEXT(F254+1,"YYYY-MM-DD")&amp;" --exclude ""*"" --recursive --include ""*"&amp;TEXT(F254+1,"YYYYMMDD")&amp;"*"" &amp; """&amp;walkandungz&amp;""" "&amp;search_path&amp;"\RTDC"&amp;B254&amp;"\"&amp;TEXT(F254+1,"YYYY-MM-DD")</f>
        <v>aws s3 cp s3://rtdc.mdm.uploadarchive.raw/RTDC4020/ "%USERPROFILE%\AppData\Local\Temp\OnboardLogs"\RTDC4020\2018-01-11 --exclude "*" --recursive --include "*20180111*" &amp; "%USERPROFILE%\Documents\GitHub\mrs-test-scripts\Headless Mode &amp; Sideloading\WalkAndUnGZ.bat" "%USERPROFILE%\AppData\Local\Temp\OnboardLogs"\RTDC4020\2018-01-11 &amp; aws s3 cp s3://rtdc.mdm.uploadarchive.raw/RTDC4020/ "%USERPROFILE%\AppData\Local\Temp\OnboardLogs"\RTDC4020\2018-01-12 --exclude "*" --recursive --include "*20180112*" &amp; "%USERPROFILE%\Documents\GitHub\mrs-test-scripts\Headless Mode &amp; Sideloading\WalkAndUnGZ.bat" "%USERPROFILE%\AppData\Local\Temp\OnboardLogs"\RTDC4020\2018-01-12</v>
      </c>
      <c r="AF254" s="234" t="str">
        <f>astrogrep_path&amp;" /e /r /s /spath="&amp;search_path&amp;" /stypes=""app*"&amp;B254&amp;"*"&amp;TEXT(I254-utc_offset/24,"YYYYMMDD")&amp;"*"" /stext="" "&amp;TEXT(I254-utc_offset/24,"HH")&amp;search_regexp&amp;""""</f>
        <v>"C:\Program Files (x86)\AstroGrep\AstroGrep.exe" /e /r /s /spath="%USERPROFILE%\AppData\Local\Temp\OnboardLogs" /stypes="app*4020*20180111*" /stext=" 17:.+((SYSTEM_STATE.+slice.+state.+changed )|(ment ac)|(multiple cpu faults)|(system.+state.+changed )|(\[timeout)|(PRM\|1\|D)|(kpr)|(kdp)|(train st.+moving)|(\|lc)|(penalty))"</v>
      </c>
      <c r="AG254" s="244" t="str">
        <f>DetSubdiv(A254)</f>
        <v>Shuttle/Test</v>
      </c>
      <c r="AH254" s="236" t="str">
        <f t="shared" si="83"/>
        <v>"%USERPROFILE%\Documents\GitHub\eaglep3\Utilities\RefineRTDCRunTimes.py" --tripid 75-11 --locoid 4020 --swversion DE.1.0.9.0 --startMP 204:1158 --initTime 2018-01-11T10:26:00 --startdatetime 2018-01-11T10:32:01 --delay 65 --endMP 204:3493 --enddatetime 2018-01-11T10:33:33 --enforcementcount 0 &gt;&gt;%USERPROFILE%\Documents\GitHub\eaglep3-reporting\EC\2018-01-11-refined-times.txt</v>
      </c>
      <c r="AI254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0.3493"},{"id":17,"name":"Train ID","value":"75-11"},{"id":16,"name":"Locomotive ID","value":"4020"},{"id":130,"name":"Impact","value":""},{"id":150,"name":"Time of Event (Mountain Time)","value":"10:33:33"},{"id":151,"name":"Denver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4" s="231"/>
      <c r="AL254" s="231"/>
      <c r="AM254" s="240" t="str">
        <f t="shared" si="85"/>
        <v>start /low /b %USERPROFILE%\Documents\GitHub\eaglep3\Utilities\DownloadLogsFromS3.py --loco 4020 --day 2018-01-11</v>
      </c>
      <c r="AN254" s="241" t="str">
        <f t="shared" si="86"/>
        <v>echo {"issue":{"subject":"","project_id":30,"tracker_id":4,"status_id":1,"priority_id":1,"assigned_to_id":10,"start_date":"2018-01-11","description":"","custom_fields":[{"id":30,"name":"Category","value":"Issue"},{"id":3,"name":"Functional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UTC","value":"2018-01-11 17:33:33"},{"id":29,"name":"Sharepoint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 s="230" t="str">
        <f t="shared" si="87"/>
        <v>https://d0f6bd738d7f1b3e5a7ca70fe4ff75f0.us-east-1.aws.found.io/app/kibana#/discover/Steve-Slow-Train-Analysis-(2080s-and-2083s)?_g=(refreshInterval:(display:Off,pause:!f,section:0,value:0),time:(from:'2018-01-11T09:26:00-0700',mode:absolute,to:'2018-01-11T11:33:33-0700'))&amp;_a=(columns:!('Message%20ID',Summary),filters:!(),index:'emp_*',interval:auto,query:(query_string:(analyze_wildcard:!t,query:'%22rtdc.l.rtdc.4020%22')),sort:!(Time.ISO8601,asc))</v>
      </c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23" customFormat="1" x14ac:dyDescent="0.3">
      <c r="A255" s="229" t="s">
        <v>766</v>
      </c>
      <c r="B255" s="225">
        <v>4054</v>
      </c>
      <c r="C255" s="227" t="s">
        <v>191</v>
      </c>
      <c r="D255" s="227" t="s">
        <v>1052</v>
      </c>
      <c r="E255" s="226">
        <v>43111.684363425928</v>
      </c>
      <c r="F255" s="226">
        <v>43111.690462962964</v>
      </c>
      <c r="G255" s="225">
        <v>391</v>
      </c>
      <c r="H255" s="227" t="s">
        <v>1047</v>
      </c>
      <c r="I255" s="226">
        <v>43111.718275462961</v>
      </c>
      <c r="J255" s="225">
        <v>0</v>
      </c>
      <c r="K255" s="237" t="str">
        <f>IF(ISEVEN(B255),(B255-1)&amp;"/"&amp;B255,B255&amp;"/"&amp;(B255+1))</f>
        <v>4053/4054</v>
      </c>
      <c r="L255" s="245" t="str">
        <f>VLOOKUP(A255,'Trips&amp;Operators'!$C$1:$G$99911,5,FALSE)</f>
        <v>ROCHA YAOTL</v>
      </c>
      <c r="M255" s="224">
        <f>I255-F255</f>
        <v>2.7812499996798579E-2</v>
      </c>
      <c r="N255" s="225">
        <f>24*60*SUM($M255:$M255)</f>
        <v>40.049999995389953</v>
      </c>
      <c r="O255" s="225"/>
      <c r="P255" s="225"/>
      <c r="Q255" s="228"/>
      <c r="R255" s="242"/>
      <c r="S255" s="249">
        <f>1/IF(AG255="EC",12,1)*SUM(U255:U255)</f>
        <v>1</v>
      </c>
      <c r="T255" s="242" t="str">
        <f>IF(ISEVEN(LEFT(AD255,4)),"Southbound","NorthBound")</f>
        <v>NorthBound</v>
      </c>
      <c r="U255" s="246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1</v>
      </c>
      <c r="V255" s="248" t="str">
        <f>"https://d0f6bd738d7f1b3e5a7ca70fe4ff75f0.us-east-1.aws.found.io/app/kibana#/discover/Steve-Slow-Train-Analysis-(2080s-and-2083s)?_g="&amp;"(refreshInterval:(display:Off,pause:!f,section:0,value:0),time:(from:'"&amp;TEXT(E255-1/24,"yyyy-MM-DDThh:mm:ss")&amp;utc_offset&amp;"00"&amp;"',mode:absolute,to:'"&amp;TEXT(I255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255&amp;"%22')),sort:!(Time.ISO8601,asc))"</f>
        <v>https://d0f6bd738d7f1b3e5a7ca70fe4ff75f0.us-east-1.aws.found.io/app/kibana#/discover/Steve-Slow-Train-Analysis-(2080s-and-2083s)?_g=(refreshInterval:(display:Off,pause:!f,section:0,value:0),time:(from:'2018-01-11T15:25:29-0700',mode:absolute,to:'2018-01-11T18:14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5" s="247" t="str">
        <f>IF(AA255&lt;VLOOKUP(AG255,Variables!$AC$3:$AD$8,2,FALSE),"Y","N")</f>
        <v>Y</v>
      </c>
      <c r="X255" s="247">
        <f>VALUE(LEFT(AD255,4))-VALUE(LEFT(AD254,4))</f>
        <v>0</v>
      </c>
      <c r="Y255" s="247">
        <f>RIGHT(D255,LEN(D255)-4)/10000</f>
        <v>0.14979999999999999</v>
      </c>
      <c r="Z255" s="247">
        <f>RIGHT(H255,LEN(H255)-4)/10000</f>
        <v>2.3296999999999999</v>
      </c>
      <c r="AA255" s="247">
        <f>ABS(Z255-Y255)</f>
        <v>2.1798999999999999</v>
      </c>
      <c r="AB255" s="233" t="e">
        <f>VLOOKUP(A255,Enforcements!$C$7:$K$9,8,0)</f>
        <v>#N/A</v>
      </c>
      <c r="AC255" s="232" t="e">
        <f>VLOOKUP(A255,Enforcements!$C$7:$E$9,3,0)</f>
        <v>#N/A</v>
      </c>
      <c r="AD255" s="243">
        <f>VALUE(LEFT(A255,LEN(A255)-3))</f>
        <v>75</v>
      </c>
      <c r="AE255" s="235" t="str">
        <f>"aws s3 cp "&amp;s3_bucket&amp;"/RTDC"&amp;B255&amp;"/ "&amp;search_path&amp;"\RTDC"&amp;B255&amp;"\"&amp;TEXT(F255,"YYYY-MM-DD")&amp;" --exclude ""*"" --recursive --include ""*"&amp;TEXT(F255,"YYYYMMDD")&amp;"*"" &amp; """&amp;walkandungz&amp;""" "&amp;search_path&amp;"\RTDC"&amp;B255&amp;"\"&amp;TEXT(F255,"YYYY-MM-DD")
&amp;" &amp; "&amp;"aws s3 cp "&amp;s3_bucket&amp;"/RTDC"&amp;B255&amp;"/ "&amp;search_path&amp;"\RTDC"&amp;B255&amp;"\"&amp;TEXT(F255+1,"YYYY-MM-DD")&amp;" --exclude ""*"" --recursive --include ""*"&amp;TEXT(F255+1,"YYYYMMDD")&amp;"*"" &amp; """&amp;walkandungz&amp;""" "&amp;search_path&amp;"\RTDC"&amp;B255&amp;"\"&amp;TEXT(F255+1,"YYYY-MM-DD")</f>
        <v>aws s3 cp s3://rtdc.mdm.uploadarchive.raw/RTDC4054/ "%USERPROFILE%\AppData\Local\Temp\OnboardLogs"\RTDC4054\2018-01-11 --exclude "*" --recursive --include "*20180111*" &amp; "%USERPROFILE%\Documents\GitHub\mrs-test-scripts\Headless Mode &amp; Sideloading\WalkAndUnGZ.bat" "%USERPROFILE%\AppData\Local\Temp\OnboardLogs"\RTDC4054\2018-01-11 &amp; aws s3 cp s3://rtdc.mdm.uploadarchive.raw/RTDC4054/ "%USERPROFILE%\AppData\Local\Temp\OnboardLogs"\RTDC4054\2018-01-12 --exclude "*" --recursive --include "*20180112*" &amp; "%USERPROFILE%\Documents\GitHub\mrs-test-scripts\Headless Mode &amp; Sideloading\WalkAndUnGZ.bat" "%USERPROFILE%\AppData\Local\Temp\OnboardLogs"\RTDC4054\2018-01-12</v>
      </c>
      <c r="AF255" s="234" t="str">
        <f>astrogrep_path&amp;" /e /r /s /spath="&amp;search_path&amp;" /stypes=""app*"&amp;B255&amp;"*"&amp;TEXT(I255-utc_offset/24,"YYYYMMDD")&amp;"*"" /stext="" "&amp;TEXT(I255-utc_offset/24,"HH")&amp;search_regexp&amp;""""</f>
        <v>"C:\Program Files (x86)\AstroGrep\AstroGrep.exe" /e /r /s /spath="%USERPROFILE%\AppData\Local\Temp\OnboardLogs" /stypes="app*4054*20180112*" /stext=" 00:.+((SYSTEM_STATE.+slice.+state.+changed )|(ment ac)|(multiple cpu faults)|(system.+state.+changed )|(\[timeout)|(PRM\|1\|D)|(kpr)|(kdp)|(train st.+moving)|(\|lc)|(penalty))"</v>
      </c>
      <c r="AG255" s="244" t="str">
        <f>DetSubdiv(A255)</f>
        <v>Shuttle/Test</v>
      </c>
      <c r="AH255" s="236" t="str">
        <f t="shared" si="83"/>
        <v>"%USERPROFILE%\Documents\GitHub\eaglep3\Utilities\RefineRTDCRunTimes.py" --tripid 75-11 --locoid 4054 --swversion DE.1.0.9.0 --startMP 204:1498 --initTime 2018-01-11T16:25:29 --startdatetime 2018-01-11T16:34:16 --delay 391 --endMP 300:23297 --enddatetime 2018-01-11T17:14:19 --enforcementcount 0 &gt;&gt;%USERPROFILE%\Documents\GitHub\eaglep3-reporting\EC\2018-01-11-refined-times.txt</v>
      </c>
      <c r="AI255" s="238" t="str">
        <f t="shared" si="84"/>
        <v>echo {"issue":{"subject":"","project_id":79,"tracker_id":40,"status_id":1,"priority_id":2,"assigned_to_id":338,"start_date":"2018-01-11","description":"","custom_fields":[{"id":1,"name":"Subdivision","value":"Shuttle/Test"},{"id":4,"name":"Milepost","value":"2.3297"},{"id":17,"name":"Train ID","value":"75-11"},{"id":16,"name":"Locomotive ID","value":"4054"},{"id":130,"name":"Impact","value":""},{"id":150,"name":"Time of Event (Mountain Time)","value":"17:14:19"},{"id":151,"name":"Denver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55" s="231"/>
      <c r="AL255" s="231"/>
      <c r="AM255" s="240" t="str">
        <f t="shared" si="85"/>
        <v>start /low /b %USERPROFILE%\Documents\GitHub\eaglep3\Utilities\DownloadLogsFromS3.py --loco 4054 --day 2018-01-11</v>
      </c>
      <c r="AN255" s="241" t="str">
        <f t="shared" si="86"/>
        <v>echo {"issue":{"subject":"","project_id":30,"tracker_id":4,"status_id":1,"priority_id":1,"assigned_to_id":10,"start_date":"2018-01-12","description":"","custom_fields":[{"id":30,"name":"Category","value":"Issue"},{"id":3,"name":"Functional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UTC","value":"2018-01-12 00:14:19"},{"id":29,"name":"Sharepoint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 s="230" t="str">
        <f t="shared" si="87"/>
        <v>https://d0f6bd738d7f1b3e5a7ca70fe4ff75f0.us-east-1.aws.found.io/app/kibana#/discover/Steve-Slow-Train-Analysis-(2080s-and-2083s)?_g=(refreshInterval:(display:Off,pause:!f,section:0,value:0),time:(from:'2018-01-11T15:25:29-0700',mode:absolute,to:'2018-01-11T18:14:19-0700'))&amp;_a=(columns:!('Message%20ID',Summary),filters:!(),index:'emp_*',interval:auto,query:(query_string:(analyze_wildcard:!t,query:'%22rtdc.l.rtdc.4054%22')),sort:!(Time.ISO8601,asc))</v>
      </c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23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23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23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23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23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23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23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23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23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23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23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23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23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23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23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23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s="20" customFormat="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s="20" customFormat="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s="20" customFormat="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s="20" customFormat="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s="20" customFormat="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s="20" customFormat="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s="20" customFormat="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s="20" customForma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s="20" customFormat="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s="20" customForma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s="20" customFormat="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s="20" customFormat="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s="20" customFormat="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:91" s="20" customForma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s="20" customFormat="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s="20" customFormat="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:91" s="20" customFormat="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:91" s="20" customForma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s="20" customFormat="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s="20" customFormat="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s="20" customFormat="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:91" s="20" customFormat="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s="20" customFormat="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:91" s="20" customFormat="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s="20" customFormat="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s="20" customFormat="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s="20" customFormat="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:9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s="20" customFormat="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s="20" customFormat="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:91" s="20" customFormat="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s="20" customFormat="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s="20" customFormat="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:91" s="20" customFormat="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:91" s="20" customFormat="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s="20" customFormat="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:91" s="20" customFormat="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:91" s="20" customFormat="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:9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  <row r="521" spans="1:91" s="20" customFormat="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:91" s="20" customFormat="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:91" s="20" customFormat="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:91" s="20" customFormat="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M526"/>
      <c r="AO526"/>
    </row>
    <row r="527" spans="1:91" s="20" customFormat="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s="20" customFormat="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:91" s="20" customFormat="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:91" s="20" customFormat="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:9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s="20" customFormat="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s="20" customFormat="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:91" s="20" customFormat="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:9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M543"/>
      <c r="AO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91" s="20" customFormat="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:9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9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M547"/>
      <c r="AO547"/>
    </row>
    <row r="548" spans="1:9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9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9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9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9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9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9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9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91" s="20" customFormat="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:9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9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9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  <row r="560" spans="1:9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M560"/>
      <c r="AO560"/>
    </row>
    <row r="561" spans="1:9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M561"/>
      <c r="AO561"/>
    </row>
    <row r="562" spans="1:91" s="20" customFormat="1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:91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M563"/>
      <c r="AO563"/>
    </row>
    <row r="564" spans="1:91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M564"/>
      <c r="AO564"/>
    </row>
    <row r="565" spans="1:91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M565"/>
      <c r="AO565"/>
    </row>
    <row r="566" spans="1:91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M566"/>
      <c r="AO566"/>
    </row>
    <row r="567" spans="1:91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M567"/>
      <c r="AO567"/>
    </row>
    <row r="568" spans="1:91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M568"/>
      <c r="AO568"/>
    </row>
    <row r="569" spans="1:91" x14ac:dyDescent="0.3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M569"/>
      <c r="AO569"/>
    </row>
    <row r="570" spans="1:91" x14ac:dyDescent="0.3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M570"/>
      <c r="AO570"/>
    </row>
    <row r="571" spans="1:91" x14ac:dyDescent="0.3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M571"/>
      <c r="AO571"/>
    </row>
    <row r="572" spans="1:91" x14ac:dyDescent="0.3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M572"/>
      <c r="AO572"/>
    </row>
    <row r="573" spans="1:91" x14ac:dyDescent="0.3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M573"/>
      <c r="AO573"/>
    </row>
    <row r="574" spans="1:91" x14ac:dyDescent="0.3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M574"/>
      <c r="AO574"/>
    </row>
    <row r="575" spans="1:91" x14ac:dyDescent="0.3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M575"/>
      <c r="AO575"/>
    </row>
    <row r="576" spans="1:91" x14ac:dyDescent="0.3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M576"/>
      <c r="AO576"/>
    </row>
    <row r="577" spans="1:91" x14ac:dyDescent="0.3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M577"/>
      <c r="AO577"/>
    </row>
    <row r="578" spans="1:91" x14ac:dyDescent="0.3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M578"/>
      <c r="AO578"/>
    </row>
    <row r="579" spans="1:91" s="20" customFormat="1" x14ac:dyDescent="0.3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:91" x14ac:dyDescent="0.3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M580"/>
      <c r="AO580"/>
    </row>
    <row r="581" spans="1:91" x14ac:dyDescent="0.3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M581"/>
      <c r="AO581"/>
    </row>
    <row r="582" spans="1:91" x14ac:dyDescent="0.3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M582"/>
      <c r="AO582"/>
    </row>
    <row r="583" spans="1:91" s="20" customFormat="1" x14ac:dyDescent="0.3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:91" x14ac:dyDescent="0.3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M584"/>
      <c r="AO584"/>
    </row>
    <row r="585" spans="1:91" x14ac:dyDescent="0.3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M585"/>
      <c r="AO585"/>
    </row>
    <row r="586" spans="1:91" x14ac:dyDescent="0.3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M586"/>
      <c r="AO586"/>
    </row>
    <row r="587" spans="1:91" x14ac:dyDescent="0.3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M587"/>
      <c r="AO587"/>
    </row>
    <row r="588" spans="1:91" x14ac:dyDescent="0.3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M588"/>
      <c r="AO588"/>
    </row>
    <row r="589" spans="1:91" x14ac:dyDescent="0.3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M589"/>
      <c r="AO589"/>
    </row>
    <row r="590" spans="1:91" x14ac:dyDescent="0.3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M590"/>
      <c r="AO590"/>
    </row>
    <row r="591" spans="1:91" x14ac:dyDescent="0.3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M591"/>
      <c r="AO591"/>
    </row>
    <row r="592" spans="1:91" x14ac:dyDescent="0.3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M592"/>
      <c r="AO592"/>
    </row>
    <row r="593" spans="1:41" x14ac:dyDescent="0.3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M593"/>
      <c r="AO593"/>
    </row>
    <row r="594" spans="1:41" x14ac:dyDescent="0.3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M594"/>
      <c r="AO594"/>
    </row>
    <row r="595" spans="1:41" x14ac:dyDescent="0.3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M595"/>
      <c r="AO595"/>
    </row>
    <row r="596" spans="1:41" x14ac:dyDescent="0.3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M596"/>
      <c r="AO596"/>
    </row>
    <row r="597" spans="1:41" x14ac:dyDescent="0.3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M597"/>
      <c r="AO597"/>
    </row>
    <row r="598" spans="1:41" x14ac:dyDescent="0.3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M598"/>
      <c r="AO598"/>
    </row>
    <row r="599" spans="1:41" x14ac:dyDescent="0.3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M599"/>
      <c r="AO599"/>
    </row>
    <row r="600" spans="1:41" x14ac:dyDescent="0.3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M600"/>
      <c r="AO600"/>
    </row>
    <row r="601" spans="1:41" x14ac:dyDescent="0.3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M601"/>
      <c r="AO601"/>
    </row>
    <row r="602" spans="1:41" x14ac:dyDescent="0.3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M602"/>
      <c r="AO602"/>
    </row>
    <row r="603" spans="1:41" x14ac:dyDescent="0.3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M603"/>
      <c r="AO603"/>
    </row>
    <row r="604" spans="1:41" x14ac:dyDescent="0.3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M604"/>
      <c r="AO604"/>
    </row>
  </sheetData>
  <autoFilter ref="A12:AG599">
    <sortState ref="A13:AG599">
      <sortCondition ref="AG13:AG255"/>
      <sortCondition ref="AD13:AD255"/>
    </sortState>
  </autoFilter>
  <sortState ref="A13:AN504">
    <sortCondition ref="AG13:AG504"/>
    <sortCondition ref="AD13:AD504"/>
  </sortState>
  <mergeCells count="1">
    <mergeCell ref="A11:P11"/>
  </mergeCells>
  <conditionalFormatting sqref="W11:W12 W605:X1048576 W13:X255">
    <cfRule type="cellIs" dxfId="10" priority="479" operator="equal">
      <formula>"Y"</formula>
    </cfRule>
  </conditionalFormatting>
  <conditionalFormatting sqref="X605:X1048576 X13:X255">
    <cfRule type="cellIs" dxfId="9" priority="462" operator="greaterThan">
      <formula>1</formula>
    </cfRule>
  </conditionalFormatting>
  <conditionalFormatting sqref="X605:X1048576 X12:X255">
    <cfRule type="cellIs" dxfId="8" priority="459" operator="equal">
      <formula>0</formula>
    </cfRule>
  </conditionalFormatting>
  <conditionalFormatting sqref="A13:S255">
    <cfRule type="expression" dxfId="7" priority="453" stopIfTrue="1">
      <formula>$P13&gt;0</formula>
    </cfRule>
    <cfRule type="expression" dxfId="6" priority="45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A13:S255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AK13:AK255</xm:sqref>
        </x14:dataValidation>
        <x14:dataValidation type="list" allowBlank="1" showInputMessage="1" showErrorMessage="1">
          <x14:formula1>
            <xm:f>'Redmine List Values'!$C$2:$C$15</xm:f>
          </x14:formula1>
          <xm:sqref>AL13:AL255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44"/>
  <sheetViews>
    <sheetView topLeftCell="A2" zoomScaleNormal="100" workbookViewId="0">
      <selection activeCell="A2" sqref="A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COUNTIF($O$7:$O$85,"=Y")</f>
        <v>18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COUNTA($O$7:$O$85)-O2</f>
        <v>20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- 2018-01-11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342</v>
      </c>
      <c r="X6" s="180" t="s">
        <v>335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186</v>
      </c>
    </row>
    <row r="7" spans="1:32" s="1" customFormat="1" x14ac:dyDescent="0.3">
      <c r="A7" s="31">
        <v>43111.507615740738</v>
      </c>
      <c r="B7" s="30" t="s">
        <v>660</v>
      </c>
      <c r="C7" s="30" t="s">
        <v>661</v>
      </c>
      <c r="D7" s="30" t="s">
        <v>95</v>
      </c>
      <c r="E7" s="30" t="s">
        <v>504</v>
      </c>
      <c r="F7" s="42">
        <v>0</v>
      </c>
      <c r="G7" s="42">
        <v>155</v>
      </c>
      <c r="H7" s="42">
        <v>30850</v>
      </c>
      <c r="I7" s="42">
        <v>31033</v>
      </c>
      <c r="J7" s="30" t="s">
        <v>183</v>
      </c>
      <c r="K7" s="42">
        <v>30830</v>
      </c>
      <c r="L7" s="131" t="s">
        <v>50</v>
      </c>
      <c r="M7" s="132">
        <f>CONVERT((I7-K7)/10000,"mi","ft")*IF(L7="Increasing Mileposts (1)",-1,1)</f>
        <v>-107.184</v>
      </c>
      <c r="N7" s="133" t="str">
        <f>VLOOKUP(C7,'Trips&amp;Operators'!$C$1:$G$99911,5,FALSE)</f>
        <v>ROBINSON KADDIBA</v>
      </c>
      <c r="O7" s="175" t="s">
        <v>178</v>
      </c>
      <c r="P7" s="239" t="s">
        <v>506</v>
      </c>
      <c r="Q7" s="30"/>
      <c r="R7" s="81" t="str">
        <f>VLOOKUP(C7,'Train Runs'!$A$13:$AE$10258,31,0)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S7" s="84" t="str">
        <f>VLOOKUP(C7,'Train Runs'!$A$13:$AE$10258,22,0)</f>
        <v>https://d0f6bd738d7f1b3e5a7ca70fe4ff75f0.us-east-1.aws.found.io/app/kibana#/discover/Steve-Slow-Train-Analysis-(2080s-and-2083s)?_g=(refreshInterval:(display:Off,pause:!f,section:0,value:0),time:(from:'2018-01-11T11:05:33-0700',mode:absolute,to:'2018-01-11T13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/stypes="*4034*201801111*" /stext=" 19:.+((SYSTEM_STATE.+slice.+state.+changed )|(ment ac)|(multiple cpu faults)|(system.+state.+changed )|(\[timeout)|(PRM\|1\|D)|(kpr)|(kdp)|(train st.+moving)|(\|lc)|(penalty))"</v>
      </c>
      <c r="U7" s="9" t="str">
        <f>MID(B7,13,4)</f>
        <v>4034</v>
      </c>
      <c r="V7" s="31">
        <f>A7-utc_offset/24</f>
        <v>43111.799282407403</v>
      </c>
      <c r="W7" s="45" t="str">
        <f>DetSubdiv(C7)</f>
        <v>EC</v>
      </c>
      <c r="X7" s="22">
        <f>VALUE(LEFT(C7,LEN(C7)-3))</f>
        <v>167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Arrival","project_id":79,"tracker_id":40,"status_id":1,"priority_id":2,"assigned_to_id":338,"start_date":"2018-01-11","description":"","custom_fields":[{"id":1,"name":"Subdivision","value":"EC"},{"id":4,"name":"Milepost","value":"3.083"},{"id":17,"name":"Train ID","value":"167-11"},{"id":16,"name":"Locomotive ID","value":"4034"},{"id":130,"name":"Impact","value":""},{"id":150,"name":"Time of Event (Mountain Time)","value":"12:10:58"},{"id":151,"name":"Denver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/c/Users/stu/AppData/Local/Temp/OnboardLogs/RTDC4034 --include="*4034*201801111*"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"%USERPROFILE%\AppData\Local\Temp\OnboardLogs"\RTDC4034\*4034*201801111* &gt;&gt; 2018-01-11-SliceDisagreementCheck.txt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4034 --day 2018-01-11</v>
      </c>
    </row>
    <row r="8" spans="1:32" x14ac:dyDescent="0.3">
      <c r="A8" s="31">
        <v>43111.552083333336</v>
      </c>
      <c r="B8" s="30" t="s">
        <v>658</v>
      </c>
      <c r="C8" s="30" t="s">
        <v>665</v>
      </c>
      <c r="D8" s="30" t="s">
        <v>49</v>
      </c>
      <c r="E8" s="30" t="s">
        <v>504</v>
      </c>
      <c r="F8" s="42">
        <v>150</v>
      </c>
      <c r="G8" s="42">
        <v>205</v>
      </c>
      <c r="H8" s="42">
        <v>31406</v>
      </c>
      <c r="I8" s="42">
        <v>31046</v>
      </c>
      <c r="J8" s="30" t="s">
        <v>183</v>
      </c>
      <c r="K8" s="42">
        <v>30970</v>
      </c>
      <c r="L8" s="131" t="s">
        <v>51</v>
      </c>
      <c r="M8" s="132">
        <f>CONVERT((I8-K8)/10000,"mi","ft")*IF(L8="Increasing Mileposts (1)",-1,1)</f>
        <v>40.128</v>
      </c>
      <c r="N8" s="133" t="str">
        <f>VLOOKUP(C8,'Trips&amp;Operators'!$C$1:$G$99911,5,FALSE)</f>
        <v>LEVIN SCOTT</v>
      </c>
      <c r="O8" s="175" t="s">
        <v>178</v>
      </c>
      <c r="P8" s="239" t="s">
        <v>506</v>
      </c>
      <c r="Q8" s="30"/>
      <c r="R8" s="81" t="str">
        <f>VLOOKUP(C8,'Train Runs'!$A$13:$AE$10258,31,0)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S8" s="84" t="str">
        <f>VLOOKUP(C8,'Train Runs'!$A$13:$AE$10258,22,0)</f>
        <v>https://d0f6bd738d7f1b3e5a7ca70fe4ff75f0.us-east-1.aws.found.io/app/kibana#/discover/Steve-Slow-Train-Analysis-(2080s-and-2083s)?_g=(refreshInterval:(display:Off,pause:!f,section:0,value:0),time:(from:'2018-01-11T11:34:36-0700',mode:absolute,to:'2018-01-11T14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/stypes="*4041*201801112*" /stext=" 20:.+((SYSTEM_STATE.+slice.+state.+changed )|(ment ac)|(multiple cpu faults)|(system.+state.+changed )|(\[timeout)|(PRM\|1\|D)|(kpr)|(kdp)|(train st.+moving)|(\|lc)|(penalty))"</v>
      </c>
      <c r="U8" s="9" t="str">
        <f>MID(B8,13,4)</f>
        <v>4041</v>
      </c>
      <c r="V8" s="31">
        <f>A8-utc_offset/24</f>
        <v>43111.84375</v>
      </c>
      <c r="W8" s="45" t="str">
        <f>DetSubdiv(C8)</f>
        <v>EC</v>
      </c>
      <c r="X8" s="228">
        <f>VALUE(LEFT(C8,LEN(C8)-3))</f>
        <v>166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Arrival","project_id":79,"tracker_id":40,"status_id":1,"priority_id":2,"assigned_to_id":338,"start_date":"2018-01-11","description":"","custom_fields":[{"id":1,"name":"Subdivision","value":"EC"},{"id":4,"name":"Milepost","value":"3.097"},{"id":17,"name":"Train ID","value":"166-11"},{"id":16,"name":"Locomotive ID","value":"4041"},{"id":130,"name":"Impact","value":""},{"id":150,"name":"Time of Event (Mountain Time)","value":"13:15:00"},{"id":151,"name":"Denver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/c/Users/stu/AppData/Local/Temp/OnboardLogs/RTDC4041 --include="*4041*201801112*"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"%USERPROFILE%\AppData\Local\Temp\OnboardLogs"\RTDC4041\*4041*201801112* &gt;&gt; 2018-01-11-SliceDisagreementCheck.txt</v>
      </c>
      <c r="AE8" s="144" t="str">
        <f t="shared" ref="AE8:AE44" si="1">"start /low /b "&amp;dls3logs&amp;" --loco "&amp;U8&amp;" --day "&amp;TEXT(V8,"YYYY-MM-DD")</f>
        <v>start /low /b %USERPROFILE%\Documents\GitHub\eaglep3\Utilities\DownloadLogsFromS3.py --loco 4041 --day 2018-01-11</v>
      </c>
      <c r="AF8" s="1"/>
    </row>
    <row r="9" spans="1:32" x14ac:dyDescent="0.3">
      <c r="A9" s="31">
        <v>43111.183032407411</v>
      </c>
      <c r="B9" s="30" t="s">
        <v>468</v>
      </c>
      <c r="C9" s="30" t="s">
        <v>648</v>
      </c>
      <c r="D9" s="30" t="s">
        <v>95</v>
      </c>
      <c r="E9" s="30" t="s">
        <v>504</v>
      </c>
      <c r="F9" s="42">
        <v>380</v>
      </c>
      <c r="G9" s="42">
        <v>437</v>
      </c>
      <c r="H9" s="42">
        <v>33242</v>
      </c>
      <c r="I9" s="42">
        <v>34663</v>
      </c>
      <c r="J9" s="30" t="s">
        <v>183</v>
      </c>
      <c r="K9" s="42">
        <v>33137</v>
      </c>
      <c r="L9" s="131" t="s">
        <v>50</v>
      </c>
      <c r="M9" s="132">
        <f>CONVERT((I9-K9)/10000,"mi","ft")*IF(L9="Increasing Mileposts (1)",-1,1)</f>
        <v>-805.72799999999995</v>
      </c>
      <c r="N9" s="133" t="str">
        <f>VLOOKUP(C9,'Trips&amp;Operators'!$C$1:$G$99911,5,FALSE)</f>
        <v>BONDS REYNALDO</v>
      </c>
      <c r="O9" s="175" t="s">
        <v>178</v>
      </c>
      <c r="P9" s="239" t="s">
        <v>506</v>
      </c>
      <c r="Q9" s="30"/>
      <c r="R9" s="81" t="str">
        <f>VLOOKUP(C9,'Train Runs'!$A$13:$AE$10258,31,0)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S9" s="84" t="str">
        <f>VLOOKUP(C9,'Train Runs'!$A$13:$AE$10258,22,0)</f>
        <v>https://d0f6bd738d7f1b3e5a7ca70fe4ff75f0.us-east-1.aws.found.io/app/kibana#/discover/Steve-Slow-Train-Analysis-(2080s-and-2083s)?_g=(refreshInterval:(display:Off,pause:!f,section:0,value:0),time:(from:'2018-01-11T03:04:29-0700',mode:absolute,to:'2018-01-11T05:51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/stypes="*4056*201801111*" /stext=" 11:.+((SYSTEM_STATE.+slice.+state.+changed )|(ment ac)|(multiple cpu faults)|(system.+state.+changed )|(\[timeout)|(PRM\|1\|D)|(kpr)|(kdp)|(train st.+moving)|(\|lc)|(penalty))"</v>
      </c>
      <c r="U9" s="9" t="str">
        <f>MID(B9,13,4)</f>
        <v>4056</v>
      </c>
      <c r="V9" s="31">
        <f>A9-utc_offset/24</f>
        <v>43111.474699074075</v>
      </c>
      <c r="W9" s="45" t="str">
        <f>DetSubdiv(C9)</f>
        <v>EC</v>
      </c>
      <c r="X9" s="228">
        <f>VALUE(LEFT(C9,LEN(C9)-3))</f>
        <v>105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Arrival","project_id":79,"tracker_id":40,"status_id":1,"priority_id":2,"assigned_to_id":338,"start_date":"2018-01-11","description":"","custom_fields":[{"id":1,"name":"Subdivision","value":"EC"},{"id":4,"name":"Milepost","value":"3.3137"},{"id":17,"name":"Train ID","value":"105-11"},{"id":16,"name":"Locomotive ID","value":"4056"},{"id":130,"name":"Impact","value":""},{"id":150,"name":"Time of Event (Mountain Time)","value":"04:23:34"},{"id":151,"name":"Denver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/c/Users/stu/AppData/Local/Temp/OnboardLogs/RTDC4056 --include="*4056*201801111*"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"%USERPROFILE%\AppData\Local\Temp\OnboardLogs"\RTDC4056\*4056*201801111* &gt;&gt; 2018-01-11-SliceDisagreementCheck.txt</v>
      </c>
      <c r="AE9" s="144" t="str">
        <f t="shared" si="1"/>
        <v>start /low /b %USERPROFILE%\Documents\GitHub\eaglep3\Utilities\DownloadLogsFromS3.py --loco 4056 --day 2018-01-11</v>
      </c>
      <c r="AF9" s="1"/>
    </row>
    <row r="10" spans="1:32" x14ac:dyDescent="0.3">
      <c r="A10" s="31">
        <v>43111.533495370371</v>
      </c>
      <c r="B10" s="30" t="s">
        <v>448</v>
      </c>
      <c r="C10" s="30" t="s">
        <v>664</v>
      </c>
      <c r="D10" s="30" t="s">
        <v>49</v>
      </c>
      <c r="E10" s="30" t="s">
        <v>504</v>
      </c>
      <c r="F10" s="42">
        <v>450</v>
      </c>
      <c r="G10" s="42">
        <v>501</v>
      </c>
      <c r="H10" s="42">
        <v>62029</v>
      </c>
      <c r="I10" s="42">
        <v>63355</v>
      </c>
      <c r="J10" s="30" t="s">
        <v>183</v>
      </c>
      <c r="K10" s="42">
        <v>63069</v>
      </c>
      <c r="L10" s="131" t="s">
        <v>50</v>
      </c>
      <c r="M10" s="132">
        <f>CONVERT((I10-K10)/10000,"mi","ft")*IF(L10="Increasing Mileposts (1)",-1,1)</f>
        <v>-151.00800000000001</v>
      </c>
      <c r="N10" s="133" t="str">
        <f>VLOOKUP(C10,'Trips&amp;Operators'!$C$1:$G$99911,5,FALSE)</f>
        <v>BADERTSCHER DIANE</v>
      </c>
      <c r="O10" s="175" t="s">
        <v>178</v>
      </c>
      <c r="P10" s="239" t="s">
        <v>506</v>
      </c>
      <c r="Q10" s="30"/>
      <c r="R10" s="81" t="str">
        <f>VLOOKUP(C10,'Train Runs'!$A$13:$AE$10258,31,0)</f>
        <v>aws s3 cp s3://rtdc.mdm.uploadarchive.raw/RTDC4020/ "%USERPROFILE%\AppData\Local\Temp\OnboardLogs"\RTDC4020\2018-01-11 --exclude "*" --recursive --include "*20180111*" &amp; "%USERPROFILE%\Documents\GitHub\mrs-test-scripts\Headless Mode &amp; Sideloading\WalkAndUnGZ.bat" "%USERPROFILE%\AppData\Local\Temp\OnboardLogs"\RTDC4020\2018-01-11 &amp; aws s3 cp s3://rtdc.mdm.uploadarchive.raw/RTDC4020/ "%USERPROFILE%\AppData\Local\Temp\OnboardLogs"\RTDC4020\2018-01-12 --exclude "*" --recursive --include "*20180112*" &amp; "%USERPROFILE%\Documents\GitHub\mrs-test-scripts\Headless Mode &amp; Sideloading\WalkAndUnGZ.bat" "%USERPROFILE%\AppData\Local\Temp\OnboardLogs"\RTDC4020\2018-01-12</v>
      </c>
      <c r="S10" s="84" t="str">
        <f>VLOOKUP(C10,'Train Runs'!$A$13:$AE$10258,22,0)</f>
        <v>https://d0f6bd738d7f1b3e5a7ca70fe4ff75f0.us-east-1.aws.found.io/app/kibana#/discover/Steve-Slow-Train-Analysis-(2080s-and-2083s)?_g=(refreshInterval:(display:Off,pause:!f,section:0,value:0),time:(from:'2018-01-11T11:30:07-0700',mode:absolute,to:'2018-01-11T14:11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/stypes="*4020*201801111*" /stext=" 19:.+((SYSTEM_STATE.+slice.+state.+changed )|(ment ac)|(multiple cpu faults)|(system.+state.+changed )|(\[timeout)|(PRM\|1\|D)|(kpr)|(kdp)|(train st.+moving)|(\|lc)|(penalty))"</v>
      </c>
      <c r="U10" s="9" t="str">
        <f>MID(B10,13,4)</f>
        <v>4020</v>
      </c>
      <c r="V10" s="31">
        <f>A10-utc_offset/24</f>
        <v>43111.825162037036</v>
      </c>
      <c r="W10" s="45" t="str">
        <f>DetSubdiv(C10)</f>
        <v>EC</v>
      </c>
      <c r="X10" s="228">
        <f>VALUE(LEFT(C10,LEN(C10)-3))</f>
        <v>171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Arrival","project_id":79,"tracker_id":40,"status_id":1,"priority_id":2,"assigned_to_id":338,"start_date":"2018-01-11","description":"","custom_fields":[{"id":1,"name":"Subdivision","value":"EC"},{"id":4,"name":"Milepost","value":"6.3069"},{"id":17,"name":"Train ID","value":"171-11"},{"id":16,"name":"Locomotive ID","value":"4020"},{"id":130,"name":"Impact","value":""},{"id":150,"name":"Time of Event (Mountain Time)","value":"12:48:14"},{"id":151,"name":"Denver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/c/Users/stu/AppData/Local/Temp/OnboardLogs/RTDC4020 --include="*4020*201801111*"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"%USERPROFILE%\AppData\Local\Temp\OnboardLogs"\RTDC4020\*4020*201801111* &gt;&gt; 2018-01-11-SliceDisagreementCheck.txt</v>
      </c>
      <c r="AE10" s="144" t="str">
        <f t="shared" si="1"/>
        <v>start /low /b %USERPROFILE%\Documents\GitHub\eaglep3\Utilities\DownloadLogsFromS3.py --loco 4020 --day 2018-01-11</v>
      </c>
      <c r="AF10" s="1"/>
    </row>
    <row r="11" spans="1:32" x14ac:dyDescent="0.3">
      <c r="A11" s="31">
        <v>43111.70784722222</v>
      </c>
      <c r="B11" s="30" t="s">
        <v>677</v>
      </c>
      <c r="C11" s="30" t="s">
        <v>678</v>
      </c>
      <c r="D11" s="30" t="s">
        <v>49</v>
      </c>
      <c r="E11" s="30" t="s">
        <v>504</v>
      </c>
      <c r="F11" s="42">
        <v>360</v>
      </c>
      <c r="G11" s="42">
        <v>412</v>
      </c>
      <c r="H11" s="42">
        <v>110209</v>
      </c>
      <c r="I11" s="42">
        <v>108987</v>
      </c>
      <c r="J11" s="30" t="s">
        <v>183</v>
      </c>
      <c r="K11" s="42">
        <v>109135</v>
      </c>
      <c r="L11" s="131" t="s">
        <v>51</v>
      </c>
      <c r="M11" s="132">
        <f>CONVERT((I11-K11)/10000,"mi","ft")*IF(L11="Increasing Mileposts (1)",-1,1)</f>
        <v>-78.144000000000005</v>
      </c>
      <c r="N11" s="133" t="str">
        <f>VLOOKUP(C11,'Trips&amp;Operators'!$C$1:$G$99911,5,FALSE)</f>
        <v>LONG FULLER</v>
      </c>
      <c r="O11" s="175" t="s">
        <v>178</v>
      </c>
      <c r="P11" s="239" t="s">
        <v>506</v>
      </c>
      <c r="Q11" s="30"/>
      <c r="R11" s="81" t="str">
        <f>VLOOKUP(C11,'Train Runs'!$A$13:$AE$10258,31,0)</f>
        <v>aws s3 cp s3://rtdc.mdm.uploadarchive.raw/RTDC4015/ "%USERPROFILE%\AppData\Local\Temp\OnboardLogs"\RTDC4015\2018-01-11 --exclude "*" --recursive --include "*20180111*" &amp; "%USERPROFILE%\Documents\GitHub\mrs-test-scripts\Headless Mode &amp; Sideloading\WalkAndUnGZ.bat" "%USERPROFILE%\AppData\Local\Temp\OnboardLogs"\RTDC4015\2018-01-11 &amp; aws s3 cp s3://rtdc.mdm.uploadarchive.raw/RTDC4015/ "%USERPROFILE%\AppData\Local\Temp\OnboardLogs"\RTDC4015\2018-01-12 --exclude "*" --recursive --include "*20180112*" &amp; "%USERPROFILE%\Documents\GitHub\mrs-test-scripts\Headless Mode &amp; Sideloading\WalkAndUnGZ.bat" "%USERPROFILE%\AppData\Local\Temp\OnboardLogs"\RTDC4015\2018-01-12</v>
      </c>
      <c r="S11" s="84" t="str">
        <f>VLOOKUP(C11,'Train Runs'!$A$13:$AE$10258,22,0)</f>
        <v>https://d0f6bd738d7f1b3e5a7ca70fe4ff75f0.us-east-1.aws.found.io/app/kibana#/discover/Steve-Slow-Train-Analysis-(2080s-and-2083s)?_g=(refreshInterval:(display:Off,pause:!f,section:0,value:0),time:(from:'2018-01-11T15:33:35-0700',mode:absolute,to:'2018-01-11T18:23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/stypes="*4015*201801112*" /stext=" 23:.+((SYSTEM_STATE.+slice.+state.+changed )|(ment ac)|(multiple cpu faults)|(system.+state.+changed )|(\[timeout)|(PRM\|1\|D)|(kpr)|(kdp)|(train st.+moving)|(\|lc)|(penalty))"</v>
      </c>
      <c r="U11" s="9" t="str">
        <f>MID(B11,13,4)</f>
        <v>4015</v>
      </c>
      <c r="V11" s="31">
        <f>A11-utc_offset/24</f>
        <v>43111.999513888884</v>
      </c>
      <c r="W11" s="45" t="str">
        <f>DetSubdiv(C11)</f>
        <v>EC</v>
      </c>
      <c r="X11" s="228">
        <f>VALUE(LEFT(C11,LEN(C11)-3))</f>
        <v>198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Arrival","project_id":79,"tracker_id":40,"status_id":1,"priority_id":2,"assigned_to_id":338,"start_date":"2018-01-11","description":"","custom_fields":[{"id":1,"name":"Subdivision","value":"EC"},{"id":4,"name":"Milepost","value":"10.9135"},{"id":17,"name":"Train ID","value":"198-11"},{"id":16,"name":"Locomotive ID","value":"4015"},{"id":130,"name":"Impact","value":""},{"id":150,"name":"Time of Event (Mountain Time)","value":"16:59:18"},{"id":151,"name":"Denver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/c/Users/stu/AppData/Local/Temp/OnboardLogs/RTDC4015 --include="*4015*201801112*"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"%USERPROFILE%\AppData\Local\Temp\OnboardLogs"\RTDC4015\*4015*201801112* &gt;&gt; 2018-01-11-SliceDisagreementCheck.txt</v>
      </c>
      <c r="AE11" s="144" t="str">
        <f t="shared" si="1"/>
        <v>start /low /b %USERPROFILE%\Documents\GitHub\eaglep3\Utilities\DownloadLogsFromS3.py --loco 4015 --day 2018-01-11</v>
      </c>
      <c r="AF11" s="1"/>
    </row>
    <row r="12" spans="1:32" x14ac:dyDescent="0.3">
      <c r="A12" s="31">
        <v>43111.650254629632</v>
      </c>
      <c r="B12" s="30" t="s">
        <v>660</v>
      </c>
      <c r="C12" s="30" t="s">
        <v>673</v>
      </c>
      <c r="D12" s="30" t="s">
        <v>95</v>
      </c>
      <c r="E12" s="30" t="s">
        <v>353</v>
      </c>
      <c r="F12" s="42">
        <v>0</v>
      </c>
      <c r="G12" s="42">
        <v>102</v>
      </c>
      <c r="H12" s="42">
        <v>1958</v>
      </c>
      <c r="I12" s="42">
        <v>2170</v>
      </c>
      <c r="J12" s="30" t="s">
        <v>354</v>
      </c>
      <c r="K12" s="42">
        <v>1692</v>
      </c>
      <c r="L12" s="131" t="s">
        <v>50</v>
      </c>
      <c r="M12" s="132">
        <f>CONVERT((I12-K12)/10000,"mi","ft")*IF(L12="Increasing Mileposts (1)",-1,1)</f>
        <v>-252.38399999999999</v>
      </c>
      <c r="N12" s="133" t="str">
        <f>VLOOKUP(C12,'Trips&amp;Operators'!$C$1:$G$99911,5,FALSE)</f>
        <v>ROBINSON KADDIBA</v>
      </c>
      <c r="O12" s="175" t="s">
        <v>347</v>
      </c>
      <c r="P12" s="239" t="s">
        <v>1115</v>
      </c>
      <c r="Q12" s="30"/>
      <c r="R12" s="81" t="str">
        <f>VLOOKUP(C12,'Train Runs'!$A$13:$AE$10258,31,0)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S12" s="84" t="str">
        <f>VLOOKUP(C12,'Train Runs'!$A$13:$AE$10258,22,0)</f>
        <v>https://d0f6bd738d7f1b3e5a7ca70fe4ff75f0.us-east-1.aws.found.io/app/kibana#/discover/Steve-Slow-Train-Analysis-(2080s-and-2083s)?_g=(refreshInterval:(display:Off,pause:!f,section:0,value:0),time:(from:'2018-01-11T14:44:04-0700',mode:absolute,to:'2018-01-11T17:11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/stypes="*4034*201801112*" /stext=" 22:.+((SYSTEM_STATE.+slice.+state.+changed )|(ment ac)|(multiple cpu faults)|(system.+state.+changed )|(\[timeout)|(PRM\|1\|D)|(kpr)|(kdp)|(train st.+moving)|(\|lc)|(penalty))"</v>
      </c>
      <c r="U12" s="9" t="str">
        <f>MID(B12,13,4)</f>
        <v>4034</v>
      </c>
      <c r="V12" s="31">
        <f>A12-utc_offset/24</f>
        <v>43111.941921296297</v>
      </c>
      <c r="W12" s="45" t="str">
        <f>DetSubdiv(C12)</f>
        <v>EC</v>
      </c>
      <c r="X12" s="228">
        <f>VALUE(LEFT(C12,LEN(C12)-3))</f>
        <v>195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{"issue":{"subject":"Onboard en route failure","project_id":79,"tracker_id":40,"status_id":1,"priority_id":2,"assigned_to_id":338,"start_date":"2018-01-11","description":"","custom_fields":[{"id":1,"name":"Subdivision","value":"EC"},{"id":4,"name":"Milepost","value":"0.1692"},{"id":17,"name":"Train ID","value":"195-11"},{"id":16,"name":"Locomotive ID","value":"4034"},{"id":130,"name":"Impact","value":""},{"id":150,"name":"Time of Event (Mountain Time)","value":"15:36:22"},{"id":151,"name":"Denver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/c/Users/stu/AppData/Local/Temp/OnboardLogs/RTDC4034 --include="*4034*201801112*"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"%USERPROFILE%\AppData\Local\Temp\OnboardLogs"\RTDC4034\*4034*201801112* &gt;&gt; 2018-01-11-SliceDisagreementCheck.txt</v>
      </c>
      <c r="AE12" s="144" t="str">
        <f t="shared" si="1"/>
        <v>start /low /b %USERPROFILE%\Documents\GitHub\eaglep3\Utilities\DownloadLogsFromS3.py --loco 4034 --day 2018-01-11</v>
      </c>
      <c r="AF12" s="1"/>
    </row>
    <row r="13" spans="1:32" x14ac:dyDescent="0.3">
      <c r="A13" s="31">
        <v>43111.618321759262</v>
      </c>
      <c r="B13" s="30" t="s">
        <v>468</v>
      </c>
      <c r="C13" s="30" t="s">
        <v>669</v>
      </c>
      <c r="D13" s="30" t="s">
        <v>49</v>
      </c>
      <c r="E13" s="30" t="s">
        <v>353</v>
      </c>
      <c r="F13" s="42">
        <v>0</v>
      </c>
      <c r="G13" s="42">
        <v>296</v>
      </c>
      <c r="H13" s="42">
        <v>20504</v>
      </c>
      <c r="I13" s="42">
        <v>21347</v>
      </c>
      <c r="J13" s="30" t="s">
        <v>354</v>
      </c>
      <c r="K13" s="42">
        <v>20617</v>
      </c>
      <c r="L13" s="131" t="s">
        <v>50</v>
      </c>
      <c r="M13" s="132">
        <f>CONVERT((I13-K13)/10000,"mi","ft")*IF(L13="Increasing Mileposts (1)",-1,1)</f>
        <v>-385.44</v>
      </c>
      <c r="N13" s="133" t="str">
        <f>VLOOKUP(C13,'Trips&amp;Operators'!$C$1:$G$99911,5,FALSE)</f>
        <v>BRUDER RICHARD</v>
      </c>
      <c r="O13" s="175" t="s">
        <v>347</v>
      </c>
      <c r="P13" s="239" t="s">
        <v>439</v>
      </c>
      <c r="Q13" s="30"/>
      <c r="R13" s="81" t="str">
        <f>VLOOKUP(C13,'Train Runs'!$A$13:$AE$10258,31,0)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S13" s="84" t="str">
        <f>VLOOKUP(C13,'Train Runs'!$A$13:$AE$10258,22,0)</f>
        <v>https://d0f6bd738d7f1b3e5a7ca70fe4ff75f0.us-east-1.aws.found.io/app/kibana#/discover/Steve-Slow-Train-Analysis-(2080s-and-2083s)?_g=(refreshInterval:(display:Off,pause:!f,section:0,value:0),time:(from:'2018-01-11T13:59:15-0700',mode:absolute,to:'2018-01-11T16:27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/stypes="*4056*201801112*" /stext=" 21:.+((SYSTEM_STATE.+slice.+state.+changed )|(ment ac)|(multiple cpu faults)|(system.+state.+changed )|(\[timeout)|(PRM\|1\|D)|(kpr)|(kdp)|(train st.+moving)|(\|lc)|(penalty))"</v>
      </c>
      <c r="U13" s="9" t="str">
        <f>MID(B13,13,4)</f>
        <v>4056</v>
      </c>
      <c r="V13" s="31">
        <f>A13-utc_offset/24</f>
        <v>43111.909988425927</v>
      </c>
      <c r="W13" s="45" t="str">
        <f>DetSubdiv(C13)</f>
        <v>EC</v>
      </c>
      <c r="X13" s="228">
        <f>VALUE(LEFT(C13,LEN(C13)-3))</f>
        <v>189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drop","project_id":79,"tracker_id":40,"status_id":1,"priority_id":2,"assigned_to_id":338,"start_date":"2018-01-11","description":"","custom_fields":[{"id":1,"name":"Subdivision","value":"EC"},{"id":4,"name":"Milepost","value":"2.0617"},{"id":17,"name":"Train ID","value":"189-11"},{"id":16,"name":"Locomotive ID","value":"4056"},{"id":130,"name":"Impact","value":""},{"id":150,"name":"Time of Event (Mountain Time)","value":"14:50:23"},{"id":151,"name":"Denver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/c/Users/stu/AppData/Local/Temp/OnboardLogs/RTDC4056 --include="*4056*201801112*"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"%USERPROFILE%\AppData\Local\Temp\OnboardLogs"\RTDC4056\*4056*201801112* &gt;&gt; 2018-01-11-SliceDisagreementCheck.txt</v>
      </c>
      <c r="AE13" s="144" t="str">
        <f t="shared" si="1"/>
        <v>start /low /b %USERPROFILE%\Documents\GitHub\eaglep3\Utilities\DownloadLogsFromS3.py --loco 4056 --day 2018-01-11</v>
      </c>
      <c r="AF13" s="1"/>
    </row>
    <row r="14" spans="1:32" s="223" customFormat="1" x14ac:dyDescent="0.3">
      <c r="A14" s="31">
        <v>43111.546203703707</v>
      </c>
      <c r="B14" s="30" t="s">
        <v>658</v>
      </c>
      <c r="C14" s="30" t="s">
        <v>665</v>
      </c>
      <c r="D14" s="30" t="s">
        <v>49</v>
      </c>
      <c r="E14" s="30" t="s">
        <v>353</v>
      </c>
      <c r="F14" s="42">
        <v>0</v>
      </c>
      <c r="G14" s="42">
        <v>386</v>
      </c>
      <c r="H14" s="42">
        <v>83805</v>
      </c>
      <c r="I14" s="42">
        <v>78789</v>
      </c>
      <c r="J14" s="30" t="s">
        <v>354</v>
      </c>
      <c r="K14" s="42">
        <v>81751</v>
      </c>
      <c r="L14" s="131" t="s">
        <v>51</v>
      </c>
      <c r="M14" s="132">
        <f>CONVERT((I14-K14)/10000,"mi","ft")*IF(L14="Increasing Mileposts (1)",-1,1)</f>
        <v>-1563.9359999999999</v>
      </c>
      <c r="N14" s="133" t="str">
        <f>VLOOKUP(C14,'Trips&amp;Operators'!$C$1:$G$99911,5,FALSE)</f>
        <v>LEVIN SCOTT</v>
      </c>
      <c r="O14" s="175" t="s">
        <v>347</v>
      </c>
      <c r="P14" s="239" t="s">
        <v>439</v>
      </c>
      <c r="Q14" s="30"/>
      <c r="R14" s="81" t="str">
        <f>VLOOKUP(C14,'Train Runs'!$A$13:$AE$10258,31,0)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S14" s="84" t="str">
        <f>VLOOKUP(C14,'Train Runs'!$A$13:$AE$10258,22,0)</f>
        <v>https://d0f6bd738d7f1b3e5a7ca70fe4ff75f0.us-east-1.aws.found.io/app/kibana#/discover/Steve-Slow-Train-Analysis-(2080s-and-2083s)?_g=(refreshInterval:(display:Off,pause:!f,section:0,value:0),time:(from:'2018-01-11T11:34:36-0700',mode:absolute,to:'2018-01-11T14:24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/stypes="*4041*201801112*" /stext=" 20:.+((SYSTEM_STATE.+slice.+state.+changed )|(ment ac)|(multiple cpu faults)|(system.+state.+changed )|(\[timeout)|(PRM\|1\|D)|(kpr)|(kdp)|(train st.+moving)|(\|lc)|(penalty))"</v>
      </c>
      <c r="U14" s="9" t="str">
        <f>MID(B14,13,4)</f>
        <v>4041</v>
      </c>
      <c r="V14" s="31">
        <f>A14-utc_offset/24</f>
        <v>43111.837870370371</v>
      </c>
      <c r="W14" s="45" t="str">
        <f>DetSubdiv(C14)</f>
        <v>EC</v>
      </c>
      <c r="X14" s="228">
        <f>VALUE(LEFT(C14,LEN(C14)-3))</f>
        <v>166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drop","project_id":79,"tracker_id":40,"status_id":1,"priority_id":2,"assigned_to_id":338,"start_date":"2018-01-11","description":"","custom_fields":[{"id":1,"name":"Subdivision","value":"EC"},{"id":4,"name":"Milepost","value":"8.1751"},{"id":17,"name":"Train ID","value":"166-11"},{"id":16,"name":"Locomotive ID","value":"4041"},{"id":130,"name":"Impact","value":""},{"id":150,"name":"Time of Event (Mountain Time)","value":"13:06:32"},{"id":151,"name":"Denver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/c/Users/stu/AppData/Local/Temp/OnboardLogs/RTDC4041 --include="*4041*201801112*"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"%USERPROFILE%\AppData\Local\Temp\OnboardLogs"\RTDC4041\*4041*201801112* &gt;&gt; 2018-01-11-SliceDisagreementCheck.txt</v>
      </c>
      <c r="AE14" s="144" t="str">
        <f t="shared" si="1"/>
        <v>start /low /b %USERPROFILE%\Documents\GitHub\eaglep3\Utilities\DownloadLogsFromS3.py --loco 4041 --day 2018-01-11</v>
      </c>
      <c r="AF14" s="1"/>
    </row>
    <row r="15" spans="1:32" x14ac:dyDescent="0.3">
      <c r="A15" s="31">
        <v>43112.011990740742</v>
      </c>
      <c r="B15" s="30" t="s">
        <v>453</v>
      </c>
      <c r="C15" s="30" t="s">
        <v>683</v>
      </c>
      <c r="D15" s="30" t="s">
        <v>49</v>
      </c>
      <c r="E15" s="30" t="s">
        <v>353</v>
      </c>
      <c r="F15" s="42">
        <v>0</v>
      </c>
      <c r="G15" s="42">
        <v>340</v>
      </c>
      <c r="H15" s="42">
        <v>85311</v>
      </c>
      <c r="I15" s="42">
        <v>84466</v>
      </c>
      <c r="J15" s="30" t="s">
        <v>354</v>
      </c>
      <c r="K15" s="42">
        <v>81751</v>
      </c>
      <c r="L15" s="131" t="s">
        <v>51</v>
      </c>
      <c r="M15" s="132">
        <f>CONVERT((I15-K15)/10000,"mi","ft")*IF(L15="Increasing Mileposts (1)",-1,1)</f>
        <v>1433.5200000000002</v>
      </c>
      <c r="N15" s="133" t="str">
        <f>VLOOKUP(C15,'Trips&amp;Operators'!$C$1:$G$99911,5,FALSE)</f>
        <v>LORI SANTOS</v>
      </c>
      <c r="O15" s="175" t="s">
        <v>347</v>
      </c>
      <c r="P15" s="239" t="s">
        <v>439</v>
      </c>
      <c r="Q15" s="30"/>
      <c r="R15" s="81" t="str">
        <f>VLOOKUP(C15,'Train Runs'!$A$13:$AE$10258,31,0)</f>
        <v>aws s3 cp s3://rtdc.mdm.uploadarchive.raw/RTDC4033/ "%USERPROFILE%\AppData\Local\Temp\OnboardLogs"\RTDC4033\2018-01-11 --exclude "*" --recursive --include "*20180111*" &amp; "%USERPROFILE%\Documents\GitHub\mrs-test-scripts\Headless Mode &amp; Sideloading\WalkAndUnGZ.bat" "%USERPROFILE%\AppData\Local\Temp\OnboardLogs"\RTDC4033\2018-01-11 &amp; aws s3 cp s3://rtdc.mdm.uploadarchive.raw/RTDC4033/ "%USERPROFILE%\AppData\Local\Temp\OnboardLogs"\RTDC4033\2018-01-12 --exclude "*" --recursive --include "*20180112*" &amp; "%USERPROFILE%\Documents\GitHub\mrs-test-scripts\Headless Mode &amp; Sideloading\WalkAndUnGZ.bat" "%USERPROFILE%\AppData\Local\Temp\OnboardLogs"\RTDC4033\2018-01-12</v>
      </c>
      <c r="S15" s="84" t="str">
        <f>VLOOKUP(C15,'Train Runs'!$A$13:$AE$10258,22,0)</f>
        <v>https://d0f6bd738d7f1b3e5a7ca70fe4ff75f0.us-east-1.aws.found.io/app/kibana#/discover/Steve-Slow-Train-Analysis-(2080s-and-2083s)?_g=(refreshInterval:(display:Off,pause:!f,section:0,value:0),time:(from:'2018-01-11T22:52:53-0700',mode:absolute,to:'2018-01-12T01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/stypes="*4033*201801120*" /stext=" 07:.+((SYSTEM_STATE.+slice.+state.+changed )|(ment ac)|(multiple cpu faults)|(system.+state.+changed )|(\[timeout)|(PRM\|1\|D)|(kpr)|(kdp)|(train st.+moving)|(\|lc)|(penalty))"</v>
      </c>
      <c r="U15" s="9" t="str">
        <f>MID(B15,13,4)</f>
        <v>4033</v>
      </c>
      <c r="V15" s="31">
        <f>A15-utc_offset/24</f>
        <v>43112.303657407407</v>
      </c>
      <c r="W15" s="45" t="str">
        <f>DetSubdiv(C15)</f>
        <v>EC</v>
      </c>
      <c r="X15" s="228">
        <f>VALUE(LEFT(C15,LEN(C15)-3))</f>
        <v>238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drop","project_id":79,"tracker_id":40,"status_id":1,"priority_id":2,"assigned_to_id":338,"start_date":"2018-01-12","description":"","custom_fields":[{"id":1,"name":"Subdivision","value":"EC"},{"id":4,"name":"Milepost","value":"8.1751"},{"id":17,"name":"Train ID","value":"238-11"},{"id":16,"name":"Locomotive ID","value":"4033"},{"id":130,"name":"Impact","value":""},{"id":150,"name":"Time of Event (Mountain Time)","value":"00:17:16"},{"id":151,"name":"Denver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/c/Users/stu/AppData/Local/Temp/OnboardLogs/RTDC4033 --include="*4033*201801120*"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"%USERPROFILE%\AppData\Local\Temp\OnboardLogs"\RTDC4033\*4033*201801120* &gt;&gt; 2018-01-11-SliceDisagreementCheck.txt</v>
      </c>
      <c r="AE15" s="144" t="str">
        <f t="shared" si="1"/>
        <v>start /low /b %USERPROFILE%\Documents\GitHub\eaglep3\Utilities\DownloadLogsFromS3.py --loco 4033 --day 2018-01-12</v>
      </c>
      <c r="AF15" s="1"/>
    </row>
    <row r="16" spans="1:32" x14ac:dyDescent="0.3">
      <c r="A16" s="31">
        <v>43111.618310185186</v>
      </c>
      <c r="B16" s="30" t="s">
        <v>383</v>
      </c>
      <c r="C16" s="30" t="s">
        <v>668</v>
      </c>
      <c r="D16" s="30" t="s">
        <v>49</v>
      </c>
      <c r="E16" s="30" t="s">
        <v>353</v>
      </c>
      <c r="F16" s="42">
        <v>0</v>
      </c>
      <c r="G16" s="42">
        <v>92</v>
      </c>
      <c r="H16" s="42">
        <v>86380</v>
      </c>
      <c r="I16" s="42">
        <v>86671</v>
      </c>
      <c r="J16" s="30" t="s">
        <v>354</v>
      </c>
      <c r="K16" s="42">
        <v>87889</v>
      </c>
      <c r="L16" s="131" t="s">
        <v>50</v>
      </c>
      <c r="M16" s="132">
        <f>CONVERT((I16-K16)/10000,"mi","ft")*IF(L16="Increasing Mileposts (1)",-1,1)</f>
        <v>643.10400000000004</v>
      </c>
      <c r="N16" s="133" t="str">
        <f>VLOOKUP(C16,'Trips&amp;Operators'!$C$1:$G$99911,5,FALSE)</f>
        <v>HOLCOMB KAMDEN</v>
      </c>
      <c r="O16" s="175" t="s">
        <v>347</v>
      </c>
      <c r="P16" s="239" t="s">
        <v>439</v>
      </c>
      <c r="Q16" s="30"/>
      <c r="R16" s="81" t="str">
        <f>VLOOKUP(C16,'Train Runs'!$A$13:$AE$10258,31,0)</f>
        <v>aws s3 cp s3://rtdc.mdm.uploadarchive.raw/RTDC4022/ "%USERPROFILE%\AppData\Local\Temp\OnboardLogs"\RTDC4022\2018-01-11 --exclude "*" --recursive --include "*20180111*" &amp; "%USERPROFILE%\Documents\GitHub\mrs-test-scripts\Headless Mode &amp; Sideloading\WalkAndUnGZ.bat" "%USERPROFILE%\AppData\Local\Temp\OnboardLogs"\RTDC4022\2018-01-11 &amp; aws s3 cp s3://rtdc.mdm.uploadarchive.raw/RTDC4022/ "%USERPROFILE%\AppData\Local\Temp\OnboardLogs"\RTDC4022\2018-01-12 --exclude "*" --recursive --include "*20180112*" &amp; "%USERPROFILE%\Documents\GitHub\mrs-test-scripts\Headless Mode &amp; Sideloading\WalkAndUnGZ.bat" "%USERPROFILE%\AppData\Local\Temp\OnboardLogs"\RTDC4022\2018-01-12</v>
      </c>
      <c r="S16" s="84" t="str">
        <f>VLOOKUP(C16,'Train Runs'!$A$13:$AE$10258,22,0)</f>
        <v>https://d0f6bd738d7f1b3e5a7ca70fe4ff75f0.us-east-1.aws.found.io/app/kibana#/discover/Steve-Slow-Train-Analysis-(2080s-and-2083s)?_g=(refreshInterval:(display:Off,pause:!f,section:0,value:0),time:(from:'2018-01-11T13:22:20-0700',mode:absolute,to:'2018-01-11T15:50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/stypes="*4022*201801112*" /stext=" 21:.+((SYSTEM_STATE.+slice.+state.+changed )|(ment ac)|(multiple cpu faults)|(system.+state.+changed )|(\[timeout)|(PRM\|1\|D)|(kpr)|(kdp)|(train st.+moving)|(\|lc)|(penalty))"</v>
      </c>
      <c r="U16" s="9" t="str">
        <f>MID(B16,13,4)</f>
        <v>4022</v>
      </c>
      <c r="V16" s="31">
        <f>A16-utc_offset/24</f>
        <v>43111.90997685185</v>
      </c>
      <c r="W16" s="45" t="str">
        <f>DetSubdiv(C16)</f>
        <v>EC</v>
      </c>
      <c r="X16" s="228">
        <f>VALUE(LEFT(C16,LEN(C16)-3))</f>
        <v>187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drop","project_id":79,"tracker_id":40,"status_id":1,"priority_id":2,"assigned_to_id":338,"start_date":"2018-01-11","description":"","custom_fields":[{"id":1,"name":"Subdivision","value":"EC"},{"id":4,"name":"Milepost","value":"8.7889"},{"id":17,"name":"Train ID","value":"187-11"},{"id":16,"name":"Locomotive ID","value":"4022"},{"id":130,"name":"Impact","value":""},{"id":150,"name":"Time of Event (Mountain Time)","value":"14:50:22"},{"id":151,"name":"Denver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/c/Users/stu/AppData/Local/Temp/OnboardLogs/RTDC4022 --include="*4022*201801112*"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"%USERPROFILE%\AppData\Local\Temp\OnboardLogs"\RTDC4022\*4022*201801112* &gt;&gt; 2018-01-11-SliceDisagreementCheck.txt</v>
      </c>
      <c r="AE16" s="144" t="str">
        <f t="shared" si="1"/>
        <v>start /low /b %USERPROFILE%\Documents\GitHub\eaglep3\Utilities\DownloadLogsFromS3.py --loco 4022 --day 2018-01-11</v>
      </c>
      <c r="AF16" s="1"/>
    </row>
    <row r="17" spans="1:32" x14ac:dyDescent="0.3">
      <c r="A17" s="31">
        <v>43111.618472222224</v>
      </c>
      <c r="B17" s="30" t="s">
        <v>658</v>
      </c>
      <c r="C17" s="30" t="s">
        <v>671</v>
      </c>
      <c r="D17" s="30" t="s">
        <v>49</v>
      </c>
      <c r="E17" s="30" t="s">
        <v>353</v>
      </c>
      <c r="F17" s="42">
        <v>0</v>
      </c>
      <c r="G17" s="42">
        <v>718</v>
      </c>
      <c r="H17" s="42">
        <v>91442</v>
      </c>
      <c r="I17" s="42">
        <v>88451</v>
      </c>
      <c r="J17" s="30" t="s">
        <v>354</v>
      </c>
      <c r="K17" s="42">
        <v>87902</v>
      </c>
      <c r="L17" s="131" t="s">
        <v>51</v>
      </c>
      <c r="M17" s="132">
        <f>CONVERT((I17-K17)/10000,"mi","ft")*IF(L17="Increasing Mileposts (1)",-1,1)</f>
        <v>289.87200000000001</v>
      </c>
      <c r="N17" s="133" t="str">
        <f>VLOOKUP(C17,'Trips&amp;Operators'!$C$1:$G$99911,5,FALSE)</f>
        <v>LEVIN SCOTT</v>
      </c>
      <c r="O17" s="175" t="s">
        <v>347</v>
      </c>
      <c r="P17" s="239" t="s">
        <v>439</v>
      </c>
      <c r="Q17" s="30"/>
      <c r="R17" s="81" t="str">
        <f>VLOOKUP(C17,'Train Runs'!$A$13:$AE$10258,31,0)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S17" s="84" t="str">
        <f>VLOOKUP(C17,'Train Runs'!$A$13:$AE$10258,22,0)</f>
        <v>https://d0f6bd738d7f1b3e5a7ca70fe4ff75f0.us-east-1.aws.found.io/app/kibana#/discover/Steve-Slow-Train-Analysis-(2080s-and-2083s)?_g=(refreshInterval:(display:Off,pause:!f,section:0,value:0),time:(from:'2018-01-11T13:13:46-0700',mode:absolute,to:'2018-01-11T15:52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/stypes="*4041*201801112*" /stext=" 21:.+((SYSTEM_STATE.+slice.+state.+changed )|(ment ac)|(multiple cpu faults)|(system.+state.+changed )|(\[timeout)|(PRM\|1\|D)|(kpr)|(kdp)|(train st.+moving)|(\|lc)|(penalty))"</v>
      </c>
      <c r="U17" s="9" t="str">
        <f>MID(B17,13,4)</f>
        <v>4041</v>
      </c>
      <c r="V17" s="31">
        <f>A17-utc_offset/24</f>
        <v>43111.910138888888</v>
      </c>
      <c r="W17" s="45" t="str">
        <f>DetSubdiv(C17)</f>
        <v>EC</v>
      </c>
      <c r="X17" s="228">
        <f>VALUE(LEFT(C17,LEN(C17)-3))</f>
        <v>180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drop","project_id":79,"tracker_id":40,"status_id":1,"priority_id":2,"assigned_to_id":338,"start_date":"2018-01-11","description":"","custom_fields":[{"id":1,"name":"Subdivision","value":"EC"},{"id":4,"name":"Milepost","value":"8.7902"},{"id":17,"name":"Train ID","value":"180-11"},{"id":16,"name":"Locomotive ID","value":"4041"},{"id":130,"name":"Impact","value":""},{"id":150,"name":"Time of Event (Mountain Time)","value":"14:50:36"},{"id":151,"name":"Denver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/c/Users/stu/AppData/Local/Temp/OnboardLogs/RTDC4041 --include="*4041*201801112*"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"%USERPROFILE%\AppData\Local\Temp\OnboardLogs"\RTDC4041\*4041*201801112* &gt;&gt; 2018-01-11-SliceDisagreementCheck.txt</v>
      </c>
      <c r="AE17" s="144" t="str">
        <f t="shared" si="1"/>
        <v>start /low /b %USERPROFILE%\Documents\GitHub\eaglep3\Utilities\DownloadLogsFromS3.py --loco 4041 --day 2018-01-11</v>
      </c>
      <c r="AF17" s="1"/>
    </row>
    <row r="18" spans="1:32" x14ac:dyDescent="0.3">
      <c r="A18" s="31">
        <v>43111.266377314816</v>
      </c>
      <c r="B18" s="30" t="s">
        <v>468</v>
      </c>
      <c r="C18" s="30" t="s">
        <v>651</v>
      </c>
      <c r="D18" s="30" t="s">
        <v>95</v>
      </c>
      <c r="E18" s="30" t="s">
        <v>353</v>
      </c>
      <c r="F18" s="42">
        <v>0</v>
      </c>
      <c r="G18" s="42">
        <v>29</v>
      </c>
      <c r="H18" s="42">
        <v>127477</v>
      </c>
      <c r="I18" s="42">
        <v>127473</v>
      </c>
      <c r="J18" s="30" t="s">
        <v>354</v>
      </c>
      <c r="K18" s="42">
        <v>126585</v>
      </c>
      <c r="L18" s="131" t="s">
        <v>50</v>
      </c>
      <c r="M18" s="132">
        <f>CONVERT((I18-K18)/10000,"mi","ft")*IF(L18="Increasing Mileposts (1)",-1,1)</f>
        <v>-468.86399999999998</v>
      </c>
      <c r="N18" s="133" t="str">
        <f>VLOOKUP(C18,'Trips&amp;Operators'!$C$1:$G$99911,5,FALSE)</f>
        <v>BONDS REYNALDO</v>
      </c>
      <c r="O18" s="175" t="s">
        <v>347</v>
      </c>
      <c r="P18" s="239" t="s">
        <v>439</v>
      </c>
      <c r="Q18" s="30"/>
      <c r="R18" s="81" t="str">
        <f>VLOOKUP(C18,'Train Runs'!$A$13:$AE$10258,31,0)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S18" s="84" t="str">
        <f>VLOOKUP(C18,'Train Runs'!$A$13:$AE$10258,22,0)</f>
        <v>https://d0f6bd738d7f1b3e5a7ca70fe4ff75f0.us-east-1.aws.found.io/app/kibana#/discover/Steve-Slow-Train-Analysis-(2080s-and-2083s)?_g=(refreshInterval:(display:Off,pause:!f,section:0,value:0),time:(from:'2018-01-11T04:53:48-0700',mode:absolute,to:'2018-01-11T07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/stypes="*4056*201801111*" /stext=" 13:.+((SYSTEM_STATE.+slice.+state.+changed )|(ment ac)|(multiple cpu faults)|(system.+state.+changed )|(\[timeout)|(PRM\|1\|D)|(kpr)|(kdp)|(train st.+moving)|(\|lc)|(penalty))"</v>
      </c>
      <c r="U18" s="9" t="str">
        <f>MID(B18,13,4)</f>
        <v>4056</v>
      </c>
      <c r="V18" s="31">
        <f>A18-utc_offset/24</f>
        <v>43111.55804398148</v>
      </c>
      <c r="W18" s="45" t="str">
        <f>DetSubdiv(C18)</f>
        <v>EC</v>
      </c>
      <c r="X18" s="228">
        <f>VALUE(LEFT(C18,LEN(C18)-3))</f>
        <v>119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drop","project_id":79,"tracker_id":40,"status_id":1,"priority_id":2,"assigned_to_id":338,"start_date":"2018-01-11","description":"","custom_fields":[{"id":1,"name":"Subdivision","value":"EC"},{"id":4,"name":"Milepost","value":"12.6585"},{"id":17,"name":"Train ID","value":"119-11"},{"id":16,"name":"Locomotive ID","value":"4056"},{"id":130,"name":"Impact","value":""},{"id":150,"name":"Time of Event (Mountain Time)","value":"06:23:35"},{"id":151,"name":"Denver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/c/Users/stu/AppData/Local/Temp/OnboardLogs/RTDC4056 --include="*4056*201801111*"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"%USERPROFILE%\AppData\Local\Temp\OnboardLogs"\RTDC4056\*4056*201801111* &gt;&gt; 2018-01-11-SliceDisagreementCheck.txt</v>
      </c>
      <c r="AE18" s="144" t="str">
        <f t="shared" si="1"/>
        <v>start /low /b %USERPROFILE%\Documents\GitHub\eaglep3\Utilities\DownloadLogsFromS3.py --loco 4056 --day 2018-01-11</v>
      </c>
      <c r="AF18" s="1"/>
    </row>
    <row r="19" spans="1:32" s="223" customFormat="1" x14ac:dyDescent="0.3">
      <c r="A19" s="31">
        <v>43112.045046307867</v>
      </c>
      <c r="B19" s="30" t="s">
        <v>448</v>
      </c>
      <c r="C19" s="30" t="s">
        <v>846</v>
      </c>
      <c r="D19" s="30" t="s">
        <v>95</v>
      </c>
      <c r="E19" s="30" t="s">
        <v>450</v>
      </c>
      <c r="F19" s="42">
        <v>0</v>
      </c>
      <c r="G19" s="42">
        <v>778</v>
      </c>
      <c r="H19" s="42">
        <v>108320</v>
      </c>
      <c r="I19" s="42">
        <v>112054</v>
      </c>
      <c r="J19" s="30">
        <v>11.205399999999999</v>
      </c>
      <c r="K19" s="42">
        <v>107939</v>
      </c>
      <c r="L19" s="131" t="s">
        <v>50</v>
      </c>
      <c r="M19" s="132">
        <f>CONVERT((I19-K19)/10000,"mi","ft")*IF(L19="Increasing Mileposts (1)",-1,1)</f>
        <v>-2172.7199999999998</v>
      </c>
      <c r="N19" s="133" t="str">
        <f>VLOOKUP(C19,'Trips&amp;Operators'!$C$1:$G$99911,5,FALSE)</f>
        <v>LOZA FIDEL</v>
      </c>
      <c r="O19" s="175" t="s">
        <v>347</v>
      </c>
      <c r="P19" s="239" t="s">
        <v>439</v>
      </c>
      <c r="Q19" s="30"/>
      <c r="R19" s="81"/>
      <c r="S19" s="84"/>
      <c r="T19" s="86"/>
      <c r="U19" s="9"/>
      <c r="V19" s="31"/>
      <c r="W19" s="45"/>
      <c r="X19" s="228">
        <f>VALUE(LEFT(C19,LEN(C19)-3))</f>
        <v>213</v>
      </c>
      <c r="Y19" s="238"/>
      <c r="Z19" s="158"/>
      <c r="AA19" s="231"/>
      <c r="AB19" s="231"/>
      <c r="AC19" s="115"/>
      <c r="AD19" s="1"/>
      <c r="AE19" s="144"/>
      <c r="AF19" s="1"/>
    </row>
    <row r="20" spans="1:32" x14ac:dyDescent="0.3">
      <c r="A20" s="31">
        <v>43111.469467592593</v>
      </c>
      <c r="B20" s="30" t="s">
        <v>658</v>
      </c>
      <c r="C20" s="30" t="s">
        <v>659</v>
      </c>
      <c r="D20" s="30" t="s">
        <v>49</v>
      </c>
      <c r="E20" s="30" t="s">
        <v>450</v>
      </c>
      <c r="F20" s="42">
        <v>0</v>
      </c>
      <c r="G20" s="42">
        <v>582</v>
      </c>
      <c r="H20" s="42">
        <v>105487</v>
      </c>
      <c r="I20" s="42">
        <v>103475</v>
      </c>
      <c r="J20" s="30" t="s">
        <v>451</v>
      </c>
      <c r="K20" s="42">
        <v>104776</v>
      </c>
      <c r="L20" s="131" t="s">
        <v>51</v>
      </c>
      <c r="M20" s="132">
        <f>CONVERT((I20-K20)/10000,"mi","ft")*IF(L20="Increasing Mileposts (1)",-1,1)</f>
        <v>-686.928</v>
      </c>
      <c r="N20" s="133" t="str">
        <f>VLOOKUP(C20,'Trips&amp;Operators'!$C$1:$G$99911,5,FALSE)</f>
        <v>WILLIAMS DONTE</v>
      </c>
      <c r="O20" s="175" t="s">
        <v>347</v>
      </c>
      <c r="P20" s="239" t="s">
        <v>439</v>
      </c>
      <c r="Q20" s="30"/>
      <c r="R20" s="81" t="str">
        <f>VLOOKUP(C20,'Train Runs'!$A$13:$AE$10258,31,0)</f>
        <v>aws s3 cp s3://rtdc.mdm.uploadarchive.raw/RTDC4041/ "%USERPROFILE%\AppData\Local\Temp\OnboardLogs"\RTDC4041\2018-01-11 --exclude "*" --recursive --include "*20180111*" &amp; "%USERPROFILE%\Documents\GitHub\mrs-test-scripts\Headless Mode &amp; Sideloading\WalkAndUnGZ.bat" "%USERPROFILE%\AppData\Local\Temp\OnboardLogs"\RTDC4041\2018-01-11 &amp; aws s3 cp s3://rtdc.mdm.uploadarchive.raw/RTDC4041/ "%USERPROFILE%\AppData\Local\Temp\OnboardLogs"\RTDC4041\2018-01-12 --exclude "*" --recursive --include "*20180112*" &amp; "%USERPROFILE%\Documents\GitHub\mrs-test-scripts\Headless Mode &amp; Sideloading\WalkAndUnGZ.bat" "%USERPROFILE%\AppData\Local\Temp\OnboardLogs"\RTDC4041\2018-01-12</v>
      </c>
      <c r="S20" s="84" t="str">
        <f>VLOOKUP(C20,'Train Runs'!$A$13:$AE$10258,22,0)</f>
        <v>https://d0f6bd738d7f1b3e5a7ca70fe4ff75f0.us-east-1.aws.found.io/app/kibana#/discover/Steve-Slow-Train-Analysis-(2080s-and-2083s)?_g=(refreshInterval:(display:Off,pause:!f,section:0,value:0),time:(from:'2018-01-11T09:52:52-0700',mode:absolute,to:'2018-01-11T12:37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/stypes="*4041*201801111*" /stext=" 18:.+((SYSTEM_STATE.+slice.+state.+changed )|(ment ac)|(multiple cpu faults)|(system.+state.+changed )|(\[timeout)|(PRM\|1\|D)|(kpr)|(kdp)|(train st.+moving)|(\|lc)|(penalty))"</v>
      </c>
      <c r="U20" s="9" t="str">
        <f>MID(B20,13,4)</f>
        <v>4041</v>
      </c>
      <c r="V20" s="31">
        <f>A20-utc_offset/24</f>
        <v>43111.761134259257</v>
      </c>
      <c r="W20" s="45" t="str">
        <f>DetSubdiv(C20)</f>
        <v>EC</v>
      </c>
      <c r="X20" s="228">
        <f>VALUE(LEFT(C20,LEN(C20)-3))</f>
        <v>152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drop","project_id":79,"tracker_id":40,"status_id":1,"priority_id":2,"assigned_to_id":338,"start_date":"2018-01-11","description":"","custom_fields":[{"id":1,"name":"Subdivision","value":"EC"},{"id":4,"name":"Milepost","value":"10.4776"},{"id":17,"name":"Train ID","value":"152-11"},{"id":16,"name":"Locomotive ID","value":"4041"},{"id":130,"name":"Impact","value":""},{"id":150,"name":"Time of Event (Mountain Time)","value":"11:16:02"},{"id":151,"name":"Denver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/c/Users/stu/AppData/Local/Temp/OnboardLogs/RTDC4041 --include="*4041*201801111*"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"%USERPROFILE%\AppData\Local\Temp\OnboardLogs"\RTDC4041\*4041*201801111* &gt;&gt; 2018-01-11-SliceDisagreementCheck.txt</v>
      </c>
      <c r="AE20" s="144" t="str">
        <f t="shared" si="1"/>
        <v>start /low /b %USERPROFILE%\Documents\GitHub\eaglep3\Utilities\DownloadLogsFromS3.py --loco 4041 --day 2018-01-11</v>
      </c>
      <c r="AF20" s="1"/>
    </row>
    <row r="21" spans="1:32" x14ac:dyDescent="0.3">
      <c r="A21" s="31">
        <v>43111.266018518516</v>
      </c>
      <c r="B21" s="30" t="s">
        <v>468</v>
      </c>
      <c r="C21" s="30" t="s">
        <v>651</v>
      </c>
      <c r="D21" s="30" t="s">
        <v>49</v>
      </c>
      <c r="E21" s="30" t="s">
        <v>450</v>
      </c>
      <c r="F21" s="42">
        <v>0</v>
      </c>
      <c r="G21" s="42">
        <v>398</v>
      </c>
      <c r="H21" s="42">
        <v>126409</v>
      </c>
      <c r="I21" s="42">
        <v>127469</v>
      </c>
      <c r="J21" s="30" t="s">
        <v>451</v>
      </c>
      <c r="K21" s="42">
        <v>126678</v>
      </c>
      <c r="L21" s="131" t="s">
        <v>50</v>
      </c>
      <c r="M21" s="132">
        <f>CONVERT((I21-K21)/10000,"mi","ft")*IF(L21="Increasing Mileposts (1)",-1,1)</f>
        <v>-417.64800000000002</v>
      </c>
      <c r="N21" s="133" t="str">
        <f>VLOOKUP(C21,'Trips&amp;Operators'!$C$1:$G$99911,5,FALSE)</f>
        <v>BONDS REYNALDO</v>
      </c>
      <c r="O21" s="175" t="s">
        <v>347</v>
      </c>
      <c r="P21" s="239" t="s">
        <v>439</v>
      </c>
      <c r="Q21" s="30"/>
      <c r="R21" s="81" t="str">
        <f>VLOOKUP(C21,'Train Runs'!$A$13:$AE$10258,31,0)</f>
        <v>aws s3 cp s3://rtdc.mdm.uploadarchive.raw/RTDC4056/ "%USERPROFILE%\AppData\Local\Temp\OnboardLogs"\RTDC4056\2018-01-11 --exclude "*" --recursive --include "*20180111*" &amp; "%USERPROFILE%\Documents\GitHub\mrs-test-scripts\Headless Mode &amp; Sideloading\WalkAndUnGZ.bat" "%USERPROFILE%\AppData\Local\Temp\OnboardLogs"\RTDC4056\2018-01-11 &amp; aws s3 cp s3://rtdc.mdm.uploadarchive.raw/RTDC4056/ "%USERPROFILE%\AppData\Local\Temp\OnboardLogs"\RTDC4056\2018-01-12 --exclude "*" --recursive --include "*20180112*" &amp; "%USERPROFILE%\Documents\GitHub\mrs-test-scripts\Headless Mode &amp; Sideloading\WalkAndUnGZ.bat" "%USERPROFILE%\AppData\Local\Temp\OnboardLogs"\RTDC4056\2018-01-12</v>
      </c>
      <c r="S21" s="84" t="str">
        <f>VLOOKUP(C21,'Train Runs'!$A$13:$AE$10258,22,0)</f>
        <v>https://d0f6bd738d7f1b3e5a7ca70fe4ff75f0.us-east-1.aws.found.io/app/kibana#/discover/Steve-Slow-Train-Analysis-(2080s-and-2083s)?_g=(refreshInterval:(display:Off,pause:!f,section:0,value:0),time:(from:'2018-01-11T04:53:48-0700',mode:absolute,to:'2018-01-11T07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/stypes="*4056*201801111*" /stext=" 13:.+((SYSTEM_STATE.+slice.+state.+changed )|(ment ac)|(multiple cpu faults)|(system.+state.+changed )|(\[timeout)|(PRM\|1\|D)|(kpr)|(kdp)|(train st.+moving)|(\|lc)|(penalty))"</v>
      </c>
      <c r="U21" s="9" t="str">
        <f>MID(B21,13,4)</f>
        <v>4056</v>
      </c>
      <c r="V21" s="31">
        <f>A21-utc_offset/24</f>
        <v>43111.55768518518</v>
      </c>
      <c r="W21" s="45" t="str">
        <f>DetSubdiv(C21)</f>
        <v>EC</v>
      </c>
      <c r="X21" s="228">
        <f>VALUE(LEFT(C21,LEN(C21)-3))</f>
        <v>119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drop","project_id":79,"tracker_id":40,"status_id":1,"priority_id":2,"assigned_to_id":338,"start_date":"2018-01-11","description":"","custom_fields":[{"id":1,"name":"Subdivision","value":"EC"},{"id":4,"name":"Milepost","value":"12.6678"},{"id":17,"name":"Train ID","value":"119-11"},{"id":16,"name":"Locomotive ID","value":"4056"},{"id":130,"name":"Impact","value":""},{"id":150,"name":"Time of Event (Mountain Time)","value":"06:23:04"},{"id":151,"name":"Denver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/c/Users/stu/AppData/Local/Temp/OnboardLogs/RTDC4056 --include="*4056*201801111*"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"%USERPROFILE%\AppData\Local\Temp\OnboardLogs"\RTDC4056\*4056*201801111* &gt;&gt; 2018-01-11-SliceDisagreementCheck.txt</v>
      </c>
      <c r="AE21" s="144" t="str">
        <f t="shared" si="1"/>
        <v>start /low /b %USERPROFILE%\Documents\GitHub\eaglep3\Utilities\DownloadLogsFromS3.py --loco 4056 --day 2018-01-11</v>
      </c>
      <c r="AF21" s="1"/>
    </row>
    <row r="22" spans="1:32" x14ac:dyDescent="0.3">
      <c r="A22" s="31">
        <v>43111.349930555552</v>
      </c>
      <c r="B22" s="30" t="s">
        <v>489</v>
      </c>
      <c r="C22" s="30" t="s">
        <v>652</v>
      </c>
      <c r="D22" s="30" t="s">
        <v>49</v>
      </c>
      <c r="E22" s="30" t="s">
        <v>353</v>
      </c>
      <c r="F22" s="42">
        <v>0</v>
      </c>
      <c r="G22" s="42">
        <v>90</v>
      </c>
      <c r="H22" s="42">
        <v>4821</v>
      </c>
      <c r="I22" s="42">
        <v>4679</v>
      </c>
      <c r="J22" s="30" t="s">
        <v>354</v>
      </c>
      <c r="K22" s="42">
        <v>4798</v>
      </c>
      <c r="L22" s="131" t="s">
        <v>51</v>
      </c>
      <c r="M22" s="132">
        <f>CONVERT((I22-K22)/10000,"mi","ft")*IF(L22="Increasing Mileposts (1)",-1,1)</f>
        <v>-62.832000000000001</v>
      </c>
      <c r="N22" s="133" t="str">
        <f>VLOOKUP(C22,'Trips&amp;Operators'!$C$1:$G$99911,5,FALSE)</f>
        <v>LOPES KIMBERLY</v>
      </c>
      <c r="O22" s="175" t="s">
        <v>347</v>
      </c>
      <c r="P22" s="239" t="s">
        <v>487</v>
      </c>
      <c r="Q22" s="30"/>
      <c r="R22" s="81" t="str">
        <f>VLOOKUP(C22,'Train Runs'!$A$13:$AE$10258,31,0)</f>
        <v>aws s3 cp s3://rtdc.mdm.uploadarchive.raw/RTDC4013/ "%USERPROFILE%\AppData\Local\Temp\OnboardLogs"\RTDC4013\2018-01-11 --exclude "*" --recursive --include "*20180111*" &amp; "%USERPROFILE%\Documents\GitHub\mrs-test-scripts\Headless Mode &amp; Sideloading\WalkAndUnGZ.bat" "%USERPROFILE%\AppData\Local\Temp\OnboardLogs"\RTDC4013\2018-01-11 &amp; aws s3 cp s3://rtdc.mdm.uploadarchive.raw/RTDC4013/ "%USERPROFILE%\AppData\Local\Temp\OnboardLogs"\RTDC4013\2018-01-12 --exclude "*" --recursive --include "*20180112*" &amp; "%USERPROFILE%\Documents\GitHub\mrs-test-scripts\Headless Mode &amp; Sideloading\WalkAndUnGZ.bat" "%USERPROFILE%\AppData\Local\Temp\OnboardLogs"\RTDC4013\2018-01-12</v>
      </c>
      <c r="S22" s="84" t="str">
        <f>VLOOKUP(C22,'Train Runs'!$A$13:$AE$10258,22,0)</f>
        <v>https://d0f6bd738d7f1b3e5a7ca70fe4ff75f0.us-east-1.aws.found.io/app/kibana#/discover/Steve-Slow-Train-Analysis-(2080s-and-2083s)?_g=(refreshInterval:(display:Off,pause:!f,section:0,value:0),time:(from:'2018-01-11T06:54:11-0700',mode:absolute,to:'2018-01-11T09:23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/stypes="*4013*201801111*" /stext=" 15:.+((SYSTEM_STATE.+slice.+state.+changed )|(ment ac)|(multiple cpu faults)|(system.+state.+changed )|(\[timeout)|(PRM\|1\|D)|(kpr)|(kdp)|(train st.+moving)|(\|lc)|(penalty))"</v>
      </c>
      <c r="U22" s="9" t="str">
        <f>MID(B22,13,4)</f>
        <v>4013</v>
      </c>
      <c r="V22" s="31">
        <f>A22-utc_offset/24</f>
        <v>43111.641597222217</v>
      </c>
      <c r="W22" s="45" t="str">
        <f>DetSubdiv(C22)</f>
        <v>NW</v>
      </c>
      <c r="X22" s="228">
        <f>VALUE(LEFT(C22,LEN(C22)-3))</f>
        <v>810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overpass","project_id":79,"tracker_id":40,"status_id":1,"priority_id":2,"assigned_to_id":338,"start_date":"2018-01-11","description":"","custom_fields":[{"id":1,"name":"Subdivision","value":"NW"},{"id":4,"name":"Milepost","value":"0.4798"},{"id":17,"name":"Train ID","value":"810-11"},{"id":16,"name":"Locomotive ID","value":"4013"},{"id":130,"name":"Impact","value":""},{"id":150,"name":"Time of Event (Mountain Time)","value":"08:23:54"},{"id":151,"name":"Denver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/c/Users/stu/AppData/Local/Temp/OnboardLogs/RTDC4013 --include="*4013*201801111*"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"%USERPROFILE%\AppData\Local\Temp\OnboardLogs"\RTDC4013\*4013*201801111* &gt;&gt; 2018-01-11-SliceDisagreementCheck.txt</v>
      </c>
      <c r="AE22" s="144" t="str">
        <f t="shared" si="1"/>
        <v>start /low /b %USERPROFILE%\Documents\GitHub\eaglep3\Utilities\DownloadLogsFromS3.py --loco 4013 --day 2018-01-11</v>
      </c>
      <c r="AF22" s="1"/>
    </row>
    <row r="23" spans="1:32" x14ac:dyDescent="0.3">
      <c r="A23" s="31">
        <v>43111.620787037034</v>
      </c>
      <c r="B23" s="30" t="s">
        <v>649</v>
      </c>
      <c r="C23" s="30" t="s">
        <v>670</v>
      </c>
      <c r="D23" s="30" t="s">
        <v>49</v>
      </c>
      <c r="E23" s="30" t="s">
        <v>353</v>
      </c>
      <c r="F23" s="42">
        <v>0</v>
      </c>
      <c r="G23" s="42">
        <v>42</v>
      </c>
      <c r="H23" s="42">
        <v>4921</v>
      </c>
      <c r="I23" s="42">
        <v>4875</v>
      </c>
      <c r="J23" s="30" t="s">
        <v>354</v>
      </c>
      <c r="K23" s="42">
        <v>4798</v>
      </c>
      <c r="L23" s="131" t="s">
        <v>51</v>
      </c>
      <c r="M23" s="132">
        <f>CONVERT((I23-K23)/10000,"mi","ft")*IF(L23="Increasing Mileposts (1)",-1,1)</f>
        <v>40.655999999999999</v>
      </c>
      <c r="N23" s="133" t="str">
        <f>VLOOKUP(C23,'Trips&amp;Operators'!$C$1:$G$99911,5,FALSE)</f>
        <v>STAMBAUGH JAMES</v>
      </c>
      <c r="O23" s="175" t="s">
        <v>347</v>
      </c>
      <c r="P23" s="239" t="s">
        <v>439</v>
      </c>
      <c r="Q23" s="30"/>
      <c r="R23" s="81" t="str">
        <f>VLOOKUP(C23,'Train Runs'!$A$13:$AE$10258,31,0)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S23" s="84" t="str">
        <f>VLOOKUP(C23,'Train Runs'!$A$13:$AE$10258,22,0)</f>
        <v>https://d0f6bd738d7f1b3e5a7ca70fe4ff75f0.us-east-1.aws.found.io/app/kibana#/discover/Steve-Slow-Train-Analysis-(2080s-and-2083s)?_g=(refreshInterval:(display:Off,pause:!f,section:0,value:0),time:(from:'2018-01-11T13:25:03-0700',mode:absolute,to:'2018-01-11T15:53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/stypes="*4005*201801112*" /stext=" 21:.+((SYSTEM_STATE.+slice.+state.+changed )|(ment ac)|(multiple cpu faults)|(system.+state.+changed )|(\[timeout)|(PRM\|1\|D)|(kpr)|(kdp)|(train st.+moving)|(\|lc)|(penalty))"</v>
      </c>
      <c r="U23" s="9" t="str">
        <f>MID(B23,13,4)</f>
        <v>4005</v>
      </c>
      <c r="V23" s="31">
        <f>A23-utc_offset/24</f>
        <v>43111.912453703699</v>
      </c>
      <c r="W23" s="45" t="str">
        <f>DetSubdiv(C23)</f>
        <v>NW</v>
      </c>
      <c r="X23" s="228">
        <f>VALUE(LEFT(C23,LEN(C23)-3))</f>
        <v>824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drop","project_id":79,"tracker_id":40,"status_id":1,"priority_id":2,"assigned_to_id":338,"start_date":"2018-01-11","description":"","custom_fields":[{"id":1,"name":"Subdivision","value":"NW"},{"id":4,"name":"Milepost","value":"0.4798"},{"id":17,"name":"Train ID","value":"824-11"},{"id":16,"name":"Locomotive ID","value":"4005"},{"id":130,"name":"Impact","value":""},{"id":150,"name":"Time of Event (Mountain Time)","value":"14:53:56"},{"id":151,"name":"Denver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/c/Users/stu/AppData/Local/Temp/OnboardLogs/RTDC4005 --include="*4005*201801112*"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"%USERPROFILE%\AppData\Local\Temp\OnboardLogs"\RTDC4005\*4005*201801112* &gt;&gt; 2018-01-11-SliceDisagreementCheck.txt</v>
      </c>
      <c r="AE23" s="144" t="str">
        <f t="shared" si="1"/>
        <v>start /low /b %USERPROFILE%\Documents\GitHub\eaglep3\Utilities\DownloadLogsFromS3.py --loco 4005 --day 2018-01-11</v>
      </c>
      <c r="AF23" s="1"/>
    </row>
    <row r="24" spans="1:32" x14ac:dyDescent="0.3">
      <c r="A24" s="31">
        <v>43111.725162037037</v>
      </c>
      <c r="B24" s="30" t="s">
        <v>489</v>
      </c>
      <c r="C24" s="30" t="s">
        <v>679</v>
      </c>
      <c r="D24" s="30" t="s">
        <v>49</v>
      </c>
      <c r="E24" s="30" t="s">
        <v>353</v>
      </c>
      <c r="F24" s="42">
        <v>0</v>
      </c>
      <c r="G24" s="42">
        <v>95</v>
      </c>
      <c r="H24" s="42">
        <v>4802</v>
      </c>
      <c r="I24" s="42">
        <v>4651</v>
      </c>
      <c r="J24" s="30" t="s">
        <v>354</v>
      </c>
      <c r="K24" s="42">
        <v>4798</v>
      </c>
      <c r="L24" s="131" t="s">
        <v>51</v>
      </c>
      <c r="M24" s="132">
        <f>CONVERT((I24-K24)/10000,"mi","ft")*IF(L24="Increasing Mileposts (1)",-1,1)</f>
        <v>-77.616</v>
      </c>
      <c r="N24" s="133" t="str">
        <f>VLOOKUP(C24,'Trips&amp;Operators'!$C$1:$G$99911,5,FALSE)</f>
        <v>ZEWDU DEREJE</v>
      </c>
      <c r="O24" s="175" t="s">
        <v>347</v>
      </c>
      <c r="P24" s="239" t="s">
        <v>487</v>
      </c>
      <c r="Q24" s="30"/>
      <c r="R24" s="81" t="str">
        <f>VLOOKUP(C24,'Train Runs'!$A$13:$AE$10258,31,0)</f>
        <v>aws s3 cp s3://rtdc.mdm.uploadarchive.raw/RTDC4013/ "%USERPROFILE%\AppData\Local\Temp\OnboardLogs"\RTDC4013\2018-01-11 --exclude "*" --recursive --include "*20180111*" &amp; "%USERPROFILE%\Documents\GitHub\mrs-test-scripts\Headless Mode &amp; Sideloading\WalkAndUnGZ.bat" "%USERPROFILE%\AppData\Local\Temp\OnboardLogs"\RTDC4013\2018-01-11 &amp; aws s3 cp s3://rtdc.mdm.uploadarchive.raw/RTDC4013/ "%USERPROFILE%\AppData\Local\Temp\OnboardLogs"\RTDC4013\2018-01-12 --exclude "*" --recursive --include "*20180112*" &amp; "%USERPROFILE%\Documents\GitHub\mrs-test-scripts\Headless Mode &amp; Sideloading\WalkAndUnGZ.bat" "%USERPROFILE%\AppData\Local\Temp\OnboardLogs"\RTDC4013\2018-01-12</v>
      </c>
      <c r="S24" s="84" t="str">
        <f>VLOOKUP(C24,'Train Runs'!$A$13:$AE$10258,22,0)</f>
        <v>https://d0f6bd738d7f1b3e5a7ca70fe4ff75f0.us-east-1.aws.found.io/app/kibana#/discover/Steve-Slow-Train-Analysis-(2080s-and-2083s)?_g=(refreshInterval:(display:Off,pause:!f,section:0,value:0),time:(from:'2018-01-11T15:56:49-0700',mode:absolute,to:'2018-01-11T18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/stypes="*4013*201801120*" /stext=" 00:.+((SYSTEM_STATE.+slice.+state.+changed )|(ment ac)|(multiple cpu faults)|(system.+state.+changed )|(\[timeout)|(PRM\|1\|D)|(kpr)|(kdp)|(train st.+moving)|(\|lc)|(penalty))"</v>
      </c>
      <c r="U24" s="9" t="str">
        <f>MID(B24,13,4)</f>
        <v>4013</v>
      </c>
      <c r="V24" s="31">
        <f>A24-utc_offset/24</f>
        <v>43112.016828703701</v>
      </c>
      <c r="W24" s="45" t="str">
        <f>DetSubdiv(C24)</f>
        <v>NW</v>
      </c>
      <c r="X24" s="228">
        <f>VALUE(LEFT(C24,LEN(C24)-3))</f>
        <v>832</v>
      </c>
      <c r="Y24" s="23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overpass","project_id":79,"tracker_id":40,"status_id":1,"priority_id":2,"assigned_to_id":338,"start_date":"2018-01-11","description":"","custom_fields":[{"id":1,"name":"Subdivision","value":"NW"},{"id":4,"name":"Milepost","value":"0.4798"},{"id":17,"name":"Train ID","value":"832-11"},{"id":16,"name":"Locomotive ID","value":"4013"},{"id":130,"name":"Impact","value":""},{"id":150,"name":"Time of Event (Mountain Time)","value":"17:24:14"},{"id":151,"name":"Denver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/c/Users/stu/AppData/Local/Temp/OnboardLogs/RTDC4013 --include="*4013*201801120*"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"%USERPROFILE%\AppData\Local\Temp\OnboardLogs"\RTDC4013\*4013*201801120* &gt;&gt; 2018-01-11-SliceDisagreementCheck.txt</v>
      </c>
      <c r="AE24" s="144" t="str">
        <f t="shared" si="1"/>
        <v>start /low /b %USERPROFILE%\Documents\GitHub\eaglep3\Utilities\DownloadLogsFromS3.py --loco 4013 --day 2018-01-12</v>
      </c>
      <c r="AF24" s="1"/>
    </row>
    <row r="25" spans="1:32" x14ac:dyDescent="0.3">
      <c r="A25" s="31">
        <v>43111.725775462961</v>
      </c>
      <c r="B25" s="30" t="s">
        <v>489</v>
      </c>
      <c r="C25" s="30" t="s">
        <v>679</v>
      </c>
      <c r="D25" s="30" t="s">
        <v>95</v>
      </c>
      <c r="E25" s="30" t="s">
        <v>353</v>
      </c>
      <c r="F25" s="42">
        <v>0</v>
      </c>
      <c r="G25" s="42">
        <v>5</v>
      </c>
      <c r="H25" s="42">
        <v>4502</v>
      </c>
      <c r="I25" s="42">
        <v>4498</v>
      </c>
      <c r="J25" s="30" t="s">
        <v>354</v>
      </c>
      <c r="K25" s="42">
        <v>4798</v>
      </c>
      <c r="L25" s="131" t="s">
        <v>51</v>
      </c>
      <c r="M25" s="132">
        <f>CONVERT((I25-K25)/10000,"mi","ft")*IF(L25="Increasing Mileposts (1)",-1,1)</f>
        <v>-158.4</v>
      </c>
      <c r="N25" s="133" t="str">
        <f>VLOOKUP(C25,'Trips&amp;Operators'!$C$1:$G$99911,5,FALSE)</f>
        <v>ZEWDU DEREJE</v>
      </c>
      <c r="O25" s="175" t="s">
        <v>347</v>
      </c>
      <c r="P25" s="239" t="s">
        <v>487</v>
      </c>
      <c r="Q25" s="30"/>
      <c r="R25" s="81" t="str">
        <f>VLOOKUP(C25,'Train Runs'!$A$13:$AE$10258,31,0)</f>
        <v>aws s3 cp s3://rtdc.mdm.uploadarchive.raw/RTDC4013/ "%USERPROFILE%\AppData\Local\Temp\OnboardLogs"\RTDC4013\2018-01-11 --exclude "*" --recursive --include "*20180111*" &amp; "%USERPROFILE%\Documents\GitHub\mrs-test-scripts\Headless Mode &amp; Sideloading\WalkAndUnGZ.bat" "%USERPROFILE%\AppData\Local\Temp\OnboardLogs"\RTDC4013\2018-01-11 &amp; aws s3 cp s3://rtdc.mdm.uploadarchive.raw/RTDC4013/ "%USERPROFILE%\AppData\Local\Temp\OnboardLogs"\RTDC4013\2018-01-12 --exclude "*" --recursive --include "*20180112*" &amp; "%USERPROFILE%\Documents\GitHub\mrs-test-scripts\Headless Mode &amp; Sideloading\WalkAndUnGZ.bat" "%USERPROFILE%\AppData\Local\Temp\OnboardLogs"\RTDC4013\2018-01-12</v>
      </c>
      <c r="S25" s="84" t="str">
        <f>VLOOKUP(C25,'Train Runs'!$A$13:$AE$10258,22,0)</f>
        <v>https://d0f6bd738d7f1b3e5a7ca70fe4ff75f0.us-east-1.aws.found.io/app/kibana#/discover/Steve-Slow-Train-Analysis-(2080s-and-2083s)?_g=(refreshInterval:(display:Off,pause:!f,section:0,value:0),time:(from:'2018-01-11T15:56:49-0700',mode:absolute,to:'2018-01-11T18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/stypes="*4013*201801120*" /stext=" 00:.+((SYSTEM_STATE.+slice.+state.+changed )|(ment ac)|(multiple cpu faults)|(system.+state.+changed )|(\[timeout)|(PRM\|1\|D)|(kpr)|(kdp)|(train st.+moving)|(\|lc)|(penalty))"</v>
      </c>
      <c r="U25" s="9" t="str">
        <f>MID(B25,13,4)</f>
        <v>4013</v>
      </c>
      <c r="V25" s="31">
        <f>A25-utc_offset/24</f>
        <v>43112.017442129625</v>
      </c>
      <c r="W25" s="45" t="str">
        <f>DetSubdiv(C25)</f>
        <v>NW</v>
      </c>
      <c r="X25" s="228">
        <f>VALUE(LEFT(C25,LEN(C25)-3))</f>
        <v>832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overpass","project_id":79,"tracker_id":40,"status_id":1,"priority_id":2,"assigned_to_id":338,"start_date":"2018-01-11","description":"","custom_fields":[{"id":1,"name":"Subdivision","value":"NW"},{"id":4,"name":"Milepost","value":"0.4798"},{"id":17,"name":"Train ID","value":"832-11"},{"id":16,"name":"Locomotive ID","value":"4013"},{"id":130,"name":"Impact","value":""},{"id":150,"name":"Time of Event (Mountain Time)","value":"17:25:07"},{"id":151,"name":"Denver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/c/Users/stu/AppData/Local/Temp/OnboardLogs/RTDC4013 --include="*4013*201801120*"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"%USERPROFILE%\AppData\Local\Temp\OnboardLogs"\RTDC4013\*4013*201801120* &gt;&gt; 2018-01-11-SliceDisagreementCheck.txt</v>
      </c>
      <c r="AE25" s="144" t="str">
        <f t="shared" si="1"/>
        <v>start /low /b %USERPROFILE%\Documents\GitHub\eaglep3\Utilities\DownloadLogsFromS3.py --loco 4013 --day 2018-01-12</v>
      </c>
      <c r="AF25" s="1"/>
    </row>
    <row r="26" spans="1:32" x14ac:dyDescent="0.3">
      <c r="A26" s="31">
        <v>43111.869791666664</v>
      </c>
      <c r="B26" s="30" t="s">
        <v>649</v>
      </c>
      <c r="C26" s="30" t="s">
        <v>681</v>
      </c>
      <c r="D26" s="30" t="s">
        <v>95</v>
      </c>
      <c r="E26" s="30" t="s">
        <v>353</v>
      </c>
      <c r="F26" s="42">
        <v>0</v>
      </c>
      <c r="G26" s="42">
        <v>114</v>
      </c>
      <c r="H26" s="42">
        <v>4770</v>
      </c>
      <c r="I26" s="42">
        <v>4576</v>
      </c>
      <c r="J26" s="30" t="s">
        <v>354</v>
      </c>
      <c r="K26" s="42">
        <v>4798</v>
      </c>
      <c r="L26" s="131" t="s">
        <v>51</v>
      </c>
      <c r="M26" s="132">
        <f>CONVERT((I26-K26)/10000,"mi","ft")*IF(L26="Increasing Mileposts (1)",-1,1)</f>
        <v>-117.21599999999999</v>
      </c>
      <c r="N26" s="133" t="str">
        <f>VLOOKUP(C26,'Trips&amp;Operators'!$C$1:$G$99911,5,FALSE)</f>
        <v>STAMBAUGH JAMES</v>
      </c>
      <c r="O26" s="175" t="s">
        <v>347</v>
      </c>
      <c r="P26" s="239" t="s">
        <v>487</v>
      </c>
      <c r="Q26" s="30"/>
      <c r="R26" s="81" t="str">
        <f>VLOOKUP(C26,'Train Runs'!$A$13:$AE$10258,31,0)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S26" s="84" t="str">
        <f>VLOOKUP(C26,'Train Runs'!$A$13:$AE$10258,22,0)</f>
        <v>https://d0f6bd738d7f1b3e5a7ca70fe4ff75f0.us-east-1.aws.found.io/app/kibana#/discover/Steve-Slow-Train-Analysis-(2080s-and-2083s)?_g=(refreshInterval:(display:Off,pause:!f,section:0,value:0),time:(from:'2018-01-11T19:24:25-0700',mode:absolute,to:'2018-01-11T21:52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/stypes="*4005*201801120*" /stext=" 03:.+((SYSTEM_STATE.+slice.+state.+changed )|(ment ac)|(multiple cpu faults)|(system.+state.+changed )|(\[timeout)|(PRM\|1\|D)|(kpr)|(kdp)|(train st.+moving)|(\|lc)|(penalty))"</v>
      </c>
      <c r="U26" s="9" t="str">
        <f>MID(B26,13,4)</f>
        <v>4005</v>
      </c>
      <c r="V26" s="31">
        <f>A26-utc_offset/24</f>
        <v>43112.161458333328</v>
      </c>
      <c r="W26" s="45" t="str">
        <f>DetSubdiv(C26)</f>
        <v>NW</v>
      </c>
      <c r="X26" s="228">
        <f>VALUE(LEFT(C26,LEN(C26)-3))</f>
        <v>842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overpass","project_id":79,"tracker_id":40,"status_id":1,"priority_id":2,"assigned_to_id":338,"start_date":"2018-01-11","description":"","custom_fields":[{"id":1,"name":"Subdivision","value":"NW"},{"id":4,"name":"Milepost","value":"0.4798"},{"id":17,"name":"Train ID","value":"842-11"},{"id":16,"name":"Locomotive ID","value":"4005"},{"id":130,"name":"Impact","value":""},{"id":150,"name":"Time of Event (Mountain Time)","value":"20:52:30"},{"id":151,"name":"Denver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/c/Users/stu/AppData/Local/Temp/OnboardLogs/RTDC4005 --include="*4005*201801120*"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"%USERPROFILE%\AppData\Local\Temp\OnboardLogs"\RTDC4005\*4005*201801120* &gt;&gt; 2018-01-11-SliceDisagreementCheck.txt</v>
      </c>
      <c r="AE26" s="144" t="str">
        <f t="shared" si="1"/>
        <v>start /low /b %USERPROFILE%\Documents\GitHub\eaglep3\Utilities\DownloadLogsFromS3.py --loco 4005 --day 2018-01-12</v>
      </c>
      <c r="AF26" s="1"/>
    </row>
    <row r="27" spans="1:32" x14ac:dyDescent="0.3">
      <c r="A27" s="31">
        <v>43111.618321759262</v>
      </c>
      <c r="B27" s="30" t="s">
        <v>649</v>
      </c>
      <c r="C27" s="30" t="s">
        <v>670</v>
      </c>
      <c r="D27" s="30" t="s">
        <v>49</v>
      </c>
      <c r="E27" s="30" t="s">
        <v>353</v>
      </c>
      <c r="F27" s="42">
        <v>0</v>
      </c>
      <c r="G27" s="42">
        <v>314</v>
      </c>
      <c r="H27" s="42">
        <v>11380</v>
      </c>
      <c r="I27" s="42">
        <v>10596</v>
      </c>
      <c r="J27" s="30" t="s">
        <v>354</v>
      </c>
      <c r="K27" s="42">
        <v>11018</v>
      </c>
      <c r="L27" s="131" t="s">
        <v>51</v>
      </c>
      <c r="M27" s="132">
        <f>CONVERT((I27-K27)/10000,"mi","ft")*IF(L27="Increasing Mileposts (1)",-1,1)</f>
        <v>-222.816</v>
      </c>
      <c r="N27" s="133" t="str">
        <f>VLOOKUP(C27,'Trips&amp;Operators'!$C$1:$G$99911,5,FALSE)</f>
        <v>STAMBAUGH JAMES</v>
      </c>
      <c r="O27" s="175" t="s">
        <v>347</v>
      </c>
      <c r="P27" s="239" t="s">
        <v>439</v>
      </c>
      <c r="Q27" s="30"/>
      <c r="R27" s="81" t="str">
        <f>VLOOKUP(C27,'Train Runs'!$A$13:$AE$10258,31,0)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S27" s="84" t="str">
        <f>VLOOKUP(C27,'Train Runs'!$A$13:$AE$10258,22,0)</f>
        <v>https://d0f6bd738d7f1b3e5a7ca70fe4ff75f0.us-east-1.aws.found.io/app/kibana#/discover/Steve-Slow-Train-Analysis-(2080s-and-2083s)?_g=(refreshInterval:(display:Off,pause:!f,section:0,value:0),time:(from:'2018-01-11T13:25:03-0700',mode:absolute,to:'2018-01-11T15:53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/stypes="*4005*201801112*" /stext=" 21:.+((SYSTEM_STATE.+slice.+state.+changed )|(ment ac)|(multiple cpu faults)|(system.+state.+changed )|(\[timeout)|(PRM\|1\|D)|(kpr)|(kdp)|(train st.+moving)|(\|lc)|(penalty))"</v>
      </c>
      <c r="U27" s="9" t="str">
        <f>MID(B27,13,4)</f>
        <v>4005</v>
      </c>
      <c r="V27" s="31">
        <f>A27-utc_offset/24</f>
        <v>43111.909988425927</v>
      </c>
      <c r="W27" s="45" t="str">
        <f>DetSubdiv(C27)</f>
        <v>NW</v>
      </c>
      <c r="X27" s="228">
        <f>VALUE(LEFT(C27,LEN(C27)-3))</f>
        <v>824</v>
      </c>
      <c r="Y27" s="23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drop","project_id":79,"tracker_id":40,"status_id":1,"priority_id":2,"assigned_to_id":338,"start_date":"2018-01-11","description":"","custom_fields":[{"id":1,"name":"Subdivision","value":"NW"},{"id":4,"name":"Milepost","value":"1.1018"},{"id":17,"name":"Train ID","value":"824-11"},{"id":16,"name":"Locomotive ID","value":"4005"},{"id":130,"name":"Impact","value":""},{"id":150,"name":"Time of Event (Mountain Time)","value":"14:50:23"},{"id":151,"name":"Denver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/c/Users/stu/AppData/Local/Temp/OnboardLogs/RTDC4005 --include="*4005*201801112*"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"%USERPROFILE%\AppData\Local\Temp\OnboardLogs"\RTDC4005\*4005*201801112* &gt;&gt; 2018-01-11-SliceDisagreementCheck.txt</v>
      </c>
      <c r="AE27" s="144" t="str">
        <f t="shared" si="1"/>
        <v>start /low /b %USERPROFILE%\Documents\GitHub\eaglep3\Utilities\DownloadLogsFromS3.py --loco 4005 --day 2018-01-11</v>
      </c>
      <c r="AF27" s="1"/>
    </row>
    <row r="28" spans="1:32" x14ac:dyDescent="0.3">
      <c r="A28" s="31">
        <v>43111.761574074073</v>
      </c>
      <c r="B28" s="30" t="s">
        <v>656</v>
      </c>
      <c r="C28" s="30" t="s">
        <v>680</v>
      </c>
      <c r="D28" s="30" t="s">
        <v>49</v>
      </c>
      <c r="E28" s="30" t="s">
        <v>353</v>
      </c>
      <c r="F28" s="42">
        <v>0</v>
      </c>
      <c r="G28" s="42">
        <v>216</v>
      </c>
      <c r="H28" s="42">
        <v>33444</v>
      </c>
      <c r="I28" s="42">
        <v>33768</v>
      </c>
      <c r="J28" s="30" t="s">
        <v>354</v>
      </c>
      <c r="K28" s="42">
        <v>34583</v>
      </c>
      <c r="L28" s="131" t="s">
        <v>50</v>
      </c>
      <c r="M28" s="132">
        <f>CONVERT((I28-K28)/10000,"mi","ft")*IF(L28="Increasing Mileposts (1)",-1,1)</f>
        <v>430.32</v>
      </c>
      <c r="N28" s="133" t="str">
        <f>VLOOKUP(C28,'Trips&amp;Operators'!$C$1:$G$99911,5,FALSE)</f>
        <v>STAMBAUGH JAMES</v>
      </c>
      <c r="O28" s="175" t="s">
        <v>347</v>
      </c>
      <c r="P28" s="239" t="s">
        <v>1121</v>
      </c>
      <c r="Q28" s="30"/>
      <c r="R28" s="81" t="str">
        <f>VLOOKUP(C28,'Train Runs'!$A$13:$AE$10258,31,0)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S28" s="84" t="str">
        <f>VLOOKUP(C28,'Train Runs'!$A$13:$AE$10258,22,0)</f>
        <v>https://d0f6bd738d7f1b3e5a7ca70fe4ff75f0.us-east-1.aws.found.io/app/kibana#/discover/Steve-Slow-Train-Analysis-(2080s-and-2083s)?_g=(refreshInterval:(display:Off,pause:!f,section:0,value:0),time:(from:'2018-01-11T17:01:39-0700',mode:absolute,to:'2018-01-11T19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/stypes="*4006*201801120*" /stext=" 01:.+((SYSTEM_STATE.+slice.+state.+changed )|(ment ac)|(multiple cpu faults)|(system.+state.+changed )|(\[timeout)|(PRM\|1\|D)|(kpr)|(kdp)|(train st.+moving)|(\|lc)|(penalty))"</v>
      </c>
      <c r="U28" s="9" t="str">
        <f>MID(B28,13,4)</f>
        <v>4006</v>
      </c>
      <c r="V28" s="31">
        <f>A28-utc_offset/24</f>
        <v>43112.053240740737</v>
      </c>
      <c r="W28" s="45" t="str">
        <f>DetSubdiv(C28)</f>
        <v>NW</v>
      </c>
      <c r="X28" s="228">
        <f>VALUE(LEFT(C28,LEN(C28)-3))</f>
        <v>837</v>
      </c>
      <c r="Y28" s="23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{"issue":{"subject":"Restricted aspect due to Pecos 4N","project_id":79,"tracker_id":40,"status_id":1,"priority_id":2,"assigned_to_id":338,"start_date":"2018-01-11","description":"","custom_fields":[{"id":1,"name":"Subdivision","value":"NW"},{"id":4,"name":"Milepost","value":"3.4583"},{"id":17,"name":"Train ID","value":"837-11"},{"id":16,"name":"Locomotive ID","value":"4006"},{"id":130,"name":"Impact","value":""},{"id":150,"name":"Time of Event (Mountain Time)","value":"18:16:40"},{"id":151,"name":"Denver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1"/>
      <c r="AB28" s="231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/c/Users/stu/AppData/Local/Temp/OnboardLogs/RTDC4006 --include="*4006*201801120*"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"%USERPROFILE%\AppData\Local\Temp\OnboardLogs"\RTDC4006\*4006*201801120* &gt;&gt; 2018-01-11-SliceDisagreementCheck.txt</v>
      </c>
      <c r="AE28" s="144" t="str">
        <f t="shared" si="1"/>
        <v>start /low /b %USERPROFILE%\Documents\GitHub\eaglep3\Utilities\DownloadLogsFromS3.py --loco 4006 --day 2018-01-12</v>
      </c>
      <c r="AF28" s="1"/>
    </row>
    <row r="29" spans="1:32" x14ac:dyDescent="0.3">
      <c r="A29" s="31">
        <v>43111.432662037034</v>
      </c>
      <c r="B29" s="30" t="s">
        <v>656</v>
      </c>
      <c r="C29" s="30" t="s">
        <v>657</v>
      </c>
      <c r="D29" s="30" t="s">
        <v>49</v>
      </c>
      <c r="E29" s="30" t="s">
        <v>654</v>
      </c>
      <c r="F29" s="42">
        <v>0</v>
      </c>
      <c r="G29" s="42">
        <v>41</v>
      </c>
      <c r="H29" s="42">
        <v>58956</v>
      </c>
      <c r="I29" s="42">
        <v>58984</v>
      </c>
      <c r="J29" s="30" t="s">
        <v>655</v>
      </c>
      <c r="K29" s="42">
        <v>59048</v>
      </c>
      <c r="L29" s="131" t="s">
        <v>50</v>
      </c>
      <c r="M29" s="132">
        <f>CONVERT((I29-K29)/10000,"mi","ft")*IF(L29="Increasing Mileposts (1)",-1,1)</f>
        <v>33.792000000000002</v>
      </c>
      <c r="N29" s="133" t="str">
        <f>VLOOKUP(C29,'Trips&amp;Operators'!$C$1:$G$99911,5,FALSE)</f>
        <v>FORTUNATO FRANK</v>
      </c>
      <c r="O29" s="175" t="s">
        <v>178</v>
      </c>
      <c r="P29" s="239"/>
      <c r="Q29" s="30"/>
      <c r="R29" s="81" t="str">
        <f>VLOOKUP(C29,'Train Runs'!$A$13:$AE$10258,31,0)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S29" s="84" t="str">
        <f>VLOOKUP(C29,'Train Runs'!$A$13:$AE$10258,22,0)</f>
        <v>https://d0f6bd738d7f1b3e5a7ca70fe4ff75f0.us-east-1.aws.found.io/app/kibana#/discover/Steve-Slow-Train-Analysis-(2080s-and-2083s)?_g=(refreshInterval:(display:Off,pause:!f,section:0,value:0),time:(from:'2018-01-11T09:00:55-0700',mode:absolute,to:'2018-01-11T11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/stypes="*4006*201801111*" /stext=" 17:.+((SYSTEM_STATE.+slice.+state.+changed )|(ment ac)|(multiple cpu faults)|(system.+state.+changed )|(\[timeout)|(PRM\|1\|D)|(kpr)|(kdp)|(train st.+moving)|(\|lc)|(penalty))"</v>
      </c>
      <c r="U29" s="9" t="str">
        <f>MID(B29,13,4)</f>
        <v>4006</v>
      </c>
      <c r="V29" s="31">
        <f>A29-utc_offset/24</f>
        <v>43111.724328703698</v>
      </c>
      <c r="W29" s="45" t="str">
        <f>DetSubdiv(C29)</f>
        <v>NW</v>
      </c>
      <c r="X29" s="228">
        <f>VALUE(LEFT(C29,LEN(C29)-3))</f>
        <v>815</v>
      </c>
      <c r="Y29" s="23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{"issue":{"subject":"","project_id":79,"tracker_id":40,"status_id":1,"priority_id":2,"assigned_to_id":338,"start_date":"2018-01-11","description":"","custom_fields":[{"id":1,"name":"Subdivision","value":"NW"},{"id":4,"name":"Milepost","value":"5.9048"},{"id":17,"name":"Train ID","value":"815-11"},{"id":16,"name":"Locomotive ID","value":"4006"},{"id":130,"name":"Impact","value":""},{"id":150,"name":"Time of Event (Mountain Time)","value":"10:23:02"},{"id":151,"name":"Denver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/c/Users/stu/AppData/Local/Temp/OnboardLogs/RTDC4006 --include="*4006*201801111*"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"%USERPROFILE%\AppData\Local\Temp\OnboardLogs"\RTDC4006\*4006*201801111* &gt;&gt; 2018-01-11-SliceDisagreementCheck.txt</v>
      </c>
      <c r="AE29" s="144" t="str">
        <f t="shared" si="1"/>
        <v>start /low /b %USERPROFILE%\Documents\GitHub\eaglep3\Utilities\DownloadLogsFromS3.py --loco 4006 --day 2018-01-11</v>
      </c>
      <c r="AF29" s="1"/>
    </row>
    <row r="30" spans="1:32" x14ac:dyDescent="0.3">
      <c r="A30" s="31">
        <v>43111.557766203703</v>
      </c>
      <c r="B30" s="30" t="s">
        <v>656</v>
      </c>
      <c r="C30" s="30" t="s">
        <v>666</v>
      </c>
      <c r="D30" s="30" t="s">
        <v>49</v>
      </c>
      <c r="E30" s="30" t="s">
        <v>654</v>
      </c>
      <c r="F30" s="42">
        <v>0</v>
      </c>
      <c r="G30" s="42">
        <v>37</v>
      </c>
      <c r="H30" s="42">
        <v>58948</v>
      </c>
      <c r="I30" s="42">
        <v>58971</v>
      </c>
      <c r="J30" s="30" t="s">
        <v>655</v>
      </c>
      <c r="K30" s="42">
        <v>59048</v>
      </c>
      <c r="L30" s="131" t="s">
        <v>50</v>
      </c>
      <c r="M30" s="132">
        <f>CONVERT((I30-K30)/10000,"mi","ft")*IF(L30="Increasing Mileposts (1)",-1,1)</f>
        <v>40.655999999999999</v>
      </c>
      <c r="N30" s="133" t="str">
        <f>VLOOKUP(C30,'Trips&amp;Operators'!$C$1:$G$99911,5,FALSE)</f>
        <v>STAMBAUGH JAMES</v>
      </c>
      <c r="O30" s="175" t="s">
        <v>178</v>
      </c>
      <c r="P30" s="239"/>
      <c r="Q30" s="30"/>
      <c r="R30" s="81" t="str">
        <f>VLOOKUP(C30,'Train Runs'!$A$13:$AE$10258,31,0)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S30" s="84" t="str">
        <f>VLOOKUP(C30,'Train Runs'!$A$13:$AE$10258,22,0)</f>
        <v>https://d0f6bd738d7f1b3e5a7ca70fe4ff75f0.us-east-1.aws.found.io/app/kibana#/discover/Steve-Slow-Train-Analysis-(2080s-and-2083s)?_g=(refreshInterval:(display:Off,pause:!f,section:0,value:0),time:(from:'2018-01-11T12:02:12-0700',mode:absolute,to:'2018-01-11T14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/stypes="*4006*201801112*" /stext=" 20:.+((SYSTEM_STATE.+slice.+state.+changed )|(ment ac)|(multiple cpu faults)|(system.+state.+changed )|(\[timeout)|(PRM\|1\|D)|(kpr)|(kdp)|(train st.+moving)|(\|lc)|(penalty))"</v>
      </c>
      <c r="U30" s="9" t="str">
        <f>MID(B30,13,4)</f>
        <v>4006</v>
      </c>
      <c r="V30" s="31">
        <f>A30-utc_offset/24</f>
        <v>43111.849432870367</v>
      </c>
      <c r="W30" s="45" t="str">
        <f>DetSubdiv(C30)</f>
        <v>NW</v>
      </c>
      <c r="X30" s="228">
        <f>VALUE(LEFT(C30,LEN(C30)-3))</f>
        <v>821</v>
      </c>
      <c r="Y30" s="23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{"issue":{"subject":"","project_id":79,"tracker_id":40,"status_id":1,"priority_id":2,"assigned_to_id":338,"start_date":"2018-01-11","description":"","custom_fields":[{"id":1,"name":"Subdivision","value":"NW"},{"id":4,"name":"Milepost","value":"5.9048"},{"id":17,"name":"Train ID","value":"821-11"},{"id":16,"name":"Locomotive ID","value":"4006"},{"id":130,"name":"Impact","value":""},{"id":150,"name":"Time of Event (Mountain Time)","value":"13:23:11"},{"id":151,"name":"Denver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/c/Users/stu/AppData/Local/Temp/OnboardLogs/RTDC4006 --include="*4006*201801112*"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"%USERPROFILE%\AppData\Local\Temp\OnboardLogs"\RTDC4006\*4006*201801112* &gt;&gt; 2018-01-11-SliceDisagreementCheck.txt</v>
      </c>
      <c r="AE30" s="144" t="str">
        <f t="shared" si="1"/>
        <v>start /low /b %USERPROFILE%\Documents\GitHub\eaglep3\Utilities\DownloadLogsFromS3.py --loco 4006 --day 2018-01-11</v>
      </c>
      <c r="AF30" s="1"/>
    </row>
    <row r="31" spans="1:32" x14ac:dyDescent="0.3">
      <c r="A31" s="31">
        <v>43111.766458333332</v>
      </c>
      <c r="B31" s="30" t="s">
        <v>656</v>
      </c>
      <c r="C31" s="30" t="s">
        <v>680</v>
      </c>
      <c r="D31" s="30" t="s">
        <v>49</v>
      </c>
      <c r="E31" s="30" t="s">
        <v>654</v>
      </c>
      <c r="F31" s="42">
        <v>0</v>
      </c>
      <c r="G31" s="42">
        <v>45</v>
      </c>
      <c r="H31" s="42">
        <v>58911</v>
      </c>
      <c r="I31" s="42">
        <v>58941</v>
      </c>
      <c r="J31" s="30" t="s">
        <v>655</v>
      </c>
      <c r="K31" s="42">
        <v>59048</v>
      </c>
      <c r="L31" s="131" t="s">
        <v>50</v>
      </c>
      <c r="M31" s="132">
        <f>CONVERT((I31-K31)/10000,"mi","ft")*IF(L31="Increasing Mileposts (1)",-1,1)</f>
        <v>56.496000000000002</v>
      </c>
      <c r="N31" s="133" t="str">
        <f>VLOOKUP(C31,'Trips&amp;Operators'!$C$1:$G$99911,5,FALSE)</f>
        <v>STAMBAUGH JAMES</v>
      </c>
      <c r="O31" s="175" t="s">
        <v>178</v>
      </c>
      <c r="P31" s="239"/>
      <c r="Q31" s="30"/>
      <c r="R31" s="81" t="str">
        <f>VLOOKUP(C31,'Train Runs'!$A$13:$AE$10258,31,0)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S31" s="84" t="str">
        <f>VLOOKUP(C31,'Train Runs'!$A$13:$AE$10258,22,0)</f>
        <v>https://d0f6bd738d7f1b3e5a7ca70fe4ff75f0.us-east-1.aws.found.io/app/kibana#/discover/Steve-Slow-Train-Analysis-(2080s-and-2083s)?_g=(refreshInterval:(display:Off,pause:!f,section:0,value:0),time:(from:'2018-01-11T17:01:39-0700',mode:absolute,to:'2018-01-11T19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/stypes="*4006*201801120*" /stext=" 01:.+((SYSTEM_STATE.+slice.+state.+changed )|(ment ac)|(multiple cpu faults)|(system.+state.+changed )|(\[timeout)|(PRM\|1\|D)|(kpr)|(kdp)|(train st.+moving)|(\|lc)|(penalty))"</v>
      </c>
      <c r="U31" s="9" t="str">
        <f>MID(B31,13,4)</f>
        <v>4006</v>
      </c>
      <c r="V31" s="31">
        <f>A31-utc_offset/24</f>
        <v>43112.058124999996</v>
      </c>
      <c r="W31" s="45" t="str">
        <f>DetSubdiv(C31)</f>
        <v>NW</v>
      </c>
      <c r="X31" s="228">
        <f>VALUE(LEFT(C31,LEN(C31)-3))</f>
        <v>837</v>
      </c>
      <c r="Y31" s="23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{"issue":{"subject":"","project_id":79,"tracker_id":40,"status_id":1,"priority_id":2,"assigned_to_id":338,"start_date":"2018-01-11","description":"","custom_fields":[{"id":1,"name":"Subdivision","value":"NW"},{"id":4,"name":"Milepost","value":"5.9048"},{"id":17,"name":"Train ID","value":"837-11"},{"id":16,"name":"Locomotive ID","value":"4006"},{"id":130,"name":"Impact","value":""},{"id":150,"name":"Time of Event (Mountain Time)","value":"18:23:42"},{"id":151,"name":"Denver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/c/Users/stu/AppData/Local/Temp/OnboardLogs/RTDC4006 --include="*4006*201801120*"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"%USERPROFILE%\AppData\Local\Temp\OnboardLogs"\RTDC4006\*4006*201801120* &gt;&gt; 2018-01-11-SliceDisagreementCheck.txt</v>
      </c>
      <c r="AE31" s="144" t="str">
        <f t="shared" si="1"/>
        <v>start /low /b %USERPROFILE%\Documents\GitHub\eaglep3\Utilities\DownloadLogsFromS3.py --loco 4006 --day 2018-01-12</v>
      </c>
      <c r="AF31" s="1"/>
    </row>
    <row r="32" spans="1:32" x14ac:dyDescent="0.3">
      <c r="A32" s="31">
        <v>43111.974594907406</v>
      </c>
      <c r="B32" s="30" t="s">
        <v>656</v>
      </c>
      <c r="C32" s="30" t="s">
        <v>682</v>
      </c>
      <c r="D32" s="30" t="s">
        <v>49</v>
      </c>
      <c r="E32" s="30" t="s">
        <v>654</v>
      </c>
      <c r="F32" s="42">
        <v>0</v>
      </c>
      <c r="G32" s="42">
        <v>73</v>
      </c>
      <c r="H32" s="42">
        <v>58807</v>
      </c>
      <c r="I32" s="42">
        <v>58865</v>
      </c>
      <c r="J32" s="30" t="s">
        <v>655</v>
      </c>
      <c r="K32" s="42">
        <v>59048</v>
      </c>
      <c r="L32" s="131" t="s">
        <v>50</v>
      </c>
      <c r="M32" s="132">
        <f>CONVERT((I32-K32)/10000,"mi","ft")*IF(L32="Increasing Mileposts (1)",-1,1)</f>
        <v>96.623999999999995</v>
      </c>
      <c r="N32" s="133" t="str">
        <f>VLOOKUP(C32,'Trips&amp;Operators'!$C$1:$G$99911,5,FALSE)</f>
        <v>ANDREA WILLIAMS</v>
      </c>
      <c r="O32" s="175" t="s">
        <v>178</v>
      </c>
      <c r="P32" s="239"/>
      <c r="Q32" s="30"/>
      <c r="R32" s="81" t="str">
        <f>VLOOKUP(C32,'Train Runs'!$A$13:$AE$10258,31,0)</f>
        <v>aws s3 cp s3://rtdc.mdm.uploadarchive.raw/RTDC4006/ "%USERPROFILE%\AppData\Local\Temp\OnboardLogs"\RTDC4006\2018-01-11 --exclude "*" --recursive --include "*20180111*" &amp; "%USERPROFILE%\Documents\GitHub\mrs-test-scripts\Headless Mode &amp; Sideloading\WalkAndUnGZ.bat" "%USERPROFILE%\AppData\Local\Temp\OnboardLogs"\RTDC4006\2018-01-11 &amp; aws s3 cp s3://rtdc.mdm.uploadarchive.raw/RTDC4006/ "%USERPROFILE%\AppData\Local\Temp\OnboardLogs"\RTDC4006\2018-01-12 --exclude "*" --recursive --include "*20180112*" &amp; "%USERPROFILE%\Documents\GitHub\mrs-test-scripts\Headless Mode &amp; Sideloading\WalkAndUnGZ.bat" "%USERPROFILE%\AppData\Local\Temp\OnboardLogs"\RTDC4006\2018-01-12</v>
      </c>
      <c r="S32" s="84" t="str">
        <f>VLOOKUP(C32,'Train Runs'!$A$13:$AE$10258,22,0)</f>
        <v>https://d0f6bd738d7f1b3e5a7ca70fe4ff75f0.us-east-1.aws.found.io/app/kibana#/discover/Steve-Slow-Train-Analysis-(2080s-and-2083s)?_g=(refreshInterval:(display:Off,pause:!f,section:0,value:0),time:(from:'2018-01-11T21:26:54-0700',mode:absolute,to:'2018-01-12T00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/stypes="*4006*201801120*" /stext=" 06:.+((SYSTEM_STATE.+slice.+state.+changed )|(ment ac)|(multiple cpu faults)|(system.+state.+changed )|(\[timeout)|(PRM\|1\|D)|(kpr)|(kdp)|(train st.+moving)|(\|lc)|(penalty))"</v>
      </c>
      <c r="U32" s="9" t="str">
        <f>MID(B32,13,4)</f>
        <v>4006</v>
      </c>
      <c r="V32" s="31">
        <f>A32-utc_offset/24</f>
        <v>43112.26626157407</v>
      </c>
      <c r="W32" s="45" t="str">
        <f>DetSubdiv(C32)</f>
        <v>NW</v>
      </c>
      <c r="X32" s="228">
        <f>VALUE(LEFT(C32,LEN(C32)-3))</f>
        <v>849</v>
      </c>
      <c r="Y32" s="23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{"issue":{"subject":"","project_id":79,"tracker_id":40,"status_id":1,"priority_id":2,"assigned_to_id":338,"start_date":"2018-01-11","description":"","custom_fields":[{"id":1,"name":"Subdivision","value":"NW"},{"id":4,"name":"Milepost","value":"5.9048"},{"id":17,"name":"Train ID","value":"849-11"},{"id":16,"name":"Locomotive ID","value":"4006"},{"id":130,"name":"Impact","value":""},{"id":150,"name":"Time of Event (Mountain Time)","value":"23:23:25"},{"id":151,"name":"Denver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1"/>
      <c r="AB32" s="231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/c/Users/stu/AppData/Local/Temp/OnboardLogs/RTDC4006 --include="*4006*201801120*"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"%USERPROFILE%\AppData\Local\Temp\OnboardLogs"\RTDC4006\*4006*201801120* &gt;&gt; 2018-01-11-SliceDisagreementCheck.txt</v>
      </c>
      <c r="AE32" s="144" t="str">
        <f t="shared" si="1"/>
        <v>start /low /b %USERPROFILE%\Documents\GitHub\eaglep3\Utilities\DownloadLogsFromS3.py --loco 4006 --day 2018-01-12</v>
      </c>
      <c r="AF32" s="1"/>
    </row>
    <row r="33" spans="1:32" x14ac:dyDescent="0.3">
      <c r="A33" s="31">
        <v>43111.241180555553</v>
      </c>
      <c r="B33" s="30" t="s">
        <v>649</v>
      </c>
      <c r="C33" s="30" t="s">
        <v>650</v>
      </c>
      <c r="D33" s="30" t="s">
        <v>95</v>
      </c>
      <c r="E33" s="30" t="s">
        <v>353</v>
      </c>
      <c r="F33" s="42">
        <v>0</v>
      </c>
      <c r="G33" s="42">
        <v>62</v>
      </c>
      <c r="H33" s="42">
        <v>23362</v>
      </c>
      <c r="I33" s="42">
        <v>23328</v>
      </c>
      <c r="J33" s="30" t="s">
        <v>354</v>
      </c>
      <c r="K33" s="42">
        <v>24161</v>
      </c>
      <c r="L33" s="131" t="s">
        <v>51</v>
      </c>
      <c r="M33" s="132">
        <f>CONVERT((I33-K33)/10000,"mi","ft")*IF(L33="Increasing Mileposts (1)",-1,1)</f>
        <v>-439.82400000000001</v>
      </c>
      <c r="N33" s="133" t="str">
        <f>VLOOKUP(C33,'Trips&amp;Operators'!$C$1:$G$99911,5,FALSE)</f>
        <v>FORTUNATO FRANK</v>
      </c>
      <c r="O33" s="175" t="s">
        <v>178</v>
      </c>
      <c r="P33" s="239" t="s">
        <v>1123</v>
      </c>
      <c r="Q33" s="30"/>
      <c r="R33" s="81" t="str">
        <f>VLOOKUP(C33,'Train Runs'!$A$13:$AE$10258,31,0)</f>
        <v>aws s3 cp s3://rtdc.mdm.uploadarchive.raw/RTDC4005/ "%USERPROFILE%\AppData\Local\Temp\OnboardLogs"\RTDC4005\2018-01-11 --exclude "*" --recursive --include "*20180111*" &amp; "%USERPROFILE%\Documents\GitHub\mrs-test-scripts\Headless Mode &amp; Sideloading\WalkAndUnGZ.bat" "%USERPROFILE%\AppData\Local\Temp\OnboardLogs"\RTDC4005\2018-01-11 &amp; aws s3 cp s3://rtdc.mdm.uploadarchive.raw/RTDC4005/ "%USERPROFILE%\AppData\Local\Temp\OnboardLogs"\RTDC4005\2018-01-12 --exclude "*" --recursive --include "*20180112*" &amp; "%USERPROFILE%\Documents\GitHub\mrs-test-scripts\Headless Mode &amp; Sideloading\WalkAndUnGZ.bat" "%USERPROFILE%\AppData\Local\Temp\OnboardLogs"\RTDC4005\2018-01-12</v>
      </c>
      <c r="S33" s="84" t="str">
        <f>VLOOKUP(C33,'Train Runs'!$A$13:$AE$10258,22,0)</f>
        <v>https://d0f6bd738d7f1b3e5a7ca70fe4ff75f0.us-east-1.aws.found.io/app/kibana#/discover/Steve-Slow-Train-Analysis-(2080s-and-2083s)?_g=(refreshInterval:(display:Off,pause:!f,section:0,value:0),time:(from:'2018-01-11T04:42:42-0700',mode:absolute,to:'2018-01-11T06:58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/stypes="*4005*201801111*" /stext=" 12:.+((SYSTEM_STATE.+slice.+state.+changed )|(ment ac)|(multiple cpu faults)|(system.+state.+changed )|(\[timeout)|(PRM\|1\|D)|(kpr)|(kdp)|(train st.+moving)|(\|lc)|(penalty))"</v>
      </c>
      <c r="U33" s="9" t="str">
        <f>MID(B33,13,4)</f>
        <v>4005</v>
      </c>
      <c r="V33" s="31">
        <f>A33-utc_offset/24</f>
        <v>43111.532847222217</v>
      </c>
      <c r="W33" s="45" t="str">
        <f>DetSubdiv(C33)</f>
        <v>Other</v>
      </c>
      <c r="X33" s="228">
        <f>VALUE(LEFT(C33,LEN(C33)-3))</f>
        <v>902</v>
      </c>
      <c r="Y33" s="238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{"issue":{"subject":"Went active too close to signal","project_id":79,"tracker_id":40,"status_id":1,"priority_id":2,"assigned_to_id":338,"start_date":"2018-01-11","description":"","custom_fields":[{"id":1,"name":"Subdivision","value":"Other"},{"id":4,"name":"Milepost","value":"2.4161"},{"id":17,"name":"Train ID","value":"902-11"},{"id":16,"name":"Locomotive ID","value":"4005"},{"id":130,"name":"Impact","value":""},{"id":150,"name":"Time of Event (Mountain Time)","value":"05:47:18"},{"id":151,"name":"Denver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8"/>
      <c r="AA33" s="231"/>
      <c r="AB33" s="231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/c/Users/stu/AppData/Local/Temp/OnboardLogs/RTDC4005 --include="*4005*201801111*"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"%USERPROFILE%\AppData\Local\Temp\OnboardLogs"\RTDC4005\*4005*201801111* &gt;&gt; 2018-01-11-SliceDisagreementCheck.txt</v>
      </c>
      <c r="AE33" s="144" t="str">
        <f t="shared" si="1"/>
        <v>start /low /b %USERPROFILE%\Documents\GitHub\eaglep3\Utilities\DownloadLogsFromS3.py --loco 4005 --day 2018-01-11</v>
      </c>
      <c r="AF33" s="1"/>
    </row>
    <row r="34" spans="1:32" x14ac:dyDescent="0.3">
      <c r="A34" s="31">
        <v>43111.566469907404</v>
      </c>
      <c r="B34" s="30" t="s">
        <v>436</v>
      </c>
      <c r="C34" s="30" t="s">
        <v>667</v>
      </c>
      <c r="D34" s="30" t="s">
        <v>95</v>
      </c>
      <c r="E34" s="30" t="s">
        <v>189</v>
      </c>
      <c r="F34" s="42">
        <v>300</v>
      </c>
      <c r="G34" s="42">
        <v>350</v>
      </c>
      <c r="H34" s="42">
        <v>47967</v>
      </c>
      <c r="I34" s="42">
        <v>49010</v>
      </c>
      <c r="J34" s="30" t="s">
        <v>190</v>
      </c>
      <c r="K34" s="42">
        <v>44309</v>
      </c>
      <c r="L34" s="131" t="s">
        <v>50</v>
      </c>
      <c r="M34" s="132">
        <f>CONVERT((I34-K34)/10000,"mi","ft")*IF(L34="Increasing Mileposts (1)",-1,1)</f>
        <v>-2482.1280000000002</v>
      </c>
      <c r="N34" s="133" t="str">
        <f>VLOOKUP(C34,'Trips&amp;Operators'!$C$1:$G$99911,5,FALSE)</f>
        <v>MAGEE KENYA</v>
      </c>
      <c r="O34" s="175" t="s">
        <v>178</v>
      </c>
      <c r="P34" s="239"/>
      <c r="Q34" s="30"/>
      <c r="R34" s="81" t="str">
        <f>VLOOKUP(C34,'Train Runs'!$A$13:$AE$10258,31,0)</f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S34" s="84" t="str">
        <f>VLOOKUP(C34,'Train Runs'!$A$13:$AE$10258,22,0)</f>
        <v>https://d0f6bd738d7f1b3e5a7ca70fe4ff75f0.us-east-1.aws.found.io/app/kibana#/discover/Steve-Slow-Train-Analysis-(2080s-and-2083s)?_g=(refreshInterval:(display:Off,pause:!f,section:0,value:0),time:(from:'2018-01-11T12:26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/stypes="*4010*201801112*" /stext=" 20:.+((SYSTEM_STATE.+slice.+state.+changed )|(ment ac)|(multiple cpu faults)|(system.+state.+changed )|(\[timeout)|(PRM\|1\|D)|(kpr)|(kdp)|(train st.+moving)|(\|lc)|(penalty))"</v>
      </c>
      <c r="U34" s="9" t="str">
        <f>MID(B34,13,4)</f>
        <v>4010</v>
      </c>
      <c r="V34" s="31">
        <f>A34-utc_offset/24</f>
        <v>43111.858136574068</v>
      </c>
      <c r="W34" s="45" t="str">
        <f>DetSubdiv(C34)</f>
        <v>Shuttle/Test</v>
      </c>
      <c r="X34" s="228">
        <f>VALUE(LEFT(C34,LEN(C34)-3))</f>
        <v>61</v>
      </c>
      <c r="Y34" s="238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Shuttle/Test"},{"id":4,"name":"Milepost","value":"4.4309"},{"id":17,"name":"Train ID","value":"61-11"},{"id":16,"name":"Locomotive ID","value":"4010"},{"id":130,"name":"Impact","value":""},{"id":150,"name":"Time of Event (Mountain Time)","value":"13:35:43"},{"id":151,"name":"Denver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8"/>
      <c r="AA34" s="231"/>
      <c r="AB34" s="231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/c/Users/stu/AppData/Local/Temp/OnboardLogs/RTDC4010 --include="*4010*201801112*"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"%USERPROFILE%\AppData\Local\Temp\OnboardLogs"\RTDC4010\*4010*201801112* &gt;&gt; 2018-01-11-SliceDisagreementCheck.txt</v>
      </c>
      <c r="AE34" s="144" t="str">
        <f t="shared" si="1"/>
        <v>start /low /b %USERPROFILE%\Documents\GitHub\eaglep3\Utilities\DownloadLogsFromS3.py --loco 4010 --day 2018-01-11</v>
      </c>
      <c r="AF34" s="1"/>
    </row>
    <row r="35" spans="1:32" x14ac:dyDescent="0.3">
      <c r="A35" s="31">
        <v>43111.422407407408</v>
      </c>
      <c r="B35" s="30" t="s">
        <v>436</v>
      </c>
      <c r="C35" s="30" t="s">
        <v>653</v>
      </c>
      <c r="D35" s="30" t="s">
        <v>49</v>
      </c>
      <c r="E35" s="30" t="s">
        <v>189</v>
      </c>
      <c r="F35" s="42">
        <v>450</v>
      </c>
      <c r="G35" s="42">
        <v>503</v>
      </c>
      <c r="H35" s="42">
        <v>85652</v>
      </c>
      <c r="I35" s="42">
        <v>87189</v>
      </c>
      <c r="J35" s="30" t="s">
        <v>190</v>
      </c>
      <c r="K35" s="42">
        <v>86003</v>
      </c>
      <c r="L35" s="131" t="s">
        <v>50</v>
      </c>
      <c r="M35" s="132">
        <f>CONVERT((I35-K35)/10000,"mi","ft")*IF(L35="Increasing Mileposts (1)",-1,1)</f>
        <v>-626.20799999999997</v>
      </c>
      <c r="N35" s="133" t="str">
        <f>VLOOKUP(C35,'Trips&amp;Operators'!$C$1:$G$99911,5,FALSE)</f>
        <v>ROCHA YAOTL</v>
      </c>
      <c r="O35" s="175" t="s">
        <v>178</v>
      </c>
      <c r="P35" s="239"/>
      <c r="Q35" s="30"/>
      <c r="R35" s="81" t="str">
        <f>VLOOKUP(C35,'Train Runs'!$A$13:$AE$10258,31,0)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S35" s="84" t="str">
        <f>VLOOKUP(C35,'Train Runs'!$A$13:$AE$10258,22,0)</f>
        <v>https://d0f6bd738d7f1b3e5a7ca70fe4ff75f0.us-east-1.aws.found.io/app/kibana#/discover/Steve-Slow-Train-Analysis-(2080s-and-2083s)?_g=(refreshInterval:(display:Off,pause:!f,section:0,value:0),time:(from:'2018-01-11T01:58:53-0700',mode:absolute,to:'2018-01-11T04:27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/stypes="*4010*201801111*" /stext=" 17:.+((SYSTEM_STATE.+slice.+state.+changed )|(ment ac)|(multiple cpu faults)|(system.+state.+changed )|(\[timeout)|(PRM\|1\|D)|(kpr)|(kdp)|(train st.+moving)|(\|lc)|(penalty))"</v>
      </c>
      <c r="U35" s="9" t="str">
        <f>MID(B35,13,4)</f>
        <v>4010</v>
      </c>
      <c r="V35" s="31">
        <f>A35-utc_offset/24</f>
        <v>43111.714074074072</v>
      </c>
      <c r="W35" s="45" t="str">
        <f>DetSubdiv(C35)</f>
        <v>Shuttle/Test</v>
      </c>
      <c r="X35" s="228">
        <f>VALUE(LEFT(C35,LEN(C35)-3))</f>
        <v>51</v>
      </c>
      <c r="Y35" s="238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Shuttle/Test"},{"id":4,"name":"Milepost","value":"8.6003"},{"id":17,"name":"Train ID","value":"51-11"},{"id":16,"name":"Locomotive ID","value":"4010"},{"id":130,"name":"Impact","value":""},{"id":150,"name":"Time of Event (Mountain Time)","value":"10:08:16"},{"id":151,"name":"Denver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8"/>
      <c r="AA35" s="231"/>
      <c r="AB35" s="231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/c/Users/stu/AppData/Local/Temp/OnboardLogs/RTDC4010 --include="*4010*201801111*"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"%USERPROFILE%\AppData\Local\Temp\OnboardLogs"\RTDC4010\*4010*201801111* &gt;&gt; 2018-01-11-SliceDisagreementCheck.txt</v>
      </c>
      <c r="AE35" s="144" t="str">
        <f t="shared" si="1"/>
        <v>start /low /b %USERPROFILE%\Documents\GitHub\eaglep3\Utilities\DownloadLogsFromS3.py --loco 4010 --day 2018-01-11</v>
      </c>
      <c r="AF35" s="1"/>
    </row>
    <row r="36" spans="1:32" x14ac:dyDescent="0.3">
      <c r="A36" s="31">
        <v>43111.425925925927</v>
      </c>
      <c r="B36" s="30" t="s">
        <v>436</v>
      </c>
      <c r="C36" s="30" t="s">
        <v>653</v>
      </c>
      <c r="D36" s="30" t="s">
        <v>49</v>
      </c>
      <c r="E36" s="30" t="s">
        <v>189</v>
      </c>
      <c r="F36" s="42">
        <v>150</v>
      </c>
      <c r="G36" s="42">
        <v>276</v>
      </c>
      <c r="H36" s="42">
        <v>108819</v>
      </c>
      <c r="I36" s="42">
        <v>110460</v>
      </c>
      <c r="J36" s="30" t="s">
        <v>190</v>
      </c>
      <c r="K36" s="42">
        <v>109686</v>
      </c>
      <c r="L36" s="131" t="s">
        <v>50</v>
      </c>
      <c r="M36" s="132">
        <f>CONVERT((I36-K36)/10000,"mi","ft")*IF(L36="Increasing Mileposts (1)",-1,1)</f>
        <v>-408.67200000000003</v>
      </c>
      <c r="N36" s="133" t="str">
        <f>VLOOKUP(C36,'Trips&amp;Operators'!$C$1:$G$99911,5,FALSE)</f>
        <v>ROCHA YAOTL</v>
      </c>
      <c r="O36" s="175" t="s">
        <v>178</v>
      </c>
      <c r="P36" s="239"/>
      <c r="Q36" s="30"/>
      <c r="R36" s="81" t="str">
        <f>VLOOKUP(C36,'Train Runs'!$A$13:$AE$10258,31,0)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S36" s="84" t="str">
        <f>VLOOKUP(C36,'Train Runs'!$A$13:$AE$10258,22,0)</f>
        <v>https://d0f6bd738d7f1b3e5a7ca70fe4ff75f0.us-east-1.aws.found.io/app/kibana#/discover/Steve-Slow-Train-Analysis-(2080s-and-2083s)?_g=(refreshInterval:(display:Off,pause:!f,section:0,value:0),time:(from:'2018-01-11T01:58:53-0700',mode:absolute,to:'2018-01-11T04:27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/stypes="*4010*201801111*" /stext=" 17:.+((SYSTEM_STATE.+slice.+state.+changed )|(ment ac)|(multiple cpu faults)|(system.+state.+changed )|(\[timeout)|(PRM\|1\|D)|(kpr)|(kdp)|(train st.+moving)|(\|lc)|(penalty))"</v>
      </c>
      <c r="U36" s="9" t="str">
        <f>MID(B36,13,4)</f>
        <v>4010</v>
      </c>
      <c r="V36" s="31">
        <f>A36-utc_offset/24</f>
        <v>43111.717592592591</v>
      </c>
      <c r="W36" s="45" t="str">
        <f>DetSubdiv(C36)</f>
        <v>Shuttle/Test</v>
      </c>
      <c r="X36" s="228">
        <f>VALUE(LEFT(C36,LEN(C36)-3))</f>
        <v>51</v>
      </c>
      <c r="Y36" s="238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Shuttle/Test"},{"id":4,"name":"Milepost","value":"10.9686"},{"id":17,"name":"Train ID","value":"51-11"},{"id":16,"name":"Locomotive ID","value":"4010"},{"id":130,"name":"Impact","value":""},{"id":150,"name":"Time of Event (Mountain Time)","value":"10:13:20"},{"id":151,"name":"Denver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8"/>
      <c r="AA36" s="231"/>
      <c r="AB36" s="231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/c/Users/stu/AppData/Local/Temp/OnboardLogs/RTDC4010 --include="*4010*201801111*"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"%USERPROFILE%\AppData\Local\Temp\OnboardLogs"\RTDC4010\*4010*201801111* &gt;&gt; 2018-01-11-SliceDisagreementCheck.txt</v>
      </c>
      <c r="AE36" s="144" t="str">
        <f t="shared" si="1"/>
        <v>start /low /b %USERPROFILE%\Documents\GitHub\eaglep3\Utilities\DownloadLogsFromS3.py --loco 4010 --day 2018-01-11</v>
      </c>
      <c r="AF36" s="1"/>
    </row>
    <row r="37" spans="1:32" x14ac:dyDescent="0.3">
      <c r="A37" s="31">
        <v>43111.619467592594</v>
      </c>
      <c r="B37" s="30" t="s">
        <v>672</v>
      </c>
      <c r="C37" s="30" t="s">
        <v>667</v>
      </c>
      <c r="D37" s="30" t="s">
        <v>49</v>
      </c>
      <c r="E37" s="30" t="s">
        <v>353</v>
      </c>
      <c r="F37" s="42">
        <v>0</v>
      </c>
      <c r="G37" s="42">
        <v>47</v>
      </c>
      <c r="H37" s="42">
        <v>33055</v>
      </c>
      <c r="I37" s="42">
        <v>33119</v>
      </c>
      <c r="J37" s="30" t="s">
        <v>354</v>
      </c>
      <c r="K37" s="42">
        <v>33252</v>
      </c>
      <c r="L37" s="131" t="s">
        <v>50</v>
      </c>
      <c r="M37" s="132">
        <f>CONVERT((I37-K37)/10000,"mi","ft")*IF(L37="Increasing Mileposts (1)",-1,1)</f>
        <v>70.224000000000004</v>
      </c>
      <c r="N37" s="133" t="str">
        <f>VLOOKUP(C37,'Trips&amp;Operators'!$C$1:$G$99911,5,FALSE)</f>
        <v>MAGEE KENYA</v>
      </c>
      <c r="O37" s="175" t="s">
        <v>347</v>
      </c>
      <c r="P37" s="239" t="s">
        <v>439</v>
      </c>
      <c r="Q37" s="30"/>
      <c r="R37" s="81" t="str">
        <f>VLOOKUP(C37,'Train Runs'!$A$13:$AE$10258,31,0)</f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S37" s="84" t="str">
        <f>VLOOKUP(C37,'Train Runs'!$A$13:$AE$10258,22,0)</f>
        <v>https://d0f6bd738d7f1b3e5a7ca70fe4ff75f0.us-east-1.aws.found.io/app/kibana#/discover/Steve-Slow-Train-Analysis-(2080s-and-2083s)?_g=(refreshInterval:(display:Off,pause:!f,section:0,value:0),time:(from:'2018-01-11T12:26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/stypes="*4032*201801112*" /stext=" 21:.+((SYSTEM_STATE.+slice.+state.+changed )|(ment ac)|(multiple cpu faults)|(system.+state.+changed )|(\[timeout)|(PRM\|1\|D)|(kpr)|(kdp)|(train st.+moving)|(\|lc)|(penalty))"</v>
      </c>
      <c r="U37" s="9" t="str">
        <f>MID(B37,13,4)</f>
        <v>4032</v>
      </c>
      <c r="V37" s="31">
        <f>A37-utc_offset/24</f>
        <v>43111.911134259259</v>
      </c>
      <c r="W37" s="45" t="str">
        <f>DetSubdiv(C37)</f>
        <v>Shuttle/Test</v>
      </c>
      <c r="X37" s="228">
        <f>VALUE(LEFT(C37,LEN(C37)-3))</f>
        <v>61</v>
      </c>
      <c r="Y37" s="238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drop","project_id":79,"tracker_id":40,"status_id":1,"priority_id":2,"assigned_to_id":338,"start_date":"2018-01-11","description":"","custom_fields":[{"id":1,"name":"Subdivision","value":"Shuttle/Test"},{"id":4,"name":"Milepost","value":"3.3252"},{"id":17,"name":"Train ID","value":"61-11"},{"id":16,"name":"Locomotive ID","value":"4032"},{"id":130,"name":"Impact","value":""},{"id":150,"name":"Time of Event (Mountain Time)","value":"14:52:02"},{"id":151,"name":"Denver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8"/>
      <c r="AA37" s="231"/>
      <c r="AB37" s="231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/c/Users/stu/AppData/Local/Temp/OnboardLogs/RTDC4032 --include="*4032*201801112*"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"%USERPROFILE%\AppData\Local\Temp\OnboardLogs"\RTDC4032\*4032*201801112* &gt;&gt; 2018-01-11-SliceDisagreementCheck.txt</v>
      </c>
      <c r="AE37" s="144" t="str">
        <f t="shared" si="1"/>
        <v>start /low /b %USERPROFILE%\Documents\GitHub\eaglep3\Utilities\DownloadLogsFromS3.py --loco 4032 --day 2018-01-11</v>
      </c>
      <c r="AF37" s="1"/>
    </row>
    <row r="38" spans="1:32" x14ac:dyDescent="0.3">
      <c r="A38" s="31">
        <v>43111.508483796293</v>
      </c>
      <c r="B38" s="30" t="s">
        <v>437</v>
      </c>
      <c r="C38" s="30" t="s">
        <v>662</v>
      </c>
      <c r="D38" s="30" t="s">
        <v>49</v>
      </c>
      <c r="E38" s="30" t="s">
        <v>450</v>
      </c>
      <c r="F38" s="42">
        <v>0</v>
      </c>
      <c r="G38" s="42">
        <v>38</v>
      </c>
      <c r="H38" s="42">
        <v>1393</v>
      </c>
      <c r="I38" s="42">
        <v>1433</v>
      </c>
      <c r="J38" s="30" t="s">
        <v>451</v>
      </c>
      <c r="K38" s="42">
        <v>1725</v>
      </c>
      <c r="L38" s="131" t="s">
        <v>50</v>
      </c>
      <c r="M38" s="132">
        <f>CONVERT((I38-K38)/10000,"mi","ft")*IF(L38="Increasing Mileposts (1)",-1,1)</f>
        <v>154.17599999999999</v>
      </c>
      <c r="N38" s="133" t="str">
        <f>VLOOKUP(C38,'Trips&amp;Operators'!$C$1:$G$99911,5,FALSE)</f>
        <v>NEWELL JAMES</v>
      </c>
      <c r="O38" s="175" t="s">
        <v>178</v>
      </c>
      <c r="P38" s="239"/>
      <c r="Q38" s="30"/>
      <c r="R38" s="81" t="str">
        <f>VLOOKUP(C38,'Train Runs'!$A$13:$AE$10258,31,0)</f>
        <v>aws s3 cp s3://rtdc.mdm.uploadarchive.raw/RTDC4050/ "%USERPROFILE%\AppData\Local\Temp\OnboardLogs"\RTDC4050\2018-01-11 --exclude "*" --recursive --include "*20180111*" &amp; "%USERPROFILE%\Documents\GitHub\mrs-test-scripts\Headless Mode &amp; Sideloading\WalkAndUnGZ.bat" "%USERPROFILE%\AppData\Local\Temp\OnboardLogs"\RTDC4050\2018-01-11 &amp; aws s3 cp s3://rtdc.mdm.uploadarchive.raw/RTDC4050/ "%USERPROFILE%\AppData\Local\Temp\OnboardLogs"\RTDC4050\2018-01-12 --exclude "*" --recursive --include "*20180112*" &amp; "%USERPROFILE%\Documents\GitHub\mrs-test-scripts\Headless Mode &amp; Sideloading\WalkAndUnGZ.bat" "%USERPROFILE%\AppData\Local\Temp\OnboardLogs"\RTDC4050\2018-01-12</v>
      </c>
      <c r="S38" s="84" t="str">
        <f>VLOOKUP(C38,'Train Runs'!$A$13:$AE$10258,22,0)</f>
        <v>https://d0f6bd738d7f1b3e5a7ca70fe4ff75f0.us-east-1.aws.found.io/app/kibana#/discover/Steve-Slow-Train-Analysis-(2080s-and-2083s)?_g=(refreshInterval:(display:Off,pause:!f,section:0,value:0),time:(from:'2018-01-11T11:08:44-0700',mode:absolute,to:'2018-01-11T13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/stypes="*4050*201801111*" /stext=" 19:.+((SYSTEM_STATE.+slice.+state.+changed )|(ment ac)|(multiple cpu faults)|(system.+state.+changed )|(\[timeout)|(PRM\|1\|D)|(kpr)|(kdp)|(train st.+moving)|(\|lc)|(penalty))"</v>
      </c>
      <c r="U38" s="9" t="str">
        <f>MID(B38,13,4)</f>
        <v>4050</v>
      </c>
      <c r="V38" s="31">
        <f>A38-utc_offset/24</f>
        <v>43111.800150462957</v>
      </c>
      <c r="W38" s="45" t="str">
        <f>DetSubdiv(C38)</f>
        <v>Shuttle/Test</v>
      </c>
      <c r="X38" s="228">
        <f>VALUE(LEFT(C38,LEN(C38)-3))</f>
        <v>67</v>
      </c>
      <c r="Y38" s="238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Shuttle/Test"},{"id":4,"name":"Milepost","value":"0.1725"},{"id":17,"name":"Train ID","value":"67-11"},{"id":16,"name":"Locomotive ID","value":"4050"},{"id":130,"name":"Impact","value":""},{"id":150,"name":"Time of Event (Mountain Time)","value":"12:12:13"},{"id":151,"name":"Denver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8"/>
      <c r="AA38" s="231"/>
      <c r="AB38" s="231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/c/Users/stu/AppData/Local/Temp/OnboardLogs/RTDC4050 --include="*4050*201801111*"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"%USERPROFILE%\AppData\Local\Temp\OnboardLogs"\RTDC4050\*4050*201801111* &gt;&gt; 2018-01-11-SliceDisagreementCheck.txt</v>
      </c>
      <c r="AE38" s="144" t="str">
        <f t="shared" si="1"/>
        <v>start /low /b %USERPROFILE%\Documents\GitHub\eaglep3\Utilities\DownloadLogsFromS3.py --loco 4050 --day 2018-01-11</v>
      </c>
      <c r="AF38" s="1"/>
    </row>
    <row r="39" spans="1:32" x14ac:dyDescent="0.3">
      <c r="A39" s="31">
        <v>43111.698194444441</v>
      </c>
      <c r="B39" s="30" t="s">
        <v>674</v>
      </c>
      <c r="C39" s="30" t="s">
        <v>675</v>
      </c>
      <c r="D39" s="30" t="s">
        <v>49</v>
      </c>
      <c r="E39" s="30" t="s">
        <v>676</v>
      </c>
      <c r="F39" s="42">
        <v>150</v>
      </c>
      <c r="G39" s="42">
        <v>200</v>
      </c>
      <c r="H39" s="42">
        <v>61766</v>
      </c>
      <c r="I39" s="42">
        <v>61347</v>
      </c>
      <c r="J39" s="30" t="s">
        <v>183</v>
      </c>
      <c r="K39" s="42">
        <v>61400</v>
      </c>
      <c r="L39" s="131" t="s">
        <v>51</v>
      </c>
      <c r="M39" s="132">
        <f>CONVERT((I39-K39)/10000,"mi","ft")*IF(L39="Increasing Mileposts (1)",-1,1)</f>
        <v>-27.984000000000002</v>
      </c>
      <c r="N39" s="133" t="str">
        <f>VLOOKUP(C39,'Trips&amp;Operators'!$C$1:$G$99911,5,FALSE)</f>
        <v>MAGEE KENYA</v>
      </c>
      <c r="O39" s="175" t="s">
        <v>178</v>
      </c>
      <c r="P39" s="239"/>
      <c r="Q39" s="30"/>
      <c r="R39" s="81" t="str">
        <f>VLOOKUP(C39,'Train Runs'!$A$13:$AE$10258,31,0)</f>
        <v>aws s3 cp s3://rtdc.mdm.uploadarchive.raw/RTDC4009/ "%USERPROFILE%\AppData\Local\Temp\OnboardLogs"\RTDC4009\2018-01-11 --exclude "*" --recursive --include "*20180111*" &amp; "%USERPROFILE%\Documents\GitHub\mrs-test-scripts\Headless Mode &amp; Sideloading\WalkAndUnGZ.bat" "%USERPROFILE%\AppData\Local\Temp\OnboardLogs"\RTDC4009\2018-01-11 &amp; aws s3 cp s3://rtdc.mdm.uploadarchive.raw/RTDC4009/ "%USERPROFILE%\AppData\Local\Temp\OnboardLogs"\RTDC4009\2018-01-12 --exclude "*" --recursive --include "*20180112*" &amp; "%USERPROFILE%\Documents\GitHub\mrs-test-scripts\Headless Mode &amp; Sideloading\WalkAndUnGZ.bat" "%USERPROFILE%\AppData\Local\Temp\OnboardLogs"\RTDC4009\2018-01-12</v>
      </c>
      <c r="S39" s="84" t="str">
        <f>VLOOKUP(C39,'Train Runs'!$A$13:$AE$10258,22,0)</f>
        <v>https://d0f6bd738d7f1b3e5a7ca70fe4ff75f0.us-east-1.aws.found.io/app/kibana#/discover/Steve-Slow-Train-Analysis-(2080s-and-2083s)?_g=(refreshInterval:(display:Off,pause:!f,section:0,value:0),time:(from:'2018-01-11T13:08:17-0700',mode:absolute,to:'2018-01-11T15:30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/stypes="*4031*201801112*" /stext=" 23:.+((SYSTEM_STATE.+slice.+state.+changed )|(ment ac)|(multiple cpu faults)|(system.+state.+changed )|(\[timeout)|(PRM\|1\|D)|(kpr)|(kdp)|(train st.+moving)|(\|lc)|(penalty))"</v>
      </c>
      <c r="U39" s="9" t="str">
        <f>MID(B39,13,4)</f>
        <v>4031</v>
      </c>
      <c r="V39" s="31">
        <f>A39-utc_offset/24</f>
        <v>43111.989861111106</v>
      </c>
      <c r="W39" s="45" t="str">
        <f>DetSubdiv(C39)</f>
        <v>Shuttle/Test</v>
      </c>
      <c r="X39" s="228">
        <f>VALUE(LEFT(C39,LEN(C39)-3))</f>
        <v>60</v>
      </c>
      <c r="Y39" s="238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Shuttle/Test"},{"id":4,"name":"Milepost","value":"6.14"},{"id":17,"name":"Train ID","value":"60-11"},{"id":16,"name":"Locomotive ID","value":"4031"},{"id":130,"name":"Impact","value":""},{"id":150,"name":"Time of Event (Mountain Time)","value":"16:45:24"},{"id":151,"name":"Denver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8"/>
      <c r="AA39" s="231"/>
      <c r="AB39" s="231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/c/Users/stu/AppData/Local/Temp/OnboardLogs/RTDC4031 --include="*4031*201801112*"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"%USERPROFILE%\AppData\Local\Temp\OnboardLogs"\RTDC4031\*4031*201801112* &gt;&gt; 2018-01-11-SliceDisagreementCheck.txt</v>
      </c>
      <c r="AE39" s="144" t="str">
        <f t="shared" si="1"/>
        <v>start /low /b %USERPROFILE%\Documents\GitHub\eaglep3\Utilities\DownloadLogsFromS3.py --loco 4031 --day 2018-01-11</v>
      </c>
      <c r="AF39" s="1"/>
    </row>
    <row r="40" spans="1:32" x14ac:dyDescent="0.3">
      <c r="A40" s="31">
        <v>43111.392488425925</v>
      </c>
      <c r="B40" s="30" t="s">
        <v>436</v>
      </c>
      <c r="C40" s="30" t="s">
        <v>653</v>
      </c>
      <c r="D40" s="30" t="s">
        <v>95</v>
      </c>
      <c r="E40" s="30" t="s">
        <v>654</v>
      </c>
      <c r="F40" s="42">
        <v>0</v>
      </c>
      <c r="G40" s="42">
        <v>7</v>
      </c>
      <c r="H40" s="42">
        <v>112547</v>
      </c>
      <c r="I40" s="42">
        <v>112547</v>
      </c>
      <c r="J40" s="30" t="s">
        <v>655</v>
      </c>
      <c r="K40" s="42">
        <v>112547</v>
      </c>
      <c r="L40" s="131" t="s">
        <v>50</v>
      </c>
      <c r="M40" s="132">
        <f>CONVERT((I40-K40)/10000,"mi","ft")*IF(L40="Increasing Mileposts (1)",-1,1)</f>
        <v>0</v>
      </c>
      <c r="N40" s="133" t="str">
        <f>VLOOKUP(C40,'Trips&amp;Operators'!$C$1:$G$99911,5,FALSE)</f>
        <v>ROCHA YAOTL</v>
      </c>
      <c r="O40" s="175" t="s">
        <v>178</v>
      </c>
      <c r="P40" s="239"/>
      <c r="Q40" s="30"/>
      <c r="R40" s="81" t="str">
        <f>VLOOKUP(C40,'Train Runs'!$A$13:$AE$10258,31,0)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S40" s="84" t="str">
        <f>VLOOKUP(C40,'Train Runs'!$A$13:$AE$10258,22,0)</f>
        <v>https://d0f6bd738d7f1b3e5a7ca70fe4ff75f0.us-east-1.aws.found.io/app/kibana#/discover/Steve-Slow-Train-Analysis-(2080s-and-2083s)?_g=(refreshInterval:(display:Off,pause:!f,section:0,value:0),time:(from:'2018-01-11T01:58:53-0700',mode:absolute,to:'2018-01-11T04:27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/stypes="*4010*201801111*" /stext=" 16:.+((SYSTEM_STATE.+slice.+state.+changed )|(ment ac)|(multiple cpu faults)|(system.+state.+changed )|(\[timeout)|(PRM\|1\|D)|(kpr)|(kdp)|(train st.+moving)|(\|lc)|(penalty))"</v>
      </c>
      <c r="U40" s="9" t="str">
        <f>MID(B40,13,4)</f>
        <v>4010</v>
      </c>
      <c r="V40" s="31">
        <f>A40-utc_offset/24</f>
        <v>43111.684155092589</v>
      </c>
      <c r="W40" s="45" t="str">
        <f>DetSubdiv(C40)</f>
        <v>Shuttle/Test</v>
      </c>
      <c r="X40" s="228">
        <f>VALUE(LEFT(C40,LEN(C40)-3))</f>
        <v>51</v>
      </c>
      <c r="Y40" s="238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Shuttle/Test"},{"id":4,"name":"Milepost","value":"11.2547"},{"id":17,"name":"Train ID","value":"51-11"},{"id":16,"name":"Locomotive ID","value":"4010"},{"id":130,"name":"Impact","value":""},{"id":150,"name":"Time of Event (Mountain Time)","value":"09:25:11"},{"id":151,"name":"Denver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8"/>
      <c r="AA40" s="231"/>
      <c r="AB40" s="231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/c/Users/stu/AppData/Local/Temp/OnboardLogs/RTDC4010 --include="*4010*201801111*"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"%USERPROFILE%\AppData\Local\Temp\OnboardLogs"\RTDC4010\*4010*201801111* &gt;&gt; 2018-01-11-SliceDisagreementCheck.txt</v>
      </c>
      <c r="AE40" s="144" t="str">
        <f t="shared" si="1"/>
        <v>start /low /b %USERPROFILE%\Documents\GitHub\eaglep3\Utilities\DownloadLogsFromS3.py --loco 4010 --day 2018-01-11</v>
      </c>
      <c r="AF40" s="1"/>
    </row>
    <row r="41" spans="1:32" x14ac:dyDescent="0.3">
      <c r="A41" s="31">
        <v>43111.427164351851</v>
      </c>
      <c r="B41" s="30" t="s">
        <v>436</v>
      </c>
      <c r="C41" s="30" t="s">
        <v>653</v>
      </c>
      <c r="D41" s="30" t="s">
        <v>95</v>
      </c>
      <c r="E41" s="30" t="s">
        <v>654</v>
      </c>
      <c r="F41" s="42">
        <v>0</v>
      </c>
      <c r="G41" s="42">
        <v>4</v>
      </c>
      <c r="H41" s="42">
        <v>112612</v>
      </c>
      <c r="I41" s="42">
        <v>112612</v>
      </c>
      <c r="J41" s="30" t="s">
        <v>655</v>
      </c>
      <c r="K41" s="42">
        <v>112612</v>
      </c>
      <c r="L41" s="131" t="s">
        <v>50</v>
      </c>
      <c r="M41" s="132">
        <f>CONVERT((I41-K41)/10000,"mi","ft")*IF(L41="Increasing Mileposts (1)",-1,1)</f>
        <v>0</v>
      </c>
      <c r="N41" s="133" t="str">
        <f>VLOOKUP(C41,'Trips&amp;Operators'!$C$1:$G$99911,5,FALSE)</f>
        <v>ROCHA YAOTL</v>
      </c>
      <c r="O41" s="175" t="s">
        <v>178</v>
      </c>
      <c r="P41" s="239"/>
      <c r="Q41" s="30"/>
      <c r="R41" s="81" t="str">
        <f>VLOOKUP(C41,'Train Runs'!$A$13:$AE$10258,31,0)</f>
        <v>aws s3 cp s3://rtdc.mdm.uploadarchive.raw/RTDC4034/ "%USERPROFILE%\AppData\Local\Temp\OnboardLogs"\RTDC4034\2018-01-11 --exclude "*" --recursive --include "*20180111*" &amp; "%USERPROFILE%\Documents\GitHub\mrs-test-scripts\Headless Mode &amp; Sideloading\WalkAndUnGZ.bat" "%USERPROFILE%\AppData\Local\Temp\OnboardLogs"\RTDC4034\2018-01-11 &amp; aws s3 cp s3://rtdc.mdm.uploadarchive.raw/RTDC4034/ "%USERPROFILE%\AppData\Local\Temp\OnboardLogs"\RTDC4034\2018-01-12 --exclude "*" --recursive --include "*20180112*" &amp; "%USERPROFILE%\Documents\GitHub\mrs-test-scripts\Headless Mode &amp; Sideloading\WalkAndUnGZ.bat" "%USERPROFILE%\AppData\Local\Temp\OnboardLogs"\RTDC4034\2018-01-12</v>
      </c>
      <c r="S41" s="84" t="str">
        <f>VLOOKUP(C41,'Train Runs'!$A$13:$AE$10258,22,0)</f>
        <v>https://d0f6bd738d7f1b3e5a7ca70fe4ff75f0.us-east-1.aws.found.io/app/kibana#/discover/Steve-Slow-Train-Analysis-(2080s-and-2083s)?_g=(refreshInterval:(display:Off,pause:!f,section:0,value:0),time:(from:'2018-01-11T01:58:53-0700',mode:absolute,to:'2018-01-11T04:27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/stypes="*4010*201801111*" /stext=" 17:.+((SYSTEM_STATE.+slice.+state.+changed )|(ment ac)|(multiple cpu faults)|(system.+state.+changed )|(\[timeout)|(PRM\|1\|D)|(kpr)|(kdp)|(train st.+moving)|(\|lc)|(penalty))"</v>
      </c>
      <c r="U41" s="9" t="str">
        <f>MID(B41,13,4)</f>
        <v>4010</v>
      </c>
      <c r="V41" s="31">
        <f>A41-utc_offset/24</f>
        <v>43111.718831018516</v>
      </c>
      <c r="W41" s="45" t="str">
        <f>DetSubdiv(C41)</f>
        <v>Shuttle/Test</v>
      </c>
      <c r="X41" s="228">
        <f>VALUE(LEFT(C41,LEN(C41)-3))</f>
        <v>51</v>
      </c>
      <c r="Y41" s="238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Shuttle/Test"},{"id":4,"name":"Milepost","value":"11.2612"},{"id":17,"name":"Train ID","value":"51-11"},{"id":16,"name":"Locomotive ID","value":"4010"},{"id":130,"name":"Impact","value":""},{"id":150,"name":"Time of Event (Mountain Time)","value":"10:15:07"},{"id":151,"name":"Denver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8"/>
      <c r="AA41" s="231"/>
      <c r="AB41" s="231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/c/Users/stu/AppData/Local/Temp/OnboardLogs/RTDC4010 --include="*4010*201801111*"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"%USERPROFILE%\AppData\Local\Temp\OnboardLogs"\RTDC4010\*4010*201801111* &gt;&gt; 2018-01-11-SliceDisagreementCheck.txt</v>
      </c>
      <c r="AE41" s="144" t="str">
        <f t="shared" si="1"/>
        <v>start /low /b %USERPROFILE%\Documents\GitHub\eaglep3\Utilities\DownloadLogsFromS3.py --loco 4010 --day 2018-01-11</v>
      </c>
      <c r="AF41" s="1"/>
    </row>
    <row r="42" spans="1:32" x14ac:dyDescent="0.3">
      <c r="A42" s="31">
        <v>43111.533368055556</v>
      </c>
      <c r="B42" s="30" t="s">
        <v>436</v>
      </c>
      <c r="C42" s="30" t="s">
        <v>663</v>
      </c>
      <c r="D42" s="30" t="s">
        <v>95</v>
      </c>
      <c r="E42" s="30" t="s">
        <v>654</v>
      </c>
      <c r="F42" s="42">
        <v>0</v>
      </c>
      <c r="G42" s="42">
        <v>6</v>
      </c>
      <c r="H42" s="42">
        <v>112612</v>
      </c>
      <c r="I42" s="42">
        <v>112614</v>
      </c>
      <c r="J42" s="30" t="s">
        <v>655</v>
      </c>
      <c r="K42" s="42">
        <v>112612</v>
      </c>
      <c r="L42" s="131" t="s">
        <v>50</v>
      </c>
      <c r="M42" s="132">
        <f>CONVERT((I42-K42)/10000,"mi","ft")*IF(L42="Increasing Mileposts (1)",-1,1)</f>
        <v>-1.056</v>
      </c>
      <c r="N42" s="133" t="str">
        <f>VLOOKUP(C42,'Trips&amp;Operators'!$C$1:$G$99911,5,FALSE)</f>
        <v>GONZALEZ ARMANDO</v>
      </c>
      <c r="O42" s="175" t="s">
        <v>178</v>
      </c>
      <c r="P42" s="239"/>
      <c r="Q42" s="30"/>
      <c r="R42" s="81" t="str">
        <f>VLOOKUP(C42,'Train Runs'!$A$13:$AE$10258,31,0)</f>
        <v>aws s3 cp s3://rtdc.mdm.uploadarchive.raw/RTDC4010/ "%USERPROFILE%\AppData\Local\Temp\OnboardLogs"\RTDC4010\2018-01-11 --exclude "*" --recursive --include "*20180111*" &amp; "%USERPROFILE%\Documents\GitHub\mrs-test-scripts\Headless Mode &amp; Sideloading\WalkAndUnGZ.bat" "%USERPROFILE%\AppData\Local\Temp\OnboardLogs"\RTDC4010\2018-01-11 &amp; aws s3 cp s3://rtdc.mdm.uploadarchive.raw/RTDC4010/ "%USERPROFILE%\AppData\Local\Temp\OnboardLogs"\RTDC4010\2018-01-12 --exclude "*" --recursive --include "*20180112*" &amp; "%USERPROFILE%\Documents\GitHub\mrs-test-scripts\Headless Mode &amp; Sideloading\WalkAndUnGZ.bat" "%USERPROFILE%\AppData\Local\Temp\OnboardLogs"\RTDC4010\2018-01-12</v>
      </c>
      <c r="S42" s="84" t="str">
        <f>VLOOKUP(C42,'Train Runs'!$A$13:$AE$10258,22,0)</f>
        <v>https://d0f6bd738d7f1b3e5a7ca70fe4ff75f0.us-east-1.aws.found.io/app/kibana#/discover/Steve-Slow-Train-Analysis-(2080s-and-2083s)?_g=(refreshInterval:(display:Off,pause:!f,section:0,value:0),time:(from:'2018-01-11T09:46:30-0700',mode:absolute,to:'2018-01-11T12:36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/stypes="*4010*201801111*" /stext=" 19:.+((SYSTEM_STATE.+slice.+state.+changed )|(ment ac)|(multiple cpu faults)|(system.+state.+changed )|(\[timeout)|(PRM\|1\|D)|(kpr)|(kdp)|(train st.+moving)|(\|lc)|(penalty))"</v>
      </c>
      <c r="U42" s="9" t="str">
        <f>MID(B42,13,4)</f>
        <v>4010</v>
      </c>
      <c r="V42" s="31">
        <f>A42-utc_offset/24</f>
        <v>43111.82503472222</v>
      </c>
      <c r="W42" s="45" t="str">
        <f>DetSubdiv(C42)</f>
        <v>Shuttle/Test</v>
      </c>
      <c r="X42" s="228">
        <f>VALUE(LEFT(C42,LEN(C42)-3))</f>
        <v>53</v>
      </c>
      <c r="Y42" s="238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Shuttle/Test"},{"id":4,"name":"Milepost","value":"11.2612"},{"id":17,"name":"Train ID","value":"53-11"},{"id":16,"name":"Locomotive ID","value":"4010"},{"id":130,"name":"Impact","value":""},{"id":150,"name":"Time of Event (Mountain Time)","value":"12:48:03"},{"id":151,"name":"Denver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2" s="158"/>
      <c r="AA42" s="231"/>
      <c r="AB42" s="231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/c/Users/stu/AppData/Local/Temp/OnboardLogs/RTDC4010 --include="*4010*201801111*"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"%USERPROFILE%\AppData\Local\Temp\OnboardLogs"\RTDC4010\*4010*201801111* &gt;&gt; 2018-01-11-SliceDisagreementCheck.txt</v>
      </c>
      <c r="AE42" s="144" t="str">
        <f t="shared" si="1"/>
        <v>start /low /b %USERPROFILE%\Documents\GitHub\eaglep3\Utilities\DownloadLogsFromS3.py --loco 4010 --day 2018-01-11</v>
      </c>
      <c r="AF42" s="1"/>
    </row>
    <row r="43" spans="1:32" x14ac:dyDescent="0.3">
      <c r="A43" s="31">
        <v>43111.576273148145</v>
      </c>
      <c r="B43" s="30" t="s">
        <v>436</v>
      </c>
      <c r="C43" s="30" t="s">
        <v>667</v>
      </c>
      <c r="D43" s="30" t="s">
        <v>49</v>
      </c>
      <c r="E43" s="30" t="s">
        <v>654</v>
      </c>
      <c r="F43" s="42">
        <v>0</v>
      </c>
      <c r="G43" s="42">
        <v>22</v>
      </c>
      <c r="H43" s="42">
        <v>112551</v>
      </c>
      <c r="I43" s="42">
        <v>112591</v>
      </c>
      <c r="J43" s="30" t="s">
        <v>655</v>
      </c>
      <c r="K43" s="42">
        <v>112612</v>
      </c>
      <c r="L43" s="131" t="s">
        <v>50</v>
      </c>
      <c r="M43" s="132">
        <f>CONVERT((I43-K43)/10000,"mi","ft")*IF(L43="Increasing Mileposts (1)",-1,1)</f>
        <v>11.087999999999999</v>
      </c>
      <c r="N43" s="133" t="str">
        <f>VLOOKUP(C43,'Trips&amp;Operators'!$C$1:$G$99911,5,FALSE)</f>
        <v>MAGEE KENYA</v>
      </c>
      <c r="O43" s="175" t="s">
        <v>178</v>
      </c>
      <c r="P43" s="239"/>
      <c r="Q43" s="30"/>
      <c r="R43" s="81" t="str">
        <f>VLOOKUP(C43,'Train Runs'!$A$13:$AE$10258,31,0)</f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S43" s="84" t="str">
        <f>VLOOKUP(C43,'Train Runs'!$A$13:$AE$10258,22,0)</f>
        <v>https://d0f6bd738d7f1b3e5a7ca70fe4ff75f0.us-east-1.aws.found.io/app/kibana#/discover/Steve-Slow-Train-Analysis-(2080s-and-2083s)?_g=(refreshInterval:(display:Off,pause:!f,section:0,value:0),time:(from:'2018-01-11T12:26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/stypes="*4010*201801112*" /stext=" 20:.+((SYSTEM_STATE.+slice.+state.+changed )|(ment ac)|(multiple cpu faults)|(system.+state.+changed )|(\[timeout)|(PRM\|1\|D)|(kpr)|(kdp)|(train st.+moving)|(\|lc)|(penalty))"</v>
      </c>
      <c r="U43" s="9" t="str">
        <f>MID(B43,13,4)</f>
        <v>4010</v>
      </c>
      <c r="V43" s="31">
        <f>A43-utc_offset/24</f>
        <v>43111.867939814809</v>
      </c>
      <c r="W43" s="45" t="str">
        <f>DetSubdiv(C43)</f>
        <v>Shuttle/Test</v>
      </c>
      <c r="X43" s="228">
        <f>VALUE(LEFT(C43,LEN(C43)-3))</f>
        <v>61</v>
      </c>
      <c r="Y43" s="238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Shuttle/Test"},{"id":4,"name":"Milepost","value":"11.2612"},{"id":17,"name":"Train ID","value":"61-11"},{"id":16,"name":"Locomotive ID","value":"4010"},{"id":130,"name":"Impact","value":""},{"id":150,"name":"Time of Event (Mountain Time)","value":"13:49:50"},{"id":151,"name":"Denver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3" s="158"/>
      <c r="AA43" s="231"/>
      <c r="AB43" s="231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/c/Users/stu/AppData/Local/Temp/OnboardLogs/RTDC4010 --include="*4010*201801112*"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"%USERPROFILE%\AppData\Local\Temp\OnboardLogs"\RTDC4010\*4010*201801112* &gt;&gt; 2018-01-11-SliceDisagreementCheck.txt</v>
      </c>
      <c r="AE43" s="144" t="str">
        <f t="shared" si="1"/>
        <v>start /low /b %USERPROFILE%\Documents\GitHub\eaglep3\Utilities\DownloadLogsFromS3.py --loco 4010 --day 2018-01-11</v>
      </c>
      <c r="AF43" s="1"/>
    </row>
    <row r="44" spans="1:32" x14ac:dyDescent="0.3">
      <c r="A44" s="31">
        <v>43111.685335648152</v>
      </c>
      <c r="B44" s="30" t="s">
        <v>672</v>
      </c>
      <c r="C44" s="30" t="s">
        <v>667</v>
      </c>
      <c r="D44" s="30" t="s">
        <v>49</v>
      </c>
      <c r="E44" s="30" t="s">
        <v>654</v>
      </c>
      <c r="F44" s="42">
        <v>0</v>
      </c>
      <c r="G44" s="42">
        <v>9</v>
      </c>
      <c r="H44" s="42">
        <v>112608</v>
      </c>
      <c r="I44" s="42">
        <v>112610</v>
      </c>
      <c r="J44" s="30" t="s">
        <v>655</v>
      </c>
      <c r="K44" s="42">
        <v>112612</v>
      </c>
      <c r="L44" s="131" t="s">
        <v>50</v>
      </c>
      <c r="M44" s="132">
        <f>CONVERT((I44-K44)/10000,"mi","ft")*IF(L44="Increasing Mileposts (1)",-1,1)</f>
        <v>1.056</v>
      </c>
      <c r="N44" s="133" t="str">
        <f>VLOOKUP(C44,'Trips&amp;Operators'!$C$1:$G$99911,5,FALSE)</f>
        <v>MAGEE KENYA</v>
      </c>
      <c r="O44" s="175" t="s">
        <v>178</v>
      </c>
      <c r="P44" s="239"/>
      <c r="Q44" s="30"/>
      <c r="R44" s="81" t="str">
        <f>VLOOKUP(C44,'Train Runs'!$A$13:$AE$10258,31,0)</f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S44" s="84" t="str">
        <f>VLOOKUP(C44,'Train Runs'!$A$13:$AE$10258,22,0)</f>
        <v>https://d0f6bd738d7f1b3e5a7ca70fe4ff75f0.us-east-1.aws.found.io/app/kibana#/discover/Steve-Slow-Train-Analysis-(2080s-and-2083s)?_g=(refreshInterval:(display:Off,pause:!f,section:0,value:0),time:(from:'2018-01-11T12:26:59-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/stypes="*4032*201801112*" /stext=" 23:.+((SYSTEM_STATE.+slice.+state.+changed )|(ment ac)|(multiple cpu faults)|(system.+state.+changed )|(\[timeout)|(PRM\|1\|D)|(kpr)|(kdp)|(train st.+moving)|(\|lc)|(penalty))"</v>
      </c>
      <c r="U44" s="9" t="str">
        <f>MID(B44,13,4)</f>
        <v>4032</v>
      </c>
      <c r="V44" s="31">
        <f>A44-utc_offset/24</f>
        <v>43111.977002314816</v>
      </c>
      <c r="W44" s="45" t="str">
        <f>DetSubdiv(C44)</f>
        <v>Shuttle/Test</v>
      </c>
      <c r="X44" s="228">
        <f>VALUE(LEFT(C44,LEN(C44)-3))</f>
        <v>61</v>
      </c>
      <c r="Y44" s="238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-11","description":"","custom_fields":[{"id":1,"name":"Subdivision","value":"Shuttle/Test"},{"id":4,"name":"Milepost","value":"11.2612"},{"id":17,"name":"Train ID","value":"61-11"},{"id":16,"name":"Locomotive ID","value":"4032"},{"id":130,"name":"Impact","value":""},{"id":150,"name":"Time of Event (Mountain Time)","value":"16:26:53"},{"id":151,"name":"Denver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4" s="158"/>
      <c r="AA44" s="231"/>
      <c r="AB44" s="231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/c/Users/stu/AppData/Local/Temp/OnboardLogs/RTDC4032 --include="*4032*201801112*"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"%USERPROFILE%\AppData\Local\Temp\OnboardLogs"\RTDC4032\*4032*201801112* &gt;&gt; 2018-01-11-SliceDisagreementCheck.txt</v>
      </c>
      <c r="AE44" s="144" t="str">
        <f t="shared" si="1"/>
        <v>start /low /b %USERPROFILE%\Documents\GitHub\eaglep3\Utilities\DownloadLogsFromS3.py --loco 4032 --day 2018-01-11</v>
      </c>
      <c r="AF44" s="1"/>
    </row>
  </sheetData>
  <autoFilter ref="A6:AC13">
    <sortState ref="A7:AC44">
      <sortCondition ref="W7:W44"/>
      <sortCondition ref="E7:E44"/>
      <sortCondition ref="K7:K44"/>
      <sortCondition ref="F7:F44"/>
    </sortState>
  </autoFilter>
  <sortState ref="A7:AE13">
    <sortCondition ref="W7:W13"/>
    <sortCondition ref="E7:E13"/>
    <sortCondition ref="K7:K13"/>
    <sortCondition ref="C7:C13"/>
    <sortCondition ref="F7:F13"/>
  </sortState>
  <mergeCells count="1">
    <mergeCell ref="A5:O5"/>
  </mergeCells>
  <conditionalFormatting sqref="O6:P6 R6 O7:O1048576">
    <cfRule type="cellIs" dxfId="3" priority="44" operator="equal">
      <formula>"Y"</formula>
    </cfRule>
  </conditionalFormatting>
  <conditionalFormatting sqref="O2:O3">
    <cfRule type="cellIs" dxfId="2" priority="35" operator="equal">
      <formula>"Y"</formula>
    </cfRule>
  </conditionalFormatting>
  <conditionalFormatting sqref="A7:P44">
    <cfRule type="expression" dxfId="1" priority="28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  <x14:dataValidation type="list" allowBlank="1" showInputMessage="1" showErrorMessage="1">
          <x14:formula1>
            <xm:f>'Redmine List Values'!$C$2:$C$15</xm:f>
          </x14:formula1>
          <xm:sqref>AB7:AB44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E13" sqref="E13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2018-01-11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>
        <v>231</v>
      </c>
      <c r="B3" s="42" t="str">
        <f>A3&amp;"-"&amp;IF(DAY(Variables!$A$2)&lt;10,0,"")&amp;DAY(Variables!$A$2)</f>
        <v>231-11</v>
      </c>
      <c r="C3" s="134"/>
      <c r="D3" s="252">
        <v>4020</v>
      </c>
      <c r="E3" s="30" t="s">
        <v>1114</v>
      </c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22231-11%22)),sort:!(Time.ISO8601,asc))</v>
      </c>
      <c r="J3" s="30" t="e">
        <f>VLOOKUP(B3,'Train Runs'!$A$13:$A$100255,1,FALSE)</f>
        <v>#N/A</v>
      </c>
    </row>
    <row r="4" spans="1:10" x14ac:dyDescent="0.3">
      <c r="A4" s="197">
        <v>157</v>
      </c>
      <c r="B4" s="42" t="str">
        <f>A4&amp;"-"&amp;IF(DAY(Variables!$A$2)&lt;10,0,"")&amp;DAY(Variables!$A$2)</f>
        <v>157-11</v>
      </c>
      <c r="C4" s="134"/>
      <c r="D4" s="252">
        <v>4020</v>
      </c>
      <c r="E4" s="30" t="s">
        <v>1114</v>
      </c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22157-11%22)),sort:!(Time.ISO8601,asc))</v>
      </c>
      <c r="J4" s="30" t="e">
        <f>VLOOKUP(B4,'Train Runs'!$A$13:$A$100255,1,FALSE)</f>
        <v>#N/A</v>
      </c>
    </row>
    <row r="5" spans="1:10" x14ac:dyDescent="0.3">
      <c r="A5" s="197"/>
      <c r="B5" s="42" t="str">
        <f>A5&amp;"-"&amp;IF(DAY(Variables!$A$2)&lt;10,0,"")&amp;DAY(Variables!$A$2)</f>
        <v>-11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" s="30" t="e">
        <f>VLOOKUP(B5,'Train Runs'!$A$13:$A$100255,1,FALSE)</f>
        <v>#N/A</v>
      </c>
    </row>
    <row r="6" spans="1:10" x14ac:dyDescent="0.3">
      <c r="A6" s="197"/>
      <c r="B6" s="42" t="str">
        <f>A6&amp;"-"&amp;IF(DAY(Variables!$A$2)&lt;10,0,"")&amp;DAY(Variables!$A$2)</f>
        <v>-11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" s="30" t="e">
        <f>VLOOKUP(B6,'Train Runs'!$A$13:$A$100255,1,FALSE)</f>
        <v>#N/A</v>
      </c>
    </row>
    <row r="7" spans="1:10" x14ac:dyDescent="0.3">
      <c r="A7" s="197"/>
      <c r="B7" s="42" t="str">
        <f>A7&amp;"-"&amp;IF(DAY(Variables!$A$2)&lt;10,0,"")&amp;DAY(Variables!$A$2)</f>
        <v>-11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" s="30" t="e">
        <f>VLOOKUP(B7,'Train Runs'!$A$13:$A$100255,1,FALSE)</f>
        <v>#N/A</v>
      </c>
    </row>
    <row r="8" spans="1:10" x14ac:dyDescent="0.3">
      <c r="A8" s="197"/>
      <c r="B8" s="42" t="str">
        <f>A8&amp;"-"&amp;IF(DAY(Variables!$A$2)&lt;10,0,"")&amp;DAY(Variables!$A$2)</f>
        <v>-11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" s="30" t="e">
        <f>VLOOKUP(B8,'Train Runs'!$A$13:$A$100255,1,FALSE)</f>
        <v>#N/A</v>
      </c>
    </row>
    <row r="9" spans="1:10" x14ac:dyDescent="0.3">
      <c r="A9" s="197"/>
      <c r="B9" s="42" t="str">
        <f>A9&amp;"-"&amp;IF(DAY(Variables!$A$2)&lt;10,0,"")&amp;DAY(Variables!$A$2)</f>
        <v>-11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" s="30" t="e">
        <f>VLOOKUP(B9,'Train Runs'!$A$13:$A$100255,1,FALSE)</f>
        <v>#N/A</v>
      </c>
    </row>
    <row r="10" spans="1:10" x14ac:dyDescent="0.3">
      <c r="A10" s="197"/>
      <c r="B10" s="42" t="str">
        <f>A10&amp;"-"&amp;IF(DAY(Variables!$A$2)&lt;10,0,"")&amp;DAY(Variables!$A$2)</f>
        <v>-11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" s="30" t="e">
        <f>VLOOKUP(B10,'Train Runs'!$A$13:$A$100255,1,FALSE)</f>
        <v>#N/A</v>
      </c>
    </row>
    <row r="11" spans="1:10" x14ac:dyDescent="0.3">
      <c r="A11" s="197"/>
      <c r="B11" s="42" t="str">
        <f>A11&amp;"-"&amp;IF(DAY(Variables!$A$2)&lt;10,0,"")&amp;DAY(Variables!$A$2)</f>
        <v>-11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" s="30" t="e">
        <f>VLOOKUP(B11,'Train Runs'!$A$13:$A$100255,1,FALSE)</f>
        <v>#N/A</v>
      </c>
    </row>
    <row r="12" spans="1:10" x14ac:dyDescent="0.3">
      <c r="A12" s="197"/>
      <c r="B12" s="42" t="str">
        <f>A12&amp;"-"&amp;IF(DAY(Variables!$A$2)&lt;10,0,"")&amp;DAY(Variables!$A$2)</f>
        <v>-11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2" s="30" t="e">
        <f>VLOOKUP(B12,'Train Runs'!$A$13:$A$100255,1,FALSE)</f>
        <v>#N/A</v>
      </c>
    </row>
    <row r="13" spans="1:10" x14ac:dyDescent="0.3">
      <c r="A13" s="197"/>
      <c r="B13" s="42" t="str">
        <f>A13&amp;"-"&amp;IF(DAY(Variables!$A$2)&lt;10,0,"")&amp;DAY(Variables!$A$2)</f>
        <v>-11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3" s="30" t="e">
        <f>VLOOKUP(B13,'Train Runs'!$A$13:$A$100255,1,FALSE)</f>
        <v>#N/A</v>
      </c>
    </row>
    <row r="14" spans="1:10" x14ac:dyDescent="0.3">
      <c r="A14" s="197"/>
      <c r="B14" s="42" t="str">
        <f>A14&amp;"-"&amp;IF(DAY(Variables!$A$2)&lt;10,0,"")&amp;DAY(Variables!$A$2)</f>
        <v>-11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4" s="30" t="e">
        <f>VLOOKUP(B14,'Train Runs'!$A$13:$A$100255,1,FALSE)</f>
        <v>#N/A</v>
      </c>
    </row>
    <row r="15" spans="1:10" x14ac:dyDescent="0.3">
      <c r="A15" s="197"/>
      <c r="B15" s="42" t="str">
        <f>A15&amp;"-"&amp;IF(DAY(Variables!$A$2)&lt;10,0,"")&amp;DAY(Variables!$A$2)</f>
        <v>-11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5" s="30" t="e">
        <f>VLOOKUP(B15,'Train Runs'!$A$13:$A$100255,1,FALSE)</f>
        <v>#N/A</v>
      </c>
    </row>
    <row r="16" spans="1:10" x14ac:dyDescent="0.3">
      <c r="A16" s="197"/>
      <c r="B16" s="42" t="str">
        <f>A16&amp;"-"&amp;IF(DAY(Variables!$A$2)&lt;10,0,"")&amp;DAY(Variables!$A$2)</f>
        <v>-11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6" s="30" t="e">
        <f>VLOOKUP(B16,'Train Runs'!$A$13:$A$100255,1,FALSE)</f>
        <v>#N/A</v>
      </c>
    </row>
    <row r="17" spans="1:10" x14ac:dyDescent="0.3">
      <c r="A17" s="197"/>
      <c r="B17" s="42" t="str">
        <f>A17&amp;"-"&amp;IF(DAY(Variables!$A$2)&lt;10,0,"")&amp;DAY(Variables!$A$2)</f>
        <v>-11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7" s="30" t="e">
        <f>VLOOKUP(B17,'Train Runs'!$A$13:$A$100255,1,FALSE)</f>
        <v>#N/A</v>
      </c>
    </row>
    <row r="18" spans="1:10" x14ac:dyDescent="0.3">
      <c r="A18" s="197"/>
      <c r="B18" s="42" t="str">
        <f>A18&amp;"-"&amp;IF(DAY(Variables!$A$2)&lt;10,0,"")&amp;DAY(Variables!$A$2)</f>
        <v>-11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8" s="30" t="e">
        <f>VLOOKUP(B18,'Train Runs'!$A$13:$A$100255,1,FALSE)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68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185</v>
      </c>
      <c r="G1" s="8" t="s">
        <v>184</v>
      </c>
      <c r="H1" s="20" t="s">
        <v>60</v>
      </c>
    </row>
    <row r="2" spans="1:8" x14ac:dyDescent="0.3">
      <c r="A2" s="8">
        <v>43111.031597222223</v>
      </c>
      <c r="B2" s="20" t="s">
        <v>560</v>
      </c>
      <c r="C2" s="20" t="s">
        <v>574</v>
      </c>
      <c r="D2" s="137">
        <v>3810000</v>
      </c>
      <c r="E2" s="20" t="s">
        <v>512</v>
      </c>
      <c r="F2" s="20" t="s">
        <v>513</v>
      </c>
      <c r="G2" s="8" t="str">
        <f>E2&amp;" "&amp;F2</f>
        <v>LORI SANTOS</v>
      </c>
      <c r="H2" t="str">
        <f>MID(B2,13,4)</f>
        <v>4058</v>
      </c>
    </row>
    <row r="3" spans="1:8" x14ac:dyDescent="0.3">
      <c r="A3" s="8">
        <v>43111.034155092595</v>
      </c>
      <c r="B3" s="20" t="s">
        <v>537</v>
      </c>
      <c r="C3" s="20" t="s">
        <v>575</v>
      </c>
      <c r="D3" s="137">
        <v>3490000</v>
      </c>
      <c r="E3" s="20" t="s">
        <v>470</v>
      </c>
      <c r="F3" s="20" t="s">
        <v>471</v>
      </c>
      <c r="G3" s="8" t="str">
        <f t="shared" ref="G3:G66" si="0">E3&amp;" "&amp;F3</f>
        <v>WEST BRYAN</v>
      </c>
      <c r="H3" s="20" t="str">
        <f t="shared" ref="H3:H66" si="1">MID(B3,13,4)</f>
        <v>4039</v>
      </c>
    </row>
    <row r="4" spans="1:8" x14ac:dyDescent="0.3">
      <c r="A4" s="8">
        <v>43111.04215277778</v>
      </c>
      <c r="B4" s="20" t="s">
        <v>488</v>
      </c>
      <c r="C4" s="20" t="s">
        <v>573</v>
      </c>
      <c r="D4" s="137">
        <v>3220000</v>
      </c>
      <c r="E4" s="20" t="s">
        <v>377</v>
      </c>
      <c r="F4" s="20" t="s">
        <v>378</v>
      </c>
      <c r="G4" s="8" t="str">
        <f t="shared" si="0"/>
        <v>RESPASS AARON</v>
      </c>
      <c r="H4" s="20" t="str">
        <f t="shared" si="1"/>
        <v>4025</v>
      </c>
    </row>
    <row r="5" spans="1:8" x14ac:dyDescent="0.3">
      <c r="A5" s="8">
        <v>43111.049143518518</v>
      </c>
      <c r="B5" s="20" t="s">
        <v>490</v>
      </c>
      <c r="C5" s="20" t="s">
        <v>576</v>
      </c>
      <c r="D5" s="137">
        <v>3220000</v>
      </c>
      <c r="E5" s="20" t="s">
        <v>377</v>
      </c>
      <c r="F5" s="20" t="s">
        <v>378</v>
      </c>
      <c r="G5" s="8" t="str">
        <f t="shared" si="0"/>
        <v>RESPASS AARON</v>
      </c>
      <c r="H5" s="20" t="str">
        <f t="shared" si="1"/>
        <v>4026</v>
      </c>
    </row>
    <row r="6" spans="1:8" x14ac:dyDescent="0.3">
      <c r="A6" s="8">
        <v>43111.053020833337</v>
      </c>
      <c r="B6" s="20" t="s">
        <v>361</v>
      </c>
      <c r="C6" s="20" t="s">
        <v>577</v>
      </c>
      <c r="D6" s="137">
        <v>3310000</v>
      </c>
      <c r="E6" s="20" t="s">
        <v>440</v>
      </c>
      <c r="F6" s="20" t="s">
        <v>441</v>
      </c>
      <c r="G6" s="8" t="str">
        <f t="shared" si="0"/>
        <v>ANDERS STEVEN</v>
      </c>
      <c r="H6" s="20" t="str">
        <f t="shared" si="1"/>
        <v>4017</v>
      </c>
    </row>
    <row r="7" spans="1:8" x14ac:dyDescent="0.3">
      <c r="A7" s="8">
        <v>43111.067986111113</v>
      </c>
      <c r="B7" s="20" t="s">
        <v>538</v>
      </c>
      <c r="C7" s="20" t="s">
        <v>578</v>
      </c>
      <c r="D7" s="137">
        <v>3490000</v>
      </c>
      <c r="E7" s="20" t="s">
        <v>470</v>
      </c>
      <c r="F7" s="20" t="s">
        <v>471</v>
      </c>
      <c r="G7" s="8" t="str">
        <f t="shared" si="0"/>
        <v>WEST BRYAN</v>
      </c>
      <c r="H7" s="20" t="str">
        <f t="shared" si="1"/>
        <v>4040</v>
      </c>
    </row>
    <row r="8" spans="1:8" x14ac:dyDescent="0.3">
      <c r="A8" s="8">
        <v>43111.091203703705</v>
      </c>
      <c r="B8" s="20" t="s">
        <v>359</v>
      </c>
      <c r="C8" s="20" t="s">
        <v>579</v>
      </c>
      <c r="D8" s="137">
        <v>3310000</v>
      </c>
      <c r="E8" s="20" t="s">
        <v>440</v>
      </c>
      <c r="F8" s="20" t="s">
        <v>441</v>
      </c>
      <c r="G8" s="8" t="str">
        <f t="shared" si="0"/>
        <v>ANDERS STEVEN</v>
      </c>
      <c r="H8" s="20" t="str">
        <f t="shared" si="1"/>
        <v>4018</v>
      </c>
    </row>
    <row r="9" spans="1:8" ht="15" thickBot="1" x14ac:dyDescent="0.35">
      <c r="A9" s="24">
        <v>43111.114421296297</v>
      </c>
      <c r="B9" s="20" t="s">
        <v>453</v>
      </c>
      <c r="C9" s="20" t="s">
        <v>580</v>
      </c>
      <c r="D9" s="137">
        <v>1830000</v>
      </c>
      <c r="E9" s="20" t="s">
        <v>345</v>
      </c>
      <c r="F9" s="20" t="s">
        <v>346</v>
      </c>
      <c r="G9" s="8" t="str">
        <f t="shared" si="0"/>
        <v>YORK EDGAR</v>
      </c>
      <c r="H9" s="20" t="str">
        <f t="shared" si="1"/>
        <v>4033</v>
      </c>
    </row>
    <row r="10" spans="1:8" x14ac:dyDescent="0.3">
      <c r="A10" s="8">
        <v>43111.125243055554</v>
      </c>
      <c r="B10" s="20" t="s">
        <v>660</v>
      </c>
      <c r="C10" s="20" t="s">
        <v>653</v>
      </c>
      <c r="D10" s="137">
        <v>900000</v>
      </c>
      <c r="E10" s="20" t="s">
        <v>561</v>
      </c>
      <c r="F10" s="20" t="s">
        <v>562</v>
      </c>
      <c r="G10" s="8" t="str">
        <f t="shared" si="0"/>
        <v>ROCHA YAOTL</v>
      </c>
      <c r="H10" s="20" t="str">
        <f t="shared" si="1"/>
        <v>4034</v>
      </c>
    </row>
    <row r="11" spans="1:8" x14ac:dyDescent="0.3">
      <c r="A11" s="8">
        <v>43111.125613425924</v>
      </c>
      <c r="B11" s="20" t="s">
        <v>437</v>
      </c>
      <c r="C11" s="20" t="s">
        <v>684</v>
      </c>
      <c r="D11" s="137">
        <v>1830000</v>
      </c>
      <c r="E11" s="20" t="s">
        <v>345</v>
      </c>
      <c r="F11" s="20" t="s">
        <v>346</v>
      </c>
      <c r="G11" s="8" t="str">
        <f t="shared" si="0"/>
        <v>YORK EDGAR</v>
      </c>
      <c r="H11" s="20" t="str">
        <f t="shared" si="1"/>
        <v>4050</v>
      </c>
    </row>
    <row r="12" spans="1:8" x14ac:dyDescent="0.3">
      <c r="A12" s="8">
        <v>43111.13958333333</v>
      </c>
      <c r="B12" s="20" t="s">
        <v>685</v>
      </c>
      <c r="C12" s="20" t="s">
        <v>686</v>
      </c>
      <c r="D12" s="137">
        <v>2010000</v>
      </c>
      <c r="E12" s="20" t="s">
        <v>687</v>
      </c>
      <c r="F12" s="20" t="s">
        <v>688</v>
      </c>
      <c r="G12" s="8" t="str">
        <f t="shared" si="0"/>
        <v>MAELZER KURT</v>
      </c>
      <c r="H12" s="20" t="str">
        <f t="shared" si="1"/>
        <v>4063</v>
      </c>
    </row>
    <row r="13" spans="1:8" x14ac:dyDescent="0.3">
      <c r="A13" s="8">
        <v>43111.139953703707</v>
      </c>
      <c r="B13" s="20" t="s">
        <v>453</v>
      </c>
      <c r="C13" s="20" t="s">
        <v>653</v>
      </c>
      <c r="D13" s="137">
        <v>900000</v>
      </c>
      <c r="E13" s="20" t="s">
        <v>561</v>
      </c>
      <c r="F13" s="20" t="s">
        <v>562</v>
      </c>
      <c r="G13" s="8" t="str">
        <f t="shared" si="0"/>
        <v>ROCHA YAOTL</v>
      </c>
      <c r="H13" s="20" t="str">
        <f t="shared" si="1"/>
        <v>4033</v>
      </c>
    </row>
    <row r="14" spans="1:8" x14ac:dyDescent="0.3">
      <c r="A14" s="8">
        <v>43111.140740740739</v>
      </c>
      <c r="B14" s="20" t="s">
        <v>453</v>
      </c>
      <c r="C14" s="20" t="s">
        <v>653</v>
      </c>
      <c r="D14" s="137">
        <v>900000</v>
      </c>
      <c r="E14" s="20" t="s">
        <v>561</v>
      </c>
      <c r="F14" s="20" t="s">
        <v>562</v>
      </c>
      <c r="G14" s="8" t="str">
        <f t="shared" si="0"/>
        <v>ROCHA YAOTL</v>
      </c>
      <c r="H14" s="20" t="str">
        <f t="shared" si="1"/>
        <v>4033</v>
      </c>
    </row>
    <row r="15" spans="1:8" x14ac:dyDescent="0.3">
      <c r="A15" s="8">
        <v>43111.141967592594</v>
      </c>
      <c r="B15" s="20" t="s">
        <v>453</v>
      </c>
      <c r="C15" s="20" t="s">
        <v>653</v>
      </c>
      <c r="D15" s="137">
        <v>900000</v>
      </c>
      <c r="E15" s="20" t="s">
        <v>561</v>
      </c>
      <c r="F15" s="20" t="s">
        <v>562</v>
      </c>
      <c r="G15" s="8" t="str">
        <f t="shared" si="0"/>
        <v>ROCHA YAOTL</v>
      </c>
      <c r="H15" s="20" t="str">
        <f t="shared" si="1"/>
        <v>4033</v>
      </c>
    </row>
    <row r="16" spans="1:8" x14ac:dyDescent="0.3">
      <c r="A16" s="8">
        <v>43111.15215277778</v>
      </c>
      <c r="B16" s="20" t="s">
        <v>689</v>
      </c>
      <c r="C16" s="20" t="s">
        <v>690</v>
      </c>
      <c r="D16" s="137">
        <v>2010000</v>
      </c>
      <c r="E16" s="20" t="s">
        <v>687</v>
      </c>
      <c r="F16" s="20" t="s">
        <v>688</v>
      </c>
      <c r="G16" s="8" t="str">
        <f t="shared" si="0"/>
        <v>MAELZER KURT</v>
      </c>
      <c r="H16" s="20" t="str">
        <f t="shared" si="1"/>
        <v>4064</v>
      </c>
    </row>
    <row r="17" spans="1:8" x14ac:dyDescent="0.3">
      <c r="A17" s="8">
        <v>43111.159525462965</v>
      </c>
      <c r="B17" s="20" t="s">
        <v>350</v>
      </c>
      <c r="C17" s="20" t="s">
        <v>691</v>
      </c>
      <c r="D17" s="137">
        <v>940000</v>
      </c>
      <c r="E17" s="20" t="s">
        <v>539</v>
      </c>
      <c r="F17" s="20" t="s">
        <v>540</v>
      </c>
      <c r="G17" s="8" t="str">
        <f t="shared" si="0"/>
        <v>BONDS REYNALDO</v>
      </c>
      <c r="H17" s="20" t="str">
        <f t="shared" si="1"/>
        <v>4055</v>
      </c>
    </row>
    <row r="18" spans="1:8" x14ac:dyDescent="0.3">
      <c r="A18" s="8">
        <v>43111.160474537035</v>
      </c>
      <c r="B18" s="20" t="s">
        <v>692</v>
      </c>
      <c r="C18" s="20" t="s">
        <v>693</v>
      </c>
      <c r="D18" s="137">
        <v>1830000</v>
      </c>
      <c r="E18" s="20" t="s">
        <v>345</v>
      </c>
      <c r="F18" s="20" t="s">
        <v>346</v>
      </c>
      <c r="G18" s="8" t="str">
        <f t="shared" si="0"/>
        <v>YORK EDGAR</v>
      </c>
      <c r="H18" s="20" t="str">
        <f t="shared" si="1"/>
        <v>4049</v>
      </c>
    </row>
    <row r="19" spans="1:8" x14ac:dyDescent="0.3">
      <c r="A19" s="8">
        <v>43111.168912037036</v>
      </c>
      <c r="B19" s="20" t="s">
        <v>370</v>
      </c>
      <c r="C19" s="20" t="s">
        <v>694</v>
      </c>
      <c r="D19" s="137">
        <v>1100000</v>
      </c>
      <c r="E19" s="20" t="s">
        <v>565</v>
      </c>
      <c r="F19" s="20" t="s">
        <v>566</v>
      </c>
      <c r="G19" s="8" t="str">
        <f t="shared" si="0"/>
        <v>GEBRETEKLE DAGNEW</v>
      </c>
      <c r="H19" s="20" t="str">
        <f t="shared" si="1"/>
        <v>4011</v>
      </c>
    </row>
    <row r="20" spans="1:8" x14ac:dyDescent="0.3">
      <c r="A20" s="8">
        <v>43111.170312499999</v>
      </c>
      <c r="B20" s="20" t="s">
        <v>468</v>
      </c>
      <c r="C20" s="20" t="s">
        <v>648</v>
      </c>
      <c r="D20" s="137">
        <v>940000</v>
      </c>
      <c r="E20" s="20" t="s">
        <v>539</v>
      </c>
      <c r="F20" s="20" t="s">
        <v>540</v>
      </c>
      <c r="G20" s="8" t="str">
        <f t="shared" si="0"/>
        <v>BONDS REYNALDO</v>
      </c>
      <c r="H20" s="20" t="str">
        <f t="shared" si="1"/>
        <v>4056</v>
      </c>
    </row>
    <row r="21" spans="1:8" x14ac:dyDescent="0.3">
      <c r="A21" s="8">
        <v>43111.172974537039</v>
      </c>
      <c r="B21" s="20" t="s">
        <v>658</v>
      </c>
      <c r="C21" s="20" t="s">
        <v>695</v>
      </c>
      <c r="D21" s="137">
        <v>3040000</v>
      </c>
      <c r="E21" s="20" t="s">
        <v>367</v>
      </c>
      <c r="F21" s="20" t="s">
        <v>469</v>
      </c>
      <c r="G21" s="8" t="str">
        <f t="shared" si="0"/>
        <v>WILLIAMS DONTE</v>
      </c>
      <c r="H21" s="20" t="str">
        <f t="shared" si="1"/>
        <v>4041</v>
      </c>
    </row>
    <row r="22" spans="1:8" x14ac:dyDescent="0.3">
      <c r="A22" s="26">
        <v>43111.183634259258</v>
      </c>
      <c r="B22" s="20" t="s">
        <v>369</v>
      </c>
      <c r="C22" s="20" t="s">
        <v>696</v>
      </c>
      <c r="D22" s="137">
        <v>1100000</v>
      </c>
      <c r="E22" s="20" t="s">
        <v>565</v>
      </c>
      <c r="F22" s="20" t="s">
        <v>566</v>
      </c>
      <c r="G22" s="8" t="str">
        <f t="shared" si="0"/>
        <v>GEBRETEKLE DAGNEW</v>
      </c>
      <c r="H22" s="20" t="str">
        <f t="shared" si="1"/>
        <v>4012</v>
      </c>
    </row>
    <row r="23" spans="1:8" x14ac:dyDescent="0.3">
      <c r="A23" s="8">
        <v>43111.187743055554</v>
      </c>
      <c r="B23" s="20" t="s">
        <v>685</v>
      </c>
      <c r="C23" s="20" t="s">
        <v>697</v>
      </c>
      <c r="D23" s="137">
        <v>2010000</v>
      </c>
      <c r="E23" s="20" t="s">
        <v>687</v>
      </c>
      <c r="F23" s="20" t="s">
        <v>688</v>
      </c>
      <c r="G23" s="8" t="str">
        <f t="shared" si="0"/>
        <v>MAELZER KURT</v>
      </c>
      <c r="H23" s="20" t="str">
        <f t="shared" si="1"/>
        <v>4063</v>
      </c>
    </row>
    <row r="24" spans="1:8" x14ac:dyDescent="0.3">
      <c r="A24" s="8">
        <v>43111.193981481483</v>
      </c>
      <c r="B24" s="20" t="s">
        <v>698</v>
      </c>
      <c r="C24" s="20" t="s">
        <v>699</v>
      </c>
      <c r="D24" s="137">
        <v>3040000</v>
      </c>
      <c r="E24" s="20" t="s">
        <v>367</v>
      </c>
      <c r="F24" s="20" t="s">
        <v>469</v>
      </c>
      <c r="G24" s="8" t="str">
        <f t="shared" si="0"/>
        <v>WILLIAMS DONTE</v>
      </c>
      <c r="H24" s="20" t="str">
        <f t="shared" si="1"/>
        <v>4042</v>
      </c>
    </row>
    <row r="25" spans="1:8" x14ac:dyDescent="0.3">
      <c r="A25" s="8">
        <v>43111.196099537039</v>
      </c>
      <c r="B25" s="20" t="s">
        <v>677</v>
      </c>
      <c r="C25" s="20" t="s">
        <v>700</v>
      </c>
      <c r="D25" s="137">
        <v>1230000</v>
      </c>
      <c r="E25" s="20" t="s">
        <v>541</v>
      </c>
      <c r="F25" s="20" t="s">
        <v>542</v>
      </c>
      <c r="G25" s="8" t="str">
        <f t="shared" si="0"/>
        <v>YANAI IAN</v>
      </c>
      <c r="H25" s="20" t="str">
        <f t="shared" si="1"/>
        <v>4015</v>
      </c>
    </row>
    <row r="26" spans="1:8" x14ac:dyDescent="0.3">
      <c r="A26" s="8">
        <v>43111.199953703705</v>
      </c>
      <c r="B26" s="20" t="s">
        <v>701</v>
      </c>
      <c r="C26" s="20" t="s">
        <v>702</v>
      </c>
      <c r="D26" s="137">
        <v>2440000</v>
      </c>
      <c r="E26" s="20" t="s">
        <v>563</v>
      </c>
      <c r="F26" s="20" t="s">
        <v>564</v>
      </c>
      <c r="G26" s="8" t="str">
        <f t="shared" si="0"/>
        <v>LOPES KIMBERLY</v>
      </c>
      <c r="H26" s="20" t="str">
        <f t="shared" si="1"/>
        <v>4014</v>
      </c>
    </row>
    <row r="27" spans="1:8" x14ac:dyDescent="0.3">
      <c r="A27" s="8">
        <v>43111.201643518521</v>
      </c>
      <c r="B27" s="20" t="s">
        <v>437</v>
      </c>
      <c r="C27" s="20" t="s">
        <v>703</v>
      </c>
      <c r="D27" s="137">
        <v>1830000</v>
      </c>
      <c r="E27" s="20" t="s">
        <v>345</v>
      </c>
      <c r="F27" s="20" t="s">
        <v>346</v>
      </c>
      <c r="G27" s="8" t="str">
        <f t="shared" si="0"/>
        <v>YORK EDGAR</v>
      </c>
      <c r="H27" s="20" t="str">
        <f t="shared" si="1"/>
        <v>4050</v>
      </c>
    </row>
    <row r="28" spans="1:8" x14ac:dyDescent="0.3">
      <c r="A28" s="8">
        <v>43111.208391203705</v>
      </c>
      <c r="B28" s="20" t="s">
        <v>350</v>
      </c>
      <c r="C28" s="20" t="s">
        <v>704</v>
      </c>
      <c r="D28" s="137">
        <v>940000</v>
      </c>
      <c r="E28" s="20" t="s">
        <v>539</v>
      </c>
      <c r="F28" s="20" t="s">
        <v>540</v>
      </c>
      <c r="G28" s="8" t="str">
        <f t="shared" si="0"/>
        <v>BONDS REYNALDO</v>
      </c>
      <c r="H28" s="20" t="str">
        <f t="shared" si="1"/>
        <v>4055</v>
      </c>
    </row>
    <row r="29" spans="1:8" x14ac:dyDescent="0.3">
      <c r="A29" s="8">
        <v>43111.211550925924</v>
      </c>
      <c r="B29" s="20" t="s">
        <v>489</v>
      </c>
      <c r="C29" s="20" t="s">
        <v>705</v>
      </c>
      <c r="D29" s="137">
        <v>2440000</v>
      </c>
      <c r="E29" s="20" t="s">
        <v>563</v>
      </c>
      <c r="F29" s="20" t="s">
        <v>564</v>
      </c>
      <c r="G29" s="8" t="str">
        <f t="shared" si="0"/>
        <v>LOPES KIMBERLY</v>
      </c>
      <c r="H29" s="20" t="str">
        <f t="shared" si="1"/>
        <v>4013</v>
      </c>
    </row>
    <row r="30" spans="1:8" x14ac:dyDescent="0.3">
      <c r="A30" s="8">
        <v>43111.212557870371</v>
      </c>
      <c r="B30" s="20" t="s">
        <v>706</v>
      </c>
      <c r="C30" s="20" t="s">
        <v>707</v>
      </c>
      <c r="D30" s="137">
        <v>1230000</v>
      </c>
      <c r="E30" s="20" t="s">
        <v>541</v>
      </c>
      <c r="F30" s="20" t="s">
        <v>542</v>
      </c>
      <c r="G30" s="8" t="str">
        <f t="shared" si="0"/>
        <v>YANAI IAN</v>
      </c>
      <c r="H30" s="20" t="str">
        <f t="shared" si="1"/>
        <v>4016</v>
      </c>
    </row>
    <row r="31" spans="1:8" x14ac:dyDescent="0.3">
      <c r="A31" s="8">
        <v>43111.214108796295</v>
      </c>
      <c r="B31" s="20" t="s">
        <v>370</v>
      </c>
      <c r="C31" s="20" t="s">
        <v>708</v>
      </c>
      <c r="D31" s="137">
        <v>1100000</v>
      </c>
      <c r="E31" s="20" t="s">
        <v>565</v>
      </c>
      <c r="F31" s="20" t="s">
        <v>566</v>
      </c>
      <c r="G31" s="8" t="str">
        <f t="shared" si="0"/>
        <v>GEBRETEKLE DAGNEW</v>
      </c>
      <c r="H31" s="20" t="str">
        <f t="shared" si="1"/>
        <v>4011</v>
      </c>
    </row>
    <row r="32" spans="1:8" x14ac:dyDescent="0.3">
      <c r="A32" s="8">
        <v>43111.222488425927</v>
      </c>
      <c r="B32" s="20" t="s">
        <v>709</v>
      </c>
      <c r="C32" s="20" t="s">
        <v>710</v>
      </c>
      <c r="D32" s="137">
        <v>2600000</v>
      </c>
      <c r="E32" s="20" t="s">
        <v>507</v>
      </c>
      <c r="F32" s="20" t="s">
        <v>445</v>
      </c>
      <c r="G32" s="8" t="str">
        <f t="shared" si="0"/>
        <v>DAVIDSON DAVID</v>
      </c>
      <c r="H32" s="20" t="str">
        <f t="shared" si="1"/>
        <v>4021</v>
      </c>
    </row>
    <row r="33" spans="1:8" x14ac:dyDescent="0.3">
      <c r="A33" s="8">
        <v>43111.226122685184</v>
      </c>
      <c r="B33" s="20" t="s">
        <v>689</v>
      </c>
      <c r="C33" s="20" t="s">
        <v>711</v>
      </c>
      <c r="D33" s="137">
        <v>2010000</v>
      </c>
      <c r="E33" s="20" t="s">
        <v>687</v>
      </c>
      <c r="F33" s="20" t="s">
        <v>688</v>
      </c>
      <c r="G33" s="8" t="str">
        <f t="shared" si="0"/>
        <v>MAELZER KURT</v>
      </c>
      <c r="H33" s="20" t="str">
        <f t="shared" si="1"/>
        <v>4064</v>
      </c>
    </row>
    <row r="34" spans="1:8" x14ac:dyDescent="0.3">
      <c r="A34" s="8">
        <v>43111.23027777778</v>
      </c>
      <c r="B34" s="20" t="s">
        <v>701</v>
      </c>
      <c r="C34" s="20" t="s">
        <v>712</v>
      </c>
      <c r="D34" s="137">
        <v>2440000</v>
      </c>
      <c r="E34" s="20" t="s">
        <v>563</v>
      </c>
      <c r="F34" s="20" t="s">
        <v>564</v>
      </c>
      <c r="G34" s="8" t="str">
        <f t="shared" si="0"/>
        <v>LOPES KIMBERLY</v>
      </c>
      <c r="H34" s="20" t="str">
        <f t="shared" si="1"/>
        <v>4014</v>
      </c>
    </row>
    <row r="35" spans="1:8" x14ac:dyDescent="0.3">
      <c r="A35" s="8">
        <v>43111.233182870368</v>
      </c>
      <c r="B35" s="20" t="s">
        <v>383</v>
      </c>
      <c r="C35" s="20" t="s">
        <v>713</v>
      </c>
      <c r="D35" s="137">
        <v>2600000</v>
      </c>
      <c r="E35" s="20" t="s">
        <v>507</v>
      </c>
      <c r="F35" s="20" t="s">
        <v>445</v>
      </c>
      <c r="G35" s="8" t="str">
        <f t="shared" si="0"/>
        <v>DAVIDSON DAVID</v>
      </c>
      <c r="H35" s="20" t="str">
        <f t="shared" si="1"/>
        <v>4022</v>
      </c>
    </row>
    <row r="36" spans="1:8" x14ac:dyDescent="0.3">
      <c r="A36" s="8">
        <v>43111.233483796299</v>
      </c>
      <c r="B36" s="20" t="s">
        <v>692</v>
      </c>
      <c r="C36" s="20" t="s">
        <v>714</v>
      </c>
      <c r="D36" s="137">
        <v>1830000</v>
      </c>
      <c r="E36" s="20" t="s">
        <v>345</v>
      </c>
      <c r="F36" s="20" t="s">
        <v>346</v>
      </c>
      <c r="G36" s="8" t="str">
        <f t="shared" si="0"/>
        <v>YORK EDGAR</v>
      </c>
      <c r="H36" s="20" t="str">
        <f t="shared" si="1"/>
        <v>4049</v>
      </c>
    </row>
    <row r="37" spans="1:8" x14ac:dyDescent="0.3">
      <c r="A37" s="8">
        <v>43111.234780092593</v>
      </c>
      <c r="B37" s="20" t="s">
        <v>658</v>
      </c>
      <c r="C37" s="20" t="s">
        <v>715</v>
      </c>
      <c r="D37" s="137">
        <v>3040000</v>
      </c>
      <c r="E37" s="20" t="s">
        <v>367</v>
      </c>
      <c r="F37" s="20" t="s">
        <v>469</v>
      </c>
      <c r="G37" s="8" t="str">
        <f t="shared" si="0"/>
        <v>WILLIAMS DONTE</v>
      </c>
      <c r="H37" s="20" t="str">
        <f t="shared" si="1"/>
        <v>4041</v>
      </c>
    </row>
    <row r="38" spans="1:8" x14ac:dyDescent="0.3">
      <c r="A38" s="8">
        <v>43111.238587962966</v>
      </c>
      <c r="B38" s="20" t="s">
        <v>649</v>
      </c>
      <c r="C38" s="20" t="s">
        <v>650</v>
      </c>
      <c r="D38" s="137">
        <v>3000000</v>
      </c>
      <c r="E38" s="20" t="s">
        <v>463</v>
      </c>
      <c r="F38" s="20" t="s">
        <v>464</v>
      </c>
      <c r="G38" s="8" t="str">
        <f t="shared" si="0"/>
        <v>FORTUNATO FRANK</v>
      </c>
      <c r="H38" s="20" t="str">
        <f t="shared" si="1"/>
        <v>4005</v>
      </c>
    </row>
    <row r="39" spans="1:8" x14ac:dyDescent="0.3">
      <c r="A39" s="8">
        <v>43111.2421875</v>
      </c>
      <c r="B39" s="20" t="s">
        <v>649</v>
      </c>
      <c r="C39" s="20" t="s">
        <v>650</v>
      </c>
      <c r="D39" s="137">
        <v>3000000</v>
      </c>
      <c r="E39" s="20" t="s">
        <v>463</v>
      </c>
      <c r="F39" s="20" t="s">
        <v>464</v>
      </c>
      <c r="G39" s="8" t="str">
        <f t="shared" si="0"/>
        <v>FORTUNATO FRANK</v>
      </c>
      <c r="H39" s="20" t="str">
        <f t="shared" si="1"/>
        <v>4005</v>
      </c>
    </row>
    <row r="40" spans="1:8" x14ac:dyDescent="0.3">
      <c r="A40" s="8">
        <v>43111.245312500003</v>
      </c>
      <c r="B40" s="25" t="s">
        <v>677</v>
      </c>
      <c r="C40" s="20" t="s">
        <v>716</v>
      </c>
      <c r="D40" s="137">
        <v>1230000</v>
      </c>
      <c r="E40" s="20" t="s">
        <v>541</v>
      </c>
      <c r="F40" s="20" t="s">
        <v>542</v>
      </c>
      <c r="G40" s="8" t="str">
        <f t="shared" si="0"/>
        <v>YANAI IAN</v>
      </c>
      <c r="H40" s="20" t="str">
        <f t="shared" si="1"/>
        <v>4015</v>
      </c>
    </row>
    <row r="41" spans="1:8" x14ac:dyDescent="0.3">
      <c r="A41" s="8">
        <v>43111.246134259258</v>
      </c>
      <c r="B41" s="20" t="s">
        <v>468</v>
      </c>
      <c r="C41" s="20" t="s">
        <v>651</v>
      </c>
      <c r="D41" s="137">
        <v>940000</v>
      </c>
      <c r="E41" s="20" t="s">
        <v>539</v>
      </c>
      <c r="F41" s="20" t="s">
        <v>540</v>
      </c>
      <c r="G41" s="8" t="str">
        <f t="shared" si="0"/>
        <v>BONDS REYNALDO</v>
      </c>
      <c r="H41" s="20" t="str">
        <f t="shared" si="1"/>
        <v>4056</v>
      </c>
    </row>
    <row r="42" spans="1:8" x14ac:dyDescent="0.3">
      <c r="A42" s="8">
        <v>43111.247488425928</v>
      </c>
      <c r="B42" s="20" t="s">
        <v>489</v>
      </c>
      <c r="C42" s="20" t="s">
        <v>717</v>
      </c>
      <c r="D42" s="137">
        <v>2440000</v>
      </c>
      <c r="E42" s="20" t="s">
        <v>563</v>
      </c>
      <c r="F42" s="20" t="s">
        <v>564</v>
      </c>
      <c r="G42" s="8" t="str">
        <f t="shared" si="0"/>
        <v>LOPES KIMBERLY</v>
      </c>
      <c r="H42" s="20" t="str">
        <f t="shared" si="1"/>
        <v>4013</v>
      </c>
    </row>
    <row r="43" spans="1:8" x14ac:dyDescent="0.3">
      <c r="A43" s="8">
        <v>43111.250902777778</v>
      </c>
      <c r="B43" s="20" t="s">
        <v>656</v>
      </c>
      <c r="C43" s="20" t="s">
        <v>718</v>
      </c>
      <c r="D43" s="137">
        <v>3000000</v>
      </c>
      <c r="E43" s="20" t="s">
        <v>463</v>
      </c>
      <c r="F43" s="20" t="s">
        <v>464</v>
      </c>
      <c r="G43" s="8" t="str">
        <f t="shared" si="0"/>
        <v>FORTUNATO FRANK</v>
      </c>
      <c r="H43" s="20" t="str">
        <f t="shared" si="1"/>
        <v>4006</v>
      </c>
    </row>
    <row r="44" spans="1:8" x14ac:dyDescent="0.3">
      <c r="A44" s="8">
        <v>43111.256562499999</v>
      </c>
      <c r="B44" s="20" t="s">
        <v>369</v>
      </c>
      <c r="C44" s="20" t="s">
        <v>719</v>
      </c>
      <c r="D44" s="137">
        <v>1100000</v>
      </c>
      <c r="E44" s="20" t="s">
        <v>565</v>
      </c>
      <c r="F44" s="20" t="s">
        <v>566</v>
      </c>
      <c r="G44" s="8" t="str">
        <f t="shared" si="0"/>
        <v>GEBRETEKLE DAGNEW</v>
      </c>
      <c r="H44" s="20" t="str">
        <f t="shared" si="1"/>
        <v>4012</v>
      </c>
    </row>
    <row r="45" spans="1:8" x14ac:dyDescent="0.3">
      <c r="A45" s="8">
        <v>43111.261770833335</v>
      </c>
      <c r="B45" s="20" t="s">
        <v>685</v>
      </c>
      <c r="C45" s="20" t="s">
        <v>720</v>
      </c>
      <c r="D45" s="137">
        <v>2010000</v>
      </c>
      <c r="E45" s="20" t="s">
        <v>687</v>
      </c>
      <c r="F45" s="20" t="s">
        <v>688</v>
      </c>
      <c r="G45" s="8" t="str">
        <f t="shared" si="0"/>
        <v>MAELZER KURT</v>
      </c>
      <c r="H45" s="20" t="str">
        <f t="shared" si="1"/>
        <v>4063</v>
      </c>
    </row>
    <row r="46" spans="1:8" x14ac:dyDescent="0.3">
      <c r="A46" s="8">
        <v>43111.266111111108</v>
      </c>
      <c r="B46" s="20" t="s">
        <v>698</v>
      </c>
      <c r="C46" s="20" t="s">
        <v>715</v>
      </c>
      <c r="D46" s="137">
        <v>3040000</v>
      </c>
      <c r="E46" s="20" t="s">
        <v>367</v>
      </c>
      <c r="F46" s="20" t="s">
        <v>469</v>
      </c>
      <c r="G46" s="8" t="str">
        <f t="shared" si="0"/>
        <v>WILLIAMS DONTE</v>
      </c>
      <c r="H46" s="20" t="str">
        <f t="shared" si="1"/>
        <v>4042</v>
      </c>
    </row>
    <row r="47" spans="1:8" x14ac:dyDescent="0.3">
      <c r="A47" s="8">
        <v>43111.266875000001</v>
      </c>
      <c r="B47" s="20" t="s">
        <v>698</v>
      </c>
      <c r="C47" s="20" t="s">
        <v>721</v>
      </c>
      <c r="D47" s="137">
        <v>3040000</v>
      </c>
      <c r="E47" s="20" t="s">
        <v>367</v>
      </c>
      <c r="F47" s="20" t="s">
        <v>469</v>
      </c>
      <c r="G47" s="8" t="str">
        <f t="shared" si="0"/>
        <v>WILLIAMS DONTE</v>
      </c>
      <c r="H47" s="20" t="str">
        <f t="shared" si="1"/>
        <v>4042</v>
      </c>
    </row>
    <row r="48" spans="1:8" x14ac:dyDescent="0.3">
      <c r="A48" s="8">
        <v>43111.267210648148</v>
      </c>
      <c r="B48" s="20" t="s">
        <v>709</v>
      </c>
      <c r="C48" s="20" t="s">
        <v>722</v>
      </c>
      <c r="D48" s="137">
        <v>2600000</v>
      </c>
      <c r="E48" s="20" t="s">
        <v>507</v>
      </c>
      <c r="F48" s="20" t="s">
        <v>445</v>
      </c>
      <c r="G48" s="8" t="str">
        <f t="shared" si="0"/>
        <v>DAVIDSON DAVID</v>
      </c>
      <c r="H48" s="20" t="str">
        <f t="shared" si="1"/>
        <v>4021</v>
      </c>
    </row>
    <row r="49" spans="1:8" x14ac:dyDescent="0.3">
      <c r="A49" s="8">
        <v>43111.268368055556</v>
      </c>
      <c r="B49" s="20" t="s">
        <v>649</v>
      </c>
      <c r="C49" s="20" t="s">
        <v>723</v>
      </c>
      <c r="D49" s="137">
        <v>3000000</v>
      </c>
      <c r="E49" s="20" t="s">
        <v>463</v>
      </c>
      <c r="F49" s="20" t="s">
        <v>464</v>
      </c>
      <c r="G49" s="8" t="str">
        <f t="shared" si="0"/>
        <v>FORTUNATO FRANK</v>
      </c>
      <c r="H49" s="20" t="str">
        <f t="shared" si="1"/>
        <v>4005</v>
      </c>
    </row>
    <row r="50" spans="1:8" x14ac:dyDescent="0.3">
      <c r="A50" s="8">
        <v>43111.270173611112</v>
      </c>
      <c r="B50" s="20" t="s">
        <v>468</v>
      </c>
      <c r="C50" s="20" t="s">
        <v>651</v>
      </c>
      <c r="D50" s="137">
        <v>940000</v>
      </c>
      <c r="E50" s="20" t="s">
        <v>539</v>
      </c>
      <c r="F50" s="20" t="s">
        <v>540</v>
      </c>
      <c r="G50" s="8" t="str">
        <f t="shared" si="0"/>
        <v>BONDS REYNALDO</v>
      </c>
      <c r="H50" s="20" t="str">
        <f t="shared" si="1"/>
        <v>4056</v>
      </c>
    </row>
    <row r="51" spans="1:8" x14ac:dyDescent="0.3">
      <c r="A51" s="8">
        <v>43111.273645833331</v>
      </c>
      <c r="B51" s="20" t="s">
        <v>701</v>
      </c>
      <c r="C51" s="20" t="s">
        <v>724</v>
      </c>
      <c r="D51" s="137">
        <v>2440000</v>
      </c>
      <c r="E51" s="20" t="s">
        <v>563</v>
      </c>
      <c r="F51" s="20" t="s">
        <v>564</v>
      </c>
      <c r="G51" s="8" t="str">
        <f t="shared" si="0"/>
        <v>LOPES KIMBERLY</v>
      </c>
      <c r="H51" s="20" t="str">
        <f t="shared" si="1"/>
        <v>4014</v>
      </c>
    </row>
    <row r="52" spans="1:8" x14ac:dyDescent="0.3">
      <c r="A52" s="8">
        <v>43111.276377314818</v>
      </c>
      <c r="B52" s="20" t="s">
        <v>437</v>
      </c>
      <c r="C52" s="20" t="s">
        <v>725</v>
      </c>
      <c r="D52" s="137">
        <v>1830000</v>
      </c>
      <c r="E52" s="20" t="s">
        <v>345</v>
      </c>
      <c r="F52" s="20" t="s">
        <v>346</v>
      </c>
      <c r="G52" s="8" t="str">
        <f t="shared" si="0"/>
        <v>YORK EDGAR</v>
      </c>
      <c r="H52" s="20" t="str">
        <f t="shared" si="1"/>
        <v>4050</v>
      </c>
    </row>
    <row r="53" spans="1:8" x14ac:dyDescent="0.3">
      <c r="A53" s="8">
        <v>43111.28392361111</v>
      </c>
      <c r="B53" s="20" t="s">
        <v>350</v>
      </c>
      <c r="C53" s="20" t="s">
        <v>726</v>
      </c>
      <c r="D53" s="137">
        <v>940000</v>
      </c>
      <c r="E53" s="20" t="s">
        <v>539</v>
      </c>
      <c r="F53" s="20" t="s">
        <v>540</v>
      </c>
      <c r="G53" s="8" t="str">
        <f t="shared" si="0"/>
        <v>BONDS REYNALDO</v>
      </c>
      <c r="H53" s="20" t="str">
        <f t="shared" si="1"/>
        <v>4055</v>
      </c>
    </row>
    <row r="54" spans="1:8" x14ac:dyDescent="0.3">
      <c r="A54" s="8">
        <v>43111.286874999998</v>
      </c>
      <c r="B54" s="20" t="s">
        <v>370</v>
      </c>
      <c r="C54" s="20" t="s">
        <v>727</v>
      </c>
      <c r="D54" s="137">
        <v>1100000</v>
      </c>
      <c r="E54" s="20" t="s">
        <v>565</v>
      </c>
      <c r="F54" s="20" t="s">
        <v>566</v>
      </c>
      <c r="G54" s="8" t="str">
        <f t="shared" si="0"/>
        <v>GEBRETEKLE DAGNEW</v>
      </c>
      <c r="H54" s="20" t="str">
        <f t="shared" si="1"/>
        <v>4011</v>
      </c>
    </row>
    <row r="55" spans="1:8" x14ac:dyDescent="0.3">
      <c r="A55" s="8">
        <v>43111.289166666669</v>
      </c>
      <c r="B55" s="20" t="s">
        <v>706</v>
      </c>
      <c r="C55" s="20" t="s">
        <v>728</v>
      </c>
      <c r="D55" s="137">
        <v>1230000</v>
      </c>
      <c r="E55" s="20" t="s">
        <v>541</v>
      </c>
      <c r="F55" s="20" t="s">
        <v>542</v>
      </c>
      <c r="G55" s="8" t="str">
        <f t="shared" si="0"/>
        <v>YANAI IAN</v>
      </c>
      <c r="H55" s="20" t="str">
        <f t="shared" si="1"/>
        <v>4016</v>
      </c>
    </row>
    <row r="56" spans="1:8" x14ac:dyDescent="0.3">
      <c r="A56" s="8">
        <v>43111.289907407408</v>
      </c>
      <c r="B56" s="20" t="s">
        <v>489</v>
      </c>
      <c r="C56" s="20" t="s">
        <v>729</v>
      </c>
      <c r="D56" s="137">
        <v>2440000</v>
      </c>
      <c r="E56" s="20" t="s">
        <v>563</v>
      </c>
      <c r="F56" s="20" t="s">
        <v>564</v>
      </c>
      <c r="G56" s="8" t="str">
        <f t="shared" si="0"/>
        <v>LOPES KIMBERLY</v>
      </c>
      <c r="H56" s="20" t="str">
        <f t="shared" si="1"/>
        <v>4013</v>
      </c>
    </row>
    <row r="57" spans="1:8" x14ac:dyDescent="0.3">
      <c r="A57" s="8">
        <v>43111.290243055555</v>
      </c>
      <c r="B57" s="20" t="s">
        <v>656</v>
      </c>
      <c r="C57" s="20" t="s">
        <v>730</v>
      </c>
      <c r="D57" s="137">
        <v>3000000</v>
      </c>
      <c r="E57" s="20" t="s">
        <v>463</v>
      </c>
      <c r="F57" s="20" t="s">
        <v>464</v>
      </c>
      <c r="G57" s="8" t="str">
        <f t="shared" si="0"/>
        <v>FORTUNATO FRANK</v>
      </c>
      <c r="H57" s="20" t="str">
        <f t="shared" si="1"/>
        <v>4006</v>
      </c>
    </row>
    <row r="58" spans="1:8" x14ac:dyDescent="0.3">
      <c r="A58" s="8">
        <v>43111.298472222225</v>
      </c>
      <c r="B58" s="20" t="s">
        <v>689</v>
      </c>
      <c r="C58" s="20" t="s">
        <v>731</v>
      </c>
      <c r="D58" s="137">
        <v>2010000</v>
      </c>
      <c r="E58" s="20" t="s">
        <v>687</v>
      </c>
      <c r="F58" s="20" t="s">
        <v>688</v>
      </c>
      <c r="G58" s="8" t="str">
        <f t="shared" si="0"/>
        <v>MAELZER KURT</v>
      </c>
      <c r="H58" s="20" t="str">
        <f t="shared" si="1"/>
        <v>4064</v>
      </c>
    </row>
    <row r="59" spans="1:8" x14ac:dyDescent="0.3">
      <c r="A59" s="8">
        <v>43111.307280092595</v>
      </c>
      <c r="B59" s="20" t="s">
        <v>658</v>
      </c>
      <c r="C59" s="20" t="s">
        <v>732</v>
      </c>
      <c r="D59" s="137">
        <v>3040000</v>
      </c>
      <c r="E59" s="20" t="s">
        <v>367</v>
      </c>
      <c r="F59" s="20" t="s">
        <v>469</v>
      </c>
      <c r="G59" s="8" t="str">
        <f t="shared" si="0"/>
        <v>WILLIAMS DONTE</v>
      </c>
      <c r="H59" s="20" t="str">
        <f t="shared" si="1"/>
        <v>4041</v>
      </c>
    </row>
    <row r="60" spans="1:8" x14ac:dyDescent="0.3">
      <c r="A60" s="8">
        <v>43111.307314814818</v>
      </c>
      <c r="B60" s="20" t="s">
        <v>692</v>
      </c>
      <c r="C60" s="20" t="s">
        <v>733</v>
      </c>
      <c r="D60" s="137">
        <v>1830000</v>
      </c>
      <c r="E60" s="20" t="s">
        <v>345</v>
      </c>
      <c r="F60" s="20" t="s">
        <v>346</v>
      </c>
      <c r="G60" s="8" t="str">
        <f t="shared" si="0"/>
        <v>YORK EDGAR</v>
      </c>
      <c r="H60" s="20" t="str">
        <f t="shared" si="1"/>
        <v>4049</v>
      </c>
    </row>
    <row r="61" spans="1:8" x14ac:dyDescent="0.3">
      <c r="A61" s="8">
        <v>43111.307962962965</v>
      </c>
      <c r="B61" s="20" t="s">
        <v>383</v>
      </c>
      <c r="C61" s="20" t="s">
        <v>734</v>
      </c>
      <c r="D61" s="137">
        <v>2600000</v>
      </c>
      <c r="E61" s="20" t="s">
        <v>507</v>
      </c>
      <c r="F61" s="20" t="s">
        <v>445</v>
      </c>
      <c r="G61" s="8" t="str">
        <f t="shared" si="0"/>
        <v>DAVIDSON DAVID</v>
      </c>
      <c r="H61" s="20" t="str">
        <f t="shared" si="1"/>
        <v>4022</v>
      </c>
    </row>
    <row r="62" spans="1:8" x14ac:dyDescent="0.3">
      <c r="A62" s="8">
        <v>43111.309710648151</v>
      </c>
      <c r="B62" s="20" t="s">
        <v>649</v>
      </c>
      <c r="C62" s="20" t="s">
        <v>735</v>
      </c>
      <c r="D62" s="137">
        <v>3000000</v>
      </c>
      <c r="E62" s="20" t="s">
        <v>463</v>
      </c>
      <c r="F62" s="20" t="s">
        <v>464</v>
      </c>
      <c r="G62" s="8" t="str">
        <f t="shared" si="0"/>
        <v>FORTUNATO FRANK</v>
      </c>
      <c r="H62" s="20" t="str">
        <f t="shared" si="1"/>
        <v>4005</v>
      </c>
    </row>
    <row r="63" spans="1:8" x14ac:dyDescent="0.3">
      <c r="A63" s="8">
        <v>43111.312372685185</v>
      </c>
      <c r="B63" s="20" t="s">
        <v>701</v>
      </c>
      <c r="C63" s="20" t="s">
        <v>736</v>
      </c>
      <c r="D63" s="137">
        <v>2440000</v>
      </c>
      <c r="E63" s="20" t="s">
        <v>563</v>
      </c>
      <c r="F63" s="20" t="s">
        <v>564</v>
      </c>
      <c r="G63" s="8" t="str">
        <f t="shared" si="0"/>
        <v>LOPES KIMBERLY</v>
      </c>
      <c r="H63" s="20" t="str">
        <f t="shared" si="1"/>
        <v>4014</v>
      </c>
    </row>
    <row r="64" spans="1:8" x14ac:dyDescent="0.3">
      <c r="A64" s="26">
        <v>43111.317256944443</v>
      </c>
      <c r="B64" s="20" t="s">
        <v>677</v>
      </c>
      <c r="C64" s="20" t="s">
        <v>737</v>
      </c>
      <c r="D64" s="137">
        <v>1230000</v>
      </c>
      <c r="E64" s="20" t="s">
        <v>541</v>
      </c>
      <c r="F64" s="20" t="s">
        <v>542</v>
      </c>
      <c r="G64" s="8" t="str">
        <f t="shared" si="0"/>
        <v>YANAI IAN</v>
      </c>
      <c r="H64" s="20" t="str">
        <f t="shared" si="1"/>
        <v>4015</v>
      </c>
    </row>
    <row r="65" spans="1:8" x14ac:dyDescent="0.3">
      <c r="A65" s="8">
        <v>43111.318865740737</v>
      </c>
      <c r="B65" s="20" t="s">
        <v>468</v>
      </c>
      <c r="C65" s="20" t="s">
        <v>738</v>
      </c>
      <c r="D65" s="137">
        <v>1760000</v>
      </c>
      <c r="E65" s="20" t="s">
        <v>739</v>
      </c>
      <c r="F65" s="20" t="s">
        <v>740</v>
      </c>
      <c r="G65" s="8" t="str">
        <f t="shared" si="0"/>
        <v>STRICKLAND EVAN</v>
      </c>
      <c r="H65" s="20" t="str">
        <f t="shared" si="1"/>
        <v>4056</v>
      </c>
    </row>
    <row r="66" spans="1:8" x14ac:dyDescent="0.3">
      <c r="A66" s="8">
        <v>43111.329062500001</v>
      </c>
      <c r="B66" s="20" t="s">
        <v>369</v>
      </c>
      <c r="C66" s="20" t="s">
        <v>741</v>
      </c>
      <c r="D66" s="137">
        <v>1100000</v>
      </c>
      <c r="E66" s="20" t="s">
        <v>565</v>
      </c>
      <c r="F66" s="20" t="s">
        <v>566</v>
      </c>
      <c r="G66" s="8" t="str">
        <f t="shared" si="0"/>
        <v>GEBRETEKLE DAGNEW</v>
      </c>
      <c r="H66" s="20" t="str">
        <f t="shared" si="1"/>
        <v>4012</v>
      </c>
    </row>
    <row r="67" spans="1:8" x14ac:dyDescent="0.3">
      <c r="A67" s="8">
        <v>43111.329768518517</v>
      </c>
      <c r="B67" s="20" t="s">
        <v>489</v>
      </c>
      <c r="C67" s="20" t="s">
        <v>652</v>
      </c>
      <c r="D67" s="137">
        <v>2440000</v>
      </c>
      <c r="E67" s="20" t="s">
        <v>563</v>
      </c>
      <c r="F67" s="20" t="s">
        <v>564</v>
      </c>
      <c r="G67" s="8" t="str">
        <f t="shared" ref="G67:G130" si="2">E67&amp;" "&amp;F67</f>
        <v>LOPES KIMBERLY</v>
      </c>
      <c r="H67" s="20" t="str">
        <f t="shared" ref="H67:H130" si="3">MID(B67,13,4)</f>
        <v>4013</v>
      </c>
    </row>
    <row r="68" spans="1:8" x14ac:dyDescent="0.3">
      <c r="A68" s="8">
        <v>43111.332256944443</v>
      </c>
      <c r="B68" s="20" t="s">
        <v>656</v>
      </c>
      <c r="C68" s="20" t="s">
        <v>742</v>
      </c>
      <c r="D68" s="137">
        <v>3000000</v>
      </c>
      <c r="E68" s="20" t="s">
        <v>463</v>
      </c>
      <c r="F68" s="20" t="s">
        <v>464</v>
      </c>
      <c r="G68" s="8" t="str">
        <f t="shared" si="2"/>
        <v>FORTUNATO FRANK</v>
      </c>
      <c r="H68" s="20" t="str">
        <f t="shared" si="3"/>
        <v>4006</v>
      </c>
    </row>
    <row r="69" spans="1:8" x14ac:dyDescent="0.3">
      <c r="A69" s="8">
        <v>43111.333483796298</v>
      </c>
      <c r="B69" s="20" t="s">
        <v>685</v>
      </c>
      <c r="C69" s="20" t="s">
        <v>743</v>
      </c>
      <c r="D69" s="137">
        <v>2010000</v>
      </c>
      <c r="E69" s="20" t="s">
        <v>687</v>
      </c>
      <c r="F69" s="20" t="s">
        <v>688</v>
      </c>
      <c r="G69" s="8" t="str">
        <f t="shared" si="2"/>
        <v>MAELZER KURT</v>
      </c>
      <c r="H69" s="20" t="str">
        <f t="shared" si="3"/>
        <v>4063</v>
      </c>
    </row>
    <row r="70" spans="1:8" x14ac:dyDescent="0.3">
      <c r="A70" s="8">
        <v>43111.338958333334</v>
      </c>
      <c r="B70" s="20" t="s">
        <v>698</v>
      </c>
      <c r="C70" s="20" t="s">
        <v>744</v>
      </c>
      <c r="D70" s="137">
        <v>3040000</v>
      </c>
      <c r="E70" s="20" t="s">
        <v>367</v>
      </c>
      <c r="F70" s="20" t="s">
        <v>469</v>
      </c>
      <c r="G70" s="8" t="str">
        <f t="shared" si="2"/>
        <v>WILLIAMS DONTE</v>
      </c>
      <c r="H70" s="20" t="str">
        <f t="shared" si="3"/>
        <v>4042</v>
      </c>
    </row>
    <row r="71" spans="1:8" x14ac:dyDescent="0.3">
      <c r="A71" s="8">
        <v>43111.339675925927</v>
      </c>
      <c r="B71" s="20" t="s">
        <v>709</v>
      </c>
      <c r="C71" s="20" t="s">
        <v>745</v>
      </c>
      <c r="D71" s="137">
        <v>2600000</v>
      </c>
      <c r="E71" s="20" t="s">
        <v>507</v>
      </c>
      <c r="F71" s="20" t="s">
        <v>445</v>
      </c>
      <c r="G71" s="8" t="str">
        <f t="shared" si="2"/>
        <v>DAVIDSON DAVID</v>
      </c>
      <c r="H71" s="20" t="str">
        <f t="shared" si="3"/>
        <v>4021</v>
      </c>
    </row>
    <row r="72" spans="1:8" x14ac:dyDescent="0.3">
      <c r="A72" s="8">
        <v>43111.347581018519</v>
      </c>
      <c r="B72" s="20" t="s">
        <v>437</v>
      </c>
      <c r="C72" s="20" t="s">
        <v>746</v>
      </c>
      <c r="D72" s="137">
        <v>1830000</v>
      </c>
      <c r="E72" s="20" t="s">
        <v>345</v>
      </c>
      <c r="F72" s="20" t="s">
        <v>346</v>
      </c>
      <c r="G72" s="8" t="str">
        <f t="shared" si="2"/>
        <v>YORK EDGAR</v>
      </c>
      <c r="H72" s="20" t="str">
        <f t="shared" si="3"/>
        <v>4050</v>
      </c>
    </row>
    <row r="73" spans="1:8" x14ac:dyDescent="0.3">
      <c r="A73" s="8">
        <v>43111.351875</v>
      </c>
      <c r="B73" s="20" t="s">
        <v>350</v>
      </c>
      <c r="C73" s="20" t="s">
        <v>747</v>
      </c>
      <c r="D73" s="137">
        <v>1760000</v>
      </c>
      <c r="E73" s="20" t="s">
        <v>739</v>
      </c>
      <c r="F73" s="20" t="s">
        <v>740</v>
      </c>
      <c r="G73" s="8" t="str">
        <f t="shared" si="2"/>
        <v>STRICKLAND EVAN</v>
      </c>
      <c r="H73" s="20" t="str">
        <f t="shared" si="3"/>
        <v>4055</v>
      </c>
    </row>
    <row r="74" spans="1:8" x14ac:dyDescent="0.3">
      <c r="A74" s="8">
        <v>43111.352627314816</v>
      </c>
      <c r="B74" s="20" t="s">
        <v>649</v>
      </c>
      <c r="C74" s="20" t="s">
        <v>748</v>
      </c>
      <c r="D74" s="137">
        <v>3000000</v>
      </c>
      <c r="E74" s="20" t="s">
        <v>463</v>
      </c>
      <c r="F74" s="20" t="s">
        <v>464</v>
      </c>
      <c r="G74" s="8" t="str">
        <f t="shared" si="2"/>
        <v>FORTUNATO FRANK</v>
      </c>
      <c r="H74" s="20" t="str">
        <f t="shared" si="3"/>
        <v>4005</v>
      </c>
    </row>
    <row r="75" spans="1:8" x14ac:dyDescent="0.3">
      <c r="A75" s="8">
        <v>43111.354247685187</v>
      </c>
      <c r="B75" s="20" t="s">
        <v>701</v>
      </c>
      <c r="C75" s="20" t="s">
        <v>749</v>
      </c>
      <c r="D75" s="137">
        <v>2440000</v>
      </c>
      <c r="E75" s="20" t="s">
        <v>563</v>
      </c>
      <c r="F75" s="20" t="s">
        <v>564</v>
      </c>
      <c r="G75" s="8" t="str">
        <f t="shared" si="2"/>
        <v>LOPES KIMBERLY</v>
      </c>
      <c r="H75" s="20" t="str">
        <f t="shared" si="3"/>
        <v>4014</v>
      </c>
    </row>
    <row r="76" spans="1:8" x14ac:dyDescent="0.3">
      <c r="A76" s="8">
        <v>43111.359178240738</v>
      </c>
      <c r="B76" s="20" t="s">
        <v>370</v>
      </c>
      <c r="C76" s="20" t="s">
        <v>750</v>
      </c>
      <c r="D76" s="137">
        <v>1100000</v>
      </c>
      <c r="E76" s="20" t="s">
        <v>565</v>
      </c>
      <c r="F76" s="20" t="s">
        <v>566</v>
      </c>
      <c r="G76" s="8" t="str">
        <f t="shared" si="2"/>
        <v>GEBRETEKLE DAGNEW</v>
      </c>
      <c r="H76" s="20" t="str">
        <f t="shared" si="3"/>
        <v>4011</v>
      </c>
    </row>
    <row r="77" spans="1:8" x14ac:dyDescent="0.3">
      <c r="A77" s="8">
        <v>43111.359861111108</v>
      </c>
      <c r="B77" s="20" t="s">
        <v>706</v>
      </c>
      <c r="C77" s="20" t="s">
        <v>751</v>
      </c>
      <c r="D77" s="137">
        <v>1230000</v>
      </c>
      <c r="E77" s="20" t="s">
        <v>541</v>
      </c>
      <c r="F77" s="20" t="s">
        <v>542</v>
      </c>
      <c r="G77" s="8" t="str">
        <f t="shared" si="2"/>
        <v>YANAI IAN</v>
      </c>
      <c r="H77" s="20" t="str">
        <f t="shared" si="3"/>
        <v>4016</v>
      </c>
    </row>
    <row r="78" spans="1:8" x14ac:dyDescent="0.3">
      <c r="A78" s="8">
        <v>43111.372534722221</v>
      </c>
      <c r="B78" s="20" t="s">
        <v>689</v>
      </c>
      <c r="C78" s="20" t="s">
        <v>752</v>
      </c>
      <c r="D78" s="137">
        <v>2010000</v>
      </c>
      <c r="E78" s="20" t="s">
        <v>687</v>
      </c>
      <c r="F78" s="20" t="s">
        <v>688</v>
      </c>
      <c r="G78" s="8" t="str">
        <f t="shared" si="2"/>
        <v>MAELZER KURT</v>
      </c>
      <c r="H78" s="20" t="str">
        <f t="shared" si="3"/>
        <v>4064</v>
      </c>
    </row>
    <row r="79" spans="1:8" x14ac:dyDescent="0.3">
      <c r="A79" s="8">
        <v>43111.373993055553</v>
      </c>
      <c r="B79" s="20" t="s">
        <v>656</v>
      </c>
      <c r="C79" s="20" t="s">
        <v>753</v>
      </c>
      <c r="D79" s="137">
        <v>3000000</v>
      </c>
      <c r="E79" s="20" t="s">
        <v>463</v>
      </c>
      <c r="F79" s="20" t="s">
        <v>464</v>
      </c>
      <c r="G79" s="8" t="str">
        <f t="shared" si="2"/>
        <v>FORTUNATO FRANK</v>
      </c>
      <c r="H79" s="20" t="str">
        <f t="shared" si="3"/>
        <v>4006</v>
      </c>
    </row>
    <row r="80" spans="1:8" x14ac:dyDescent="0.3">
      <c r="A80" s="8">
        <v>43111.374386574076</v>
      </c>
      <c r="B80" s="20" t="s">
        <v>436</v>
      </c>
      <c r="C80" s="20" t="s">
        <v>653</v>
      </c>
      <c r="D80" s="137">
        <v>3180000</v>
      </c>
      <c r="E80" s="20" t="s">
        <v>567</v>
      </c>
      <c r="F80" s="20" t="s">
        <v>568</v>
      </c>
      <c r="G80" s="8" t="str">
        <f t="shared" si="2"/>
        <v>HUFFSMITH MONTY</v>
      </c>
      <c r="H80" s="20" t="str">
        <f t="shared" si="3"/>
        <v>4010</v>
      </c>
    </row>
    <row r="81" spans="1:8" x14ac:dyDescent="0.3">
      <c r="A81" s="8">
        <v>43111.38071759259</v>
      </c>
      <c r="B81" s="20" t="s">
        <v>658</v>
      </c>
      <c r="C81" s="20" t="s">
        <v>754</v>
      </c>
      <c r="D81" s="137">
        <v>3040000</v>
      </c>
      <c r="E81" s="20" t="s">
        <v>367</v>
      </c>
      <c r="F81" s="20" t="s">
        <v>469</v>
      </c>
      <c r="G81" s="8" t="str">
        <f t="shared" si="2"/>
        <v>WILLIAMS DONTE</v>
      </c>
      <c r="H81" s="20" t="str">
        <f t="shared" si="3"/>
        <v>4041</v>
      </c>
    </row>
    <row r="82" spans="1:8" x14ac:dyDescent="0.3">
      <c r="A82" s="8">
        <v>43111.38071759259</v>
      </c>
      <c r="B82" s="20" t="s">
        <v>383</v>
      </c>
      <c r="C82" s="20" t="s">
        <v>755</v>
      </c>
      <c r="D82" s="137">
        <v>2600000</v>
      </c>
      <c r="E82" s="20" t="s">
        <v>507</v>
      </c>
      <c r="F82" s="20" t="s">
        <v>445</v>
      </c>
      <c r="G82" s="8" t="str">
        <f t="shared" si="2"/>
        <v>DAVIDSON DAVID</v>
      </c>
      <c r="H82" s="20" t="str">
        <f t="shared" si="3"/>
        <v>4022</v>
      </c>
    </row>
    <row r="83" spans="1:8" x14ac:dyDescent="0.3">
      <c r="A83" s="8">
        <v>43111.391041666669</v>
      </c>
      <c r="B83" s="20" t="s">
        <v>468</v>
      </c>
      <c r="C83" s="20" t="s">
        <v>756</v>
      </c>
      <c r="D83" s="137">
        <v>940000</v>
      </c>
      <c r="E83" s="20" t="s">
        <v>539</v>
      </c>
      <c r="F83" s="20" t="s">
        <v>540</v>
      </c>
      <c r="G83" s="8" t="str">
        <f t="shared" si="2"/>
        <v>BONDS REYNALDO</v>
      </c>
      <c r="H83" s="20" t="str">
        <f t="shared" si="3"/>
        <v>4056</v>
      </c>
    </row>
    <row r="84" spans="1:8" x14ac:dyDescent="0.3">
      <c r="A84" s="8">
        <v>43111.391180555554</v>
      </c>
      <c r="B84" s="20" t="s">
        <v>677</v>
      </c>
      <c r="C84" s="20" t="s">
        <v>757</v>
      </c>
      <c r="D84" s="137">
        <v>1230000</v>
      </c>
      <c r="E84" s="20" t="s">
        <v>541</v>
      </c>
      <c r="F84" s="20" t="s">
        <v>542</v>
      </c>
      <c r="G84" s="8" t="str">
        <f t="shared" si="2"/>
        <v>YANAI IAN</v>
      </c>
      <c r="H84" s="20" t="str">
        <f t="shared" si="3"/>
        <v>4015</v>
      </c>
    </row>
    <row r="85" spans="1:8" x14ac:dyDescent="0.3">
      <c r="A85" s="8">
        <v>43111.391898148147</v>
      </c>
      <c r="B85" s="20" t="s">
        <v>692</v>
      </c>
      <c r="C85" s="20" t="s">
        <v>758</v>
      </c>
      <c r="D85" s="137">
        <v>1830000</v>
      </c>
      <c r="E85" s="20" t="s">
        <v>345</v>
      </c>
      <c r="F85" s="20" t="s">
        <v>346</v>
      </c>
      <c r="G85" s="8" t="str">
        <f t="shared" si="2"/>
        <v>YORK EDGAR</v>
      </c>
      <c r="H85" s="20" t="str">
        <f t="shared" si="3"/>
        <v>4049</v>
      </c>
    </row>
    <row r="86" spans="1:8" x14ac:dyDescent="0.3">
      <c r="A86" s="8">
        <v>43111.392824074072</v>
      </c>
      <c r="B86" s="20" t="s">
        <v>649</v>
      </c>
      <c r="C86" s="20" t="s">
        <v>759</v>
      </c>
      <c r="D86" s="137">
        <v>3000000</v>
      </c>
      <c r="E86" s="20" t="s">
        <v>463</v>
      </c>
      <c r="F86" s="20" t="s">
        <v>464</v>
      </c>
      <c r="G86" s="8" t="str">
        <f t="shared" si="2"/>
        <v>FORTUNATO FRANK</v>
      </c>
      <c r="H86" s="20" t="str">
        <f t="shared" si="3"/>
        <v>4005</v>
      </c>
    </row>
    <row r="87" spans="1:8" x14ac:dyDescent="0.3">
      <c r="A87" s="8">
        <v>43111.394375000003</v>
      </c>
      <c r="B87" s="20" t="s">
        <v>760</v>
      </c>
      <c r="C87" s="20" t="s">
        <v>761</v>
      </c>
      <c r="D87" s="137">
        <v>3180000</v>
      </c>
      <c r="E87" s="20" t="s">
        <v>567</v>
      </c>
      <c r="F87" s="20" t="s">
        <v>568</v>
      </c>
      <c r="G87" s="8" t="str">
        <f t="shared" si="2"/>
        <v>HUFFSMITH MONTY</v>
      </c>
      <c r="H87" s="20" t="str">
        <f t="shared" si="3"/>
        <v>4009</v>
      </c>
    </row>
    <row r="88" spans="1:8" x14ac:dyDescent="0.3">
      <c r="A88" s="8">
        <v>43111.401458333334</v>
      </c>
      <c r="B88" s="20" t="s">
        <v>369</v>
      </c>
      <c r="C88" s="20" t="s">
        <v>762</v>
      </c>
      <c r="D88" s="137">
        <v>1100000</v>
      </c>
      <c r="E88" s="20" t="s">
        <v>565</v>
      </c>
      <c r="F88" s="20" t="s">
        <v>566</v>
      </c>
      <c r="G88" s="8" t="str">
        <f t="shared" si="2"/>
        <v>GEBRETEKLE DAGNEW</v>
      </c>
      <c r="H88" s="20" t="str">
        <f t="shared" si="3"/>
        <v>4012</v>
      </c>
    </row>
    <row r="89" spans="1:8" x14ac:dyDescent="0.3">
      <c r="A89" s="8">
        <v>43111.404849537037</v>
      </c>
      <c r="B89" s="20" t="s">
        <v>685</v>
      </c>
      <c r="C89" s="20" t="s">
        <v>763</v>
      </c>
      <c r="D89" s="137">
        <v>2010000</v>
      </c>
      <c r="E89" s="20" t="s">
        <v>687</v>
      </c>
      <c r="F89" s="20" t="s">
        <v>688</v>
      </c>
      <c r="G89" s="8" t="str">
        <f t="shared" si="2"/>
        <v>MAELZER KURT</v>
      </c>
      <c r="H89" s="20" t="str">
        <f t="shared" si="3"/>
        <v>4063</v>
      </c>
    </row>
    <row r="90" spans="1:8" x14ac:dyDescent="0.3">
      <c r="A90" s="8">
        <v>43111.409641203703</v>
      </c>
      <c r="B90" s="20" t="s">
        <v>436</v>
      </c>
      <c r="C90" s="20" t="s">
        <v>653</v>
      </c>
      <c r="D90" s="137">
        <v>3180000</v>
      </c>
      <c r="E90" s="20" t="s">
        <v>567</v>
      </c>
      <c r="F90" s="20" t="s">
        <v>568</v>
      </c>
      <c r="G90" s="8" t="str">
        <f t="shared" si="2"/>
        <v>HUFFSMITH MONTY</v>
      </c>
      <c r="H90" s="20" t="str">
        <f t="shared" si="3"/>
        <v>4010</v>
      </c>
    </row>
    <row r="91" spans="1:8" x14ac:dyDescent="0.3">
      <c r="A91" s="8">
        <v>43111.411539351851</v>
      </c>
      <c r="B91" s="20" t="s">
        <v>698</v>
      </c>
      <c r="C91" s="20" t="s">
        <v>764</v>
      </c>
      <c r="D91" s="137">
        <v>3040000</v>
      </c>
      <c r="E91" s="20" t="s">
        <v>367</v>
      </c>
      <c r="F91" s="20" t="s">
        <v>469</v>
      </c>
      <c r="G91" s="8" t="str">
        <f t="shared" si="2"/>
        <v>WILLIAMS DONTE</v>
      </c>
      <c r="H91" s="20" t="str">
        <f t="shared" si="3"/>
        <v>4042</v>
      </c>
    </row>
    <row r="92" spans="1:8" x14ac:dyDescent="0.3">
      <c r="A92" s="8">
        <v>43111.413043981483</v>
      </c>
      <c r="B92" s="20" t="s">
        <v>709</v>
      </c>
      <c r="C92" s="20" t="s">
        <v>765</v>
      </c>
      <c r="D92" s="137">
        <v>2600000</v>
      </c>
      <c r="E92" s="20" t="s">
        <v>507</v>
      </c>
      <c r="F92" s="20" t="s">
        <v>445</v>
      </c>
      <c r="G92" s="8" t="str">
        <f t="shared" si="2"/>
        <v>DAVIDSON DAVID</v>
      </c>
      <c r="H92" s="20" t="str">
        <f t="shared" si="3"/>
        <v>4021</v>
      </c>
    </row>
    <row r="93" spans="1:8" x14ac:dyDescent="0.3">
      <c r="A93" s="8">
        <v>43111.414479166669</v>
      </c>
      <c r="B93" s="20" t="s">
        <v>660</v>
      </c>
      <c r="C93" s="20" t="s">
        <v>766</v>
      </c>
      <c r="D93" s="137">
        <v>900000</v>
      </c>
      <c r="E93" s="20" t="s">
        <v>561</v>
      </c>
      <c r="F93" s="20" t="s">
        <v>562</v>
      </c>
      <c r="G93" s="8" t="str">
        <f t="shared" si="2"/>
        <v>ROCHA YAOTL</v>
      </c>
      <c r="H93" s="20" t="str">
        <f t="shared" si="3"/>
        <v>4034</v>
      </c>
    </row>
    <row r="94" spans="1:8" x14ac:dyDescent="0.3">
      <c r="A94" s="8">
        <v>43111.419664351852</v>
      </c>
      <c r="B94" s="20" t="s">
        <v>656</v>
      </c>
      <c r="C94" s="20" t="s">
        <v>657</v>
      </c>
      <c r="D94" s="137">
        <v>3000000</v>
      </c>
      <c r="E94" s="20" t="s">
        <v>463</v>
      </c>
      <c r="F94" s="20" t="s">
        <v>464</v>
      </c>
      <c r="G94" s="8" t="str">
        <f t="shared" si="2"/>
        <v>FORTUNATO FRANK</v>
      </c>
      <c r="H94" s="20" t="str">
        <f t="shared" si="3"/>
        <v>4006</v>
      </c>
    </row>
    <row r="95" spans="1:8" x14ac:dyDescent="0.3">
      <c r="A95" s="8">
        <v>43111.419699074075</v>
      </c>
      <c r="B95" s="20" t="s">
        <v>660</v>
      </c>
      <c r="C95" s="20" t="s">
        <v>767</v>
      </c>
      <c r="D95" s="137">
        <v>2440000</v>
      </c>
      <c r="E95" s="20" t="s">
        <v>563</v>
      </c>
      <c r="F95" s="20" t="s">
        <v>564</v>
      </c>
      <c r="G95" s="8" t="str">
        <f t="shared" si="2"/>
        <v>LOPES KIMBERLY</v>
      </c>
      <c r="H95" s="20" t="str">
        <f t="shared" si="3"/>
        <v>4034</v>
      </c>
    </row>
    <row r="96" spans="1:8" x14ac:dyDescent="0.3">
      <c r="A96" s="8">
        <v>43111.429386574076</v>
      </c>
      <c r="B96" s="20" t="s">
        <v>760</v>
      </c>
      <c r="C96" s="20" t="s">
        <v>768</v>
      </c>
      <c r="D96" s="137">
        <v>3330000</v>
      </c>
      <c r="E96" s="20" t="s">
        <v>769</v>
      </c>
      <c r="F96" s="20" t="s">
        <v>770</v>
      </c>
      <c r="G96" s="8" t="str">
        <f t="shared" si="2"/>
        <v>GONZALEZ ARMANDO</v>
      </c>
      <c r="H96" s="20" t="str">
        <f t="shared" si="3"/>
        <v>4009</v>
      </c>
    </row>
    <row r="97" spans="1:8" x14ac:dyDescent="0.3">
      <c r="A97" s="8">
        <v>43111.431122685186</v>
      </c>
      <c r="B97" s="20" t="s">
        <v>706</v>
      </c>
      <c r="C97" s="20" t="s">
        <v>771</v>
      </c>
      <c r="D97" s="137">
        <v>1230000</v>
      </c>
      <c r="E97" s="20" t="s">
        <v>541</v>
      </c>
      <c r="F97" s="20" t="s">
        <v>542</v>
      </c>
      <c r="G97" s="8" t="str">
        <f t="shared" si="2"/>
        <v>YANAI IAN</v>
      </c>
      <c r="H97" s="20" t="str">
        <f t="shared" si="3"/>
        <v>4016</v>
      </c>
    </row>
    <row r="98" spans="1:8" x14ac:dyDescent="0.3">
      <c r="A98" s="8">
        <v>43111.434016203704</v>
      </c>
      <c r="B98" s="20" t="s">
        <v>350</v>
      </c>
      <c r="C98" s="20" t="s">
        <v>772</v>
      </c>
      <c r="D98" s="137">
        <v>940000</v>
      </c>
      <c r="E98" s="20" t="s">
        <v>539</v>
      </c>
      <c r="F98" s="20" t="s">
        <v>540</v>
      </c>
      <c r="G98" s="8" t="str">
        <f t="shared" si="2"/>
        <v>BONDS REYNALDO</v>
      </c>
      <c r="H98" s="20" t="str">
        <f t="shared" si="3"/>
        <v>4055</v>
      </c>
    </row>
    <row r="99" spans="1:8" x14ac:dyDescent="0.3">
      <c r="A99" s="8">
        <v>43111.434224537035</v>
      </c>
      <c r="B99" s="20" t="s">
        <v>649</v>
      </c>
      <c r="C99" s="20" t="s">
        <v>773</v>
      </c>
      <c r="D99" s="137">
        <v>3000000</v>
      </c>
      <c r="E99" s="20" t="s">
        <v>463</v>
      </c>
      <c r="F99" s="20" t="s">
        <v>464</v>
      </c>
      <c r="G99" s="8" t="str">
        <f t="shared" si="2"/>
        <v>FORTUNATO FRANK</v>
      </c>
      <c r="H99" s="20" t="str">
        <f t="shared" si="3"/>
        <v>4005</v>
      </c>
    </row>
    <row r="100" spans="1:8" x14ac:dyDescent="0.3">
      <c r="A100" s="8">
        <v>43111.435185185182</v>
      </c>
      <c r="B100" s="20" t="s">
        <v>448</v>
      </c>
      <c r="C100" s="20" t="s">
        <v>766</v>
      </c>
      <c r="D100" s="137">
        <v>1810000</v>
      </c>
      <c r="E100" s="20" t="s">
        <v>547</v>
      </c>
      <c r="F100" s="20" t="s">
        <v>393</v>
      </c>
      <c r="G100" s="8" t="str">
        <f t="shared" si="2"/>
        <v>NEWELL JAMES</v>
      </c>
      <c r="H100" s="20" t="str">
        <f t="shared" si="3"/>
        <v>4020</v>
      </c>
    </row>
    <row r="101" spans="1:8" x14ac:dyDescent="0.3">
      <c r="A101" s="8">
        <v>43111.437905092593</v>
      </c>
      <c r="B101" s="20" t="s">
        <v>447</v>
      </c>
      <c r="C101" s="20" t="s">
        <v>766</v>
      </c>
      <c r="D101" s="137">
        <v>1810000</v>
      </c>
      <c r="E101" s="20" t="s">
        <v>547</v>
      </c>
      <c r="F101" s="20" t="s">
        <v>393</v>
      </c>
      <c r="G101" s="8" t="str">
        <f t="shared" si="2"/>
        <v>NEWELL JAMES</v>
      </c>
      <c r="H101" s="20" t="str">
        <f t="shared" si="3"/>
        <v>4019</v>
      </c>
    </row>
    <row r="102" spans="1:8" x14ac:dyDescent="0.3">
      <c r="A102" s="8">
        <v>43111.44189814815</v>
      </c>
      <c r="B102" s="20" t="s">
        <v>370</v>
      </c>
      <c r="C102" s="20" t="s">
        <v>774</v>
      </c>
      <c r="D102" s="137">
        <v>1100000</v>
      </c>
      <c r="E102" s="20" t="s">
        <v>565</v>
      </c>
      <c r="F102" s="20" t="s">
        <v>566</v>
      </c>
      <c r="G102" s="8" t="str">
        <f t="shared" si="2"/>
        <v>GEBRETEKLE DAGNEW</v>
      </c>
      <c r="H102" s="20" t="str">
        <f t="shared" si="3"/>
        <v>4011</v>
      </c>
    </row>
    <row r="103" spans="1:8" x14ac:dyDescent="0.3">
      <c r="A103" s="8">
        <v>43111.449687499997</v>
      </c>
      <c r="B103" s="20" t="s">
        <v>436</v>
      </c>
      <c r="C103" s="20" t="s">
        <v>663</v>
      </c>
      <c r="D103" s="137">
        <v>3330000</v>
      </c>
      <c r="E103" s="20" t="s">
        <v>769</v>
      </c>
      <c r="F103" s="20" t="s">
        <v>770</v>
      </c>
      <c r="G103" s="8" t="str">
        <f t="shared" si="2"/>
        <v>GONZALEZ ARMANDO</v>
      </c>
      <c r="H103" s="20" t="str">
        <f t="shared" si="3"/>
        <v>4010</v>
      </c>
    </row>
    <row r="104" spans="1:8" x14ac:dyDescent="0.3">
      <c r="A104" s="8">
        <v>43111.453981481478</v>
      </c>
      <c r="B104" s="20" t="s">
        <v>658</v>
      </c>
      <c r="C104" s="20" t="s">
        <v>659</v>
      </c>
      <c r="D104" s="137">
        <v>3040000</v>
      </c>
      <c r="E104" s="20" t="s">
        <v>367</v>
      </c>
      <c r="F104" s="20" t="s">
        <v>469</v>
      </c>
      <c r="G104" s="8" t="str">
        <f t="shared" si="2"/>
        <v>WILLIAMS DONTE</v>
      </c>
      <c r="H104" s="20" t="str">
        <f t="shared" si="3"/>
        <v>4041</v>
      </c>
    </row>
    <row r="105" spans="1:8" x14ac:dyDescent="0.3">
      <c r="A105" s="8">
        <v>43111.456388888888</v>
      </c>
      <c r="B105" s="20" t="s">
        <v>656</v>
      </c>
      <c r="C105" s="20" t="s">
        <v>775</v>
      </c>
      <c r="D105" s="137">
        <v>3000000</v>
      </c>
      <c r="E105" s="20" t="s">
        <v>463</v>
      </c>
      <c r="F105" s="20" t="s">
        <v>464</v>
      </c>
      <c r="G105" s="8" t="str">
        <f t="shared" si="2"/>
        <v>FORTUNATO FRANK</v>
      </c>
      <c r="H105" s="20" t="str">
        <f t="shared" si="3"/>
        <v>4006</v>
      </c>
    </row>
    <row r="106" spans="1:8" x14ac:dyDescent="0.3">
      <c r="A106" s="8">
        <v>43111.456863425927</v>
      </c>
      <c r="B106" s="20" t="s">
        <v>453</v>
      </c>
      <c r="C106" s="20" t="s">
        <v>776</v>
      </c>
      <c r="D106" s="137">
        <v>2440000</v>
      </c>
      <c r="E106" s="20" t="s">
        <v>563</v>
      </c>
      <c r="F106" s="20" t="s">
        <v>564</v>
      </c>
      <c r="G106" s="8" t="str">
        <f t="shared" si="2"/>
        <v>LOPES KIMBERLY</v>
      </c>
      <c r="H106" s="20" t="str">
        <f t="shared" si="3"/>
        <v>4033</v>
      </c>
    </row>
    <row r="107" spans="1:8" x14ac:dyDescent="0.3">
      <c r="A107" s="8">
        <v>43111.458935185183</v>
      </c>
      <c r="B107" s="20" t="s">
        <v>760</v>
      </c>
      <c r="C107" s="20" t="s">
        <v>768</v>
      </c>
      <c r="D107" s="137">
        <v>3330000</v>
      </c>
      <c r="E107" s="20" t="s">
        <v>769</v>
      </c>
      <c r="F107" s="20" t="s">
        <v>770</v>
      </c>
      <c r="G107" s="8" t="str">
        <f t="shared" si="2"/>
        <v>GONZALEZ ARMANDO</v>
      </c>
      <c r="H107" s="20" t="str">
        <f t="shared" si="3"/>
        <v>4009</v>
      </c>
    </row>
    <row r="108" spans="1:8" x14ac:dyDescent="0.3">
      <c r="A108" s="8">
        <v>43111.458981481483</v>
      </c>
      <c r="B108" s="20" t="s">
        <v>383</v>
      </c>
      <c r="C108" s="20" t="s">
        <v>777</v>
      </c>
      <c r="D108" s="137">
        <v>2600000</v>
      </c>
      <c r="E108" s="20" t="s">
        <v>507</v>
      </c>
      <c r="F108" s="20" t="s">
        <v>445</v>
      </c>
      <c r="G108" s="8" t="str">
        <f t="shared" si="2"/>
        <v>DAVIDSON DAVID</v>
      </c>
      <c r="H108" s="20" t="str">
        <f t="shared" si="3"/>
        <v>4022</v>
      </c>
    </row>
    <row r="109" spans="1:8" x14ac:dyDescent="0.3">
      <c r="A109" s="8">
        <v>43111.466099537036</v>
      </c>
      <c r="B109" s="20" t="s">
        <v>677</v>
      </c>
      <c r="C109" s="20" t="s">
        <v>778</v>
      </c>
      <c r="D109" s="137">
        <v>1230000</v>
      </c>
      <c r="E109" s="20" t="s">
        <v>541</v>
      </c>
      <c r="F109" s="20" t="s">
        <v>542</v>
      </c>
      <c r="G109" s="8" t="str">
        <f t="shared" si="2"/>
        <v>YANAI IAN</v>
      </c>
      <c r="H109" s="20" t="str">
        <f t="shared" si="3"/>
        <v>4015</v>
      </c>
    </row>
    <row r="110" spans="1:8" x14ac:dyDescent="0.3">
      <c r="A110" s="8">
        <v>43111.466319444444</v>
      </c>
      <c r="B110" s="20" t="s">
        <v>436</v>
      </c>
      <c r="C110" s="20" t="s">
        <v>663</v>
      </c>
      <c r="D110" s="137">
        <v>3330000</v>
      </c>
      <c r="E110" s="20" t="s">
        <v>769</v>
      </c>
      <c r="F110" s="20" t="s">
        <v>770</v>
      </c>
      <c r="G110" s="8" t="str">
        <f t="shared" si="2"/>
        <v>GONZALEZ ARMANDO</v>
      </c>
      <c r="H110" s="20" t="str">
        <f t="shared" si="3"/>
        <v>4010</v>
      </c>
    </row>
    <row r="111" spans="1:8" x14ac:dyDescent="0.3">
      <c r="A111" s="8">
        <v>43111.467662037037</v>
      </c>
      <c r="B111" s="20" t="s">
        <v>468</v>
      </c>
      <c r="C111" s="20" t="s">
        <v>779</v>
      </c>
      <c r="D111" s="137">
        <v>1770000</v>
      </c>
      <c r="E111" s="20" t="s">
        <v>543</v>
      </c>
      <c r="F111" s="20" t="s">
        <v>544</v>
      </c>
      <c r="G111" s="8" t="str">
        <f t="shared" si="2"/>
        <v>BRUDER RICHARD</v>
      </c>
      <c r="H111" s="20" t="str">
        <f t="shared" si="3"/>
        <v>4056</v>
      </c>
    </row>
    <row r="112" spans="1:8" x14ac:dyDescent="0.3">
      <c r="A112" s="8">
        <v>43111.476099537038</v>
      </c>
      <c r="B112" s="20" t="s">
        <v>369</v>
      </c>
      <c r="C112" s="20" t="s">
        <v>780</v>
      </c>
      <c r="D112" s="137">
        <v>880000</v>
      </c>
      <c r="E112" s="20" t="s">
        <v>509</v>
      </c>
      <c r="F112" s="20" t="s">
        <v>351</v>
      </c>
      <c r="G112" s="8" t="str">
        <f t="shared" si="2"/>
        <v>STEWART MICHAEL</v>
      </c>
      <c r="H112" s="20" t="str">
        <f t="shared" si="3"/>
        <v>4012</v>
      </c>
    </row>
    <row r="113" spans="1:8" x14ac:dyDescent="0.3">
      <c r="A113" s="8">
        <v>43111.476851851854</v>
      </c>
      <c r="B113" s="20" t="s">
        <v>649</v>
      </c>
      <c r="C113" s="20" t="s">
        <v>781</v>
      </c>
      <c r="D113" s="137">
        <v>3000000</v>
      </c>
      <c r="E113" s="20" t="s">
        <v>463</v>
      </c>
      <c r="F113" s="20" t="s">
        <v>464</v>
      </c>
      <c r="G113" s="8" t="str">
        <f t="shared" si="2"/>
        <v>FORTUNATO FRANK</v>
      </c>
      <c r="H113" s="20" t="str">
        <f t="shared" si="3"/>
        <v>4005</v>
      </c>
    </row>
    <row r="114" spans="1:8" x14ac:dyDescent="0.3">
      <c r="A114" s="8">
        <v>43111.485729166663</v>
      </c>
      <c r="B114" s="20" t="s">
        <v>760</v>
      </c>
      <c r="C114" s="20" t="s">
        <v>768</v>
      </c>
      <c r="D114" s="137">
        <v>3330000</v>
      </c>
      <c r="E114" s="20" t="s">
        <v>769</v>
      </c>
      <c r="F114" s="20" t="s">
        <v>770</v>
      </c>
      <c r="G114" s="8" t="str">
        <f t="shared" si="2"/>
        <v>GONZALEZ ARMANDO</v>
      </c>
      <c r="H114" s="20" t="str">
        <f t="shared" si="3"/>
        <v>4009</v>
      </c>
    </row>
    <row r="115" spans="1:8" x14ac:dyDescent="0.3">
      <c r="A115" s="8">
        <v>43111.48741898148</v>
      </c>
      <c r="B115" s="20" t="s">
        <v>698</v>
      </c>
      <c r="C115" s="20" t="s">
        <v>782</v>
      </c>
      <c r="D115" s="137">
        <v>1300000</v>
      </c>
      <c r="E115" s="20" t="s">
        <v>357</v>
      </c>
      <c r="F115" s="20" t="s">
        <v>358</v>
      </c>
      <c r="G115" s="8" t="str">
        <f t="shared" si="2"/>
        <v>LEVIN SCOTT</v>
      </c>
      <c r="H115" s="20" t="str">
        <f t="shared" si="3"/>
        <v>4042</v>
      </c>
    </row>
    <row r="116" spans="1:8" x14ac:dyDescent="0.3">
      <c r="A116" s="8">
        <v>43111.487650462965</v>
      </c>
      <c r="B116" s="20" t="s">
        <v>709</v>
      </c>
      <c r="C116" s="20" t="s">
        <v>783</v>
      </c>
      <c r="D116" s="137">
        <v>2600000</v>
      </c>
      <c r="E116" s="20" t="s">
        <v>507</v>
      </c>
      <c r="F116" s="20" t="s">
        <v>445</v>
      </c>
      <c r="G116" s="8" t="str">
        <f t="shared" si="2"/>
        <v>DAVIDSON DAVID</v>
      </c>
      <c r="H116" s="20" t="str">
        <f t="shared" si="3"/>
        <v>4021</v>
      </c>
    </row>
    <row r="117" spans="1:8" x14ac:dyDescent="0.3">
      <c r="A117" s="8">
        <v>43111.489293981482</v>
      </c>
      <c r="B117" s="20" t="s">
        <v>447</v>
      </c>
      <c r="C117" s="20" t="s">
        <v>784</v>
      </c>
      <c r="D117" s="137">
        <v>2550000</v>
      </c>
      <c r="E117" s="20" t="s">
        <v>785</v>
      </c>
      <c r="F117" s="20" t="s">
        <v>786</v>
      </c>
      <c r="G117" s="8" t="str">
        <f t="shared" si="2"/>
        <v>BADERTSCHER DIANE</v>
      </c>
      <c r="H117" s="20" t="str">
        <f t="shared" si="3"/>
        <v>4019</v>
      </c>
    </row>
    <row r="118" spans="1:8" x14ac:dyDescent="0.3">
      <c r="A118" s="8">
        <v>43111.499386574076</v>
      </c>
      <c r="B118" s="20" t="s">
        <v>656</v>
      </c>
      <c r="C118" s="20" t="s">
        <v>787</v>
      </c>
      <c r="D118" s="137">
        <v>3000000</v>
      </c>
      <c r="E118" s="20" t="s">
        <v>463</v>
      </c>
      <c r="F118" s="20" t="s">
        <v>464</v>
      </c>
      <c r="G118" s="8" t="str">
        <f t="shared" si="2"/>
        <v>FORTUNATO FRANK</v>
      </c>
      <c r="H118" s="20" t="str">
        <f t="shared" si="3"/>
        <v>4006</v>
      </c>
    </row>
    <row r="119" spans="1:8" x14ac:dyDescent="0.3">
      <c r="A119" s="8">
        <v>43111.502743055556</v>
      </c>
      <c r="B119" s="20" t="s">
        <v>436</v>
      </c>
      <c r="C119" s="20" t="s">
        <v>663</v>
      </c>
      <c r="D119" s="137">
        <v>3330000</v>
      </c>
      <c r="E119" s="20" t="s">
        <v>769</v>
      </c>
      <c r="F119" s="20" t="s">
        <v>770</v>
      </c>
      <c r="G119" s="8" t="str">
        <f t="shared" si="2"/>
        <v>GONZALEZ ARMANDO</v>
      </c>
      <c r="H119" s="20" t="str">
        <f t="shared" si="3"/>
        <v>4010</v>
      </c>
    </row>
    <row r="120" spans="1:8" x14ac:dyDescent="0.3">
      <c r="A120" s="8">
        <v>43111.504386574074</v>
      </c>
      <c r="B120" s="20" t="s">
        <v>660</v>
      </c>
      <c r="C120" s="20" t="s">
        <v>661</v>
      </c>
      <c r="D120" s="137">
        <v>2140000</v>
      </c>
      <c r="E120" s="20" t="s">
        <v>788</v>
      </c>
      <c r="F120" s="20" t="s">
        <v>789</v>
      </c>
      <c r="G120" s="8" t="str">
        <f t="shared" si="2"/>
        <v>ROBINSON KADDIBA</v>
      </c>
      <c r="H120" s="20" t="str">
        <f t="shared" si="3"/>
        <v>4034</v>
      </c>
    </row>
    <row r="121" spans="1:8" x14ac:dyDescent="0.3">
      <c r="A121" s="8">
        <v>43111.505243055559</v>
      </c>
      <c r="B121" s="20" t="s">
        <v>706</v>
      </c>
      <c r="C121" s="20" t="s">
        <v>790</v>
      </c>
      <c r="D121" s="137">
        <v>3840000</v>
      </c>
      <c r="E121" s="20" t="s">
        <v>510</v>
      </c>
      <c r="F121" s="20" t="s">
        <v>511</v>
      </c>
      <c r="G121" s="8" t="str">
        <f t="shared" si="2"/>
        <v>LONG FULLER</v>
      </c>
      <c r="H121" s="20" t="str">
        <f t="shared" si="3"/>
        <v>4016</v>
      </c>
    </row>
    <row r="122" spans="1:8" x14ac:dyDescent="0.3">
      <c r="A122" s="8">
        <v>43111.506238425929</v>
      </c>
      <c r="B122" s="25" t="s">
        <v>350</v>
      </c>
      <c r="C122" s="20" t="s">
        <v>791</v>
      </c>
      <c r="D122" s="137">
        <v>1770000</v>
      </c>
      <c r="E122" s="20" t="s">
        <v>543</v>
      </c>
      <c r="F122" s="20" t="s">
        <v>544</v>
      </c>
      <c r="G122" s="8" t="str">
        <f t="shared" si="2"/>
        <v>BRUDER RICHARD</v>
      </c>
      <c r="H122" s="20" t="str">
        <f t="shared" si="3"/>
        <v>4055</v>
      </c>
    </row>
    <row r="123" spans="1:8" x14ac:dyDescent="0.3">
      <c r="A123" s="8">
        <v>43111.506504629629</v>
      </c>
      <c r="B123" s="20" t="s">
        <v>437</v>
      </c>
      <c r="C123" s="20" t="s">
        <v>662</v>
      </c>
      <c r="D123" s="137">
        <v>1810000</v>
      </c>
      <c r="E123" s="20" t="s">
        <v>547</v>
      </c>
      <c r="F123" s="20" t="s">
        <v>393</v>
      </c>
      <c r="G123" s="8" t="str">
        <f t="shared" si="2"/>
        <v>NEWELL JAMES</v>
      </c>
      <c r="H123" s="20" t="str">
        <f t="shared" si="3"/>
        <v>4050</v>
      </c>
    </row>
    <row r="124" spans="1:8" x14ac:dyDescent="0.3">
      <c r="A124" s="8">
        <v>43111.508125</v>
      </c>
      <c r="B124" s="20" t="s">
        <v>436</v>
      </c>
      <c r="C124" s="20" t="s">
        <v>663</v>
      </c>
      <c r="D124" s="137">
        <v>3330000</v>
      </c>
      <c r="E124" s="20" t="s">
        <v>769</v>
      </c>
      <c r="F124" s="20" t="s">
        <v>770</v>
      </c>
      <c r="G124" s="8" t="str">
        <f t="shared" si="2"/>
        <v>GONZALEZ ARMANDO</v>
      </c>
      <c r="H124" s="20" t="str">
        <f t="shared" si="3"/>
        <v>4010</v>
      </c>
    </row>
    <row r="125" spans="1:8" x14ac:dyDescent="0.3">
      <c r="A125" s="8">
        <v>43111.515833333331</v>
      </c>
      <c r="B125" s="20" t="s">
        <v>370</v>
      </c>
      <c r="C125" s="20" t="s">
        <v>792</v>
      </c>
      <c r="D125" s="137">
        <v>880000</v>
      </c>
      <c r="E125" s="20" t="s">
        <v>509</v>
      </c>
      <c r="F125" s="20" t="s">
        <v>351</v>
      </c>
      <c r="G125" s="8" t="str">
        <f t="shared" si="2"/>
        <v>STEWART MICHAEL</v>
      </c>
      <c r="H125" s="20" t="str">
        <f t="shared" si="3"/>
        <v>4011</v>
      </c>
    </row>
    <row r="126" spans="1:8" x14ac:dyDescent="0.3">
      <c r="A126" s="8">
        <v>43111.519201388888</v>
      </c>
      <c r="B126" s="20" t="s">
        <v>649</v>
      </c>
      <c r="C126" s="20" t="s">
        <v>793</v>
      </c>
      <c r="D126" s="137">
        <v>3000000</v>
      </c>
      <c r="E126" s="20" t="s">
        <v>463</v>
      </c>
      <c r="F126" s="20" t="s">
        <v>464</v>
      </c>
      <c r="G126" s="8" t="str">
        <f t="shared" si="2"/>
        <v>FORTUNATO FRANK</v>
      </c>
      <c r="H126" s="20" t="str">
        <f t="shared" si="3"/>
        <v>4005</v>
      </c>
    </row>
    <row r="127" spans="1:8" x14ac:dyDescent="0.3">
      <c r="A127" s="8">
        <v>43111.524537037039</v>
      </c>
      <c r="B127" s="20" t="s">
        <v>658</v>
      </c>
      <c r="C127" s="20" t="s">
        <v>665</v>
      </c>
      <c r="D127" s="137">
        <v>1300000</v>
      </c>
      <c r="E127" s="20" t="s">
        <v>357</v>
      </c>
      <c r="F127" s="20" t="s">
        <v>358</v>
      </c>
      <c r="G127" s="8" t="str">
        <f t="shared" si="2"/>
        <v>LEVIN SCOTT</v>
      </c>
      <c r="H127" s="20" t="str">
        <f t="shared" si="3"/>
        <v>4041</v>
      </c>
    </row>
    <row r="128" spans="1:8" x14ac:dyDescent="0.3">
      <c r="A128" s="8">
        <v>43111.526192129626</v>
      </c>
      <c r="B128" s="20" t="s">
        <v>448</v>
      </c>
      <c r="C128" s="20" t="s">
        <v>664</v>
      </c>
      <c r="D128" s="137">
        <v>2550000</v>
      </c>
      <c r="E128" s="20" t="s">
        <v>785</v>
      </c>
      <c r="F128" s="20" t="s">
        <v>786</v>
      </c>
      <c r="G128" s="8" t="str">
        <f t="shared" si="2"/>
        <v>BADERTSCHER DIANE</v>
      </c>
      <c r="H128" s="20" t="str">
        <f t="shared" si="3"/>
        <v>4020</v>
      </c>
    </row>
    <row r="129" spans="1:8" x14ac:dyDescent="0.3">
      <c r="A129" s="8">
        <v>43111.527731481481</v>
      </c>
      <c r="B129" s="20" t="s">
        <v>383</v>
      </c>
      <c r="C129" s="20" t="s">
        <v>794</v>
      </c>
      <c r="D129" s="137">
        <v>2420000</v>
      </c>
      <c r="E129" s="20" t="s">
        <v>569</v>
      </c>
      <c r="F129" s="20" t="s">
        <v>570</v>
      </c>
      <c r="G129" s="8" t="str">
        <f t="shared" si="2"/>
        <v>HOLCOMB KAMDEN</v>
      </c>
      <c r="H129" s="20" t="str">
        <f t="shared" si="3"/>
        <v>4022</v>
      </c>
    </row>
    <row r="130" spans="1:8" x14ac:dyDescent="0.3">
      <c r="A130" s="8">
        <v>43111.531643518516</v>
      </c>
      <c r="B130" s="20" t="s">
        <v>508</v>
      </c>
      <c r="C130" s="20" t="s">
        <v>795</v>
      </c>
      <c r="D130" s="137">
        <v>1810000</v>
      </c>
      <c r="E130" s="20" t="s">
        <v>547</v>
      </c>
      <c r="F130" s="20" t="s">
        <v>393</v>
      </c>
      <c r="G130" s="8" t="str">
        <f t="shared" si="2"/>
        <v>NEWELL JAMES</v>
      </c>
      <c r="H130" s="20" t="str">
        <f t="shared" si="3"/>
        <v>4053</v>
      </c>
    </row>
    <row r="131" spans="1:8" x14ac:dyDescent="0.3">
      <c r="A131" s="8">
        <v>43111.535775462966</v>
      </c>
      <c r="B131" s="20" t="s">
        <v>760</v>
      </c>
      <c r="C131" s="20" t="s">
        <v>761</v>
      </c>
      <c r="D131" s="137">
        <v>3180000</v>
      </c>
      <c r="E131" s="20" t="s">
        <v>567</v>
      </c>
      <c r="F131" s="20" t="s">
        <v>568</v>
      </c>
      <c r="G131" s="8" t="str">
        <f t="shared" ref="G131:G194" si="4">E131&amp;" "&amp;F131</f>
        <v>HUFFSMITH MONTY</v>
      </c>
      <c r="H131" s="20" t="str">
        <f t="shared" ref="H131:H194" si="5">MID(B131,13,4)</f>
        <v>4009</v>
      </c>
    </row>
    <row r="132" spans="1:8" x14ac:dyDescent="0.3">
      <c r="A132" s="8">
        <v>43111.536354166667</v>
      </c>
      <c r="B132" s="20" t="s">
        <v>453</v>
      </c>
      <c r="C132" s="20" t="s">
        <v>796</v>
      </c>
      <c r="D132" s="137">
        <v>2140000</v>
      </c>
      <c r="E132" s="20" t="s">
        <v>788</v>
      </c>
      <c r="F132" s="20" t="s">
        <v>789</v>
      </c>
      <c r="G132" s="8" t="str">
        <f t="shared" si="4"/>
        <v>ROBINSON KADDIBA</v>
      </c>
      <c r="H132" s="20" t="str">
        <f t="shared" si="5"/>
        <v>4033</v>
      </c>
    </row>
    <row r="133" spans="1:8" x14ac:dyDescent="0.3">
      <c r="A133" s="8">
        <v>43111.539050925923</v>
      </c>
      <c r="B133" s="20" t="s">
        <v>468</v>
      </c>
      <c r="C133" s="20" t="s">
        <v>797</v>
      </c>
      <c r="D133" s="137">
        <v>1770000</v>
      </c>
      <c r="E133" s="20" t="s">
        <v>543</v>
      </c>
      <c r="F133" s="20" t="s">
        <v>544</v>
      </c>
      <c r="G133" s="8" t="str">
        <f t="shared" si="4"/>
        <v>BRUDER RICHARD</v>
      </c>
      <c r="H133" s="20" t="str">
        <f t="shared" si="5"/>
        <v>4056</v>
      </c>
    </row>
    <row r="134" spans="1:8" x14ac:dyDescent="0.3">
      <c r="A134" s="8">
        <v>43111.543749999997</v>
      </c>
      <c r="B134" s="20" t="s">
        <v>656</v>
      </c>
      <c r="C134" s="20" t="s">
        <v>666</v>
      </c>
      <c r="D134" s="137">
        <v>2000000</v>
      </c>
      <c r="E134" s="20" t="s">
        <v>392</v>
      </c>
      <c r="F134" s="20" t="s">
        <v>393</v>
      </c>
      <c r="G134" s="8" t="str">
        <f t="shared" si="4"/>
        <v>STAMBAUGH JAMES</v>
      </c>
      <c r="H134" s="20" t="str">
        <f t="shared" si="5"/>
        <v>4006</v>
      </c>
    </row>
    <row r="135" spans="1:8" x14ac:dyDescent="0.3">
      <c r="A135" s="8">
        <v>43111.543865740743</v>
      </c>
      <c r="B135" s="20" t="s">
        <v>677</v>
      </c>
      <c r="C135" s="20" t="s">
        <v>798</v>
      </c>
      <c r="D135" s="137">
        <v>3840000</v>
      </c>
      <c r="E135" s="20" t="s">
        <v>510</v>
      </c>
      <c r="F135" s="20" t="s">
        <v>511</v>
      </c>
      <c r="G135" s="8" t="str">
        <f t="shared" si="4"/>
        <v>LONG FULLER</v>
      </c>
      <c r="H135" s="20" t="str">
        <f t="shared" si="5"/>
        <v>4015</v>
      </c>
    </row>
    <row r="136" spans="1:8" x14ac:dyDescent="0.3">
      <c r="A136" s="8">
        <v>43111.54891203704</v>
      </c>
      <c r="B136" s="20" t="s">
        <v>369</v>
      </c>
      <c r="C136" s="20" t="s">
        <v>799</v>
      </c>
      <c r="D136" s="137">
        <v>880000</v>
      </c>
      <c r="E136" s="20" t="s">
        <v>509</v>
      </c>
      <c r="F136" s="20" t="s">
        <v>351</v>
      </c>
      <c r="G136" s="8" t="str">
        <f t="shared" si="4"/>
        <v>STEWART MICHAEL</v>
      </c>
      <c r="H136" s="20" t="str">
        <f t="shared" si="5"/>
        <v>4012</v>
      </c>
    </row>
    <row r="137" spans="1:8" x14ac:dyDescent="0.3">
      <c r="A137" s="8">
        <v>43111.553842592592</v>
      </c>
      <c r="B137" s="20" t="s">
        <v>447</v>
      </c>
      <c r="C137" s="20" t="s">
        <v>800</v>
      </c>
      <c r="D137" s="137">
        <v>2550000</v>
      </c>
      <c r="E137" s="20" t="s">
        <v>785</v>
      </c>
      <c r="F137" s="20" t="s">
        <v>786</v>
      </c>
      <c r="G137" s="8" t="str">
        <f t="shared" si="4"/>
        <v>BADERTSCHER DIANE</v>
      </c>
      <c r="H137" s="20" t="str">
        <f t="shared" si="5"/>
        <v>4019</v>
      </c>
    </row>
    <row r="138" spans="1:8" x14ac:dyDescent="0.3">
      <c r="A138" s="8">
        <v>43111.560578703706</v>
      </c>
      <c r="B138" s="20" t="s">
        <v>698</v>
      </c>
      <c r="C138" s="20" t="s">
        <v>801</v>
      </c>
      <c r="D138" s="137">
        <v>1300000</v>
      </c>
      <c r="E138" s="20" t="s">
        <v>357</v>
      </c>
      <c r="F138" s="20" t="s">
        <v>358</v>
      </c>
      <c r="G138" s="8" t="str">
        <f t="shared" si="4"/>
        <v>LEVIN SCOTT</v>
      </c>
      <c r="H138" s="20" t="str">
        <f t="shared" si="5"/>
        <v>4042</v>
      </c>
    </row>
    <row r="139" spans="1:8" x14ac:dyDescent="0.3">
      <c r="A139" s="8">
        <v>43111.561111111114</v>
      </c>
      <c r="B139" s="20" t="s">
        <v>649</v>
      </c>
      <c r="C139" s="20" t="s">
        <v>802</v>
      </c>
      <c r="D139" s="137">
        <v>2000000</v>
      </c>
      <c r="E139" s="20" t="s">
        <v>392</v>
      </c>
      <c r="F139" s="20" t="s">
        <v>393</v>
      </c>
      <c r="G139" s="8" t="str">
        <f t="shared" si="4"/>
        <v>STAMBAUGH JAMES</v>
      </c>
      <c r="H139" s="20" t="str">
        <f t="shared" si="5"/>
        <v>4005</v>
      </c>
    </row>
    <row r="140" spans="1:8" x14ac:dyDescent="0.3">
      <c r="A140" s="8">
        <v>43111.561180555553</v>
      </c>
      <c r="B140" s="20" t="s">
        <v>436</v>
      </c>
      <c r="C140" s="20" t="s">
        <v>667</v>
      </c>
      <c r="D140" s="137">
        <v>2610000</v>
      </c>
      <c r="E140" s="20" t="s">
        <v>379</v>
      </c>
      <c r="F140" s="20" t="s">
        <v>380</v>
      </c>
      <c r="G140" s="8" t="str">
        <f t="shared" si="4"/>
        <v>MAGEE KENYA</v>
      </c>
      <c r="H140" s="20" t="str">
        <f t="shared" si="5"/>
        <v>4010</v>
      </c>
    </row>
    <row r="141" spans="1:8" x14ac:dyDescent="0.3">
      <c r="A141" s="8">
        <v>43111.568553240744</v>
      </c>
      <c r="B141" s="20" t="s">
        <v>709</v>
      </c>
      <c r="C141" s="20" t="s">
        <v>803</v>
      </c>
      <c r="D141" s="137">
        <v>2420000</v>
      </c>
      <c r="E141" s="20" t="s">
        <v>569</v>
      </c>
      <c r="F141" s="20" t="s">
        <v>570</v>
      </c>
      <c r="G141" s="8" t="str">
        <f t="shared" si="4"/>
        <v>HOLCOMB KAMDEN</v>
      </c>
      <c r="H141" s="20" t="str">
        <f t="shared" si="5"/>
        <v>4021</v>
      </c>
    </row>
    <row r="142" spans="1:8" x14ac:dyDescent="0.3">
      <c r="A142" s="8">
        <v>43111.570925925924</v>
      </c>
      <c r="B142" s="20" t="s">
        <v>660</v>
      </c>
      <c r="C142" s="20" t="s">
        <v>804</v>
      </c>
      <c r="D142" s="137">
        <v>2140000</v>
      </c>
      <c r="E142" s="20" t="s">
        <v>788</v>
      </c>
      <c r="F142" s="20" t="s">
        <v>789</v>
      </c>
      <c r="G142" s="8" t="str">
        <f t="shared" si="4"/>
        <v>ROBINSON KADDIBA</v>
      </c>
      <c r="H142" s="20" t="str">
        <f t="shared" si="5"/>
        <v>4034</v>
      </c>
    </row>
    <row r="143" spans="1:8" x14ac:dyDescent="0.3">
      <c r="A143" s="8">
        <v>43111.578715277778</v>
      </c>
      <c r="B143" s="20" t="s">
        <v>350</v>
      </c>
      <c r="C143" s="20" t="s">
        <v>805</v>
      </c>
      <c r="D143" s="137">
        <v>1770000</v>
      </c>
      <c r="E143" s="20" t="s">
        <v>543</v>
      </c>
      <c r="F143" s="20" t="s">
        <v>544</v>
      </c>
      <c r="G143" s="8" t="str">
        <f t="shared" si="4"/>
        <v>BRUDER RICHARD</v>
      </c>
      <c r="H143" s="20" t="str">
        <f t="shared" si="5"/>
        <v>4055</v>
      </c>
    </row>
    <row r="144" spans="1:8" x14ac:dyDescent="0.3">
      <c r="A144" s="8">
        <v>43111.578865740739</v>
      </c>
      <c r="B144" s="20" t="s">
        <v>706</v>
      </c>
      <c r="C144" s="20" t="s">
        <v>806</v>
      </c>
      <c r="D144" s="137">
        <v>3840000</v>
      </c>
      <c r="E144" s="20" t="s">
        <v>510</v>
      </c>
      <c r="F144" s="20" t="s">
        <v>511</v>
      </c>
      <c r="G144" s="8" t="str">
        <f t="shared" si="4"/>
        <v>LONG FULLER</v>
      </c>
      <c r="H144" s="20" t="str">
        <f t="shared" si="5"/>
        <v>4016</v>
      </c>
    </row>
    <row r="145" spans="1:8" x14ac:dyDescent="0.3">
      <c r="A145" s="8">
        <v>43111.579062500001</v>
      </c>
      <c r="B145" s="20" t="s">
        <v>760</v>
      </c>
      <c r="C145" s="20" t="s">
        <v>675</v>
      </c>
      <c r="D145" s="137">
        <v>2610000</v>
      </c>
      <c r="E145" s="20" t="s">
        <v>379</v>
      </c>
      <c r="F145" s="20" t="s">
        <v>380</v>
      </c>
      <c r="G145" s="8" t="str">
        <f t="shared" si="4"/>
        <v>MAGEE KENYA</v>
      </c>
      <c r="H145" s="20" t="str">
        <f t="shared" si="5"/>
        <v>4009</v>
      </c>
    </row>
    <row r="146" spans="1:8" x14ac:dyDescent="0.3">
      <c r="A146" s="8">
        <v>43111.5862037037</v>
      </c>
      <c r="B146" s="20" t="s">
        <v>436</v>
      </c>
      <c r="C146" s="20" t="s">
        <v>667</v>
      </c>
      <c r="D146" s="137">
        <v>2610000</v>
      </c>
      <c r="E146" s="20" t="s">
        <v>379</v>
      </c>
      <c r="F146" s="20" t="s">
        <v>380</v>
      </c>
      <c r="G146" s="8" t="str">
        <f t="shared" si="4"/>
        <v>MAGEE KENYA</v>
      </c>
      <c r="H146" s="20" t="str">
        <f t="shared" si="5"/>
        <v>4010</v>
      </c>
    </row>
    <row r="147" spans="1:8" x14ac:dyDescent="0.3">
      <c r="A147" s="8">
        <v>43111.588437500002</v>
      </c>
      <c r="B147" s="20" t="s">
        <v>370</v>
      </c>
      <c r="C147" s="20" t="s">
        <v>807</v>
      </c>
      <c r="D147" s="137">
        <v>880000</v>
      </c>
      <c r="E147" s="20" t="s">
        <v>509</v>
      </c>
      <c r="F147" s="20" t="s">
        <v>351</v>
      </c>
      <c r="G147" s="8" t="str">
        <f t="shared" si="4"/>
        <v>STEWART MICHAEL</v>
      </c>
      <c r="H147" s="20" t="str">
        <f t="shared" si="5"/>
        <v>4011</v>
      </c>
    </row>
    <row r="148" spans="1:8" x14ac:dyDescent="0.3">
      <c r="A148" s="8">
        <v>43111.588564814818</v>
      </c>
      <c r="B148" s="20" t="s">
        <v>656</v>
      </c>
      <c r="C148" s="20" t="s">
        <v>808</v>
      </c>
      <c r="D148" s="137">
        <v>2000000</v>
      </c>
      <c r="E148" s="20" t="s">
        <v>392</v>
      </c>
      <c r="F148" s="20" t="s">
        <v>393</v>
      </c>
      <c r="G148" s="8" t="str">
        <f t="shared" si="4"/>
        <v>STAMBAUGH JAMES</v>
      </c>
      <c r="H148" s="20" t="str">
        <f t="shared" si="5"/>
        <v>4006</v>
      </c>
    </row>
    <row r="149" spans="1:8" x14ac:dyDescent="0.3">
      <c r="A149" s="8">
        <v>43111.589490740742</v>
      </c>
      <c r="B149" s="20" t="s">
        <v>760</v>
      </c>
      <c r="C149" s="20" t="s">
        <v>675</v>
      </c>
      <c r="D149" s="137">
        <v>2610000</v>
      </c>
      <c r="E149" s="20" t="s">
        <v>379</v>
      </c>
      <c r="F149" s="20" t="s">
        <v>380</v>
      </c>
      <c r="G149" s="8" t="str">
        <f t="shared" si="4"/>
        <v>MAGEE KENYA</v>
      </c>
      <c r="H149" s="20" t="str">
        <f t="shared" si="5"/>
        <v>4009</v>
      </c>
    </row>
    <row r="150" spans="1:8" x14ac:dyDescent="0.3">
      <c r="A150" s="8">
        <v>43111.591168981482</v>
      </c>
      <c r="B150" s="20" t="s">
        <v>448</v>
      </c>
      <c r="C150" s="20" t="s">
        <v>809</v>
      </c>
      <c r="D150" s="137">
        <v>2550000</v>
      </c>
      <c r="E150" s="20" t="s">
        <v>785</v>
      </c>
      <c r="F150" s="20" t="s">
        <v>786</v>
      </c>
      <c r="G150" s="8" t="str">
        <f t="shared" si="4"/>
        <v>BADERTSCHER DIANE</v>
      </c>
      <c r="H150" s="20" t="str">
        <f t="shared" si="5"/>
        <v>4020</v>
      </c>
    </row>
    <row r="151" spans="1:8" x14ac:dyDescent="0.3">
      <c r="A151" s="8">
        <v>43111.593275462961</v>
      </c>
      <c r="B151" s="20" t="s">
        <v>658</v>
      </c>
      <c r="C151" s="20" t="s">
        <v>671</v>
      </c>
      <c r="D151" s="137">
        <v>1300000</v>
      </c>
      <c r="E151" s="20" t="s">
        <v>357</v>
      </c>
      <c r="F151" s="20" t="s">
        <v>358</v>
      </c>
      <c r="G151" s="8" t="str">
        <f t="shared" si="4"/>
        <v>LEVIN SCOTT</v>
      </c>
      <c r="H151" s="20" t="str">
        <f t="shared" si="5"/>
        <v>4041</v>
      </c>
    </row>
    <row r="152" spans="1:8" x14ac:dyDescent="0.3">
      <c r="A152" s="8">
        <v>43111.599733796298</v>
      </c>
      <c r="B152" s="20" t="s">
        <v>383</v>
      </c>
      <c r="C152" s="20" t="s">
        <v>668</v>
      </c>
      <c r="D152" s="137">
        <v>2420000</v>
      </c>
      <c r="E152" s="20" t="s">
        <v>569</v>
      </c>
      <c r="F152" s="20" t="s">
        <v>570</v>
      </c>
      <c r="G152" s="8" t="str">
        <f t="shared" si="4"/>
        <v>HOLCOMB KAMDEN</v>
      </c>
      <c r="H152" s="20" t="str">
        <f t="shared" si="5"/>
        <v>4022</v>
      </c>
    </row>
    <row r="153" spans="1:8" x14ac:dyDescent="0.3">
      <c r="A153" s="8">
        <v>43111.601226851853</v>
      </c>
      <c r="B153" s="20" t="s">
        <v>649</v>
      </c>
      <c r="C153" s="20" t="s">
        <v>670</v>
      </c>
      <c r="D153" s="137">
        <v>2000000</v>
      </c>
      <c r="E153" s="20" t="s">
        <v>392</v>
      </c>
      <c r="F153" s="20" t="s">
        <v>393</v>
      </c>
      <c r="G153" s="8" t="str">
        <f t="shared" si="4"/>
        <v>STAMBAUGH JAMES</v>
      </c>
      <c r="H153" s="20" t="str">
        <f t="shared" si="5"/>
        <v>4005</v>
      </c>
    </row>
    <row r="154" spans="1:8" x14ac:dyDescent="0.3">
      <c r="A154" s="8">
        <v>43111.608252314814</v>
      </c>
      <c r="B154" s="20" t="s">
        <v>672</v>
      </c>
      <c r="C154" s="20" t="s">
        <v>810</v>
      </c>
      <c r="D154" s="137">
        <v>3310000</v>
      </c>
      <c r="E154" s="20" t="s">
        <v>440</v>
      </c>
      <c r="F154" s="20" t="s">
        <v>441</v>
      </c>
      <c r="G154" s="8" t="str">
        <f t="shared" si="4"/>
        <v>ANDERS STEVEN</v>
      </c>
      <c r="H154" s="20" t="str">
        <f t="shared" si="5"/>
        <v>4032</v>
      </c>
    </row>
    <row r="155" spans="1:8" x14ac:dyDescent="0.3">
      <c r="A155" s="8">
        <v>43111.61010416667</v>
      </c>
      <c r="B155" s="20" t="s">
        <v>672</v>
      </c>
      <c r="C155" s="20" t="s">
        <v>810</v>
      </c>
      <c r="D155" s="137">
        <v>3310000</v>
      </c>
      <c r="E155" s="20" t="s">
        <v>440</v>
      </c>
      <c r="F155" s="20" t="s">
        <v>441</v>
      </c>
      <c r="G155" s="8" t="str">
        <f t="shared" si="4"/>
        <v>ANDERS STEVEN</v>
      </c>
      <c r="H155" s="20" t="str">
        <f t="shared" si="5"/>
        <v>4032</v>
      </c>
    </row>
    <row r="156" spans="1:8" x14ac:dyDescent="0.3">
      <c r="A156" s="8">
        <v>43111.610543981478</v>
      </c>
      <c r="B156" s="20" t="s">
        <v>453</v>
      </c>
      <c r="C156" s="20" t="s">
        <v>673</v>
      </c>
      <c r="D156" s="137">
        <v>2140000</v>
      </c>
      <c r="E156" s="20" t="s">
        <v>788</v>
      </c>
      <c r="F156" s="20" t="s">
        <v>789</v>
      </c>
      <c r="G156" s="8" t="str">
        <f t="shared" si="4"/>
        <v>ROBINSON KADDIBA</v>
      </c>
      <c r="H156" s="20" t="str">
        <f t="shared" si="5"/>
        <v>4033</v>
      </c>
    </row>
    <row r="157" spans="1:8" x14ac:dyDescent="0.3">
      <c r="A157" s="8">
        <v>43111.611226851855</v>
      </c>
      <c r="B157" s="20" t="s">
        <v>453</v>
      </c>
      <c r="C157" s="20" t="s">
        <v>811</v>
      </c>
      <c r="D157" s="137">
        <v>2140000</v>
      </c>
      <c r="E157" s="20" t="s">
        <v>788</v>
      </c>
      <c r="F157" s="20" t="s">
        <v>789</v>
      </c>
      <c r="G157" s="8" t="str">
        <f t="shared" si="4"/>
        <v>ROBINSON KADDIBA</v>
      </c>
      <c r="H157" s="20" t="str">
        <f t="shared" si="5"/>
        <v>4033</v>
      </c>
    </row>
    <row r="158" spans="1:8" x14ac:dyDescent="0.3">
      <c r="A158" s="8">
        <v>43111.612534722219</v>
      </c>
      <c r="B158" s="20" t="s">
        <v>468</v>
      </c>
      <c r="C158" s="20" t="s">
        <v>669</v>
      </c>
      <c r="D158" s="137">
        <v>1770000</v>
      </c>
      <c r="E158" s="20" t="s">
        <v>543</v>
      </c>
      <c r="F158" s="20" t="s">
        <v>544</v>
      </c>
      <c r="G158" s="8" t="str">
        <f t="shared" si="4"/>
        <v>BRUDER RICHARD</v>
      </c>
      <c r="H158" s="20" t="str">
        <f t="shared" si="5"/>
        <v>4056</v>
      </c>
    </row>
    <row r="159" spans="1:8" x14ac:dyDescent="0.3">
      <c r="A159" s="8">
        <v>43111.616018518522</v>
      </c>
      <c r="B159" s="20" t="s">
        <v>672</v>
      </c>
      <c r="C159" s="20" t="s">
        <v>667</v>
      </c>
      <c r="D159" s="137">
        <v>3310000</v>
      </c>
      <c r="E159" s="20" t="s">
        <v>440</v>
      </c>
      <c r="F159" s="20" t="s">
        <v>441</v>
      </c>
      <c r="G159" s="8" t="str">
        <f t="shared" si="4"/>
        <v>ANDERS STEVEN</v>
      </c>
      <c r="H159" s="20" t="str">
        <f t="shared" si="5"/>
        <v>4032</v>
      </c>
    </row>
    <row r="160" spans="1:8" x14ac:dyDescent="0.3">
      <c r="A160" s="8">
        <v>43111.616666666669</v>
      </c>
      <c r="B160" s="20" t="s">
        <v>677</v>
      </c>
      <c r="C160" s="20" t="s">
        <v>812</v>
      </c>
      <c r="D160" s="137">
        <v>3840000</v>
      </c>
      <c r="E160" s="20" t="s">
        <v>510</v>
      </c>
      <c r="F160" s="20" t="s">
        <v>511</v>
      </c>
      <c r="G160" s="8" t="str">
        <f t="shared" si="4"/>
        <v>LONG FULLER</v>
      </c>
      <c r="H160" s="20" t="str">
        <f t="shared" si="5"/>
        <v>4015</v>
      </c>
    </row>
    <row r="161" spans="1:8" x14ac:dyDescent="0.3">
      <c r="A161" s="8">
        <v>43111.622974537036</v>
      </c>
      <c r="B161" s="20" t="s">
        <v>658</v>
      </c>
      <c r="C161" s="20" t="s">
        <v>671</v>
      </c>
      <c r="D161" s="137">
        <v>1300000</v>
      </c>
      <c r="E161" s="20" t="s">
        <v>357</v>
      </c>
      <c r="F161" s="20" t="s">
        <v>358</v>
      </c>
      <c r="G161" s="8" t="str">
        <f t="shared" si="4"/>
        <v>LEVIN SCOTT</v>
      </c>
      <c r="H161" s="20" t="str">
        <f t="shared" si="5"/>
        <v>4041</v>
      </c>
    </row>
    <row r="162" spans="1:8" x14ac:dyDescent="0.3">
      <c r="A162" s="8">
        <v>43111.624490740738</v>
      </c>
      <c r="B162" s="20" t="s">
        <v>369</v>
      </c>
      <c r="C162" s="20" t="s">
        <v>813</v>
      </c>
      <c r="D162" s="137">
        <v>880000</v>
      </c>
      <c r="E162" s="20" t="s">
        <v>509</v>
      </c>
      <c r="F162" s="20" t="s">
        <v>351</v>
      </c>
      <c r="G162" s="8" t="str">
        <f t="shared" si="4"/>
        <v>STEWART MICHAEL</v>
      </c>
      <c r="H162" s="20" t="str">
        <f t="shared" si="5"/>
        <v>4012</v>
      </c>
    </row>
    <row r="163" spans="1:8" x14ac:dyDescent="0.3">
      <c r="A163" s="8">
        <v>43111.624699074076</v>
      </c>
      <c r="B163" s="20" t="s">
        <v>468</v>
      </c>
      <c r="C163" s="20" t="s">
        <v>669</v>
      </c>
      <c r="D163" s="137">
        <v>1770000</v>
      </c>
      <c r="E163" s="20" t="s">
        <v>543</v>
      </c>
      <c r="F163" s="20" t="s">
        <v>544</v>
      </c>
      <c r="G163" s="8" t="str">
        <f t="shared" si="4"/>
        <v>BRUDER RICHARD</v>
      </c>
      <c r="H163" s="20" t="str">
        <f t="shared" si="5"/>
        <v>4056</v>
      </c>
    </row>
    <row r="164" spans="1:8" x14ac:dyDescent="0.3">
      <c r="A164" s="8">
        <v>43111.625543981485</v>
      </c>
      <c r="B164" s="20" t="s">
        <v>656</v>
      </c>
      <c r="C164" s="20" t="s">
        <v>814</v>
      </c>
      <c r="D164" s="137">
        <v>2000000</v>
      </c>
      <c r="E164" s="20" t="s">
        <v>392</v>
      </c>
      <c r="F164" s="20" t="s">
        <v>393</v>
      </c>
      <c r="G164" s="8" t="str">
        <f t="shared" si="4"/>
        <v>STAMBAUGH JAMES</v>
      </c>
      <c r="H164" s="20" t="str">
        <f t="shared" si="5"/>
        <v>4006</v>
      </c>
    </row>
    <row r="165" spans="1:8" x14ac:dyDescent="0.3">
      <c r="A165" s="8">
        <v>43111.626967592594</v>
      </c>
      <c r="B165" s="20" t="s">
        <v>453</v>
      </c>
      <c r="C165" s="20" t="s">
        <v>811</v>
      </c>
      <c r="D165" s="137">
        <v>2140000</v>
      </c>
      <c r="E165" s="20" t="s">
        <v>788</v>
      </c>
      <c r="F165" s="20" t="s">
        <v>789</v>
      </c>
      <c r="G165" s="8" t="str">
        <f t="shared" si="4"/>
        <v>ROBINSON KADDIBA</v>
      </c>
      <c r="H165" s="20" t="str">
        <f t="shared" si="5"/>
        <v>4033</v>
      </c>
    </row>
    <row r="166" spans="1:8" x14ac:dyDescent="0.3">
      <c r="A166" s="8">
        <v>43111.628055555557</v>
      </c>
      <c r="B166" s="20" t="s">
        <v>658</v>
      </c>
      <c r="C166" s="20" t="s">
        <v>671</v>
      </c>
      <c r="D166" s="137">
        <v>1300000</v>
      </c>
      <c r="E166" s="20" t="s">
        <v>357</v>
      </c>
      <c r="F166" s="20" t="s">
        <v>358</v>
      </c>
      <c r="G166" s="8" t="str">
        <f t="shared" si="4"/>
        <v>LEVIN SCOTT</v>
      </c>
      <c r="H166" s="20" t="str">
        <f t="shared" si="5"/>
        <v>4041</v>
      </c>
    </row>
    <row r="167" spans="1:8" x14ac:dyDescent="0.3">
      <c r="A167" s="8">
        <v>43111.62939814815</v>
      </c>
      <c r="B167" s="20" t="s">
        <v>447</v>
      </c>
      <c r="C167" s="20" t="s">
        <v>815</v>
      </c>
      <c r="D167" s="137">
        <v>2550000</v>
      </c>
      <c r="E167" s="20" t="s">
        <v>785</v>
      </c>
      <c r="F167" s="20" t="s">
        <v>786</v>
      </c>
      <c r="G167" s="8" t="str">
        <f t="shared" si="4"/>
        <v>BADERTSCHER DIANE</v>
      </c>
      <c r="H167" s="20" t="str">
        <f t="shared" si="5"/>
        <v>4019</v>
      </c>
    </row>
    <row r="168" spans="1:8" x14ac:dyDescent="0.3">
      <c r="A168" s="8">
        <v>43111.633530092593</v>
      </c>
      <c r="B168" s="20" t="s">
        <v>369</v>
      </c>
      <c r="C168" s="20" t="s">
        <v>813</v>
      </c>
      <c r="D168" s="137">
        <v>880000</v>
      </c>
      <c r="E168" s="20" t="s">
        <v>509</v>
      </c>
      <c r="F168" s="20" t="s">
        <v>351</v>
      </c>
      <c r="G168" s="8" t="str">
        <f t="shared" si="4"/>
        <v>STEWART MICHAEL</v>
      </c>
      <c r="H168" s="20" t="str">
        <f t="shared" si="5"/>
        <v>4012</v>
      </c>
    </row>
    <row r="169" spans="1:8" x14ac:dyDescent="0.3">
      <c r="A169" s="8">
        <v>43111.635659722226</v>
      </c>
      <c r="B169" s="20" t="s">
        <v>677</v>
      </c>
      <c r="C169" s="20" t="s">
        <v>812</v>
      </c>
      <c r="D169" s="137">
        <v>3840000</v>
      </c>
      <c r="E169" s="20" t="s">
        <v>510</v>
      </c>
      <c r="F169" s="20" t="s">
        <v>511</v>
      </c>
      <c r="G169" s="8" t="str">
        <f t="shared" si="4"/>
        <v>LONG FULLER</v>
      </c>
      <c r="H169" s="20" t="str">
        <f t="shared" si="5"/>
        <v>4015</v>
      </c>
    </row>
    <row r="170" spans="1:8" x14ac:dyDescent="0.3">
      <c r="A170" s="8">
        <v>43111.637395833335</v>
      </c>
      <c r="B170" s="20" t="s">
        <v>489</v>
      </c>
      <c r="C170" s="20" t="s">
        <v>816</v>
      </c>
      <c r="D170" s="137">
        <v>3130000</v>
      </c>
      <c r="E170" s="20" t="s">
        <v>545</v>
      </c>
      <c r="F170" s="20" t="s">
        <v>546</v>
      </c>
      <c r="G170" s="8" t="str">
        <f t="shared" si="4"/>
        <v>ZEWDU DEREJE</v>
      </c>
      <c r="H170" s="20" t="str">
        <f t="shared" si="5"/>
        <v>4013</v>
      </c>
    </row>
    <row r="171" spans="1:8" x14ac:dyDescent="0.3">
      <c r="A171" s="8">
        <v>43111.637407407405</v>
      </c>
      <c r="B171" s="20" t="s">
        <v>698</v>
      </c>
      <c r="C171" s="20" t="s">
        <v>817</v>
      </c>
      <c r="D171" s="137">
        <v>1300000</v>
      </c>
      <c r="E171" s="20" t="s">
        <v>357</v>
      </c>
      <c r="F171" s="20" t="s">
        <v>358</v>
      </c>
      <c r="G171" s="8" t="str">
        <f t="shared" si="4"/>
        <v>LEVIN SCOTT</v>
      </c>
      <c r="H171" s="20" t="str">
        <f t="shared" si="5"/>
        <v>4042</v>
      </c>
    </row>
    <row r="172" spans="1:8" x14ac:dyDescent="0.3">
      <c r="A172" s="8">
        <v>43111.640821759262</v>
      </c>
      <c r="B172" s="20" t="s">
        <v>674</v>
      </c>
      <c r="C172" s="20" t="s">
        <v>675</v>
      </c>
      <c r="D172" s="137">
        <v>2610000</v>
      </c>
      <c r="E172" s="20" t="s">
        <v>379</v>
      </c>
      <c r="F172" s="20" t="s">
        <v>380</v>
      </c>
      <c r="G172" s="8" t="str">
        <f t="shared" si="4"/>
        <v>MAGEE KENYA</v>
      </c>
      <c r="H172" s="20" t="str">
        <f t="shared" si="5"/>
        <v>4031</v>
      </c>
    </row>
    <row r="173" spans="1:8" x14ac:dyDescent="0.3">
      <c r="A173" s="8">
        <v>43111.641736111109</v>
      </c>
      <c r="B173" s="20" t="s">
        <v>709</v>
      </c>
      <c r="C173" s="20" t="s">
        <v>818</v>
      </c>
      <c r="D173" s="137">
        <v>2420000</v>
      </c>
      <c r="E173" s="20" t="s">
        <v>569</v>
      </c>
      <c r="F173" s="20" t="s">
        <v>570</v>
      </c>
      <c r="G173" s="8" t="str">
        <f t="shared" si="4"/>
        <v>HOLCOMB KAMDEN</v>
      </c>
      <c r="H173" s="20" t="str">
        <f t="shared" si="5"/>
        <v>4021</v>
      </c>
    </row>
    <row r="174" spans="1:8" x14ac:dyDescent="0.3">
      <c r="A174" s="8">
        <v>43111.64298611111</v>
      </c>
      <c r="B174" s="20" t="s">
        <v>649</v>
      </c>
      <c r="C174" s="20" t="s">
        <v>819</v>
      </c>
      <c r="D174" s="137">
        <v>2000000</v>
      </c>
      <c r="E174" s="20" t="s">
        <v>392</v>
      </c>
      <c r="F174" s="20" t="s">
        <v>393</v>
      </c>
      <c r="G174" s="8" t="str">
        <f t="shared" si="4"/>
        <v>STAMBAUGH JAMES</v>
      </c>
      <c r="H174" s="20" t="str">
        <f t="shared" si="5"/>
        <v>4005</v>
      </c>
    </row>
    <row r="175" spans="1:8" x14ac:dyDescent="0.3">
      <c r="A175" s="8">
        <v>43111.6483912037</v>
      </c>
      <c r="B175" s="20" t="s">
        <v>701</v>
      </c>
      <c r="C175" s="20" t="s">
        <v>820</v>
      </c>
      <c r="D175" s="137">
        <v>3130000</v>
      </c>
      <c r="E175" s="20" t="s">
        <v>545</v>
      </c>
      <c r="F175" s="20" t="s">
        <v>546</v>
      </c>
      <c r="G175" s="8" t="str">
        <f t="shared" si="4"/>
        <v>ZEWDU DEREJE</v>
      </c>
      <c r="H175" s="20" t="str">
        <f t="shared" si="5"/>
        <v>4014</v>
      </c>
    </row>
    <row r="176" spans="1:8" x14ac:dyDescent="0.3">
      <c r="A176" s="8">
        <v>43111.648912037039</v>
      </c>
      <c r="B176" s="20" t="s">
        <v>660</v>
      </c>
      <c r="C176" s="20" t="s">
        <v>673</v>
      </c>
      <c r="D176" s="137">
        <v>2140000</v>
      </c>
      <c r="E176" s="20" t="s">
        <v>788</v>
      </c>
      <c r="F176" s="20" t="s">
        <v>789</v>
      </c>
      <c r="G176" s="8" t="str">
        <f t="shared" si="4"/>
        <v>ROBINSON KADDIBA</v>
      </c>
      <c r="H176" s="20" t="str">
        <f t="shared" si="5"/>
        <v>4034</v>
      </c>
    </row>
    <row r="177" spans="1:8" x14ac:dyDescent="0.3">
      <c r="A177" s="8">
        <v>43111.65111111111</v>
      </c>
      <c r="B177" s="20" t="s">
        <v>350</v>
      </c>
      <c r="C177" s="20" t="s">
        <v>821</v>
      </c>
      <c r="D177" s="137">
        <v>1770000</v>
      </c>
      <c r="E177" s="20" t="s">
        <v>543</v>
      </c>
      <c r="F177" s="20" t="s">
        <v>544</v>
      </c>
      <c r="G177" s="8" t="str">
        <f t="shared" si="4"/>
        <v>BRUDER RICHARD</v>
      </c>
      <c r="H177" s="20" t="str">
        <f t="shared" si="5"/>
        <v>4055</v>
      </c>
    </row>
    <row r="178" spans="1:8" x14ac:dyDescent="0.3">
      <c r="A178" s="8">
        <v>43111.655844907407</v>
      </c>
      <c r="B178" s="20" t="s">
        <v>660</v>
      </c>
      <c r="C178" s="20" t="s">
        <v>673</v>
      </c>
      <c r="D178" s="137">
        <v>2140000</v>
      </c>
      <c r="E178" s="20" t="s">
        <v>788</v>
      </c>
      <c r="F178" s="20" t="s">
        <v>789</v>
      </c>
      <c r="G178" s="8" t="str">
        <f t="shared" si="4"/>
        <v>ROBINSON KADDIBA</v>
      </c>
      <c r="H178" s="20" t="str">
        <f t="shared" si="5"/>
        <v>4034</v>
      </c>
    </row>
    <row r="179" spans="1:8" x14ac:dyDescent="0.3">
      <c r="A179" s="8">
        <v>43111.657233796293</v>
      </c>
      <c r="B179" s="20" t="s">
        <v>706</v>
      </c>
      <c r="C179" s="20" t="s">
        <v>822</v>
      </c>
      <c r="D179" s="137">
        <v>3840000</v>
      </c>
      <c r="E179" s="20" t="s">
        <v>510</v>
      </c>
      <c r="F179" s="20" t="s">
        <v>511</v>
      </c>
      <c r="G179" s="8" t="str">
        <f t="shared" si="4"/>
        <v>LONG FULLER</v>
      </c>
      <c r="H179" s="20" t="str">
        <f t="shared" si="5"/>
        <v>4016</v>
      </c>
    </row>
    <row r="180" spans="1:8" x14ac:dyDescent="0.3">
      <c r="A180" s="8">
        <v>43111.659641203703</v>
      </c>
      <c r="B180" s="20" t="s">
        <v>370</v>
      </c>
      <c r="C180" s="20" t="s">
        <v>823</v>
      </c>
      <c r="D180" s="137">
        <v>880000</v>
      </c>
      <c r="E180" s="20" t="s">
        <v>509</v>
      </c>
      <c r="F180" s="20" t="s">
        <v>351</v>
      </c>
      <c r="G180" s="8" t="str">
        <f t="shared" si="4"/>
        <v>STEWART MICHAEL</v>
      </c>
      <c r="H180" s="20" t="str">
        <f t="shared" si="5"/>
        <v>4011</v>
      </c>
    </row>
    <row r="181" spans="1:8" x14ac:dyDescent="0.3">
      <c r="A181" s="8">
        <v>43111.664814814816</v>
      </c>
      <c r="B181" s="20" t="s">
        <v>656</v>
      </c>
      <c r="C181" s="20" t="s">
        <v>824</v>
      </c>
      <c r="D181" s="137">
        <v>2000000</v>
      </c>
      <c r="E181" s="20" t="s">
        <v>392</v>
      </c>
      <c r="F181" s="20" t="s">
        <v>393</v>
      </c>
      <c r="G181" s="8" t="str">
        <f t="shared" si="4"/>
        <v>STAMBAUGH JAMES</v>
      </c>
      <c r="H181" s="20" t="str">
        <f t="shared" si="5"/>
        <v>4006</v>
      </c>
    </row>
    <row r="182" spans="1:8" x14ac:dyDescent="0.3">
      <c r="A182" s="8">
        <v>43111.664930555555</v>
      </c>
      <c r="B182" s="20" t="s">
        <v>489</v>
      </c>
      <c r="C182" s="20" t="s">
        <v>825</v>
      </c>
      <c r="D182" s="137">
        <v>3130000</v>
      </c>
      <c r="E182" s="20" t="s">
        <v>545</v>
      </c>
      <c r="F182" s="20" t="s">
        <v>546</v>
      </c>
      <c r="G182" s="8" t="str">
        <f t="shared" si="4"/>
        <v>ZEWDU DEREJE</v>
      </c>
      <c r="H182" s="20" t="str">
        <f t="shared" si="5"/>
        <v>4013</v>
      </c>
    </row>
    <row r="183" spans="1:8" x14ac:dyDescent="0.3">
      <c r="A183" s="8">
        <v>43111.665798611109</v>
      </c>
      <c r="B183" s="20" t="s">
        <v>672</v>
      </c>
      <c r="C183" s="20" t="s">
        <v>675</v>
      </c>
      <c r="D183" s="137">
        <v>3310000</v>
      </c>
      <c r="E183" s="20" t="s">
        <v>440</v>
      </c>
      <c r="F183" s="20" t="s">
        <v>441</v>
      </c>
      <c r="G183" s="8" t="str">
        <f t="shared" si="4"/>
        <v>ANDERS STEVEN</v>
      </c>
      <c r="H183" s="20" t="str">
        <f t="shared" si="5"/>
        <v>4032</v>
      </c>
    </row>
    <row r="184" spans="1:8" x14ac:dyDescent="0.3">
      <c r="A184" s="8">
        <v>43111.666979166665</v>
      </c>
      <c r="B184" s="20" t="s">
        <v>672</v>
      </c>
      <c r="C184" s="20" t="s">
        <v>675</v>
      </c>
      <c r="D184" s="137">
        <v>3310000</v>
      </c>
      <c r="E184" s="20" t="s">
        <v>440</v>
      </c>
      <c r="F184" s="20" t="s">
        <v>441</v>
      </c>
      <c r="G184" s="8" t="str">
        <f t="shared" si="4"/>
        <v>ANDERS STEVEN</v>
      </c>
      <c r="H184" s="20" t="str">
        <f t="shared" si="5"/>
        <v>4032</v>
      </c>
    </row>
    <row r="185" spans="1:8" x14ac:dyDescent="0.3">
      <c r="A185" s="8">
        <v>43111.667881944442</v>
      </c>
      <c r="B185" s="20" t="s">
        <v>448</v>
      </c>
      <c r="C185" s="20" t="s">
        <v>826</v>
      </c>
      <c r="D185" s="137">
        <v>2550000</v>
      </c>
      <c r="E185" s="20" t="s">
        <v>785</v>
      </c>
      <c r="F185" s="20" t="s">
        <v>786</v>
      </c>
      <c r="G185" s="8" t="str">
        <f t="shared" si="4"/>
        <v>BADERTSCHER DIANE</v>
      </c>
      <c r="H185" s="20" t="str">
        <f t="shared" si="5"/>
        <v>4020</v>
      </c>
    </row>
    <row r="186" spans="1:8" x14ac:dyDescent="0.3">
      <c r="A186" s="8">
        <v>43111.667962962965</v>
      </c>
      <c r="B186" s="20" t="s">
        <v>672</v>
      </c>
      <c r="C186" s="20" t="s">
        <v>667</v>
      </c>
      <c r="D186" s="137">
        <v>3310000</v>
      </c>
      <c r="E186" s="20" t="s">
        <v>440</v>
      </c>
      <c r="F186" s="20" t="s">
        <v>441</v>
      </c>
      <c r="G186" s="8" t="str">
        <f t="shared" si="4"/>
        <v>ANDERS STEVEN</v>
      </c>
      <c r="H186" s="20" t="str">
        <f t="shared" si="5"/>
        <v>4032</v>
      </c>
    </row>
    <row r="187" spans="1:8" x14ac:dyDescent="0.3">
      <c r="A187" s="8">
        <v>43111.67287037037</v>
      </c>
      <c r="B187" s="20" t="s">
        <v>658</v>
      </c>
      <c r="C187" s="20" t="s">
        <v>827</v>
      </c>
      <c r="D187" s="137">
        <v>1300000</v>
      </c>
      <c r="E187" s="20" t="s">
        <v>357</v>
      </c>
      <c r="F187" s="20" t="s">
        <v>358</v>
      </c>
      <c r="G187" s="8" t="str">
        <f t="shared" si="4"/>
        <v>LEVIN SCOTT</v>
      </c>
      <c r="H187" s="20" t="str">
        <f t="shared" si="5"/>
        <v>4041</v>
      </c>
    </row>
    <row r="188" spans="1:8" x14ac:dyDescent="0.3">
      <c r="A188" s="8">
        <v>43111.675254629627</v>
      </c>
      <c r="B188" s="20" t="s">
        <v>383</v>
      </c>
      <c r="C188" s="20" t="s">
        <v>828</v>
      </c>
      <c r="D188" s="137">
        <v>2420000</v>
      </c>
      <c r="E188" s="20" t="s">
        <v>569</v>
      </c>
      <c r="F188" s="20" t="s">
        <v>570</v>
      </c>
      <c r="G188" s="8" t="str">
        <f t="shared" si="4"/>
        <v>HOLCOMB KAMDEN</v>
      </c>
      <c r="H188" s="20" t="str">
        <f t="shared" si="5"/>
        <v>4022</v>
      </c>
    </row>
    <row r="189" spans="1:8" x14ac:dyDescent="0.3">
      <c r="A189" s="8">
        <v>43111.68178240741</v>
      </c>
      <c r="B189" s="20" t="s">
        <v>453</v>
      </c>
      <c r="C189" s="20" t="s">
        <v>829</v>
      </c>
      <c r="D189" s="137">
        <v>2140000</v>
      </c>
      <c r="E189" s="20" t="s">
        <v>788</v>
      </c>
      <c r="F189" s="20" t="s">
        <v>789</v>
      </c>
      <c r="G189" s="8" t="str">
        <f t="shared" si="4"/>
        <v>ROBINSON KADDIBA</v>
      </c>
      <c r="H189" s="20" t="str">
        <f t="shared" si="5"/>
        <v>4033</v>
      </c>
    </row>
    <row r="190" spans="1:8" x14ac:dyDescent="0.3">
      <c r="A190" s="8">
        <v>43111.68482638889</v>
      </c>
      <c r="B190" s="20" t="s">
        <v>468</v>
      </c>
      <c r="C190" s="20" t="s">
        <v>830</v>
      </c>
      <c r="D190" s="137">
        <v>1770000</v>
      </c>
      <c r="E190" s="20" t="s">
        <v>543</v>
      </c>
      <c r="F190" s="20" t="s">
        <v>544</v>
      </c>
      <c r="G190" s="8" t="str">
        <f t="shared" si="4"/>
        <v>BRUDER RICHARD</v>
      </c>
      <c r="H190" s="20" t="str">
        <f t="shared" si="5"/>
        <v>4056</v>
      </c>
    </row>
    <row r="191" spans="1:8" x14ac:dyDescent="0.3">
      <c r="A191" s="8">
        <v>43111.686597222222</v>
      </c>
      <c r="B191" s="20" t="s">
        <v>649</v>
      </c>
      <c r="C191" s="20" t="s">
        <v>831</v>
      </c>
      <c r="D191" s="137">
        <v>2000000</v>
      </c>
      <c r="E191" s="20" t="s">
        <v>392</v>
      </c>
      <c r="F191" s="20" t="s">
        <v>393</v>
      </c>
      <c r="G191" s="8" t="str">
        <f t="shared" si="4"/>
        <v>STAMBAUGH JAMES</v>
      </c>
      <c r="H191" s="20" t="str">
        <f t="shared" si="5"/>
        <v>4005</v>
      </c>
    </row>
    <row r="192" spans="1:8" x14ac:dyDescent="0.3">
      <c r="A192" s="8">
        <v>43111.686956018515</v>
      </c>
      <c r="B192" s="20" t="s">
        <v>674</v>
      </c>
      <c r="C192" s="20" t="s">
        <v>667</v>
      </c>
      <c r="D192" s="137">
        <v>3310000</v>
      </c>
      <c r="E192" s="20" t="s">
        <v>440</v>
      </c>
      <c r="F192" s="20" t="s">
        <v>441</v>
      </c>
      <c r="G192" s="8" t="str">
        <f t="shared" si="4"/>
        <v>ANDERS STEVEN</v>
      </c>
      <c r="H192" s="20" t="str">
        <f t="shared" si="5"/>
        <v>4031</v>
      </c>
    </row>
    <row r="193" spans="1:8" x14ac:dyDescent="0.3">
      <c r="A193" s="8">
        <v>43111.687511574077</v>
      </c>
      <c r="B193" s="20" t="s">
        <v>674</v>
      </c>
      <c r="C193" s="20" t="s">
        <v>675</v>
      </c>
      <c r="D193" s="137">
        <v>3310000</v>
      </c>
      <c r="E193" s="20" t="s">
        <v>440</v>
      </c>
      <c r="F193" s="20" t="s">
        <v>441</v>
      </c>
      <c r="G193" s="8" t="str">
        <f t="shared" si="4"/>
        <v>ANDERS STEVEN</v>
      </c>
      <c r="H193" s="20" t="str">
        <f t="shared" si="5"/>
        <v>4031</v>
      </c>
    </row>
    <row r="194" spans="1:8" x14ac:dyDescent="0.3">
      <c r="A194" s="8">
        <v>43111.688576388886</v>
      </c>
      <c r="B194" s="20" t="s">
        <v>505</v>
      </c>
      <c r="C194" s="20" t="s">
        <v>766</v>
      </c>
      <c r="D194" s="137">
        <v>1810000</v>
      </c>
      <c r="E194" s="20" t="s">
        <v>547</v>
      </c>
      <c r="F194" s="20" t="s">
        <v>393</v>
      </c>
      <c r="G194" s="8" t="str">
        <f t="shared" si="4"/>
        <v>NEWELL JAMES</v>
      </c>
      <c r="H194" s="20" t="str">
        <f t="shared" si="5"/>
        <v>4054</v>
      </c>
    </row>
    <row r="195" spans="1:8" x14ac:dyDescent="0.3">
      <c r="A195" s="8">
        <v>43111.689872685187</v>
      </c>
      <c r="B195" s="20" t="s">
        <v>701</v>
      </c>
      <c r="C195" s="20" t="s">
        <v>832</v>
      </c>
      <c r="D195" s="137">
        <v>3130000</v>
      </c>
      <c r="E195" s="20" t="s">
        <v>545</v>
      </c>
      <c r="F195" s="20" t="s">
        <v>546</v>
      </c>
      <c r="G195" s="8" t="str">
        <f t="shared" ref="G195:G258" si="6">E195&amp;" "&amp;F195</f>
        <v>ZEWDU DEREJE</v>
      </c>
      <c r="H195" s="20" t="str">
        <f t="shared" ref="H195:H258" si="7">MID(B195,13,4)</f>
        <v>4014</v>
      </c>
    </row>
    <row r="196" spans="1:8" x14ac:dyDescent="0.3">
      <c r="A196" s="8">
        <v>43111.690925925926</v>
      </c>
      <c r="B196" s="20" t="s">
        <v>677</v>
      </c>
      <c r="C196" s="20" t="s">
        <v>678</v>
      </c>
      <c r="D196" s="137">
        <v>3840000</v>
      </c>
      <c r="E196" s="20" t="s">
        <v>510</v>
      </c>
      <c r="F196" s="20" t="s">
        <v>511</v>
      </c>
      <c r="G196" s="8" t="str">
        <f t="shared" si="6"/>
        <v>LONG FULLER</v>
      </c>
      <c r="H196" s="20" t="str">
        <f t="shared" si="7"/>
        <v>4015</v>
      </c>
    </row>
    <row r="197" spans="1:8" x14ac:dyDescent="0.3">
      <c r="A197" s="8">
        <v>43111.697025462963</v>
      </c>
      <c r="B197" s="20" t="s">
        <v>369</v>
      </c>
      <c r="C197" s="20" t="s">
        <v>833</v>
      </c>
      <c r="D197" s="137">
        <v>880000</v>
      </c>
      <c r="E197" s="20" t="s">
        <v>509</v>
      </c>
      <c r="F197" s="20" t="s">
        <v>351</v>
      </c>
      <c r="G197" s="8" t="str">
        <f t="shared" si="6"/>
        <v>STEWART MICHAEL</v>
      </c>
      <c r="H197" s="20" t="str">
        <f t="shared" si="7"/>
        <v>4012</v>
      </c>
    </row>
    <row r="198" spans="1:8" x14ac:dyDescent="0.3">
      <c r="A198" s="8">
        <v>43111.703634259262</v>
      </c>
      <c r="B198" s="20" t="s">
        <v>447</v>
      </c>
      <c r="C198" s="20" t="s">
        <v>834</v>
      </c>
      <c r="D198" s="137">
        <v>2550000</v>
      </c>
      <c r="E198" s="20" t="s">
        <v>785</v>
      </c>
      <c r="F198" s="20" t="s">
        <v>786</v>
      </c>
      <c r="G198" s="8" t="str">
        <f t="shared" si="6"/>
        <v>BADERTSCHER DIANE</v>
      </c>
      <c r="H198" s="20" t="str">
        <f t="shared" si="7"/>
        <v>4019</v>
      </c>
    </row>
    <row r="199" spans="1:8" x14ac:dyDescent="0.3">
      <c r="A199" s="8">
        <v>43111.706030092595</v>
      </c>
      <c r="B199" s="20" t="s">
        <v>698</v>
      </c>
      <c r="C199" s="20" t="s">
        <v>835</v>
      </c>
      <c r="D199" s="137">
        <v>1300000</v>
      </c>
      <c r="E199" s="20" t="s">
        <v>357</v>
      </c>
      <c r="F199" s="20" t="s">
        <v>358</v>
      </c>
      <c r="G199" s="8" t="str">
        <f t="shared" si="6"/>
        <v>LEVIN SCOTT</v>
      </c>
      <c r="H199" s="20" t="str">
        <f t="shared" si="7"/>
        <v>4042</v>
      </c>
    </row>
    <row r="200" spans="1:8" x14ac:dyDescent="0.3">
      <c r="A200" s="8">
        <v>43111.706574074073</v>
      </c>
      <c r="B200" s="20" t="s">
        <v>489</v>
      </c>
      <c r="C200" s="20" t="s">
        <v>679</v>
      </c>
      <c r="D200" s="137">
        <v>3130000</v>
      </c>
      <c r="E200" s="20" t="s">
        <v>545</v>
      </c>
      <c r="F200" s="20" t="s">
        <v>546</v>
      </c>
      <c r="G200" s="8" t="str">
        <f t="shared" si="6"/>
        <v>ZEWDU DEREJE</v>
      </c>
      <c r="H200" s="20" t="str">
        <f t="shared" si="7"/>
        <v>4013</v>
      </c>
    </row>
    <row r="201" spans="1:8" x14ac:dyDescent="0.3">
      <c r="A201" s="8">
        <v>43111.712881944448</v>
      </c>
      <c r="B201" s="20" t="s">
        <v>656</v>
      </c>
      <c r="C201" s="20" t="s">
        <v>836</v>
      </c>
      <c r="D201" s="137">
        <v>2000000</v>
      </c>
      <c r="E201" s="20" t="s">
        <v>392</v>
      </c>
      <c r="F201" s="20" t="s">
        <v>393</v>
      </c>
      <c r="G201" s="8" t="str">
        <f t="shared" si="6"/>
        <v>STAMBAUGH JAMES</v>
      </c>
      <c r="H201" s="20" t="str">
        <f t="shared" si="7"/>
        <v>4006</v>
      </c>
    </row>
    <row r="202" spans="1:8" x14ac:dyDescent="0.3">
      <c r="A202" s="26">
        <v>43111.714050925926</v>
      </c>
      <c r="B202" s="20" t="s">
        <v>689</v>
      </c>
      <c r="C202" s="20" t="s">
        <v>837</v>
      </c>
      <c r="D202" s="137">
        <v>2540000</v>
      </c>
      <c r="E202" s="20" t="s">
        <v>571</v>
      </c>
      <c r="F202" s="20" t="s">
        <v>572</v>
      </c>
      <c r="G202" s="8" t="str">
        <f t="shared" si="6"/>
        <v>MCREYNOLDS KYLE</v>
      </c>
      <c r="H202" s="20" t="str">
        <f t="shared" si="7"/>
        <v>4064</v>
      </c>
    </row>
    <row r="203" spans="1:8" x14ac:dyDescent="0.3">
      <c r="A203" s="8">
        <v>43111.715787037036</v>
      </c>
      <c r="B203" s="20" t="s">
        <v>709</v>
      </c>
      <c r="C203" s="20" t="s">
        <v>838</v>
      </c>
      <c r="D203" s="137">
        <v>2420000</v>
      </c>
      <c r="E203" s="20" t="s">
        <v>569</v>
      </c>
      <c r="F203" s="20" t="s">
        <v>570</v>
      </c>
      <c r="G203" s="8" t="str">
        <f t="shared" si="6"/>
        <v>HOLCOMB KAMDEN</v>
      </c>
      <c r="H203" s="20" t="str">
        <f t="shared" si="7"/>
        <v>4021</v>
      </c>
    </row>
    <row r="204" spans="1:8" x14ac:dyDescent="0.3">
      <c r="A204" s="8">
        <v>43111.71638888889</v>
      </c>
      <c r="B204" s="20" t="s">
        <v>660</v>
      </c>
      <c r="C204" s="20" t="s">
        <v>839</v>
      </c>
      <c r="D204" s="137">
        <v>2140000</v>
      </c>
      <c r="E204" s="20" t="s">
        <v>788</v>
      </c>
      <c r="F204" s="20" t="s">
        <v>789</v>
      </c>
      <c r="G204" s="8" t="str">
        <f t="shared" si="6"/>
        <v>ROBINSON KADDIBA</v>
      </c>
      <c r="H204" s="20" t="str">
        <f t="shared" si="7"/>
        <v>4034</v>
      </c>
    </row>
    <row r="205" spans="1:8" x14ac:dyDescent="0.3">
      <c r="A205" s="8">
        <v>43111.724120370367</v>
      </c>
      <c r="B205" s="20" t="s">
        <v>350</v>
      </c>
      <c r="C205" s="20" t="s">
        <v>840</v>
      </c>
      <c r="D205" s="137">
        <v>1770000</v>
      </c>
      <c r="E205" s="20" t="s">
        <v>543</v>
      </c>
      <c r="F205" s="20" t="s">
        <v>544</v>
      </c>
      <c r="G205" s="8" t="str">
        <f t="shared" si="6"/>
        <v>BRUDER RICHARD</v>
      </c>
      <c r="H205" s="20" t="str">
        <f t="shared" si="7"/>
        <v>4055</v>
      </c>
    </row>
    <row r="206" spans="1:8" x14ac:dyDescent="0.3">
      <c r="A206" s="8">
        <v>43111.726342592592</v>
      </c>
      <c r="B206" s="20" t="s">
        <v>649</v>
      </c>
      <c r="C206" s="20" t="s">
        <v>841</v>
      </c>
      <c r="D206" s="137">
        <v>2000000</v>
      </c>
      <c r="E206" s="20" t="s">
        <v>392</v>
      </c>
      <c r="F206" s="20" t="s">
        <v>393</v>
      </c>
      <c r="G206" s="8" t="str">
        <f t="shared" si="6"/>
        <v>STAMBAUGH JAMES</v>
      </c>
      <c r="H206" s="20" t="str">
        <f t="shared" si="7"/>
        <v>4005</v>
      </c>
    </row>
    <row r="207" spans="1:8" x14ac:dyDescent="0.3">
      <c r="A207" s="8">
        <v>43111.726388888892</v>
      </c>
      <c r="B207" s="20" t="s">
        <v>706</v>
      </c>
      <c r="C207" s="20" t="s">
        <v>842</v>
      </c>
      <c r="D207" s="137">
        <v>3840000</v>
      </c>
      <c r="E207" s="20" t="s">
        <v>510</v>
      </c>
      <c r="F207" s="20" t="s">
        <v>511</v>
      </c>
      <c r="G207" s="8" t="str">
        <f t="shared" si="6"/>
        <v>LONG FULLER</v>
      </c>
      <c r="H207" s="20" t="str">
        <f t="shared" si="7"/>
        <v>4016</v>
      </c>
    </row>
    <row r="208" spans="1:8" x14ac:dyDescent="0.3">
      <c r="A208" s="8">
        <v>43111.731180555558</v>
      </c>
      <c r="B208" s="20" t="s">
        <v>370</v>
      </c>
      <c r="C208" s="20" t="s">
        <v>843</v>
      </c>
      <c r="D208" s="137">
        <v>880000</v>
      </c>
      <c r="E208" s="20" t="s">
        <v>509</v>
      </c>
      <c r="F208" s="20" t="s">
        <v>351</v>
      </c>
      <c r="G208" s="8" t="str">
        <f t="shared" si="6"/>
        <v>STEWART MICHAEL</v>
      </c>
      <c r="H208" s="20" t="str">
        <f t="shared" si="7"/>
        <v>4011</v>
      </c>
    </row>
    <row r="209" spans="1:8" x14ac:dyDescent="0.3">
      <c r="A209" s="8">
        <v>43111.73165509259</v>
      </c>
      <c r="B209" s="20" t="s">
        <v>701</v>
      </c>
      <c r="C209" s="20" t="s">
        <v>844</v>
      </c>
      <c r="D209" s="137">
        <v>3130000</v>
      </c>
      <c r="E209" s="20" t="s">
        <v>545</v>
      </c>
      <c r="F209" s="20" t="s">
        <v>546</v>
      </c>
      <c r="G209" s="8" t="str">
        <f t="shared" si="6"/>
        <v>ZEWDU DEREJE</v>
      </c>
      <c r="H209" s="20" t="str">
        <f t="shared" si="7"/>
        <v>4014</v>
      </c>
    </row>
    <row r="210" spans="1:8" x14ac:dyDescent="0.3">
      <c r="A210" s="8">
        <v>43111.737951388888</v>
      </c>
      <c r="B210" s="20" t="s">
        <v>658</v>
      </c>
      <c r="C210" s="20" t="s">
        <v>845</v>
      </c>
      <c r="D210" s="137">
        <v>1300000</v>
      </c>
      <c r="E210" s="20" t="s">
        <v>357</v>
      </c>
      <c r="F210" s="20" t="s">
        <v>358</v>
      </c>
      <c r="G210" s="8" t="str">
        <f t="shared" si="6"/>
        <v>LEVIN SCOTT</v>
      </c>
      <c r="H210" s="20" t="str">
        <f t="shared" si="7"/>
        <v>4041</v>
      </c>
    </row>
    <row r="211" spans="1:8" x14ac:dyDescent="0.3">
      <c r="A211" s="8">
        <v>43111.738125000003</v>
      </c>
      <c r="B211" s="20" t="s">
        <v>448</v>
      </c>
      <c r="C211" s="20" t="s">
        <v>846</v>
      </c>
      <c r="D211" s="137">
        <v>890000</v>
      </c>
      <c r="E211" s="20" t="s">
        <v>343</v>
      </c>
      <c r="F211" s="20" t="s">
        <v>344</v>
      </c>
      <c r="G211" s="8" t="str">
        <f t="shared" si="6"/>
        <v>LOZA FIDEL</v>
      </c>
      <c r="H211" s="20" t="str">
        <f t="shared" si="7"/>
        <v>4020</v>
      </c>
    </row>
    <row r="212" spans="1:8" x14ac:dyDescent="0.3">
      <c r="A212" s="8">
        <v>43111.742222222223</v>
      </c>
      <c r="B212" s="20" t="s">
        <v>674</v>
      </c>
      <c r="C212" s="20" t="s">
        <v>847</v>
      </c>
      <c r="D212" s="137">
        <v>3700000</v>
      </c>
      <c r="E212" s="20" t="s">
        <v>438</v>
      </c>
      <c r="F212" s="20" t="s">
        <v>368</v>
      </c>
      <c r="G212" s="8" t="str">
        <f t="shared" si="6"/>
        <v>AUSTIN THOMPSON</v>
      </c>
      <c r="H212" s="20" t="str">
        <f t="shared" si="7"/>
        <v>4031</v>
      </c>
    </row>
    <row r="213" spans="1:8" x14ac:dyDescent="0.3">
      <c r="A213" s="8">
        <v>43111.747546296298</v>
      </c>
      <c r="B213" s="20" t="s">
        <v>383</v>
      </c>
      <c r="C213" s="20" t="s">
        <v>848</v>
      </c>
      <c r="D213" s="137">
        <v>2420000</v>
      </c>
      <c r="E213" s="20" t="s">
        <v>569</v>
      </c>
      <c r="F213" s="20" t="s">
        <v>570</v>
      </c>
      <c r="G213" s="8" t="str">
        <f t="shared" si="6"/>
        <v>HOLCOMB KAMDEN</v>
      </c>
      <c r="H213" s="20" t="str">
        <f t="shared" si="7"/>
        <v>4022</v>
      </c>
    </row>
    <row r="214" spans="1:8" x14ac:dyDescent="0.3">
      <c r="A214" s="8">
        <v>43111.748090277775</v>
      </c>
      <c r="B214" s="20" t="s">
        <v>489</v>
      </c>
      <c r="C214" s="20" t="s">
        <v>849</v>
      </c>
      <c r="D214" s="137">
        <v>3130000</v>
      </c>
      <c r="E214" s="20" t="s">
        <v>545</v>
      </c>
      <c r="F214" s="20" t="s">
        <v>546</v>
      </c>
      <c r="G214" s="8" t="str">
        <f t="shared" si="6"/>
        <v>ZEWDU DEREJE</v>
      </c>
      <c r="H214" s="20" t="str">
        <f t="shared" si="7"/>
        <v>4013</v>
      </c>
    </row>
    <row r="215" spans="1:8" x14ac:dyDescent="0.3">
      <c r="A215" s="8">
        <v>43111.751770833333</v>
      </c>
      <c r="B215" s="20" t="s">
        <v>656</v>
      </c>
      <c r="C215" s="20" t="s">
        <v>680</v>
      </c>
      <c r="D215" s="137">
        <v>2000000</v>
      </c>
      <c r="E215" s="20" t="s">
        <v>392</v>
      </c>
      <c r="F215" s="20" t="s">
        <v>393</v>
      </c>
      <c r="G215" s="8" t="str">
        <f t="shared" si="6"/>
        <v>STAMBAUGH JAMES</v>
      </c>
      <c r="H215" s="20" t="str">
        <f t="shared" si="7"/>
        <v>4006</v>
      </c>
    </row>
    <row r="216" spans="1:8" x14ac:dyDescent="0.3">
      <c r="A216" s="8">
        <v>43111.755729166667</v>
      </c>
      <c r="B216" s="20" t="s">
        <v>468</v>
      </c>
      <c r="C216" s="20" t="s">
        <v>850</v>
      </c>
      <c r="D216" s="137">
        <v>3340000</v>
      </c>
      <c r="E216" s="20" t="s">
        <v>851</v>
      </c>
      <c r="F216" s="20" t="s">
        <v>852</v>
      </c>
      <c r="G216" s="8" t="str">
        <f t="shared" si="6"/>
        <v>ELBAUM MIKE</v>
      </c>
      <c r="H216" s="20" t="str">
        <f t="shared" si="7"/>
        <v>4056</v>
      </c>
    </row>
    <row r="217" spans="1:8" x14ac:dyDescent="0.3">
      <c r="A217" s="8">
        <v>43111.756203703706</v>
      </c>
      <c r="B217" s="20" t="s">
        <v>453</v>
      </c>
      <c r="C217" s="20" t="s">
        <v>853</v>
      </c>
      <c r="D217" s="137">
        <v>2140000</v>
      </c>
      <c r="E217" s="20" t="s">
        <v>788</v>
      </c>
      <c r="F217" s="20" t="s">
        <v>789</v>
      </c>
      <c r="G217" s="8" t="str">
        <f t="shared" si="6"/>
        <v>ROBINSON KADDIBA</v>
      </c>
      <c r="H217" s="20" t="str">
        <f t="shared" si="7"/>
        <v>4033</v>
      </c>
    </row>
    <row r="218" spans="1:8" x14ac:dyDescent="0.3">
      <c r="A218" s="8">
        <v>43111.760648148149</v>
      </c>
      <c r="B218" s="20" t="s">
        <v>677</v>
      </c>
      <c r="C218" s="20" t="s">
        <v>854</v>
      </c>
      <c r="D218" s="137">
        <v>3840000</v>
      </c>
      <c r="E218" s="20" t="s">
        <v>510</v>
      </c>
      <c r="F218" s="20" t="s">
        <v>511</v>
      </c>
      <c r="G218" s="8" t="str">
        <f t="shared" si="6"/>
        <v>LONG FULLER</v>
      </c>
      <c r="H218" s="20" t="str">
        <f t="shared" si="7"/>
        <v>4015</v>
      </c>
    </row>
    <row r="219" spans="1:8" x14ac:dyDescent="0.3">
      <c r="A219" s="8">
        <v>43111.767465277779</v>
      </c>
      <c r="B219" s="20" t="s">
        <v>369</v>
      </c>
      <c r="C219" s="20" t="s">
        <v>855</v>
      </c>
      <c r="D219" s="137">
        <v>3320000</v>
      </c>
      <c r="E219" s="20" t="s">
        <v>362</v>
      </c>
      <c r="F219" s="20" t="s">
        <v>363</v>
      </c>
      <c r="G219" s="8" t="str">
        <f t="shared" si="6"/>
        <v>NICHOLSON WESLEY</v>
      </c>
      <c r="H219" s="20" t="str">
        <f t="shared" si="7"/>
        <v>4012</v>
      </c>
    </row>
    <row r="220" spans="1:8" x14ac:dyDescent="0.3">
      <c r="A220" s="8">
        <v>43111.769652777781</v>
      </c>
      <c r="B220" s="20" t="s">
        <v>701</v>
      </c>
      <c r="C220" s="20" t="s">
        <v>856</v>
      </c>
      <c r="D220" s="137">
        <v>3130000</v>
      </c>
      <c r="E220" s="20" t="s">
        <v>545</v>
      </c>
      <c r="F220" s="20" t="s">
        <v>546</v>
      </c>
      <c r="G220" s="8" t="str">
        <f t="shared" si="6"/>
        <v>ZEWDU DEREJE</v>
      </c>
      <c r="H220" s="20" t="str">
        <f t="shared" si="7"/>
        <v>4014</v>
      </c>
    </row>
    <row r="221" spans="1:8" x14ac:dyDescent="0.3">
      <c r="A221" s="8">
        <v>43111.769976851851</v>
      </c>
      <c r="B221" s="20" t="s">
        <v>649</v>
      </c>
      <c r="C221" s="20" t="s">
        <v>857</v>
      </c>
      <c r="D221" s="137">
        <v>2000000</v>
      </c>
      <c r="E221" s="20" t="s">
        <v>392</v>
      </c>
      <c r="F221" s="20" t="s">
        <v>393</v>
      </c>
      <c r="G221" s="8" t="str">
        <f t="shared" si="6"/>
        <v>STAMBAUGH JAMES</v>
      </c>
      <c r="H221" s="20" t="str">
        <f t="shared" si="7"/>
        <v>4005</v>
      </c>
    </row>
    <row r="222" spans="1:8" x14ac:dyDescent="0.3">
      <c r="A222" s="8">
        <v>43111.777499999997</v>
      </c>
      <c r="B222" s="20" t="s">
        <v>447</v>
      </c>
      <c r="C222" s="20" t="s">
        <v>858</v>
      </c>
      <c r="D222" s="137">
        <v>890000</v>
      </c>
      <c r="E222" s="20" t="s">
        <v>343</v>
      </c>
      <c r="F222" s="20" t="s">
        <v>344</v>
      </c>
      <c r="G222" s="8" t="str">
        <f t="shared" si="6"/>
        <v>LOZA FIDEL</v>
      </c>
      <c r="H222" s="20" t="str">
        <f t="shared" si="7"/>
        <v>4019</v>
      </c>
    </row>
    <row r="223" spans="1:8" x14ac:dyDescent="0.3">
      <c r="A223" s="8">
        <v>43111.777662037035</v>
      </c>
      <c r="B223" s="20" t="s">
        <v>698</v>
      </c>
      <c r="C223" s="20" t="s">
        <v>859</v>
      </c>
      <c r="D223" s="137">
        <v>1300000</v>
      </c>
      <c r="E223" s="20" t="s">
        <v>357</v>
      </c>
      <c r="F223" s="20" t="s">
        <v>358</v>
      </c>
      <c r="G223" s="8" t="str">
        <f t="shared" si="6"/>
        <v>LEVIN SCOTT</v>
      </c>
      <c r="H223" s="20" t="str">
        <f t="shared" si="7"/>
        <v>4042</v>
      </c>
    </row>
    <row r="224" spans="1:8" x14ac:dyDescent="0.3">
      <c r="A224" s="8">
        <v>43111.786319444444</v>
      </c>
      <c r="B224" t="s">
        <v>709</v>
      </c>
      <c r="C224" t="s">
        <v>860</v>
      </c>
      <c r="D224" s="137">
        <v>2420000</v>
      </c>
      <c r="E224" t="s">
        <v>569</v>
      </c>
      <c r="F224" s="20" t="s">
        <v>570</v>
      </c>
      <c r="G224" s="8" t="str">
        <f t="shared" si="6"/>
        <v>HOLCOMB KAMDEN</v>
      </c>
      <c r="H224" s="20" t="str">
        <f t="shared" si="7"/>
        <v>4021</v>
      </c>
    </row>
    <row r="225" spans="1:8" x14ac:dyDescent="0.3">
      <c r="A225" s="8">
        <v>43111.787465277775</v>
      </c>
      <c r="B225" t="s">
        <v>350</v>
      </c>
      <c r="C225" t="s">
        <v>861</v>
      </c>
      <c r="D225" s="137">
        <v>3340000</v>
      </c>
      <c r="E225" t="s">
        <v>851</v>
      </c>
      <c r="F225" s="20" t="s">
        <v>852</v>
      </c>
      <c r="G225" s="8" t="str">
        <f t="shared" si="6"/>
        <v>ELBAUM MIKE</v>
      </c>
      <c r="H225" s="20" t="str">
        <f t="shared" si="7"/>
        <v>4055</v>
      </c>
    </row>
    <row r="226" spans="1:8" x14ac:dyDescent="0.3">
      <c r="A226" s="8">
        <v>43111.788078703707</v>
      </c>
      <c r="B226" t="s">
        <v>660</v>
      </c>
      <c r="C226" t="s">
        <v>862</v>
      </c>
      <c r="D226" s="137">
        <v>3810000</v>
      </c>
      <c r="E226" t="s">
        <v>512</v>
      </c>
      <c r="F226" s="20" t="s">
        <v>513</v>
      </c>
      <c r="G226" s="8" t="str">
        <f t="shared" si="6"/>
        <v>LORI SANTOS</v>
      </c>
      <c r="H226" s="20" t="str">
        <f t="shared" si="7"/>
        <v>4034</v>
      </c>
    </row>
    <row r="227" spans="1:8" x14ac:dyDescent="0.3">
      <c r="A227" s="8">
        <v>43111.79005787037</v>
      </c>
      <c r="B227" t="s">
        <v>489</v>
      </c>
      <c r="C227" t="s">
        <v>863</v>
      </c>
      <c r="D227" s="137">
        <v>3130000</v>
      </c>
      <c r="E227" t="s">
        <v>545</v>
      </c>
      <c r="F227" s="20" t="s">
        <v>546</v>
      </c>
      <c r="G227" s="8" t="str">
        <f t="shared" si="6"/>
        <v>ZEWDU DEREJE</v>
      </c>
      <c r="H227" s="20" t="str">
        <f t="shared" si="7"/>
        <v>4013</v>
      </c>
    </row>
    <row r="228" spans="1:8" x14ac:dyDescent="0.3">
      <c r="A228" s="8">
        <v>43111.79488425926</v>
      </c>
      <c r="B228" t="s">
        <v>656</v>
      </c>
      <c r="C228" t="s">
        <v>864</v>
      </c>
      <c r="D228" s="137">
        <v>2000000</v>
      </c>
      <c r="E228" t="s">
        <v>392</v>
      </c>
      <c r="F228" s="20" t="s">
        <v>393</v>
      </c>
      <c r="G228" s="8" t="str">
        <f t="shared" si="6"/>
        <v>STAMBAUGH JAMES</v>
      </c>
      <c r="H228" s="20" t="str">
        <f t="shared" si="7"/>
        <v>4006</v>
      </c>
    </row>
    <row r="229" spans="1:8" x14ac:dyDescent="0.3">
      <c r="A229" s="8">
        <v>43111.799212962964</v>
      </c>
      <c r="B229" t="s">
        <v>706</v>
      </c>
      <c r="C229" t="s">
        <v>865</v>
      </c>
      <c r="D229" s="137">
        <v>3840000</v>
      </c>
      <c r="E229" t="s">
        <v>510</v>
      </c>
      <c r="F229" s="20" t="s">
        <v>511</v>
      </c>
      <c r="G229" s="8" t="str">
        <f t="shared" si="6"/>
        <v>LONG FULLER</v>
      </c>
      <c r="H229" s="20" t="str">
        <f t="shared" si="7"/>
        <v>4016</v>
      </c>
    </row>
    <row r="230" spans="1:8" x14ac:dyDescent="0.3">
      <c r="A230" s="8">
        <v>43111.80059027778</v>
      </c>
      <c r="B230" t="s">
        <v>370</v>
      </c>
      <c r="C230" t="s">
        <v>866</v>
      </c>
      <c r="D230" s="137">
        <v>3320000</v>
      </c>
      <c r="E230" t="s">
        <v>362</v>
      </c>
      <c r="F230" s="20" t="s">
        <v>363</v>
      </c>
      <c r="G230" s="8" t="str">
        <f t="shared" si="6"/>
        <v>NICHOLSON WESLEY</v>
      </c>
      <c r="H230" s="20" t="str">
        <f t="shared" si="7"/>
        <v>4011</v>
      </c>
    </row>
    <row r="231" spans="1:8" x14ac:dyDescent="0.3">
      <c r="A231" s="8">
        <v>43111.809386574074</v>
      </c>
      <c r="B231" t="s">
        <v>649</v>
      </c>
      <c r="C231" t="s">
        <v>867</v>
      </c>
      <c r="D231" s="137">
        <v>2000000</v>
      </c>
      <c r="E231" t="s">
        <v>392</v>
      </c>
      <c r="F231" s="20" t="s">
        <v>393</v>
      </c>
      <c r="G231" s="8" t="str">
        <f t="shared" si="6"/>
        <v>STAMBAUGH JAMES</v>
      </c>
      <c r="H231" s="20" t="str">
        <f t="shared" si="7"/>
        <v>4005</v>
      </c>
    </row>
    <row r="232" spans="1:8" x14ac:dyDescent="0.3">
      <c r="A232" s="8">
        <v>43111.810856481483</v>
      </c>
      <c r="B232" t="s">
        <v>448</v>
      </c>
      <c r="C232" t="s">
        <v>868</v>
      </c>
      <c r="D232" s="137">
        <v>890000</v>
      </c>
      <c r="E232" t="s">
        <v>343</v>
      </c>
      <c r="F232" s="20" t="s">
        <v>344</v>
      </c>
      <c r="G232" s="8" t="str">
        <f t="shared" si="6"/>
        <v>LOZA FIDEL</v>
      </c>
      <c r="H232" s="20" t="str">
        <f t="shared" si="7"/>
        <v>4020</v>
      </c>
    </row>
    <row r="233" spans="1:8" x14ac:dyDescent="0.3">
      <c r="A233" s="8">
        <v>43111.819374999999</v>
      </c>
      <c r="B233" t="s">
        <v>383</v>
      </c>
      <c r="C233" t="s">
        <v>869</v>
      </c>
      <c r="D233" s="137">
        <v>2420000</v>
      </c>
      <c r="E233" t="s">
        <v>569</v>
      </c>
      <c r="F233" s="20" t="s">
        <v>570</v>
      </c>
      <c r="G233" s="8" t="str">
        <f t="shared" si="6"/>
        <v>HOLCOMB KAMDEN</v>
      </c>
      <c r="H233" s="20" t="str">
        <f t="shared" si="7"/>
        <v>4022</v>
      </c>
    </row>
    <row r="234" spans="1:8" x14ac:dyDescent="0.3">
      <c r="A234" s="8">
        <v>43111.825879629629</v>
      </c>
      <c r="B234" t="s">
        <v>453</v>
      </c>
      <c r="C234" t="s">
        <v>870</v>
      </c>
      <c r="D234" s="137">
        <v>3810000</v>
      </c>
      <c r="E234" t="s">
        <v>512</v>
      </c>
      <c r="F234" s="20" t="s">
        <v>513</v>
      </c>
      <c r="G234" s="8" t="str">
        <f t="shared" si="6"/>
        <v>LORI SANTOS</v>
      </c>
      <c r="H234" s="20" t="str">
        <f t="shared" si="7"/>
        <v>4033</v>
      </c>
    </row>
    <row r="235" spans="1:8" x14ac:dyDescent="0.3">
      <c r="A235" s="8">
        <v>43111.826504629629</v>
      </c>
      <c r="B235" t="s">
        <v>468</v>
      </c>
      <c r="C235" t="s">
        <v>871</v>
      </c>
      <c r="D235" s="137">
        <v>3340000</v>
      </c>
      <c r="E235" t="s">
        <v>851</v>
      </c>
      <c r="F235" s="20" t="s">
        <v>852</v>
      </c>
      <c r="G235" s="8" t="str">
        <f t="shared" si="6"/>
        <v>ELBAUM MIKE</v>
      </c>
      <c r="H235" s="20" t="str">
        <f t="shared" si="7"/>
        <v>4056</v>
      </c>
    </row>
    <row r="236" spans="1:8" x14ac:dyDescent="0.3">
      <c r="A236" s="8">
        <v>43111.831342592595</v>
      </c>
      <c r="B236" t="s">
        <v>656</v>
      </c>
      <c r="C236" t="s">
        <v>681</v>
      </c>
      <c r="D236" s="137">
        <v>2000000</v>
      </c>
      <c r="E236" t="s">
        <v>392</v>
      </c>
      <c r="F236" s="20" t="s">
        <v>393</v>
      </c>
      <c r="G236" s="8" t="str">
        <f t="shared" si="6"/>
        <v>STAMBAUGH JAMES</v>
      </c>
      <c r="H236" s="20" t="str">
        <f t="shared" si="7"/>
        <v>4006</v>
      </c>
    </row>
    <row r="237" spans="1:8" x14ac:dyDescent="0.3">
      <c r="A237" s="8">
        <v>43111.832187499997</v>
      </c>
      <c r="B237" t="s">
        <v>656</v>
      </c>
      <c r="C237" t="s">
        <v>872</v>
      </c>
      <c r="D237" s="137">
        <v>2000000</v>
      </c>
      <c r="E237" t="s">
        <v>392</v>
      </c>
      <c r="F237" s="20" t="s">
        <v>393</v>
      </c>
      <c r="G237" s="8" t="str">
        <f t="shared" si="6"/>
        <v>STAMBAUGH JAMES</v>
      </c>
      <c r="H237" s="20" t="str">
        <f t="shared" si="7"/>
        <v>4006</v>
      </c>
    </row>
    <row r="238" spans="1:8" x14ac:dyDescent="0.3">
      <c r="A238" s="8">
        <v>43111.840555555558</v>
      </c>
      <c r="B238" t="s">
        <v>369</v>
      </c>
      <c r="C238" t="s">
        <v>873</v>
      </c>
      <c r="D238" s="137">
        <v>3320000</v>
      </c>
      <c r="E238" t="s">
        <v>362</v>
      </c>
      <c r="F238" s="20" t="s">
        <v>363</v>
      </c>
      <c r="G238" s="8" t="str">
        <f t="shared" si="6"/>
        <v>NICHOLSON WESLEY</v>
      </c>
      <c r="H238" s="20" t="str">
        <f t="shared" si="7"/>
        <v>4012</v>
      </c>
    </row>
    <row r="239" spans="1:8" x14ac:dyDescent="0.3">
      <c r="A239" s="8">
        <v>43111.850324074076</v>
      </c>
      <c r="B239" t="s">
        <v>447</v>
      </c>
      <c r="C239" t="s">
        <v>874</v>
      </c>
      <c r="D239" s="137">
        <v>890000</v>
      </c>
      <c r="E239" t="s">
        <v>343</v>
      </c>
      <c r="F239" s="20" t="s">
        <v>344</v>
      </c>
      <c r="G239" s="8" t="str">
        <f t="shared" si="6"/>
        <v>LOZA FIDEL</v>
      </c>
      <c r="H239" s="20" t="str">
        <f t="shared" si="7"/>
        <v>4019</v>
      </c>
    </row>
    <row r="240" spans="1:8" x14ac:dyDescent="0.3">
      <c r="A240" s="8">
        <v>43111.850763888891</v>
      </c>
      <c r="B240" t="s">
        <v>649</v>
      </c>
      <c r="C240" t="s">
        <v>681</v>
      </c>
      <c r="D240" s="137">
        <v>2000000</v>
      </c>
      <c r="E240" t="s">
        <v>392</v>
      </c>
      <c r="F240" s="20" t="s">
        <v>393</v>
      </c>
      <c r="G240" s="8" t="str">
        <f t="shared" si="6"/>
        <v>STAMBAUGH JAMES</v>
      </c>
      <c r="H240" s="20" t="str">
        <f t="shared" si="7"/>
        <v>4005</v>
      </c>
    </row>
    <row r="241" spans="1:8" x14ac:dyDescent="0.3">
      <c r="A241" s="8">
        <v>43111.859780092593</v>
      </c>
      <c r="B241" t="s">
        <v>350</v>
      </c>
      <c r="C241" t="s">
        <v>875</v>
      </c>
      <c r="D241" s="137">
        <v>3340000</v>
      </c>
      <c r="E241" t="s">
        <v>851</v>
      </c>
      <c r="F241" s="20" t="s">
        <v>852</v>
      </c>
      <c r="G241" s="8" t="str">
        <f t="shared" si="6"/>
        <v>ELBAUM MIKE</v>
      </c>
      <c r="H241" s="20" t="str">
        <f t="shared" si="7"/>
        <v>4055</v>
      </c>
    </row>
    <row r="242" spans="1:8" x14ac:dyDescent="0.3">
      <c r="A242" s="8">
        <v>43111.870092592595</v>
      </c>
      <c r="B242" t="s">
        <v>660</v>
      </c>
      <c r="C242" t="s">
        <v>876</v>
      </c>
      <c r="D242" s="137">
        <v>3810000</v>
      </c>
      <c r="E242" t="s">
        <v>512</v>
      </c>
      <c r="F242" s="20" t="s">
        <v>513</v>
      </c>
      <c r="G242" s="8" t="str">
        <f t="shared" si="6"/>
        <v>LORI SANTOS</v>
      </c>
      <c r="H242" s="20" t="str">
        <f t="shared" si="7"/>
        <v>4034</v>
      </c>
    </row>
    <row r="243" spans="1:8" x14ac:dyDescent="0.3">
      <c r="A243" s="8">
        <v>43111.870787037034</v>
      </c>
      <c r="B243" t="s">
        <v>350</v>
      </c>
      <c r="C243" t="s">
        <v>875</v>
      </c>
      <c r="D243" s="137">
        <v>3340000</v>
      </c>
      <c r="E243" t="s">
        <v>851</v>
      </c>
      <c r="F243" s="20" t="s">
        <v>852</v>
      </c>
      <c r="G243" s="8" t="str">
        <f t="shared" si="6"/>
        <v>ELBAUM MIKE</v>
      </c>
      <c r="H243" s="20" t="str">
        <f t="shared" si="7"/>
        <v>4055</v>
      </c>
    </row>
    <row r="244" spans="1:8" x14ac:dyDescent="0.3">
      <c r="A244" s="8">
        <v>43111.875787037039</v>
      </c>
      <c r="B244" t="s">
        <v>656</v>
      </c>
      <c r="C244" t="s">
        <v>877</v>
      </c>
      <c r="D244" s="137">
        <v>3670000</v>
      </c>
      <c r="E244" t="s">
        <v>381</v>
      </c>
      <c r="F244" s="20" t="s">
        <v>367</v>
      </c>
      <c r="G244" s="8" t="str">
        <f t="shared" si="6"/>
        <v>ANDREA WILLIAMS</v>
      </c>
      <c r="H244" s="20" t="str">
        <f t="shared" si="7"/>
        <v>4006</v>
      </c>
    </row>
    <row r="245" spans="1:8" x14ac:dyDescent="0.3">
      <c r="A245" s="8">
        <v>43111.881782407407</v>
      </c>
      <c r="B245" t="s">
        <v>370</v>
      </c>
      <c r="C245" t="s">
        <v>878</v>
      </c>
      <c r="D245" s="137">
        <v>3320000</v>
      </c>
      <c r="E245" t="s">
        <v>362</v>
      </c>
      <c r="F245" s="20" t="s">
        <v>363</v>
      </c>
      <c r="G245" s="8" t="str">
        <f t="shared" si="6"/>
        <v>NICHOLSON WESLEY</v>
      </c>
      <c r="H245" s="20" t="str">
        <f t="shared" si="7"/>
        <v>4011</v>
      </c>
    </row>
    <row r="246" spans="1:8" x14ac:dyDescent="0.3">
      <c r="A246" s="8">
        <v>43111.894259259258</v>
      </c>
      <c r="B246" t="s">
        <v>649</v>
      </c>
      <c r="C246" t="s">
        <v>879</v>
      </c>
      <c r="D246" s="137">
        <v>3670000</v>
      </c>
      <c r="E246" t="s">
        <v>381</v>
      </c>
      <c r="F246" s="20" t="s">
        <v>367</v>
      </c>
      <c r="G246" s="8" t="str">
        <f t="shared" si="6"/>
        <v>ANDREA WILLIAMS</v>
      </c>
      <c r="H246" s="20" t="str">
        <f t="shared" si="7"/>
        <v>4005</v>
      </c>
    </row>
    <row r="247" spans="1:8" x14ac:dyDescent="0.3">
      <c r="A247" s="8">
        <v>43111.899907407409</v>
      </c>
      <c r="B247" t="s">
        <v>468</v>
      </c>
      <c r="C247" t="s">
        <v>880</v>
      </c>
      <c r="D247" s="137">
        <v>3340000</v>
      </c>
      <c r="E247" t="s">
        <v>851</v>
      </c>
      <c r="F247" s="20" t="s">
        <v>852</v>
      </c>
      <c r="G247" s="8" t="str">
        <f t="shared" si="6"/>
        <v>ELBAUM MIKE</v>
      </c>
      <c r="H247" s="20" t="str">
        <f t="shared" si="7"/>
        <v>4056</v>
      </c>
    </row>
    <row r="248" spans="1:8" x14ac:dyDescent="0.3">
      <c r="A248" s="8">
        <v>43111.90960648148</v>
      </c>
      <c r="B248" t="s">
        <v>453</v>
      </c>
      <c r="C248" t="s">
        <v>881</v>
      </c>
      <c r="D248" s="137">
        <v>3810000</v>
      </c>
      <c r="E248" t="s">
        <v>512</v>
      </c>
      <c r="F248" s="20" t="s">
        <v>513</v>
      </c>
      <c r="G248" s="8" t="str">
        <f t="shared" si="6"/>
        <v>LORI SANTOS</v>
      </c>
      <c r="H248" s="20" t="str">
        <f t="shared" si="7"/>
        <v>4033</v>
      </c>
    </row>
    <row r="249" spans="1:8" x14ac:dyDescent="0.3">
      <c r="A249" s="8">
        <v>43111.916006944448</v>
      </c>
      <c r="B249" t="s">
        <v>656</v>
      </c>
      <c r="C249" t="s">
        <v>882</v>
      </c>
      <c r="D249" s="137">
        <v>3670000</v>
      </c>
      <c r="E249" t="s">
        <v>381</v>
      </c>
      <c r="F249" s="20" t="s">
        <v>367</v>
      </c>
      <c r="G249" s="8" t="str">
        <f t="shared" si="6"/>
        <v>ANDREA WILLIAMS</v>
      </c>
      <c r="H249" s="20" t="str">
        <f t="shared" si="7"/>
        <v>4006</v>
      </c>
    </row>
    <row r="250" spans="1:8" x14ac:dyDescent="0.3">
      <c r="A250" s="8">
        <v>43111.930844907409</v>
      </c>
      <c r="B250" t="s">
        <v>369</v>
      </c>
      <c r="C250" t="s">
        <v>883</v>
      </c>
      <c r="D250" s="137">
        <v>3320000</v>
      </c>
      <c r="E250" t="s">
        <v>362</v>
      </c>
      <c r="F250" s="20" t="s">
        <v>363</v>
      </c>
      <c r="G250" s="8" t="str">
        <f t="shared" si="6"/>
        <v>NICHOLSON WESLEY</v>
      </c>
      <c r="H250" s="20" t="str">
        <f t="shared" si="7"/>
        <v>4012</v>
      </c>
    </row>
    <row r="251" spans="1:8" x14ac:dyDescent="0.3">
      <c r="A251" s="8">
        <v>43111.93582175926</v>
      </c>
      <c r="B251" t="s">
        <v>649</v>
      </c>
      <c r="C251" t="s">
        <v>884</v>
      </c>
      <c r="D251" s="137">
        <v>3670000</v>
      </c>
      <c r="E251" t="s">
        <v>381</v>
      </c>
      <c r="F251" s="20" t="s">
        <v>367</v>
      </c>
      <c r="G251" s="8" t="str">
        <f t="shared" si="6"/>
        <v>ANDREA WILLIAMS</v>
      </c>
      <c r="H251" s="20" t="str">
        <f t="shared" si="7"/>
        <v>4005</v>
      </c>
    </row>
    <row r="252" spans="1:8" x14ac:dyDescent="0.3">
      <c r="A252" s="8">
        <v>43111.936585648145</v>
      </c>
      <c r="B252" t="s">
        <v>447</v>
      </c>
      <c r="C252" t="s">
        <v>885</v>
      </c>
      <c r="D252" s="137">
        <v>890000</v>
      </c>
      <c r="E252" t="s">
        <v>343</v>
      </c>
      <c r="F252" s="20" t="s">
        <v>344</v>
      </c>
      <c r="G252" s="8" t="str">
        <f t="shared" si="6"/>
        <v>LOZA FIDEL</v>
      </c>
      <c r="H252" s="20" t="str">
        <f t="shared" si="7"/>
        <v>4019</v>
      </c>
    </row>
    <row r="253" spans="1:8" x14ac:dyDescent="0.3">
      <c r="A253" s="8">
        <v>43111.945138888892</v>
      </c>
      <c r="B253" t="s">
        <v>350</v>
      </c>
      <c r="C253" t="s">
        <v>886</v>
      </c>
      <c r="D253" s="137">
        <v>3340000</v>
      </c>
      <c r="E253" t="s">
        <v>851</v>
      </c>
      <c r="F253" s="20" t="s">
        <v>852</v>
      </c>
      <c r="G253" s="8" t="str">
        <f t="shared" si="6"/>
        <v>ELBAUM MIKE</v>
      </c>
      <c r="H253" s="20" t="str">
        <f t="shared" si="7"/>
        <v>4055</v>
      </c>
    </row>
    <row r="254" spans="1:8" x14ac:dyDescent="0.3">
      <c r="A254" s="8">
        <v>43111.956099537034</v>
      </c>
      <c r="B254" t="s">
        <v>660</v>
      </c>
      <c r="C254" t="s">
        <v>887</v>
      </c>
      <c r="D254" s="137">
        <v>3810000</v>
      </c>
      <c r="E254" t="s">
        <v>512</v>
      </c>
      <c r="F254" s="20" t="s">
        <v>513</v>
      </c>
      <c r="G254" s="8" t="str">
        <f t="shared" si="6"/>
        <v>LORI SANTOS</v>
      </c>
      <c r="H254" s="20" t="str">
        <f t="shared" si="7"/>
        <v>4034</v>
      </c>
    </row>
    <row r="255" spans="1:8" x14ac:dyDescent="0.3">
      <c r="A255" s="8">
        <v>43111.961875000001</v>
      </c>
      <c r="B255" t="s">
        <v>656</v>
      </c>
      <c r="C255" t="s">
        <v>682</v>
      </c>
      <c r="D255" s="137">
        <v>3670000</v>
      </c>
      <c r="E255" t="s">
        <v>381</v>
      </c>
      <c r="F255" s="20" t="s">
        <v>367</v>
      </c>
      <c r="G255" s="8" t="str">
        <f t="shared" si="6"/>
        <v>ANDREA WILLIAMS</v>
      </c>
      <c r="H255" s="20" t="str">
        <f t="shared" si="7"/>
        <v>4006</v>
      </c>
    </row>
    <row r="256" spans="1:8" x14ac:dyDescent="0.3">
      <c r="A256" s="8">
        <v>43111.967939814815</v>
      </c>
      <c r="B256" t="s">
        <v>448</v>
      </c>
      <c r="C256" t="s">
        <v>888</v>
      </c>
      <c r="D256" s="137">
        <v>890000</v>
      </c>
      <c r="E256" t="s">
        <v>343</v>
      </c>
      <c r="F256" s="20" t="s">
        <v>344</v>
      </c>
      <c r="G256" s="8" t="str">
        <f t="shared" si="6"/>
        <v>LOZA FIDEL</v>
      </c>
      <c r="H256" s="20" t="str">
        <f t="shared" si="7"/>
        <v>4020</v>
      </c>
    </row>
    <row r="257" spans="1:8" x14ac:dyDescent="0.3">
      <c r="A257" s="8">
        <v>43111.973993055559</v>
      </c>
      <c r="B257" t="s">
        <v>370</v>
      </c>
      <c r="C257" t="s">
        <v>889</v>
      </c>
      <c r="D257" s="137">
        <v>3320000</v>
      </c>
      <c r="E257" t="s">
        <v>362</v>
      </c>
      <c r="F257" s="20" t="s">
        <v>363</v>
      </c>
      <c r="G257" s="8" t="str">
        <f t="shared" si="6"/>
        <v>NICHOLSON WESLEY</v>
      </c>
      <c r="H257" s="20" t="str">
        <f t="shared" si="7"/>
        <v>4011</v>
      </c>
    </row>
    <row r="258" spans="1:8" x14ac:dyDescent="0.3">
      <c r="A258" s="8">
        <v>43111.977037037039</v>
      </c>
      <c r="B258" t="s">
        <v>649</v>
      </c>
      <c r="C258" t="s">
        <v>890</v>
      </c>
      <c r="D258" s="137">
        <v>3670000</v>
      </c>
      <c r="E258" t="s">
        <v>381</v>
      </c>
      <c r="F258" s="20" t="s">
        <v>367</v>
      </c>
      <c r="G258" s="8" t="str">
        <f t="shared" si="6"/>
        <v>ANDREA WILLIAMS</v>
      </c>
      <c r="H258" s="20" t="str">
        <f t="shared" si="7"/>
        <v>4005</v>
      </c>
    </row>
    <row r="259" spans="1:8" x14ac:dyDescent="0.3">
      <c r="A259" s="8">
        <v>43111.989166666666</v>
      </c>
      <c r="B259" t="s">
        <v>468</v>
      </c>
      <c r="C259" t="s">
        <v>891</v>
      </c>
      <c r="D259" s="137">
        <v>3340000</v>
      </c>
      <c r="E259" t="s">
        <v>851</v>
      </c>
      <c r="F259" s="20" t="s">
        <v>852</v>
      </c>
      <c r="G259" s="8" t="str">
        <f t="shared" ref="G259:G313" si="8">E259&amp;" "&amp;F259</f>
        <v>ELBAUM MIKE</v>
      </c>
      <c r="H259" s="20" t="str">
        <f t="shared" ref="H259:H313" si="9">MID(B259,13,4)</f>
        <v>4056</v>
      </c>
    </row>
    <row r="260" spans="1:8" x14ac:dyDescent="0.3">
      <c r="A260" s="8">
        <v>43111.995474537034</v>
      </c>
      <c r="B260" t="s">
        <v>453</v>
      </c>
      <c r="C260" t="s">
        <v>683</v>
      </c>
      <c r="D260" s="137">
        <v>3810000</v>
      </c>
      <c r="E260" t="s">
        <v>512</v>
      </c>
      <c r="F260" s="20" t="s">
        <v>513</v>
      </c>
      <c r="G260" s="8" t="str">
        <f t="shared" si="8"/>
        <v>LORI SANTOS</v>
      </c>
      <c r="H260" s="20" t="str">
        <f t="shared" si="9"/>
        <v>4033</v>
      </c>
    </row>
    <row r="261" spans="1:8" x14ac:dyDescent="0.3">
      <c r="A261" s="8">
        <v>43112.007581018515</v>
      </c>
      <c r="B261" t="s">
        <v>369</v>
      </c>
      <c r="C261" t="s">
        <v>892</v>
      </c>
      <c r="D261" s="137">
        <v>3320000</v>
      </c>
      <c r="E261" t="s">
        <v>362</v>
      </c>
      <c r="F261" s="20" t="s">
        <v>363</v>
      </c>
      <c r="G261" s="8" t="str">
        <f t="shared" si="8"/>
        <v>NICHOLSON WESLEY</v>
      </c>
      <c r="H261" s="20" t="str">
        <f t="shared" si="9"/>
        <v>4012</v>
      </c>
    </row>
    <row r="262" spans="1:8" x14ac:dyDescent="0.3">
      <c r="A262" s="8">
        <v>43112.01666666667</v>
      </c>
      <c r="B262" t="s">
        <v>447</v>
      </c>
      <c r="C262" t="s">
        <v>893</v>
      </c>
      <c r="D262" s="137">
        <v>890000</v>
      </c>
      <c r="E262" t="s">
        <v>343</v>
      </c>
      <c r="F262" s="20" t="s">
        <v>344</v>
      </c>
      <c r="G262" s="8" t="str">
        <f t="shared" si="8"/>
        <v>LOZA FIDEL</v>
      </c>
      <c r="H262" s="20" t="str">
        <f t="shared" si="9"/>
        <v>4019</v>
      </c>
    </row>
    <row r="263" spans="1:8" x14ac:dyDescent="0.3">
      <c r="A263" s="8">
        <v>43112.025810185187</v>
      </c>
      <c r="B263" t="s">
        <v>350</v>
      </c>
      <c r="C263" t="s">
        <v>894</v>
      </c>
      <c r="D263" s="137">
        <v>3340000</v>
      </c>
      <c r="E263" t="s">
        <v>851</v>
      </c>
      <c r="F263" s="20" t="s">
        <v>852</v>
      </c>
      <c r="G263" s="8" t="str">
        <f t="shared" si="8"/>
        <v>ELBAUM MIKE</v>
      </c>
      <c r="H263" s="20" t="str">
        <f t="shared" si="9"/>
        <v>4055</v>
      </c>
    </row>
    <row r="264" spans="1:8" x14ac:dyDescent="0.3">
      <c r="A264" s="8">
        <v>43112.028657407405</v>
      </c>
      <c r="B264" t="s">
        <v>660</v>
      </c>
      <c r="C264" t="s">
        <v>895</v>
      </c>
      <c r="D264" s="137">
        <v>3810000</v>
      </c>
      <c r="E264" t="s">
        <v>512</v>
      </c>
      <c r="F264" s="20" t="s">
        <v>513</v>
      </c>
      <c r="G264" s="8" t="str">
        <f t="shared" si="8"/>
        <v>LORI SANTOS</v>
      </c>
      <c r="H264" s="20" t="str">
        <f t="shared" si="9"/>
        <v>4034</v>
      </c>
    </row>
    <row r="265" spans="1:8" x14ac:dyDescent="0.3">
      <c r="A265" s="8">
        <v>43112.046782407408</v>
      </c>
      <c r="B265" t="s">
        <v>448</v>
      </c>
      <c r="C265" t="s">
        <v>896</v>
      </c>
      <c r="D265" s="137">
        <v>890000</v>
      </c>
      <c r="E265" t="s">
        <v>343</v>
      </c>
      <c r="F265" s="20" t="s">
        <v>344</v>
      </c>
      <c r="G265" s="8" t="str">
        <f t="shared" si="8"/>
        <v>LOZA FIDEL</v>
      </c>
      <c r="H265" s="20" t="str">
        <f t="shared" si="9"/>
        <v>4020</v>
      </c>
    </row>
    <row r="266" spans="1:8" x14ac:dyDescent="0.3">
      <c r="A266" s="8">
        <v>43112.056458333333</v>
      </c>
      <c r="B266" t="s">
        <v>370</v>
      </c>
      <c r="C266" t="s">
        <v>897</v>
      </c>
      <c r="D266" s="137">
        <v>3320000</v>
      </c>
      <c r="E266" t="s">
        <v>362</v>
      </c>
      <c r="F266" s="20" t="s">
        <v>363</v>
      </c>
      <c r="G266" s="8" t="str">
        <f t="shared" si="8"/>
        <v>NICHOLSON WESLEY</v>
      </c>
      <c r="H266" s="20" t="str">
        <f t="shared" si="9"/>
        <v>4011</v>
      </c>
    </row>
    <row r="267" spans="1:8" x14ac:dyDescent="0.3">
      <c r="A267" s="8">
        <v>43112.068252314813</v>
      </c>
      <c r="B267" t="s">
        <v>468</v>
      </c>
      <c r="C267" t="s">
        <v>898</v>
      </c>
      <c r="D267" s="137">
        <v>3340000</v>
      </c>
      <c r="E267" t="s">
        <v>851</v>
      </c>
      <c r="F267" s="20" t="s">
        <v>852</v>
      </c>
      <c r="G267" s="8" t="str">
        <f t="shared" si="8"/>
        <v>ELBAUM MIKE</v>
      </c>
      <c r="H267" s="20" t="str">
        <f t="shared" si="9"/>
        <v>4056</v>
      </c>
    </row>
    <row r="268" spans="1:8" x14ac:dyDescent="0.3">
      <c r="A268" s="8">
        <v>43112.091423611113</v>
      </c>
      <c r="B268" t="s">
        <v>369</v>
      </c>
      <c r="C268" t="s">
        <v>899</v>
      </c>
      <c r="D268" s="137">
        <v>3320000</v>
      </c>
      <c r="E268" t="s">
        <v>362</v>
      </c>
      <c r="F268" s="20" t="s">
        <v>363</v>
      </c>
      <c r="G268" s="8" t="str">
        <f t="shared" si="8"/>
        <v>NICHOLSON WESLEY</v>
      </c>
      <c r="H268" s="20" t="str">
        <f t="shared" si="9"/>
        <v>4012</v>
      </c>
    </row>
    <row r="269" spans="1:8" x14ac:dyDescent="0.3">
      <c r="A269" s="8">
        <v>43039.788460648146</v>
      </c>
      <c r="B269" t="s">
        <v>361</v>
      </c>
      <c r="C269" t="s">
        <v>396</v>
      </c>
      <c r="D269" s="137">
        <v>2000000</v>
      </c>
      <c r="E269" t="s">
        <v>392</v>
      </c>
      <c r="F269" s="20" t="s">
        <v>393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355</v>
      </c>
      <c r="C270" t="s">
        <v>397</v>
      </c>
      <c r="D270" s="137">
        <v>3500000</v>
      </c>
      <c r="E270" t="s">
        <v>375</v>
      </c>
      <c r="F270" s="20" t="s">
        <v>376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370</v>
      </c>
      <c r="C271" t="s">
        <v>398</v>
      </c>
      <c r="D271" s="137">
        <v>3320000</v>
      </c>
      <c r="E271" t="s">
        <v>362</v>
      </c>
      <c r="F271" s="20" t="s">
        <v>363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382</v>
      </c>
      <c r="C272" t="s">
        <v>399</v>
      </c>
      <c r="D272" s="137">
        <v>2610000</v>
      </c>
      <c r="E272" t="s">
        <v>379</v>
      </c>
      <c r="F272" s="20" t="s">
        <v>380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389</v>
      </c>
      <c r="C273" t="s">
        <v>400</v>
      </c>
      <c r="D273" s="137">
        <v>2630000</v>
      </c>
      <c r="E273" t="s">
        <v>371</v>
      </c>
      <c r="F273" s="20" t="s">
        <v>372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390</v>
      </c>
      <c r="C274" t="s">
        <v>401</v>
      </c>
      <c r="D274" s="137">
        <v>3670000</v>
      </c>
      <c r="E274" t="s">
        <v>381</v>
      </c>
      <c r="F274" s="20" t="s">
        <v>367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366</v>
      </c>
      <c r="C275" t="s">
        <v>402</v>
      </c>
      <c r="D275" s="137">
        <v>2040000</v>
      </c>
      <c r="E275" t="s">
        <v>394</v>
      </c>
      <c r="F275" s="20" t="s">
        <v>395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384</v>
      </c>
      <c r="C276" t="s">
        <v>403</v>
      </c>
      <c r="D276" s="137">
        <v>2610000</v>
      </c>
      <c r="E276" t="s">
        <v>379</v>
      </c>
      <c r="F276" s="20" t="s">
        <v>380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356</v>
      </c>
      <c r="C277" t="s">
        <v>404</v>
      </c>
      <c r="D277" s="137">
        <v>2230000</v>
      </c>
      <c r="E277" t="s">
        <v>391</v>
      </c>
      <c r="F277" s="20" t="s">
        <v>351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360</v>
      </c>
      <c r="C278" t="s">
        <v>405</v>
      </c>
      <c r="D278" s="137">
        <v>3500000</v>
      </c>
      <c r="E278" t="s">
        <v>375</v>
      </c>
      <c r="F278" s="20" t="s">
        <v>376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382</v>
      </c>
      <c r="C279" t="s">
        <v>406</v>
      </c>
      <c r="D279" s="137">
        <v>2970000</v>
      </c>
      <c r="E279" t="s">
        <v>373</v>
      </c>
      <c r="F279" s="20" t="s">
        <v>374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369</v>
      </c>
      <c r="C280" t="s">
        <v>407</v>
      </c>
      <c r="D280" s="137">
        <v>3320000</v>
      </c>
      <c r="E280" t="s">
        <v>362</v>
      </c>
      <c r="F280" s="20" t="s">
        <v>363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385</v>
      </c>
      <c r="C281" t="s">
        <v>386</v>
      </c>
      <c r="D281" s="137">
        <v>3670000</v>
      </c>
      <c r="E281" t="s">
        <v>381</v>
      </c>
      <c r="F281" s="20" t="s">
        <v>367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384</v>
      </c>
      <c r="C282" t="s">
        <v>408</v>
      </c>
      <c r="D282" s="137">
        <v>2970000</v>
      </c>
      <c r="E282" t="s">
        <v>373</v>
      </c>
      <c r="F282" s="20" t="s">
        <v>374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365</v>
      </c>
      <c r="C283" t="s">
        <v>409</v>
      </c>
      <c r="D283" s="137">
        <v>2040000</v>
      </c>
      <c r="E283" t="s">
        <v>394</v>
      </c>
      <c r="F283" s="20" t="s">
        <v>395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355</v>
      </c>
      <c r="C284" t="s">
        <v>410</v>
      </c>
      <c r="D284" s="137">
        <v>3500000</v>
      </c>
      <c r="E284" t="s">
        <v>375</v>
      </c>
      <c r="F284" s="20" t="s">
        <v>376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370</v>
      </c>
      <c r="C285" t="s">
        <v>411</v>
      </c>
      <c r="D285" s="137">
        <v>3320000</v>
      </c>
      <c r="E285" t="s">
        <v>362</v>
      </c>
      <c r="F285" s="20" t="s">
        <v>363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382</v>
      </c>
      <c r="C286" t="s">
        <v>412</v>
      </c>
      <c r="D286" s="137">
        <v>2000000</v>
      </c>
      <c r="E286" t="s">
        <v>392</v>
      </c>
      <c r="F286" s="20" t="s">
        <v>393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382</v>
      </c>
      <c r="C287" t="s">
        <v>412</v>
      </c>
      <c r="D287" s="137">
        <v>2000000</v>
      </c>
      <c r="E287" t="s">
        <v>392</v>
      </c>
      <c r="F287" s="20" t="s">
        <v>393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390</v>
      </c>
      <c r="C288" t="s">
        <v>413</v>
      </c>
      <c r="D288" s="137">
        <v>3670000</v>
      </c>
      <c r="E288" t="s">
        <v>381</v>
      </c>
      <c r="F288" s="20" t="s">
        <v>367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366</v>
      </c>
      <c r="C289" t="s">
        <v>414</v>
      </c>
      <c r="D289" s="137">
        <v>2040000</v>
      </c>
      <c r="E289" t="s">
        <v>394</v>
      </c>
      <c r="F289" s="20" t="s">
        <v>395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384</v>
      </c>
      <c r="C290" t="s">
        <v>415</v>
      </c>
      <c r="D290" s="137">
        <v>2000000</v>
      </c>
      <c r="E290" t="s">
        <v>392</v>
      </c>
      <c r="F290" s="20" t="s">
        <v>393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369</v>
      </c>
      <c r="C291" t="s">
        <v>416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360</v>
      </c>
      <c r="C292" t="s">
        <v>417</v>
      </c>
      <c r="D292" s="137">
        <v>3500000</v>
      </c>
      <c r="E292" t="s">
        <v>375</v>
      </c>
      <c r="F292" s="20" t="s">
        <v>376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382</v>
      </c>
      <c r="C293" t="s">
        <v>418</v>
      </c>
      <c r="D293" s="137">
        <v>3220000</v>
      </c>
      <c r="E293" t="s">
        <v>377</v>
      </c>
      <c r="F293" s="20" t="s">
        <v>378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385</v>
      </c>
      <c r="C294" t="s">
        <v>387</v>
      </c>
      <c r="D294" s="137">
        <v>3670000</v>
      </c>
      <c r="E294" t="s">
        <v>381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365</v>
      </c>
      <c r="C295" t="s">
        <v>419</v>
      </c>
      <c r="D295" s="137">
        <v>2040000</v>
      </c>
      <c r="E295" t="s">
        <v>394</v>
      </c>
      <c r="F295" s="20" t="s">
        <v>395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384</v>
      </c>
      <c r="C296" t="s">
        <v>420</v>
      </c>
      <c r="D296" s="137">
        <v>3220000</v>
      </c>
      <c r="E296" t="s">
        <v>377</v>
      </c>
      <c r="F296" s="20" t="s">
        <v>378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355</v>
      </c>
      <c r="C297" t="s">
        <v>421</v>
      </c>
      <c r="D297" s="137">
        <v>3500000</v>
      </c>
      <c r="E297" t="s">
        <v>375</v>
      </c>
      <c r="F297" s="20" t="s">
        <v>376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370</v>
      </c>
      <c r="C298" t="s">
        <v>422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382</v>
      </c>
      <c r="C299" t="s">
        <v>423</v>
      </c>
      <c r="D299" s="137">
        <v>2000000</v>
      </c>
      <c r="E299" t="s">
        <v>392</v>
      </c>
      <c r="F299" s="20" t="s">
        <v>393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390</v>
      </c>
      <c r="C300" t="s">
        <v>424</v>
      </c>
      <c r="D300" s="137">
        <v>3670000</v>
      </c>
      <c r="E300" t="s">
        <v>381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366</v>
      </c>
      <c r="C301" t="s">
        <v>425</v>
      </c>
      <c r="D301" s="137">
        <v>2040000</v>
      </c>
      <c r="E301" t="s">
        <v>394</v>
      </c>
      <c r="F301" s="20" t="s">
        <v>395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384</v>
      </c>
      <c r="C302" t="s">
        <v>426</v>
      </c>
      <c r="D302" s="137">
        <v>2000000</v>
      </c>
      <c r="E302" t="s">
        <v>392</v>
      </c>
      <c r="F302" s="20" t="s">
        <v>393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360</v>
      </c>
      <c r="C303" t="s">
        <v>388</v>
      </c>
      <c r="D303" s="137">
        <v>3500000</v>
      </c>
      <c r="E303" t="s">
        <v>375</v>
      </c>
      <c r="F303" s="20" t="s">
        <v>376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369</v>
      </c>
      <c r="C304" t="s">
        <v>427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385</v>
      </c>
      <c r="C305" t="s">
        <v>428</v>
      </c>
      <c r="D305" s="137">
        <v>3670000</v>
      </c>
      <c r="E305" t="s">
        <v>381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365</v>
      </c>
      <c r="C306" t="s">
        <v>429</v>
      </c>
      <c r="D306" s="137">
        <v>2040000</v>
      </c>
      <c r="E306" t="s">
        <v>394</v>
      </c>
      <c r="F306" s="20" t="s">
        <v>395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355</v>
      </c>
      <c r="C307" t="s">
        <v>430</v>
      </c>
      <c r="D307" s="137">
        <v>3500000</v>
      </c>
      <c r="E307" t="s">
        <v>375</v>
      </c>
      <c r="F307" s="20" t="s">
        <v>376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370</v>
      </c>
      <c r="C308" t="s">
        <v>431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390</v>
      </c>
      <c r="C309" t="s">
        <v>432</v>
      </c>
      <c r="D309" s="137">
        <v>3670000</v>
      </c>
      <c r="E309" t="s">
        <v>381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366</v>
      </c>
      <c r="C310" t="s">
        <v>433</v>
      </c>
      <c r="D310" s="137">
        <v>2040000</v>
      </c>
      <c r="E310" t="s">
        <v>394</v>
      </c>
      <c r="F310" s="20" t="s">
        <v>395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369</v>
      </c>
      <c r="C311" t="s">
        <v>434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365</v>
      </c>
      <c r="C312" t="s">
        <v>435</v>
      </c>
      <c r="D312" s="137">
        <v>2040000</v>
      </c>
      <c r="E312" t="s">
        <v>394</v>
      </c>
      <c r="F312" s="20" t="s">
        <v>395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350</v>
      </c>
      <c r="C313" t="s">
        <v>364</v>
      </c>
      <c r="D313" s="137">
        <v>1830000</v>
      </c>
      <c r="E313" t="s">
        <v>345</v>
      </c>
      <c r="F313" s="20" t="s">
        <v>346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S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581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333</v>
      </c>
      <c r="P1" s="217" t="s">
        <v>154</v>
      </c>
      <c r="Q1" s="217" t="s">
        <v>161</v>
      </c>
      <c r="R1" s="217" t="s">
        <v>334</v>
      </c>
      <c r="S1" s="217" t="s">
        <v>158</v>
      </c>
      <c r="T1"/>
    </row>
    <row r="2" spans="1:20" x14ac:dyDescent="0.3">
      <c r="A2" s="195">
        <v>26.72</v>
      </c>
      <c r="B2" s="195">
        <v>0.2</v>
      </c>
      <c r="C2" s="195">
        <v>19.78</v>
      </c>
      <c r="D2" s="8">
        <v>43111</v>
      </c>
      <c r="E2" s="195">
        <v>0.75</v>
      </c>
      <c r="F2" s="195" t="s">
        <v>460</v>
      </c>
      <c r="G2" s="195">
        <v>349.62</v>
      </c>
      <c r="H2" s="195">
        <v>0</v>
      </c>
      <c r="I2" s="195">
        <v>0</v>
      </c>
      <c r="J2" s="195"/>
      <c r="K2" s="195">
        <v>1010.81</v>
      </c>
      <c r="L2" s="195" t="s">
        <v>459</v>
      </c>
      <c r="M2" s="195">
        <v>26.72</v>
      </c>
      <c r="N2" s="195">
        <v>1515654000</v>
      </c>
      <c r="O2" s="195">
        <v>0</v>
      </c>
      <c r="P2" s="195">
        <v>4.03</v>
      </c>
      <c r="Q2" s="195">
        <v>162</v>
      </c>
      <c r="R2" s="195">
        <v>5.7</v>
      </c>
      <c r="S2" s="195">
        <v>2.09</v>
      </c>
      <c r="T2"/>
    </row>
    <row r="3" spans="1:20" x14ac:dyDescent="0.3">
      <c r="A3" s="195">
        <v>22.38</v>
      </c>
      <c r="B3" s="195">
        <v>0.44</v>
      </c>
      <c r="C3" s="195">
        <v>19.899999999999999</v>
      </c>
      <c r="D3" s="8">
        <v>43111.041666666664</v>
      </c>
      <c r="E3" s="195">
        <v>0.75</v>
      </c>
      <c r="F3" s="195" t="s">
        <v>479</v>
      </c>
      <c r="G3" s="195">
        <v>352.02</v>
      </c>
      <c r="H3" s="195">
        <v>0</v>
      </c>
      <c r="I3" s="195">
        <v>0</v>
      </c>
      <c r="J3" s="195"/>
      <c r="K3" s="195">
        <v>1012.96</v>
      </c>
      <c r="L3" s="195" t="s">
        <v>478</v>
      </c>
      <c r="M3" s="195">
        <v>26.78</v>
      </c>
      <c r="N3" s="195">
        <v>1515657600</v>
      </c>
      <c r="O3" s="195">
        <v>0</v>
      </c>
      <c r="P3" s="195">
        <v>4.03</v>
      </c>
      <c r="Q3" s="195">
        <v>133</v>
      </c>
      <c r="R3" s="195">
        <v>6.93</v>
      </c>
      <c r="S3" s="195">
        <v>3.73</v>
      </c>
      <c r="T3"/>
    </row>
    <row r="4" spans="1:20" x14ac:dyDescent="0.3">
      <c r="A4" s="195">
        <v>22.79</v>
      </c>
      <c r="B4" s="195">
        <v>0.34</v>
      </c>
      <c r="C4" s="195">
        <v>19.28</v>
      </c>
      <c r="D4" s="8">
        <v>43111.083333333336</v>
      </c>
      <c r="E4" s="195">
        <v>0.74</v>
      </c>
      <c r="F4" s="195" t="s">
        <v>479</v>
      </c>
      <c r="G4" s="195">
        <v>354.32</v>
      </c>
      <c r="H4" s="195">
        <v>0</v>
      </c>
      <c r="I4" s="195">
        <v>0</v>
      </c>
      <c r="J4" s="195"/>
      <c r="K4" s="195">
        <v>1013.11</v>
      </c>
      <c r="L4" s="195" t="s">
        <v>478</v>
      </c>
      <c r="M4" s="195">
        <v>26.46</v>
      </c>
      <c r="N4" s="195">
        <v>1515661200</v>
      </c>
      <c r="O4" s="195">
        <v>0</v>
      </c>
      <c r="P4" s="195">
        <v>4.07</v>
      </c>
      <c r="Q4" s="195">
        <v>146</v>
      </c>
      <c r="R4" s="195">
        <v>5.78</v>
      </c>
      <c r="S4" s="195">
        <v>3.17</v>
      </c>
      <c r="T4"/>
    </row>
    <row r="5" spans="1:20" x14ac:dyDescent="0.3">
      <c r="A5" s="195">
        <v>21.91</v>
      </c>
      <c r="B5" s="195">
        <v>0.49</v>
      </c>
      <c r="C5" s="195">
        <v>18.37</v>
      </c>
      <c r="D5" s="8">
        <v>43111.125</v>
      </c>
      <c r="E5" s="195">
        <v>0.72</v>
      </c>
      <c r="F5" s="195" t="s">
        <v>479</v>
      </c>
      <c r="G5" s="195">
        <v>357.22</v>
      </c>
      <c r="H5" s="195">
        <v>0</v>
      </c>
      <c r="I5" s="195">
        <v>0</v>
      </c>
      <c r="J5" s="195"/>
      <c r="K5" s="195">
        <v>1013.95</v>
      </c>
      <c r="L5" s="195" t="s">
        <v>478</v>
      </c>
      <c r="M5" s="195">
        <v>26.1</v>
      </c>
      <c r="N5" s="195">
        <v>1515664800</v>
      </c>
      <c r="O5" s="195">
        <v>0</v>
      </c>
      <c r="P5" s="195">
        <v>4.03</v>
      </c>
      <c r="Q5" s="195">
        <v>156</v>
      </c>
      <c r="R5" s="195">
        <v>6.23</v>
      </c>
      <c r="S5" s="195">
        <v>3.5</v>
      </c>
      <c r="T5"/>
    </row>
    <row r="6" spans="1:20" x14ac:dyDescent="0.3">
      <c r="A6" s="195">
        <v>25.49</v>
      </c>
      <c r="B6" s="195">
        <v>0.26</v>
      </c>
      <c r="C6" s="195">
        <v>17.82</v>
      </c>
      <c r="D6" s="8">
        <v>43111.166666666664</v>
      </c>
      <c r="E6" s="195">
        <v>0.72</v>
      </c>
      <c r="F6" s="195" t="s">
        <v>479</v>
      </c>
      <c r="G6" s="195">
        <v>359.82</v>
      </c>
      <c r="H6" s="195">
        <v>0</v>
      </c>
      <c r="I6" s="195">
        <v>0</v>
      </c>
      <c r="J6" s="195"/>
      <c r="K6" s="195">
        <v>1015.15</v>
      </c>
      <c r="L6" s="195" t="s">
        <v>478</v>
      </c>
      <c r="M6" s="195">
        <v>25.49</v>
      </c>
      <c r="N6" s="195">
        <v>1515668400</v>
      </c>
      <c r="O6" s="195">
        <v>0</v>
      </c>
      <c r="P6" s="195">
        <v>3.89</v>
      </c>
      <c r="Q6" s="195">
        <v>179</v>
      </c>
      <c r="R6" s="195">
        <v>6.66</v>
      </c>
      <c r="S6" s="195">
        <v>2.82</v>
      </c>
      <c r="T6"/>
    </row>
    <row r="7" spans="1:20" x14ac:dyDescent="0.3">
      <c r="A7" s="195">
        <v>24.81</v>
      </c>
      <c r="B7" s="195">
        <v>0.13</v>
      </c>
      <c r="C7" s="195">
        <v>17.41</v>
      </c>
      <c r="D7" s="8">
        <v>43111.208333333336</v>
      </c>
      <c r="E7" s="195">
        <v>0.73</v>
      </c>
      <c r="F7" s="195" t="s">
        <v>460</v>
      </c>
      <c r="G7" s="195">
        <v>360.41</v>
      </c>
      <c r="H7" s="195">
        <v>0</v>
      </c>
      <c r="I7" s="195">
        <v>0</v>
      </c>
      <c r="J7" s="195"/>
      <c r="K7" s="195">
        <v>1017.32</v>
      </c>
      <c r="L7" s="195" t="s">
        <v>459</v>
      </c>
      <c r="M7" s="195">
        <v>24.81</v>
      </c>
      <c r="N7" s="195">
        <v>1515672000</v>
      </c>
      <c r="O7" s="195">
        <v>0</v>
      </c>
      <c r="P7" s="195">
        <v>3.83</v>
      </c>
      <c r="Q7" s="195">
        <v>175</v>
      </c>
      <c r="R7" s="195">
        <v>5.2</v>
      </c>
      <c r="S7" s="195">
        <v>2.52</v>
      </c>
      <c r="T7"/>
    </row>
    <row r="8" spans="1:20" x14ac:dyDescent="0.3">
      <c r="A8" s="195">
        <v>24.24</v>
      </c>
      <c r="B8" s="195">
        <v>0.05</v>
      </c>
      <c r="C8" s="195">
        <v>16.7</v>
      </c>
      <c r="D8" s="8">
        <v>43111.25</v>
      </c>
      <c r="E8" s="195">
        <v>0.72</v>
      </c>
      <c r="F8" s="195" t="s">
        <v>460</v>
      </c>
      <c r="G8" s="195">
        <v>358.39</v>
      </c>
      <c r="H8" s="195">
        <v>0</v>
      </c>
      <c r="I8" s="195">
        <v>0</v>
      </c>
      <c r="J8" s="195"/>
      <c r="K8" s="195">
        <v>1018.85</v>
      </c>
      <c r="L8" s="195" t="s">
        <v>459</v>
      </c>
      <c r="M8" s="195">
        <v>24.24</v>
      </c>
      <c r="N8" s="195">
        <v>1515675600</v>
      </c>
      <c r="O8" s="195">
        <v>0</v>
      </c>
      <c r="P8" s="195">
        <v>4.21</v>
      </c>
      <c r="Q8" s="195">
        <v>183</v>
      </c>
      <c r="R8" s="195">
        <v>5.74</v>
      </c>
      <c r="S8" s="195">
        <v>2</v>
      </c>
      <c r="T8"/>
    </row>
    <row r="9" spans="1:20" x14ac:dyDescent="0.3">
      <c r="A9" s="195">
        <v>24.03</v>
      </c>
      <c r="B9" s="195">
        <v>0.09</v>
      </c>
      <c r="C9" s="195">
        <v>16.55</v>
      </c>
      <c r="D9" s="8">
        <v>43111.291666666664</v>
      </c>
      <c r="E9" s="195">
        <v>0.73</v>
      </c>
      <c r="F9" s="195" t="s">
        <v>460</v>
      </c>
      <c r="G9" s="195">
        <v>354.58</v>
      </c>
      <c r="H9" s="195">
        <v>0</v>
      </c>
      <c r="I9" s="195">
        <v>0</v>
      </c>
      <c r="J9" s="195"/>
      <c r="K9" s="195">
        <v>1018.77</v>
      </c>
      <c r="L9" s="195" t="s">
        <v>459</v>
      </c>
      <c r="M9" s="195">
        <v>24.03</v>
      </c>
      <c r="N9" s="195">
        <v>1515679200</v>
      </c>
      <c r="O9" s="195">
        <v>0</v>
      </c>
      <c r="P9" s="195">
        <v>5.95</v>
      </c>
      <c r="Q9" s="195">
        <v>162</v>
      </c>
      <c r="R9" s="195">
        <v>5.74</v>
      </c>
      <c r="S9" s="195">
        <v>1.8</v>
      </c>
      <c r="T9"/>
    </row>
    <row r="10" spans="1:20" x14ac:dyDescent="0.3">
      <c r="A10" s="195">
        <v>24.36</v>
      </c>
      <c r="B10" s="195">
        <v>0.11</v>
      </c>
      <c r="C10" s="195">
        <v>16.350000000000001</v>
      </c>
      <c r="D10" s="8">
        <v>43111.333333333336</v>
      </c>
      <c r="E10" s="195">
        <v>0.71</v>
      </c>
      <c r="F10" s="195" t="s">
        <v>458</v>
      </c>
      <c r="G10" s="195">
        <v>351.28</v>
      </c>
      <c r="H10" s="195">
        <v>0</v>
      </c>
      <c r="I10" s="195">
        <v>0</v>
      </c>
      <c r="J10" s="195"/>
      <c r="K10" s="195">
        <v>1021.35</v>
      </c>
      <c r="L10" s="195" t="s">
        <v>459</v>
      </c>
      <c r="M10" s="195">
        <v>24.36</v>
      </c>
      <c r="N10" s="195">
        <v>1515682800</v>
      </c>
      <c r="O10" s="195">
        <v>0</v>
      </c>
      <c r="P10" s="195">
        <v>4.21</v>
      </c>
      <c r="Q10" s="195">
        <v>159</v>
      </c>
      <c r="R10" s="195">
        <v>5.29</v>
      </c>
      <c r="S10" s="195">
        <v>0.28000000000000003</v>
      </c>
      <c r="T10"/>
    </row>
    <row r="11" spans="1:20" x14ac:dyDescent="0.3">
      <c r="A11" s="195">
        <v>28.6</v>
      </c>
      <c r="B11" s="195">
        <v>7.0000000000000007E-2</v>
      </c>
      <c r="C11" s="195">
        <v>18.79</v>
      </c>
      <c r="D11" s="8">
        <v>43111.375</v>
      </c>
      <c r="E11" s="195">
        <v>0.66</v>
      </c>
      <c r="F11" s="195" t="s">
        <v>458</v>
      </c>
      <c r="G11" s="195">
        <v>349.37</v>
      </c>
      <c r="H11" s="195">
        <v>0</v>
      </c>
      <c r="I11" s="195">
        <v>0</v>
      </c>
      <c r="J11" s="195"/>
      <c r="K11" s="195">
        <v>1021.91</v>
      </c>
      <c r="L11" s="195" t="s">
        <v>459</v>
      </c>
      <c r="M11" s="195">
        <v>28.6</v>
      </c>
      <c r="N11" s="195">
        <v>1515686400</v>
      </c>
      <c r="O11" s="195">
        <v>1</v>
      </c>
      <c r="P11" s="195">
        <v>5.86</v>
      </c>
      <c r="Q11" s="195">
        <v>99</v>
      </c>
      <c r="R11" s="195">
        <v>5.74</v>
      </c>
      <c r="S11" s="195">
        <v>1.51</v>
      </c>
      <c r="T11"/>
    </row>
    <row r="12" spans="1:20" x14ac:dyDescent="0.3">
      <c r="A12" s="195">
        <v>34.18</v>
      </c>
      <c r="B12" s="195">
        <v>7.0000000000000007E-2</v>
      </c>
      <c r="C12" s="195">
        <v>17.91</v>
      </c>
      <c r="D12" s="8">
        <v>43111.416666666664</v>
      </c>
      <c r="E12" s="195">
        <v>0.51</v>
      </c>
      <c r="F12" s="195" t="s">
        <v>458</v>
      </c>
      <c r="G12" s="195">
        <v>347.97</v>
      </c>
      <c r="H12" s="195">
        <v>0</v>
      </c>
      <c r="I12" s="195">
        <v>0</v>
      </c>
      <c r="J12" s="195"/>
      <c r="K12" s="195">
        <v>1022.62</v>
      </c>
      <c r="L12" s="195" t="s">
        <v>459</v>
      </c>
      <c r="M12" s="195">
        <v>34.18</v>
      </c>
      <c r="N12" s="195">
        <v>1515690000</v>
      </c>
      <c r="O12" s="195">
        <v>1</v>
      </c>
      <c r="P12" s="195">
        <v>5.59</v>
      </c>
      <c r="Q12" s="195">
        <v>58</v>
      </c>
      <c r="R12" s="195">
        <v>7.45</v>
      </c>
      <c r="S12" s="195">
        <v>1.66</v>
      </c>
      <c r="T12"/>
    </row>
    <row r="13" spans="1:20" x14ac:dyDescent="0.3">
      <c r="A13" s="195">
        <v>33.65</v>
      </c>
      <c r="B13" s="195">
        <v>7.0000000000000007E-2</v>
      </c>
      <c r="C13" s="195">
        <v>16.09</v>
      </c>
      <c r="D13" s="8">
        <v>43111.458333333336</v>
      </c>
      <c r="E13" s="195">
        <v>0.43</v>
      </c>
      <c r="F13" s="195" t="s">
        <v>458</v>
      </c>
      <c r="G13" s="195">
        <v>341.77</v>
      </c>
      <c r="H13" s="195">
        <v>1E-3</v>
      </c>
      <c r="I13" s="195">
        <v>0.04</v>
      </c>
      <c r="J13" s="195" t="s">
        <v>582</v>
      </c>
      <c r="K13" s="195">
        <v>1022.66</v>
      </c>
      <c r="L13" s="195" t="s">
        <v>459</v>
      </c>
      <c r="M13" s="195">
        <v>36.72</v>
      </c>
      <c r="N13" s="195">
        <v>1515693600</v>
      </c>
      <c r="O13" s="195">
        <v>2</v>
      </c>
      <c r="P13" s="195">
        <v>5.59</v>
      </c>
      <c r="Q13" s="195">
        <v>68</v>
      </c>
      <c r="R13" s="195">
        <v>9.1300000000000008</v>
      </c>
      <c r="S13" s="195">
        <v>3.88</v>
      </c>
      <c r="T13"/>
    </row>
    <row r="14" spans="1:20" x14ac:dyDescent="0.3">
      <c r="A14" s="195">
        <v>35.950000000000003</v>
      </c>
      <c r="B14" s="195">
        <v>7.0000000000000007E-2</v>
      </c>
      <c r="C14" s="195">
        <v>13.76</v>
      </c>
      <c r="D14" s="8">
        <v>43111.5</v>
      </c>
      <c r="E14" s="195">
        <v>0.37</v>
      </c>
      <c r="F14" s="195" t="s">
        <v>458</v>
      </c>
      <c r="G14" s="195">
        <v>338.06</v>
      </c>
      <c r="H14" s="195">
        <v>5.9999999999999995E-4</v>
      </c>
      <c r="I14" s="195">
        <v>0.04</v>
      </c>
      <c r="J14" s="195" t="s">
        <v>582</v>
      </c>
      <c r="K14" s="195">
        <v>1022.28</v>
      </c>
      <c r="L14" s="195" t="s">
        <v>459</v>
      </c>
      <c r="M14" s="195">
        <v>37.92</v>
      </c>
      <c r="N14" s="195">
        <v>1515697200</v>
      </c>
      <c r="O14" s="195">
        <v>2</v>
      </c>
      <c r="P14" s="195">
        <v>5.59</v>
      </c>
      <c r="Q14" s="195">
        <v>80</v>
      </c>
      <c r="R14" s="195">
        <v>10.1</v>
      </c>
      <c r="S14" s="195">
        <v>3.05</v>
      </c>
      <c r="T14"/>
    </row>
    <row r="15" spans="1:20" x14ac:dyDescent="0.3">
      <c r="A15" s="195">
        <v>40.909999999999997</v>
      </c>
      <c r="B15" s="195">
        <v>7.0000000000000007E-2</v>
      </c>
      <c r="C15" s="195">
        <v>10.050000000000001</v>
      </c>
      <c r="D15" s="8">
        <v>43111.541666666664</v>
      </c>
      <c r="E15" s="195">
        <v>0.28000000000000003</v>
      </c>
      <c r="F15" s="195" t="s">
        <v>458</v>
      </c>
      <c r="G15" s="195">
        <v>334.32</v>
      </c>
      <c r="H15" s="195">
        <v>1E-4</v>
      </c>
      <c r="I15" s="195">
        <v>0.04</v>
      </c>
      <c r="J15" s="195" t="s">
        <v>582</v>
      </c>
      <c r="K15" s="195">
        <v>1020.93</v>
      </c>
      <c r="L15" s="195" t="s">
        <v>459</v>
      </c>
      <c r="M15" s="195">
        <v>40.909999999999997</v>
      </c>
      <c r="N15" s="195">
        <v>1515700800</v>
      </c>
      <c r="O15" s="195">
        <v>2</v>
      </c>
      <c r="P15" s="195">
        <v>5.86</v>
      </c>
      <c r="Q15" s="195">
        <v>356</v>
      </c>
      <c r="R15" s="195">
        <v>16.760000000000002</v>
      </c>
      <c r="S15" s="195">
        <v>2.23</v>
      </c>
      <c r="T15"/>
    </row>
    <row r="16" spans="1:20" x14ac:dyDescent="0.3">
      <c r="A16" s="195">
        <v>36.78</v>
      </c>
      <c r="B16" s="195">
        <v>7.0000000000000007E-2</v>
      </c>
      <c r="C16" s="195">
        <v>7.57</v>
      </c>
      <c r="D16" s="8">
        <v>43111.583333333336</v>
      </c>
      <c r="E16" s="195">
        <v>0.24</v>
      </c>
      <c r="F16" s="195" t="s">
        <v>458</v>
      </c>
      <c r="G16" s="195">
        <v>330.68</v>
      </c>
      <c r="H16" s="195">
        <v>0</v>
      </c>
      <c r="I16" s="195">
        <v>0</v>
      </c>
      <c r="J16" s="195"/>
      <c r="K16" s="195">
        <v>1020.4</v>
      </c>
      <c r="L16" s="195" t="s">
        <v>459</v>
      </c>
      <c r="M16" s="195">
        <v>41.81</v>
      </c>
      <c r="N16" s="195">
        <v>1515704400</v>
      </c>
      <c r="O16" s="195">
        <v>1</v>
      </c>
      <c r="P16" s="195">
        <v>4.21</v>
      </c>
      <c r="Q16" s="195">
        <v>283</v>
      </c>
      <c r="R16" s="195">
        <v>25.08</v>
      </c>
      <c r="S16" s="195">
        <v>8.02</v>
      </c>
      <c r="T16"/>
    </row>
    <row r="17" spans="1:20" x14ac:dyDescent="0.3">
      <c r="A17" s="195">
        <v>37.090000000000003</v>
      </c>
      <c r="B17" s="195">
        <v>7.0000000000000007E-2</v>
      </c>
      <c r="C17" s="195">
        <v>8.1999999999999993</v>
      </c>
      <c r="D17" s="8">
        <v>43111.625</v>
      </c>
      <c r="E17" s="195">
        <v>0.24</v>
      </c>
      <c r="F17" s="195" t="s">
        <v>458</v>
      </c>
      <c r="G17" s="195">
        <v>327.62</v>
      </c>
      <c r="H17" s="195">
        <v>0</v>
      </c>
      <c r="I17" s="195">
        <v>0</v>
      </c>
      <c r="J17" s="195"/>
      <c r="K17" s="195">
        <v>1019.42</v>
      </c>
      <c r="L17" s="195" t="s">
        <v>459</v>
      </c>
      <c r="M17" s="195">
        <v>42.02</v>
      </c>
      <c r="N17" s="195">
        <v>1515708000</v>
      </c>
      <c r="O17" s="195">
        <v>1</v>
      </c>
      <c r="P17" s="195">
        <v>5.59</v>
      </c>
      <c r="Q17" s="195">
        <v>298</v>
      </c>
      <c r="R17" s="195">
        <v>19.97</v>
      </c>
      <c r="S17" s="195">
        <v>7.91</v>
      </c>
      <c r="T17"/>
    </row>
    <row r="18" spans="1:20" x14ac:dyDescent="0.3">
      <c r="A18" s="195">
        <v>36.72</v>
      </c>
      <c r="B18" s="195">
        <v>7.0000000000000007E-2</v>
      </c>
      <c r="C18" s="195">
        <v>7.18</v>
      </c>
      <c r="D18" s="8">
        <v>43111.666666666664</v>
      </c>
      <c r="E18" s="195">
        <v>0.23</v>
      </c>
      <c r="F18" s="195" t="s">
        <v>458</v>
      </c>
      <c r="G18" s="195">
        <v>324.66000000000003</v>
      </c>
      <c r="H18" s="195">
        <v>0</v>
      </c>
      <c r="I18" s="195">
        <v>0</v>
      </c>
      <c r="J18" s="195"/>
      <c r="K18" s="195">
        <v>1020.13</v>
      </c>
      <c r="L18" s="195" t="s">
        <v>459</v>
      </c>
      <c r="M18" s="195">
        <v>41.82</v>
      </c>
      <c r="N18" s="195">
        <v>1515711600</v>
      </c>
      <c r="O18" s="195">
        <v>1</v>
      </c>
      <c r="P18" s="195">
        <v>5.59</v>
      </c>
      <c r="Q18" s="195">
        <v>301</v>
      </c>
      <c r="R18" s="195">
        <v>16.63</v>
      </c>
      <c r="S18" s="195">
        <v>8.17</v>
      </c>
      <c r="T18"/>
    </row>
    <row r="19" spans="1:20" x14ac:dyDescent="0.3">
      <c r="A19" s="195">
        <v>36.89</v>
      </c>
      <c r="B19" s="195">
        <v>0.05</v>
      </c>
      <c r="C19" s="195">
        <v>7.41</v>
      </c>
      <c r="D19" s="8">
        <v>43111.708333333336</v>
      </c>
      <c r="E19" s="195">
        <v>0.25</v>
      </c>
      <c r="F19" s="195" t="s">
        <v>460</v>
      </c>
      <c r="G19" s="195">
        <v>316.89</v>
      </c>
      <c r="H19" s="195">
        <v>0</v>
      </c>
      <c r="I19" s="195">
        <v>0</v>
      </c>
      <c r="J19" s="195"/>
      <c r="K19" s="195">
        <v>1021.37</v>
      </c>
      <c r="L19" s="195" t="s">
        <v>459</v>
      </c>
      <c r="M19" s="195">
        <v>40.32</v>
      </c>
      <c r="N19" s="195">
        <v>1515715200</v>
      </c>
      <c r="O19" s="195">
        <v>0</v>
      </c>
      <c r="P19" s="195">
        <v>5.42</v>
      </c>
      <c r="Q19" s="195">
        <v>298</v>
      </c>
      <c r="R19" s="195">
        <v>16.45</v>
      </c>
      <c r="S19" s="195">
        <v>4.9400000000000004</v>
      </c>
      <c r="T19"/>
    </row>
    <row r="20" spans="1:20" x14ac:dyDescent="0.3">
      <c r="A20" s="195">
        <v>38.31</v>
      </c>
      <c r="B20" s="195">
        <v>0.05</v>
      </c>
      <c r="C20" s="195">
        <v>7.59</v>
      </c>
      <c r="D20" s="8">
        <v>43111.75</v>
      </c>
      <c r="E20" s="195">
        <v>0.27</v>
      </c>
      <c r="F20" s="195" t="s">
        <v>460</v>
      </c>
      <c r="G20" s="195">
        <v>314.49</v>
      </c>
      <c r="H20" s="195">
        <v>0</v>
      </c>
      <c r="I20" s="195">
        <v>0</v>
      </c>
      <c r="J20" s="195"/>
      <c r="K20" s="195">
        <v>1020.99</v>
      </c>
      <c r="L20" s="195" t="s">
        <v>459</v>
      </c>
      <c r="M20" s="195">
        <v>38.31</v>
      </c>
      <c r="N20" s="195">
        <v>1515718800</v>
      </c>
      <c r="O20" s="195">
        <v>0</v>
      </c>
      <c r="P20" s="195">
        <v>5.58</v>
      </c>
      <c r="Q20" s="195">
        <v>280</v>
      </c>
      <c r="R20" s="195">
        <v>10.23</v>
      </c>
      <c r="S20" s="195">
        <v>1.82</v>
      </c>
      <c r="T20"/>
    </row>
    <row r="21" spans="1:20" x14ac:dyDescent="0.3">
      <c r="A21" s="195">
        <v>36.24</v>
      </c>
      <c r="B21" s="195">
        <v>0.05</v>
      </c>
      <c r="C21" s="195">
        <v>8.43</v>
      </c>
      <c r="D21" s="8">
        <v>43111.791666666664</v>
      </c>
      <c r="E21" s="195">
        <v>0.31</v>
      </c>
      <c r="F21" s="195" t="s">
        <v>460</v>
      </c>
      <c r="G21" s="195">
        <v>313.23</v>
      </c>
      <c r="H21" s="195">
        <v>0</v>
      </c>
      <c r="I21" s="195">
        <v>0</v>
      </c>
      <c r="J21" s="195"/>
      <c r="K21" s="195">
        <v>1022.7</v>
      </c>
      <c r="L21" s="195" t="s">
        <v>459</v>
      </c>
      <c r="M21" s="195">
        <v>36.24</v>
      </c>
      <c r="N21" s="195">
        <v>1515722400</v>
      </c>
      <c r="O21" s="195">
        <v>0</v>
      </c>
      <c r="P21" s="195">
        <v>5.42</v>
      </c>
      <c r="Q21" s="195">
        <v>213</v>
      </c>
      <c r="R21" s="195">
        <v>9.24</v>
      </c>
      <c r="S21" s="195">
        <v>2.44</v>
      </c>
      <c r="T21"/>
    </row>
    <row r="22" spans="1:20" x14ac:dyDescent="0.3">
      <c r="A22" s="195">
        <v>34.299999999999997</v>
      </c>
      <c r="B22" s="195">
        <v>0.06</v>
      </c>
      <c r="C22" s="195">
        <v>10.06</v>
      </c>
      <c r="D22" s="8">
        <v>43111.833333333336</v>
      </c>
      <c r="E22" s="195">
        <v>0.36</v>
      </c>
      <c r="F22" s="195" t="s">
        <v>460</v>
      </c>
      <c r="G22" s="195">
        <v>312.7</v>
      </c>
      <c r="H22" s="195">
        <v>0</v>
      </c>
      <c r="I22" s="195">
        <v>0</v>
      </c>
      <c r="J22" s="195"/>
      <c r="K22" s="195">
        <v>1022.41</v>
      </c>
      <c r="L22" s="195" t="s">
        <v>459</v>
      </c>
      <c r="M22" s="195">
        <v>34.299999999999997</v>
      </c>
      <c r="N22" s="195">
        <v>1515726000</v>
      </c>
      <c r="O22" s="195">
        <v>0</v>
      </c>
      <c r="P22" s="195">
        <v>5.49</v>
      </c>
      <c r="Q22" s="195">
        <v>180</v>
      </c>
      <c r="R22" s="195">
        <v>8.26</v>
      </c>
      <c r="S22" s="195">
        <v>2.73</v>
      </c>
      <c r="T22"/>
    </row>
    <row r="23" spans="1:20" x14ac:dyDescent="0.3">
      <c r="A23" s="195">
        <v>32.9</v>
      </c>
      <c r="B23" s="195">
        <v>0.06</v>
      </c>
      <c r="C23" s="195">
        <v>11.12</v>
      </c>
      <c r="D23" s="8">
        <v>43111.875</v>
      </c>
      <c r="E23" s="195">
        <v>0.4</v>
      </c>
      <c r="F23" s="195" t="s">
        <v>460</v>
      </c>
      <c r="G23" s="195">
        <v>312.91000000000003</v>
      </c>
      <c r="H23" s="195">
        <v>0</v>
      </c>
      <c r="I23" s="195">
        <v>0</v>
      </c>
      <c r="J23" s="195"/>
      <c r="K23" s="195">
        <v>1021.38</v>
      </c>
      <c r="L23" s="195" t="s">
        <v>459</v>
      </c>
      <c r="M23" s="195">
        <v>32.9</v>
      </c>
      <c r="N23" s="195">
        <v>1515729600</v>
      </c>
      <c r="O23" s="195">
        <v>0</v>
      </c>
      <c r="P23" s="195">
        <v>4.57</v>
      </c>
      <c r="Q23" s="195">
        <v>185</v>
      </c>
      <c r="R23" s="195">
        <v>7.95</v>
      </c>
      <c r="S23" s="195">
        <v>2.65</v>
      </c>
      <c r="T23"/>
    </row>
    <row r="24" spans="1:20" x14ac:dyDescent="0.3">
      <c r="A24" s="195">
        <v>28.9</v>
      </c>
      <c r="B24" s="195">
        <v>0.06</v>
      </c>
      <c r="C24" s="195">
        <v>13.33</v>
      </c>
      <c r="D24" s="8">
        <v>43111.916666666664</v>
      </c>
      <c r="E24" s="195">
        <v>0.44</v>
      </c>
      <c r="F24" s="195" t="s">
        <v>460</v>
      </c>
      <c r="G24" s="195">
        <v>313.95</v>
      </c>
      <c r="H24" s="195">
        <v>0</v>
      </c>
      <c r="I24" s="195">
        <v>0</v>
      </c>
      <c r="J24" s="195"/>
      <c r="K24" s="195">
        <v>1021.16</v>
      </c>
      <c r="L24" s="195" t="s">
        <v>459</v>
      </c>
      <c r="M24" s="195">
        <v>32.53</v>
      </c>
      <c r="N24" s="195">
        <v>1515733200</v>
      </c>
      <c r="O24" s="195">
        <v>0</v>
      </c>
      <c r="P24" s="195">
        <v>4.57</v>
      </c>
      <c r="Q24" s="195">
        <v>162</v>
      </c>
      <c r="R24" s="195">
        <v>8.6</v>
      </c>
      <c r="S24" s="195">
        <v>3.82</v>
      </c>
      <c r="T24"/>
    </row>
    <row r="25" spans="1:20" x14ac:dyDescent="0.3">
      <c r="A25" s="195">
        <v>31.95</v>
      </c>
      <c r="B25" s="195">
        <v>0.04</v>
      </c>
      <c r="C25" s="195">
        <v>14.16</v>
      </c>
      <c r="D25" s="8">
        <v>43111.958333333336</v>
      </c>
      <c r="E25" s="195">
        <v>0.47</v>
      </c>
      <c r="F25" s="195" t="s">
        <v>460</v>
      </c>
      <c r="G25" s="195">
        <v>315.94</v>
      </c>
      <c r="H25" s="195">
        <v>0</v>
      </c>
      <c r="I25" s="195">
        <v>0</v>
      </c>
      <c r="J25" s="195"/>
      <c r="K25" s="195">
        <v>1017.44</v>
      </c>
      <c r="L25" s="195" t="s">
        <v>459</v>
      </c>
      <c r="M25" s="195">
        <v>31.95</v>
      </c>
      <c r="N25" s="195">
        <v>1515736800</v>
      </c>
      <c r="O25" s="195">
        <v>0</v>
      </c>
      <c r="P25" s="195">
        <v>4.03</v>
      </c>
      <c r="Q25" s="195">
        <v>171</v>
      </c>
      <c r="R25" s="195">
        <v>6.42</v>
      </c>
      <c r="S25" s="195">
        <v>2.83</v>
      </c>
      <c r="T25"/>
    </row>
    <row r="26" spans="1:20" x14ac:dyDescent="0.3">
      <c r="A26" s="195">
        <v>32.22</v>
      </c>
      <c r="B26" s="195">
        <v>0.15</v>
      </c>
      <c r="C26" s="195">
        <v>14.44</v>
      </c>
      <c r="D26" s="8">
        <v>43112</v>
      </c>
      <c r="E26" s="195">
        <v>0.47</v>
      </c>
      <c r="F26" s="195" t="s">
        <v>460</v>
      </c>
      <c r="G26" s="195">
        <v>319.48</v>
      </c>
      <c r="H26" s="195">
        <v>0</v>
      </c>
      <c r="I26" s="195">
        <v>0</v>
      </c>
      <c r="J26" s="195"/>
      <c r="K26" s="195">
        <v>1016.77</v>
      </c>
      <c r="L26" s="195" t="s">
        <v>459</v>
      </c>
      <c r="M26" s="195">
        <v>32.22</v>
      </c>
      <c r="N26" s="195">
        <v>1515740400</v>
      </c>
      <c r="O26" s="195">
        <v>0</v>
      </c>
      <c r="P26" s="195">
        <v>4.03</v>
      </c>
      <c r="Q26" s="195">
        <v>181</v>
      </c>
      <c r="R26" s="195">
        <v>8.26</v>
      </c>
      <c r="S26" s="195">
        <v>1.69</v>
      </c>
      <c r="T26"/>
    </row>
    <row r="27" spans="1:20" x14ac:dyDescent="0.3">
      <c r="A27" s="195">
        <v>31.03</v>
      </c>
      <c r="B27" s="195">
        <v>0.08</v>
      </c>
      <c r="C27" s="195">
        <v>14.34</v>
      </c>
      <c r="D27" s="8">
        <v>43112.041666666664</v>
      </c>
      <c r="E27" s="195">
        <v>0.49</v>
      </c>
      <c r="F27" s="195" t="s">
        <v>460</v>
      </c>
      <c r="G27" s="195">
        <v>324.02999999999997</v>
      </c>
      <c r="H27" s="195">
        <v>0</v>
      </c>
      <c r="I27" s="195">
        <v>0</v>
      </c>
      <c r="J27" s="195"/>
      <c r="K27" s="195">
        <v>1016.22</v>
      </c>
      <c r="L27" s="195" t="s">
        <v>459</v>
      </c>
      <c r="M27" s="195">
        <v>31.03</v>
      </c>
      <c r="N27" s="195">
        <v>1515744000</v>
      </c>
      <c r="O27" s="195">
        <v>0</v>
      </c>
      <c r="P27" s="195">
        <v>4.03</v>
      </c>
      <c r="Q27" s="195">
        <v>177</v>
      </c>
      <c r="R27" s="195">
        <v>7.14</v>
      </c>
      <c r="S27" s="195">
        <v>2.8</v>
      </c>
      <c r="T27"/>
    </row>
    <row r="28" spans="1:20" x14ac:dyDescent="0.3">
      <c r="A28" s="195">
        <v>30.99</v>
      </c>
      <c r="B28" s="195">
        <v>7.0000000000000007E-2</v>
      </c>
      <c r="C28" s="195">
        <v>14.15</v>
      </c>
      <c r="D28" s="8">
        <v>43112.083333333336</v>
      </c>
      <c r="E28" s="195">
        <v>0.49</v>
      </c>
      <c r="F28" s="195" t="s">
        <v>460</v>
      </c>
      <c r="G28" s="195">
        <v>327.93</v>
      </c>
      <c r="H28" s="195">
        <v>0</v>
      </c>
      <c r="I28" s="195">
        <v>0</v>
      </c>
      <c r="J28" s="195"/>
      <c r="K28" s="195">
        <v>1015.97</v>
      </c>
      <c r="L28" s="195" t="s">
        <v>459</v>
      </c>
      <c r="M28" s="195">
        <v>30.99</v>
      </c>
      <c r="N28" s="195">
        <v>1515747600</v>
      </c>
      <c r="O28" s="195">
        <v>0</v>
      </c>
      <c r="P28" s="195">
        <v>3.44</v>
      </c>
      <c r="Q28" s="195">
        <v>169</v>
      </c>
      <c r="R28" s="195">
        <v>7.85</v>
      </c>
      <c r="S28" s="195">
        <v>2.2799999999999998</v>
      </c>
      <c r="T28"/>
    </row>
    <row r="29" spans="1:20" x14ac:dyDescent="0.3">
      <c r="A29" s="195">
        <v>28.89</v>
      </c>
      <c r="B29" s="195">
        <v>0</v>
      </c>
      <c r="C29" s="195">
        <v>15.21</v>
      </c>
      <c r="D29" s="8">
        <v>43112.125</v>
      </c>
      <c r="E29" s="195">
        <v>0.48</v>
      </c>
      <c r="F29" s="195" t="s">
        <v>460</v>
      </c>
      <c r="G29" s="195">
        <v>330.58</v>
      </c>
      <c r="H29" s="195">
        <v>0</v>
      </c>
      <c r="I29" s="195">
        <v>0</v>
      </c>
      <c r="J29" s="195"/>
      <c r="K29" s="195">
        <v>1016.01</v>
      </c>
      <c r="L29" s="195" t="s">
        <v>459</v>
      </c>
      <c r="M29" s="195">
        <v>32.65</v>
      </c>
      <c r="N29" s="195">
        <v>1515751200</v>
      </c>
      <c r="O29" s="195">
        <v>0</v>
      </c>
      <c r="P29" s="195">
        <v>5.25</v>
      </c>
      <c r="Q29" s="195">
        <v>154</v>
      </c>
      <c r="R29" s="195">
        <v>11.46</v>
      </c>
      <c r="S29" s="195">
        <v>3.94</v>
      </c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2"/>
  <sheetViews>
    <sheetView topLeftCell="A10"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323</v>
      </c>
      <c r="U1" s="155"/>
      <c r="V1" s="155"/>
      <c r="W1" s="155"/>
      <c r="X1" s="155"/>
    </row>
    <row r="2" spans="1:32" ht="15" thickBot="1" x14ac:dyDescent="0.35">
      <c r="A2" s="12">
        <v>43111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324</v>
      </c>
      <c r="U2" s="154">
        <v>167</v>
      </c>
      <c r="V2" s="154">
        <v>168</v>
      </c>
      <c r="W2" s="154">
        <v>199</v>
      </c>
      <c r="X2" s="154">
        <v>200</v>
      </c>
      <c r="AD2" t="s">
        <v>336</v>
      </c>
      <c r="AE2" s="56" t="s">
        <v>339</v>
      </c>
      <c r="AF2" s="56" t="s">
        <v>340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325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326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327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332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348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341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1099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1100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1101</v>
      </c>
      <c r="J20" s="139" t="s">
        <v>87</v>
      </c>
      <c r="M20" s="153" t="s">
        <v>331</v>
      </c>
      <c r="N20" s="153" t="s">
        <v>322</v>
      </c>
      <c r="T20" s="154"/>
      <c r="U20" s="154"/>
      <c r="V20" s="154"/>
      <c r="W20" s="154"/>
      <c r="X20" s="154"/>
    </row>
    <row r="21" spans="3:24" x14ac:dyDescent="0.3">
      <c r="C21" t="s">
        <v>1102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1103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1104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1105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1106</v>
      </c>
      <c r="J25" s="139" t="s">
        <v>144</v>
      </c>
      <c r="M25" s="153" t="b">
        <v>1</v>
      </c>
    </row>
    <row r="26" spans="3:24" x14ac:dyDescent="0.3">
      <c r="C26" t="s">
        <v>1107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%USERPROFILE%\Documents\GitHub\eaglep3-reporting\EC\2018-01-11-refined-times.txt</v>
      </c>
    </row>
    <row r="27" spans="3:24" x14ac:dyDescent="0.3">
      <c r="C27" t="s">
        <v>1108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%USERPROFILE%\Documents\GitHub\eaglep3-reporting\EC\2018-01-11-Enforcements.txt</v>
      </c>
    </row>
    <row r="28" spans="3:24" x14ac:dyDescent="0.3">
      <c r="C28" t="s">
        <v>1109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%USERPROFILE%\Documents\GitHub\eaglep3-reporting\EC\2018-01-11-Runs-refined.txt</v>
      </c>
    </row>
    <row r="29" spans="3:24" x14ac:dyDescent="0.3">
      <c r="C29" t="s">
        <v>1110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%USERPROFILE%\Documents\GitHub\eaglep3-reporting\EC\2018-01-11-Trips.txt</v>
      </c>
    </row>
    <row r="30" spans="3:24" x14ac:dyDescent="0.3">
      <c r="C30" t="s">
        <v>1111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%USERPROFILE%\Documents\GitHub\eaglep3-reporting\EC\2018-01-11-Weather.txt</v>
      </c>
    </row>
    <row r="31" spans="3:24" x14ac:dyDescent="0.3">
      <c r="C31" t="s">
        <v>1112</v>
      </c>
      <c r="J31" s="139" t="s">
        <v>187</v>
      </c>
      <c r="M31" s="153" t="s">
        <v>188</v>
      </c>
    </row>
    <row r="32" spans="3:24" x14ac:dyDescent="0.3">
      <c r="C32" t="s">
        <v>1113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352</v>
      </c>
      <c r="J1" s="167" t="s">
        <v>329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330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192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193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194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195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196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197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198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199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200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201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202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203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204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205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206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207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208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209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210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211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212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213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214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215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216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217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218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219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220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221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222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223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224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225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226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227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228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229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230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231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232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233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234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235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236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237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238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239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240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241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242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243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244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245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246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247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248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249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250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251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252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253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254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255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256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257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258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259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260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261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262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263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264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265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266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267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268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269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270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271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272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273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274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275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276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277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278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279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280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281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282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283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284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285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286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287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288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289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290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291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292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293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294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295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296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297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298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299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300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301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302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303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304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305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306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307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308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309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310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311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312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313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314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315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316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317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318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319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320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321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2018-01-12T16:59:47Z</dcterms:modified>
</cp:coreProperties>
</file>