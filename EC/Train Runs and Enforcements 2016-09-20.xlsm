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Trips'!$B$2:$I$2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T15" i="1"/>
  <c r="V15" i="1"/>
  <c r="Y15" i="1"/>
  <c r="Z15" i="1"/>
  <c r="AA15" i="1" s="1"/>
  <c r="AB15" i="1"/>
  <c r="AC15" i="1"/>
  <c r="AD15" i="1"/>
  <c r="X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X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A51" i="1" s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S42" i="3" s="1"/>
  <c r="Y203" i="1"/>
  <c r="Z203" i="1"/>
  <c r="AB203" i="1"/>
  <c r="AC203" i="1"/>
  <c r="AD203" i="1"/>
  <c r="AE203" i="1"/>
  <c r="R42" i="3" s="1"/>
  <c r="AF20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M26" i="3"/>
  <c r="N26" i="3"/>
  <c r="U26" i="3"/>
  <c r="T26" i="3" s="1"/>
  <c r="V26" i="3"/>
  <c r="W26" i="3"/>
  <c r="X26" i="3"/>
  <c r="M17" i="3"/>
  <c r="N17" i="3"/>
  <c r="U17" i="3"/>
  <c r="T17" i="3" s="1"/>
  <c r="V17" i="3"/>
  <c r="W17" i="3"/>
  <c r="X17" i="3"/>
  <c r="M18" i="3"/>
  <c r="N18" i="3"/>
  <c r="U18" i="3"/>
  <c r="T18" i="3" s="1"/>
  <c r="V18" i="3"/>
  <c r="W18" i="3"/>
  <c r="X18" i="3"/>
  <c r="M41" i="3"/>
  <c r="N41" i="3"/>
  <c r="U41" i="3"/>
  <c r="T41" i="3" s="1"/>
  <c r="V41" i="3"/>
  <c r="W41" i="3"/>
  <c r="X41" i="3"/>
  <c r="M53" i="3"/>
  <c r="N53" i="3"/>
  <c r="U53" i="3"/>
  <c r="T53" i="3" s="1"/>
  <c r="V53" i="3"/>
  <c r="W53" i="3"/>
  <c r="X53" i="3"/>
  <c r="M27" i="3"/>
  <c r="N27" i="3"/>
  <c r="U27" i="3"/>
  <c r="T27" i="3" s="1"/>
  <c r="V27" i="3"/>
  <c r="W27" i="3"/>
  <c r="X27" i="3"/>
  <c r="M28" i="3"/>
  <c r="N28" i="3"/>
  <c r="U28" i="3"/>
  <c r="T28" i="3" s="1"/>
  <c r="V28" i="3"/>
  <c r="W28" i="3"/>
  <c r="X28" i="3"/>
  <c r="M43" i="3"/>
  <c r="N43" i="3"/>
  <c r="U43" i="3"/>
  <c r="T43" i="3" s="1"/>
  <c r="V43" i="3"/>
  <c r="W43" i="3"/>
  <c r="X43" i="3"/>
  <c r="M29" i="3"/>
  <c r="N29" i="3"/>
  <c r="U29" i="3"/>
  <c r="T29" i="3" s="1"/>
  <c r="V29" i="3"/>
  <c r="W29" i="3"/>
  <c r="X29" i="3"/>
  <c r="M38" i="3"/>
  <c r="N38" i="3"/>
  <c r="U38" i="3"/>
  <c r="T38" i="3" s="1"/>
  <c r="V38" i="3"/>
  <c r="W38" i="3"/>
  <c r="X38" i="3"/>
  <c r="M48" i="3"/>
  <c r="N48" i="3"/>
  <c r="U48" i="3"/>
  <c r="T48" i="3" s="1"/>
  <c r="V48" i="3"/>
  <c r="W48" i="3"/>
  <c r="X48" i="3"/>
  <c r="M49" i="3"/>
  <c r="N49" i="3"/>
  <c r="U49" i="3"/>
  <c r="T49" i="3" s="1"/>
  <c r="V49" i="3"/>
  <c r="W49" i="3"/>
  <c r="X49" i="3"/>
  <c r="M35" i="3"/>
  <c r="N35" i="3"/>
  <c r="U35" i="3"/>
  <c r="T35" i="3" s="1"/>
  <c r="V35" i="3"/>
  <c r="W35" i="3"/>
  <c r="X35" i="3"/>
  <c r="M45" i="3"/>
  <c r="N45" i="3"/>
  <c r="U45" i="3"/>
  <c r="T45" i="3" s="1"/>
  <c r="V45" i="3"/>
  <c r="W45" i="3"/>
  <c r="X45" i="3"/>
  <c r="M37" i="3"/>
  <c r="N37" i="3"/>
  <c r="U37" i="3"/>
  <c r="T37" i="3" s="1"/>
  <c r="V37" i="3"/>
  <c r="W37" i="3"/>
  <c r="X37" i="3"/>
  <c r="M46" i="3"/>
  <c r="N46" i="3"/>
  <c r="U46" i="3"/>
  <c r="T46" i="3" s="1"/>
  <c r="V46" i="3"/>
  <c r="W46" i="3"/>
  <c r="X46" i="3"/>
  <c r="M30" i="3"/>
  <c r="N30" i="3"/>
  <c r="U30" i="3"/>
  <c r="T30" i="3" s="1"/>
  <c r="V30" i="3"/>
  <c r="W30" i="3"/>
  <c r="X30" i="3"/>
  <c r="M40" i="3"/>
  <c r="N40" i="3"/>
  <c r="U40" i="3"/>
  <c r="T40" i="3" s="1"/>
  <c r="V40" i="3"/>
  <c r="W40" i="3"/>
  <c r="X40" i="3"/>
  <c r="M31" i="3"/>
  <c r="N31" i="3"/>
  <c r="U31" i="3"/>
  <c r="T31" i="3" s="1"/>
  <c r="V31" i="3"/>
  <c r="W31" i="3"/>
  <c r="X31" i="3"/>
  <c r="M10" i="3"/>
  <c r="N10" i="3"/>
  <c r="U10" i="3"/>
  <c r="T10" i="3" s="1"/>
  <c r="V10" i="3"/>
  <c r="W10" i="3"/>
  <c r="X10" i="3"/>
  <c r="M8" i="3"/>
  <c r="N8" i="3"/>
  <c r="U8" i="3"/>
  <c r="T8" i="3" s="1"/>
  <c r="V8" i="3"/>
  <c r="W8" i="3"/>
  <c r="X8" i="3"/>
  <c r="M19" i="3"/>
  <c r="N19" i="3"/>
  <c r="U19" i="3"/>
  <c r="T19" i="3" s="1"/>
  <c r="V19" i="3"/>
  <c r="W19" i="3"/>
  <c r="X19" i="3"/>
  <c r="M23" i="3"/>
  <c r="N23" i="3"/>
  <c r="U23" i="3"/>
  <c r="T23" i="3" s="1"/>
  <c r="V23" i="3"/>
  <c r="W23" i="3"/>
  <c r="X23" i="3"/>
  <c r="M21" i="3"/>
  <c r="N21" i="3"/>
  <c r="U21" i="3"/>
  <c r="T21" i="3" s="1"/>
  <c r="V21" i="3"/>
  <c r="W21" i="3"/>
  <c r="X21" i="3"/>
  <c r="M36" i="3"/>
  <c r="N36" i="3"/>
  <c r="U36" i="3"/>
  <c r="T36" i="3" s="1"/>
  <c r="V36" i="3"/>
  <c r="W36" i="3"/>
  <c r="X36" i="3"/>
  <c r="M24" i="3"/>
  <c r="N24" i="3"/>
  <c r="U24" i="3"/>
  <c r="T24" i="3" s="1"/>
  <c r="V24" i="3"/>
  <c r="W24" i="3"/>
  <c r="X24" i="3"/>
  <c r="M7" i="3"/>
  <c r="N7" i="3"/>
  <c r="U7" i="3"/>
  <c r="T7" i="3" s="1"/>
  <c r="V7" i="3"/>
  <c r="W7" i="3"/>
  <c r="X7" i="3"/>
  <c r="M32" i="3"/>
  <c r="N32" i="3"/>
  <c r="U32" i="3"/>
  <c r="T32" i="3" s="1"/>
  <c r="V32" i="3"/>
  <c r="W32" i="3"/>
  <c r="X32" i="3"/>
  <c r="M33" i="3"/>
  <c r="N33" i="3"/>
  <c r="U33" i="3"/>
  <c r="T33" i="3" s="1"/>
  <c r="V33" i="3"/>
  <c r="W33" i="3"/>
  <c r="X33" i="3"/>
  <c r="M39" i="3"/>
  <c r="N39" i="3"/>
  <c r="U39" i="3"/>
  <c r="T39" i="3" s="1"/>
  <c r="V39" i="3"/>
  <c r="W39" i="3"/>
  <c r="X39" i="3"/>
  <c r="M13" i="3"/>
  <c r="N13" i="3"/>
  <c r="U13" i="3"/>
  <c r="T13" i="3" s="1"/>
  <c r="V13" i="3"/>
  <c r="W13" i="3"/>
  <c r="X13" i="3"/>
  <c r="M22" i="3"/>
  <c r="N22" i="3"/>
  <c r="U22" i="3"/>
  <c r="T22" i="3" s="1"/>
  <c r="V22" i="3"/>
  <c r="W22" i="3"/>
  <c r="X22" i="3"/>
  <c r="M20" i="3"/>
  <c r="N20" i="3"/>
  <c r="U20" i="3"/>
  <c r="T20" i="3" s="1"/>
  <c r="V20" i="3"/>
  <c r="W20" i="3"/>
  <c r="X20" i="3"/>
  <c r="M34" i="3"/>
  <c r="N34" i="3"/>
  <c r="U34" i="3"/>
  <c r="T34" i="3" s="1"/>
  <c r="V34" i="3"/>
  <c r="W34" i="3"/>
  <c r="X34" i="3"/>
  <c r="M15" i="3"/>
  <c r="N15" i="3"/>
  <c r="U15" i="3"/>
  <c r="T15" i="3" s="1"/>
  <c r="V15" i="3"/>
  <c r="W15" i="3"/>
  <c r="X15" i="3"/>
  <c r="M25" i="3"/>
  <c r="N25" i="3"/>
  <c r="U25" i="3"/>
  <c r="T25" i="3" s="1"/>
  <c r="V25" i="3"/>
  <c r="W25" i="3"/>
  <c r="X25" i="3"/>
  <c r="M16" i="3"/>
  <c r="N16" i="3"/>
  <c r="U16" i="3"/>
  <c r="T16" i="3" s="1"/>
  <c r="V16" i="3"/>
  <c r="W16" i="3"/>
  <c r="X16" i="3"/>
  <c r="M14" i="3"/>
  <c r="N14" i="3"/>
  <c r="U14" i="3"/>
  <c r="T14" i="3" s="1"/>
  <c r="V14" i="3"/>
  <c r="W14" i="3"/>
  <c r="X14" i="3"/>
  <c r="M11" i="3"/>
  <c r="N11" i="3"/>
  <c r="U11" i="3"/>
  <c r="T11" i="3" s="1"/>
  <c r="V11" i="3"/>
  <c r="W11" i="3"/>
  <c r="X11" i="3"/>
  <c r="M9" i="3"/>
  <c r="N9" i="3"/>
  <c r="U9" i="3"/>
  <c r="T9" i="3" s="1"/>
  <c r="V9" i="3"/>
  <c r="W9" i="3"/>
  <c r="X9" i="3"/>
  <c r="M54" i="3"/>
  <c r="N54" i="3"/>
  <c r="U54" i="3"/>
  <c r="T54" i="3" s="1"/>
  <c r="V54" i="3"/>
  <c r="W54" i="3"/>
  <c r="X54" i="3"/>
  <c r="M44" i="3"/>
  <c r="N44" i="3"/>
  <c r="U44" i="3"/>
  <c r="T44" i="3" s="1"/>
  <c r="V44" i="3"/>
  <c r="W44" i="3"/>
  <c r="X44" i="3"/>
  <c r="M55" i="3"/>
  <c r="N55" i="3"/>
  <c r="U55" i="3"/>
  <c r="T55" i="3" s="1"/>
  <c r="V55" i="3"/>
  <c r="W55" i="3"/>
  <c r="X55" i="3"/>
  <c r="M50" i="3"/>
  <c r="N50" i="3"/>
  <c r="U50" i="3"/>
  <c r="T50" i="3" s="1"/>
  <c r="V50" i="3"/>
  <c r="W50" i="3"/>
  <c r="X50" i="3"/>
  <c r="M51" i="3"/>
  <c r="N51" i="3"/>
  <c r="U51" i="3"/>
  <c r="T51" i="3" s="1"/>
  <c r="V51" i="3"/>
  <c r="W51" i="3"/>
  <c r="X51" i="3"/>
  <c r="M52" i="3"/>
  <c r="N52" i="3"/>
  <c r="T52" i="3"/>
  <c r="U52" i="3"/>
  <c r="V52" i="3"/>
  <c r="W52" i="3"/>
  <c r="X52" i="3"/>
  <c r="M42" i="3"/>
  <c r="N42" i="3"/>
  <c r="U42" i="3"/>
  <c r="T42" i="3" s="1"/>
  <c r="V42" i="3"/>
  <c r="W42" i="3"/>
  <c r="X42" i="3"/>
  <c r="M12" i="3"/>
  <c r="N12" i="3"/>
  <c r="U12" i="3"/>
  <c r="T12" i="3" s="1"/>
  <c r="V12" i="3"/>
  <c r="W12" i="3"/>
  <c r="X12" i="3"/>
  <c r="X31" i="1" l="1"/>
  <c r="AG29" i="1"/>
  <c r="X18" i="1"/>
  <c r="X178" i="1"/>
  <c r="AA130" i="1"/>
  <c r="AA210" i="1"/>
  <c r="AA71" i="1"/>
  <c r="X66" i="1"/>
  <c r="T113" i="1"/>
  <c r="AA194" i="1"/>
  <c r="AA141" i="1"/>
  <c r="AA121" i="1"/>
  <c r="AA104" i="1"/>
  <c r="AA100" i="1"/>
  <c r="AA66" i="1"/>
  <c r="W66" i="1" s="1"/>
  <c r="T66" i="1"/>
  <c r="X76" i="1"/>
  <c r="AA192" i="1"/>
  <c r="AA216" i="1"/>
  <c r="W216" i="1" s="1"/>
  <c r="AA215" i="1"/>
  <c r="AA156" i="1"/>
  <c r="AI153" i="1"/>
  <c r="AA152" i="1"/>
  <c r="X17" i="1"/>
  <c r="AA183" i="1"/>
  <c r="AA178" i="1"/>
  <c r="AA162" i="1"/>
  <c r="AA219" i="1"/>
  <c r="T216" i="1"/>
  <c r="X92" i="1"/>
  <c r="AA89" i="1"/>
  <c r="X16" i="1"/>
  <c r="AA179" i="1"/>
  <c r="X170" i="1"/>
  <c r="AA214" i="1"/>
  <c r="W214" i="1" s="1"/>
  <c r="AA195" i="1"/>
  <c r="AA191" i="1"/>
  <c r="T178" i="1"/>
  <c r="AA144" i="1"/>
  <c r="W144" i="1" s="1"/>
  <c r="X143" i="1"/>
  <c r="AA122" i="1"/>
  <c r="AA105" i="1"/>
  <c r="AG80" i="1"/>
  <c r="X80" i="1"/>
  <c r="X47" i="1"/>
  <c r="AA44" i="1"/>
  <c r="AA40" i="1"/>
  <c r="AG27" i="1"/>
  <c r="AA128" i="1"/>
  <c r="AG122" i="1"/>
  <c r="T76" i="1"/>
  <c r="U76" i="1" s="1"/>
  <c r="S76" i="1" s="1"/>
  <c r="T53" i="1"/>
  <c r="X162" i="1"/>
  <c r="X186" i="1"/>
  <c r="T170" i="1"/>
  <c r="X220" i="1"/>
  <c r="AA217" i="1"/>
  <c r="T143" i="1"/>
  <c r="AG138" i="1"/>
  <c r="AA85" i="1"/>
  <c r="X84" i="1"/>
  <c r="AA81" i="1"/>
  <c r="AA52" i="1"/>
  <c r="AG38" i="1"/>
  <c r="X38" i="1"/>
  <c r="AA23" i="1"/>
  <c r="AA19" i="1"/>
  <c r="W19" i="1" s="1"/>
  <c r="AA212" i="1"/>
  <c r="AA170" i="1"/>
  <c r="AA209" i="1"/>
  <c r="X147" i="1"/>
  <c r="AA142" i="1"/>
  <c r="AA137" i="1"/>
  <c r="AA132" i="1"/>
  <c r="T88" i="1"/>
  <c r="U88" i="1" s="1"/>
  <c r="S88" i="1" s="1"/>
  <c r="AA86" i="1"/>
  <c r="AA82" i="1"/>
  <c r="AA68" i="1"/>
  <c r="AA48" i="1"/>
  <c r="W48" i="1" s="1"/>
  <c r="AA35" i="1"/>
  <c r="AA138" i="1"/>
  <c r="W128" i="1"/>
  <c r="AA111" i="1"/>
  <c r="AA103" i="1"/>
  <c r="AA93" i="1"/>
  <c r="AA87" i="1"/>
  <c r="AA50" i="1"/>
  <c r="AA39" i="1"/>
  <c r="AA38" i="1"/>
  <c r="AA199" i="1"/>
  <c r="AA163" i="1"/>
  <c r="AA213" i="1"/>
  <c r="AA171" i="1"/>
  <c r="AG163" i="1"/>
  <c r="X163" i="1"/>
  <c r="T212" i="1"/>
  <c r="AA186" i="1"/>
  <c r="T186" i="1"/>
  <c r="AA184" i="1"/>
  <c r="AG171" i="1"/>
  <c r="X171" i="1"/>
  <c r="T162" i="1"/>
  <c r="AA221" i="1"/>
  <c r="AA220" i="1"/>
  <c r="T220" i="1"/>
  <c r="AA218" i="1"/>
  <c r="X216" i="1"/>
  <c r="AA208" i="1"/>
  <c r="AA155" i="1"/>
  <c r="AI154" i="1"/>
  <c r="AA154" i="1"/>
  <c r="W154" i="1" s="1"/>
  <c r="AA153" i="1"/>
  <c r="W153" i="1" s="1"/>
  <c r="AG143" i="1"/>
  <c r="AG139" i="1"/>
  <c r="X139" i="1"/>
  <c r="AA129" i="1"/>
  <c r="AA124" i="1"/>
  <c r="AA123" i="1"/>
  <c r="AA110" i="1"/>
  <c r="W110" i="1" s="1"/>
  <c r="AA106" i="1"/>
  <c r="AA97" i="1"/>
  <c r="AA91" i="1"/>
  <c r="AA83" i="1"/>
  <c r="AA79" i="1"/>
  <c r="AA78" i="1"/>
  <c r="AG75" i="1"/>
  <c r="AI75" i="1" s="1"/>
  <c r="AA67" i="1"/>
  <c r="AA41" i="1"/>
  <c r="X39" i="1"/>
  <c r="AA32" i="1"/>
  <c r="AI27" i="1"/>
  <c r="T26" i="1"/>
  <c r="T22" i="1"/>
  <c r="X19" i="1"/>
  <c r="AG186" i="1"/>
  <c r="AI186" i="1" s="1"/>
  <c r="AG220" i="1"/>
  <c r="AA148" i="1"/>
  <c r="AG101" i="1"/>
  <c r="X101" i="1"/>
  <c r="AG63" i="1"/>
  <c r="AI63" i="1" s="1"/>
  <c r="AA55" i="1"/>
  <c r="AG189" i="1"/>
  <c r="T208" i="1"/>
  <c r="U208" i="1" s="1"/>
  <c r="S208" i="1" s="1"/>
  <c r="X205" i="1"/>
  <c r="AG156" i="1"/>
  <c r="W156" i="1" s="1"/>
  <c r="X140" i="1"/>
  <c r="AA131" i="1"/>
  <c r="X117" i="1"/>
  <c r="AG100" i="1"/>
  <c r="X96" i="1"/>
  <c r="T92" i="1"/>
  <c r="T84" i="1"/>
  <c r="AI76" i="1"/>
  <c r="T65" i="1"/>
  <c r="AA61" i="1"/>
  <c r="X50" i="1"/>
  <c r="AI49" i="1"/>
  <c r="AA43" i="1"/>
  <c r="AA36" i="1"/>
  <c r="X34" i="1"/>
  <c r="AA31" i="1"/>
  <c r="AA27" i="1"/>
  <c r="W27" i="1" s="1"/>
  <c r="AA198" i="1"/>
  <c r="T197" i="1"/>
  <c r="AG187" i="1"/>
  <c r="X187" i="1"/>
  <c r="AG173" i="1"/>
  <c r="U173" i="1" s="1"/>
  <c r="S173" i="1" s="1"/>
  <c r="AG165" i="1"/>
  <c r="X221" i="1"/>
  <c r="W220" i="1"/>
  <c r="T147" i="1"/>
  <c r="AA75" i="1"/>
  <c r="T69" i="1"/>
  <c r="T47" i="1"/>
  <c r="T42" i="1"/>
  <c r="U42" i="1" s="1"/>
  <c r="S42" i="1" s="1"/>
  <c r="AG18" i="1"/>
  <c r="AG14" i="1"/>
  <c r="AG213" i="1"/>
  <c r="AI213" i="1" s="1"/>
  <c r="X213" i="1"/>
  <c r="AA187" i="1"/>
  <c r="AG179" i="1"/>
  <c r="W179" i="1" s="1"/>
  <c r="X179" i="1"/>
  <c r="AA203" i="1"/>
  <c r="AA202" i="1"/>
  <c r="AA200" i="1"/>
  <c r="AG198" i="1"/>
  <c r="X198" i="1"/>
  <c r="AA197" i="1"/>
  <c r="AG181" i="1"/>
  <c r="AG178" i="1"/>
  <c r="AI178" i="1" s="1"/>
  <c r="AA177" i="1"/>
  <c r="AA176" i="1"/>
  <c r="AA175" i="1"/>
  <c r="AG170" i="1"/>
  <c r="AI170" i="1" s="1"/>
  <c r="AA169" i="1"/>
  <c r="AA168" i="1"/>
  <c r="AA167" i="1"/>
  <c r="AG162" i="1"/>
  <c r="AI162" i="1" s="1"/>
  <c r="AA161" i="1"/>
  <c r="AA160" i="1"/>
  <c r="AA159" i="1"/>
  <c r="AG157" i="1"/>
  <c r="AI157" i="1" s="1"/>
  <c r="AA207" i="1"/>
  <c r="AA206" i="1"/>
  <c r="AA205" i="1"/>
  <c r="X148" i="1"/>
  <c r="AA139" i="1"/>
  <c r="W139" i="1" s="1"/>
  <c r="AA135" i="1"/>
  <c r="AG127" i="1"/>
  <c r="X127" i="1"/>
  <c r="AG117" i="1"/>
  <c r="AI117" i="1" s="1"/>
  <c r="AA113" i="1"/>
  <c r="W113" i="1" s="1"/>
  <c r="AG109" i="1"/>
  <c r="AA102" i="1"/>
  <c r="AG97" i="1"/>
  <c r="U97" i="1" s="1"/>
  <c r="S97" i="1" s="1"/>
  <c r="X97" i="1"/>
  <c r="AA96" i="1"/>
  <c r="T96" i="1"/>
  <c r="AA92" i="1"/>
  <c r="AA88" i="1"/>
  <c r="AA84" i="1"/>
  <c r="AA72" i="1"/>
  <c r="AA56" i="1"/>
  <c r="AI48" i="1"/>
  <c r="AA42" i="1"/>
  <c r="X27" i="1"/>
  <c r="AA26" i="1"/>
  <c r="W26" i="1" s="1"/>
  <c r="AA22" i="1"/>
  <c r="W22" i="1" s="1"/>
  <c r="T18" i="1"/>
  <c r="AG15" i="1"/>
  <c r="W15" i="1" s="1"/>
  <c r="W213" i="1"/>
  <c r="AA90" i="1"/>
  <c r="X89" i="1"/>
  <c r="X85" i="1"/>
  <c r="AI80" i="1"/>
  <c r="T74" i="1"/>
  <c r="T70" i="1"/>
  <c r="T58" i="1"/>
  <c r="T54" i="1"/>
  <c r="U54" i="1" s="1"/>
  <c r="S54" i="1" s="1"/>
  <c r="T34" i="1"/>
  <c r="AA24" i="1"/>
  <c r="AA21" i="1"/>
  <c r="AA20" i="1"/>
  <c r="AA18" i="1"/>
  <c r="W18" i="1" s="1"/>
  <c r="AA14" i="1"/>
  <c r="AG221" i="1"/>
  <c r="AI221" i="1" s="1"/>
  <c r="X152" i="1"/>
  <c r="AA149" i="1"/>
  <c r="AA140" i="1"/>
  <c r="AA136" i="1"/>
  <c r="W136" i="1" s="1"/>
  <c r="AG134" i="1"/>
  <c r="AI134" i="1" s="1"/>
  <c r="X128" i="1"/>
  <c r="AG120" i="1"/>
  <c r="X120" i="1"/>
  <c r="AA117" i="1"/>
  <c r="AA101" i="1"/>
  <c r="AG96" i="1"/>
  <c r="AA95" i="1"/>
  <c r="AA94" i="1"/>
  <c r="W94" i="1" s="1"/>
  <c r="X81" i="1"/>
  <c r="AA74" i="1"/>
  <c r="W74" i="1" s="1"/>
  <c r="AA70" i="1"/>
  <c r="W70" i="1" s="1"/>
  <c r="AA63" i="1"/>
  <c r="W63" i="1" s="1"/>
  <c r="AA60" i="1"/>
  <c r="AA59" i="1"/>
  <c r="AA58" i="1"/>
  <c r="AA54" i="1"/>
  <c r="W54" i="1" s="1"/>
  <c r="AA34" i="1"/>
  <c r="AG30" i="1"/>
  <c r="X30" i="1"/>
  <c r="AA29" i="1"/>
  <c r="W29" i="1" s="1"/>
  <c r="T193" i="1"/>
  <c r="AG193" i="1"/>
  <c r="X191" i="1"/>
  <c r="AG191" i="1"/>
  <c r="W191" i="1" s="1"/>
  <c r="X183" i="1"/>
  <c r="AG183" i="1"/>
  <c r="X175" i="1"/>
  <c r="AG175" i="1"/>
  <c r="X194" i="1"/>
  <c r="AG194" i="1"/>
  <c r="W194" i="1" s="1"/>
  <c r="AG203" i="1"/>
  <c r="X204" i="1"/>
  <c r="X202" i="1"/>
  <c r="AG202" i="1"/>
  <c r="T201" i="1"/>
  <c r="AG201" i="1"/>
  <c r="T194" i="1"/>
  <c r="T190" i="1"/>
  <c r="X190" i="1"/>
  <c r="AG190" i="1"/>
  <c r="AI190" i="1" s="1"/>
  <c r="T182" i="1"/>
  <c r="X182" i="1"/>
  <c r="AG182" i="1"/>
  <c r="AI182" i="1" s="1"/>
  <c r="T174" i="1"/>
  <c r="U174" i="1" s="1"/>
  <c r="S174" i="1" s="1"/>
  <c r="X174" i="1"/>
  <c r="AG174" i="1"/>
  <c r="AI174" i="1" s="1"/>
  <c r="X167" i="1"/>
  <c r="AG167" i="1"/>
  <c r="T202" i="1"/>
  <c r="W195" i="1"/>
  <c r="T191" i="1"/>
  <c r="T183" i="1"/>
  <c r="T175" i="1"/>
  <c r="T166" i="1"/>
  <c r="X166" i="1"/>
  <c r="AG166" i="1"/>
  <c r="AI166" i="1" s="1"/>
  <c r="X159" i="1"/>
  <c r="AG159" i="1"/>
  <c r="U159" i="1" s="1"/>
  <c r="S159" i="1" s="1"/>
  <c r="W183" i="1"/>
  <c r="W175" i="1"/>
  <c r="T167" i="1"/>
  <c r="T158" i="1"/>
  <c r="X158" i="1"/>
  <c r="AG158" i="1"/>
  <c r="AI158" i="1" s="1"/>
  <c r="T205" i="1"/>
  <c r="AG132" i="1"/>
  <c r="X132" i="1"/>
  <c r="W212" i="1"/>
  <c r="W197" i="1"/>
  <c r="AG217" i="1"/>
  <c r="AG209" i="1"/>
  <c r="AG205" i="1"/>
  <c r="AI205" i="1" s="1"/>
  <c r="T152" i="1"/>
  <c r="T148" i="1"/>
  <c r="AA147" i="1"/>
  <c r="AG146" i="1"/>
  <c r="U146" i="1" s="1"/>
  <c r="S146" i="1" s="1"/>
  <c r="T144" i="1"/>
  <c r="X136" i="1"/>
  <c r="AG135" i="1"/>
  <c r="U135" i="1" s="1"/>
  <c r="X135" i="1"/>
  <c r="T128" i="1"/>
  <c r="AG123" i="1"/>
  <c r="U123" i="1" s="1"/>
  <c r="S123" i="1" s="1"/>
  <c r="X123" i="1"/>
  <c r="W122" i="1"/>
  <c r="AG115" i="1"/>
  <c r="AG112" i="1"/>
  <c r="U112" i="1" s="1"/>
  <c r="S112" i="1" s="1"/>
  <c r="AA109" i="1"/>
  <c r="W109" i="1" s="1"/>
  <c r="AG108" i="1"/>
  <c r="U108" i="1" s="1"/>
  <c r="S108" i="1" s="1"/>
  <c r="AG104" i="1"/>
  <c r="W104" i="1" s="1"/>
  <c r="T104" i="1"/>
  <c r="U104" i="1" s="1"/>
  <c r="S104" i="1" s="1"/>
  <c r="U101" i="1"/>
  <c r="S101" i="1" s="1"/>
  <c r="AI101" i="1"/>
  <c r="AI23" i="1"/>
  <c r="AI19" i="1"/>
  <c r="AA211" i="1"/>
  <c r="AA196" i="1"/>
  <c r="AA189" i="1"/>
  <c r="W189" i="1" s="1"/>
  <c r="AA188" i="1"/>
  <c r="AG185" i="1"/>
  <c r="W185" i="1" s="1"/>
  <c r="AA181" i="1"/>
  <c r="W181" i="1" s="1"/>
  <c r="AA180" i="1"/>
  <c r="AG177" i="1"/>
  <c r="AI177" i="1" s="1"/>
  <c r="AA173" i="1"/>
  <c r="AA172" i="1"/>
  <c r="AG169" i="1"/>
  <c r="AA165" i="1"/>
  <c r="W165" i="1" s="1"/>
  <c r="AA164" i="1"/>
  <c r="AG161" i="1"/>
  <c r="AI161" i="1" s="1"/>
  <c r="AA157" i="1"/>
  <c r="AA222" i="1"/>
  <c r="AG219" i="1"/>
  <c r="W219" i="1" s="1"/>
  <c r="AG215" i="1"/>
  <c r="W215" i="1" s="1"/>
  <c r="AG207" i="1"/>
  <c r="AA204" i="1"/>
  <c r="W204" i="1" s="1"/>
  <c r="T204" i="1"/>
  <c r="U204" i="1" s="1"/>
  <c r="S204" i="1" s="1"/>
  <c r="X155" i="1"/>
  <c r="AG152" i="1"/>
  <c r="AG151" i="1"/>
  <c r="U151" i="1" s="1"/>
  <c r="S151" i="1" s="1"/>
  <c r="AG148" i="1"/>
  <c r="W148" i="1" s="1"/>
  <c r="AG147" i="1"/>
  <c r="AI147" i="1" s="1"/>
  <c r="AA143" i="1"/>
  <c r="W143" i="1" s="1"/>
  <c r="AG142" i="1"/>
  <c r="W142" i="1" s="1"/>
  <c r="T140" i="1"/>
  <c r="U140" i="1" s="1"/>
  <c r="S140" i="1" s="1"/>
  <c r="AA134" i="1"/>
  <c r="AA133" i="1"/>
  <c r="AG130" i="1"/>
  <c r="W130" i="1" s="1"/>
  <c r="U127" i="1"/>
  <c r="AA126" i="1"/>
  <c r="AA125" i="1"/>
  <c r="X124" i="1"/>
  <c r="T117" i="1"/>
  <c r="X116" i="1"/>
  <c r="AG116" i="1"/>
  <c r="U116" i="1" s="1"/>
  <c r="S116" i="1" s="1"/>
  <c r="U113" i="1"/>
  <c r="S113" i="1" s="1"/>
  <c r="AI113" i="1"/>
  <c r="X113" i="1"/>
  <c r="X109" i="1"/>
  <c r="AI93" i="1"/>
  <c r="AI43" i="1"/>
  <c r="U139" i="1"/>
  <c r="S139" i="1" s="1"/>
  <c r="U213" i="1"/>
  <c r="S213" i="1" s="1"/>
  <c r="AA201" i="1"/>
  <c r="U198" i="1"/>
  <c r="S198" i="1" s="1"/>
  <c r="AA193" i="1"/>
  <c r="AA190" i="1"/>
  <c r="U187" i="1"/>
  <c r="S187" i="1" s="1"/>
  <c r="AI198" i="1"/>
  <c r="AA182" i="1"/>
  <c r="U179" i="1"/>
  <c r="S179" i="1" s="1"/>
  <c r="AA174" i="1"/>
  <c r="W174" i="1" s="1"/>
  <c r="U171" i="1"/>
  <c r="S171" i="1" s="1"/>
  <c r="AA166" i="1"/>
  <c r="U163" i="1"/>
  <c r="S163" i="1" s="1"/>
  <c r="AA158" i="1"/>
  <c r="U221" i="1"/>
  <c r="S221" i="1" s="1"/>
  <c r="X208" i="1"/>
  <c r="AA146" i="1"/>
  <c r="AA145" i="1"/>
  <c r="X144" i="1"/>
  <c r="U143" i="1"/>
  <c r="S143" i="1" s="1"/>
  <c r="T136" i="1"/>
  <c r="U136" i="1" s="1"/>
  <c r="S136" i="1" s="1"/>
  <c r="T132" i="1"/>
  <c r="X131" i="1"/>
  <c r="AG131" i="1"/>
  <c r="U131" i="1" s="1"/>
  <c r="S131" i="1" s="1"/>
  <c r="T126" i="1"/>
  <c r="AG126" i="1"/>
  <c r="AA118" i="1"/>
  <c r="AA115" i="1"/>
  <c r="W115" i="1" s="1"/>
  <c r="AA114" i="1"/>
  <c r="U109" i="1"/>
  <c r="S109" i="1" s="1"/>
  <c r="AI109" i="1"/>
  <c r="AA107" i="1"/>
  <c r="AG105" i="1"/>
  <c r="W105" i="1" s="1"/>
  <c r="X105" i="1"/>
  <c r="W123" i="1"/>
  <c r="AA127" i="1"/>
  <c r="W127" i="1" s="1"/>
  <c r="T124" i="1"/>
  <c r="U124" i="1" s="1"/>
  <c r="S124" i="1" s="1"/>
  <c r="AA112" i="1"/>
  <c r="AA108" i="1"/>
  <c r="AA99" i="1"/>
  <c r="AA98" i="1"/>
  <c r="W98" i="1" s="1"/>
  <c r="AG95" i="1"/>
  <c r="U95" i="1" s="1"/>
  <c r="X93" i="1"/>
  <c r="AG89" i="1"/>
  <c r="AG85" i="1"/>
  <c r="W85" i="1" s="1"/>
  <c r="AG84" i="1"/>
  <c r="W84" i="1" s="1"/>
  <c r="AA80" i="1"/>
  <c r="AG79" i="1"/>
  <c r="W79" i="1" s="1"/>
  <c r="X79" i="1"/>
  <c r="AA77" i="1"/>
  <c r="AA76" i="1"/>
  <c r="W76" i="1" s="1"/>
  <c r="T73" i="1"/>
  <c r="U73" i="1" s="1"/>
  <c r="S73" i="1" s="1"/>
  <c r="X70" i="1"/>
  <c r="AG67" i="1"/>
  <c r="AA65" i="1"/>
  <c r="W65" i="1" s="1"/>
  <c r="AA64" i="1"/>
  <c r="AA62" i="1"/>
  <c r="W62" i="1" s="1"/>
  <c r="T62" i="1"/>
  <c r="U62" i="1" s="1"/>
  <c r="S62" i="1" s="1"/>
  <c r="T57" i="1"/>
  <c r="X54" i="1"/>
  <c r="AG51" i="1"/>
  <c r="W51" i="1" s="1"/>
  <c r="AA49" i="1"/>
  <c r="W49" i="1" s="1"/>
  <c r="T48" i="1"/>
  <c r="X43" i="1"/>
  <c r="AG39" i="1"/>
  <c r="W39" i="1" s="1"/>
  <c r="AG37" i="1"/>
  <c r="U37" i="1" s="1"/>
  <c r="S37" i="1" s="1"/>
  <c r="AG35" i="1"/>
  <c r="AG34" i="1"/>
  <c r="W34" i="1" s="1"/>
  <c r="AA30" i="1"/>
  <c r="W30" i="1" s="1"/>
  <c r="U29" i="1"/>
  <c r="S29" i="1" s="1"/>
  <c r="U27" i="1"/>
  <c r="S27" i="1" s="1"/>
  <c r="X26" i="1"/>
  <c r="X23" i="1"/>
  <c r="X22" i="1"/>
  <c r="AA17" i="1"/>
  <c r="AA16" i="1"/>
  <c r="W93" i="1"/>
  <c r="T81" i="1"/>
  <c r="W43" i="1"/>
  <c r="W42" i="1"/>
  <c r="T31" i="1"/>
  <c r="AA25" i="1"/>
  <c r="W23" i="1"/>
  <c r="T93" i="1"/>
  <c r="U93" i="1" s="1"/>
  <c r="S93" i="1" s="1"/>
  <c r="W88" i="1"/>
  <c r="AG81" i="1"/>
  <c r="AG78" i="1"/>
  <c r="AI78" i="1" s="1"/>
  <c r="AA73" i="1"/>
  <c r="W73" i="1" s="1"/>
  <c r="X62" i="1"/>
  <c r="AG61" i="1"/>
  <c r="AG59" i="1"/>
  <c r="AA57" i="1"/>
  <c r="W57" i="1" s="1"/>
  <c r="AA47" i="1"/>
  <c r="AG46" i="1"/>
  <c r="U46" i="1" s="1"/>
  <c r="T43" i="1"/>
  <c r="U43" i="1" s="1"/>
  <c r="S43" i="1" s="1"/>
  <c r="AG31" i="1"/>
  <c r="T23" i="1"/>
  <c r="U23" i="1" s="1"/>
  <c r="S23" i="1" s="1"/>
  <c r="T19" i="1"/>
  <c r="U19" i="1" s="1"/>
  <c r="S19" i="1" s="1"/>
  <c r="AG17" i="1"/>
  <c r="W14" i="1"/>
  <c r="W100" i="1"/>
  <c r="W96" i="1"/>
  <c r="AG92" i="1"/>
  <c r="AI92" i="1" s="1"/>
  <c r="AG83" i="1"/>
  <c r="AI83" i="1" s="1"/>
  <c r="X74" i="1"/>
  <c r="AG71" i="1"/>
  <c r="AI71" i="1" s="1"/>
  <c r="AA69" i="1"/>
  <c r="W69" i="1" s="1"/>
  <c r="X58" i="1"/>
  <c r="AG55" i="1"/>
  <c r="AI55" i="1" s="1"/>
  <c r="AA53" i="1"/>
  <c r="W53" i="1" s="1"/>
  <c r="AG47" i="1"/>
  <c r="AI47" i="1" s="1"/>
  <c r="W38" i="1"/>
  <c r="AG33" i="1"/>
  <c r="U33" i="1" s="1"/>
  <c r="S33" i="1" s="1"/>
  <c r="AA28" i="1"/>
  <c r="AG25" i="1"/>
  <c r="U25" i="1" s="1"/>
  <c r="S25" i="1" s="1"/>
  <c r="AG21" i="1"/>
  <c r="U21" i="1" s="1"/>
  <c r="S21" i="1" s="1"/>
  <c r="AI165" i="1"/>
  <c r="U216" i="1"/>
  <c r="S216" i="1" s="1"/>
  <c r="AI214" i="1"/>
  <c r="W199" i="1"/>
  <c r="W208" i="1"/>
  <c r="X214" i="1"/>
  <c r="T214" i="1"/>
  <c r="U214" i="1" s="1"/>
  <c r="S214" i="1" s="1"/>
  <c r="X203" i="1"/>
  <c r="T203" i="1"/>
  <c r="X199" i="1"/>
  <c r="T199" i="1"/>
  <c r="U199" i="1" s="1"/>
  <c r="S199" i="1" s="1"/>
  <c r="X195" i="1"/>
  <c r="T195" i="1"/>
  <c r="U195" i="1" s="1"/>
  <c r="S195" i="1" s="1"/>
  <c r="U178" i="1"/>
  <c r="S178" i="1" s="1"/>
  <c r="U162" i="1"/>
  <c r="S162" i="1" s="1"/>
  <c r="U220" i="1"/>
  <c r="S220" i="1" s="1"/>
  <c r="X217" i="1"/>
  <c r="X209" i="1"/>
  <c r="T154" i="1"/>
  <c r="U154" i="1" s="1"/>
  <c r="S154" i="1" s="1"/>
  <c r="X154" i="1"/>
  <c r="X153" i="1"/>
  <c r="AA151" i="1"/>
  <c r="AA150" i="1"/>
  <c r="T149" i="1"/>
  <c r="X149" i="1"/>
  <c r="AG149" i="1"/>
  <c r="W149" i="1" s="1"/>
  <c r="AI140" i="1"/>
  <c r="AI124" i="1"/>
  <c r="U212" i="1"/>
  <c r="S212" i="1" s="1"/>
  <c r="U197" i="1"/>
  <c r="S197" i="1" s="1"/>
  <c r="U193" i="1"/>
  <c r="S193" i="1" s="1"/>
  <c r="U189" i="1"/>
  <c r="S189" i="1" s="1"/>
  <c r="U181" i="1"/>
  <c r="S181" i="1" s="1"/>
  <c r="U169" i="1"/>
  <c r="S169" i="1" s="1"/>
  <c r="U165" i="1"/>
  <c r="S165" i="1" s="1"/>
  <c r="U219" i="1"/>
  <c r="S219" i="1" s="1"/>
  <c r="U215" i="1"/>
  <c r="S215" i="1" s="1"/>
  <c r="U156" i="1"/>
  <c r="S156" i="1" s="1"/>
  <c r="T150" i="1"/>
  <c r="X150" i="1"/>
  <c r="AI136" i="1"/>
  <c r="W132" i="1"/>
  <c r="X212" i="1"/>
  <c r="AG211" i="1"/>
  <c r="W211" i="1" s="1"/>
  <c r="X201" i="1"/>
  <c r="AG200" i="1"/>
  <c r="AI200" i="1" s="1"/>
  <c r="X197" i="1"/>
  <c r="AG196" i="1"/>
  <c r="AI196" i="1" s="1"/>
  <c r="X193" i="1"/>
  <c r="AG192" i="1"/>
  <c r="AI192" i="1" s="1"/>
  <c r="X189" i="1"/>
  <c r="AG188" i="1"/>
  <c r="X185" i="1"/>
  <c r="AG184" i="1"/>
  <c r="AI197" i="1"/>
  <c r="X181" i="1"/>
  <c r="AG180" i="1"/>
  <c r="W180" i="1" s="1"/>
  <c r="AI193" i="1"/>
  <c r="X177" i="1"/>
  <c r="AG176" i="1"/>
  <c r="AI176" i="1" s="1"/>
  <c r="AI189" i="1"/>
  <c r="X173" i="1"/>
  <c r="AG172" i="1"/>
  <c r="AI172" i="1" s="1"/>
  <c r="X169" i="1"/>
  <c r="AG168" i="1"/>
  <c r="W168" i="1" s="1"/>
  <c r="AI181" i="1"/>
  <c r="X165" i="1"/>
  <c r="AG164" i="1"/>
  <c r="AI164" i="1" s="1"/>
  <c r="X161" i="1"/>
  <c r="AG160" i="1"/>
  <c r="AI160" i="1" s="1"/>
  <c r="X157" i="1"/>
  <c r="AG222" i="1"/>
  <c r="AI222" i="1" s="1"/>
  <c r="AI169" i="1"/>
  <c r="X219" i="1"/>
  <c r="AG218" i="1"/>
  <c r="W218" i="1" s="1"/>
  <c r="X215" i="1"/>
  <c r="AG210" i="1"/>
  <c r="W210" i="1" s="1"/>
  <c r="X207" i="1"/>
  <c r="AG206" i="1"/>
  <c r="AI206" i="1" s="1"/>
  <c r="X156" i="1"/>
  <c r="AG155" i="1"/>
  <c r="T155" i="1"/>
  <c r="X151" i="1"/>
  <c r="AG150" i="1"/>
  <c r="AI132" i="1"/>
  <c r="AI220" i="1"/>
  <c r="X211" i="1"/>
  <c r="AI216" i="1"/>
  <c r="X200" i="1"/>
  <c r="AI212" i="1"/>
  <c r="X196" i="1"/>
  <c r="AI208" i="1"/>
  <c r="X192" i="1"/>
  <c r="AI204" i="1"/>
  <c r="X188" i="1"/>
  <c r="X184" i="1"/>
  <c r="X180" i="1"/>
  <c r="X176" i="1"/>
  <c r="X172" i="1"/>
  <c r="AI184" i="1"/>
  <c r="X168" i="1"/>
  <c r="X164" i="1"/>
  <c r="X160" i="1"/>
  <c r="X222" i="1"/>
  <c r="X218" i="1"/>
  <c r="X210" i="1"/>
  <c r="X206" i="1"/>
  <c r="AI156" i="1"/>
  <c r="T153" i="1"/>
  <c r="U153" i="1" s="1"/>
  <c r="S153" i="1" s="1"/>
  <c r="U144" i="1"/>
  <c r="S144" i="1" s="1"/>
  <c r="AI144" i="1"/>
  <c r="W140" i="1"/>
  <c r="U128" i="1"/>
  <c r="S128" i="1" s="1"/>
  <c r="AI128" i="1"/>
  <c r="W124" i="1"/>
  <c r="U134" i="1"/>
  <c r="S134" i="1" s="1"/>
  <c r="U122" i="1"/>
  <c r="S122" i="1" s="1"/>
  <c r="AI120" i="1"/>
  <c r="AI119" i="1"/>
  <c r="AI102" i="1"/>
  <c r="AI90" i="1"/>
  <c r="AI86" i="1"/>
  <c r="X146" i="1"/>
  <c r="AG145" i="1"/>
  <c r="W145" i="1" s="1"/>
  <c r="AI143" i="1"/>
  <c r="X142" i="1"/>
  <c r="AG141" i="1"/>
  <c r="AI139" i="1"/>
  <c r="X138" i="1"/>
  <c r="AG137" i="1"/>
  <c r="W137" i="1" s="1"/>
  <c r="AI135" i="1"/>
  <c r="S135" i="1"/>
  <c r="X134" i="1"/>
  <c r="AG133" i="1"/>
  <c r="W133" i="1" s="1"/>
  <c r="X130" i="1"/>
  <c r="AG129" i="1"/>
  <c r="W129" i="1" s="1"/>
  <c r="AI127" i="1"/>
  <c r="S127" i="1"/>
  <c r="X126" i="1"/>
  <c r="AG125" i="1"/>
  <c r="W125" i="1" s="1"/>
  <c r="AI123" i="1"/>
  <c r="X122" i="1"/>
  <c r="AG121" i="1"/>
  <c r="W121" i="1" s="1"/>
  <c r="AA116" i="1"/>
  <c r="W116" i="1" s="1"/>
  <c r="W114" i="1"/>
  <c r="W106" i="1"/>
  <c r="AI98" i="1"/>
  <c r="W82" i="1"/>
  <c r="X145" i="1"/>
  <c r="AI142" i="1"/>
  <c r="X141" i="1"/>
  <c r="X137" i="1"/>
  <c r="X133" i="1"/>
  <c r="X129" i="1"/>
  <c r="AI126" i="1"/>
  <c r="X125" i="1"/>
  <c r="AI122" i="1"/>
  <c r="X121" i="1"/>
  <c r="AA120" i="1"/>
  <c r="W120" i="1" s="1"/>
  <c r="U120" i="1"/>
  <c r="S120" i="1" s="1"/>
  <c r="AA119" i="1"/>
  <c r="W119" i="1" s="1"/>
  <c r="AG118" i="1"/>
  <c r="W118" i="1" s="1"/>
  <c r="T118" i="1"/>
  <c r="X118" i="1"/>
  <c r="AI114" i="1"/>
  <c r="AI110" i="1"/>
  <c r="AI106" i="1"/>
  <c r="AI82" i="1"/>
  <c r="T119" i="1"/>
  <c r="U119" i="1" s="1"/>
  <c r="S119" i="1" s="1"/>
  <c r="X119" i="1"/>
  <c r="AI116" i="1"/>
  <c r="U115" i="1"/>
  <c r="S115" i="1" s="1"/>
  <c r="W102" i="1"/>
  <c r="AI94" i="1"/>
  <c r="W90" i="1"/>
  <c r="W86" i="1"/>
  <c r="AI115" i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X102" i="1"/>
  <c r="T102" i="1"/>
  <c r="U102" i="1" s="1"/>
  <c r="S102" i="1" s="1"/>
  <c r="X98" i="1"/>
  <c r="T98" i="1"/>
  <c r="U98" i="1" s="1"/>
  <c r="S98" i="1" s="1"/>
  <c r="AI95" i="1"/>
  <c r="S95" i="1"/>
  <c r="X94" i="1"/>
  <c r="T94" i="1"/>
  <c r="U94" i="1" s="1"/>
  <c r="S94" i="1" s="1"/>
  <c r="X90" i="1"/>
  <c r="T90" i="1"/>
  <c r="U90" i="1" s="1"/>
  <c r="S90" i="1" s="1"/>
  <c r="X86" i="1"/>
  <c r="T86" i="1"/>
  <c r="U86" i="1" s="1"/>
  <c r="S86" i="1" s="1"/>
  <c r="X82" i="1"/>
  <c r="T82" i="1"/>
  <c r="U82" i="1" s="1"/>
  <c r="S82" i="1" s="1"/>
  <c r="U80" i="1"/>
  <c r="S80" i="1" s="1"/>
  <c r="U78" i="1"/>
  <c r="AI77" i="1"/>
  <c r="U66" i="1"/>
  <c r="S66" i="1" s="1"/>
  <c r="AI66" i="1"/>
  <c r="U100" i="1"/>
  <c r="S100" i="1" s="1"/>
  <c r="U96" i="1"/>
  <c r="S96" i="1" s="1"/>
  <c r="U84" i="1"/>
  <c r="S84" i="1" s="1"/>
  <c r="S78" i="1"/>
  <c r="X77" i="1"/>
  <c r="U74" i="1"/>
  <c r="S74" i="1" s="1"/>
  <c r="AI74" i="1"/>
  <c r="U63" i="1"/>
  <c r="S63" i="1" s="1"/>
  <c r="AI62" i="1"/>
  <c r="W58" i="1"/>
  <c r="X112" i="1"/>
  <c r="AG111" i="1"/>
  <c r="X108" i="1"/>
  <c r="AG107" i="1"/>
  <c r="X104" i="1"/>
  <c r="AG103" i="1"/>
  <c r="X100" i="1"/>
  <c r="AG99" i="1"/>
  <c r="AG91" i="1"/>
  <c r="X88" i="1"/>
  <c r="AG87" i="1"/>
  <c r="AI73" i="1"/>
  <c r="U58" i="1"/>
  <c r="S58" i="1" s="1"/>
  <c r="AI58" i="1"/>
  <c r="X115" i="1"/>
  <c r="X111" i="1"/>
  <c r="X107" i="1"/>
  <c r="AI104" i="1"/>
  <c r="X103" i="1"/>
  <c r="AI100" i="1"/>
  <c r="X99" i="1"/>
  <c r="AI96" i="1"/>
  <c r="X95" i="1"/>
  <c r="X91" i="1"/>
  <c r="AI88" i="1"/>
  <c r="X87" i="1"/>
  <c r="AI84" i="1"/>
  <c r="X83" i="1"/>
  <c r="W77" i="1"/>
  <c r="T77" i="1"/>
  <c r="U77" i="1" s="1"/>
  <c r="S77" i="1" s="1"/>
  <c r="U75" i="1"/>
  <c r="S75" i="1" s="1"/>
  <c r="U71" i="1"/>
  <c r="S71" i="1" s="1"/>
  <c r="U70" i="1"/>
  <c r="S70" i="1" s="1"/>
  <c r="AI70" i="1"/>
  <c r="AI54" i="1"/>
  <c r="U69" i="1"/>
  <c r="S69" i="1" s="1"/>
  <c r="U65" i="1"/>
  <c r="S65" i="1" s="1"/>
  <c r="U61" i="1"/>
  <c r="S61" i="1" s="1"/>
  <c r="U57" i="1"/>
  <c r="S57" i="1" s="1"/>
  <c r="U53" i="1"/>
  <c r="S53" i="1" s="1"/>
  <c r="T32" i="1"/>
  <c r="X32" i="1"/>
  <c r="AG32" i="1"/>
  <c r="W32" i="1" s="1"/>
  <c r="X73" i="1"/>
  <c r="AG72" i="1"/>
  <c r="W72" i="1" s="1"/>
  <c r="X69" i="1"/>
  <c r="AG68" i="1"/>
  <c r="X65" i="1"/>
  <c r="AG64" i="1"/>
  <c r="X61" i="1"/>
  <c r="AG60" i="1"/>
  <c r="W60" i="1" s="1"/>
  <c r="X57" i="1"/>
  <c r="AG56" i="1"/>
  <c r="X53" i="1"/>
  <c r="AG52" i="1"/>
  <c r="T49" i="1"/>
  <c r="U49" i="1" s="1"/>
  <c r="S49" i="1" s="1"/>
  <c r="X49" i="1"/>
  <c r="X48" i="1"/>
  <c r="AA46" i="1"/>
  <c r="W46" i="1" s="1"/>
  <c r="AA45" i="1"/>
  <c r="T44" i="1"/>
  <c r="X44" i="1"/>
  <c r="AG44" i="1"/>
  <c r="W44" i="1" s="1"/>
  <c r="T41" i="1"/>
  <c r="X41" i="1"/>
  <c r="AA37" i="1"/>
  <c r="AI29" i="1"/>
  <c r="T28" i="1"/>
  <c r="X28" i="1"/>
  <c r="AG28" i="1"/>
  <c r="W28" i="1" s="1"/>
  <c r="W21" i="1"/>
  <c r="X72" i="1"/>
  <c r="AI69" i="1"/>
  <c r="X68" i="1"/>
  <c r="AI65" i="1"/>
  <c r="X64" i="1"/>
  <c r="AI61" i="1"/>
  <c r="X60" i="1"/>
  <c r="AI57" i="1"/>
  <c r="X56" i="1"/>
  <c r="AI53" i="1"/>
  <c r="X52" i="1"/>
  <c r="T45" i="1"/>
  <c r="X45" i="1"/>
  <c r="AI42" i="1"/>
  <c r="X42" i="1"/>
  <c r="AG41" i="1"/>
  <c r="T40" i="1"/>
  <c r="X40" i="1"/>
  <c r="AG40" i="1"/>
  <c r="AA33" i="1"/>
  <c r="W33" i="1" s="1"/>
  <c r="T24" i="1"/>
  <c r="X24" i="1"/>
  <c r="AG24" i="1"/>
  <c r="W24" i="1" s="1"/>
  <c r="X78" i="1"/>
  <c r="X75" i="1"/>
  <c r="X71" i="1"/>
  <c r="X67" i="1"/>
  <c r="X63" i="1"/>
  <c r="X59" i="1"/>
  <c r="X55" i="1"/>
  <c r="X51" i="1"/>
  <c r="AG50" i="1"/>
  <c r="U48" i="1"/>
  <c r="S48" i="1" s="1"/>
  <c r="S46" i="1"/>
  <c r="AI46" i="1"/>
  <c r="X46" i="1"/>
  <c r="AG45" i="1"/>
  <c r="T36" i="1"/>
  <c r="X36" i="1"/>
  <c r="AG36" i="1"/>
  <c r="AI21" i="1"/>
  <c r="U38" i="1"/>
  <c r="S38" i="1" s="1"/>
  <c r="U34" i="1"/>
  <c r="S34" i="1" s="1"/>
  <c r="U30" i="1"/>
  <c r="S30" i="1" s="1"/>
  <c r="U26" i="1"/>
  <c r="S26" i="1" s="1"/>
  <c r="U22" i="1"/>
  <c r="S22" i="1" s="1"/>
  <c r="U18" i="1"/>
  <c r="S18" i="1" s="1"/>
  <c r="U15" i="1"/>
  <c r="S15" i="1" s="1"/>
  <c r="U17" i="1"/>
  <c r="S17" i="1" s="1"/>
  <c r="U14" i="1"/>
  <c r="S14" i="1" s="1"/>
  <c r="AI38" i="1"/>
  <c r="X37" i="1"/>
  <c r="X33" i="1"/>
  <c r="AI30" i="1"/>
  <c r="X29" i="1"/>
  <c r="AI26" i="1"/>
  <c r="X25" i="1"/>
  <c r="AI22" i="1"/>
  <c r="X21" i="1"/>
  <c r="AG20" i="1"/>
  <c r="AI18" i="1"/>
  <c r="AG16" i="1"/>
  <c r="AI15" i="1"/>
  <c r="X20" i="1"/>
  <c r="AI17" i="1"/>
  <c r="AI14" i="1"/>
  <c r="S26" i="3"/>
  <c r="R26" i="3"/>
  <c r="S27" i="3"/>
  <c r="R27" i="3"/>
  <c r="S28" i="3"/>
  <c r="R28" i="3"/>
  <c r="S29" i="3"/>
  <c r="R29" i="3"/>
  <c r="S35" i="3"/>
  <c r="R35" i="3"/>
  <c r="S30" i="3"/>
  <c r="R30" i="3"/>
  <c r="S31" i="3"/>
  <c r="R31" i="3"/>
  <c r="S8" i="3"/>
  <c r="R8" i="3"/>
  <c r="S19" i="3"/>
  <c r="R19" i="3"/>
  <c r="S21" i="3"/>
  <c r="R21" i="3"/>
  <c r="S10" i="3"/>
  <c r="R10" i="3"/>
  <c r="S23" i="3"/>
  <c r="R23" i="3"/>
  <c r="S7" i="3"/>
  <c r="R7" i="3"/>
  <c r="S36" i="3"/>
  <c r="R36" i="3"/>
  <c r="S34" i="3"/>
  <c r="R34" i="3"/>
  <c r="S20" i="3"/>
  <c r="R20" i="3"/>
  <c r="S25" i="3"/>
  <c r="R25" i="3"/>
  <c r="S11" i="3"/>
  <c r="R11" i="3"/>
  <c r="S12" i="3"/>
  <c r="R12" i="3"/>
  <c r="S44" i="3"/>
  <c r="R44" i="3"/>
  <c r="S52" i="3"/>
  <c r="R52" i="3"/>
  <c r="S55" i="3"/>
  <c r="R55" i="3"/>
  <c r="S54" i="3"/>
  <c r="R54" i="3"/>
  <c r="S43" i="3"/>
  <c r="R43" i="3"/>
  <c r="S38" i="3"/>
  <c r="R38" i="3"/>
  <c r="S46" i="3"/>
  <c r="R46" i="3"/>
  <c r="S40" i="3"/>
  <c r="R40" i="3"/>
  <c r="S39" i="3"/>
  <c r="R39" i="3"/>
  <c r="AC46" i="3"/>
  <c r="AC20" i="3"/>
  <c r="Y20" i="3"/>
  <c r="Y28" i="3"/>
  <c r="Y11" i="3"/>
  <c r="AC9" i="3"/>
  <c r="Y9" i="3"/>
  <c r="M47" i="3"/>
  <c r="N47" i="3"/>
  <c r="U47" i="3"/>
  <c r="T47" i="3" s="1"/>
  <c r="V47" i="3"/>
  <c r="W47" i="3"/>
  <c r="X47" i="3"/>
  <c r="AC21" i="3"/>
  <c r="Y21" i="3"/>
  <c r="Y37" i="3"/>
  <c r="Y43" i="3"/>
  <c r="Y55" i="3"/>
  <c r="Y26" i="3"/>
  <c r="Y49" i="3"/>
  <c r="Y27" i="3"/>
  <c r="AI108" i="1" l="1"/>
  <c r="AI146" i="1"/>
  <c r="W141" i="1"/>
  <c r="W56" i="1"/>
  <c r="AI79" i="1"/>
  <c r="AI168" i="1"/>
  <c r="AI180" i="1"/>
  <c r="W80" i="1"/>
  <c r="W20" i="1"/>
  <c r="AI34" i="1"/>
  <c r="U47" i="1"/>
  <c r="S47" i="1" s="1"/>
  <c r="AI131" i="1"/>
  <c r="AI173" i="1"/>
  <c r="AI97" i="1"/>
  <c r="W67" i="1"/>
  <c r="W89" i="1"/>
  <c r="W190" i="1"/>
  <c r="U157" i="1"/>
  <c r="S157" i="1" s="1"/>
  <c r="U185" i="1"/>
  <c r="S185" i="1" s="1"/>
  <c r="U182" i="1"/>
  <c r="S182" i="1" s="1"/>
  <c r="W75" i="1"/>
  <c r="AI185" i="1"/>
  <c r="U203" i="1"/>
  <c r="S203" i="1" s="1"/>
  <c r="W146" i="1"/>
  <c r="U201" i="1"/>
  <c r="S201" i="1" s="1"/>
  <c r="U92" i="1"/>
  <c r="S92" i="1" s="1"/>
  <c r="W163" i="1"/>
  <c r="W138" i="1"/>
  <c r="U170" i="1"/>
  <c r="S170" i="1" s="1"/>
  <c r="W95" i="1"/>
  <c r="W52" i="1"/>
  <c r="U55" i="1"/>
  <c r="S55" i="1" s="1"/>
  <c r="AI138" i="1"/>
  <c r="W37" i="1"/>
  <c r="AI112" i="1"/>
  <c r="U130" i="1"/>
  <c r="S130" i="1" s="1"/>
  <c r="W184" i="1"/>
  <c r="U190" i="1"/>
  <c r="S190" i="1" s="1"/>
  <c r="W158" i="1"/>
  <c r="W201" i="1"/>
  <c r="U117" i="1"/>
  <c r="S117" i="1" s="1"/>
  <c r="W187" i="1"/>
  <c r="W40" i="1"/>
  <c r="AI33" i="1"/>
  <c r="W111" i="1"/>
  <c r="U138" i="1"/>
  <c r="S138" i="1" s="1"/>
  <c r="AI201" i="1"/>
  <c r="U166" i="1"/>
  <c r="S166" i="1" s="1"/>
  <c r="W83" i="1"/>
  <c r="W207" i="1"/>
  <c r="W169" i="1"/>
  <c r="W203" i="1"/>
  <c r="AI37" i="1"/>
  <c r="AI130" i="1"/>
  <c r="U142" i="1"/>
  <c r="S142" i="1" s="1"/>
  <c r="AI151" i="1"/>
  <c r="W188" i="1"/>
  <c r="U186" i="1"/>
  <c r="S186" i="1" s="1"/>
  <c r="W92" i="1"/>
  <c r="W61" i="1"/>
  <c r="W78" i="1"/>
  <c r="W134" i="1"/>
  <c r="U147" i="1"/>
  <c r="S147" i="1" s="1"/>
  <c r="W161" i="1"/>
  <c r="W186" i="1"/>
  <c r="W97" i="1"/>
  <c r="W221" i="1"/>
  <c r="U126" i="1"/>
  <c r="S126" i="1" s="1"/>
  <c r="W196" i="1"/>
  <c r="U207" i="1"/>
  <c r="S207" i="1" s="1"/>
  <c r="U161" i="1"/>
  <c r="S161" i="1" s="1"/>
  <c r="U158" i="1"/>
  <c r="S158" i="1" s="1"/>
  <c r="W166" i="1"/>
  <c r="W182" i="1"/>
  <c r="W193" i="1"/>
  <c r="W173" i="1"/>
  <c r="U205" i="1"/>
  <c r="S205" i="1" s="1"/>
  <c r="W135" i="1"/>
  <c r="W159" i="1"/>
  <c r="W101" i="1"/>
  <c r="W171" i="1"/>
  <c r="W108" i="1"/>
  <c r="U132" i="1"/>
  <c r="S132" i="1" s="1"/>
  <c r="W177" i="1"/>
  <c r="W117" i="1"/>
  <c r="W16" i="1"/>
  <c r="AI25" i="1"/>
  <c r="U83" i="1"/>
  <c r="S83" i="1" s="1"/>
  <c r="U177" i="1"/>
  <c r="S177" i="1" s="1"/>
  <c r="W151" i="1"/>
  <c r="W17" i="1"/>
  <c r="W131" i="1"/>
  <c r="W157" i="1"/>
  <c r="W198" i="1"/>
  <c r="AI188" i="1"/>
  <c r="W178" i="1"/>
  <c r="W170" i="1"/>
  <c r="W64" i="1"/>
  <c r="W162" i="1"/>
  <c r="AI218" i="1"/>
  <c r="U31" i="1"/>
  <c r="S31" i="1" s="1"/>
  <c r="AI31" i="1"/>
  <c r="U81" i="1"/>
  <c r="S81" i="1" s="1"/>
  <c r="AI81" i="1"/>
  <c r="W71" i="1"/>
  <c r="U35" i="1"/>
  <c r="S35" i="1" s="1"/>
  <c r="AI35" i="1"/>
  <c r="U89" i="1"/>
  <c r="S89" i="1" s="1"/>
  <c r="AI89" i="1"/>
  <c r="U152" i="1"/>
  <c r="S152" i="1" s="1"/>
  <c r="AI152" i="1"/>
  <c r="W147" i="1"/>
  <c r="U209" i="1"/>
  <c r="S209" i="1" s="1"/>
  <c r="AI209" i="1"/>
  <c r="U202" i="1"/>
  <c r="S202" i="1" s="1"/>
  <c r="AI202" i="1"/>
  <c r="U194" i="1"/>
  <c r="S194" i="1" s="1"/>
  <c r="AI194" i="1"/>
  <c r="U175" i="1"/>
  <c r="S175" i="1" s="1"/>
  <c r="U191" i="1"/>
  <c r="S191" i="1" s="1"/>
  <c r="U59" i="1"/>
  <c r="S59" i="1" s="1"/>
  <c r="AI59" i="1"/>
  <c r="U67" i="1"/>
  <c r="S67" i="1" s="1"/>
  <c r="AI67" i="1"/>
  <c r="W59" i="1"/>
  <c r="U105" i="1"/>
  <c r="S105" i="1" s="1"/>
  <c r="AI105" i="1"/>
  <c r="W126" i="1"/>
  <c r="W31" i="1"/>
  <c r="U217" i="1"/>
  <c r="S217" i="1" s="1"/>
  <c r="AI217" i="1"/>
  <c r="W209" i="1"/>
  <c r="U79" i="1"/>
  <c r="S79" i="1" s="1"/>
  <c r="W35" i="1"/>
  <c r="W47" i="1"/>
  <c r="W25" i="1"/>
  <c r="W55" i="1"/>
  <c r="U39" i="1"/>
  <c r="S39" i="1" s="1"/>
  <c r="AI39" i="1"/>
  <c r="U51" i="1"/>
  <c r="S51" i="1" s="1"/>
  <c r="AI51" i="1"/>
  <c r="W112" i="1"/>
  <c r="U148" i="1"/>
  <c r="S148" i="1" s="1"/>
  <c r="AI148" i="1"/>
  <c r="W152" i="1"/>
  <c r="W217" i="1"/>
  <c r="U167" i="1"/>
  <c r="S167" i="1" s="1"/>
  <c r="W202" i="1"/>
  <c r="W167" i="1"/>
  <c r="U183" i="1"/>
  <c r="S183" i="1" s="1"/>
  <c r="AI210" i="1"/>
  <c r="U85" i="1"/>
  <c r="S85" i="1" s="1"/>
  <c r="AI85" i="1"/>
  <c r="W81" i="1"/>
  <c r="W205" i="1"/>
  <c r="U20" i="1"/>
  <c r="S20" i="1" s="1"/>
  <c r="AI20" i="1"/>
  <c r="U44" i="1"/>
  <c r="S44" i="1" s="1"/>
  <c r="AI44" i="1"/>
  <c r="U91" i="1"/>
  <c r="S91" i="1" s="1"/>
  <c r="AI91" i="1"/>
  <c r="W91" i="1"/>
  <c r="U164" i="1"/>
  <c r="S164" i="1" s="1"/>
  <c r="AI179" i="1"/>
  <c r="U180" i="1"/>
  <c r="S180" i="1" s="1"/>
  <c r="AI195" i="1"/>
  <c r="W150" i="1"/>
  <c r="U36" i="1"/>
  <c r="S36" i="1" s="1"/>
  <c r="AI36" i="1"/>
  <c r="AI41" i="1"/>
  <c r="U41" i="1"/>
  <c r="S41" i="1" s="1"/>
  <c r="U99" i="1"/>
  <c r="S99" i="1" s="1"/>
  <c r="AI99" i="1"/>
  <c r="U107" i="1"/>
  <c r="S107" i="1" s="1"/>
  <c r="AI107" i="1"/>
  <c r="U118" i="1"/>
  <c r="S118" i="1" s="1"/>
  <c r="AI118" i="1"/>
  <c r="U176" i="1"/>
  <c r="S176" i="1" s="1"/>
  <c r="AI191" i="1"/>
  <c r="U192" i="1"/>
  <c r="S192" i="1" s="1"/>
  <c r="AI207" i="1"/>
  <c r="U200" i="1"/>
  <c r="S200" i="1" s="1"/>
  <c r="AI215" i="1"/>
  <c r="U149" i="1"/>
  <c r="S149" i="1" s="1"/>
  <c r="AI149" i="1"/>
  <c r="U24" i="1"/>
  <c r="S24" i="1" s="1"/>
  <c r="AI24" i="1"/>
  <c r="U40" i="1"/>
  <c r="S40" i="1" s="1"/>
  <c r="AI40" i="1"/>
  <c r="U87" i="1"/>
  <c r="S87" i="1" s="1"/>
  <c r="AI87" i="1"/>
  <c r="W87" i="1"/>
  <c r="U222" i="1"/>
  <c r="S222" i="1" s="1"/>
  <c r="AI171" i="1"/>
  <c r="U172" i="1"/>
  <c r="S172" i="1" s="1"/>
  <c r="AI187" i="1"/>
  <c r="U188" i="1"/>
  <c r="S188" i="1" s="1"/>
  <c r="AI203" i="1"/>
  <c r="W222" i="1"/>
  <c r="U16" i="1"/>
  <c r="S16" i="1" s="1"/>
  <c r="AI16" i="1"/>
  <c r="W36" i="1"/>
  <c r="U28" i="1"/>
  <c r="S28" i="1" s="1"/>
  <c r="AI28" i="1"/>
  <c r="AI52" i="1"/>
  <c r="U52" i="1"/>
  <c r="S52" i="1" s="1"/>
  <c r="AI60" i="1"/>
  <c r="U60" i="1"/>
  <c r="S60" i="1" s="1"/>
  <c r="AI68" i="1"/>
  <c r="U68" i="1"/>
  <c r="S68" i="1" s="1"/>
  <c r="U32" i="1"/>
  <c r="S32" i="1" s="1"/>
  <c r="AI32" i="1"/>
  <c r="AI121" i="1"/>
  <c r="U121" i="1"/>
  <c r="S121" i="1" s="1"/>
  <c r="AI125" i="1"/>
  <c r="U125" i="1"/>
  <c r="S125" i="1" s="1"/>
  <c r="AI129" i="1"/>
  <c r="U129" i="1"/>
  <c r="S129" i="1" s="1"/>
  <c r="AI133" i="1"/>
  <c r="U133" i="1"/>
  <c r="S133" i="1" s="1"/>
  <c r="AI137" i="1"/>
  <c r="U137" i="1"/>
  <c r="S137" i="1" s="1"/>
  <c r="AI141" i="1"/>
  <c r="U141" i="1"/>
  <c r="S141" i="1" s="1"/>
  <c r="AI145" i="1"/>
  <c r="U145" i="1"/>
  <c r="S145" i="1" s="1"/>
  <c r="W99" i="1"/>
  <c r="U155" i="1"/>
  <c r="S155" i="1" s="1"/>
  <c r="AI155" i="1"/>
  <c r="U210" i="1"/>
  <c r="S210" i="1" s="1"/>
  <c r="AI163" i="1"/>
  <c r="U160" i="1"/>
  <c r="S160" i="1" s="1"/>
  <c r="AI175" i="1"/>
  <c r="AI45" i="1"/>
  <c r="U45" i="1"/>
  <c r="S45" i="1" s="1"/>
  <c r="U50" i="1"/>
  <c r="S50" i="1" s="1"/>
  <c r="AI50" i="1"/>
  <c r="W45" i="1"/>
  <c r="AI56" i="1"/>
  <c r="U56" i="1"/>
  <c r="S56" i="1" s="1"/>
  <c r="AI64" i="1"/>
  <c r="U64" i="1"/>
  <c r="S64" i="1" s="1"/>
  <c r="AI72" i="1"/>
  <c r="U72" i="1"/>
  <c r="S72" i="1" s="1"/>
  <c r="W41" i="1"/>
  <c r="W50" i="1"/>
  <c r="W68" i="1"/>
  <c r="U103" i="1"/>
  <c r="S103" i="1" s="1"/>
  <c r="AI103" i="1"/>
  <c r="U111" i="1"/>
  <c r="S111" i="1" s="1"/>
  <c r="AI111" i="1"/>
  <c r="W103" i="1"/>
  <c r="W107" i="1"/>
  <c r="AI150" i="1"/>
  <c r="U150" i="1"/>
  <c r="S150" i="1" s="1"/>
  <c r="U206" i="1"/>
  <c r="S206" i="1" s="1"/>
  <c r="AI159" i="1"/>
  <c r="U218" i="1"/>
  <c r="S218" i="1" s="1"/>
  <c r="AI167" i="1"/>
  <c r="U168" i="1"/>
  <c r="S168" i="1" s="1"/>
  <c r="AI183" i="1"/>
  <c r="U184" i="1"/>
  <c r="S184" i="1" s="1"/>
  <c r="AI199" i="1"/>
  <c r="U196" i="1"/>
  <c r="S196" i="1" s="1"/>
  <c r="AI211" i="1"/>
  <c r="U211" i="1"/>
  <c r="S211" i="1" s="1"/>
  <c r="AI219" i="1"/>
  <c r="W155" i="1"/>
  <c r="W206" i="1"/>
  <c r="W160" i="1"/>
  <c r="W176" i="1"/>
  <c r="W192" i="1"/>
  <c r="W200" i="1"/>
  <c r="W172" i="1"/>
  <c r="W164" i="1"/>
  <c r="R48" i="3"/>
  <c r="R49" i="3"/>
  <c r="S48" i="3"/>
  <c r="S49" i="3"/>
  <c r="S41" i="3"/>
  <c r="S53" i="3"/>
  <c r="R50" i="3"/>
  <c r="R51" i="3"/>
  <c r="R24" i="3"/>
  <c r="R32" i="3"/>
  <c r="R33" i="3"/>
  <c r="R37" i="3"/>
  <c r="R45" i="3"/>
  <c r="R14" i="3"/>
  <c r="R9" i="3"/>
  <c r="S15" i="3"/>
  <c r="S16" i="3"/>
  <c r="S13" i="3"/>
  <c r="S22" i="3"/>
  <c r="S17" i="3"/>
  <c r="S18" i="3"/>
  <c r="S50" i="3"/>
  <c r="S51" i="3"/>
  <c r="S24" i="3"/>
  <c r="S32" i="3"/>
  <c r="S33" i="3"/>
  <c r="R41" i="3"/>
  <c r="R53" i="3"/>
  <c r="S45" i="3"/>
  <c r="S37" i="3"/>
  <c r="S9" i="3"/>
  <c r="S14" i="3"/>
  <c r="R15" i="3"/>
  <c r="R16" i="3"/>
  <c r="R13" i="3"/>
  <c r="R22" i="3"/>
  <c r="R17" i="3"/>
  <c r="R18" i="3"/>
  <c r="AC55" i="3"/>
  <c r="Y23" i="3"/>
  <c r="Y38" i="3"/>
  <c r="Y10" i="3"/>
  <c r="Y22" i="3"/>
  <c r="Y40" i="3"/>
  <c r="Y17" i="3"/>
  <c r="Y45" i="3"/>
  <c r="Y8" i="3"/>
  <c r="Y16" i="3"/>
  <c r="Y19" i="3"/>
  <c r="Y32" i="3"/>
  <c r="Y50" i="3"/>
  <c r="Y30" i="3"/>
  <c r="Y15" i="3"/>
  <c r="Y34" i="3"/>
  <c r="AC7" i="3"/>
  <c r="AC15" i="3"/>
  <c r="Y12" i="3"/>
  <c r="AC31" i="3"/>
  <c r="Y14" i="3"/>
  <c r="Y33" i="3"/>
  <c r="Y52" i="3"/>
  <c r="Y51" i="3"/>
  <c r="Y53" i="3"/>
  <c r="Y35" i="3"/>
  <c r="Y54" i="3"/>
  <c r="Y7" i="3"/>
  <c r="Y39" i="3"/>
  <c r="Y29" i="3"/>
  <c r="AC13" i="3"/>
  <c r="AC37" i="3"/>
  <c r="Y24" i="3"/>
  <c r="Y44" i="3"/>
  <c r="Y18" i="3"/>
  <c r="Y48" i="3"/>
  <c r="Y36" i="3"/>
  <c r="Y46" i="3"/>
  <c r="Y31" i="3"/>
  <c r="Y13" i="3"/>
  <c r="AC30" i="3"/>
  <c r="Y25" i="3"/>
  <c r="Y41" i="3"/>
  <c r="AC51" i="3"/>
  <c r="AC54" i="3"/>
  <c r="AC16" i="3"/>
  <c r="AC33" i="3"/>
  <c r="AC36" i="3"/>
  <c r="AC8" i="3"/>
  <c r="AC35" i="3"/>
  <c r="AC29" i="3"/>
  <c r="AC53" i="3"/>
  <c r="AC26" i="3"/>
  <c r="AC12" i="3"/>
  <c r="AC50" i="3"/>
  <c r="AC25" i="3"/>
  <c r="AC22" i="3"/>
  <c r="AC32" i="3"/>
  <c r="AC10" i="3"/>
  <c r="AC49" i="3"/>
  <c r="AC43" i="3"/>
  <c r="AC41" i="3"/>
  <c r="AC11" i="3"/>
  <c r="AC23" i="3"/>
  <c r="AC48" i="3"/>
  <c r="AC28" i="3"/>
  <c r="AC18" i="3"/>
  <c r="AC52" i="3"/>
  <c r="AC44" i="3"/>
  <c r="AC14" i="3"/>
  <c r="AC34" i="3"/>
  <c r="AC39" i="3"/>
  <c r="AC24" i="3"/>
  <c r="AC19" i="3"/>
  <c r="AC40" i="3"/>
  <c r="AC45" i="3"/>
  <c r="AC38" i="3"/>
  <c r="AC27" i="3"/>
  <c r="AC17" i="3"/>
  <c r="Y42" i="3" l="1"/>
  <c r="AC42" i="3"/>
  <c r="S47" i="3"/>
  <c r="R47" i="3"/>
  <c r="AC47" i="3"/>
  <c r="Y47" i="3" l="1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5" i="1" l="1"/>
  <c r="AH20" i="1"/>
  <c r="AH21" i="1"/>
  <c r="AH24" i="1"/>
  <c r="AH25" i="1"/>
  <c r="AH29" i="1"/>
  <c r="AH30" i="1"/>
  <c r="AH31" i="1"/>
  <c r="AH32" i="1"/>
  <c r="AH33" i="1"/>
  <c r="AH34" i="1"/>
  <c r="AH38" i="1"/>
  <c r="AH63" i="1"/>
  <c r="AH64" i="1"/>
  <c r="AH71" i="1"/>
  <c r="AH77" i="1"/>
  <c r="AH78" i="1"/>
  <c r="AH79" i="1"/>
  <c r="AH81" i="1"/>
  <c r="AH82" i="1"/>
  <c r="AH83" i="1"/>
  <c r="AH90" i="1"/>
  <c r="AH91" i="1"/>
  <c r="AH98" i="1"/>
  <c r="AH99" i="1"/>
  <c r="AH113" i="1"/>
  <c r="AH114" i="1"/>
  <c r="AH115" i="1"/>
  <c r="AH116" i="1"/>
  <c r="AH117" i="1"/>
  <c r="AH118" i="1"/>
  <c r="AH119" i="1"/>
  <c r="AH120" i="1"/>
  <c r="AH121" i="1"/>
  <c r="AH136" i="1"/>
  <c r="AH137" i="1"/>
  <c r="AH140" i="1"/>
  <c r="AH141" i="1"/>
  <c r="AH142" i="1"/>
  <c r="AH144" i="1"/>
  <c r="AH145" i="1"/>
  <c r="AH146" i="1"/>
  <c r="AH147" i="1"/>
  <c r="AH148" i="1"/>
  <c r="AH154" i="1"/>
  <c r="AH155" i="1"/>
  <c r="AH165" i="1"/>
  <c r="AH166" i="1"/>
  <c r="AH167" i="1"/>
  <c r="AH168" i="1"/>
  <c r="AH171" i="1"/>
  <c r="AH172" i="1"/>
  <c r="AH173" i="1"/>
  <c r="AH174" i="1"/>
  <c r="AH175" i="1"/>
  <c r="AH176" i="1"/>
  <c r="AH185" i="1"/>
  <c r="AH195" i="1"/>
  <c r="AH196" i="1"/>
  <c r="AH197" i="1"/>
  <c r="AH198" i="1"/>
  <c r="AH199" i="1"/>
  <c r="AH200" i="1"/>
  <c r="AH26" i="1"/>
  <c r="AH35" i="1"/>
  <c r="AH36" i="1"/>
  <c r="AH37" i="1"/>
  <c r="AH39" i="1"/>
  <c r="AH40" i="1"/>
  <c r="AH41" i="1"/>
  <c r="AH42" i="1"/>
  <c r="AH43" i="1"/>
  <c r="AH50" i="1"/>
  <c r="AH51" i="1"/>
  <c r="AH52" i="1"/>
  <c r="AH65" i="1"/>
  <c r="AH72" i="1"/>
  <c r="AH73" i="1"/>
  <c r="AH74" i="1"/>
  <c r="AH84" i="1"/>
  <c r="AH85" i="1"/>
  <c r="AH92" i="1"/>
  <c r="AH100" i="1"/>
  <c r="AH122" i="1"/>
  <c r="AH123" i="1"/>
  <c r="AH124" i="1"/>
  <c r="AH125" i="1"/>
  <c r="AH126" i="1"/>
  <c r="AH127" i="1"/>
  <c r="AH138" i="1"/>
  <c r="AH149" i="1"/>
  <c r="AH150" i="1"/>
  <c r="AH151" i="1"/>
  <c r="AH156" i="1"/>
  <c r="AH157" i="1"/>
  <c r="AH158" i="1"/>
  <c r="AH159" i="1"/>
  <c r="AH160" i="1"/>
  <c r="AH177" i="1"/>
  <c r="AH204" i="1"/>
  <c r="AH205" i="1"/>
  <c r="AH206" i="1"/>
  <c r="AH207" i="1"/>
  <c r="AH208" i="1"/>
  <c r="AH209" i="1"/>
  <c r="AH210" i="1"/>
  <c r="AH211" i="1"/>
  <c r="AH212" i="1"/>
  <c r="AH213" i="1"/>
  <c r="AH102" i="1"/>
  <c r="AH104" i="1"/>
  <c r="AH108" i="1"/>
  <c r="AH110" i="1"/>
  <c r="AH133" i="1"/>
  <c r="AH135" i="1"/>
  <c r="AH153" i="1"/>
  <c r="AH170" i="1"/>
  <c r="AH179" i="1"/>
  <c r="AH182" i="1"/>
  <c r="AH184" i="1"/>
  <c r="AH201" i="1"/>
  <c r="AH219" i="1"/>
  <c r="AH16" i="1"/>
  <c r="AH17" i="1"/>
  <c r="AH18" i="1"/>
  <c r="AH22" i="1"/>
  <c r="AH27" i="1"/>
  <c r="AH53" i="1"/>
  <c r="AH54" i="1"/>
  <c r="AH55" i="1"/>
  <c r="AH75" i="1"/>
  <c r="AH86" i="1"/>
  <c r="AH87" i="1"/>
  <c r="AH93" i="1"/>
  <c r="AH128" i="1"/>
  <c r="AH129" i="1"/>
  <c r="AH130" i="1"/>
  <c r="AH131" i="1"/>
  <c r="AH132" i="1"/>
  <c r="AH152" i="1"/>
  <c r="AH161" i="1"/>
  <c r="AH162" i="1"/>
  <c r="AH163" i="1"/>
  <c r="AH164" i="1"/>
  <c r="AH186" i="1"/>
  <c r="AH187" i="1"/>
  <c r="AH188" i="1"/>
  <c r="AH189" i="1"/>
  <c r="AH190" i="1"/>
  <c r="AH191" i="1"/>
  <c r="AH192" i="1"/>
  <c r="AH214" i="1"/>
  <c r="AH215" i="1"/>
  <c r="AH216" i="1"/>
  <c r="AH217" i="1"/>
  <c r="AH218" i="1"/>
  <c r="AH14" i="1"/>
  <c r="AH19" i="1"/>
  <c r="AH23" i="1"/>
  <c r="AH28" i="1"/>
  <c r="AH44" i="1"/>
  <c r="AH45" i="1"/>
  <c r="AH46" i="1"/>
  <c r="AH47" i="1"/>
  <c r="AH48" i="1"/>
  <c r="AH49" i="1"/>
  <c r="AH56" i="1"/>
  <c r="AH57" i="1"/>
  <c r="AH58" i="1"/>
  <c r="AH59" i="1"/>
  <c r="AH60" i="1"/>
  <c r="AH61" i="1"/>
  <c r="AH62" i="1"/>
  <c r="AH66" i="1"/>
  <c r="AH67" i="1"/>
  <c r="AH68" i="1"/>
  <c r="AH69" i="1"/>
  <c r="AH70" i="1"/>
  <c r="AH76" i="1"/>
  <c r="AH80" i="1"/>
  <c r="AH88" i="1"/>
  <c r="AH89" i="1"/>
  <c r="AH94" i="1"/>
  <c r="AH95" i="1"/>
  <c r="AH96" i="1"/>
  <c r="AH97" i="1"/>
  <c r="AH101" i="1"/>
  <c r="AH103" i="1"/>
  <c r="AH105" i="1"/>
  <c r="AH106" i="1"/>
  <c r="AH107" i="1"/>
  <c r="AH109" i="1"/>
  <c r="AH111" i="1"/>
  <c r="AH112" i="1"/>
  <c r="AH134" i="1"/>
  <c r="AH139" i="1"/>
  <c r="AH143" i="1"/>
  <c r="AH169" i="1"/>
  <c r="AH178" i="1"/>
  <c r="AH180" i="1"/>
  <c r="AH181" i="1"/>
  <c r="AH183" i="1"/>
  <c r="AH193" i="1"/>
  <c r="AH194" i="1"/>
  <c r="AH202" i="1"/>
  <c r="AH222" i="1"/>
  <c r="AH203" i="1"/>
  <c r="AH220" i="1"/>
  <c r="AH221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<sst xmlns="http://schemas.openxmlformats.org/spreadsheetml/2006/main" count="2236" uniqueCount="770">
  <si>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</si>
  <si>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</si>
  <si>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</si>
  <si>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</si>
  <si>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</si>
  <si>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</si>
  <si>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</si>
  <si>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</si>
  <si>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</si>
  <si>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</si>
  <si>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</si>
  <si>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</si>
  <si>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</si>
  <si>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</si>
  <si>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</si>
  <si>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</si>
  <si>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</si>
  <si>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</si>
  <si>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</si>
  <si>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</si>
  <si>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</si>
  <si>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</si>
  <si>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</si>
  <si>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</si>
  <si>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</si>
  <si>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</si>
  <si>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</si>
  <si>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</si>
  <si>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</si>
  <si>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</si>
  <si>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</si>
  <si>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</si>
  <si>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</si>
  <si>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</si>
  <si>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</si>
  <si>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</si>
  <si>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</si>
  <si>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</si>
  <si>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</si>
  <si>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</si>
  <si>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</si>
  <si>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</si>
  <si>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</si>
  <si>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</si>
  <si>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</si>
  <si>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</si>
  <si>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</si>
  <si>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</si>
  <si>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</si>
  <si>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</si>
  <si>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</si>
  <si>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</si>
  <si>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</si>
  <si>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</si>
  <si>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</si>
  <si>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</si>
  <si>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</si>
  <si>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</si>
  <si>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</si>
  <si>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</si>
  <si>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</si>
  <si>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</si>
  <si>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</si>
  <si>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</si>
  <si>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</si>
  <si>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</si>
  <si>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</si>
  <si>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</si>
  <si>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</si>
  <si>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</si>
  <si>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</si>
  <si>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</si>
  <si>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</si>
  <si>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</si>
  <si>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</si>
  <si>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</si>
  <si>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</si>
  <si>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</si>
  <si>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</si>
  <si>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</si>
  <si>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</si>
  <si>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</si>
  <si>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</si>
  <si>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</si>
  <si>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</si>
  <si>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</si>
  <si>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</si>
  <si>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</si>
  <si>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</si>
  <si>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</si>
  <si>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</si>
  <si>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</si>
  <si>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</si>
  <si>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</si>
  <si>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</si>
  <si>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</si>
  <si>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</si>
  <si>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</si>
  <si>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</si>
  <si>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</si>
  <si>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</si>
  <si>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</si>
  <si>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</si>
  <si>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</si>
  <si>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</si>
  <si>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</si>
  <si>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</si>
  <si>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</si>
  <si>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</si>
  <si>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</si>
  <si>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</si>
  <si>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</si>
  <si>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</si>
  <si>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</si>
  <si>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</si>
  <si>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</si>
  <si>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</si>
  <si>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</si>
  <si>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</si>
  <si>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</si>
  <si>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</si>
  <si>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</si>
  <si>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</si>
  <si>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</si>
  <si>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</si>
  <si>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</si>
  <si>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</si>
  <si>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</si>
  <si>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</si>
  <si>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</si>
  <si>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</si>
  <si>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</si>
  <si>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</si>
  <si>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</si>
  <si>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</si>
  <si>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</si>
  <si>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</si>
  <si>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</si>
  <si>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</si>
  <si>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</si>
  <si>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</si>
  <si>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</si>
  <si>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</si>
  <si>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</si>
  <si>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</si>
  <si>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</si>
  <si>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</si>
  <si>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</si>
  <si>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</si>
  <si>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</si>
  <si>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</si>
  <si>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</si>
  <si>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</si>
  <si>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</si>
  <si>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</si>
  <si>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</si>
  <si>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</si>
  <si>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</si>
  <si>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</si>
  <si>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</si>
  <si>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</si>
  <si>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</si>
  <si>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</si>
  <si>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</si>
  <si>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</si>
  <si>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</si>
  <si>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</si>
  <si>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</si>
  <si>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</si>
  <si>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</si>
  <si>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</si>
  <si>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</si>
  <si>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</si>
  <si>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</si>
  <si>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</si>
  <si>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</si>
  <si>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</si>
  <si>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</si>
  <si>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</si>
  <si>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</si>
  <si>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</si>
  <si>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</si>
  <si>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</si>
  <si>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</si>
  <si>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</si>
  <si>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</si>
  <si>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</si>
  <si>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</si>
  <si>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</si>
  <si>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</si>
  <si>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</si>
  <si>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</si>
  <si>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</si>
  <si>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</si>
  <si>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</si>
  <si>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</si>
  <si>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</si>
  <si>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</si>
  <si>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</si>
  <si>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</si>
  <si>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</si>
  <si>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</si>
  <si>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</si>
  <si>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</si>
  <si>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</si>
  <si>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</si>
  <si>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</si>
  <si>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</si>
  <si>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</si>
  <si>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</si>
  <si>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</si>
  <si>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</si>
  <si>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</si>
  <si>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</si>
  <si>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</si>
  <si>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</si>
  <si>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</si>
  <si>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</si>
  <si>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</si>
  <si>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</si>
  <si>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</si>
  <si>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</si>
  <si>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</si>
  <si>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</si>
  <si>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</si>
  <si>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</si>
  <si>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</si>
  <si>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</si>
  <si>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</si>
  <si>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204:139</t>
  </si>
  <si>
    <t>204:458</t>
  </si>
  <si>
    <t>204:467</t>
  </si>
  <si>
    <t>204:460</t>
  </si>
  <si>
    <t>human_readable_time</t>
  </si>
  <si>
    <t>204:232978</t>
  </si>
  <si>
    <t>204:138</t>
  </si>
  <si>
    <t>204:232980</t>
  </si>
  <si>
    <t>204:232994</t>
  </si>
  <si>
    <t>204:469</t>
  </si>
  <si>
    <t>204:449</t>
  </si>
  <si>
    <t>204:475</t>
  </si>
  <si>
    <t>Reactive Warning (1)</t>
  </si>
  <si>
    <t>204:233299</t>
  </si>
  <si>
    <t>204:462</t>
  </si>
  <si>
    <t>204:172</t>
  </si>
  <si>
    <t>204:143</t>
  </si>
  <si>
    <t>204:232955</t>
  </si>
  <si>
    <t>rtdc.l.rtdc.4044:itc</t>
  </si>
  <si>
    <t>rtdc.l.rtdc.4043:itc</t>
  </si>
  <si>
    <t>STURGEON</t>
  </si>
  <si>
    <t>204:233276</t>
  </si>
  <si>
    <t>204:437</t>
  </si>
  <si>
    <t>204:232971</t>
  </si>
  <si>
    <t>204:232975</t>
  </si>
  <si>
    <t>300:58943</t>
  </si>
  <si>
    <t>Loco - PTC</t>
  </si>
  <si>
    <t>Power</t>
  </si>
  <si>
    <t>204:233297</t>
  </si>
  <si>
    <t>204:233274</t>
  </si>
  <si>
    <t>204:161</t>
  </si>
  <si>
    <t>204:233303</t>
  </si>
  <si>
    <t>204:477</t>
  </si>
  <si>
    <t>rtdc.l.rtdc.4045:itc</t>
  </si>
  <si>
    <t>NEWELL</t>
  </si>
  <si>
    <t>rtdc.l.rtdc.4003:itc</t>
  </si>
  <si>
    <t>rtdc.l.rtdc.4038:itc</t>
  </si>
  <si>
    <t>DAVIS</t>
  </si>
  <si>
    <t>rtdc.l.rtdc.4004:itc</t>
  </si>
  <si>
    <t>STEWART</t>
  </si>
  <si>
    <t>CLARK</t>
  </si>
  <si>
    <t>YANAI</t>
  </si>
  <si>
    <t>CHANDLER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</si>
  <si>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</si>
  <si>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</si>
  <si>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</si>
  <si>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</si>
  <si>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</si>
  <si>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</si>
  <si>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</si>
  <si>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</si>
  <si>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</si>
  <si>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204:156</t>
  </si>
  <si>
    <t>204:440</t>
  </si>
  <si>
    <t>204:233286</t>
  </si>
  <si>
    <t>204:165</t>
  </si>
  <si>
    <t>300:58937</t>
  </si>
  <si>
    <t>rtdc.l.rtdc.4011:itc</t>
  </si>
  <si>
    <t>KILLION</t>
  </si>
  <si>
    <t>rtdc.l.rtdc.4012:itc</t>
  </si>
  <si>
    <t>BARTLETT</t>
  </si>
  <si>
    <t>BRUDER</t>
  </si>
  <si>
    <t>204:233309</t>
  </si>
  <si>
    <t>204:232990</t>
  </si>
  <si>
    <t>204:232942</t>
  </si>
  <si>
    <t>204:482</t>
  </si>
  <si>
    <t>204:233293</t>
  </si>
  <si>
    <t>300:58619</t>
  </si>
  <si>
    <t>204:233314</t>
  </si>
  <si>
    <t>CLI Grep</t>
  </si>
  <si>
    <t>Y</t>
  </si>
  <si>
    <t>STARKS</t>
  </si>
  <si>
    <t>LEVERE</t>
  </si>
  <si>
    <t>204:233295</t>
  </si>
  <si>
    <t>204:232930</t>
  </si>
  <si>
    <t>204:145</t>
  </si>
  <si>
    <t>204:232982</t>
  </si>
  <si>
    <t>204:232988</t>
  </si>
  <si>
    <t>204:473</t>
  </si>
  <si>
    <t>204:664</t>
  </si>
  <si>
    <t>204:233000</t>
  </si>
  <si>
    <t>204:136</t>
  </si>
  <si>
    <t>204:232972</t>
  </si>
  <si>
    <t>rtdc.l.rtdc.4007:itc</t>
  </si>
  <si>
    <t>ACKERMAN</t>
  </si>
  <si>
    <t>rtdc.l.rtdc.4053:itc</t>
  </si>
  <si>
    <t>BRANNON</t>
  </si>
  <si>
    <t>rtdc.l.rtdc.4002:itc</t>
  </si>
  <si>
    <t>SPECTOR</t>
  </si>
  <si>
    <t>GRASTON</t>
  </si>
  <si>
    <t>rtdc.l.rtdc.4001:itc</t>
  </si>
  <si>
    <t>rtdc.l.rtdc.4008:itc</t>
  </si>
  <si>
    <t>rtdc.l.rtdc.4054:itc</t>
  </si>
  <si>
    <t>rtdc.l.rtdc.4021:itc</t>
  </si>
  <si>
    <t>BONDS</t>
  </si>
  <si>
    <t>YOUNG</t>
  </si>
  <si>
    <t>DELGADO</t>
  </si>
  <si>
    <t>240-19</t>
  </si>
  <si>
    <t>309-19</t>
  </si>
  <si>
    <t>242-19</t>
  </si>
  <si>
    <t>311-19</t>
  </si>
  <si>
    <t>244-19</t>
  </si>
  <si>
    <t>313-19</t>
  </si>
  <si>
    <t>315-19</t>
  </si>
  <si>
    <t>204:233334</t>
  </si>
  <si>
    <t>204:444</t>
  </si>
  <si>
    <t>204:232981</t>
  </si>
  <si>
    <t>204:141</t>
  </si>
  <si>
    <t>204:766</t>
  </si>
  <si>
    <t>204:233308</t>
  </si>
  <si>
    <t>204:232967</t>
  </si>
  <si>
    <t>204:497</t>
  </si>
  <si>
    <t>204:176</t>
  </si>
  <si>
    <t>204:233266</t>
  </si>
  <si>
    <t>204:491</t>
  </si>
  <si>
    <t>204:233251</t>
  </si>
  <si>
    <t>204:232986</t>
  </si>
  <si>
    <t>204:232959</t>
  </si>
  <si>
    <t>204:183</t>
  </si>
  <si>
    <t>204:442</t>
  </si>
  <si>
    <t>204:232963</t>
  </si>
  <si>
    <t>204:484</t>
  </si>
  <si>
    <t>204:232894</t>
  </si>
  <si>
    <t>204:233287</t>
  </si>
  <si>
    <t>204:233301</t>
  </si>
  <si>
    <t>204:233312</t>
  </si>
  <si>
    <t>300:23007</t>
  </si>
  <si>
    <t>204:691</t>
  </si>
  <si>
    <t>204:981</t>
  </si>
  <si>
    <t>204:985</t>
  </si>
  <si>
    <t>204:976</t>
  </si>
  <si>
    <t>204:710</t>
  </si>
  <si>
    <t>204:974</t>
  </si>
  <si>
    <t>300:58950</t>
  </si>
  <si>
    <t>300:58632</t>
  </si>
  <si>
    <t>204:978</t>
  </si>
  <si>
    <t>300:58958</t>
  </si>
  <si>
    <t>204:178</t>
  </si>
  <si>
    <t>204:972</t>
  </si>
  <si>
    <t>204:703</t>
  </si>
  <si>
    <t>300:58630</t>
  </si>
  <si>
    <t>precipType</t>
  </si>
  <si>
    <t>partly-cloudy-day</t>
  </si>
  <si>
    <t>rain</t>
  </si>
  <si>
    <t>partly-cloudy-night</t>
  </si>
  <si>
    <t>Mostly Cloudy</t>
  </si>
  <si>
    <t>Early arrival</t>
  </si>
  <si>
    <t>Wi-MAX outage</t>
  </si>
  <si>
    <t>101-20</t>
  </si>
  <si>
    <t>103-20</t>
  </si>
  <si>
    <t>rtdc.l.rtdc.4017:itc</t>
  </si>
  <si>
    <t>102-20</t>
  </si>
  <si>
    <t>rtdc.l.rtdc.4014:itc</t>
  </si>
  <si>
    <t>105-20</t>
  </si>
  <si>
    <t>107-20</t>
  </si>
  <si>
    <t>104-20</t>
  </si>
  <si>
    <t>109-20</t>
  </si>
  <si>
    <t>111-20</t>
  </si>
  <si>
    <t>GEBRETEKLE</t>
  </si>
  <si>
    <t>rtdc.l.rtdc.4015:itc</t>
  </si>
  <si>
    <t>106-20</t>
  </si>
  <si>
    <t>rtdc.l.rtdc.4018:itc</t>
  </si>
  <si>
    <t>113-20</t>
  </si>
  <si>
    <t>800-20</t>
  </si>
  <si>
    <t>108-20</t>
  </si>
  <si>
    <t>115-20</t>
  </si>
  <si>
    <t>ROCHA</t>
  </si>
  <si>
    <t>110-20</t>
  </si>
  <si>
    <t>117-20</t>
  </si>
  <si>
    <t>801-20</t>
  </si>
  <si>
    <t>112-20</t>
  </si>
  <si>
    <t>119-20</t>
  </si>
  <si>
    <t>803-20</t>
  </si>
  <si>
    <t>114-20</t>
  </si>
  <si>
    <t>802-20</t>
  </si>
  <si>
    <t>121-20</t>
  </si>
  <si>
    <t>116-20</t>
  </si>
  <si>
    <t>123-20</t>
  </si>
  <si>
    <t>118-20</t>
  </si>
  <si>
    <t>804-20</t>
  </si>
  <si>
    <t>125-20</t>
  </si>
  <si>
    <t>805-20</t>
  </si>
  <si>
    <t>rtdc.l.rtdc.4013:itc</t>
  </si>
  <si>
    <t>120-20</t>
  </si>
  <si>
    <t>127-20</t>
  </si>
  <si>
    <t>122-20</t>
  </si>
  <si>
    <t>806-20</t>
  </si>
  <si>
    <t>129-20</t>
  </si>
  <si>
    <t>807-20</t>
  </si>
  <si>
    <t>124-20</t>
  </si>
  <si>
    <t>131-20</t>
  </si>
  <si>
    <t>808-20</t>
  </si>
  <si>
    <t>126-20</t>
  </si>
  <si>
    <t>133-20</t>
  </si>
  <si>
    <t>809-20</t>
  </si>
  <si>
    <t>128-20</t>
  </si>
  <si>
    <t>135-20</t>
  </si>
  <si>
    <t>130-20</t>
  </si>
  <si>
    <t>810-20</t>
  </si>
  <si>
    <t>137-20</t>
  </si>
  <si>
    <t>811-20</t>
  </si>
  <si>
    <t>132-20</t>
  </si>
  <si>
    <t>139-20</t>
  </si>
  <si>
    <t>903-20</t>
  </si>
  <si>
    <t>812-20</t>
  </si>
  <si>
    <t>134-20</t>
  </si>
  <si>
    <t>141-20</t>
  </si>
  <si>
    <t>136-20</t>
  </si>
  <si>
    <t>143-20</t>
  </si>
  <si>
    <t>138-20</t>
  </si>
  <si>
    <t>145-20</t>
  </si>
  <si>
    <t>813-20</t>
  </si>
  <si>
    <t>140-20</t>
  </si>
  <si>
    <t>147-20</t>
  </si>
  <si>
    <t>142-20</t>
  </si>
  <si>
    <t>814-20</t>
  </si>
  <si>
    <t>149-20</t>
  </si>
  <si>
    <t>144-20</t>
  </si>
  <si>
    <t>151-20</t>
  </si>
  <si>
    <t>146-20</t>
  </si>
  <si>
    <t>153-20</t>
  </si>
  <si>
    <t>148-20</t>
  </si>
  <si>
    <t>815-20</t>
  </si>
  <si>
    <t>155-20</t>
  </si>
  <si>
    <t>816-20</t>
  </si>
  <si>
    <t>150-20</t>
  </si>
  <si>
    <t>157-20</t>
  </si>
  <si>
    <t>152-20</t>
  </si>
  <si>
    <t>159-20</t>
  </si>
  <si>
    <t>154-20</t>
  </si>
  <si>
    <t>161-20</t>
  </si>
  <si>
    <t>817-20</t>
  </si>
  <si>
    <t>rtdc.l.rtdc.4022:itc</t>
  </si>
  <si>
    <t>50-20</t>
  </si>
  <si>
    <t>156-20</t>
  </si>
  <si>
    <t>163-20</t>
  </si>
  <si>
    <t>158-20</t>
  </si>
  <si>
    <t>HELVIE</t>
  </si>
  <si>
    <t>818-20</t>
  </si>
  <si>
    <t>160-20</t>
  </si>
  <si>
    <t>165-20</t>
  </si>
  <si>
    <t>rtdc.l.rtdc.4006:itc</t>
  </si>
  <si>
    <t>52-20</t>
  </si>
  <si>
    <t>167-20</t>
  </si>
  <si>
    <t>162-20</t>
  </si>
  <si>
    <t>169-20</t>
  </si>
  <si>
    <t>819-20</t>
  </si>
  <si>
    <t>164-20</t>
  </si>
  <si>
    <t>171-20</t>
  </si>
  <si>
    <t>STORY</t>
  </si>
  <si>
    <t>166-20</t>
  </si>
  <si>
    <t>820-20</t>
  </si>
  <si>
    <t>173-20</t>
  </si>
  <si>
    <t>168-20</t>
  </si>
  <si>
    <t>rtdc.l.rtdc.4005:itc</t>
  </si>
  <si>
    <t>54-20</t>
  </si>
  <si>
    <t>175-20</t>
  </si>
  <si>
    <t>170-20</t>
  </si>
  <si>
    <t>177-20</t>
  </si>
  <si>
    <t>821-20</t>
  </si>
  <si>
    <t>172-20</t>
  </si>
  <si>
    <t>174-20</t>
  </si>
  <si>
    <t>179-20</t>
  </si>
  <si>
    <t>181-20</t>
  </si>
  <si>
    <t>822-20</t>
  </si>
  <si>
    <t>176-20</t>
  </si>
  <si>
    <t>183-20</t>
  </si>
  <si>
    <t>178-20</t>
  </si>
  <si>
    <t>185-20</t>
  </si>
  <si>
    <t>823-20</t>
  </si>
  <si>
    <t>180-20</t>
  </si>
  <si>
    <t>187-20</t>
  </si>
  <si>
    <t>182-20</t>
  </si>
  <si>
    <t>824-20</t>
  </si>
  <si>
    <t>189-20</t>
  </si>
  <si>
    <t>184-20</t>
  </si>
  <si>
    <t>191-20</t>
  </si>
  <si>
    <t>186-20</t>
  </si>
  <si>
    <t>188-20</t>
  </si>
  <si>
    <t>193-20</t>
  </si>
  <si>
    <t>825-20</t>
  </si>
  <si>
    <t>904-20</t>
  </si>
  <si>
    <t>195-20</t>
  </si>
  <si>
    <t>190-20</t>
  </si>
  <si>
    <t>826-20</t>
  </si>
  <si>
    <t>197-20</t>
  </si>
  <si>
    <t>827-20</t>
  </si>
  <si>
    <t>192-20</t>
  </si>
  <si>
    <t>199-20</t>
  </si>
  <si>
    <t>194-20</t>
  </si>
  <si>
    <t>828-20</t>
  </si>
  <si>
    <t>201-20</t>
  </si>
  <si>
    <t>829-20</t>
  </si>
  <si>
    <t>196-20</t>
  </si>
  <si>
    <t>203-20</t>
  </si>
  <si>
    <t>198-20</t>
  </si>
  <si>
    <t>830-20</t>
  </si>
  <si>
    <t>205-20</t>
  </si>
  <si>
    <t>56-20</t>
  </si>
  <si>
    <t>831-20</t>
  </si>
  <si>
    <t>200-20</t>
  </si>
  <si>
    <t>207-20</t>
  </si>
  <si>
    <t>202-20</t>
  </si>
  <si>
    <t>832-20</t>
  </si>
  <si>
    <t>209-20</t>
  </si>
  <si>
    <t>833-20</t>
  </si>
  <si>
    <t>204-20</t>
  </si>
  <si>
    <t>211-20</t>
  </si>
  <si>
    <t>66-20</t>
  </si>
  <si>
    <t>206-20</t>
  </si>
  <si>
    <t>61-20</t>
  </si>
  <si>
    <t>834-20</t>
  </si>
  <si>
    <t>58-20</t>
  </si>
  <si>
    <t>MAHAN</t>
  </si>
  <si>
    <t>213-20</t>
  </si>
  <si>
    <t>208-20</t>
  </si>
  <si>
    <t>835-20</t>
  </si>
  <si>
    <t>215-20</t>
  </si>
  <si>
    <t>210-20</t>
  </si>
  <si>
    <t>836-20</t>
  </si>
  <si>
    <t>217-20</t>
  </si>
  <si>
    <t>837-20</t>
  </si>
  <si>
    <t>212-20</t>
  </si>
  <si>
    <t>69-20</t>
  </si>
  <si>
    <t>219-20</t>
  </si>
  <si>
    <t>214-20</t>
  </si>
  <si>
    <t>838-20</t>
  </si>
  <si>
    <t>303-20</t>
  </si>
  <si>
    <t>839-20</t>
  </si>
  <si>
    <t>216-20</t>
  </si>
  <si>
    <t>221-20</t>
  </si>
  <si>
    <t>218-20</t>
  </si>
  <si>
    <t>906-20</t>
  </si>
  <si>
    <t>841-20</t>
  </si>
  <si>
    <t>220-20</t>
  </si>
  <si>
    <t>223-20</t>
  </si>
  <si>
    <t>307-20</t>
  </si>
  <si>
    <t>840-20</t>
  </si>
  <si>
    <t>222-20</t>
  </si>
  <si>
    <t>225-20</t>
  </si>
  <si>
    <t>843-20</t>
  </si>
  <si>
    <t>224-20</t>
  </si>
  <si>
    <t>227-20</t>
  </si>
  <si>
    <t>842-20</t>
  </si>
  <si>
    <t>226-20</t>
  </si>
  <si>
    <t>229-20</t>
  </si>
  <si>
    <t>845-20</t>
  </si>
  <si>
    <t>231-20</t>
  </si>
  <si>
    <t>228-20</t>
  </si>
  <si>
    <t>233-20</t>
  </si>
  <si>
    <t>844-20</t>
  </si>
  <si>
    <t>230-20</t>
  </si>
  <si>
    <t>847-20</t>
  </si>
  <si>
    <t>232-20</t>
  </si>
  <si>
    <t>235-20</t>
  </si>
  <si>
    <t>908-20</t>
  </si>
  <si>
    <t>234-20</t>
  </si>
  <si>
    <t>237-20</t>
  </si>
  <si>
    <t>236-20</t>
  </si>
  <si>
    <t>239-20</t>
  </si>
  <si>
    <t>241-20</t>
  </si>
  <si>
    <t>238-20</t>
  </si>
  <si>
    <t>240-20</t>
  </si>
  <si>
    <t>243-20</t>
  </si>
  <si>
    <t>309-20</t>
  </si>
  <si>
    <t>242-20</t>
  </si>
  <si>
    <t>311-20</t>
  </si>
  <si>
    <t>244-20</t>
  </si>
  <si>
    <t>313-20</t>
  </si>
  <si>
    <t>315-20</t>
  </si>
  <si>
    <t>TEMPORARY SPEED RESTRICTION</t>
  </si>
  <si>
    <t>204:730</t>
  </si>
  <si>
    <t>204:232642</t>
  </si>
  <si>
    <t>204:233342</t>
  </si>
  <si>
    <t>204:232717</t>
  </si>
  <si>
    <t>204:759</t>
  </si>
  <si>
    <t>204:233351</t>
  </si>
  <si>
    <t>204:232667</t>
  </si>
  <si>
    <t>204:231</t>
  </si>
  <si>
    <t>204:233321</t>
  </si>
  <si>
    <t>204:233006</t>
  </si>
  <si>
    <t>204:233001</t>
  </si>
  <si>
    <t>204:772</t>
  </si>
  <si>
    <t>204:232996</t>
  </si>
  <si>
    <t>204:232952</t>
  </si>
  <si>
    <t>204:258</t>
  </si>
  <si>
    <t>204:706</t>
  </si>
  <si>
    <t>204:233315</t>
  </si>
  <si>
    <t>204:232983</t>
  </si>
  <si>
    <t>204:754</t>
  </si>
  <si>
    <t>204:232979</t>
  </si>
  <si>
    <t>204:426</t>
  </si>
  <si>
    <t>204:232998</t>
  </si>
  <si>
    <t>204:416</t>
  </si>
  <si>
    <t>204:566</t>
  </si>
  <si>
    <t>204:232970</t>
  </si>
  <si>
    <t>204:233288</t>
  </si>
  <si>
    <t>204:121</t>
  </si>
  <si>
    <t>204:233283</t>
  </si>
  <si>
    <t>204:232989</t>
  </si>
  <si>
    <t>204:233220</t>
  </si>
  <si>
    <t>204:232900</t>
  </si>
  <si>
    <t>204:232993</t>
  </si>
  <si>
    <t>204:232984</t>
  </si>
  <si>
    <t>204:181</t>
  </si>
  <si>
    <t>204:233306</t>
  </si>
  <si>
    <t>204:409</t>
  </si>
  <si>
    <t>204:233329</t>
  </si>
  <si>
    <t>204:232991</t>
  </si>
  <si>
    <t>204:429</t>
  </si>
  <si>
    <t>204:233318</t>
  </si>
  <si>
    <t>204:233327</t>
  </si>
  <si>
    <t>204:233346</t>
  </si>
  <si>
    <t>204:233030</t>
  </si>
  <si>
    <t>204:233207</t>
  </si>
  <si>
    <t>204:174</t>
  </si>
  <si>
    <t>204:233332</t>
  </si>
  <si>
    <t>204:233004</t>
  </si>
  <si>
    <t>204:233255</t>
  </si>
  <si>
    <t>204:233310</t>
  </si>
  <si>
    <t>204:232985</t>
  </si>
  <si>
    <t>204:233253</t>
  </si>
  <si>
    <t>204:232951</t>
  </si>
  <si>
    <t>204:498</t>
  </si>
  <si>
    <t>204:233320</t>
  </si>
  <si>
    <t>204:489</t>
  </si>
  <si>
    <t>204:233227</t>
  </si>
  <si>
    <t>204:232904</t>
  </si>
  <si>
    <t>204:185</t>
  </si>
  <si>
    <t>204:233011</t>
  </si>
  <si>
    <t>204:446</t>
  </si>
  <si>
    <t>204:232938</t>
  </si>
  <si>
    <t>204:233319</t>
  </si>
  <si>
    <t>204:495</t>
  </si>
  <si>
    <t>204:233325</t>
  </si>
  <si>
    <t>204:233013</t>
  </si>
  <si>
    <t>204:233324</t>
  </si>
  <si>
    <t>204:233247</t>
  </si>
  <si>
    <t>204:520</t>
  </si>
  <si>
    <t>204:504</t>
  </si>
  <si>
    <t>204:232974</t>
  </si>
  <si>
    <t>204:232950</t>
  </si>
  <si>
    <t>204:232964</t>
  </si>
  <si>
    <t>204:170</t>
  </si>
  <si>
    <t>204:233302</t>
  </si>
  <si>
    <t>204:233278</t>
  </si>
  <si>
    <t>204:233289</t>
  </si>
  <si>
    <t>204:233300</t>
  </si>
  <si>
    <t>204:232987</t>
  </si>
  <si>
    <t>204:125</t>
  </si>
  <si>
    <t>300:23316</t>
  </si>
  <si>
    <t>300:23308</t>
  </si>
  <si>
    <t>300:22890</t>
  </si>
  <si>
    <t>300:23070</t>
  </si>
  <si>
    <t>300:22828</t>
  </si>
  <si>
    <t>204:337</t>
  </si>
  <si>
    <t>300:23346</t>
  </si>
  <si>
    <t>204:1184</t>
  </si>
  <si>
    <t>300:21973</t>
  </si>
  <si>
    <t>204:108</t>
  </si>
  <si>
    <t>300:24406</t>
  </si>
  <si>
    <t>300:24409</t>
  </si>
  <si>
    <t>300:23255</t>
  </si>
  <si>
    <t>204:859</t>
  </si>
  <si>
    <t>204:372</t>
  </si>
  <si>
    <t>300:22759</t>
  </si>
  <si>
    <t>300:23650</t>
  </si>
  <si>
    <t>204:84</t>
  </si>
  <si>
    <t>204:383</t>
  </si>
  <si>
    <t>300:24239</t>
  </si>
  <si>
    <t>204:787</t>
  </si>
  <si>
    <t>204:1100</t>
  </si>
  <si>
    <t>300:58912</t>
  </si>
  <si>
    <t>300:58589</t>
  </si>
  <si>
    <t>204:741</t>
  </si>
  <si>
    <t>300:58926</t>
  </si>
  <si>
    <t>300:58617</t>
  </si>
  <si>
    <t>204:738</t>
  </si>
  <si>
    <t>204:1027</t>
  </si>
  <si>
    <t>300:58933</t>
  </si>
  <si>
    <t>300:58615</t>
  </si>
  <si>
    <t>204:1030</t>
  </si>
  <si>
    <t>204:720</t>
  </si>
  <si>
    <t>204:1060</t>
  </si>
  <si>
    <t>300:58623</t>
  </si>
  <si>
    <t>204:808</t>
  </si>
  <si>
    <t>204:997</t>
  </si>
  <si>
    <t>300:58935</t>
  </si>
  <si>
    <t>204:722</t>
  </si>
  <si>
    <t>204:1004</t>
  </si>
  <si>
    <t>300:58929</t>
  </si>
  <si>
    <t>204:677</t>
  </si>
  <si>
    <t>300:58931</t>
  </si>
  <si>
    <t>204:993</t>
  </si>
  <si>
    <t>300:58608</t>
  </si>
  <si>
    <t>204:1000</t>
  </si>
  <si>
    <t>300:58939</t>
  </si>
  <si>
    <t>300:58621</t>
  </si>
  <si>
    <t>300:58961</t>
  </si>
  <si>
    <t>300:58651</t>
  </si>
  <si>
    <t>204:666</t>
  </si>
  <si>
    <t>300:58969</t>
  </si>
  <si>
    <t>300:58658</t>
  </si>
  <si>
    <t>204:689</t>
  </si>
  <si>
    <t>300:58626</t>
  </si>
  <si>
    <t>204:685</t>
  </si>
  <si>
    <t>204:1018</t>
  </si>
  <si>
    <t>300:58922</t>
  </si>
  <si>
    <t>300:58606</t>
  </si>
  <si>
    <t>204:967</t>
  </si>
  <si>
    <t>204:671</t>
  </si>
  <si>
    <t>300:58907</t>
  </si>
  <si>
    <t>300:57322</t>
  </si>
  <si>
    <t>204:715</t>
  </si>
  <si>
    <t>300:58944</t>
  </si>
  <si>
    <t>204:682</t>
  </si>
  <si>
    <t>300:58611</t>
  </si>
  <si>
    <t>204:1011</t>
  </si>
  <si>
    <t>300:58928</t>
  </si>
  <si>
    <t>300:58634</t>
  </si>
  <si>
    <t>204:692</t>
  </si>
  <si>
    <t>300:58638</t>
  </si>
  <si>
    <t>204:663</t>
  </si>
  <si>
    <t>204:964</t>
  </si>
  <si>
    <t>204:705</t>
  </si>
  <si>
    <t>204:971</t>
  </si>
  <si>
    <t>204:1007</t>
  </si>
  <si>
    <t>300:24235</t>
  </si>
  <si>
    <t>300:23177</t>
  </si>
  <si>
    <t>300:28767</t>
  </si>
  <si>
    <t>300:21738</t>
  </si>
  <si>
    <t>cloudy</t>
  </si>
  <si>
    <t>Overcast</t>
  </si>
  <si>
    <t>Light Rain</t>
  </si>
  <si>
    <t>Summary for DUS 2016-09-20: Mostly cloudy throughout the day.</t>
  </si>
  <si>
    <t>40th 4S STOP, cleared afterward</t>
  </si>
  <si>
    <t>http://stevetu21.github.io/eaglep3/load_kml.html?kml=http://rtdc.gmaps-snips.s3.amazonaws.com/6b785b66-c987-4f94-988d-dbd489cc3b45.kml</t>
  </si>
  <si>
    <t>38TH &amp; 41ST 2S STOP, cleared afterward</t>
  </si>
  <si>
    <t>At 2016-09-20 08:47:19, CRMFP 2S downgraded suddenly to STOP, any unexpected behaviors here?</t>
  </si>
  <si>
    <t>At 2016-09-20 15:47:17, CRMFP 2S downgraded suddenly to STOP, any unexpected behaviors here?</t>
  </si>
  <si>
    <t>CRMFP 2S affected by 6S overlay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</si>
</sst>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2"/>
  <sheetViews>
    <sheetView workbookViewId="0">
      <selection activeCell="K15" sqref="K15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42633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42633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COUNTIFS($N$13:$N$9395,"&gt;0",$AG$13:$AG$9395,I1)</f>
        <v>144</v>
      </c>
      <c r="K5" s="46"/>
      <c r="L5" s="46"/>
      <c r="M5" s="47">
        <f>AVERAGEIFS($N$13:$N$9395,$AG$13:$AG$9395,I1)</f>
        <v>38.677199074300006</v>
      </c>
      <c r="N5" s="45">
        <f t="array" ref="N5">MIN(IF($AG$13:$AG$9395=I1,IF(ISNUMBER($N$13:$N$9395),IF($N$13:$N$9395&gt;0,$N$13:$N$9395))))</f>
        <v>34.533333327854052</v>
      </c>
      <c r="O5" s="3">
        <f t="array" ref="O5">MAX(IF($AG$13:$AG$9395=I1,IF(ISNUMBER($N$13:$N$9395),IF($N$13:$N$9395&gt;0,$N$13:$N$9395))))</f>
        <v>46.200000008102506</v>
      </c>
      <c r="P5" s="2"/>
      <c r="R5" s="87" t="s">
        <v>17</v>
      </c>
      <c r="S5" s="57">
        <f>COUNTIFS($N$13:$N$9395,"&gt;0",$AG$13:$AG$9395,R1)</f>
        <v>47</v>
      </c>
      <c r="T5" s="46"/>
      <c r="U5" s="160"/>
      <c r="V5" s="47">
        <f>AVERAGEIFS($N$13:$N$9395,$AG$13:$AG$9395,R1)</f>
        <v>15.132269502884926</v>
      </c>
      <c r="W5" s="45">
        <f t="array" ref="W5">MIN(IF($AG$13:$AG$9395=R1,IF(ISNUMBER($N$13:$N$9395),IF($N$13:$N$9395&gt;0,$N$13:$N$9395))))</f>
        <v>12.500000009313226</v>
      </c>
      <c r="X5" s="165">
        <f t="array" ref="X5">MAX(IF($AG$13:$AG$9395=R1,IF(ISNUMBER($N$13:$N$9395),IF($N$13:$N$9395&gt;0,$N$13:$N$9395))))</f>
        <v>20.733333328971639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COUNT($O$13:$O$174)</f>
        <v>0</v>
      </c>
      <c r="K6" s="46"/>
      <c r="L6" s="46"/>
      <c r="M6" s="47">
        <f>IFERROR(AVERAGE($O$13:$O$174),0)</f>
        <v>0</v>
      </c>
      <c r="N6" s="45">
        <f>MIN($O$13:$O$174)</f>
        <v>0</v>
      </c>
      <c r="O6" s="3">
        <f>MAX($O$13:$O$174)</f>
        <v>0</v>
      </c>
      <c r="P6" s="2"/>
      <c r="R6" s="88" t="s">
        <v>43</v>
      </c>
      <c r="S6" s="57">
        <f>COUNT($O$13:$O$174)</f>
        <v>0</v>
      </c>
      <c r="T6" s="46"/>
      <c r="U6" s="160"/>
      <c r="V6" s="47">
        <f>IFERROR(AVERAGE($O$13:$O$174),0)</f>
        <v>0</v>
      </c>
      <c r="W6" s="45">
        <f>MIN($O$13:$O$174)</f>
        <v>0</v>
      </c>
      <c r="X6" s="165">
        <f>MAX($O$13:$O$174)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COUNTIFS($P$13:$P$9395,"&gt;0",$AG$13:$AG$9395,I1)</f>
        <v>0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COUNTIFS($P$13:$P$9395,"&gt;0",$AG$13:$AG$9395,R1)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144</v>
      </c>
      <c r="K8" s="46"/>
      <c r="L8" s="46"/>
      <c r="M8" s="47">
        <f>M5</f>
        <v>38.677199074300006</v>
      </c>
      <c r="N8" s="45">
        <f>N5</f>
        <v>34.533333327854052</v>
      </c>
      <c r="O8" s="3">
        <f>O5</f>
        <v>46.200000008102506</v>
      </c>
      <c r="P8" s="2"/>
      <c r="R8" s="87" t="s">
        <v>16</v>
      </c>
      <c r="S8" s="57">
        <f>S5</f>
        <v>47</v>
      </c>
      <c r="T8" s="46"/>
      <c r="U8" s="160"/>
      <c r="V8" s="47">
        <f>V5</f>
        <v>15.132269502884926</v>
      </c>
      <c r="W8" s="45">
        <f>W5</f>
        <v>12.500000009313226</v>
      </c>
      <c r="X8" s="165">
        <f>X5</f>
        <v>20.733333328971639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1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- 2016-09-20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AVERAGE(S13:S114)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115</v>
      </c>
      <c r="AH12" s="101" t="s">
        <v>117</v>
      </c>
      <c r="AI12" s="133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377</v>
      </c>
      <c r="B13" s="7">
        <v>4003</v>
      </c>
      <c r="C13" s="24" t="s">
        <v>106</v>
      </c>
      <c r="D13" s="24" t="s">
        <v>600</v>
      </c>
      <c r="E13" s="15">
        <v>42633.128506944442</v>
      </c>
      <c r="F13" s="15">
        <v>42633.13621527778</v>
      </c>
      <c r="G13" s="7">
        <v>2</v>
      </c>
      <c r="H13" s="15" t="s">
        <v>295</v>
      </c>
      <c r="I13" s="15">
        <v>42633.16269675926</v>
      </c>
      <c r="J13" s="7">
        <v>0</v>
      </c>
      <c r="K13" s="121" t="str">
        <f t="shared" ref="K13:K76" si="0">IF(ISEVEN(B13),(B13-1)&amp;"/"&amp;B13,B13&amp;"/"&amp;(B13+1))</f>
        <v>4003/4004</v>
      </c>
      <c r="L13" s="24" t="str">
        <f>VLOOKUP(A13,'Trips&amp;Operators'!$C$1:$E$10000,3,FALSE)</f>
        <v>KILLION</v>
      </c>
      <c r="M13" s="6">
        <f t="shared" ref="M13:M76" si="1">I13-F13</f>
        <v>2.6481481480004732E-2</v>
      </c>
      <c r="N13" s="7">
        <f t="shared" ref="N13:N76" si="2">24*60*SUM($M13:$M13)</f>
        <v>38.133333331206813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https://search-rtdc-monitor-bjffxe2xuh6vdkpspy63sjmuny.us-east-1.es.amazonaws.com/_plugin/kibana/#/discover/Steve-Slow-Train-Analysis-(2080s-and-2083s)?_g=(refreshInterval:(display:Off,section:0,value:0),time:(from:'2016-09-20 02:05:03-0600',mode:absolute,to:'2016-09-20 04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" s="54" t="str">
        <f t="shared" ref="W13:W76" si="6">IF(AA13&lt;IF(AG13="EC",23,5.65),"Y","N")</f>
        <v>N</v>
      </c>
      <c r="X13" s="168" t="e">
        <f>VALUE(LEFT(AD13,4))-VALUE(LEFT(AD12,4))</f>
        <v>#VALUE!</v>
      </c>
      <c r="Y13" s="69">
        <f t="shared" ref="Y13:Y76" si="7">RIGHT(D13,LEN(D13)-4)/10000</f>
        <v>7.2999999999999995E-2</v>
      </c>
      <c r="Z13" s="69">
        <f t="shared" ref="Z13:Z76" si="8">RIGHT(H13,LEN(H13)-4)/10000</f>
        <v>23.3293</v>
      </c>
      <c r="AA13" s="69">
        <f t="shared" ref="AA13:AA76" si="9">ABS(Z13-Y13)</f>
        <v>23.2563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6" si="10">IF(LEN(A13)=6,"0"&amp;A13,A13)</f>
        <v>0101-20</v>
      </c>
      <c r="AE13" s="99" t="str">
        <f t="shared" ref="AE13:AE76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3" s="96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/stypes="app*4003*20160920*" /stext=" 09:.+((SYSTEM_STATE.+slice.+state.+changed )|(ment ac)|(system.+state.+changed )|(\|lc)|(penalty)|(\[timeout)|(PRM\|1\|D)|(kpr)|(kdp))" /e /r /s</v>
      </c>
      <c r="AG13" s="1" t="str">
        <f t="shared" ref="AG13:AG76" si="13">IFERROR(IF(VALUE(LEFT(AD13,2))&lt;=2,"EC",IF(OR(VALUE(LEFT(AD13,2))=8,VALUE(LEFT(AD13,2))=18),"NW","Other")),"Other")</f>
        <v>EC</v>
      </c>
      <c r="AH13" s="100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4003 --swversion DE.1.0.7.0 --startMP 204:730 --initTime 2016-09-20T03:05:03 --startdatetime 2016-09-20T03:16:09 --delay 2 --endMP 204:233293 --enddatetime 2016-09-20T03:54:17 --enforcementcount 0 &gt;&gt;C:\Users\stu\Documents\GitHub\eaglep3-reporting\EC\2016-09-20-refined-times.txt</v>
      </c>
      <c r="AI13" s="13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{"issue":{"subject":"","project_id":79,"tracker_id":40,"status_id":1,"priority_id":2,"assigned_to_id":23,"start_date":"2016-09-20","description":"","custom_fields":[{"id":1,"name":"Subdivision","value":"EC"},{"id":4,"name":"Milepost","value":"23.3293"},{"id":17,"name":"Train ID","value":"101-20"},{"id":16,"name":"Locomotive ID","value":"4003"},{"id":130,"name":"Impact","value":""},{"id":150,"name":"Time of Event (Mountain Time)","value":"03:54:17"},{"id":151,"name":"Denver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380</v>
      </c>
      <c r="B14" s="7">
        <v>4017</v>
      </c>
      <c r="C14" s="24" t="s">
        <v>106</v>
      </c>
      <c r="D14" s="24" t="s">
        <v>601</v>
      </c>
      <c r="E14" s="15">
        <v>42633.171631944446</v>
      </c>
      <c r="F14" s="15">
        <v>42633.174537037034</v>
      </c>
      <c r="G14" s="7">
        <v>2</v>
      </c>
      <c r="H14" s="15" t="s">
        <v>281</v>
      </c>
      <c r="I14" s="15">
        <v>42633.202835648146</v>
      </c>
      <c r="J14" s="7">
        <v>0</v>
      </c>
      <c r="K14" s="121" t="str">
        <f t="shared" si="0"/>
        <v>4017/4018</v>
      </c>
      <c r="L14" s="24" t="str">
        <f>VLOOKUP(A14,'Trips&amp;Operators'!$C$1:$E$10000,3,FALSE)</f>
        <v>KILLION</v>
      </c>
      <c r="M14" s="6">
        <f t="shared" si="1"/>
        <v>2.8298611112404615E-2</v>
      </c>
      <c r="N14" s="7">
        <f t="shared" si="2"/>
        <v>40.750000001862645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03:07:09-0600',mode:absolute,to:'2016-09-20 05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" s="54" t="str">
        <f t="shared" si="6"/>
        <v>N</v>
      </c>
      <c r="X14" s="168">
        <f>VALUE(LEFT(AD14,4))-VALUE(LEFT(AD13,4))</f>
        <v>1</v>
      </c>
      <c r="Y14" s="69">
        <f t="shared" si="7"/>
        <v>23.264199999999999</v>
      </c>
      <c r="Z14" s="69">
        <f t="shared" si="8"/>
        <v>1.5599999999999999E-2</v>
      </c>
      <c r="AA14" s="69">
        <f t="shared" si="9"/>
        <v>23.2486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0"/>
        <v>0102-20</v>
      </c>
      <c r="AE14" s="99" t="str">
        <f t="shared" si="11"/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14" s="96" t="str">
        <f t="shared" si="12"/>
        <v>"C:\Program Files (x86)\AstroGrep\AstroGrep.exe" /spath="%USERPROFILE%\AppData\Local\Temp\OnboardLogs" /stypes="app*4017*20160920*"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100" t="str">
        <f t="shared" ref="AH14:AH75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4017 --swversion DE.1.0.7.0 --startMP 204:232642 --initTime 2016-09-20T04:07:09 --startdatetime 2016-09-20T04:11:20 --delay 2 --endMP 204:156 --enddatetime 2016-09-20T04:52:05 --enforcementcount 0 &gt;&gt;C:\Users\stu\Documents\GitHub\eaglep3-reporting\EC\2016-09-20-refined-times.txt</v>
      </c>
      <c r="AI14" s="134" t="str">
        <f t="shared" ref="AI14:AI75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{"issue":{"subject":"","project_id":79,"tracker_id":40,"status_id":1,"priority_id":2,"assigned_to_id":23,"start_date":"2016-09-20","description":"","custom_fields":[{"id":1,"name":"Subdivision","value":"EC"},{"id":4,"name":"Milepost","value":"0.0156"},{"id":17,"name":"Train ID","value":"102-20"},{"id":16,"name":"Locomotive ID","value":"4017"},{"id":130,"name":"Impact","value":""},{"id":150,"name":"Time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378</v>
      </c>
      <c r="B15" s="7">
        <v>4025</v>
      </c>
      <c r="C15" s="24" t="s">
        <v>106</v>
      </c>
      <c r="D15" s="24" t="s">
        <v>308</v>
      </c>
      <c r="E15" s="15">
        <v>42633.152025462965</v>
      </c>
      <c r="F15" s="15">
        <v>42633.156712962962</v>
      </c>
      <c r="G15" s="7">
        <v>2</v>
      </c>
      <c r="H15" s="15" t="s">
        <v>602</v>
      </c>
      <c r="I15" s="15">
        <v>42633.184537037036</v>
      </c>
      <c r="J15" s="7">
        <v>0</v>
      </c>
      <c r="K15" s="121" t="str">
        <f t="shared" si="0"/>
        <v>4025/4026</v>
      </c>
      <c r="L15" s="24" t="str">
        <f>VLOOKUP(A15,'Trips&amp;Operators'!$C$1:$E$10000,3,FALSE)</f>
        <v>ACKERMAN</v>
      </c>
      <c r="M15" s="6">
        <f t="shared" si="1"/>
        <v>2.7824074073578231E-2</v>
      </c>
      <c r="N15" s="7">
        <f t="shared" si="2"/>
        <v>40.066666665952653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02:38:55-0600',mode:absolute,to:'2016-09-20 05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" s="54" t="str">
        <f t="shared" si="6"/>
        <v>N</v>
      </c>
      <c r="X15" s="168">
        <f>VALUE(LEFT(AD15,4))-VALUE(LEFT(AD14,4))</f>
        <v>1</v>
      </c>
      <c r="Y15" s="69">
        <f t="shared" si="7"/>
        <v>6.6400000000000001E-2</v>
      </c>
      <c r="Z15" s="69">
        <f t="shared" si="8"/>
        <v>23.334199999999999</v>
      </c>
      <c r="AA15" s="69">
        <f t="shared" si="9"/>
        <v>23.267799999999998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0"/>
        <v>0103-20</v>
      </c>
      <c r="AE15" s="99" t="str">
        <f t="shared" si="11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5" s="96" t="str">
        <f t="shared" si="12"/>
        <v>"C:\Program Files (x86)\AstroGrep\AstroGrep.exe" /spath="%USERPROFILE%\AppData\Local\Temp\OnboardLogs" /stypes="app*4025*20160920*"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100" t="str">
        <f t="shared" si="16"/>
        <v>"%USERPROFILE%\Documents\GitHub\eaglep3\Utilities\RefineRTDCRunTimes.py" --tripid 103-20 --locoid 4025 --swversion DE.1.0.7.0 --startMP 204:664 --initTime 2016-09-20T03:38:55 --startdatetime 2016-09-20T03:45:40 --delay 2 --endMP 204:233342 --enddatetime 2016-09-20T04:25:44 --enforcementcount 0 &gt;&gt;C:\Users\stu\Documents\GitHub\eaglep3-reporting\EC\2016-09-20-refined-times.txt</v>
      </c>
      <c r="AI15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{"issue":{"subject":"","project_id":79,"tracker_id":40,"status_id":1,"priority_id":2,"assigned_to_id":23,"start_date":"2016-09-20","description":"","custom_fields":[{"id":1,"name":"Subdivision","value":"EC"},{"id":4,"name":"Milepost","value":"23.3342"},{"id":17,"name":"Train ID","value":"103-20"},{"id":16,"name":"Locomotive ID","value":"4025"},{"id":130,"name":"Impact","value":""},{"id":150,"name":"Time of Event (Mountain Time)","value":"04:25:44"},{"id":151,"name":"Denver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384</v>
      </c>
      <c r="B16" s="7">
        <v>4010</v>
      </c>
      <c r="C16" s="24" t="s">
        <v>106</v>
      </c>
      <c r="D16" s="24" t="s">
        <v>603</v>
      </c>
      <c r="E16" s="15">
        <v>42633.190740740742</v>
      </c>
      <c r="F16" s="15">
        <v>42633.195393518516</v>
      </c>
      <c r="G16" s="7">
        <v>1</v>
      </c>
      <c r="H16" s="15" t="s">
        <v>213</v>
      </c>
      <c r="I16" s="15">
        <v>42633.2268287037</v>
      </c>
      <c r="J16" s="7">
        <v>0</v>
      </c>
      <c r="K16" s="121" t="str">
        <f t="shared" si="0"/>
        <v>4009/4010</v>
      </c>
      <c r="L16" s="24" t="str">
        <f>VLOOKUP(A16,'Trips&amp;Operators'!$C$1:$E$10000,3,FALSE)</f>
        <v>ACKERMAN</v>
      </c>
      <c r="M16" s="6">
        <f t="shared" si="1"/>
        <v>3.1435185184818693E-2</v>
      </c>
      <c r="N16" s="7">
        <f t="shared" si="2"/>
        <v>45.266666666138917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03:34:40-0600',mode:absolute,to:'2016-09-20 06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6" s="54" t="str">
        <f t="shared" si="6"/>
        <v>N</v>
      </c>
      <c r="X16" s="168">
        <f t="shared" ref="X16:X18" si="18">VALUE(LEFT(AD16,4))-VALUE(LEFT(AD15,4))</f>
        <v>1</v>
      </c>
      <c r="Y16" s="69">
        <f t="shared" si="7"/>
        <v>23.271699999999999</v>
      </c>
      <c r="Z16" s="69">
        <f t="shared" si="8"/>
        <v>1.49E-2</v>
      </c>
      <c r="AA16" s="69">
        <f t="shared" si="9"/>
        <v>23.256799999999998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0"/>
        <v>0104-20</v>
      </c>
      <c r="AE16" s="99" t="str">
        <f t="shared" si="11"/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16" s="96" t="str">
        <f t="shared" si="12"/>
        <v>"C:\Program Files (x86)\AstroGrep\AstroGrep.exe" /spath="%USERPROFILE%\AppData\Local\Temp\OnboardLogs" /stypes="app*4010*20160920*"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100" t="str">
        <f t="shared" si="16"/>
        <v>"%USERPROFILE%\Documents\GitHub\eaglep3\Utilities\RefineRTDCRunTimes.py" --tripid 104-20 --locoid 4010 --swversion DE.1.0.7.0 --startMP 204:232717 --initTime 2016-09-20T04:34:40 --startdatetime 2016-09-20T04:41:22 --delay 1 --endMP 204:149 --enddatetime 2016-09-20T05:26:38 --enforcementcount 0 &gt;&gt;C:\Users\stu\Documents\GitHub\eaglep3-reporting\EC\2016-09-20-refined-times.txt</v>
      </c>
      <c r="AI16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{"issue":{"subject":"","project_id":79,"tracker_id":40,"status_id":1,"priority_id":2,"assigned_to_id":23,"start_date":"2016-09-20","description":"","custom_fields":[{"id":1,"name":"Subdivision","value":"EC"},{"id":4,"name":"Milepost","value":"0.0149"},{"id":17,"name":"Train ID","value":"104-20"},{"id":16,"name":"Locomotive ID","value":"4010"},{"id":130,"name":"Impact","value":""},{"id":150,"name":"Time of Event (Mountain Time)","value":"05:26:38"},{"id":151,"name":"Denver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382</v>
      </c>
      <c r="B17" s="7">
        <v>4014</v>
      </c>
      <c r="C17" s="24" t="s">
        <v>106</v>
      </c>
      <c r="D17" s="24" t="s">
        <v>604</v>
      </c>
      <c r="E17" s="15">
        <v>42633.171747685185</v>
      </c>
      <c r="F17" s="15">
        <v>42633.177499999998</v>
      </c>
      <c r="G17" s="7">
        <v>1</v>
      </c>
      <c r="H17" s="15" t="s">
        <v>605</v>
      </c>
      <c r="I17" s="15">
        <v>42633.206701388888</v>
      </c>
      <c r="J17" s="7">
        <v>0</v>
      </c>
      <c r="K17" s="121" t="str">
        <f t="shared" si="0"/>
        <v>4013/4014</v>
      </c>
      <c r="L17" s="24" t="str">
        <f>VLOOKUP(A17,'Trips&amp;Operators'!$C$1:$E$10000,3,FALSE)</f>
        <v>BRANNON</v>
      </c>
      <c r="M17" s="6">
        <f t="shared" si="1"/>
        <v>2.920138889021473E-2</v>
      </c>
      <c r="N17" s="7">
        <f t="shared" si="2"/>
        <v>42.050000001909211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03:07:19-0600',mode:absolute,to:'2016-09-20 05:57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" s="54" t="str">
        <f t="shared" si="6"/>
        <v>N</v>
      </c>
      <c r="X17" s="168">
        <f t="shared" si="18"/>
        <v>1</v>
      </c>
      <c r="Y17" s="69">
        <f t="shared" si="7"/>
        <v>7.5899999999999995E-2</v>
      </c>
      <c r="Z17" s="69">
        <f t="shared" si="8"/>
        <v>23.335100000000001</v>
      </c>
      <c r="AA17" s="69">
        <f t="shared" si="9"/>
        <v>23.2592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0"/>
        <v>0105-20</v>
      </c>
      <c r="AE17" s="99" t="str">
        <f t="shared" si="11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7" s="96" t="str">
        <f t="shared" si="12"/>
        <v>"C:\Program Files (x86)\AstroGrep\AstroGrep.exe" /spath="%USERPROFILE%\AppData\Local\Temp\OnboardLogs" /stypes="app*4014*20160920*"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100" t="str">
        <f t="shared" si="16"/>
        <v>"%USERPROFILE%\Documents\GitHub\eaglep3\Utilities\RefineRTDCRunTimes.py" --tripid 105-20 --locoid 4014 --swversion DE.1.0.7.0 --startMP 204:759 --initTime 2016-09-20T04:07:19 --startdatetime 2016-09-20T04:15:36 --delay 1 --endMP 204:233351 --enddatetime 2016-09-20T04:57:39 --enforcementcount 0 &gt;&gt;C:\Users\stu\Documents\GitHub\eaglep3-reporting\EC\2016-09-20-refined-times.txt</v>
      </c>
      <c r="AI17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{"issue":{"subject":"","project_id":79,"tracker_id":40,"status_id":1,"priority_id":2,"assigned_to_id":23,"start_date":"2016-09-20","description":"","custom_fields":[{"id":1,"name":"Subdivision","value":"EC"},{"id":4,"name":"Milepost","value":"23.3351"},{"id":17,"name":"Train ID","value":"105-20"},{"id":16,"name":"Locomotive ID","value":"4014"},{"id":130,"name":"Impact","value":""},{"id":150,"name":"Time of Event (Mountain Time)","value":"04:57:39"},{"id":151,"name":"Denver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389</v>
      </c>
      <c r="B18" s="7">
        <v>4015</v>
      </c>
      <c r="C18" s="24" t="s">
        <v>106</v>
      </c>
      <c r="D18" s="24" t="s">
        <v>606</v>
      </c>
      <c r="E18" s="15">
        <v>42633.210601851853</v>
      </c>
      <c r="F18" s="15">
        <v>42633.216203703705</v>
      </c>
      <c r="G18" s="7">
        <v>1</v>
      </c>
      <c r="H18" s="15" t="s">
        <v>607</v>
      </c>
      <c r="I18" s="15">
        <v>42633.24664351852</v>
      </c>
      <c r="J18" s="7">
        <v>0</v>
      </c>
      <c r="K18" s="121" t="str">
        <f t="shared" si="0"/>
        <v>4015/4016</v>
      </c>
      <c r="L18" s="24" t="str">
        <f>VLOOKUP(A18,'Trips&amp;Operators'!$C$1:$E$10000,3,FALSE)</f>
        <v>BRANNON</v>
      </c>
      <c r="M18" s="6">
        <f t="shared" si="1"/>
        <v>3.0439814814599231E-2</v>
      </c>
      <c r="N18" s="7">
        <f t="shared" si="2"/>
        <v>43.833333333022892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04:03:16-0600',mode:absolute,to:'2016-09-20 06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" s="54" t="str">
        <f t="shared" si="6"/>
        <v>N</v>
      </c>
      <c r="X18" s="168">
        <f t="shared" si="18"/>
        <v>1</v>
      </c>
      <c r="Y18" s="69">
        <f t="shared" si="7"/>
        <v>23.2667</v>
      </c>
      <c r="Z18" s="69">
        <f t="shared" si="8"/>
        <v>2.3099999999999999E-2</v>
      </c>
      <c r="AA18" s="69">
        <f t="shared" si="9"/>
        <v>23.243600000000001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 t="shared" si="10"/>
        <v>0106-20</v>
      </c>
      <c r="AE18" s="99" t="str">
        <f t="shared" si="11"/>
        <v>aws s3 cp s3://rtdc.mdm.uploadarchive/RTDC4015/2016-09-20/ "%USERPROFILE%\AppData\Local\Temp\OnboardLogs"\RTDC4015\2016-09-20 --recursive &amp; "%USERPROFILE%\Documents\GitHub\mrs-test-scripts\Headless Mode &amp; Sideloading\WalkAndUnGZ.bat" "%USERPROFILE%\AppData\Local\Temp\OnboardLogs"\RTDC4015\2016-09-20 &amp; 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</v>
      </c>
      <c r="AF18" s="96" t="str">
        <f t="shared" si="12"/>
        <v>"C:\Program Files (x86)\AstroGrep\AstroGrep.exe" /spath="%USERPROFILE%\AppData\Local\Temp\OnboardLogs" /stypes="app*4015*20160920*"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100" t="str">
        <f t="shared" si="16"/>
        <v>"%USERPROFILE%\Documents\GitHub\eaglep3\Utilities\RefineRTDCRunTimes.py" --tripid 106-20 --locoid 4015 --swversion DE.1.0.7.0 --startMP 204:232667 --initTime 2016-09-20T05:03:16 --startdatetime 2016-09-20T05:11:20 --delay 1 --endMP 204:231 --enddatetime 2016-09-20T05:55:10 --enforcementcount 0 &gt;&gt;C:\Users\stu\Documents\GitHub\eaglep3-reporting\EC\2016-09-20-refined-times.txt</v>
      </c>
      <c r="AI18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{"issue":{"subject":"","project_id":79,"tracker_id":40,"status_id":1,"priority_id":2,"assigned_to_id":23,"start_date":"2016-09-20","description":"","custom_fields":[{"id":1,"name":"Subdivision","value":"EC"},{"id":4,"name":"Milepost","value":"0.0231"},{"id":17,"name":"Train ID","value":"106-20"},{"id":16,"name":"Locomotive ID","value":"4015"},{"id":130,"name":"Impact","value":""},{"id":150,"name":"Time of Event (Mountain Time)","value":"05:55:10"},{"id":151,"name":"Denver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383</v>
      </c>
      <c r="B19" s="7">
        <v>4011</v>
      </c>
      <c r="C19" s="24" t="s">
        <v>106</v>
      </c>
      <c r="D19" s="24" t="s">
        <v>231</v>
      </c>
      <c r="E19" s="15">
        <v>42633.18509259259</v>
      </c>
      <c r="F19" s="15">
        <v>42633.188217592593</v>
      </c>
      <c r="G19" s="7">
        <v>1</v>
      </c>
      <c r="H19" s="15" t="s">
        <v>608</v>
      </c>
      <c r="I19" s="15">
        <v>42633.214606481481</v>
      </c>
      <c r="J19" s="7">
        <v>0</v>
      </c>
      <c r="K19" s="121" t="str">
        <f t="shared" si="0"/>
        <v>4011/4012</v>
      </c>
      <c r="L19" s="24" t="str">
        <f>VLOOKUP(A19,'Trips&amp;Operators'!$C$1:$E$10000,3,FALSE)</f>
        <v>SPECTOR</v>
      </c>
      <c r="M19" s="6">
        <f t="shared" si="1"/>
        <v>2.6388888887595385E-2</v>
      </c>
      <c r="N19" s="7">
        <f t="shared" si="2"/>
        <v>37.999999998137355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03:26:32-0600',mode:absolute,to:'2016-09-20 06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" s="54" t="str">
        <f t="shared" si="6"/>
        <v>N</v>
      </c>
      <c r="X19" s="168">
        <f t="shared" ref="X19:X82" si="19">VALUE(LEFT(AD19,4))-VALUE(LEFT(AD18,4))</f>
        <v>1</v>
      </c>
      <c r="Y19" s="69">
        <f t="shared" si="7"/>
        <v>4.6699999999999998E-2</v>
      </c>
      <c r="Z19" s="69">
        <f t="shared" si="8"/>
        <v>23.332100000000001</v>
      </c>
      <c r="AA19" s="69">
        <f t="shared" si="9"/>
        <v>23.285399999999999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0"/>
        <v>0107-20</v>
      </c>
      <c r="AE19" s="99" t="str">
        <f t="shared" si="11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9" s="96" t="str">
        <f t="shared" si="12"/>
        <v>"C:\Program Files (x86)\AstroGrep\AstroGrep.exe" /spath="%USERPROFILE%\AppData\Local\Temp\OnboardLogs" /stypes="app*4011*20160920*"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100" t="str">
        <f t="shared" si="16"/>
        <v>"%USERPROFILE%\Documents\GitHub\eaglep3\Utilities\RefineRTDCRunTimes.py" --tripid 107-20 --locoid 4011 --swversion DE.1.0.7.0 --startMP 204:467 --initTime 2016-09-20T04:26:32 --startdatetime 2016-09-20T04:31:02 --delay 1 --endMP 204:233321 --enddatetime 2016-09-20T05:09:02 --enforcementcount 0 &gt;&gt;C:\Users\stu\Documents\GitHub\eaglep3-reporting\EC\2016-09-20-refined-times.txt</v>
      </c>
      <c r="AI19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{"issue":{"subject":"","project_id":79,"tracker_id":40,"status_id":1,"priority_id":2,"assigned_to_id":23,"start_date":"2016-09-20","description":"","custom_fields":[{"id":1,"name":"Subdivision","value":"EC"},{"id":4,"name":"Milepost","value":"23.3321"},{"id":17,"name":"Train ID","value":"107-20"},{"id":16,"name":"Locomotive ID","value":"4011"},{"id":130,"name":"Impact","value":""},{"id":150,"name":"Time of Event (Mountain Time)","value":"05:09:02"},{"id":151,"name":"Denver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393</v>
      </c>
      <c r="B20" s="7">
        <v>4012</v>
      </c>
      <c r="C20" s="24" t="s">
        <v>106</v>
      </c>
      <c r="D20" s="24" t="s">
        <v>609</v>
      </c>
      <c r="E20" s="15">
        <v>42633.222881944443</v>
      </c>
      <c r="F20" s="15">
        <v>42633.226921296293</v>
      </c>
      <c r="G20" s="7">
        <v>1</v>
      </c>
      <c r="H20" s="15" t="s">
        <v>245</v>
      </c>
      <c r="I20" s="15">
        <v>42633.253912037035</v>
      </c>
      <c r="J20" s="7">
        <v>0</v>
      </c>
      <c r="K20" s="121" t="str">
        <f t="shared" si="0"/>
        <v>4011/4012</v>
      </c>
      <c r="L20" s="24" t="str">
        <f>VLOOKUP(A20,'Trips&amp;Operators'!$C$1:$E$10000,3,FALSE)</f>
        <v>SPECTOR</v>
      </c>
      <c r="M20" s="6">
        <f t="shared" si="1"/>
        <v>2.6990740741894115E-2</v>
      </c>
      <c r="N20" s="7">
        <f t="shared" si="2"/>
        <v>38.866666668327525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04:20:57-0600',mode:absolute,to:'2016-09-20 07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0" s="54" t="str">
        <f t="shared" si="6"/>
        <v>N</v>
      </c>
      <c r="X20" s="168">
        <f t="shared" si="19"/>
        <v>1</v>
      </c>
      <c r="Y20" s="69">
        <f t="shared" si="7"/>
        <v>23.300599999999999</v>
      </c>
      <c r="Z20" s="69">
        <f t="shared" si="8"/>
        <v>1.43E-2</v>
      </c>
      <c r="AA20" s="69">
        <f t="shared" si="9"/>
        <v>23.286300000000001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0"/>
        <v>0108-20</v>
      </c>
      <c r="AE20" s="99" t="str">
        <f t="shared" si="11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20" s="96" t="str">
        <f t="shared" si="12"/>
        <v>"C:\Program Files (x86)\AstroGrep\AstroGrep.exe" /spath="%USERPROFILE%\AppData\Local\Temp\OnboardLogs" /stypes="app*4012*20160920*"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100" t="str">
        <f t="shared" si="16"/>
        <v>"%USERPROFILE%\Documents\GitHub\eaglep3\Utilities\RefineRTDCRunTimes.py" --tripid 108-20 --locoid 4012 --swversion DE.1.0.7.0 --startMP 204:233006 --initTime 2016-09-20T05:20:57 --startdatetime 2016-09-20T05:26:46 --delay 1 --endMP 204:143 --enddatetime 2016-09-20T06:05:38 --enforcementcount 0 &gt;&gt;C:\Users\stu\Documents\GitHub\eaglep3-reporting\EC\2016-09-20-refined-times.txt</v>
      </c>
      <c r="AI20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{"issue":{"subject":"","project_id":79,"tracker_id":40,"status_id":1,"priority_id":2,"assigned_to_id":23,"start_date":"2016-09-20","description":"","custom_fields":[{"id":1,"name":"Subdivision","value":"EC"},{"id":4,"name":"Milepost","value":"0.0143"},{"id":17,"name":"Train ID","value":"108-20"},{"id":16,"name":"Locomotive ID","value":"4012"},{"id":130,"name":"Impact","value":""},{"id":150,"name":"Time of Event (Mountain Time)","value":"06:05:38"},{"id":151,"name":"Denver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385</v>
      </c>
      <c r="B21" s="7">
        <v>4042</v>
      </c>
      <c r="C21" s="24" t="s">
        <v>106</v>
      </c>
      <c r="D21" s="24" t="s">
        <v>231</v>
      </c>
      <c r="E21" s="15">
        <v>42633.190775462965</v>
      </c>
      <c r="F21" s="15">
        <v>42633.198067129626</v>
      </c>
      <c r="G21" s="7">
        <v>1</v>
      </c>
      <c r="H21" s="15" t="s">
        <v>354</v>
      </c>
      <c r="I21" s="15">
        <v>42633.225023148145</v>
      </c>
      <c r="J21" s="7">
        <v>0</v>
      </c>
      <c r="K21" s="121" t="str">
        <f t="shared" si="0"/>
        <v>4041/4042</v>
      </c>
      <c r="L21" s="24" t="str">
        <f>VLOOKUP(A21,'Trips&amp;Operators'!$C$1:$E$10000,3,FALSE)</f>
        <v>DAVIS</v>
      </c>
      <c r="M21" s="6">
        <f t="shared" si="1"/>
        <v>2.6956018518831115E-2</v>
      </c>
      <c r="N21" s="7">
        <f t="shared" si="2"/>
        <v>38.816666667116806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03:34:43-0600',mode:absolute,to:'2016-09-20 06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" s="54" t="str">
        <f t="shared" si="6"/>
        <v>N</v>
      </c>
      <c r="X21" s="168">
        <f t="shared" si="19"/>
        <v>1</v>
      </c>
      <c r="Y21" s="69">
        <f t="shared" si="7"/>
        <v>4.6699999999999998E-2</v>
      </c>
      <c r="Z21" s="69">
        <f t="shared" si="8"/>
        <v>23.331199999999999</v>
      </c>
      <c r="AA21" s="69">
        <f t="shared" si="9"/>
        <v>23.284499999999998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0"/>
        <v>0109-20</v>
      </c>
      <c r="AE21" s="99" t="str">
        <f t="shared" si="11"/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21" s="96" t="str">
        <f t="shared" si="12"/>
        <v>"C:\Program Files (x86)\AstroGrep\AstroGrep.exe" /spath="%USERPROFILE%\AppData\Local\Temp\OnboardLogs" /stypes="app*4042*20160920*"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100" t="str">
        <f t="shared" si="16"/>
        <v>"%USERPROFILE%\Documents\GitHub\eaglep3\Utilities\RefineRTDCRunTimes.py" --tripid 109-20 --locoid 4042 --swversion DE.1.0.7.0 --startMP 204:467 --initTime 2016-09-20T04:34:43 --startdatetime 2016-09-20T04:45:13 --delay 1 --endMP 204:233312 --enddatetime 2016-09-20T05:24:02 --enforcementcount 0 &gt;&gt;C:\Users\stu\Documents\GitHub\eaglep3-reporting\EC\2016-09-20-refined-times.txt</v>
      </c>
      <c r="AI21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{"issue":{"subject":"","project_id":79,"tracker_id":40,"status_id":1,"priority_id":2,"assigned_to_id":23,"start_date":"2016-09-20","description":"","custom_fields":[{"id":1,"name":"Subdivision","value":"EC"},{"id":4,"name":"Milepost","value":"23.3312"},{"id":17,"name":"Train ID","value":"109-20"},{"id":16,"name":"Locomotive ID","value":"4042"},{"id":130,"name":"Impact","value":""},{"id":150,"name":"Time of Event (Mountain Time)","value":"05:24:02"},{"id":151,"name":"Denver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396</v>
      </c>
      <c r="B22" s="7">
        <v>4041</v>
      </c>
      <c r="C22" s="24" t="s">
        <v>106</v>
      </c>
      <c r="D22" s="24" t="s">
        <v>610</v>
      </c>
      <c r="E22" s="15">
        <v>42633.233564814815</v>
      </c>
      <c r="F22" s="15">
        <v>42633.236967592595</v>
      </c>
      <c r="G22" s="7">
        <v>1</v>
      </c>
      <c r="H22" s="15" t="s">
        <v>127</v>
      </c>
      <c r="I22" s="15">
        <v>42633.267372685186</v>
      </c>
      <c r="J22" s="7">
        <v>0</v>
      </c>
      <c r="K22" s="121" t="str">
        <f t="shared" si="0"/>
        <v>4041/4042</v>
      </c>
      <c r="L22" s="24" t="str">
        <f>VLOOKUP(A22,'Trips&amp;Operators'!$C$1:$E$10000,3,FALSE)</f>
        <v>DAVIS</v>
      </c>
      <c r="M22" s="6">
        <f t="shared" si="1"/>
        <v>3.0405092591536231E-2</v>
      </c>
      <c r="N22" s="7">
        <f t="shared" si="2"/>
        <v>43.783333331812173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04:36:20-0600',mode:absolute,to:'2016-09-20 07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" s="54" t="str">
        <f t="shared" si="6"/>
        <v>N</v>
      </c>
      <c r="X22" s="168">
        <f t="shared" si="19"/>
        <v>1</v>
      </c>
      <c r="Y22" s="69">
        <f t="shared" si="7"/>
        <v>23.3001</v>
      </c>
      <c r="Z22" s="69">
        <f t="shared" si="8"/>
        <v>1.54E-2</v>
      </c>
      <c r="AA22" s="69">
        <f t="shared" si="9"/>
        <v>23.284700000000001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0"/>
        <v>0110-20</v>
      </c>
      <c r="AE22" s="99" t="str">
        <f t="shared" si="11"/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22" s="96" t="str">
        <f t="shared" si="12"/>
        <v>"C:\Program Files (x86)\AstroGrep\AstroGrep.exe" /spath="%USERPROFILE%\AppData\Local\Temp\OnboardLogs" /stypes="app*4041*20160920*"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100" t="str">
        <f t="shared" si="16"/>
        <v>"%USERPROFILE%\Documents\GitHub\eaglep3\Utilities\RefineRTDCRunTimes.py" --tripid 110-20 --locoid 4041 --swversion DE.1.0.7.0 --startMP 204:233001 --initTime 2016-09-20T05:36:20 --startdatetime 2016-09-20T05:41:14 --delay 1 --endMP 204:154 --enddatetime 2016-09-20T06:25:01 --enforcementcount 0 &gt;&gt;C:\Users\stu\Documents\GitHub\eaglep3-reporting\EC\2016-09-20-refined-times.txt</v>
      </c>
      <c r="AI22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{"issue":{"subject":"","project_id":79,"tracker_id":40,"status_id":1,"priority_id":2,"assigned_to_id":23,"start_date":"2016-09-20","description":"","custom_fields":[{"id":1,"name":"Subdivision","value":"EC"},{"id":4,"name":"Milepost","value":"0.0154"},{"id":17,"name":"Train ID","value":"110-20"},{"id":16,"name":"Locomotive ID","value":"4041"},{"id":130,"name":"Impact","value":""},{"id":150,"name":"Time of Event (Mountain Time)","value":"06:25:01"},{"id":151,"name":"Denver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386</v>
      </c>
      <c r="B23" s="7">
        <v>4003</v>
      </c>
      <c r="C23" s="24" t="s">
        <v>106</v>
      </c>
      <c r="D23" s="24" t="s">
        <v>611</v>
      </c>
      <c r="E23" s="15">
        <v>42633.20689814815</v>
      </c>
      <c r="F23" s="15">
        <v>42633.208680555559</v>
      </c>
      <c r="G23" s="7">
        <v>2</v>
      </c>
      <c r="H23" s="15" t="s">
        <v>608</v>
      </c>
      <c r="I23" s="15">
        <v>42633.233842592592</v>
      </c>
      <c r="J23" s="7">
        <v>0</v>
      </c>
      <c r="K23" s="121" t="str">
        <f t="shared" si="0"/>
        <v>4003/4004</v>
      </c>
      <c r="L23" s="24" t="str">
        <f>VLOOKUP(A23,'Trips&amp;Operators'!$C$1:$E$10000,3,FALSE)</f>
        <v>GEBRETEKLE</v>
      </c>
      <c r="M23" s="6">
        <f t="shared" si="1"/>
        <v>2.5162037032714579E-2</v>
      </c>
      <c r="N23" s="7">
        <f t="shared" si="2"/>
        <v>36.233333327108994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03:57:56-0600',mode:absolute,to:'2016-09-20 06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3" s="54" t="str">
        <f t="shared" si="6"/>
        <v>N</v>
      </c>
      <c r="X23" s="168">
        <f t="shared" si="19"/>
        <v>1</v>
      </c>
      <c r="Y23" s="69">
        <f t="shared" si="7"/>
        <v>7.7200000000000005E-2</v>
      </c>
      <c r="Z23" s="69">
        <f t="shared" si="8"/>
        <v>23.332100000000001</v>
      </c>
      <c r="AA23" s="69">
        <f t="shared" si="9"/>
        <v>23.254899999999999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0"/>
        <v>0111-20</v>
      </c>
      <c r="AE23" s="99" t="str">
        <f t="shared" si="11"/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23" s="96" t="str">
        <f t="shared" si="12"/>
        <v>"C:\Program Files (x86)\AstroGrep\AstroGrep.exe" /spath="%USERPROFILE%\AppData\Local\Temp\OnboardLogs" /stypes="app*4003*20160920*"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100" t="str">
        <f t="shared" si="16"/>
        <v>"%USERPROFILE%\Documents\GitHub\eaglep3\Utilities\RefineRTDCRunTimes.py" --tripid 111-20 --locoid 4003 --swversion DE.1.0.7.0 --startMP 204:772 --initTime 2016-09-20T04:57:56 --startdatetime 2016-09-20T05:00:30 --delay 2 --endMP 204:233321 --enddatetime 2016-09-20T05:36:44 --enforcementcount 0 &gt;&gt;C:\Users\stu\Documents\GitHub\eaglep3-reporting\EC\2016-09-20-refined-times.txt</v>
      </c>
      <c r="AI23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{"issue":{"subject":"","project_id":79,"tracker_id":40,"status_id":1,"priority_id":2,"assigned_to_id":23,"start_date":"2016-09-20","description":"","custom_fields":[{"id":1,"name":"Subdivision","value":"EC"},{"id":4,"name":"Milepost","value":"23.3321"},{"id":17,"name":"Train ID","value":"111-20"},{"id":16,"name":"Locomotive ID","value":"4003"},{"id":130,"name":"Impact","value":""},{"id":150,"name":"Time of Event (Mountain Time)","value":"05:36:44"},{"id":151,"name":"Denver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399</v>
      </c>
      <c r="B24" s="7">
        <v>4004</v>
      </c>
      <c r="C24" s="24" t="s">
        <v>106</v>
      </c>
      <c r="D24" s="24" t="s">
        <v>612</v>
      </c>
      <c r="E24" s="15">
        <v>42633.244155092594</v>
      </c>
      <c r="F24" s="15">
        <v>42633.247430555559</v>
      </c>
      <c r="G24" s="7">
        <v>2</v>
      </c>
      <c r="H24" s="15" t="s">
        <v>235</v>
      </c>
      <c r="I24" s="15">
        <v>42633.275243055556</v>
      </c>
      <c r="J24" s="7">
        <v>0</v>
      </c>
      <c r="K24" s="121" t="str">
        <f t="shared" si="0"/>
        <v>4003/4004</v>
      </c>
      <c r="L24" s="24" t="str">
        <f>VLOOKUP(A24,'Trips&amp;Operators'!$C$1:$E$10000,3,FALSE)</f>
        <v>GEBRETEKLE</v>
      </c>
      <c r="M24" s="6">
        <f t="shared" si="1"/>
        <v>2.7812499996798579E-2</v>
      </c>
      <c r="N24" s="7">
        <f t="shared" si="2"/>
        <v>40.049999995389953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04:51:35-0600',mode:absolute,to:'2016-09-20 07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4" s="54" t="str">
        <f t="shared" si="6"/>
        <v>N</v>
      </c>
      <c r="X24" s="168">
        <f t="shared" si="19"/>
        <v>1</v>
      </c>
      <c r="Y24" s="69">
        <f t="shared" si="7"/>
        <v>23.299600000000002</v>
      </c>
      <c r="Z24" s="69">
        <f t="shared" si="8"/>
        <v>1.38E-2</v>
      </c>
      <c r="AA24" s="69">
        <f t="shared" si="9"/>
        <v>23.285800000000002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0"/>
        <v>0112-20</v>
      </c>
      <c r="AE24" s="99" t="str">
        <f t="shared" si="11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24" s="96" t="str">
        <f t="shared" si="12"/>
        <v>"C:\Program Files (x86)\AstroGrep\AstroGrep.exe" /spath="%USERPROFILE%\AppData\Local\Temp\OnboardLogs" /stypes="app*4004*20160920*"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100" t="str">
        <f t="shared" si="16"/>
        <v>"%USERPROFILE%\Documents\GitHub\eaglep3\Utilities\RefineRTDCRunTimes.py" --tripid 112-20 --locoid 4004 --swversion DE.1.0.7.0 --startMP 204:232996 --initTime 2016-09-20T05:51:35 --startdatetime 2016-09-20T05:56:18 --delay 2 --endMP 204:138 --enddatetime 2016-09-20T06:36:21 --enforcementcount 0 &gt;&gt;C:\Users\stu\Documents\GitHub\eaglep3-reporting\EC\2016-09-20-refined-times.txt</v>
      </c>
      <c r="AI24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{"issue":{"subject":"","project_id":79,"tracker_id":40,"status_id":1,"priority_id":2,"assigned_to_id":23,"start_date":"2016-09-20","description":"","custom_fields":[{"id":1,"name":"Subdivision","value":"EC"},{"id":4,"name":"Milepost","value":"0.0138"},{"id":17,"name":"Train ID","value":"112-20"},{"id":16,"name":"Locomotive ID","value":"4004"},{"id":130,"name":"Impact","value":""},{"id":150,"name":"Time of Event (Mountain Time)","value":"06:36:21"},{"id":151,"name":"Denver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391</v>
      </c>
      <c r="B25" s="7">
        <v>4018</v>
      </c>
      <c r="C25" s="24" t="s">
        <v>106</v>
      </c>
      <c r="D25" s="24" t="s">
        <v>219</v>
      </c>
      <c r="E25" s="15">
        <v>42633.20921296296</v>
      </c>
      <c r="F25" s="15">
        <v>42633.219004629631</v>
      </c>
      <c r="G25" s="7">
        <v>2</v>
      </c>
      <c r="H25" s="15" t="s">
        <v>258</v>
      </c>
      <c r="I25" s="15">
        <v>42633.246562499997</v>
      </c>
      <c r="J25" s="7">
        <v>0</v>
      </c>
      <c r="K25" s="121" t="str">
        <f t="shared" si="0"/>
        <v>4017/4018</v>
      </c>
      <c r="L25" s="24" t="str">
        <f>VLOOKUP(A25,'Trips&amp;Operators'!$C$1:$E$10000,3,FALSE)</f>
        <v>KILLION</v>
      </c>
      <c r="M25" s="6">
        <f t="shared" si="1"/>
        <v>2.7557870365853887E-2</v>
      </c>
      <c r="N25" s="7">
        <f t="shared" si="2"/>
        <v>39.683333326829597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04:01:16-0600',mode:absolute,to:'2016-09-20 06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5" s="54" t="str">
        <f t="shared" si="6"/>
        <v>N</v>
      </c>
      <c r="X25" s="168">
        <f t="shared" si="19"/>
        <v>1</v>
      </c>
      <c r="Y25" s="69">
        <f t="shared" si="7"/>
        <v>4.53E-2</v>
      </c>
      <c r="Z25" s="69">
        <f t="shared" si="8"/>
        <v>23.327400000000001</v>
      </c>
      <c r="AA25" s="69">
        <f t="shared" si="9"/>
        <v>23.2821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0"/>
        <v>0113-20</v>
      </c>
      <c r="AE25" s="99" t="str">
        <f t="shared" si="11"/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25" s="96" t="str">
        <f t="shared" si="12"/>
        <v>"C:\Program Files (x86)\AstroGrep\AstroGrep.exe" /spath="%USERPROFILE%\AppData\Local\Temp\OnboardLogs" /stypes="app*4018*20160920*"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100" t="str">
        <f t="shared" si="16"/>
        <v>"%USERPROFILE%\Documents\GitHub\eaglep3\Utilities\RefineRTDCRunTimes.py" --tripid 113-20 --locoid 4018 --swversion DE.1.0.7.0 --startMP 204:453 --initTime 2016-09-20T05:01:16 --startdatetime 2016-09-20T05:15:22 --delay 2 --endMP 204:233274 --enddatetime 2016-09-20T05:55:03 --enforcementcount 0 &gt;&gt;C:\Users\stu\Documents\GitHub\eaglep3-reporting\EC\2016-09-20-refined-times.txt</v>
      </c>
      <c r="AI25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{"issue":{"subject":"","project_id":79,"tracker_id":40,"status_id":1,"priority_id":2,"assigned_to_id":23,"start_date":"2016-09-20","description":"","custom_fields":[{"id":1,"name":"Subdivision","value":"EC"},{"id":4,"name":"Milepost","value":"23.3274"},{"id":17,"name":"Train ID","value":"113-20"},{"id":16,"name":"Locomotive ID","value":"4018"},{"id":130,"name":"Impact","value":""},{"id":150,"name":"Time of Event (Mountain Time)","value":"05:55:03"},{"id":151,"name":"Denver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402</v>
      </c>
      <c r="B26" s="7">
        <v>4017</v>
      </c>
      <c r="C26" s="24" t="s">
        <v>106</v>
      </c>
      <c r="D26" s="24" t="s">
        <v>613</v>
      </c>
      <c r="E26" s="15">
        <v>42633.253750000003</v>
      </c>
      <c r="F26" s="15">
        <v>42633.257962962962</v>
      </c>
      <c r="G26" s="7">
        <v>1</v>
      </c>
      <c r="H26" s="15" t="s">
        <v>614</v>
      </c>
      <c r="I26" s="15">
        <v>42633.287361111114</v>
      </c>
      <c r="J26" s="7">
        <v>0</v>
      </c>
      <c r="K26" s="121" t="str">
        <f t="shared" si="0"/>
        <v>4017/4018</v>
      </c>
      <c r="L26" s="24" t="str">
        <f>VLOOKUP(A26,'Trips&amp;Operators'!$C$1:$E$10000,3,FALSE)</f>
        <v>KILLION</v>
      </c>
      <c r="M26" s="6">
        <f t="shared" si="1"/>
        <v>2.9398148151813075E-2</v>
      </c>
      <c r="N26" s="7">
        <f t="shared" si="2"/>
        <v>42.333333338610828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05:05:24-0600',mode:absolute,to:'2016-09-20 07:53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6" s="54" t="str">
        <f t="shared" si="6"/>
        <v>N</v>
      </c>
      <c r="X26" s="168">
        <f t="shared" si="19"/>
        <v>1</v>
      </c>
      <c r="Y26" s="69">
        <f t="shared" si="7"/>
        <v>23.295200000000001</v>
      </c>
      <c r="Z26" s="69">
        <f t="shared" si="8"/>
        <v>2.58E-2</v>
      </c>
      <c r="AA26" s="69">
        <f t="shared" si="9"/>
        <v>23.269400000000001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0"/>
        <v>0114-20</v>
      </c>
      <c r="AE26" s="99" t="str">
        <f t="shared" si="11"/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26" s="96" t="str">
        <f t="shared" si="12"/>
        <v>"C:\Program Files (x86)\AstroGrep\AstroGrep.exe" /spath="%USERPROFILE%\AppData\Local\Temp\OnboardLogs" /stypes="app*4017*20160920*"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100" t="str">
        <f t="shared" si="16"/>
        <v>"%USERPROFILE%\Documents\GitHub\eaglep3\Utilities\RefineRTDCRunTimes.py" --tripid 114-20 --locoid 4017 --swversion DE.1.0.7.0 --startMP 204:232952 --initTime 2016-09-20T06:05:24 --startdatetime 2016-09-20T06:11:28 --delay 1 --endMP 204:258 --enddatetime 2016-09-20T06:53:48 --enforcementcount 0 &gt;&gt;C:\Users\stu\Documents\GitHub\eaglep3-reporting\EC\2016-09-20-refined-times.txt</v>
      </c>
      <c r="AI26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{"issue":{"subject":"","project_id":79,"tracker_id":40,"status_id":1,"priority_id":2,"assigned_to_id":23,"start_date":"2016-09-20","description":"","custom_fields":[{"id":1,"name":"Subdivision","value":"EC"},{"id":4,"name":"Milepost","value":"0.0258"},{"id":17,"name":"Train ID","value":"114-20"},{"id":16,"name":"Locomotive ID","value":"4017"},{"id":130,"name":"Impact","value":""},{"id":150,"name":"Time of Event (Mountain Time)","value":"06:53:48"},{"id":151,"name":"Denver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394</v>
      </c>
      <c r="B27" s="7">
        <v>4025</v>
      </c>
      <c r="C27" s="24" t="s">
        <v>106</v>
      </c>
      <c r="D27" s="24" t="s">
        <v>615</v>
      </c>
      <c r="E27" s="15">
        <v>42633.229120370372</v>
      </c>
      <c r="F27" s="15">
        <v>42633.230740740742</v>
      </c>
      <c r="G27" s="7">
        <v>1</v>
      </c>
      <c r="H27" s="15" t="s">
        <v>616</v>
      </c>
      <c r="I27" s="15">
        <v>42633.255046296297</v>
      </c>
      <c r="J27" s="7">
        <v>0</v>
      </c>
      <c r="K27" s="121" t="str">
        <f t="shared" si="0"/>
        <v>4025/4026</v>
      </c>
      <c r="L27" s="24" t="str">
        <f>VLOOKUP(A27,'Trips&amp;Operators'!$C$1:$E$10000,3,FALSE)</f>
        <v>ROCHA</v>
      </c>
      <c r="M27" s="6">
        <f t="shared" si="1"/>
        <v>2.4305555554747116E-2</v>
      </c>
      <c r="N27" s="7">
        <f t="shared" si="2"/>
        <v>34.999999998835847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04:29:56-0600',mode:absolute,to:'2016-09-20 07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7" s="54" t="str">
        <f t="shared" si="6"/>
        <v>N</v>
      </c>
      <c r="X27" s="168">
        <f t="shared" si="19"/>
        <v>1</v>
      </c>
      <c r="Y27" s="69">
        <f t="shared" si="7"/>
        <v>7.0599999999999996E-2</v>
      </c>
      <c r="Z27" s="69">
        <f t="shared" si="8"/>
        <v>23.331499999999998</v>
      </c>
      <c r="AA27" s="69">
        <f t="shared" si="9"/>
        <v>23.260899999999999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0"/>
        <v>0115-20</v>
      </c>
      <c r="AE27" s="99" t="str">
        <f t="shared" si="11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27" s="96" t="str">
        <f t="shared" si="12"/>
        <v>"C:\Program Files (x86)\AstroGrep\AstroGrep.exe" /spath="%USERPROFILE%\AppData\Local\Temp\OnboardLogs" /stypes="app*4025*20160920*"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100" t="str">
        <f t="shared" si="16"/>
        <v>"%USERPROFILE%\Documents\GitHub\eaglep3\Utilities\RefineRTDCRunTimes.py" --tripid 115-20 --locoid 4025 --swversion DE.1.0.7.0 --startMP 204:706 --initTime 2016-09-20T05:29:56 --startdatetime 2016-09-20T05:32:16 --delay 1 --endMP 204:233315 --enddatetime 2016-09-20T06:07:16 --enforcementcount 0 &gt;&gt;C:\Users\stu\Documents\GitHub\eaglep3-reporting\EC\2016-09-20-refined-times.txt</v>
      </c>
      <c r="AI27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{"issue":{"subject":"","project_id":79,"tracker_id":40,"status_id":1,"priority_id":2,"assigned_to_id":23,"start_date":"2016-09-20","description":"","custom_fields":[{"id":1,"name":"Subdivision","value":"EC"},{"id":4,"name":"Milepost","value":"23.3315"},{"id":17,"name":"Train ID","value":"115-20"},{"id":16,"name":"Locomotive ID","value":"4025"},{"id":130,"name":"Impact","value":""},{"id":150,"name":"Time of Event (Mountain Time)","value":"06:07:16"},{"id":151,"name":"Denver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405</v>
      </c>
      <c r="B28" s="7">
        <v>4026</v>
      </c>
      <c r="C28" s="24" t="s">
        <v>106</v>
      </c>
      <c r="D28" s="24" t="s">
        <v>617</v>
      </c>
      <c r="E28" s="15">
        <v>42633.267002314817</v>
      </c>
      <c r="F28" s="15">
        <v>42633.268888888888</v>
      </c>
      <c r="G28" s="7">
        <v>2</v>
      </c>
      <c r="H28" s="15" t="s">
        <v>336</v>
      </c>
      <c r="I28" s="15">
        <v>42633.296215277776</v>
      </c>
      <c r="J28" s="7">
        <v>0</v>
      </c>
      <c r="K28" s="121" t="str">
        <f t="shared" si="0"/>
        <v>4025/4026</v>
      </c>
      <c r="L28" s="24" t="str">
        <f>VLOOKUP(A28,'Trips&amp;Operators'!$C$1:$E$10000,3,FALSE)</f>
        <v>ROCHA</v>
      </c>
      <c r="M28" s="6">
        <f t="shared" si="1"/>
        <v>2.73263888884685E-2</v>
      </c>
      <c r="N28" s="7">
        <f t="shared" si="2"/>
        <v>39.34999999939464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05:24:29-0600',mode:absolute,to:'2016-09-20 08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8" s="54" t="str">
        <f t="shared" si="6"/>
        <v>N</v>
      </c>
      <c r="X28" s="168">
        <f t="shared" si="19"/>
        <v>1</v>
      </c>
      <c r="Y28" s="69">
        <f t="shared" si="7"/>
        <v>23.298300000000001</v>
      </c>
      <c r="Z28" s="69">
        <f t="shared" si="8"/>
        <v>1.41E-2</v>
      </c>
      <c r="AA28" s="69">
        <f t="shared" si="9"/>
        <v>23.284200000000002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0"/>
        <v>0116-20</v>
      </c>
      <c r="AE28" s="99" t="str">
        <f t="shared" si="11"/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28" s="96" t="str">
        <f t="shared" si="12"/>
        <v>"C:\Program Files (x86)\AstroGrep\AstroGrep.exe" /spath="%USERPROFILE%\AppData\Local\Temp\OnboardLogs" /stypes="app*4026*20160920*"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100" t="str">
        <f t="shared" si="16"/>
        <v>"%USERPROFILE%\Documents\GitHub\eaglep3\Utilities\RefineRTDCRunTimes.py" --tripid 116-20 --locoid 4026 --swversion DE.1.0.7.0 --startMP 204:232983 --initTime 2016-09-20T06:24:29 --startdatetime 2016-09-20T06:27:12 --delay 2 --endMP 204:141 --enddatetime 2016-09-20T07:06:33 --enforcementcount 0 &gt;&gt;C:\Users\stu\Documents\GitHub\eaglep3-reporting\EC\2016-09-20-refined-times.txt</v>
      </c>
      <c r="AI28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{"issue":{"subject":"","project_id":79,"tracker_id":40,"status_id":1,"priority_id":2,"assigned_to_id":23,"start_date":"2016-09-20","description":"","custom_fields":[{"id":1,"name":"Subdivision","value":"EC"},{"id":4,"name":"Milepost","value":"0.0141"},{"id":17,"name":"Train ID","value":"116-20"},{"id":16,"name":"Locomotive ID","value":"4026"},{"id":130,"name":"Impact","value":""},{"id":150,"name":"Time of Event (Mountain Time)","value":"07:06:33"},{"id":151,"name":"Denver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397</v>
      </c>
      <c r="B29" s="7">
        <v>4009</v>
      </c>
      <c r="C29" s="24" t="s">
        <v>106</v>
      </c>
      <c r="D29" s="24" t="s">
        <v>224</v>
      </c>
      <c r="E29" s="15">
        <v>42633.234270833331</v>
      </c>
      <c r="F29" s="15">
        <v>42633.239791666667</v>
      </c>
      <c r="G29" s="7">
        <v>2</v>
      </c>
      <c r="H29" s="15" t="s">
        <v>221</v>
      </c>
      <c r="I29" s="15">
        <v>42633.265381944446</v>
      </c>
      <c r="J29" s="7">
        <v>0</v>
      </c>
      <c r="K29" s="121" t="str">
        <f t="shared" si="0"/>
        <v>4009/4010</v>
      </c>
      <c r="L29" s="24" t="str">
        <f>VLOOKUP(A29,'Trips&amp;Operators'!$C$1:$E$10000,3,FALSE)</f>
        <v>ACKERMAN</v>
      </c>
      <c r="M29" s="6">
        <f t="shared" si="1"/>
        <v>2.5590277778974269E-2</v>
      </c>
      <c r="N29" s="7">
        <f t="shared" si="2"/>
        <v>36.850000001722947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04:37:21-0600',mode:absolute,to:'2016-09-20 07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9" s="54" t="str">
        <f t="shared" si="6"/>
        <v>N</v>
      </c>
      <c r="X29" s="168">
        <f t="shared" si="19"/>
        <v>1</v>
      </c>
      <c r="Y29" s="69">
        <f t="shared" si="7"/>
        <v>4.4699999999999997E-2</v>
      </c>
      <c r="Z29" s="69">
        <f t="shared" si="8"/>
        <v>23.3291</v>
      </c>
      <c r="AA29" s="69">
        <f t="shared" si="9"/>
        <v>23.284400000000002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0"/>
        <v>0117-20</v>
      </c>
      <c r="AE29" s="99" t="str">
        <f t="shared" si="11"/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29" s="96" t="str">
        <f t="shared" si="12"/>
        <v>"C:\Program Files (x86)\AstroGrep\AstroGrep.exe" /spath="%USERPROFILE%\AppData\Local\Temp\OnboardLogs" /stypes="app*4009*20160920*"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100" t="str">
        <f t="shared" si="16"/>
        <v>"%USERPROFILE%\Documents\GitHub\eaglep3\Utilities\RefineRTDCRunTimes.py" --tripid 117-20 --locoid 4009 --swversion DE.1.0.7.0 --startMP 204:447 --initTime 2016-09-20T05:37:21 --startdatetime 2016-09-20T05:45:18 --delay 2 --endMP 204:233291 --enddatetime 2016-09-20T06:22:09 --enforcementcount 0 &gt;&gt;C:\Users\stu\Documents\GitHub\eaglep3-reporting\EC\2016-09-20-refined-times.txt</v>
      </c>
      <c r="AI29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{"issue":{"subject":"","project_id":79,"tracker_id":40,"status_id":1,"priority_id":2,"assigned_to_id":23,"start_date":"2016-09-20","description":"","custom_fields":[{"id":1,"name":"Subdivision","value":"EC"},{"id":4,"name":"Milepost","value":"23.3291"},{"id":17,"name":"Train ID","value":"117-20"},{"id":16,"name":"Locomotive ID","value":"4009"},{"id":130,"name":"Impact","value":""},{"id":150,"name":"Time of Event (Mountain Time)","value":"06:22:09"},{"id":151,"name":"Denver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407</v>
      </c>
      <c r="B30" s="7">
        <v>4010</v>
      </c>
      <c r="C30" s="24" t="s">
        <v>106</v>
      </c>
      <c r="D30" s="24" t="s">
        <v>234</v>
      </c>
      <c r="E30" s="15">
        <v>42633.272627314815</v>
      </c>
      <c r="F30" s="15">
        <v>42633.278865740744</v>
      </c>
      <c r="G30" s="7">
        <v>1</v>
      </c>
      <c r="H30" s="15" t="s">
        <v>284</v>
      </c>
      <c r="I30" s="15">
        <v>42633.306215277778</v>
      </c>
      <c r="J30" s="7">
        <v>0</v>
      </c>
      <c r="K30" s="121" t="str">
        <f t="shared" si="0"/>
        <v>4009/4010</v>
      </c>
      <c r="L30" s="24" t="str">
        <f>VLOOKUP(A30,'Trips&amp;Operators'!$C$1:$E$10000,3,FALSE)</f>
        <v>ACKERMAN</v>
      </c>
      <c r="M30" s="6">
        <f t="shared" si="1"/>
        <v>2.7349537034751847E-2</v>
      </c>
      <c r="N30" s="7">
        <f t="shared" si="2"/>
        <v>39.38333333004266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05:32:35-0600',mode:absolute,to:'2016-09-20 08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0" s="54" t="str">
        <f t="shared" si="6"/>
        <v>N</v>
      </c>
      <c r="X30" s="168">
        <f t="shared" si="19"/>
        <v>1</v>
      </c>
      <c r="Y30" s="69">
        <f t="shared" si="7"/>
        <v>23.297799999999999</v>
      </c>
      <c r="Z30" s="69">
        <f t="shared" si="8"/>
        <v>1.6500000000000001E-2</v>
      </c>
      <c r="AA30" s="69">
        <f t="shared" si="9"/>
        <v>23.281299999999998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0"/>
        <v>0118-20</v>
      </c>
      <c r="AE30" s="99" t="str">
        <f t="shared" si="11"/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30" s="96" t="str">
        <f t="shared" si="12"/>
        <v>"C:\Program Files (x86)\AstroGrep\AstroGrep.exe" /spath="%USERPROFILE%\AppData\Local\Temp\OnboardLogs" /stypes="app*4010*20160920*"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100" t="str">
        <f t="shared" si="16"/>
        <v>"%USERPROFILE%\Documents\GitHub\eaglep3\Utilities\RefineRTDCRunTimes.py" --tripid 118-20 --locoid 4010 --swversion DE.1.0.7.0 --startMP 204:232978 --initTime 2016-09-20T06:32:35 --startdatetime 2016-09-20T06:41:34 --delay 1 --endMP 204:165 --enddatetime 2016-09-20T07:20:57 --enforcementcount 0 &gt;&gt;C:\Users\stu\Documents\GitHub\eaglep3-reporting\EC\2016-09-20-refined-times.txt</v>
      </c>
      <c r="AI30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{"issue":{"subject":"","project_id":79,"tracker_id":40,"status_id":1,"priority_id":2,"assigned_to_id":23,"start_date":"2016-09-20","description":"","custom_fields":[{"id":1,"name":"Subdivision","value":"EC"},{"id":4,"name":"Milepost","value":"0.0165"},{"id":17,"name":"Train ID","value":"118-20"},{"id":16,"name":"Locomotive ID","value":"4010"},{"id":130,"name":"Impact","value":""},{"id":150,"name":"Time of Event (Mountain Time)","value":"07:20:57"},{"id":151,"name":"Denver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400</v>
      </c>
      <c r="B31" s="7">
        <v>4014</v>
      </c>
      <c r="C31" s="24" t="s">
        <v>106</v>
      </c>
      <c r="D31" s="24" t="s">
        <v>618</v>
      </c>
      <c r="E31" s="15">
        <v>42633.249097222222</v>
      </c>
      <c r="F31" s="15">
        <v>42633.250821759262</v>
      </c>
      <c r="G31" s="7">
        <v>1</v>
      </c>
      <c r="H31" s="15" t="s">
        <v>257</v>
      </c>
      <c r="I31" s="15">
        <v>42633.277731481481</v>
      </c>
      <c r="J31" s="7">
        <v>0</v>
      </c>
      <c r="K31" s="121" t="str">
        <f t="shared" si="0"/>
        <v>4013/4014</v>
      </c>
      <c r="L31" s="24" t="str">
        <f>VLOOKUP(A31,'Trips&amp;Operators'!$C$1:$E$10000,3,FALSE)</f>
        <v>BRANNON</v>
      </c>
      <c r="M31" s="6">
        <f t="shared" si="1"/>
        <v>2.6909722218988463E-2</v>
      </c>
      <c r="N31" s="7">
        <f t="shared" si="2"/>
        <v>38.749999995343387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04:58:42-0600',mode:absolute,to:'2016-09-20 07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1" s="54" t="str">
        <f t="shared" si="6"/>
        <v>N</v>
      </c>
      <c r="X31" s="168">
        <f t="shared" si="19"/>
        <v>1</v>
      </c>
      <c r="Y31" s="69">
        <f t="shared" si="7"/>
        <v>7.5399999999999995E-2</v>
      </c>
      <c r="Z31" s="69">
        <f t="shared" si="8"/>
        <v>23.329699999999999</v>
      </c>
      <c r="AA31" s="69">
        <f t="shared" si="9"/>
        <v>23.254300000000001</v>
      </c>
      <c r="AB31" s="66" t="str">
        <f>VLOOKUP(A31,Enforcements!$C$7:$K$20,8,0)</f>
        <v>Speed (6)</v>
      </c>
      <c r="AC31" s="62" t="str">
        <f>VLOOKUP(A31,Enforcements!$C$7:$E$20,3,0)</f>
        <v>PERMANENT SPEED RESTRICTION</v>
      </c>
      <c r="AD31" s="63" t="str">
        <f t="shared" si="10"/>
        <v>0119-20</v>
      </c>
      <c r="AE31" s="99" t="str">
        <f t="shared" si="11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31" s="96" t="str">
        <f t="shared" si="12"/>
        <v>"C:\Program Files (x86)\AstroGrep\AstroGrep.exe" /spath="%USERPROFILE%\AppData\Local\Temp\OnboardLogs" /stypes="app*4014*20160920*"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100" t="str">
        <f t="shared" si="16"/>
        <v>"%USERPROFILE%\Documents\GitHub\eaglep3\Utilities\RefineRTDCRunTimes.py" --tripid 119-20 --locoid 4014 --swversion DE.1.0.7.0 --startMP 204:754 --initTime 2016-09-20T05:58:42 --startdatetime 2016-09-20T06:01:11 --delay 1 --endMP 204:233297 --enddatetime 2016-09-20T06:39:56 --enforcementcount 0 &gt;&gt;C:\Users\stu\Documents\GitHub\eaglep3-reporting\EC\2016-09-20-refined-times.txt</v>
      </c>
      <c r="AI31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{"issue":{"subject":"","project_id":79,"tracker_id":40,"status_id":1,"priority_id":2,"assigned_to_id":23,"start_date":"2016-09-20","description":"","custom_fields":[{"id":1,"name":"Subdivision","value":"EC"},{"id":4,"name":"Milepost","value":"23.3297"},{"id":17,"name":"Train ID","value":"119-20"},{"id":16,"name":"Locomotive ID","value":"4014"},{"id":130,"name":"Impact","value":""},{"id":150,"name":"Time of Event (Mountain Time)","value":"06:39:56"},{"id":151,"name":"Denver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412</v>
      </c>
      <c r="B32" s="7">
        <v>4013</v>
      </c>
      <c r="C32" s="24" t="s">
        <v>106</v>
      </c>
      <c r="D32" s="24" t="s">
        <v>619</v>
      </c>
      <c r="E32" s="15">
        <v>42633.287465277775</v>
      </c>
      <c r="F32" s="15">
        <v>42633.289027777777</v>
      </c>
      <c r="G32" s="7">
        <v>1</v>
      </c>
      <c r="H32" s="15" t="s">
        <v>213</v>
      </c>
      <c r="I32" s="15">
        <v>42633.318854166668</v>
      </c>
      <c r="J32" s="7">
        <v>0</v>
      </c>
      <c r="K32" s="121" t="str">
        <f t="shared" si="0"/>
        <v>4013/4014</v>
      </c>
      <c r="L32" s="24" t="str">
        <f>VLOOKUP(A32,'Trips&amp;Operators'!$C$1:$E$10000,3,FALSE)</f>
        <v>BRANNON</v>
      </c>
      <c r="M32" s="6">
        <f t="shared" si="1"/>
        <v>2.9826388890796807E-2</v>
      </c>
      <c r="N32" s="7">
        <f t="shared" si="2"/>
        <v>42.950000002747402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05:53:57-0600',mode:absolute,to:'2016-09-20 08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2" s="54" t="str">
        <f t="shared" si="6"/>
        <v>N</v>
      </c>
      <c r="X32" s="168">
        <f t="shared" si="19"/>
        <v>1</v>
      </c>
      <c r="Y32" s="69">
        <f t="shared" si="7"/>
        <v>23.297899999999998</v>
      </c>
      <c r="Z32" s="69">
        <f t="shared" si="8"/>
        <v>1.49E-2</v>
      </c>
      <c r="AA32" s="69">
        <f t="shared" si="9"/>
        <v>23.282999999999998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0"/>
        <v>0120-20</v>
      </c>
      <c r="AE32" s="99" t="str">
        <f t="shared" si="11"/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32" s="96" t="str">
        <f t="shared" si="12"/>
        <v>"C:\Program Files (x86)\AstroGrep\AstroGrep.exe" /spath="%USERPROFILE%\AppData\Local\Temp\OnboardLogs" /stypes="app*4013*20160920*"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100" t="str">
        <f t="shared" si="16"/>
        <v>"%USERPROFILE%\Documents\GitHub\eaglep3\Utilities\RefineRTDCRunTimes.py" --tripid 120-20 --locoid 4013 --swversion DE.1.0.7.0 --startMP 204:232979 --initTime 2016-09-20T06:53:57 --startdatetime 2016-09-20T06:56:12 --delay 1 --endMP 204:149 --enddatetime 2016-09-20T07:39:09 --enforcementcount 0 &gt;&gt;C:\Users\stu\Documents\GitHub\eaglep3-reporting\EC\2016-09-20-refined-times.txt</v>
      </c>
      <c r="AI32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{"issue":{"subject":"","project_id":79,"tracker_id":40,"status_id":1,"priority_id":2,"assigned_to_id":23,"start_date":"2016-09-20","description":"","custom_fields":[{"id":1,"name":"Subdivision","value":"EC"},{"id":4,"name":"Milepost","value":"0.0149"},{"id":17,"name":"Train ID","value":"120-20"},{"id":16,"name":"Locomotive ID","value":"4013"},{"id":130,"name":"Impact","value":""},{"id":150,"name":"Time of Event (Mountain Time)","value":"07:39:09"},{"id":151,"name":"Denver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404</v>
      </c>
      <c r="B33" s="7">
        <v>4011</v>
      </c>
      <c r="C33" s="24" t="s">
        <v>106</v>
      </c>
      <c r="D33" s="24" t="s">
        <v>620</v>
      </c>
      <c r="E33" s="15">
        <v>42633.258020833331</v>
      </c>
      <c r="F33" s="15">
        <v>42633.260752314818</v>
      </c>
      <c r="G33" s="7">
        <v>1</v>
      </c>
      <c r="H33" s="15" t="s">
        <v>260</v>
      </c>
      <c r="I33" s="15">
        <v>42633.285509259258</v>
      </c>
      <c r="J33" s="7">
        <v>0</v>
      </c>
      <c r="K33" s="121" t="str">
        <f t="shared" si="0"/>
        <v>4011/4012</v>
      </c>
      <c r="L33" s="24" t="str">
        <f>VLOOKUP(A33,'Trips&amp;Operators'!$C$1:$E$10000,3,FALSE)</f>
        <v>SPECTOR</v>
      </c>
      <c r="M33" s="6">
        <f t="shared" si="1"/>
        <v>2.4756944440014195E-2</v>
      </c>
      <c r="N33" s="7">
        <f t="shared" si="2"/>
        <v>35.64999999362044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05:11:33-0600',mode:absolute,to:'2016-09-20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3" s="54" t="str">
        <f t="shared" si="6"/>
        <v>N</v>
      </c>
      <c r="X33" s="168">
        <f t="shared" si="19"/>
        <v>1</v>
      </c>
      <c r="Y33" s="69">
        <f t="shared" si="7"/>
        <v>4.2599999999999999E-2</v>
      </c>
      <c r="Z33" s="69">
        <f t="shared" si="8"/>
        <v>23.330300000000001</v>
      </c>
      <c r="AA33" s="69">
        <f t="shared" si="9"/>
        <v>23.287700000000001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0"/>
        <v>0121-20</v>
      </c>
      <c r="AE33" s="99" t="str">
        <f t="shared" si="11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33" s="96" t="str">
        <f t="shared" si="12"/>
        <v>"C:\Program Files (x86)\AstroGrep\AstroGrep.exe" /spath="%USERPROFILE%\AppData\Local\Temp\OnboardLogs" /stypes="app*4011*20160920*"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100" t="str">
        <f t="shared" si="16"/>
        <v>"%USERPROFILE%\Documents\GitHub\eaglep3\Utilities\RefineRTDCRunTimes.py" --tripid 121-20 --locoid 4011 --swversion DE.1.0.7.0 --startMP 204:426 --initTime 2016-09-20T06:11:33 --startdatetime 2016-09-20T06:15:29 --delay 1 --endMP 204:233303 --enddatetime 2016-09-20T06:51:08 --enforcementcount 0 &gt;&gt;C:\Users\stu\Documents\GitHub\eaglep3-reporting\EC\2016-09-20-refined-times.txt</v>
      </c>
      <c r="AI33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{"issue":{"subject":"","project_id":79,"tracker_id":40,"status_id":1,"priority_id":2,"assigned_to_id":23,"start_date":"2016-09-20","description":"","custom_fields":[{"id":1,"name":"Subdivision","value":"EC"},{"id":4,"name":"Milepost","value":"23.3303"},{"id":17,"name":"Train ID","value":"121-20"},{"id":16,"name":"Locomotive ID","value":"4011"},{"id":130,"name":"Impact","value":""},{"id":150,"name":"Time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414</v>
      </c>
      <c r="B34" s="7">
        <v>4012</v>
      </c>
      <c r="C34" s="24" t="s">
        <v>106</v>
      </c>
      <c r="D34" s="24" t="s">
        <v>621</v>
      </c>
      <c r="E34" s="15">
        <v>42633.292581018519</v>
      </c>
      <c r="F34" s="15">
        <v>42633.299537037034</v>
      </c>
      <c r="G34" s="7">
        <v>1</v>
      </c>
      <c r="H34" s="15" t="s">
        <v>310</v>
      </c>
      <c r="I34" s="15">
        <v>42633.326365740744</v>
      </c>
      <c r="J34" s="7">
        <v>0</v>
      </c>
      <c r="K34" s="121" t="str">
        <f t="shared" si="0"/>
        <v>4011/4012</v>
      </c>
      <c r="L34" s="24" t="str">
        <f>VLOOKUP(A34,'Trips&amp;Operators'!$C$1:$E$10000,3,FALSE)</f>
        <v>SPECTOR</v>
      </c>
      <c r="M34" s="6">
        <f t="shared" si="1"/>
        <v>2.6828703710634727E-2</v>
      </c>
      <c r="N34" s="7">
        <f t="shared" si="2"/>
        <v>38.633333343314007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06:01:19-0600',mode:absolute,to:'2016-09-20 08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4" s="54" t="str">
        <f t="shared" si="6"/>
        <v>N</v>
      </c>
      <c r="X34" s="168">
        <f t="shared" si="19"/>
        <v>1</v>
      </c>
      <c r="Y34" s="69">
        <f t="shared" si="7"/>
        <v>23.299800000000001</v>
      </c>
      <c r="Z34" s="69">
        <f t="shared" si="8"/>
        <v>1.3599999999999999E-2</v>
      </c>
      <c r="AA34" s="69">
        <f t="shared" si="9"/>
        <v>23.286200000000001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0"/>
        <v>0122-20</v>
      </c>
      <c r="AE34" s="99" t="str">
        <f t="shared" si="11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34" s="96" t="str">
        <f t="shared" si="12"/>
        <v>"C:\Program Files (x86)\AstroGrep\AstroGrep.exe" /spath="%USERPROFILE%\AppData\Local\Temp\OnboardLogs" /stypes="app*4012*20160920*"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100" t="str">
        <f t="shared" si="16"/>
        <v>"%USERPROFILE%\Documents\GitHub\eaglep3\Utilities\RefineRTDCRunTimes.py" --tripid 122-20 --locoid 4012 --swversion DE.1.0.7.0 --startMP 204:232998 --initTime 2016-09-20T07:01:19 --startdatetime 2016-09-20T07:11:20 --delay 1 --endMP 204:136 --enddatetime 2016-09-20T07:49:58 --enforcementcount 0 &gt;&gt;C:\Users\stu\Documents\GitHub\eaglep3-reporting\EC\2016-09-20-refined-times.txt</v>
      </c>
      <c r="AI34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{"issue":{"subject":"","project_id":79,"tracker_id":40,"status_id":1,"priority_id":2,"assigned_to_id":23,"start_date":"2016-09-20","description":"","custom_fields":[{"id":1,"name":"Subdivision","value":"EC"},{"id":4,"name":"Milepost","value":"0.0136"},{"id":17,"name":"Train ID","value":"122-20"},{"id":16,"name":"Locomotive ID","value":"4012"},{"id":130,"name":"Impact","value":""},{"id":150,"name":"Time of Event (Mountain Time)","value":"07:49:58"},{"id":151,"name":"Denver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406</v>
      </c>
      <c r="B35" s="7">
        <v>4042</v>
      </c>
      <c r="C35" s="24" t="s">
        <v>106</v>
      </c>
      <c r="D35" s="24" t="s">
        <v>230</v>
      </c>
      <c r="E35" s="15">
        <v>42633.268634259257</v>
      </c>
      <c r="F35" s="15">
        <v>42633.271006944444</v>
      </c>
      <c r="G35" s="7">
        <v>1</v>
      </c>
      <c r="H35" s="15" t="s">
        <v>608</v>
      </c>
      <c r="I35" s="15">
        <v>42633.298101851855</v>
      </c>
      <c r="J35" s="7">
        <v>0</v>
      </c>
      <c r="K35" s="121" t="str">
        <f t="shared" si="0"/>
        <v>4041/4042</v>
      </c>
      <c r="L35" s="24" t="str">
        <f>VLOOKUP(A35,'Trips&amp;Operators'!$C$1:$E$10000,3,FALSE)</f>
        <v>DAVIS</v>
      </c>
      <c r="M35" s="6">
        <f t="shared" si="1"/>
        <v>2.7094907411083113E-2</v>
      </c>
      <c r="N35" s="7">
        <f t="shared" si="2"/>
        <v>39.016666671959683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05:26:50-0600',mode:absolute,to:'2016-09-20 08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5" s="54" t="str">
        <f t="shared" si="6"/>
        <v>N</v>
      </c>
      <c r="X35" s="168">
        <f t="shared" si="19"/>
        <v>1</v>
      </c>
      <c r="Y35" s="69">
        <f t="shared" si="7"/>
        <v>4.58E-2</v>
      </c>
      <c r="Z35" s="69">
        <f t="shared" si="8"/>
        <v>23.332100000000001</v>
      </c>
      <c r="AA35" s="69">
        <f t="shared" si="9"/>
        <v>23.286300000000001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0"/>
        <v>0123-20</v>
      </c>
      <c r="AE35" s="99" t="str">
        <f t="shared" si="11"/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35" s="96" t="str">
        <f t="shared" si="12"/>
        <v>"C:\Program Files (x86)\AstroGrep\AstroGrep.exe" /spath="%USERPROFILE%\AppData\Local\Temp\OnboardLogs" /stypes="app*4042*20160920*"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100" t="str">
        <f t="shared" si="16"/>
        <v>"%USERPROFILE%\Documents\GitHub\eaglep3\Utilities\RefineRTDCRunTimes.py" --tripid 123-20 --locoid 4042 --swversion DE.1.0.7.0 --startMP 204:458 --initTime 2016-09-20T06:26:50 --startdatetime 2016-09-20T06:30:15 --delay 1 --endMP 204:233321 --enddatetime 2016-09-20T07:09:16 --enforcementcount 0 &gt;&gt;C:\Users\stu\Documents\GitHub\eaglep3-reporting\EC\2016-09-20-refined-times.txt</v>
      </c>
      <c r="AI35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{"issue":{"subject":"","project_id":79,"tracker_id":40,"status_id":1,"priority_id":2,"assigned_to_id":23,"start_date":"2016-09-20","description":"","custom_fields":[{"id":1,"name":"Subdivision","value":"EC"},{"id":4,"name":"Milepost","value":"23.3321"},{"id":17,"name":"Train ID","value":"123-20"},{"id":16,"name":"Locomotive ID","value":"4042"},{"id":130,"name":"Impact","value":""},{"id":150,"name":"Time of Event (Mountain Time)","value":"07:09:16"},{"id":151,"name":"Denver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418</v>
      </c>
      <c r="B36" s="7">
        <v>4041</v>
      </c>
      <c r="C36" s="24" t="s">
        <v>106</v>
      </c>
      <c r="D36" s="24" t="s">
        <v>237</v>
      </c>
      <c r="E36" s="15">
        <v>42633.306354166663</v>
      </c>
      <c r="F36" s="15">
        <v>42633.309872685182</v>
      </c>
      <c r="G36" s="7">
        <v>1</v>
      </c>
      <c r="H36" s="15" t="s">
        <v>310</v>
      </c>
      <c r="I36" s="15">
        <v>42633.337766203702</v>
      </c>
      <c r="J36" s="7">
        <v>0</v>
      </c>
      <c r="K36" s="121" t="str">
        <f t="shared" si="0"/>
        <v>4041/4042</v>
      </c>
      <c r="L36" s="24" t="str">
        <f>VLOOKUP(A36,'Trips&amp;Operators'!$C$1:$E$10000,3,FALSE)</f>
        <v>DAVIS</v>
      </c>
      <c r="M36" s="6">
        <f t="shared" si="1"/>
        <v>2.789351851970423E-2</v>
      </c>
      <c r="N36" s="7">
        <f t="shared" si="2"/>
        <v>40.166666668374091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06:21:09-0600',mode:absolute,to:'2016-09-20 09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6" s="54" t="str">
        <f t="shared" si="6"/>
        <v>N</v>
      </c>
      <c r="X36" s="168">
        <f t="shared" si="19"/>
        <v>1</v>
      </c>
      <c r="Y36" s="69">
        <f t="shared" si="7"/>
        <v>23.299399999999999</v>
      </c>
      <c r="Z36" s="69">
        <f t="shared" si="8"/>
        <v>1.3599999999999999E-2</v>
      </c>
      <c r="AA36" s="69">
        <f t="shared" si="9"/>
        <v>23.285799999999998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0"/>
        <v>0124-20</v>
      </c>
      <c r="AE36" s="99" t="str">
        <f t="shared" si="11"/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36" s="96" t="str">
        <f t="shared" si="12"/>
        <v>"C:\Program Files (x86)\AstroGrep\AstroGrep.exe" /spath="%USERPROFILE%\AppData\Local\Temp\OnboardLogs" /stypes="app*4041*20160920*"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100" t="str">
        <f t="shared" si="16"/>
        <v>"%USERPROFILE%\Documents\GitHub\eaglep3\Utilities\RefineRTDCRunTimes.py" --tripid 124-20 --locoid 4041 --swversion DE.1.0.7.0 --startMP 204:232994 --initTime 2016-09-20T07:21:09 --startdatetime 2016-09-20T07:26:13 --delay 1 --endMP 204:136 --enddatetime 2016-09-20T08:06:23 --enforcementcount 0 &gt;&gt;C:\Users\stu\Documents\GitHub\eaglep3-reporting\EC\2016-09-20-refined-times.txt</v>
      </c>
      <c r="AI36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{"issue":{"subject":"","project_id":79,"tracker_id":40,"status_id":1,"priority_id":2,"assigned_to_id":23,"start_date":"2016-09-20","description":"","custom_fields":[{"id":1,"name":"Subdivision","value":"EC"},{"id":4,"name":"Milepost","value":"0.0136"},{"id":17,"name":"Train ID","value":"124-20"},{"id":16,"name":"Locomotive ID","value":"4041"},{"id":130,"name":"Impact","value":""},{"id":150,"name":"Time of Event (Mountain Time)","value":"08:06:23"},{"id":151,"name":"Denver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409</v>
      </c>
      <c r="B37" s="7">
        <v>4003</v>
      </c>
      <c r="C37" s="24" t="s">
        <v>106</v>
      </c>
      <c r="D37" s="24" t="s">
        <v>622</v>
      </c>
      <c r="E37" s="15">
        <v>42633.277430555558</v>
      </c>
      <c r="F37" s="15">
        <v>42633.281435185185</v>
      </c>
      <c r="G37" s="7">
        <v>1</v>
      </c>
      <c r="H37" s="15" t="s">
        <v>260</v>
      </c>
      <c r="I37" s="15">
        <v>42633.306006944447</v>
      </c>
      <c r="J37" s="7">
        <v>0</v>
      </c>
      <c r="K37" s="121" t="str">
        <f t="shared" si="0"/>
        <v>4003/4004</v>
      </c>
      <c r="L37" s="24" t="str">
        <f>VLOOKUP(A37,'Trips&amp;Operators'!$C$1:$E$10000,3,FALSE)</f>
        <v>GEBRETEKLE</v>
      </c>
      <c r="M37" s="6">
        <f t="shared" si="1"/>
        <v>2.457175926247146E-2</v>
      </c>
      <c r="N37" s="7">
        <f t="shared" si="2"/>
        <v>35.383333337958902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05:39:30-0600',mode:absolute,to:'2016-09-20 08:20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7" s="54" t="str">
        <f t="shared" si="6"/>
        <v>N</v>
      </c>
      <c r="X37" s="168">
        <f t="shared" si="19"/>
        <v>1</v>
      </c>
      <c r="Y37" s="69">
        <f t="shared" si="7"/>
        <v>4.1599999999999998E-2</v>
      </c>
      <c r="Z37" s="69">
        <f t="shared" si="8"/>
        <v>23.330300000000001</v>
      </c>
      <c r="AA37" s="69">
        <f t="shared" si="9"/>
        <v>23.288700000000002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0"/>
        <v>0125-20</v>
      </c>
      <c r="AE37" s="99" t="str">
        <f t="shared" si="11"/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37" s="96" t="str">
        <f t="shared" si="12"/>
        <v>"C:\Program Files (x86)\AstroGrep\AstroGrep.exe" /spath="%USERPROFILE%\AppData\Local\Temp\OnboardLogs" /stypes="app*4003*20160920*"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100" t="str">
        <f t="shared" si="16"/>
        <v>"%USERPROFILE%\Documents\GitHub\eaglep3\Utilities\RefineRTDCRunTimes.py" --tripid 125-20 --locoid 4003 --swversion DE.1.0.7.0 --startMP 204:416 --initTime 2016-09-20T06:39:30 --startdatetime 2016-09-20T06:45:16 --delay 1 --endMP 204:233303 --enddatetime 2016-09-20T07:20:39 --enforcementcount 0 &gt;&gt;C:\Users\stu\Documents\GitHub\eaglep3-reporting\EC\2016-09-20-refined-times.txt</v>
      </c>
      <c r="AI37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{"issue":{"subject":"","project_id":79,"tracker_id":40,"status_id":1,"priority_id":2,"assigned_to_id":23,"start_date":"2016-09-20","description":"","custom_fields":[{"id":1,"name":"Subdivision","value":"EC"},{"id":4,"name":"Milepost","value":"23.3303"},{"id":17,"name":"Train ID","value":"125-20"},{"id":16,"name":"Locomotive ID","value":"4003"},{"id":130,"name":"Impact","value":""},{"id":150,"name":"Time of Event (Mountain Time)","value":"07:20:39"},{"id":151,"name":"Denver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421</v>
      </c>
      <c r="B38" s="7">
        <v>4004</v>
      </c>
      <c r="C38" s="24" t="s">
        <v>106</v>
      </c>
      <c r="D38" s="24" t="s">
        <v>252</v>
      </c>
      <c r="E38" s="15">
        <v>42633.317337962966</v>
      </c>
      <c r="F38" s="15">
        <v>42633.320451388892</v>
      </c>
      <c r="G38" s="7">
        <v>1</v>
      </c>
      <c r="H38" s="15" t="s">
        <v>222</v>
      </c>
      <c r="I38" s="15">
        <v>42633.347175925926</v>
      </c>
      <c r="J38" s="7">
        <v>0</v>
      </c>
      <c r="K38" s="121" t="str">
        <f t="shared" si="0"/>
        <v>4003/4004</v>
      </c>
      <c r="L38" s="24" t="str">
        <f>VLOOKUP(A38,'Trips&amp;Operators'!$C$1:$E$10000,3,FALSE)</f>
        <v>GEBRETEKLE</v>
      </c>
      <c r="M38" s="6">
        <f t="shared" si="1"/>
        <v>2.6724537034169771E-2</v>
      </c>
      <c r="N38" s="7">
        <f t="shared" si="2"/>
        <v>38.48333332920447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06:36:58-0600',mode:absolute,to:'2016-09-20 09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8" s="54" t="str">
        <f t="shared" si="6"/>
        <v>N</v>
      </c>
      <c r="X38" s="168">
        <f t="shared" si="19"/>
        <v>1</v>
      </c>
      <c r="Y38" s="69">
        <f t="shared" si="7"/>
        <v>23.2971</v>
      </c>
      <c r="Z38" s="69">
        <f t="shared" si="8"/>
        <v>1.52E-2</v>
      </c>
      <c r="AA38" s="69">
        <f t="shared" si="9"/>
        <v>23.2819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0"/>
        <v>0126-20</v>
      </c>
      <c r="AE38" s="99" t="str">
        <f t="shared" si="11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38" s="96" t="str">
        <f t="shared" si="12"/>
        <v>"C:\Program Files (x86)\AstroGrep\AstroGrep.exe" /spath="%USERPROFILE%\AppData\Local\Temp\OnboardLogs" /stypes="app*4004*20160920*"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100" t="str">
        <f t="shared" si="16"/>
        <v>"%USERPROFILE%\Documents\GitHub\eaglep3\Utilities\RefineRTDCRunTimes.py" --tripid 126-20 --locoid 4004 --swversion DE.1.0.7.0 --startMP 204:232971 --initTime 2016-09-20T07:36:58 --startdatetime 2016-09-20T07:41:27 --delay 1 --endMP 204:152 --enddatetime 2016-09-20T08:19:56 --enforcementcount 0 &gt;&gt;C:\Users\stu\Documents\GitHub\eaglep3-reporting\EC\2016-09-20-refined-times.txt</v>
      </c>
      <c r="AI38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{"issue":{"subject":"","project_id":79,"tracker_id":40,"status_id":1,"priority_id":2,"assigned_to_id":23,"start_date":"2016-09-20","description":"","custom_fields":[{"id":1,"name":"Subdivision","value":"EC"},{"id":4,"name":"Milepost","value":"0.0152"},{"id":17,"name":"Train ID","value":"126-20"},{"id":16,"name":"Locomotive ID","value":"4004"},{"id":130,"name":"Impact","value":""},{"id":150,"name":"Time of Event (Mountain Time)","value":"08:19:56"},{"id":151,"name":"Denver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413</v>
      </c>
      <c r="B39" s="7">
        <v>4018</v>
      </c>
      <c r="C39" s="24" t="s">
        <v>106</v>
      </c>
      <c r="D39" s="24" t="s">
        <v>623</v>
      </c>
      <c r="E39" s="15">
        <v>42633.288854166669</v>
      </c>
      <c r="F39" s="15">
        <v>42633.292013888888</v>
      </c>
      <c r="G39" s="7">
        <v>1</v>
      </c>
      <c r="H39" s="15" t="s">
        <v>257</v>
      </c>
      <c r="I39" s="15">
        <v>42633.316851851851</v>
      </c>
      <c r="J39" s="7">
        <v>0</v>
      </c>
      <c r="K39" s="121" t="str">
        <f t="shared" si="0"/>
        <v>4017/4018</v>
      </c>
      <c r="L39" s="24" t="str">
        <f>VLOOKUP(A39,'Trips&amp;Operators'!$C$1:$E$10000,3,FALSE)</f>
        <v>KILLION</v>
      </c>
      <c r="M39" s="6">
        <f t="shared" si="1"/>
        <v>2.4837962962919846E-2</v>
      </c>
      <c r="N39" s="7">
        <f t="shared" si="2"/>
        <v>35.766666666604578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05:55:57-0600',mode:absolute,to:'2016-09-20 08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9" s="54" t="str">
        <f t="shared" si="6"/>
        <v>N</v>
      </c>
      <c r="X39" s="168">
        <f t="shared" si="19"/>
        <v>1</v>
      </c>
      <c r="Y39" s="69">
        <f t="shared" si="7"/>
        <v>5.6599999999999998E-2</v>
      </c>
      <c r="Z39" s="69">
        <f t="shared" si="8"/>
        <v>23.329699999999999</v>
      </c>
      <c r="AA39" s="69">
        <f t="shared" si="9"/>
        <v>23.273099999999999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0"/>
        <v>0127-20</v>
      </c>
      <c r="AE39" s="99" t="str">
        <f t="shared" si="11"/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39" s="96" t="str">
        <f t="shared" si="12"/>
        <v>"C:\Program Files (x86)\AstroGrep\AstroGrep.exe" /spath="%USERPROFILE%\AppData\Local\Temp\OnboardLogs" /stypes="app*4018*20160920*"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100" t="str">
        <f t="shared" si="16"/>
        <v>"%USERPROFILE%\Documents\GitHub\eaglep3\Utilities\RefineRTDCRunTimes.py" --tripid 127-20 --locoid 4018 --swversion DE.1.0.7.0 --startMP 204:566 --initTime 2016-09-20T06:55:57 --startdatetime 2016-09-20T07:00:30 --delay 1 --endMP 204:233297 --enddatetime 2016-09-20T07:36:16 --enforcementcount 0 &gt;&gt;C:\Users\stu\Documents\GitHub\eaglep3-reporting\EC\2016-09-20-refined-times.txt</v>
      </c>
      <c r="AI39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{"issue":{"subject":"","project_id":79,"tracker_id":40,"status_id":1,"priority_id":2,"assigned_to_id":23,"start_date":"2016-09-20","description":"","custom_fields":[{"id":1,"name":"Subdivision","value":"EC"},{"id":4,"name":"Milepost","value":"23.3297"},{"id":17,"name":"Train ID","value":"127-20"},{"id":16,"name":"Locomotive ID","value":"4018"},{"id":130,"name":"Impact","value":""},{"id":150,"name":"Time of Event (Mountain Time)","value":"07:36:16"},{"id":151,"name":"Denver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424</v>
      </c>
      <c r="B40" s="7">
        <v>4017</v>
      </c>
      <c r="C40" s="24" t="s">
        <v>106</v>
      </c>
      <c r="D40" s="24" t="s">
        <v>624</v>
      </c>
      <c r="E40" s="15">
        <v>42633.325150462966</v>
      </c>
      <c r="F40" s="15">
        <v>42633.330925925926</v>
      </c>
      <c r="G40" s="7">
        <v>1</v>
      </c>
      <c r="H40" s="15" t="s">
        <v>220</v>
      </c>
      <c r="I40" s="15">
        <v>42633.359317129631</v>
      </c>
      <c r="J40" s="7">
        <v>0</v>
      </c>
      <c r="K40" s="121" t="str">
        <f t="shared" si="0"/>
        <v>4017/4018</v>
      </c>
      <c r="L40" s="24" t="str">
        <f>VLOOKUP(A40,'Trips&amp;Operators'!$C$1:$E$10000,3,FALSE)</f>
        <v>KILLION</v>
      </c>
      <c r="M40" s="6">
        <f t="shared" si="1"/>
        <v>2.8391203704813961E-2</v>
      </c>
      <c r="N40" s="7">
        <f t="shared" si="2"/>
        <v>40.883333334932104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06:48:13-0600',mode:absolute,to:'2016-09-20 09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40" s="54" t="str">
        <f t="shared" si="6"/>
        <v>N</v>
      </c>
      <c r="X40" s="168">
        <f t="shared" si="19"/>
        <v>1</v>
      </c>
      <c r="Y40" s="69">
        <f t="shared" si="7"/>
        <v>23.297000000000001</v>
      </c>
      <c r="Z40" s="69">
        <f t="shared" si="8"/>
        <v>1.4999999999999999E-2</v>
      </c>
      <c r="AA40" s="69">
        <f t="shared" si="9"/>
        <v>23.282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0"/>
        <v>0128-20</v>
      </c>
      <c r="AE40" s="99" t="str">
        <f t="shared" si="11"/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40" s="96" t="str">
        <f t="shared" si="12"/>
        <v>"C:\Program Files (x86)\AstroGrep\AstroGrep.exe" /spath="%USERPROFILE%\AppData\Local\Temp\OnboardLogs" /stypes="app*4017*20160920*"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100" t="str">
        <f t="shared" si="16"/>
        <v>"%USERPROFILE%\Documents\GitHub\eaglep3\Utilities\RefineRTDCRunTimes.py" --tripid 128-20 --locoid 4017 --swversion DE.1.0.7.0 --startMP 204:232970 --initTime 2016-09-20T07:48:13 --startdatetime 2016-09-20T07:56:32 --delay 1 --endMP 204:150 --enddatetime 2016-09-20T08:37:25 --enforcementcount 0 &gt;&gt;C:\Users\stu\Documents\GitHub\eaglep3-reporting\EC\2016-09-20-refined-times.txt</v>
      </c>
      <c r="AI40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{"issue":{"subject":"","project_id":79,"tracker_id":40,"status_id":1,"priority_id":2,"assigned_to_id":23,"start_date":"2016-09-20","description":"","custom_fields":[{"id":1,"name":"Subdivision","value":"EC"},{"id":4,"name":"Milepost","value":"0.015"},{"id":17,"name":"Train ID","value":"128-20"},{"id":16,"name":"Locomotive ID","value":"4017"},{"id":130,"name":"Impact","value":""},{"id":150,"name":"Time of Event (Mountain Time)","value":"08:37:25"},{"id":151,"name":"Denver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416</v>
      </c>
      <c r="B41" s="7">
        <v>4025</v>
      </c>
      <c r="C41" s="24" t="s">
        <v>106</v>
      </c>
      <c r="D41" s="24" t="s">
        <v>243</v>
      </c>
      <c r="E41" s="15">
        <v>42633.299456018518</v>
      </c>
      <c r="F41" s="15">
        <v>42633.302546296298</v>
      </c>
      <c r="G41" s="7">
        <v>1</v>
      </c>
      <c r="H41" s="15" t="s">
        <v>625</v>
      </c>
      <c r="I41" s="15">
        <v>42633.327962962961</v>
      </c>
      <c r="J41" s="7">
        <v>0</v>
      </c>
      <c r="K41" s="121" t="str">
        <f t="shared" si="0"/>
        <v>4025/4026</v>
      </c>
      <c r="L41" s="24" t="str">
        <f>VLOOKUP(A41,'Trips&amp;Operators'!$C$1:$E$10000,3,FALSE)</f>
        <v>ROCHA</v>
      </c>
      <c r="M41" s="6">
        <f t="shared" si="1"/>
        <v>2.5416666663659271E-2</v>
      </c>
      <c r="N41" s="7">
        <f t="shared" si="2"/>
        <v>36.59999999566935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06:11:13-0600',mode:absolute,to:'2016-09-20 08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1" s="54" t="str">
        <f t="shared" si="6"/>
        <v>N</v>
      </c>
      <c r="X41" s="168">
        <f t="shared" si="19"/>
        <v>1</v>
      </c>
      <c r="Y41" s="69">
        <f t="shared" si="7"/>
        <v>4.6199999999999998E-2</v>
      </c>
      <c r="Z41" s="69">
        <f t="shared" si="8"/>
        <v>23.328800000000001</v>
      </c>
      <c r="AA41" s="69">
        <f t="shared" si="9"/>
        <v>23.282600000000002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0"/>
        <v>0129-20</v>
      </c>
      <c r="AE41" s="99" t="str">
        <f t="shared" si="11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41" s="96" t="str">
        <f t="shared" si="12"/>
        <v>"C:\Program Files (x86)\AstroGrep\AstroGrep.exe" /spath="%USERPROFILE%\AppData\Local\Temp\OnboardLogs" /stypes="app*4025*20160920*"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100" t="str">
        <f t="shared" si="16"/>
        <v>"%USERPROFILE%\Documents\GitHub\eaglep3\Utilities\RefineRTDCRunTimes.py" --tripid 129-20 --locoid 4025 --swversion DE.1.0.7.0 --startMP 204:462 --initTime 2016-09-20T07:11:13 --startdatetime 2016-09-20T07:15:40 --delay 1 --endMP 204:233288 --enddatetime 2016-09-20T07:52:16 --enforcementcount 0 &gt;&gt;C:\Users\stu\Documents\GitHub\eaglep3-reporting\EC\2016-09-20-refined-times.txt</v>
      </c>
      <c r="AI41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{"issue":{"subject":"","project_id":79,"tracker_id":40,"status_id":1,"priority_id":2,"assigned_to_id":23,"start_date":"2016-09-20","description":"","custom_fields":[{"id":1,"name":"Subdivision","value":"EC"},{"id":4,"name":"Milepost","value":"23.3288"},{"id":17,"name":"Train ID","value":"129-20"},{"id":16,"name":"Locomotive ID","value":"4025"},{"id":130,"name":"Impact","value":""},{"id":150,"name":"Time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426</v>
      </c>
      <c r="B42" s="7">
        <v>4026</v>
      </c>
      <c r="C42" s="24" t="s">
        <v>106</v>
      </c>
      <c r="D42" s="24" t="s">
        <v>346</v>
      </c>
      <c r="E42" s="15">
        <v>42633.334201388891</v>
      </c>
      <c r="F42" s="15">
        <v>42633.341261574074</v>
      </c>
      <c r="G42" s="7">
        <v>1</v>
      </c>
      <c r="H42" s="15" t="s">
        <v>626</v>
      </c>
      <c r="I42" s="15">
        <v>42633.370324074072</v>
      </c>
      <c r="J42" s="7">
        <v>0</v>
      </c>
      <c r="K42" s="121" t="str">
        <f t="shared" si="0"/>
        <v>4025/4026</v>
      </c>
      <c r="L42" s="24" t="str">
        <f>VLOOKUP(A42,'Trips&amp;Operators'!$C$1:$E$10000,3,FALSE)</f>
        <v>ROCHA</v>
      </c>
      <c r="M42" s="6">
        <f t="shared" si="1"/>
        <v>2.9062499997962732E-2</v>
      </c>
      <c r="N42" s="7">
        <f t="shared" si="2"/>
        <v>41.849999997066334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07:01:15-0600',mode:absolute,to:'2016-09-20 09:53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2" s="54" t="str">
        <f t="shared" si="6"/>
        <v>N</v>
      </c>
      <c r="X42" s="168">
        <f t="shared" si="19"/>
        <v>1</v>
      </c>
      <c r="Y42" s="69">
        <f t="shared" si="7"/>
        <v>23.2959</v>
      </c>
      <c r="Z42" s="69">
        <f t="shared" si="8"/>
        <v>1.21E-2</v>
      </c>
      <c r="AA42" s="69">
        <f t="shared" si="9"/>
        <v>23.283799999999999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0"/>
        <v>0130-20</v>
      </c>
      <c r="AE42" s="99" t="str">
        <f t="shared" si="11"/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42" s="96" t="str">
        <f t="shared" si="12"/>
        <v>"C:\Program Files (x86)\AstroGrep\AstroGrep.exe" /spath="%USERPROFILE%\AppData\Local\Temp\OnboardLogs" /stypes="app*4026*20160920*"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100" t="str">
        <f t="shared" si="16"/>
        <v>"%USERPROFILE%\Documents\GitHub\eaglep3\Utilities\RefineRTDCRunTimes.py" --tripid 130-20 --locoid 4026 --swversion DE.1.0.7.0 --startMP 204:232959 --initTime 2016-09-20T08:01:15 --startdatetime 2016-09-20T08:11:25 --delay 1 --endMP 204:121 --enddatetime 2016-09-20T08:53:16 --enforcementcount 0 &gt;&gt;C:\Users\stu\Documents\GitHub\eaglep3-reporting\EC\2016-09-20-refined-times.txt</v>
      </c>
      <c r="AI42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{"issue":{"subject":"","project_id":79,"tracker_id":40,"status_id":1,"priority_id":2,"assigned_to_id":23,"start_date":"2016-09-20","description":"","custom_fields":[{"id":1,"name":"Subdivision","value":"EC"},{"id":4,"name":"Milepost","value":"0.0121"},{"id":17,"name":"Train ID","value":"130-20"},{"id":16,"name":"Locomotive ID","value":"4026"},{"id":130,"name":"Impact","value":""},{"id":150,"name":"Time of Event (Mountain Time)","value":"08:53:16"},{"id":151,"name":"Denver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419</v>
      </c>
      <c r="B43" s="7">
        <v>4009</v>
      </c>
      <c r="C43" s="24" t="s">
        <v>106</v>
      </c>
      <c r="D43" s="24" t="s">
        <v>232</v>
      </c>
      <c r="E43" s="15">
        <v>42633.308298611111</v>
      </c>
      <c r="F43" s="15">
        <v>42633.313055555554</v>
      </c>
      <c r="G43" s="7">
        <v>1</v>
      </c>
      <c r="H43" s="15" t="s">
        <v>627</v>
      </c>
      <c r="I43" s="15">
        <v>42633.337708333333</v>
      </c>
      <c r="J43" s="7">
        <v>0</v>
      </c>
      <c r="K43" s="121" t="str">
        <f t="shared" si="0"/>
        <v>4009/4010</v>
      </c>
      <c r="L43" s="24" t="str">
        <f>VLOOKUP(A43,'Trips&amp;Operators'!$C$1:$E$10000,3,FALSE)</f>
        <v>ACKERMAN</v>
      </c>
      <c r="M43" s="6">
        <f t="shared" si="1"/>
        <v>2.4652777778101154E-2</v>
      </c>
      <c r="N43" s="7">
        <f t="shared" si="2"/>
        <v>35.500000000465661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06:23:57-0600',mode:absolute,to:'2016-09-20 09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3" s="54" t="str">
        <f t="shared" si="6"/>
        <v>N</v>
      </c>
      <c r="X43" s="168">
        <f t="shared" si="19"/>
        <v>1</v>
      </c>
      <c r="Y43" s="69">
        <f t="shared" si="7"/>
        <v>4.5999999999999999E-2</v>
      </c>
      <c r="Z43" s="69">
        <f t="shared" si="8"/>
        <v>23.328299999999999</v>
      </c>
      <c r="AA43" s="69">
        <f t="shared" si="9"/>
        <v>23.282299999999999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0"/>
        <v>0131-20</v>
      </c>
      <c r="AE43" s="99" t="str">
        <f t="shared" si="11"/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43" s="96" t="str">
        <f t="shared" si="12"/>
        <v>"C:\Program Files (x86)\AstroGrep\AstroGrep.exe" /spath="%USERPROFILE%\AppData\Local\Temp\OnboardLogs" /stypes="app*4009*20160920*"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100" t="str">
        <f t="shared" si="16"/>
        <v>"%USERPROFILE%\Documents\GitHub\eaglep3\Utilities\RefineRTDCRunTimes.py" --tripid 131-20 --locoid 4009 --swversion DE.1.0.7.0 --startMP 204:460 --initTime 2016-09-20T07:23:57 --startdatetime 2016-09-20T07:30:48 --delay 1 --endMP 204:233283 --enddatetime 2016-09-20T08:06:18 --enforcementcount 0 &gt;&gt;C:\Users\stu\Documents\GitHub\eaglep3-reporting\EC\2016-09-20-refined-times.txt</v>
      </c>
      <c r="AI43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{"issue":{"subject":"","project_id":79,"tracker_id":40,"status_id":1,"priority_id":2,"assigned_to_id":23,"start_date":"2016-09-20","description":"","custom_fields":[{"id":1,"name":"Subdivision","value":"EC"},{"id":4,"name":"Milepost","value":"23.3283"},{"id":17,"name":"Train ID","value":"131-20"},{"id":16,"name":"Locomotive ID","value":"4009"},{"id":130,"name":"Impact","value":""},{"id":150,"name":"Time of Event (Mountain Time)","value":"08:06:18"},{"id":151,"name":"Denver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430</v>
      </c>
      <c r="B44" s="7">
        <v>4010</v>
      </c>
      <c r="C44" s="24" t="s">
        <v>106</v>
      </c>
      <c r="D44" s="24" t="s">
        <v>628</v>
      </c>
      <c r="E44" s="15">
        <v>42633.345300925925</v>
      </c>
      <c r="F44" s="15">
        <v>42633.351666666669</v>
      </c>
      <c r="G44" s="7">
        <v>1</v>
      </c>
      <c r="H44" s="15" t="s">
        <v>259</v>
      </c>
      <c r="I44" s="15">
        <v>42633.379050925927</v>
      </c>
      <c r="J44" s="7">
        <v>0</v>
      </c>
      <c r="K44" s="121" t="str">
        <f t="shared" si="0"/>
        <v>4009/4010</v>
      </c>
      <c r="L44" s="24" t="str">
        <f>VLOOKUP(A44,'Trips&amp;Operators'!$C$1:$E$10000,3,FALSE)</f>
        <v>ACKERMAN</v>
      </c>
      <c r="M44" s="6">
        <f t="shared" si="1"/>
        <v>2.7384259257814847E-2</v>
      </c>
      <c r="N44" s="7">
        <f t="shared" si="2"/>
        <v>39.43333333125338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07:17:14-0600',mode:absolute,to:'2016-09-20 10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4" s="54" t="str">
        <f t="shared" si="6"/>
        <v>N</v>
      </c>
      <c r="X44" s="168">
        <f t="shared" si="19"/>
        <v>1</v>
      </c>
      <c r="Y44" s="69">
        <f t="shared" si="7"/>
        <v>23.2989</v>
      </c>
      <c r="Z44" s="69">
        <f t="shared" si="8"/>
        <v>1.61E-2</v>
      </c>
      <c r="AA44" s="69">
        <f t="shared" si="9"/>
        <v>23.282799999999998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0"/>
        <v>0132-20</v>
      </c>
      <c r="AE44" s="99" t="str">
        <f t="shared" si="11"/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44" s="96" t="str">
        <f t="shared" si="12"/>
        <v>"C:\Program Files (x86)\AstroGrep\AstroGrep.exe" /spath="%USERPROFILE%\AppData\Local\Temp\OnboardLogs" /stypes="app*4010*20160920*"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100" t="str">
        <f t="shared" si="16"/>
        <v>"%USERPROFILE%\Documents\GitHub\eaglep3\Utilities\RefineRTDCRunTimes.py" --tripid 132-20 --locoid 4010 --swversion DE.1.0.7.0 --startMP 204:232989 --initTime 2016-09-20T08:17:14 --startdatetime 2016-09-20T08:26:24 --delay 1 --endMP 204:161 --enddatetime 2016-09-20T09:05:50 --enforcementcount 0 &gt;&gt;C:\Users\stu\Documents\GitHub\eaglep3-reporting\EC\2016-09-20-refined-times.txt</v>
      </c>
      <c r="AI44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{"issue":{"subject":"","project_id":79,"tracker_id":40,"status_id":1,"priority_id":2,"assigned_to_id":23,"start_date":"2016-09-20","description":"","custom_fields":[{"id":1,"name":"Subdivision","value":"EC"},{"id":4,"name":"Milepost","value":"0.0161"},{"id":17,"name":"Train ID","value":"132-20"},{"id":16,"name":"Locomotive ID","value":"4010"},{"id":130,"name":"Impact","value":""},{"id":150,"name":"Time of Event (Mountain Time)","value":"09:05:50"},{"id":151,"name":"Denver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422</v>
      </c>
      <c r="B45" s="7">
        <v>4014</v>
      </c>
      <c r="C45" s="24" t="s">
        <v>106</v>
      </c>
      <c r="D45" s="24" t="s">
        <v>239</v>
      </c>
      <c r="E45" s="15">
        <v>42633.320023148146</v>
      </c>
      <c r="F45" s="15">
        <v>42633.323055555556</v>
      </c>
      <c r="G45" s="7">
        <v>0</v>
      </c>
      <c r="H45" s="15" t="s">
        <v>629</v>
      </c>
      <c r="I45" s="15">
        <v>42633.349722222221</v>
      </c>
      <c r="J45" s="7">
        <v>0</v>
      </c>
      <c r="K45" s="121" t="str">
        <f t="shared" si="0"/>
        <v>4013/4014</v>
      </c>
      <c r="L45" s="24" t="str">
        <f>VLOOKUP(A45,'Trips&amp;Operators'!$C$1:$E$10000,3,FALSE)</f>
        <v>BRANNON</v>
      </c>
      <c r="M45" s="6">
        <f t="shared" si="1"/>
        <v>2.6666666664823424E-2</v>
      </c>
      <c r="N45" s="7">
        <f t="shared" si="2"/>
        <v>38.399999997345731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06:40:50-0600',mode:absolute,to:'2016-09-20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5" s="54" t="str">
        <f t="shared" si="6"/>
        <v>N</v>
      </c>
      <c r="X45" s="168">
        <f t="shared" si="19"/>
        <v>1</v>
      </c>
      <c r="Y45" s="69">
        <f t="shared" si="7"/>
        <v>4.4900000000000002E-2</v>
      </c>
      <c r="Z45" s="69">
        <f t="shared" si="8"/>
        <v>23.321999999999999</v>
      </c>
      <c r="AA45" s="69">
        <f t="shared" si="9"/>
        <v>23.277100000000001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si="10"/>
        <v>0133-20</v>
      </c>
      <c r="AE45" s="99" t="str">
        <f t="shared" si="11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45" s="96" t="str">
        <f t="shared" si="12"/>
        <v>"C:\Program Files (x86)\AstroGrep\AstroGrep.exe" /spath="%USERPROFILE%\AppData\Local\Temp\OnboardLogs" /stypes="app*4014*20160920*" /stext=" 14:.+((SYSTEM_STATE.+slice.+state.+changed )|(ment ac)|(system.+state.+changed )|(\|lc)|(penalty)|(\[timeout)|(PRM\|1\|D)|(kpr)|(kdp))" /e /r /s</v>
      </c>
      <c r="AG45" s="1" t="str">
        <f t="shared" si="13"/>
        <v>EC</v>
      </c>
      <c r="AH45" s="100" t="str">
        <f t="shared" si="16"/>
        <v>"%USERPROFILE%\Documents\GitHub\eaglep3\Utilities\RefineRTDCRunTimes.py" --tripid 133-20 --locoid 4014 --swversion DE.1.0.7.0 --startMP 204:449 --initTime 2016-09-20T07:40:50 --startdatetime 2016-09-20T07:45:12 --delay 0 --endMP 204:233220 --enddatetime 2016-09-20T08:23:36 --enforcementcount 0 &gt;&gt;C:\Users\stu\Documents\GitHub\eaglep3-reporting\EC\2016-09-20-refined-times.txt</v>
      </c>
      <c r="AI45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{"issue":{"subject":"","project_id":79,"tracker_id":40,"status_id":1,"priority_id":2,"assigned_to_id":23,"start_date":"2016-09-20","description":"","custom_fields":[{"id":1,"name":"Subdivision","value":"EC"},{"id":4,"name":"Milepost","value":"23.322"},{"id":17,"name":"Train ID","value":"133-20"},{"id":16,"name":"Locomotive ID","value":"4014"},{"id":130,"name":"Impact","value":""},{"id":150,"name":"Time of Event (Mountain Time)","value":"08:23:36"},{"id":151,"name":"Denver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434</v>
      </c>
      <c r="B46" s="7">
        <v>4013</v>
      </c>
      <c r="C46" s="24" t="s">
        <v>106</v>
      </c>
      <c r="D46" s="24" t="s">
        <v>630</v>
      </c>
      <c r="E46" s="15">
        <v>42633.358587962961</v>
      </c>
      <c r="F46" s="15">
        <v>42633.361979166664</v>
      </c>
      <c r="G46" s="7">
        <v>2</v>
      </c>
      <c r="H46" s="15" t="s">
        <v>229</v>
      </c>
      <c r="I46" s="15">
        <v>42633.390613425923</v>
      </c>
      <c r="J46" s="7">
        <v>0</v>
      </c>
      <c r="K46" s="121" t="str">
        <f t="shared" si="0"/>
        <v>4013/4014</v>
      </c>
      <c r="L46" s="24" t="str">
        <f>VLOOKUP(A46,'Trips&amp;Operators'!$C$1:$E$10000,3,FALSE)</f>
        <v>BRANNON</v>
      </c>
      <c r="M46" s="6">
        <f t="shared" si="1"/>
        <v>2.8634259258979E-2</v>
      </c>
      <c r="N46" s="7">
        <f t="shared" si="2"/>
        <v>41.23333333292976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07:36:22-0600',mode:absolute,to:'2016-09-20 10:22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6" s="54" t="str">
        <f t="shared" si="6"/>
        <v>N</v>
      </c>
      <c r="X46" s="168">
        <f t="shared" si="19"/>
        <v>1</v>
      </c>
      <c r="Y46" s="69">
        <f t="shared" si="7"/>
        <v>23.29</v>
      </c>
      <c r="Z46" s="69">
        <f t="shared" si="8"/>
        <v>1.3899999999999999E-2</v>
      </c>
      <c r="AA46" s="69">
        <f t="shared" si="9"/>
        <v>23.2761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10"/>
        <v>0134-20</v>
      </c>
      <c r="AE46" s="99" t="str">
        <f t="shared" si="11"/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46" s="96" t="str">
        <f t="shared" si="12"/>
        <v>"C:\Program Files (x86)\AstroGrep\AstroGrep.exe" /spath="%USERPROFILE%\AppData\Local\Temp\OnboardLogs" /stypes="app*4013*20160920*" /stext=" 15:.+((SYSTEM_STATE.+slice.+state.+changed )|(ment ac)|(system.+state.+changed )|(\|lc)|(penalty)|(\[timeout)|(PRM\|1\|D)|(kpr)|(kdp))" /e /r /s</v>
      </c>
      <c r="AG46" s="1" t="str">
        <f t="shared" si="13"/>
        <v>EC</v>
      </c>
      <c r="AH46" s="100" t="str">
        <f t="shared" si="16"/>
        <v>"%USERPROFILE%\Documents\GitHub\eaglep3\Utilities\RefineRTDCRunTimes.py" --tripid 134-20 --locoid 4013 --swversion DE.1.0.7.0 --startMP 204:232900 --initTime 2016-09-20T08:36:22 --startdatetime 2016-09-20T08:41:15 --delay 2 --endMP 204:139 --enddatetime 2016-09-20T09:22:29 --enforcementcount 0 &gt;&gt;C:\Users\stu\Documents\GitHub\eaglep3-reporting\EC\2016-09-20-refined-times.txt</v>
      </c>
      <c r="AI46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{"issue":{"subject":"","project_id":79,"tracker_id":40,"status_id":1,"priority_id":2,"assigned_to_id":23,"start_date":"2016-09-20","description":"","custom_fields":[{"id":1,"name":"Subdivision","value":"EC"},{"id":4,"name":"Milepost","value":"0.0139"},{"id":17,"name":"Train ID","value":"134-20"},{"id":16,"name":"Locomotive ID","value":"4013"},{"id":130,"name":"Impact","value":""},{"id":150,"name":"Time of Event (Mountain Time)","value":"09:22:29"},{"id":151,"name":"Denver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425</v>
      </c>
      <c r="B47" s="7">
        <v>4011</v>
      </c>
      <c r="C47" s="24" t="s">
        <v>106</v>
      </c>
      <c r="D47" s="24" t="s">
        <v>620</v>
      </c>
      <c r="E47" s="15">
        <v>42633.328726851854</v>
      </c>
      <c r="F47" s="15">
        <v>42633.333541666667</v>
      </c>
      <c r="G47" s="7">
        <v>1</v>
      </c>
      <c r="H47" s="15" t="s">
        <v>338</v>
      </c>
      <c r="I47" s="15">
        <v>42633.359293981484</v>
      </c>
      <c r="J47" s="7">
        <v>0</v>
      </c>
      <c r="K47" s="121" t="str">
        <f t="shared" si="0"/>
        <v>4011/4012</v>
      </c>
      <c r="L47" s="24" t="str">
        <f>VLOOKUP(A47,'Trips&amp;Operators'!$C$1:$E$10000,3,FALSE)</f>
        <v>SPECTOR</v>
      </c>
      <c r="M47" s="6">
        <f t="shared" si="1"/>
        <v>2.5752314817509614E-2</v>
      </c>
      <c r="N47" s="7">
        <f t="shared" si="2"/>
        <v>37.083333337213844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06:53:22-0600',mode:absolute,to:'2016-09-20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7" s="54" t="str">
        <f t="shared" si="6"/>
        <v>N</v>
      </c>
      <c r="X47" s="168">
        <f t="shared" si="19"/>
        <v>1</v>
      </c>
      <c r="Y47" s="69">
        <f t="shared" si="7"/>
        <v>4.2599999999999999E-2</v>
      </c>
      <c r="Z47" s="69">
        <f t="shared" si="8"/>
        <v>23.3308</v>
      </c>
      <c r="AA47" s="69">
        <f t="shared" si="9"/>
        <v>23.2882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10"/>
        <v>0135-20</v>
      </c>
      <c r="AE47" s="99" t="str">
        <f t="shared" si="11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47" s="96" t="str">
        <f t="shared" si="12"/>
        <v>"C:\Program Files (x86)\AstroGrep\AstroGrep.exe" /spath="%USERPROFILE%\AppData\Local\Temp\OnboardLogs" /stypes="app*4011*20160920*" /stext=" 14:.+((SYSTEM_STATE.+slice.+state.+changed )|(ment ac)|(system.+state.+changed )|(\|lc)|(penalty)|(\[timeout)|(PRM\|1\|D)|(kpr)|(kdp))" /e /r /s</v>
      </c>
      <c r="AG47" s="1" t="str">
        <f t="shared" si="13"/>
        <v>EC</v>
      </c>
      <c r="AH47" s="100" t="str">
        <f t="shared" si="16"/>
        <v>"%USERPROFILE%\Documents\GitHub\eaglep3\Utilities\RefineRTDCRunTimes.py" --tripid 135-20 --locoid 4011 --swversion DE.1.0.7.0 --startMP 204:426 --initTime 2016-09-20T07:53:22 --startdatetime 2016-09-20T08:00:18 --delay 1 --endMP 204:233308 --enddatetime 2016-09-20T08:37:23 --enforcementcount 0 &gt;&gt;C:\Users\stu\Documents\GitHub\eaglep3-reporting\EC\2016-09-20-refined-times.txt</v>
      </c>
      <c r="AI47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{"issue":{"subject":"","project_id":79,"tracker_id":40,"status_id":1,"priority_id":2,"assigned_to_id":23,"start_date":"2016-09-20","description":"","custom_fields":[{"id":1,"name":"Subdivision","value":"EC"},{"id":4,"name":"Milepost","value":"23.3308"},{"id":17,"name":"Train ID","value":"135-20"},{"id":16,"name":"Locomotive ID","value":"4011"},{"id":130,"name":"Impact","value":""},{"id":150,"name":"Time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436</v>
      </c>
      <c r="B48" s="7">
        <v>4012</v>
      </c>
      <c r="C48" s="24" t="s">
        <v>106</v>
      </c>
      <c r="D48" s="24" t="s">
        <v>631</v>
      </c>
      <c r="E48" s="15">
        <v>42633.368587962963</v>
      </c>
      <c r="F48" s="15">
        <v>42633.372523148151</v>
      </c>
      <c r="G48" s="7">
        <v>1</v>
      </c>
      <c r="H48" s="15" t="s">
        <v>245</v>
      </c>
      <c r="I48" s="15">
        <v>42633.398854166669</v>
      </c>
      <c r="J48" s="7">
        <v>0</v>
      </c>
      <c r="K48" s="121" t="str">
        <f t="shared" si="0"/>
        <v>4011/4012</v>
      </c>
      <c r="L48" s="24" t="str">
        <f>VLOOKUP(A48,'Trips&amp;Operators'!$C$1:$E$10000,3,FALSE)</f>
        <v>SPECTOR</v>
      </c>
      <c r="M48" s="6">
        <f t="shared" si="1"/>
        <v>2.6331018518249039E-2</v>
      </c>
      <c r="N48" s="7">
        <f t="shared" si="2"/>
        <v>37.916666666278616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07:50:46-0600',mode:absolute,to:'2016-09-20 10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8" s="54" t="str">
        <f t="shared" si="6"/>
        <v>N</v>
      </c>
      <c r="X48" s="168">
        <f t="shared" si="19"/>
        <v>1</v>
      </c>
      <c r="Y48" s="69">
        <f t="shared" si="7"/>
        <v>23.299299999999999</v>
      </c>
      <c r="Z48" s="69">
        <f t="shared" si="8"/>
        <v>1.43E-2</v>
      </c>
      <c r="AA48" s="69">
        <f t="shared" si="9"/>
        <v>23.285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0"/>
        <v>0136-20</v>
      </c>
      <c r="AE48" s="99" t="str">
        <f t="shared" si="11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48" s="96" t="str">
        <f t="shared" si="12"/>
        <v>"C:\Program Files (x86)\AstroGrep\AstroGrep.exe" /spath="%USERPROFILE%\AppData\Local\Temp\OnboardLogs" /stypes="app*4012*20160920*" /stext=" 15:.+((SYSTEM_STATE.+slice.+state.+changed )|(ment ac)|(system.+state.+changed )|(\|lc)|(penalty)|(\[timeout)|(PRM\|1\|D)|(kpr)|(kdp))" /e /r /s</v>
      </c>
      <c r="AG48" s="1" t="str">
        <f t="shared" si="13"/>
        <v>EC</v>
      </c>
      <c r="AH48" s="100" t="str">
        <f t="shared" si="16"/>
        <v>"%USERPROFILE%\Documents\GitHub\eaglep3\Utilities\RefineRTDCRunTimes.py" --tripid 136-20 --locoid 4012 --swversion DE.1.0.7.0 --startMP 204:232993 --initTime 2016-09-20T08:50:46 --startdatetime 2016-09-20T08:56:26 --delay 1 --endMP 204:143 --enddatetime 2016-09-20T09:34:21 --enforcementcount 0 &gt;&gt;C:\Users\stu\Documents\GitHub\eaglep3-reporting\EC\2016-09-20-refined-times.txt</v>
      </c>
      <c r="AI48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{"issue":{"subject":"","project_id":79,"tracker_id":40,"status_id":1,"priority_id":2,"assigned_to_id":23,"start_date":"2016-09-20","description":"","custom_fields":[{"id":1,"name":"Subdivision","value":"EC"},{"id":4,"name":"Milepost","value":"0.0143"},{"id":17,"name":"Train ID","value":"136-20"},{"id":16,"name":"Locomotive ID","value":"4012"},{"id":130,"name":"Impact","value":""},{"id":150,"name":"Time of Event (Mountain Time)","value":"09:34:21"},{"id":151,"name":"Denver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428</v>
      </c>
      <c r="B49" s="7">
        <v>4042</v>
      </c>
      <c r="C49" s="24" t="s">
        <v>106</v>
      </c>
      <c r="D49" s="24" t="s">
        <v>334</v>
      </c>
      <c r="E49" s="15">
        <v>42633.339212962965</v>
      </c>
      <c r="F49" s="15">
        <v>42633.3440625</v>
      </c>
      <c r="G49" s="7">
        <v>1</v>
      </c>
      <c r="H49" s="15" t="s">
        <v>625</v>
      </c>
      <c r="I49" s="15">
        <v>42633.369826388887</v>
      </c>
      <c r="J49" s="7">
        <v>0</v>
      </c>
      <c r="K49" s="121" t="str">
        <f t="shared" si="0"/>
        <v>4041/4042</v>
      </c>
      <c r="L49" s="24" t="str">
        <f>VLOOKUP(A49,'Trips&amp;Operators'!$C$1:$E$10000,3,FALSE)</f>
        <v>DAVIS</v>
      </c>
      <c r="M49" s="6">
        <f t="shared" si="1"/>
        <v>2.5763888887013309E-2</v>
      </c>
      <c r="N49" s="7">
        <f t="shared" si="2"/>
        <v>37.099999997299165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07:08:28-0600',mode:absolute,to:'2016-09-20 09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9" s="54" t="str">
        <f t="shared" si="6"/>
        <v>N</v>
      </c>
      <c r="X49" s="168">
        <f t="shared" si="19"/>
        <v>1</v>
      </c>
      <c r="Y49" s="69">
        <f t="shared" si="7"/>
        <v>4.4400000000000002E-2</v>
      </c>
      <c r="Z49" s="69">
        <f t="shared" si="8"/>
        <v>23.328800000000001</v>
      </c>
      <c r="AA49" s="69">
        <f t="shared" si="9"/>
        <v>23.284400000000002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10"/>
        <v>0137-20</v>
      </c>
      <c r="AE49" s="99" t="str">
        <f t="shared" si="11"/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49" s="96" t="str">
        <f t="shared" si="12"/>
        <v>"C:\Program Files (x86)\AstroGrep\AstroGrep.exe" /spath="%USERPROFILE%\AppData\Local\Temp\OnboardLogs" /stypes="app*4042*20160920*" /stext=" 14:.+((SYSTEM_STATE.+slice.+state.+changed )|(ment ac)|(system.+state.+changed )|(\|lc)|(penalty)|(\[timeout)|(PRM\|1\|D)|(kpr)|(kdp))" /e /r /s</v>
      </c>
      <c r="AG49" s="1" t="str">
        <f t="shared" si="13"/>
        <v>EC</v>
      </c>
      <c r="AH49" s="100" t="str">
        <f t="shared" si="16"/>
        <v>"%USERPROFILE%\Documents\GitHub\eaglep3\Utilities\RefineRTDCRunTimes.py" --tripid 137-20 --locoid 4042 --swversion DE.1.0.7.0 --startMP 204:444 --initTime 2016-09-20T08:08:28 --startdatetime 2016-09-20T08:15:27 --delay 1 --endMP 204:233288 --enddatetime 2016-09-20T08:52:33 --enforcementcount 0 &gt;&gt;C:\Users\stu\Documents\GitHub\eaglep3-reporting\EC\2016-09-20-refined-times.txt</v>
      </c>
      <c r="AI49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{"issue":{"subject":"","project_id":79,"tracker_id":40,"status_id":1,"priority_id":2,"assigned_to_id":23,"start_date":"2016-09-20","description":"","custom_fields":[{"id":1,"name":"Subdivision","value":"EC"},{"id":4,"name":"Milepost","value":"23.3288"},{"id":17,"name":"Train ID","value":"137-20"},{"id":16,"name":"Locomotive ID","value":"4042"},{"id":130,"name":"Impact","value":""},{"id":150,"name":"Time of Event (Mountain Time)","value":"08:52:33"},{"id":151,"name":"Denver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438</v>
      </c>
      <c r="B50" s="7">
        <v>4041</v>
      </c>
      <c r="C50" s="24" t="s">
        <v>106</v>
      </c>
      <c r="D50" s="24" t="s">
        <v>632</v>
      </c>
      <c r="E50" s="15">
        <v>42633.378900462965</v>
      </c>
      <c r="F50" s="15">
        <v>42633.382824074077</v>
      </c>
      <c r="G50" s="7">
        <v>1</v>
      </c>
      <c r="H50" s="15" t="s">
        <v>633</v>
      </c>
      <c r="I50" s="15">
        <v>42633.410983796297</v>
      </c>
      <c r="J50" s="7">
        <v>0</v>
      </c>
      <c r="K50" s="121" t="str">
        <f t="shared" si="0"/>
        <v>4041/4042</v>
      </c>
      <c r="L50" s="24" t="str">
        <f>VLOOKUP(A50,'Trips&amp;Operators'!$C$1:$E$10000,3,FALSE)</f>
        <v>DAVIS</v>
      </c>
      <c r="M50" s="6">
        <f t="shared" si="1"/>
        <v>2.8159722220152617E-2</v>
      </c>
      <c r="N50" s="7">
        <f t="shared" si="2"/>
        <v>40.549999997019768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08:05:37-0600',mode:absolute,to:'2016-09-20 10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0" s="54" t="str">
        <f t="shared" si="6"/>
        <v>N</v>
      </c>
      <c r="X50" s="168">
        <f t="shared" si="19"/>
        <v>1</v>
      </c>
      <c r="Y50" s="69">
        <f t="shared" si="7"/>
        <v>23.298400000000001</v>
      </c>
      <c r="Z50" s="69">
        <f t="shared" si="8"/>
        <v>1.8100000000000002E-2</v>
      </c>
      <c r="AA50" s="69">
        <f t="shared" si="9"/>
        <v>23.2803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10"/>
        <v>0138-20</v>
      </c>
      <c r="AE50" s="99" t="str">
        <f t="shared" si="11"/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50" s="96" t="str">
        <f t="shared" si="12"/>
        <v>"C:\Program Files (x86)\AstroGrep\AstroGrep.exe" /spath="%USERPROFILE%\AppData\Local\Temp\OnboardLogs" /stypes="app*4041*20160920*" /stext=" 15:.+((SYSTEM_STATE.+slice.+state.+changed )|(ment ac)|(system.+state.+changed )|(\|lc)|(penalty)|(\[timeout)|(PRM\|1\|D)|(kpr)|(kdp))" /e /r /s</v>
      </c>
      <c r="AG50" s="1" t="str">
        <f t="shared" si="13"/>
        <v>EC</v>
      </c>
      <c r="AH50" s="100" t="str">
        <f t="shared" si="16"/>
        <v>"%USERPROFILE%\Documents\GitHub\eaglep3\Utilities\RefineRTDCRunTimes.py" --tripid 138-20 --locoid 4041 --swversion DE.1.0.7.0 --startMP 204:232984 --initTime 2016-09-20T09:05:37 --startdatetime 2016-09-20T09:11:16 --delay 1 --endMP 204:181 --enddatetime 2016-09-20T09:51:49 --enforcementcount 0 &gt;&gt;C:\Users\stu\Documents\GitHub\eaglep3-reporting\EC\2016-09-20-refined-times.txt</v>
      </c>
      <c r="AI50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{"issue":{"subject":"","project_id":79,"tracker_id":40,"status_id":1,"priority_id":2,"assigned_to_id":23,"start_date":"2016-09-20","description":"","custom_fields":[{"id":1,"name":"Subdivision","value":"EC"},{"id":4,"name":"Milepost","value":"0.0181"},{"id":17,"name":"Train ID","value":"138-20"},{"id":16,"name":"Locomotive ID","value":"4041"},{"id":130,"name":"Impact","value":""},{"id":150,"name":"Time of Event (Mountain Time)","value":"09:51:49"},{"id":151,"name":"Denver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431</v>
      </c>
      <c r="B51" s="7">
        <v>4003</v>
      </c>
      <c r="C51" s="24" t="s">
        <v>106</v>
      </c>
      <c r="D51" s="24" t="s">
        <v>348</v>
      </c>
      <c r="E51" s="15">
        <v>42633.351087962961</v>
      </c>
      <c r="F51" s="15">
        <v>42633.35434027778</v>
      </c>
      <c r="G51" s="7">
        <v>2</v>
      </c>
      <c r="H51" s="15" t="s">
        <v>634</v>
      </c>
      <c r="I51" s="15">
        <v>42633.379224537035</v>
      </c>
      <c r="J51" s="7">
        <v>0</v>
      </c>
      <c r="K51" s="121" t="str">
        <f t="shared" si="0"/>
        <v>4003/4004</v>
      </c>
      <c r="L51" s="24" t="str">
        <f>VLOOKUP(A51,'Trips&amp;Operators'!$C$1:$E$10000,3,FALSE)</f>
        <v>GEBRETEKLE</v>
      </c>
      <c r="M51" s="6">
        <f t="shared" si="1"/>
        <v>2.488425925548654E-2</v>
      </c>
      <c r="N51" s="7">
        <f t="shared" si="2"/>
        <v>35.833333327900618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07:25:34-0600',mode:absolute,to:'2016-09-20 10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51" s="54" t="str">
        <f t="shared" si="6"/>
        <v>N</v>
      </c>
      <c r="X51" s="168">
        <f t="shared" si="19"/>
        <v>1</v>
      </c>
      <c r="Y51" s="69">
        <f t="shared" si="7"/>
        <v>4.4200000000000003E-2</v>
      </c>
      <c r="Z51" s="69">
        <f t="shared" si="8"/>
        <v>23.3306</v>
      </c>
      <c r="AA51" s="69">
        <f t="shared" si="9"/>
        <v>23.2864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0"/>
        <v>0139-20</v>
      </c>
      <c r="AE51" s="99" t="str">
        <f t="shared" si="11"/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51" s="96" t="str">
        <f t="shared" si="12"/>
        <v>"C:\Program Files (x86)\AstroGrep\AstroGrep.exe" /spath="%USERPROFILE%\AppData\Local\Temp\OnboardLogs" /stypes="app*4003*20160920*" /stext=" 15:.+((SYSTEM_STATE.+slice.+state.+changed )|(ment ac)|(system.+state.+changed )|(\|lc)|(penalty)|(\[timeout)|(PRM\|1\|D)|(kpr)|(kdp))" /e /r /s</v>
      </c>
      <c r="AG51" s="1" t="str">
        <f t="shared" si="13"/>
        <v>EC</v>
      </c>
      <c r="AH51" s="100" t="str">
        <f t="shared" si="16"/>
        <v>"%USERPROFILE%\Documents\GitHub\eaglep3\Utilities\RefineRTDCRunTimes.py" --tripid 139-20 --locoid 4003 --swversion DE.1.0.7.0 --startMP 204:442 --initTime 2016-09-20T08:25:34 --startdatetime 2016-09-20T08:30:15 --delay 2 --endMP 204:233306 --enddatetime 2016-09-20T09:06:05 --enforcementcount 0 &gt;&gt;C:\Users\stu\Documents\GitHub\eaglep3-reporting\EC\2016-09-20-refined-times.txt</v>
      </c>
      <c r="AI51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{"issue":{"subject":"","project_id":79,"tracker_id":40,"status_id":1,"priority_id":2,"assigned_to_id":23,"start_date":"2016-09-20","description":"","custom_fields":[{"id":1,"name":"Subdivision","value":"EC"},{"id":4,"name":"Milepost","value":"23.3306"},{"id":17,"name":"Train ID","value":"139-20"},{"id":16,"name":"Locomotive ID","value":"4003"},{"id":130,"name":"Impact","value":""},{"id":150,"name":"Time of Event (Mountain Time)","value":"09:06:05"},{"id":151,"name":"Denver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441</v>
      </c>
      <c r="B52" s="7">
        <v>4004</v>
      </c>
      <c r="C52" s="24" t="s">
        <v>106</v>
      </c>
      <c r="D52" s="24" t="s">
        <v>228</v>
      </c>
      <c r="E52" s="15">
        <v>42633.388854166667</v>
      </c>
      <c r="F52" s="15">
        <v>42633.39329861111</v>
      </c>
      <c r="G52" s="7">
        <v>1</v>
      </c>
      <c r="H52" s="15" t="s">
        <v>220</v>
      </c>
      <c r="I52" s="15">
        <v>42633.420057870368</v>
      </c>
      <c r="J52" s="7">
        <v>0</v>
      </c>
      <c r="K52" s="121" t="str">
        <f t="shared" si="0"/>
        <v>4003/4004</v>
      </c>
      <c r="L52" s="24" t="str">
        <f>VLOOKUP(A52,'Trips&amp;Operators'!$C$1:$E$10000,3,FALSE)</f>
        <v>GEBRETEKLE</v>
      </c>
      <c r="M52" s="6">
        <f t="shared" si="1"/>
        <v>2.675925925723277E-2</v>
      </c>
      <c r="N52" s="7">
        <f t="shared" si="2"/>
        <v>38.533333330415189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08:19:57-0600',mode:absolute,to:'2016-09-20 11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2" s="54" t="str">
        <f t="shared" si="6"/>
        <v>N</v>
      </c>
      <c r="X52" s="168">
        <f t="shared" si="19"/>
        <v>1</v>
      </c>
      <c r="Y52" s="69">
        <f t="shared" si="7"/>
        <v>23.297699999999999</v>
      </c>
      <c r="Z52" s="69">
        <f t="shared" si="8"/>
        <v>1.4999999999999999E-2</v>
      </c>
      <c r="AA52" s="69">
        <f t="shared" si="9"/>
        <v>23.282699999999998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10"/>
        <v>0140-20</v>
      </c>
      <c r="AE52" s="99" t="str">
        <f t="shared" si="11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52" s="96" t="str">
        <f t="shared" si="12"/>
        <v>"C:\Program Files (x86)\AstroGrep\AstroGrep.exe" /spath="%USERPROFILE%\AppData\Local\Temp\OnboardLogs" /stypes="app*4004*20160920*" /stext=" 16:.+((SYSTEM_STATE.+slice.+state.+changed )|(ment ac)|(system.+state.+changed )|(\|lc)|(penalty)|(\[timeout)|(PRM\|1\|D)|(kpr)|(kdp))" /e /r /s</v>
      </c>
      <c r="AG52" s="1" t="str">
        <f t="shared" si="13"/>
        <v>EC</v>
      </c>
      <c r="AH52" s="100" t="str">
        <f t="shared" si="16"/>
        <v>"%USERPROFILE%\Documents\GitHub\eaglep3\Utilities\RefineRTDCRunTimes.py" --tripid 140-20 --locoid 4004 --swversion DE.1.0.7.0 --startMP 204:232977 --initTime 2016-09-20T09:19:57 --startdatetime 2016-09-20T09:26:21 --delay 1 --endMP 204:150 --enddatetime 2016-09-20T10:04:53 --enforcementcount 0 &gt;&gt;C:\Users\stu\Documents\GitHub\eaglep3-reporting\EC\2016-09-20-refined-times.txt</v>
      </c>
      <c r="AI52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{"issue":{"subject":"","project_id":79,"tracker_id":40,"status_id":1,"priority_id":2,"assigned_to_id":23,"start_date":"2016-09-20","description":"","custom_fields":[{"id":1,"name":"Subdivision","value":"EC"},{"id":4,"name":"Milepost","value":"0.015"},{"id":17,"name":"Train ID","value":"140-20"},{"id":16,"name":"Locomotive ID","value":"4004"},{"id":130,"name":"Impact","value":""},{"id":150,"name":"Time of Event (Mountain Time)","value":"10:04:53"},{"id":151,"name":"Denver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435</v>
      </c>
      <c r="B53" s="7">
        <v>4018</v>
      </c>
      <c r="C53" s="24" t="s">
        <v>106</v>
      </c>
      <c r="D53" s="24" t="s">
        <v>223</v>
      </c>
      <c r="E53" s="15">
        <v>42633.360868055555</v>
      </c>
      <c r="F53" s="15">
        <v>42633.364849537036</v>
      </c>
      <c r="G53" s="7">
        <v>1</v>
      </c>
      <c r="H53" s="15" t="s">
        <v>353</v>
      </c>
      <c r="I53" s="15">
        <v>42633.391006944446</v>
      </c>
      <c r="J53" s="7">
        <v>0</v>
      </c>
      <c r="K53" s="121" t="str">
        <f t="shared" si="0"/>
        <v>4017/4018</v>
      </c>
      <c r="L53" s="24" t="str">
        <f>VLOOKUP(A53,'Trips&amp;Operators'!$C$1:$E$10000,3,FALSE)</f>
        <v>KILLION</v>
      </c>
      <c r="M53" s="6">
        <f t="shared" si="1"/>
        <v>2.6157407410209998E-2</v>
      </c>
      <c r="N53" s="7">
        <f t="shared" si="2"/>
        <v>37.666666670702398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07:39:39-0600',mode:absolute,to:'2016-09-20 10:23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3" s="54" t="str">
        <f t="shared" si="6"/>
        <v>N</v>
      </c>
      <c r="X53" s="168">
        <f t="shared" si="19"/>
        <v>1</v>
      </c>
      <c r="Y53" s="69">
        <f t="shared" si="7"/>
        <v>4.5699999999999998E-2</v>
      </c>
      <c r="Z53" s="69">
        <f t="shared" si="8"/>
        <v>23.330100000000002</v>
      </c>
      <c r="AA53" s="69">
        <f t="shared" si="9"/>
        <v>23.284400000000002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0"/>
        <v>0141-20</v>
      </c>
      <c r="AE53" s="99" t="str">
        <f t="shared" si="11"/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53" s="96" t="str">
        <f t="shared" si="12"/>
        <v>"C:\Program Files (x86)\AstroGrep\AstroGrep.exe" /spath="%USERPROFILE%\AppData\Local\Temp\OnboardLogs" /stypes="app*4018*20160920*" /stext=" 15:.+((SYSTEM_STATE.+slice.+state.+changed )|(ment ac)|(system.+state.+changed )|(\|lc)|(penalty)|(\[timeout)|(PRM\|1\|D)|(kpr)|(kdp))" /e /r /s</v>
      </c>
      <c r="AG53" s="1" t="str">
        <f t="shared" si="13"/>
        <v>EC</v>
      </c>
      <c r="AH53" s="100" t="str">
        <f t="shared" si="16"/>
        <v>"%USERPROFILE%\Documents\GitHub\eaglep3\Utilities\RefineRTDCRunTimes.py" --tripid 141-20 --locoid 4018 --swversion DE.1.0.7.0 --startMP 204:457 --initTime 2016-09-20T08:39:39 --startdatetime 2016-09-20T08:45:23 --delay 1 --endMP 204:233301 --enddatetime 2016-09-20T09:23:03 --enforcementcount 0 &gt;&gt;C:\Users\stu\Documents\GitHub\eaglep3-reporting\EC\2016-09-20-refined-times.txt</v>
      </c>
      <c r="AI53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{"issue":{"subject":"","project_id":79,"tracker_id":40,"status_id":1,"priority_id":2,"assigned_to_id":23,"start_date":"2016-09-20","description":"","custom_fields":[{"id":1,"name":"Subdivision","value":"EC"},{"id":4,"name":"Milepost","value":"23.3301"},{"id":17,"name":"Train ID","value":"141-20"},{"id":16,"name":"Locomotive ID","value":"4018"},{"id":130,"name":"Impact","value":""},{"id":150,"name":"Time of Event (Mountain Time)","value":"09:23:03"},{"id":151,"name":"Denver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443</v>
      </c>
      <c r="B54" s="7">
        <v>4017</v>
      </c>
      <c r="C54" s="24" t="s">
        <v>106</v>
      </c>
      <c r="D54" s="24" t="s">
        <v>346</v>
      </c>
      <c r="E54" s="15">
        <v>42633.393703703703</v>
      </c>
      <c r="F54" s="15">
        <v>42633.403680555559</v>
      </c>
      <c r="G54" s="7">
        <v>1</v>
      </c>
      <c r="H54" s="15" t="s">
        <v>218</v>
      </c>
      <c r="I54" s="15">
        <v>42633.430381944447</v>
      </c>
      <c r="J54" s="7">
        <v>0</v>
      </c>
      <c r="K54" s="121" t="str">
        <f t="shared" si="0"/>
        <v>4017/4018</v>
      </c>
      <c r="L54" s="24" t="str">
        <f>VLOOKUP(A54,'Trips&amp;Operators'!$C$1:$E$10000,3,FALSE)</f>
        <v>KILLION</v>
      </c>
      <c r="M54" s="6">
        <f t="shared" si="1"/>
        <v>2.6701388887886424E-2</v>
      </c>
      <c r="N54" s="7">
        <f t="shared" si="2"/>
        <v>38.44999999855645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08:26:56-0600',mode:absolute,to:'2016-09-20 11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4" s="54" t="str">
        <f t="shared" si="6"/>
        <v>N</v>
      </c>
      <c r="X54" s="168">
        <f t="shared" si="19"/>
        <v>1</v>
      </c>
      <c r="Y54" s="69">
        <f t="shared" si="7"/>
        <v>23.2959</v>
      </c>
      <c r="Z54" s="69">
        <f t="shared" si="8"/>
        <v>1.47E-2</v>
      </c>
      <c r="AA54" s="69">
        <f t="shared" si="9"/>
        <v>23.281199999999998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0"/>
        <v>0142-20</v>
      </c>
      <c r="AE54" s="99" t="str">
        <f t="shared" si="11"/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54" s="96" t="str">
        <f t="shared" si="12"/>
        <v>"C:\Program Files (x86)\AstroGrep\AstroGrep.exe" /spath="%USERPROFILE%\AppData\Local\Temp\OnboardLogs" /stypes="app*4017*20160920*" /stext=" 16:.+((SYSTEM_STATE.+slice.+state.+changed )|(ment ac)|(system.+state.+changed )|(\|lc)|(penalty)|(\[timeout)|(PRM\|1\|D)|(kpr)|(kdp))" /e /r /s</v>
      </c>
      <c r="AG54" s="1" t="str">
        <f t="shared" si="13"/>
        <v>EC</v>
      </c>
      <c r="AH54" s="100" t="str">
        <f t="shared" si="16"/>
        <v>"%USERPROFILE%\Documents\GitHub\eaglep3\Utilities\RefineRTDCRunTimes.py" --tripid 142-20 --locoid 4017 --swversion DE.1.0.7.0 --startMP 204:232959 --initTime 2016-09-20T09:26:56 --startdatetime 2016-09-20T09:41:18 --delay 1 --endMP 204:147 --enddatetime 2016-09-20T10:19:45 --enforcementcount 0 &gt;&gt;C:\Users\stu\Documents\GitHub\eaglep3-reporting\EC\2016-09-20-refined-times.txt</v>
      </c>
      <c r="AI54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{"issue":{"subject":"","project_id":79,"tracker_id":40,"status_id":1,"priority_id":2,"assigned_to_id":23,"start_date":"2016-09-20","description":"","custom_fields":[{"id":1,"name":"Subdivision","value":"EC"},{"id":4,"name":"Milepost","value":"0.0147"},{"id":17,"name":"Train ID","value":"142-20"},{"id":16,"name":"Locomotive ID","value":"4017"},{"id":130,"name":"Impact","value":""},{"id":150,"name":"Time of Event (Mountain Time)","value":"10:19:45"},{"id":151,"name":"Denver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437</v>
      </c>
      <c r="B55" s="7">
        <v>4025</v>
      </c>
      <c r="C55" s="24" t="s">
        <v>106</v>
      </c>
      <c r="D55" s="24" t="s">
        <v>635</v>
      </c>
      <c r="E55" s="15">
        <v>42633.373449074075</v>
      </c>
      <c r="F55" s="15">
        <v>42633.375416666669</v>
      </c>
      <c r="G55" s="7">
        <v>1</v>
      </c>
      <c r="H55" s="15" t="s">
        <v>636</v>
      </c>
      <c r="I55" s="15">
        <v>42633.39949074074</v>
      </c>
      <c r="J55" s="7">
        <v>0</v>
      </c>
      <c r="K55" s="121" t="str">
        <f t="shared" si="0"/>
        <v>4025/4026</v>
      </c>
      <c r="L55" s="24" t="str">
        <f>VLOOKUP(A55,'Trips&amp;Operators'!$C$1:$E$10000,3,FALSE)</f>
        <v>ROCHA</v>
      </c>
      <c r="M55" s="6">
        <f t="shared" si="1"/>
        <v>2.4074074070085771E-2</v>
      </c>
      <c r="N55" s="7">
        <f t="shared" si="2"/>
        <v>34.666666660923511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07:57:46-0600',mode:absolute,to:'2016-09-20 10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5" s="54" t="str">
        <f t="shared" si="6"/>
        <v>N</v>
      </c>
      <c r="X55" s="168">
        <f t="shared" si="19"/>
        <v>1</v>
      </c>
      <c r="Y55" s="69">
        <f t="shared" si="7"/>
        <v>4.0899999999999999E-2</v>
      </c>
      <c r="Z55" s="69">
        <f t="shared" si="8"/>
        <v>23.332899999999999</v>
      </c>
      <c r="AA55" s="69">
        <f t="shared" si="9"/>
        <v>23.291999999999998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0"/>
        <v>0143-20</v>
      </c>
      <c r="AE55" s="99" t="str">
        <f t="shared" si="11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55" s="96" t="str">
        <f t="shared" si="12"/>
        <v>"C:\Program Files (x86)\AstroGrep\AstroGrep.exe" /spath="%USERPROFILE%\AppData\Local\Temp\OnboardLogs" /stypes="app*4025*20160920*" /stext=" 15:.+((SYSTEM_STATE.+slice.+state.+changed )|(ment ac)|(system.+state.+changed )|(\|lc)|(penalty)|(\[timeout)|(PRM\|1\|D)|(kpr)|(kdp))" /e /r /s</v>
      </c>
      <c r="AG55" s="1" t="str">
        <f t="shared" si="13"/>
        <v>EC</v>
      </c>
      <c r="AH55" s="100" t="str">
        <f t="shared" si="16"/>
        <v>"%USERPROFILE%\Documents\GitHub\eaglep3\Utilities\RefineRTDCRunTimes.py" --tripid 143-20 --locoid 4025 --swversion DE.1.0.7.0 --startMP 204:409 --initTime 2016-09-20T08:57:46 --startdatetime 2016-09-20T09:00:36 --delay 1 --endMP 204:233329 --enddatetime 2016-09-20T09:35:16 --enforcementcount 0 &gt;&gt;C:\Users\stu\Documents\GitHub\eaglep3-reporting\EC\2016-09-20-refined-times.txt</v>
      </c>
      <c r="AI55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{"issue":{"subject":"","project_id":79,"tracker_id":40,"status_id":1,"priority_id":2,"assigned_to_id":23,"start_date":"2016-09-20","description":"","custom_fields":[{"id":1,"name":"Subdivision","value":"EC"},{"id":4,"name":"Milepost","value":"23.3329"},{"id":17,"name":"Train ID","value":"143-20"},{"id":16,"name":"Locomotive ID","value":"4025"},{"id":130,"name":"Impact","value":""},{"id":150,"name":"Time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446</v>
      </c>
      <c r="B56" s="7">
        <v>4026</v>
      </c>
      <c r="C56" s="24" t="s">
        <v>106</v>
      </c>
      <c r="D56" s="24" t="s">
        <v>637</v>
      </c>
      <c r="E56" s="15">
        <v>42633.412662037037</v>
      </c>
      <c r="F56" s="15">
        <v>42633.414560185185</v>
      </c>
      <c r="G56" s="7">
        <v>1</v>
      </c>
      <c r="H56" s="15" t="s">
        <v>214</v>
      </c>
      <c r="I56" s="15">
        <v>42633.439837962964</v>
      </c>
      <c r="J56" s="7">
        <v>0</v>
      </c>
      <c r="K56" s="121" t="str">
        <f t="shared" si="0"/>
        <v>4025/4026</v>
      </c>
      <c r="L56" s="24" t="str">
        <f>VLOOKUP(A56,'Trips&amp;Operators'!$C$1:$E$10000,3,FALSE)</f>
        <v>ROCHA</v>
      </c>
      <c r="M56" s="6">
        <f t="shared" si="1"/>
        <v>2.527777777868323E-2</v>
      </c>
      <c r="N56" s="7">
        <f t="shared" si="2"/>
        <v>36.400000001303852</v>
      </c>
      <c r="O56" s="7"/>
      <c r="P56" s="7"/>
      <c r="Q56" s="25"/>
      <c r="R56" s="25"/>
      <c r="S56" s="37">
        <f t="shared" si="3"/>
        <v>1</v>
      </c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08:54:14-0600',mode:absolute,to:'2016-09-20 11:33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6" s="54" t="str">
        <f t="shared" si="6"/>
        <v>N</v>
      </c>
      <c r="X56" s="168">
        <f t="shared" si="19"/>
        <v>1</v>
      </c>
      <c r="Y56" s="69">
        <f t="shared" si="7"/>
        <v>23.299099999999999</v>
      </c>
      <c r="Z56" s="69">
        <f t="shared" si="8"/>
        <v>1.6E-2</v>
      </c>
      <c r="AA56" s="69">
        <f t="shared" si="9"/>
        <v>23.283100000000001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10"/>
        <v>0144-20</v>
      </c>
      <c r="AE56" s="99" t="str">
        <f t="shared" si="11"/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56" s="96" t="str">
        <f t="shared" si="12"/>
        <v>"C:\Program Files (x86)\AstroGrep\AstroGrep.exe" /spath="%USERPROFILE%\AppData\Local\Temp\OnboardLogs" /stypes="app*4026*20160920*" /stext=" 16:.+((SYSTEM_STATE.+slice.+state.+changed )|(ment ac)|(system.+state.+changed )|(\|lc)|(penalty)|(\[timeout)|(PRM\|1\|D)|(kpr)|(kdp))" /e /r /s</v>
      </c>
      <c r="AG56" s="1" t="str">
        <f t="shared" si="13"/>
        <v>EC</v>
      </c>
      <c r="AH56" s="100" t="str">
        <f t="shared" si="16"/>
        <v>"%USERPROFILE%\Documents\GitHub\eaglep3\Utilities\RefineRTDCRunTimes.py" --tripid 144-20 --locoid 4026 --swversion DE.1.0.7.0 --startMP 204:232991 --initTime 2016-09-20T09:54:14 --startdatetime 2016-09-20T09:56:58 --delay 1 --endMP 204:160 --enddatetime 2016-09-20T10:33:22 --enforcementcount 0 &gt;&gt;C:\Users\stu\Documents\GitHub\eaglep3-reporting\EC\2016-09-20-refined-times.txt</v>
      </c>
      <c r="AI56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{"issue":{"subject":"","project_id":79,"tracker_id":40,"status_id":1,"priority_id":2,"assigned_to_id":23,"start_date":"2016-09-20","description":"","custom_fields":[{"id":1,"name":"Subdivision","value":"EC"},{"id":4,"name":"Milepost","value":"0.016"},{"id":17,"name":"Train ID","value":"144-20"},{"id":16,"name":"Locomotive ID","value":"4026"},{"id":130,"name":"Impact","value":""},{"id":150,"name":"Time of Event (Mountain Time)","value":"10:33:22"},{"id":151,"name":"Denver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439</v>
      </c>
      <c r="B57" s="7">
        <v>4009</v>
      </c>
      <c r="C57" s="24" t="s">
        <v>106</v>
      </c>
      <c r="D57" s="24" t="s">
        <v>638</v>
      </c>
      <c r="E57" s="15">
        <v>42633.382048611114</v>
      </c>
      <c r="F57" s="15">
        <v>42633.385625000003</v>
      </c>
      <c r="G57" s="7">
        <v>1</v>
      </c>
      <c r="H57" s="15" t="s">
        <v>353</v>
      </c>
      <c r="I57" s="15">
        <v>42633.410243055558</v>
      </c>
      <c r="J57" s="7">
        <v>0</v>
      </c>
      <c r="K57" s="121" t="str">
        <f t="shared" si="0"/>
        <v>4009/4010</v>
      </c>
      <c r="L57" s="24" t="str">
        <f>VLOOKUP(A57,'Trips&amp;Operators'!$C$1:$E$10000,3,FALSE)</f>
        <v>ACKERMAN</v>
      </c>
      <c r="M57" s="6">
        <f t="shared" si="1"/>
        <v>2.4618055555038154E-2</v>
      </c>
      <c r="N57" s="7">
        <f t="shared" si="2"/>
        <v>35.449999999254942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08:10:09-0600',mode:absolute,to:'2016-09-20 10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7" s="54" t="str">
        <f t="shared" si="6"/>
        <v>N</v>
      </c>
      <c r="X57" s="168">
        <f t="shared" si="19"/>
        <v>1</v>
      </c>
      <c r="Y57" s="69">
        <f t="shared" si="7"/>
        <v>4.2900000000000001E-2</v>
      </c>
      <c r="Z57" s="69">
        <f t="shared" si="8"/>
        <v>23.330100000000002</v>
      </c>
      <c r="AA57" s="69">
        <f t="shared" si="9"/>
        <v>23.287200000000002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0"/>
        <v>0145-20</v>
      </c>
      <c r="AE57" s="99" t="str">
        <f t="shared" si="11"/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57" s="96" t="str">
        <f t="shared" si="12"/>
        <v>"C:\Program Files (x86)\AstroGrep\AstroGrep.exe" /spath="%USERPROFILE%\AppData\Local\Temp\OnboardLogs" /stypes="app*4009*20160920*" /stext=" 15:.+((SYSTEM_STATE.+slice.+state.+changed )|(ment ac)|(system.+state.+changed )|(\|lc)|(penalty)|(\[timeout)|(PRM\|1\|D)|(kpr)|(kdp))" /e /r /s</v>
      </c>
      <c r="AG57" s="1" t="str">
        <f t="shared" si="13"/>
        <v>EC</v>
      </c>
      <c r="AH57" s="100" t="str">
        <f t="shared" si="16"/>
        <v>"%USERPROFILE%\Documents\GitHub\eaglep3\Utilities\RefineRTDCRunTimes.py" --tripid 145-20 --locoid 4009 --swversion DE.1.0.7.0 --startMP 204:429 --initTime 2016-09-20T09:10:09 --startdatetime 2016-09-20T09:15:18 --delay 1 --endMP 204:233301 --enddatetime 2016-09-20T09:50:45 --enforcementcount 0 &gt;&gt;C:\Users\stu\Documents\GitHub\eaglep3-reporting\EC\2016-09-20-refined-times.txt</v>
      </c>
      <c r="AI57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{"issue":{"subject":"","project_id":79,"tracker_id":40,"status_id":1,"priority_id":2,"assigned_to_id":23,"start_date":"2016-09-20","description":"","custom_fields":[{"id":1,"name":"Subdivision","value":"EC"},{"id":4,"name":"Milepost","value":"23.3301"},{"id":17,"name":"Train ID","value":"145-20"},{"id":16,"name":"Locomotive ID","value":"4009"},{"id":130,"name":"Impact","value":""},{"id":150,"name":"Time of Event (Mountain Time)","value":"09:50:45"},{"id":151,"name":"Denver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448</v>
      </c>
      <c r="B58" s="7">
        <v>4010</v>
      </c>
      <c r="C58" s="24" t="s">
        <v>106</v>
      </c>
      <c r="D58" s="24" t="s">
        <v>305</v>
      </c>
      <c r="E58" s="15">
        <v>42633.417326388888</v>
      </c>
      <c r="F58" s="15">
        <v>42633.424699074072</v>
      </c>
      <c r="G58" s="7">
        <v>1</v>
      </c>
      <c r="H58" s="15" t="s">
        <v>220</v>
      </c>
      <c r="I58" s="15">
        <v>42633.451550925929</v>
      </c>
      <c r="J58" s="7">
        <v>0</v>
      </c>
      <c r="K58" s="121" t="str">
        <f t="shared" si="0"/>
        <v>4009/4010</v>
      </c>
      <c r="L58" s="24" t="str">
        <f>VLOOKUP(A58,'Trips&amp;Operators'!$C$1:$E$10000,3,FALSE)</f>
        <v>ACKERMAN</v>
      </c>
      <c r="M58" s="6">
        <f t="shared" si="1"/>
        <v>2.6851851856918074E-2</v>
      </c>
      <c r="N58" s="7">
        <f t="shared" si="2"/>
        <v>38.666666673962027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09:00:57-0600',mode:absolute,to:'2016-09-20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8" s="54" t="str">
        <f t="shared" si="6"/>
        <v>N</v>
      </c>
      <c r="X58" s="168">
        <f t="shared" si="19"/>
        <v>1</v>
      </c>
      <c r="Y58" s="69">
        <f t="shared" si="7"/>
        <v>23.298200000000001</v>
      </c>
      <c r="Z58" s="69">
        <f t="shared" si="8"/>
        <v>1.4999999999999999E-2</v>
      </c>
      <c r="AA58" s="69">
        <f t="shared" si="9"/>
        <v>23.283200000000001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10"/>
        <v>0146-20</v>
      </c>
      <c r="AE58" s="99" t="str">
        <f t="shared" si="11"/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58" s="96" t="str">
        <f t="shared" si="12"/>
        <v>"C:\Program Files (x86)\AstroGrep\AstroGrep.exe" /spath="%USERPROFILE%\AppData\Local\Temp\OnboardLogs" /stypes="app*4010*20160920*" /stext=" 16:.+((SYSTEM_STATE.+slice.+state.+changed )|(ment ac)|(system.+state.+changed )|(\|lc)|(penalty)|(\[timeout)|(PRM\|1\|D)|(kpr)|(kdp))" /e /r /s</v>
      </c>
      <c r="AG58" s="1" t="str">
        <f t="shared" si="13"/>
        <v>EC</v>
      </c>
      <c r="AH58" s="100" t="str">
        <f t="shared" si="16"/>
        <v>"%USERPROFILE%\Documents\GitHub\eaglep3\Utilities\RefineRTDCRunTimes.py" --tripid 146-20 --locoid 4010 --swversion DE.1.0.7.0 --startMP 204:232982 --initTime 2016-09-20T10:00:57 --startdatetime 2016-09-20T10:11:34 --delay 1 --endMP 204:150 --enddatetime 2016-09-20T10:50:14 --enforcementcount 0 &gt;&gt;C:\Users\stu\Documents\GitHub\eaglep3-reporting\EC\2016-09-20-refined-times.txt</v>
      </c>
      <c r="AI58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{"issue":{"subject":"","project_id":79,"tracker_id":40,"status_id":1,"priority_id":2,"assigned_to_id":23,"start_date":"2016-09-20","description":"","custom_fields":[{"id":1,"name":"Subdivision","value":"EC"},{"id":4,"name":"Milepost","value":"0.015"},{"id":17,"name":"Train ID","value":"146-20"},{"id":16,"name":"Locomotive ID","value":"4010"},{"id":130,"name":"Impact","value":""},{"id":150,"name":"Time of Event (Mountain Time)","value":"10:50:14"},{"id":151,"name":"Denver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442</v>
      </c>
      <c r="B59" s="7">
        <v>4014</v>
      </c>
      <c r="C59" s="24" t="s">
        <v>106</v>
      </c>
      <c r="D59" s="24" t="s">
        <v>334</v>
      </c>
      <c r="E59" s="15">
        <v>42633.391909722224</v>
      </c>
      <c r="F59" s="15">
        <v>42633.395995370367</v>
      </c>
      <c r="G59" s="7">
        <v>1</v>
      </c>
      <c r="H59" s="15" t="s">
        <v>338</v>
      </c>
      <c r="I59" s="15">
        <v>42633.422002314815</v>
      </c>
      <c r="J59" s="7">
        <v>0</v>
      </c>
      <c r="K59" s="121" t="str">
        <f t="shared" si="0"/>
        <v>4013/4014</v>
      </c>
      <c r="L59" s="24" t="str">
        <f>VLOOKUP(A59,'Trips&amp;Operators'!$C$1:$E$10000,3,FALSE)</f>
        <v>BRANNON</v>
      </c>
      <c r="M59" s="6">
        <f t="shared" si="1"/>
        <v>2.6006944448454306E-2</v>
      </c>
      <c r="N59" s="7">
        <f t="shared" si="2"/>
        <v>37.4500000057742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08:24:21-0600',mode:absolute,to:'2016-09-20 11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59" s="54" t="str">
        <f t="shared" si="6"/>
        <v>N</v>
      </c>
      <c r="X59" s="168">
        <f t="shared" si="19"/>
        <v>1</v>
      </c>
      <c r="Y59" s="69">
        <f t="shared" si="7"/>
        <v>4.4400000000000002E-2</v>
      </c>
      <c r="Z59" s="69">
        <f t="shared" si="8"/>
        <v>23.3308</v>
      </c>
      <c r="AA59" s="69">
        <f t="shared" si="9"/>
        <v>23.2864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10"/>
        <v>0147-20</v>
      </c>
      <c r="AE59" s="99" t="str">
        <f t="shared" si="11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59" s="96" t="str">
        <f t="shared" si="12"/>
        <v>"C:\Program Files (x86)\AstroGrep\AstroGrep.exe" /spath="%USERPROFILE%\AppData\Local\Temp\OnboardLogs" /stypes="app*4014*20160920*" /stext=" 16:.+((SYSTEM_STATE.+slice.+state.+changed )|(ment ac)|(system.+state.+changed )|(\|lc)|(penalty)|(\[timeout)|(PRM\|1\|D)|(kpr)|(kdp))" /e /r /s</v>
      </c>
      <c r="AG59" s="1" t="str">
        <f t="shared" si="13"/>
        <v>EC</v>
      </c>
      <c r="AH59" s="100" t="str">
        <f t="shared" si="16"/>
        <v>"%USERPROFILE%\Documents\GitHub\eaglep3\Utilities\RefineRTDCRunTimes.py" --tripid 147-20 --locoid 4014 --swversion DE.1.0.7.0 --startMP 204:444 --initTime 2016-09-20T09:24:21 --startdatetime 2016-09-20T09:30:14 --delay 1 --endMP 204:233308 --enddatetime 2016-09-20T10:07:41 --enforcementcount 0 &gt;&gt;C:\Users\stu\Documents\GitHub\eaglep3-reporting\EC\2016-09-20-refined-times.txt</v>
      </c>
      <c r="AI59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{"issue":{"subject":"","project_id":79,"tracker_id":40,"status_id":1,"priority_id":2,"assigned_to_id":23,"start_date":"2016-09-20","description":"","custom_fields":[{"id":1,"name":"Subdivision","value":"EC"},{"id":4,"name":"Milepost","value":"23.3308"},{"id":17,"name":"Train ID","value":"147-20"},{"id":16,"name":"Locomotive ID","value":"4014"},{"id":130,"name":"Impact","value":""},{"id":150,"name":"Time of Event (Mountain Time)","value":"10:07:41"},{"id":151,"name":"Denver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450</v>
      </c>
      <c r="B60" s="7">
        <v>4013</v>
      </c>
      <c r="C60" s="24" t="s">
        <v>106</v>
      </c>
      <c r="D60" s="24" t="s">
        <v>637</v>
      </c>
      <c r="E60" s="15">
        <v>42633.427349537036</v>
      </c>
      <c r="F60" s="15">
        <v>42633.434907407405</v>
      </c>
      <c r="G60" s="7">
        <v>1</v>
      </c>
      <c r="H60" s="15" t="s">
        <v>215</v>
      </c>
      <c r="I60" s="15">
        <v>42633.464803240742</v>
      </c>
      <c r="J60" s="7">
        <v>0</v>
      </c>
      <c r="K60" s="121" t="str">
        <f t="shared" si="0"/>
        <v>4013/4014</v>
      </c>
      <c r="L60" s="24" t="str">
        <f>VLOOKUP(A60,'Trips&amp;Operators'!$C$1:$E$10000,3,FALSE)</f>
        <v>BRANNON</v>
      </c>
      <c r="M60" s="6">
        <f t="shared" si="1"/>
        <v>2.9895833336922806E-2</v>
      </c>
      <c r="N60" s="7">
        <f t="shared" si="2"/>
        <v>43.05000000516884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09:15:23-0600',mode:absolute,to:'2016-09-20 12:09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0" s="54" t="str">
        <f t="shared" si="6"/>
        <v>N</v>
      </c>
      <c r="X60" s="168">
        <f t="shared" si="19"/>
        <v>1</v>
      </c>
      <c r="Y60" s="69">
        <f t="shared" si="7"/>
        <v>23.299099999999999</v>
      </c>
      <c r="Z60" s="69">
        <f t="shared" si="8"/>
        <v>1.6299999999999999E-2</v>
      </c>
      <c r="AA60" s="69">
        <f t="shared" si="9"/>
        <v>23.282799999999998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0"/>
        <v>0148-20</v>
      </c>
      <c r="AE60" s="99" t="str">
        <f t="shared" si="11"/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60" s="96" t="str">
        <f t="shared" si="12"/>
        <v>"C:\Program Files (x86)\AstroGrep\AstroGrep.exe" /spath="%USERPROFILE%\AppData\Local\Temp\OnboardLogs" /stypes="app*4013*20160920*" /stext=" 17:.+((SYSTEM_STATE.+slice.+state.+changed )|(ment ac)|(system.+state.+changed )|(\|lc)|(penalty)|(\[timeout)|(PRM\|1\|D)|(kpr)|(kdp))" /e /r /s</v>
      </c>
      <c r="AG60" s="1" t="str">
        <f t="shared" si="13"/>
        <v>EC</v>
      </c>
      <c r="AH60" s="100" t="str">
        <f t="shared" si="16"/>
        <v>"%USERPROFILE%\Documents\GitHub\eaglep3\Utilities\RefineRTDCRunTimes.py" --tripid 148-20 --locoid 4013 --swversion DE.1.0.7.0 --startMP 204:232991 --initTime 2016-09-20T10:15:23 --startdatetime 2016-09-20T10:26:16 --delay 1 --endMP 204:163 --enddatetime 2016-09-20T11:09:19 --enforcementcount 0 &gt;&gt;C:\Users\stu\Documents\GitHub\eaglep3-reporting\EC\2016-09-20-refined-times.txt</v>
      </c>
      <c r="AI60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{"issue":{"subject":"","project_id":79,"tracker_id":40,"status_id":1,"priority_id":2,"assigned_to_id":23,"start_date":"2016-09-20","description":"","custom_fields":[{"id":1,"name":"Subdivision","value":"EC"},{"id":4,"name":"Milepost","value":"0.0163"},{"id":17,"name":"Train ID","value":"148-20"},{"id":16,"name":"Locomotive ID","value":"4013"},{"id":130,"name":"Impact","value":""},{"id":150,"name":"Time of Event (Mountain Time)","value":"11:09:19"},{"id":151,"name":"Denver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445</v>
      </c>
      <c r="B61" s="7">
        <v>4011</v>
      </c>
      <c r="C61" s="24" t="s">
        <v>106</v>
      </c>
      <c r="D61" s="24" t="s">
        <v>348</v>
      </c>
      <c r="E61" s="15">
        <v>42633.402222222219</v>
      </c>
      <c r="F61" s="15">
        <v>42633.406446759262</v>
      </c>
      <c r="G61" s="7">
        <v>1</v>
      </c>
      <c r="H61" s="15" t="s">
        <v>639</v>
      </c>
      <c r="I61" s="15">
        <v>42633.431620370371</v>
      </c>
      <c r="J61" s="7">
        <v>0</v>
      </c>
      <c r="K61" s="121" t="str">
        <f t="shared" si="0"/>
        <v>4011/4012</v>
      </c>
      <c r="L61" s="24" t="str">
        <f>VLOOKUP(A61,'Trips&amp;Operators'!$C$1:$E$10000,3,FALSE)</f>
        <v>SPECTOR</v>
      </c>
      <c r="M61" s="6">
        <f t="shared" si="1"/>
        <v>2.5173611109494232E-2</v>
      </c>
      <c r="N61" s="7">
        <f t="shared" si="2"/>
        <v>36.249999997671694</v>
      </c>
      <c r="O61" s="7"/>
      <c r="P61" s="7"/>
      <c r="Q61" s="25"/>
      <c r="R61" s="25"/>
      <c r="S61" s="37">
        <f t="shared" si="3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08:39:12-0600',mode:absolute,to:'2016-09-20 11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61" s="54" t="str">
        <f t="shared" si="6"/>
        <v>N</v>
      </c>
      <c r="X61" s="168">
        <f t="shared" si="19"/>
        <v>1</v>
      </c>
      <c r="Y61" s="69">
        <f t="shared" si="7"/>
        <v>4.4200000000000003E-2</v>
      </c>
      <c r="Z61" s="69">
        <f t="shared" si="8"/>
        <v>23.331800000000001</v>
      </c>
      <c r="AA61" s="69">
        <f t="shared" si="9"/>
        <v>23.287600000000001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10"/>
        <v>0149-20</v>
      </c>
      <c r="AE61" s="99" t="str">
        <f t="shared" si="11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61" s="96" t="str">
        <f t="shared" si="12"/>
        <v>"C:\Program Files (x86)\AstroGrep\AstroGrep.exe" /spath="%USERPROFILE%\AppData\Local\Temp\OnboardLogs" /stypes="app*4011*20160920*" /stext=" 16:.+((SYSTEM_STATE.+slice.+state.+changed )|(ment ac)|(system.+state.+changed )|(\|lc)|(penalty)|(\[timeout)|(PRM\|1\|D)|(kpr)|(kdp))" /e /r /s</v>
      </c>
      <c r="AG61" s="1" t="str">
        <f t="shared" si="13"/>
        <v>EC</v>
      </c>
      <c r="AH61" s="100" t="str">
        <f t="shared" si="16"/>
        <v>"%USERPROFILE%\Documents\GitHub\eaglep3\Utilities\RefineRTDCRunTimes.py" --tripid 149-20 --locoid 4011 --swversion DE.1.0.7.0 --startMP 204:442 --initTime 2016-09-20T09:39:12 --startdatetime 2016-09-20T09:45:17 --delay 1 --endMP 204:233318 --enddatetime 2016-09-20T10:21:32 --enforcementcount 0 &gt;&gt;C:\Users\stu\Documents\GitHub\eaglep3-reporting\EC\2016-09-20-refined-times.txt</v>
      </c>
      <c r="AI61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{"issue":{"subject":"","project_id":79,"tracker_id":40,"status_id":1,"priority_id":2,"assigned_to_id":23,"start_date":"2016-09-20","description":"","custom_fields":[{"id":1,"name":"Subdivision","value":"EC"},{"id":4,"name":"Milepost","value":"23.3318"},{"id":17,"name":"Train ID","value":"149-20"},{"id":16,"name":"Locomotive ID","value":"4011"},{"id":130,"name":"Impact","value":""},{"id":150,"name":"Time of Event (Mountain Time)","value":"10:21:32"},{"id":151,"name":"Denver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454</v>
      </c>
      <c r="B62" s="7">
        <v>4012</v>
      </c>
      <c r="C62" s="24" t="s">
        <v>106</v>
      </c>
      <c r="D62" s="24" t="s">
        <v>306</v>
      </c>
      <c r="E62" s="15">
        <v>42633.442303240743</v>
      </c>
      <c r="F62" s="15">
        <v>42633.445405092592</v>
      </c>
      <c r="G62" s="7">
        <v>1</v>
      </c>
      <c r="H62" s="15" t="s">
        <v>229</v>
      </c>
      <c r="I62" s="15">
        <v>42633.473391203705</v>
      </c>
      <c r="J62" s="7">
        <v>0</v>
      </c>
      <c r="K62" s="121" t="str">
        <f t="shared" si="0"/>
        <v>4011/4012</v>
      </c>
      <c r="L62" s="24" t="str">
        <f>VLOOKUP(A62,'Trips&amp;Operators'!$C$1:$E$10000,3,FALSE)</f>
        <v>SPECTOR</v>
      </c>
      <c r="M62" s="6">
        <f t="shared" si="1"/>
        <v>2.7986111112113576E-2</v>
      </c>
      <c r="N62" s="7">
        <f t="shared" si="2"/>
        <v>40.30000000144355</v>
      </c>
      <c r="O62" s="7"/>
      <c r="P62" s="7"/>
      <c r="Q62" s="25"/>
      <c r="R62" s="25"/>
      <c r="S62" s="37">
        <f t="shared" si="3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09:36:55-0600',mode:absolute,to:'2016-09-20 12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2" s="54" t="str">
        <f t="shared" si="6"/>
        <v>N</v>
      </c>
      <c r="X62" s="168">
        <f t="shared" si="19"/>
        <v>1</v>
      </c>
      <c r="Y62" s="69">
        <f t="shared" si="7"/>
        <v>23.2988</v>
      </c>
      <c r="Z62" s="69">
        <f t="shared" si="8"/>
        <v>1.3899999999999999E-2</v>
      </c>
      <c r="AA62" s="69">
        <f t="shared" si="9"/>
        <v>23.2849</v>
      </c>
      <c r="AB62" s="66" t="str">
        <f>VLOOKUP(A62,Enforcements!$C$7:$K$20,8,0)</f>
        <v>Bulletin (2)</v>
      </c>
      <c r="AC62" s="62" t="str">
        <f>VLOOKUP(A62,Enforcements!$C$7:$E$20,3,0)</f>
        <v>GRADE CROSSING</v>
      </c>
      <c r="AD62" s="63" t="str">
        <f t="shared" si="10"/>
        <v>0150-20</v>
      </c>
      <c r="AE62" s="99" t="str">
        <f t="shared" si="11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62" s="96" t="str">
        <f t="shared" si="12"/>
        <v>"C:\Program Files (x86)\AstroGrep\AstroGrep.exe" /spath="%USERPROFILE%\AppData\Local\Temp\OnboardLogs" /stypes="app*4012*20160920*" /stext=" 17:.+((SYSTEM_STATE.+slice.+state.+changed )|(ment ac)|(system.+state.+changed )|(\|lc)|(penalty)|(\[timeout)|(PRM\|1\|D)|(kpr)|(kdp))" /e /r /s</v>
      </c>
      <c r="AG62" s="1" t="str">
        <f t="shared" si="13"/>
        <v>EC</v>
      </c>
      <c r="AH62" s="100" t="str">
        <f t="shared" si="16"/>
        <v>"%USERPROFILE%\Documents\GitHub\eaglep3\Utilities\RefineRTDCRunTimes.py" --tripid 150-20 --locoid 4012 --swversion DE.1.0.7.0 --startMP 204:232988 --initTime 2016-09-20T10:36:55 --startdatetime 2016-09-20T10:41:23 --delay 1 --endMP 204:139 --enddatetime 2016-09-20T11:21:41 --enforcementcount 0 &gt;&gt;C:\Users\stu\Documents\GitHub\eaglep3-reporting\EC\2016-09-20-refined-times.txt</v>
      </c>
      <c r="AI62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{"issue":{"subject":"","project_id":79,"tracker_id":40,"status_id":1,"priority_id":2,"assigned_to_id":23,"start_date":"2016-09-20","description":"","custom_fields":[{"id":1,"name":"Subdivision","value":"EC"},{"id":4,"name":"Milepost","value":"0.0139"},{"id":17,"name":"Train ID","value":"150-20"},{"id":16,"name":"Locomotive ID","value":"4012"},{"id":130,"name":"Impact","value":""},{"id":150,"name":"Time of Event (Mountain Time)","value":"11:21:41"},{"id":151,"name":"Denver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447</v>
      </c>
      <c r="B63" s="7">
        <v>4042</v>
      </c>
      <c r="C63" s="24" t="s">
        <v>106</v>
      </c>
      <c r="D63" s="24" t="s">
        <v>343</v>
      </c>
      <c r="E63" s="15">
        <v>42633.412638888891</v>
      </c>
      <c r="F63" s="15">
        <v>42633.417638888888</v>
      </c>
      <c r="G63" s="7">
        <v>1</v>
      </c>
      <c r="H63" s="15" t="s">
        <v>640</v>
      </c>
      <c r="I63" s="15">
        <v>42633.443842592591</v>
      </c>
      <c r="J63" s="7">
        <v>0</v>
      </c>
      <c r="K63" s="121" t="str">
        <f t="shared" si="0"/>
        <v>4041/4042</v>
      </c>
      <c r="L63" s="24" t="str">
        <f>VLOOKUP(A63,'Trips&amp;Operators'!$C$1:$E$10000,3,FALSE)</f>
        <v>DAVIS</v>
      </c>
      <c r="M63" s="6">
        <f t="shared" si="1"/>
        <v>2.6203703702776693E-2</v>
      </c>
      <c r="N63" s="7">
        <f t="shared" si="2"/>
        <v>37.733333331998438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08:54:12-0600',mode:absolute,to:'2016-09-20 11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3" s="54" t="str">
        <f t="shared" si="6"/>
        <v>N</v>
      </c>
      <c r="X63" s="168">
        <f t="shared" si="19"/>
        <v>1</v>
      </c>
      <c r="Y63" s="69">
        <f t="shared" si="7"/>
        <v>4.9099999999999998E-2</v>
      </c>
      <c r="Z63" s="69">
        <f t="shared" si="8"/>
        <v>23.332699999999999</v>
      </c>
      <c r="AA63" s="69">
        <f t="shared" si="9"/>
        <v>23.2836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10"/>
        <v>0151-20</v>
      </c>
      <c r="AE63" s="99" t="str">
        <f t="shared" si="11"/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63" s="96" t="str">
        <f t="shared" si="12"/>
        <v>"C:\Program Files (x86)\AstroGrep\AstroGrep.exe" /spath="%USERPROFILE%\AppData\Local\Temp\OnboardLogs" /stypes="app*4042*20160920*" /stext=" 16:.+((SYSTEM_STATE.+slice.+state.+changed )|(ment ac)|(system.+state.+changed )|(\|lc)|(penalty)|(\[timeout)|(PRM\|1\|D)|(kpr)|(kdp))" /e /r /s</v>
      </c>
      <c r="AG63" s="1" t="str">
        <f t="shared" si="13"/>
        <v>EC</v>
      </c>
      <c r="AH63" s="100" t="str">
        <f t="shared" si="16"/>
        <v>"%USERPROFILE%\Documents\GitHub\eaglep3\Utilities\RefineRTDCRunTimes.py" --tripid 151-20 --locoid 4042 --swversion DE.1.0.7.0 --startMP 204:491 --initTime 2016-09-20T09:54:12 --startdatetime 2016-09-20T10:01:24 --delay 1 --endMP 204:233327 --enddatetime 2016-09-20T10:39:08 --enforcementcount 0 &gt;&gt;C:\Users\stu\Documents\GitHub\eaglep3-reporting\EC\2016-09-20-refined-times.txt</v>
      </c>
      <c r="AI63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{"issue":{"subject":"","project_id":79,"tracker_id":40,"status_id":1,"priority_id":2,"assigned_to_id":23,"start_date":"2016-09-20","description":"","custom_fields":[{"id":1,"name":"Subdivision","value":"EC"},{"id":4,"name":"Milepost","value":"23.3327"},{"id":17,"name":"Train ID","value":"151-20"},{"id":16,"name":"Locomotive ID","value":"4042"},{"id":130,"name":"Impact","value":""},{"id":150,"name":"Time of Event (Mountain Time)","value":"10:39:08"},{"id":151,"name":"Denver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456</v>
      </c>
      <c r="B64" s="7">
        <v>4041</v>
      </c>
      <c r="C64" s="24" t="s">
        <v>106</v>
      </c>
      <c r="D64" s="24" t="s">
        <v>609</v>
      </c>
      <c r="E64" s="15">
        <v>42633.448506944442</v>
      </c>
      <c r="F64" s="15">
        <v>42633.455706018518</v>
      </c>
      <c r="G64" s="7">
        <v>1</v>
      </c>
      <c r="H64" s="15" t="s">
        <v>310</v>
      </c>
      <c r="I64" s="15">
        <v>42633.484097222223</v>
      </c>
      <c r="J64" s="7">
        <v>0</v>
      </c>
      <c r="K64" s="121" t="str">
        <f t="shared" si="0"/>
        <v>4041/4042</v>
      </c>
      <c r="L64" s="24" t="str">
        <f>VLOOKUP(A64,'Trips&amp;Operators'!$C$1:$E$10000,3,FALSE)</f>
        <v>DAVIS</v>
      </c>
      <c r="M64" s="6">
        <f t="shared" si="1"/>
        <v>2.8391203704813961E-2</v>
      </c>
      <c r="N64" s="7">
        <f t="shared" si="2"/>
        <v>40.883333334932104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09:45:51-0600',mode:absolute,to:'2016-09-20 12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4" s="54" t="str">
        <f t="shared" si="6"/>
        <v>N</v>
      </c>
      <c r="X64" s="168">
        <f t="shared" si="19"/>
        <v>1</v>
      </c>
      <c r="Y64" s="69">
        <f t="shared" si="7"/>
        <v>23.300599999999999</v>
      </c>
      <c r="Z64" s="69">
        <f t="shared" si="8"/>
        <v>1.3599999999999999E-2</v>
      </c>
      <c r="AA64" s="69">
        <f t="shared" si="9"/>
        <v>23.286999999999999</v>
      </c>
      <c r="AB64" s="66" t="str">
        <f>VLOOKUP(A64,Enforcements!$C$7:$K$20,8,0)</f>
        <v>Speed (6)</v>
      </c>
      <c r="AC64" s="62" t="str">
        <f>VLOOKUP(A64,Enforcements!$C$7:$E$20,3,0)</f>
        <v>PERMANENT SPEED RESTRICTION</v>
      </c>
      <c r="AD64" s="63" t="str">
        <f t="shared" si="10"/>
        <v>0152-20</v>
      </c>
      <c r="AE64" s="99" t="str">
        <f t="shared" si="11"/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64" s="96" t="str">
        <f t="shared" si="12"/>
        <v>"C:\Program Files (x86)\AstroGrep\AstroGrep.exe" /spath="%USERPROFILE%\AppData\Local\Temp\OnboardLogs" /stypes="app*4041*20160920*" /stext=" 17:.+((SYSTEM_STATE.+slice.+state.+changed )|(ment ac)|(system.+state.+changed )|(\|lc)|(penalty)|(\[timeout)|(PRM\|1\|D)|(kpr)|(kdp))" /e /r /s</v>
      </c>
      <c r="AG64" s="1" t="str">
        <f t="shared" si="13"/>
        <v>EC</v>
      </c>
      <c r="AH64" s="100" t="str">
        <f t="shared" si="16"/>
        <v>"%USERPROFILE%\Documents\GitHub\eaglep3\Utilities\RefineRTDCRunTimes.py" --tripid 152-20 --locoid 4041 --swversion DE.1.0.7.0 --startMP 204:233006 --initTime 2016-09-20T10:45:51 --startdatetime 2016-09-20T10:56:13 --delay 1 --endMP 204:136 --enddatetime 2016-09-20T11:37:06 --enforcementcount 0 &gt;&gt;C:\Users\stu\Documents\GitHub\eaglep3-reporting\EC\2016-09-20-refined-times.txt</v>
      </c>
      <c r="AI64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{"issue":{"subject":"","project_id":79,"tracker_id":40,"status_id":1,"priority_id":2,"assigned_to_id":23,"start_date":"2016-09-20","description":"","custom_fields":[{"id":1,"name":"Subdivision","value":"EC"},{"id":4,"name":"Milepost","value":"0.0136"},{"id":17,"name":"Train ID","value":"152-20"},{"id":16,"name":"Locomotive ID","value":"4041"},{"id":130,"name":"Impact","value":""},{"id":150,"name":"Time of Event (Mountain Time)","value":"11:37:06"},{"id":151,"name":"Denver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449</v>
      </c>
      <c r="B65" s="7">
        <v>4003</v>
      </c>
      <c r="C65" s="24" t="s">
        <v>106</v>
      </c>
      <c r="D65" s="24" t="s">
        <v>231</v>
      </c>
      <c r="E65" s="15">
        <v>42633.423333333332</v>
      </c>
      <c r="F65" s="15">
        <v>42633.427303240744</v>
      </c>
      <c r="G65" s="7">
        <v>1</v>
      </c>
      <c r="H65" s="15" t="s">
        <v>302</v>
      </c>
      <c r="I65" s="15">
        <v>42633.452361111114</v>
      </c>
      <c r="J65" s="7">
        <v>0</v>
      </c>
      <c r="K65" s="121" t="str">
        <f t="shared" si="0"/>
        <v>4003/4004</v>
      </c>
      <c r="L65" s="24" t="str">
        <f>VLOOKUP(A65,'Trips&amp;Operators'!$C$1:$E$10000,3,FALSE)</f>
        <v>GEBRETEKLE</v>
      </c>
      <c r="M65" s="6">
        <f t="shared" si="1"/>
        <v>2.5057870370801538E-2</v>
      </c>
      <c r="N65" s="7">
        <f t="shared" si="2"/>
        <v>36.083333333954215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09:09:36-0600',mode:absolute,to:'2016-09-20 11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5" s="54" t="str">
        <f t="shared" si="6"/>
        <v>N</v>
      </c>
      <c r="X65" s="168">
        <f t="shared" si="19"/>
        <v>1</v>
      </c>
      <c r="Y65" s="69">
        <f t="shared" si="7"/>
        <v>4.6699999999999998E-2</v>
      </c>
      <c r="Z65" s="69">
        <f t="shared" si="8"/>
        <v>23.329499999999999</v>
      </c>
      <c r="AA65" s="69">
        <f t="shared" si="9"/>
        <v>23.282799999999998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10"/>
        <v>0153-20</v>
      </c>
      <c r="AE65" s="99" t="str">
        <f t="shared" si="11"/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65" s="96" t="str">
        <f t="shared" si="12"/>
        <v>"C:\Program Files (x86)\AstroGrep\AstroGrep.exe" /spath="%USERPROFILE%\AppData\Local\Temp\OnboardLogs" /stypes="app*4003*20160920*" /stext=" 16:.+((SYSTEM_STATE.+slice.+state.+changed )|(ment ac)|(system.+state.+changed )|(\|lc)|(penalty)|(\[timeout)|(PRM\|1\|D)|(kpr)|(kdp))" /e /r /s</v>
      </c>
      <c r="AG65" s="1" t="str">
        <f t="shared" si="13"/>
        <v>EC</v>
      </c>
      <c r="AH65" s="100" t="str">
        <f t="shared" si="16"/>
        <v>"%USERPROFILE%\Documents\GitHub\eaglep3\Utilities\RefineRTDCRunTimes.py" --tripid 153-20 --locoid 4003 --swversion DE.1.0.7.0 --startMP 204:467 --initTime 2016-09-20T10:09:36 --startdatetime 2016-09-20T10:15:19 --delay 1 --endMP 204:233295 --enddatetime 2016-09-20T10:51:24 --enforcementcount 0 &gt;&gt;C:\Users\stu\Documents\GitHub\eaglep3-reporting\EC\2016-09-20-refined-times.txt</v>
      </c>
      <c r="AI65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{"issue":{"subject":"","project_id":79,"tracker_id":40,"status_id":1,"priority_id":2,"assigned_to_id":23,"start_date":"2016-09-20","description":"","custom_fields":[{"id":1,"name":"Subdivision","value":"EC"},{"id":4,"name":"Milepost","value":"23.3295"},{"id":17,"name":"Train ID","value":"153-20"},{"id":16,"name":"Locomotive ID","value":"4003"},{"id":130,"name":"Impact","value":""},{"id":150,"name":"Time of Event (Mountain Time)","value":"10:51:24"},{"id":151,"name":"Denver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458</v>
      </c>
      <c r="B66" s="7">
        <v>4004</v>
      </c>
      <c r="C66" s="24" t="s">
        <v>106</v>
      </c>
      <c r="D66" s="24" t="s">
        <v>234</v>
      </c>
      <c r="E66" s="15">
        <v>42633.461759259262</v>
      </c>
      <c r="F66" s="15">
        <v>42633.466215277775</v>
      </c>
      <c r="G66" s="7">
        <v>1</v>
      </c>
      <c r="H66" s="15" t="s">
        <v>217</v>
      </c>
      <c r="I66" s="15">
        <v>42633.493969907409</v>
      </c>
      <c r="J66" s="7">
        <v>0</v>
      </c>
      <c r="K66" s="121" t="str">
        <f t="shared" si="0"/>
        <v>4003/4004</v>
      </c>
      <c r="L66" s="24" t="str">
        <f>VLOOKUP(A66,'Trips&amp;Operators'!$C$1:$E$10000,3,FALSE)</f>
        <v>GEBRETEKLE</v>
      </c>
      <c r="M66" s="6">
        <f t="shared" si="1"/>
        <v>2.775462963472819E-2</v>
      </c>
      <c r="N66" s="7">
        <f t="shared" si="2"/>
        <v>39.966666674008593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10:04:56-0600',mode:absolute,to:'2016-09-20 12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6" s="54" t="str">
        <f t="shared" si="6"/>
        <v>N</v>
      </c>
      <c r="X66" s="168">
        <f t="shared" si="19"/>
        <v>1</v>
      </c>
      <c r="Y66" s="69">
        <f t="shared" si="7"/>
        <v>23.297799999999999</v>
      </c>
      <c r="Z66" s="69">
        <f t="shared" si="8"/>
        <v>1.5800000000000002E-2</v>
      </c>
      <c r="AA66" s="69">
        <f t="shared" si="9"/>
        <v>23.282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10"/>
        <v>0154-20</v>
      </c>
      <c r="AE66" s="99" t="str">
        <f t="shared" si="11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66" s="96" t="str">
        <f t="shared" si="12"/>
        <v>"C:\Program Files (x86)\AstroGrep\AstroGrep.exe" /spath="%USERPROFILE%\AppData\Local\Temp\OnboardLogs" /stypes="app*4004*20160920*" /stext=" 17:.+((SYSTEM_STATE.+slice.+state.+changed )|(ment ac)|(system.+state.+changed )|(\|lc)|(penalty)|(\[timeout)|(PRM\|1\|D)|(kpr)|(kdp))" /e /r /s</v>
      </c>
      <c r="AG66" s="1" t="str">
        <f t="shared" si="13"/>
        <v>EC</v>
      </c>
      <c r="AH66" s="100" t="str">
        <f t="shared" si="16"/>
        <v>"%USERPROFILE%\Documents\GitHub\eaglep3\Utilities\RefineRTDCRunTimes.py" --tripid 154-20 --locoid 4004 --swversion DE.1.0.7.0 --startMP 204:232978 --initTime 2016-09-20T11:04:56 --startdatetime 2016-09-20T11:11:21 --delay 1 --endMP 204:158 --enddatetime 2016-09-20T11:51:19 --enforcementcount 0 &gt;&gt;C:\Users\stu\Documents\GitHub\eaglep3-reporting\EC\2016-09-20-refined-times.txt</v>
      </c>
      <c r="AI66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ID","value":"154-20"},{"id":16,"name":"Locomotive ID","value":"4004"},{"id":130,"name":"Impact","value":""},{"id":150,"name":"Time of Event (Mountain Time)","value":"11:51:19"},{"id":151,"name":"Denver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452</v>
      </c>
      <c r="B67" s="7">
        <v>4018</v>
      </c>
      <c r="C67" s="24" t="s">
        <v>106</v>
      </c>
      <c r="D67" s="24" t="s">
        <v>334</v>
      </c>
      <c r="E67" s="15">
        <v>42633.433807870373</v>
      </c>
      <c r="F67" s="15">
        <v>42633.437719907408</v>
      </c>
      <c r="G67" s="7">
        <v>1</v>
      </c>
      <c r="H67" s="15" t="s">
        <v>634</v>
      </c>
      <c r="I67" s="15">
        <v>42633.462731481479</v>
      </c>
      <c r="J67" s="7">
        <v>0</v>
      </c>
      <c r="K67" s="121" t="str">
        <f t="shared" si="0"/>
        <v>4017/4018</v>
      </c>
      <c r="L67" s="24" t="str">
        <f>VLOOKUP(A67,'Trips&amp;Operators'!$C$1:$E$10000,3,FALSE)</f>
        <v>STARKS</v>
      </c>
      <c r="M67" s="6">
        <f t="shared" si="1"/>
        <v>2.5011574070958886E-2</v>
      </c>
      <c r="N67" s="7">
        <f t="shared" si="2"/>
        <v>36.016666662180796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09:24:41-0600',mode:absolute,to:'2016-09-20 12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7" s="54" t="str">
        <f t="shared" si="6"/>
        <v>N</v>
      </c>
      <c r="X67" s="168">
        <f t="shared" si="19"/>
        <v>1</v>
      </c>
      <c r="Y67" s="69">
        <f t="shared" si="7"/>
        <v>4.4400000000000002E-2</v>
      </c>
      <c r="Z67" s="69">
        <f t="shared" si="8"/>
        <v>23.3306</v>
      </c>
      <c r="AA67" s="69">
        <f t="shared" si="9"/>
        <v>23.286200000000001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0"/>
        <v>0155-20</v>
      </c>
      <c r="AE67" s="99" t="str">
        <f t="shared" si="11"/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67" s="96" t="str">
        <f t="shared" si="12"/>
        <v>"C:\Program Files (x86)\AstroGrep\AstroGrep.exe" /spath="%USERPROFILE%\AppData\Local\Temp\OnboardLogs" /stypes="app*4018*20160920*" /stext=" 17:.+((SYSTEM_STATE.+slice.+state.+changed )|(ment ac)|(system.+state.+changed )|(\|lc)|(penalty)|(\[timeout)|(PRM\|1\|D)|(kpr)|(kdp))" /e /r /s</v>
      </c>
      <c r="AG67" s="1" t="str">
        <f t="shared" si="13"/>
        <v>EC</v>
      </c>
      <c r="AH67" s="100" t="str">
        <f t="shared" si="16"/>
        <v>"%USERPROFILE%\Documents\GitHub\eaglep3\Utilities\RefineRTDCRunTimes.py" --tripid 155-20 --locoid 4018 --swversion DE.1.0.7.0 --startMP 204:444 --initTime 2016-09-20T10:24:41 --startdatetime 2016-09-20T10:30:19 --delay 1 --endMP 204:233306 --enddatetime 2016-09-20T11:06:20 --enforcementcount 0 &gt;&gt;C:\Users\stu\Documents\GitHub\eaglep3-reporting\EC\2016-09-20-refined-times.txt</v>
      </c>
      <c r="AI67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{"issue":{"subject":"","project_id":79,"tracker_id":40,"status_id":1,"priority_id":2,"assigned_to_id":23,"start_date":"2016-09-20","description":"","custom_fields":[{"id":1,"name":"Subdivision","value":"EC"},{"id":4,"name":"Milepost","value":"23.3306"},{"id":17,"name":"Train ID","value":"155-20"},{"id":16,"name":"Locomotive ID","value":"4018"},{"id":130,"name":"Impact","value":""},{"id":150,"name":"Time of Event (Mountain Time)","value":"11:06:20"},{"id":151,"name":"Denver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463</v>
      </c>
      <c r="B68" s="7">
        <v>4017</v>
      </c>
      <c r="C68" s="24" t="s">
        <v>106</v>
      </c>
      <c r="D68" s="24" t="s">
        <v>617</v>
      </c>
      <c r="E68" s="15">
        <v>42633.47451388889</v>
      </c>
      <c r="F68" s="15">
        <v>42633.476550925923</v>
      </c>
      <c r="G68" s="7">
        <v>1</v>
      </c>
      <c r="H68" s="15" t="s">
        <v>235</v>
      </c>
      <c r="I68" s="15">
        <v>42633.504675925928</v>
      </c>
      <c r="J68" s="7">
        <v>0</v>
      </c>
      <c r="K68" s="121" t="str">
        <f t="shared" si="0"/>
        <v>4017/4018</v>
      </c>
      <c r="L68" s="24" t="str">
        <f>VLOOKUP(A68,'Trips&amp;Operators'!$C$1:$E$10000,3,FALSE)</f>
        <v>STARKS</v>
      </c>
      <c r="M68" s="6">
        <f t="shared" si="1"/>
        <v>2.8125000004365575E-2</v>
      </c>
      <c r="N68" s="7">
        <f t="shared" si="2"/>
        <v>40.500000006286427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10:23:18-0600',mode:absolute,to:'2016-09-20 13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8" s="54" t="str">
        <f t="shared" si="6"/>
        <v>N</v>
      </c>
      <c r="X68" s="168">
        <f t="shared" si="19"/>
        <v>1</v>
      </c>
      <c r="Y68" s="69">
        <f t="shared" si="7"/>
        <v>23.298300000000001</v>
      </c>
      <c r="Z68" s="69">
        <f t="shared" si="8"/>
        <v>1.38E-2</v>
      </c>
      <c r="AA68" s="69">
        <f t="shared" si="9"/>
        <v>23.284500000000001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10"/>
        <v>0156-20</v>
      </c>
      <c r="AE68" s="99" t="str">
        <f t="shared" si="11"/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68" s="96" t="str">
        <f t="shared" si="12"/>
        <v>"C:\Program Files (x86)\AstroGrep\AstroGrep.exe" /spath="%USERPROFILE%\AppData\Local\Temp\OnboardLogs" /stypes="app*4017*20160920*" /stext=" 18:.+((SYSTEM_STATE.+slice.+state.+changed )|(ment ac)|(system.+state.+changed )|(\|lc)|(penalty)|(\[timeout)|(PRM\|1\|D)|(kpr)|(kdp))" /e /r /s</v>
      </c>
      <c r="AG68" s="1" t="str">
        <f t="shared" si="13"/>
        <v>EC</v>
      </c>
      <c r="AH68" s="100" t="str">
        <f t="shared" si="16"/>
        <v>"%USERPROFILE%\Documents\GitHub\eaglep3\Utilities\RefineRTDCRunTimes.py" --tripid 156-20 --locoid 4017 --swversion DE.1.0.7.0 --startMP 204:232983 --initTime 2016-09-20T11:23:18 --startdatetime 2016-09-20T11:26:14 --delay 1 --endMP 204:138 --enddatetime 2016-09-20T12:06:44 --enforcementcount 0 &gt;&gt;C:\Users\stu\Documents\GitHub\eaglep3-reporting\EC\2016-09-20-refined-times.txt</v>
      </c>
      <c r="AI68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{"issue":{"subject":"","project_id":79,"tracker_id":40,"status_id":1,"priority_id":2,"assigned_to_id":23,"start_date":"2016-09-20","description":"","custom_fields":[{"id":1,"name":"Subdivision","value":"EC"},{"id":4,"name":"Milepost","value":"0.0138"},{"id":17,"name":"Train ID","value":"156-20"},{"id":16,"name":"Locomotive ID","value":"4017"},{"id":130,"name":"Impact","value":""},{"id":150,"name":"Time of Event (Mountain Time)","value":"12:06:44"},{"id":151,"name":"Denver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455</v>
      </c>
      <c r="B69" s="7">
        <v>4025</v>
      </c>
      <c r="C69" s="24" t="s">
        <v>106</v>
      </c>
      <c r="D69" s="24" t="s">
        <v>225</v>
      </c>
      <c r="E69" s="15">
        <v>42633.443692129629</v>
      </c>
      <c r="F69" s="15">
        <v>42633.448206018518</v>
      </c>
      <c r="G69" s="7">
        <v>1</v>
      </c>
      <c r="H69" s="15" t="s">
        <v>260</v>
      </c>
      <c r="I69" s="15">
        <v>42633.474004629628</v>
      </c>
      <c r="J69" s="7">
        <v>0</v>
      </c>
      <c r="K69" s="121" t="str">
        <f t="shared" si="0"/>
        <v>4025/4026</v>
      </c>
      <c r="L69" s="24" t="str">
        <f>VLOOKUP(A69,'Trips&amp;Operators'!$C$1:$E$10000,3,FALSE)</f>
        <v>ROCHA</v>
      </c>
      <c r="M69" s="6">
        <f t="shared" si="1"/>
        <v>2.5798611110076308E-2</v>
      </c>
      <c r="N69" s="7">
        <f t="shared" si="2"/>
        <v>37.149999998509884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09:38:55-0600',mode:absolute,to:'2016-09-20 12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9" s="54" t="str">
        <f t="shared" si="6"/>
        <v>N</v>
      </c>
      <c r="X69" s="168">
        <f t="shared" si="19"/>
        <v>1</v>
      </c>
      <c r="Y69" s="69">
        <f t="shared" si="7"/>
        <v>4.6600000000000003E-2</v>
      </c>
      <c r="Z69" s="69">
        <f t="shared" si="8"/>
        <v>23.330300000000001</v>
      </c>
      <c r="AA69" s="69">
        <f t="shared" si="9"/>
        <v>23.2837</v>
      </c>
      <c r="AB69" s="66" t="str">
        <f>VLOOKUP(A69,Enforcements!$C$7:$K$20,8,0)</f>
        <v>Bulletin (2)</v>
      </c>
      <c r="AC69" s="62" t="str">
        <f>VLOOKUP(A69,Enforcements!$C$7:$E$20,3,0)</f>
        <v>GRADE CROSSING</v>
      </c>
      <c r="AD69" s="63" t="str">
        <f t="shared" si="10"/>
        <v>0157-20</v>
      </c>
      <c r="AE69" s="99" t="str">
        <f t="shared" si="11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69" s="96" t="str">
        <f t="shared" si="12"/>
        <v>"C:\Program Files (x86)\AstroGrep\AstroGrep.exe" /spath="%USERPROFILE%\AppData\Local\Temp\OnboardLogs" /stypes="app*4025*20160920*" /stext=" 17:.+((SYSTEM_STATE.+slice.+state.+changed )|(ment ac)|(system.+state.+changed )|(\|lc)|(penalty)|(\[timeout)|(PRM\|1\|D)|(kpr)|(kdp))" /e /r /s</v>
      </c>
      <c r="AG69" s="1" t="str">
        <f t="shared" si="13"/>
        <v>EC</v>
      </c>
      <c r="AH69" s="100" t="str">
        <f t="shared" si="16"/>
        <v>"%USERPROFILE%\Documents\GitHub\eaglep3\Utilities\RefineRTDCRunTimes.py" --tripid 157-20 --locoid 4025 --swversion DE.1.0.7.0 --startMP 204:466 --initTime 2016-09-20T10:38:55 --startdatetime 2016-09-20T10:45:25 --delay 1 --endMP 204:233303 --enddatetime 2016-09-20T11:22:34 --enforcementcount 0 &gt;&gt;C:\Users\stu\Documents\GitHub\eaglep3-reporting\EC\2016-09-20-refined-times.txt</v>
      </c>
      <c r="AI69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{"issue":{"subject":"","project_id":79,"tracker_id":40,"status_id":1,"priority_id":2,"assigned_to_id":23,"start_date":"2016-09-20","description":"","custom_fields":[{"id":1,"name":"Subdivision","value":"EC"},{"id":4,"name":"Milepost","value":"23.3303"},{"id":17,"name":"Train ID","value":"157-20"},{"id":16,"name":"Locomotive ID","value":"4025"},{"id":130,"name":"Impact","value":""},{"id":150,"name":"Time of Event (Mountain Time)","value":"11:22:34"},{"id":151,"name":"Denver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465</v>
      </c>
      <c r="B70" s="7">
        <v>4026</v>
      </c>
      <c r="C70" s="24" t="s">
        <v>106</v>
      </c>
      <c r="D70" s="24" t="s">
        <v>306</v>
      </c>
      <c r="E70" s="15">
        <v>42633.479583333334</v>
      </c>
      <c r="F70" s="15">
        <v>42633.487037037034</v>
      </c>
      <c r="G70" s="7">
        <v>1</v>
      </c>
      <c r="H70" s="15" t="s">
        <v>336</v>
      </c>
      <c r="I70" s="15">
        <v>42633.515451388892</v>
      </c>
      <c r="J70" s="7">
        <v>0</v>
      </c>
      <c r="K70" s="121" t="str">
        <f t="shared" si="0"/>
        <v>4025/4026</v>
      </c>
      <c r="L70" s="24" t="str">
        <f>VLOOKUP(A70,'Trips&amp;Operators'!$C$1:$E$10000,3,FALSE)</f>
        <v>ROCHA</v>
      </c>
      <c r="M70" s="6">
        <f t="shared" si="1"/>
        <v>2.8414351858373266E-2</v>
      </c>
      <c r="N70" s="7">
        <f t="shared" si="2"/>
        <v>40.916666676057503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10:30:36-0600',mode:absolute,to:'2016-09-20 13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0" s="54" t="str">
        <f t="shared" si="6"/>
        <v>N</v>
      </c>
      <c r="X70" s="168">
        <f t="shared" si="19"/>
        <v>1</v>
      </c>
      <c r="Y70" s="69">
        <f t="shared" si="7"/>
        <v>23.2988</v>
      </c>
      <c r="Z70" s="69">
        <f t="shared" si="8"/>
        <v>1.41E-2</v>
      </c>
      <c r="AA70" s="69">
        <f t="shared" si="9"/>
        <v>23.284700000000001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0"/>
        <v>0158-20</v>
      </c>
      <c r="AE70" s="99" t="str">
        <f t="shared" si="11"/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70" s="96" t="str">
        <f t="shared" si="12"/>
        <v>"C:\Program Files (x86)\AstroGrep\AstroGrep.exe" /spath="%USERPROFILE%\AppData\Local\Temp\OnboardLogs" /stypes="app*4026*20160920*" /stext=" 18:.+((SYSTEM_STATE.+slice.+state.+changed )|(ment ac)|(system.+state.+changed )|(\|lc)|(penalty)|(\[timeout)|(PRM\|1\|D)|(kpr)|(kdp))" /e /r /s</v>
      </c>
      <c r="AG70" s="1" t="str">
        <f t="shared" si="13"/>
        <v>EC</v>
      </c>
      <c r="AH70" s="100" t="str">
        <f t="shared" si="16"/>
        <v>"%USERPROFILE%\Documents\GitHub\eaglep3\Utilities\RefineRTDCRunTimes.py" --tripid 158-20 --locoid 4026 --swversion DE.1.0.7.0 --startMP 204:232988 --initTime 2016-09-20T11:30:36 --startdatetime 2016-09-20T11:41:20 --delay 1 --endMP 204:141 --enddatetime 2016-09-20T12:22:15 --enforcementcount 0 &gt;&gt;C:\Users\stu\Documents\GitHub\eaglep3-reporting\EC\2016-09-20-refined-times.txt</v>
      </c>
      <c r="AI70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{"issue":{"subject":"","project_id":79,"tracker_id":40,"status_id":1,"priority_id":2,"assigned_to_id":23,"start_date":"2016-09-20","description":"","custom_fields":[{"id":1,"name":"Subdivision","value":"EC"},{"id":4,"name":"Milepost","value":"0.0141"},{"id":17,"name":"Train ID","value":"158-20"},{"id":16,"name":"Locomotive ID","value":"4026"},{"id":130,"name":"Impact","value":""},{"id":150,"name":"Time of Event (Mountain Time)","value":"12:22:15"},{"id":151,"name":"Denver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457</v>
      </c>
      <c r="B71" s="7">
        <v>4009</v>
      </c>
      <c r="C71" s="24" t="s">
        <v>106</v>
      </c>
      <c r="D71" s="24" t="s">
        <v>307</v>
      </c>
      <c r="E71" s="15">
        <v>42633.453958333332</v>
      </c>
      <c r="F71" s="15">
        <v>42633.459155092591</v>
      </c>
      <c r="G71" s="7">
        <v>1</v>
      </c>
      <c r="H71" s="15" t="s">
        <v>641</v>
      </c>
      <c r="I71" s="15">
        <v>42633.483900462961</v>
      </c>
      <c r="J71" s="7">
        <v>0</v>
      </c>
      <c r="K71" s="121" t="str">
        <f t="shared" si="0"/>
        <v>4009/4010</v>
      </c>
      <c r="L71" s="24" t="str">
        <f>VLOOKUP(A71,'Trips&amp;Operators'!$C$1:$E$10000,3,FALSE)</f>
        <v>BARTLETT</v>
      </c>
      <c r="M71" s="6">
        <f t="shared" si="1"/>
        <v>2.47453703705105E-2</v>
      </c>
      <c r="N71" s="7">
        <f t="shared" si="2"/>
        <v>35.63333333353512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09:53:42-0600',mode:absolute,to:'2016-09-20 12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1" s="54" t="str">
        <f t="shared" si="6"/>
        <v>N</v>
      </c>
      <c r="X71" s="168">
        <f t="shared" si="19"/>
        <v>1</v>
      </c>
      <c r="Y71" s="69">
        <f t="shared" si="7"/>
        <v>4.7300000000000002E-2</v>
      </c>
      <c r="Z71" s="69">
        <f t="shared" si="8"/>
        <v>23.334599999999998</v>
      </c>
      <c r="AA71" s="69">
        <f t="shared" si="9"/>
        <v>23.287299999999998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0"/>
        <v>0159-20</v>
      </c>
      <c r="AE71" s="99" t="str">
        <f t="shared" si="11"/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71" s="96" t="str">
        <f t="shared" si="12"/>
        <v>"C:\Program Files (x86)\AstroGrep\AstroGrep.exe" /spath="%USERPROFILE%\AppData\Local\Temp\OnboardLogs" /stypes="app*4009*20160920*" /stext=" 17:.+((SYSTEM_STATE.+slice.+state.+changed )|(ment ac)|(system.+state.+changed )|(\|lc)|(penalty)|(\[timeout)|(PRM\|1\|D)|(kpr)|(kdp))" /e /r /s</v>
      </c>
      <c r="AG71" s="1" t="str">
        <f t="shared" si="13"/>
        <v>EC</v>
      </c>
      <c r="AH71" s="100" t="str">
        <f t="shared" si="16"/>
        <v>"%USERPROFILE%\Documents\GitHub\eaglep3\Utilities\RefineRTDCRunTimes.py" --tripid 159-20 --locoid 4009 --swversion DE.1.0.7.0 --startMP 204:473 --initTime 2016-09-20T10:53:42 --startdatetime 2016-09-20T11:01:11 --delay 1 --endMP 204:233346 --enddatetime 2016-09-20T11:36:49 --enforcementcount 0 &gt;&gt;C:\Users\stu\Documents\GitHub\eaglep3-reporting\EC\2016-09-20-refined-times.txt</v>
      </c>
      <c r="AI71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{"issue":{"subject":"","project_id":79,"tracker_id":40,"status_id":1,"priority_id":2,"assigned_to_id":23,"start_date":"2016-09-20","description":"","custom_fields":[{"id":1,"name":"Subdivision","value":"EC"},{"id":4,"name":"Milepost","value":"23.3346"},{"id":17,"name":"Train ID","value":"159-20"},{"id":16,"name":"Locomotive ID","value":"4009"},{"id":130,"name":"Impact","value":""},{"id":150,"name":"Time of Event (Mountain Time)","value":"11:36:49"},{"id":151,"name":"Denver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468</v>
      </c>
      <c r="B72" s="7">
        <v>4010</v>
      </c>
      <c r="C72" s="24" t="s">
        <v>106</v>
      </c>
      <c r="D72" s="24" t="s">
        <v>642</v>
      </c>
      <c r="E72" s="15">
        <v>42633.486446759256</v>
      </c>
      <c r="F72" s="15">
        <v>42633.497476851851</v>
      </c>
      <c r="G72" s="7">
        <v>1</v>
      </c>
      <c r="H72" s="15" t="s">
        <v>215</v>
      </c>
      <c r="I72" s="15">
        <v>42633.528726851851</v>
      </c>
      <c r="J72" s="7">
        <v>0</v>
      </c>
      <c r="K72" s="121" t="str">
        <f t="shared" si="0"/>
        <v>4009/4010</v>
      </c>
      <c r="L72" s="24" t="str">
        <f>VLOOKUP(A72,'Trips&amp;Operators'!$C$1:$E$10000,3,FALSE)</f>
        <v>BARTLETT</v>
      </c>
      <c r="M72" s="6">
        <f t="shared" si="1"/>
        <v>3.125E-2</v>
      </c>
      <c r="N72" s="7">
        <f t="shared" si="2"/>
        <v>45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10:40:29-0600',mode:absolute,to:'2016-09-20 13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2" s="54" t="str">
        <f t="shared" si="6"/>
        <v>N</v>
      </c>
      <c r="X72" s="168">
        <f t="shared" si="19"/>
        <v>1</v>
      </c>
      <c r="Y72" s="69">
        <f t="shared" si="7"/>
        <v>23.303000000000001</v>
      </c>
      <c r="Z72" s="69">
        <f t="shared" si="8"/>
        <v>1.6299999999999999E-2</v>
      </c>
      <c r="AA72" s="69">
        <f t="shared" si="9"/>
        <v>23.2867</v>
      </c>
      <c r="AB72" s="66" t="str">
        <f>VLOOKUP(A72,Enforcements!$C$7:$K$20,8,0)</f>
        <v>Bulletin (2)</v>
      </c>
      <c r="AC72" s="62" t="str">
        <f>VLOOKUP(A72,Enforcements!$C$7:$E$20,3,0)</f>
        <v>GRADE CROSSING</v>
      </c>
      <c r="AD72" s="63" t="str">
        <f t="shared" si="10"/>
        <v>0160-20</v>
      </c>
      <c r="AE72" s="99" t="str">
        <f t="shared" si="11"/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72" s="96" t="str">
        <f t="shared" si="12"/>
        <v>"C:\Program Files (x86)\AstroGrep\AstroGrep.exe" /spath="%USERPROFILE%\AppData\Local\Temp\OnboardLogs" /stypes="app*4010*20160920*" /stext=" 18:.+((SYSTEM_STATE.+slice.+state.+changed )|(ment ac)|(system.+state.+changed )|(\|lc)|(penalty)|(\[timeout)|(PRM\|1\|D)|(kpr)|(kdp))" /e /r /s</v>
      </c>
      <c r="AG72" s="1" t="str">
        <f t="shared" si="13"/>
        <v>EC</v>
      </c>
      <c r="AH72" s="100" t="str">
        <f t="shared" si="16"/>
        <v>"%USERPROFILE%\Documents\GitHub\eaglep3\Utilities\RefineRTDCRunTimes.py" --tripid 160-20 --locoid 4010 --swversion DE.1.0.7.0 --startMP 204:233030 --initTime 2016-09-20T11:40:29 --startdatetime 2016-09-20T11:56:22 --delay 1 --endMP 204:163 --enddatetime 2016-09-20T12:41:22 --enforcementcount 0 &gt;&gt;C:\Users\stu\Documents\GitHub\eaglep3-reporting\EC\2016-09-20-refined-times.txt</v>
      </c>
      <c r="AI72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{"issue":{"subject":"","project_id":79,"tracker_id":40,"status_id":1,"priority_id":2,"assigned_to_id":23,"start_date":"2016-09-20","description":"","custom_fields":[{"id":1,"name":"Subdivision","value":"EC"},{"id":4,"name":"Milepost","value":"0.0163"},{"id":17,"name":"Train ID","value":"160-20"},{"id":16,"name":"Locomotive ID","value":"4010"},{"id":130,"name":"Impact","value":""},{"id":150,"name":"Time of Event (Mountain Time)","value":"12:41:22"},{"id":151,"name":"Denver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459</v>
      </c>
      <c r="B73" s="7">
        <v>4014</v>
      </c>
      <c r="C73" s="24" t="s">
        <v>106</v>
      </c>
      <c r="D73" s="24" t="s">
        <v>216</v>
      </c>
      <c r="E73" s="15">
        <v>42633.466782407406</v>
      </c>
      <c r="F73" s="15">
        <v>42633.468993055554</v>
      </c>
      <c r="G73" s="7">
        <v>2</v>
      </c>
      <c r="H73" s="15" t="s">
        <v>643</v>
      </c>
      <c r="I73" s="15">
        <v>42633.494467592594</v>
      </c>
      <c r="J73" s="7">
        <v>0</v>
      </c>
      <c r="K73" s="121" t="str">
        <f t="shared" si="0"/>
        <v>4013/4014</v>
      </c>
      <c r="L73" s="24" t="str">
        <f>VLOOKUP(A73,'Trips&amp;Operators'!$C$1:$E$10000,3,FALSE)</f>
        <v>STEWART</v>
      </c>
      <c r="M73" s="6">
        <f t="shared" si="1"/>
        <v>2.5474537040281575E-2</v>
      </c>
      <c r="N73" s="7">
        <f t="shared" si="2"/>
        <v>36.683333338005468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10:12:10-0600',mode:absolute,to:'2016-09-20 12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3" s="54" t="str">
        <f t="shared" si="6"/>
        <v>N</v>
      </c>
      <c r="X73" s="168">
        <f t="shared" si="19"/>
        <v>1</v>
      </c>
      <c r="Y73" s="69">
        <f t="shared" si="7"/>
        <v>4.7100000000000003E-2</v>
      </c>
      <c r="Z73" s="69">
        <f t="shared" si="8"/>
        <v>23.320699999999999</v>
      </c>
      <c r="AA73" s="69">
        <f t="shared" si="9"/>
        <v>23.273599999999998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10"/>
        <v>0161-20</v>
      </c>
      <c r="AE73" s="99" t="str">
        <f t="shared" si="11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73" s="96" t="str">
        <f t="shared" si="12"/>
        <v>"C:\Program Files (x86)\AstroGrep\AstroGrep.exe" /spath="%USERPROFILE%\AppData\Local\Temp\OnboardLogs" /stypes="app*4014*20160920*" /stext=" 17:.+((SYSTEM_STATE.+slice.+state.+changed )|(ment ac)|(system.+state.+changed )|(\|lc)|(penalty)|(\[timeout)|(PRM\|1\|D)|(kpr)|(kdp))" /e /r /s</v>
      </c>
      <c r="AG73" s="1" t="str">
        <f t="shared" si="13"/>
        <v>EC</v>
      </c>
      <c r="AH73" s="100" t="str">
        <f t="shared" si="16"/>
        <v>"%USERPROFILE%\Documents\GitHub\eaglep3\Utilities\RefineRTDCRunTimes.py" --tripid 161-20 --locoid 4014 --swversion DE.1.0.7.0 --startMP 204:471 --initTime 2016-09-20T11:12:10 --startdatetime 2016-09-20T11:15:21 --delay 2 --endMP 204:233207 --enddatetime 2016-09-20T11:52:02 --enforcementcount 0 &gt;&gt;C:\Users\stu\Documents\GitHub\eaglep3-reporting\EC\2016-09-20-refined-times.txt</v>
      </c>
      <c r="AI73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{"issue":{"subject":"","project_id":79,"tracker_id":40,"status_id":1,"priority_id":2,"assigned_to_id":23,"start_date":"2016-09-20","description":"","custom_fields":[{"id":1,"name":"Subdivision","value":"EC"},{"id":4,"name":"Milepost","value":"23.3207"},{"id":17,"name":"Train ID","value":"161-20"},{"id":16,"name":"Locomotive ID","value":"4014"},{"id":130,"name":"Impact","value":""},{"id":150,"name":"Time of Event (Mountain Time)","value":"11:52:02"},{"id":151,"name":"Denver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473</v>
      </c>
      <c r="B74" s="7">
        <v>4013</v>
      </c>
      <c r="C74" s="24" t="s">
        <v>106</v>
      </c>
      <c r="D74" s="24" t="s">
        <v>351</v>
      </c>
      <c r="E74" s="15">
        <v>42633.50513888889</v>
      </c>
      <c r="F74" s="15">
        <v>42633.507870370369</v>
      </c>
      <c r="G74" s="7">
        <v>2</v>
      </c>
      <c r="H74" s="15" t="s">
        <v>644</v>
      </c>
      <c r="I74" s="15">
        <v>42633.535381944443</v>
      </c>
      <c r="J74" s="7">
        <v>0</v>
      </c>
      <c r="K74" s="121" t="str">
        <f t="shared" si="0"/>
        <v>4013/4014</v>
      </c>
      <c r="L74" s="24" t="str">
        <f>VLOOKUP(A74,'Trips&amp;Operators'!$C$1:$E$10000,3,FALSE)</f>
        <v>STEWART</v>
      </c>
      <c r="M74" s="6">
        <f t="shared" si="1"/>
        <v>2.7511574073287193E-2</v>
      </c>
      <c r="N74" s="7">
        <f t="shared" si="2"/>
        <v>39.616666665533558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11:07:24-0600',mode:absolute,to:'2016-09-20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4" s="54" t="str">
        <f t="shared" si="6"/>
        <v>N</v>
      </c>
      <c r="X74" s="168">
        <f t="shared" si="19"/>
        <v>1</v>
      </c>
      <c r="Y74" s="69">
        <f t="shared" si="7"/>
        <v>23.289400000000001</v>
      </c>
      <c r="Z74" s="69">
        <f t="shared" si="8"/>
        <v>1.7399999999999999E-2</v>
      </c>
      <c r="AA74" s="69">
        <f t="shared" si="9"/>
        <v>23.272000000000002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0"/>
        <v>0162-20</v>
      </c>
      <c r="AE74" s="99" t="str">
        <f t="shared" si="11"/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74" s="96" t="str">
        <f t="shared" si="12"/>
        <v>"C:\Program Files (x86)\AstroGrep\AstroGrep.exe" /spath="%USERPROFILE%\AppData\Local\Temp\OnboardLogs" /stypes="app*4013*20160920*" /stext=" 18:.+((SYSTEM_STATE.+slice.+state.+changed )|(ment ac)|(system.+state.+changed )|(\|lc)|(penalty)|(\[timeout)|(PRM\|1\|D)|(kpr)|(kdp))" /e /r /s</v>
      </c>
      <c r="AG74" s="1" t="str">
        <f t="shared" si="13"/>
        <v>EC</v>
      </c>
      <c r="AH74" s="100" t="str">
        <f t="shared" si="16"/>
        <v>"%USERPROFILE%\Documents\GitHub\eaglep3\Utilities\RefineRTDCRunTimes.py" --tripid 162-20 --locoid 4013 --swversion DE.1.0.7.0 --startMP 204:232894 --initTime 2016-09-20T12:07:24 --startdatetime 2016-09-20T12:11:20 --delay 2 --endMP 204:174 --enddatetime 2016-09-20T12:50:57 --enforcementcount 0 &gt;&gt;C:\Users\stu\Documents\GitHub\eaglep3-reporting\EC\2016-09-20-refined-times.txt</v>
      </c>
      <c r="AI74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{"issue":{"subject":"","project_id":79,"tracker_id":40,"status_id":1,"priority_id":2,"assigned_to_id":23,"start_date":"2016-09-20","description":"","custom_fields":[{"id":1,"name":"Subdivision","value":"EC"},{"id":4,"name":"Milepost","value":"0.0174"},{"id":17,"name":"Train ID","value":"162-20"},{"id":16,"name":"Locomotive ID","value":"4013"},{"id":130,"name":"Impact","value":""},{"id":150,"name":"Time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464</v>
      </c>
      <c r="B75" s="7">
        <v>4011</v>
      </c>
      <c r="C75" s="24" t="s">
        <v>106</v>
      </c>
      <c r="D75" s="24" t="s">
        <v>282</v>
      </c>
      <c r="E75" s="15">
        <v>42633.479328703703</v>
      </c>
      <c r="F75" s="15">
        <v>42633.481180555558</v>
      </c>
      <c r="G75" s="7">
        <v>2</v>
      </c>
      <c r="H75" s="15" t="s">
        <v>344</v>
      </c>
      <c r="I75" s="15">
        <v>42633.507569444446</v>
      </c>
      <c r="J75" s="7">
        <v>0</v>
      </c>
      <c r="K75" s="121" t="str">
        <f t="shared" si="0"/>
        <v>4011/4012</v>
      </c>
      <c r="L75" s="24" t="str">
        <f>VLOOKUP(A75,'Trips&amp;Operators'!$C$1:$E$10000,3,FALSE)</f>
        <v>DELGADO</v>
      </c>
      <c r="M75" s="6">
        <f t="shared" si="1"/>
        <v>2.6388888887595385E-2</v>
      </c>
      <c r="N75" s="7">
        <f t="shared" si="2"/>
        <v>37.999999998137355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10:30:14-0600',mode:absolute,to:'2016-09-20 13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5" s="54" t="str">
        <f t="shared" si="6"/>
        <v>N</v>
      </c>
      <c r="X75" s="168">
        <f t="shared" si="19"/>
        <v>1</v>
      </c>
      <c r="Y75" s="69">
        <f t="shared" si="7"/>
        <v>4.3999999999999997E-2</v>
      </c>
      <c r="Z75" s="69">
        <f t="shared" si="8"/>
        <v>23.325099999999999</v>
      </c>
      <c r="AA75" s="69">
        <f t="shared" si="9"/>
        <v>23.281099999999999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10"/>
        <v>0163-20</v>
      </c>
      <c r="AE75" s="99" t="str">
        <f t="shared" si="11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75" s="96" t="str">
        <f t="shared" si="12"/>
        <v>"C:\Program Files (x86)\AstroGrep\AstroGrep.exe" /spath="%USERPROFILE%\AppData\Local\Temp\OnboardLogs" /stypes="app*4011*20160920*" /stext=" 18:.+((SYSTEM_STATE.+slice.+state.+changed )|(ment ac)|(system.+state.+changed )|(\|lc)|(penalty)|(\[timeout)|(PRM\|1\|D)|(kpr)|(kdp))" /e /r /s</v>
      </c>
      <c r="AG75" s="1" t="str">
        <f t="shared" si="13"/>
        <v>EC</v>
      </c>
      <c r="AH75" s="100" t="str">
        <f t="shared" si="16"/>
        <v>"%USERPROFILE%\Documents\GitHub\eaglep3\Utilities\RefineRTDCRunTimes.py" --tripid 163-20 --locoid 4011 --swversion DE.1.0.7.0 --startMP 204:440 --initTime 2016-09-20T11:30:14 --startdatetime 2016-09-20T11:32:54 --delay 2 --endMP 204:233251 --enddatetime 2016-09-20T12:10:54 --enforcementcount 0 &gt;&gt;C:\Users\stu\Documents\GitHub\eaglep3-reporting\EC\2016-09-20-refined-times.txt</v>
      </c>
      <c r="AI75" s="134" t="str">
        <f t="shared" si="17"/>
        <v>echo {"issue":{"subject":"","project_id":79,"tracker_id":40,"status_id":1,"priority_id":2,"assigned_to_id":23,"start_date":"2016-09-20","description":"","custom_fields":[{"id":1,"name":"Subdivision","value":"EC"},{"id":4,"name":"Milepost","value":"23.3251"},{"id":17,"name":"Train ID","value":"163-20"},{"id":16,"name":"Locomotive ID","value":"4011"},{"id":130,"name":"Impact","value":""},{"id":150,"name":"Time of Event (Mountain Time)","value":"12:10:54"},{"id":151,"name":"Denver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476</v>
      </c>
      <c r="B76" s="7">
        <v>4012</v>
      </c>
      <c r="C76" s="24" t="s">
        <v>106</v>
      </c>
      <c r="D76" s="24" t="s">
        <v>293</v>
      </c>
      <c r="E76" s="15">
        <v>42633.512731481482</v>
      </c>
      <c r="F76" s="15">
        <v>42633.518263888887</v>
      </c>
      <c r="G76" s="7">
        <v>3</v>
      </c>
      <c r="H76" s="15" t="s">
        <v>259</v>
      </c>
      <c r="I76" s="15">
        <v>42633.54787037037</v>
      </c>
      <c r="J76" s="7">
        <v>0</v>
      </c>
      <c r="K76" s="121" t="str">
        <f t="shared" si="0"/>
        <v>4011/4012</v>
      </c>
      <c r="L76" s="24" t="str">
        <f>VLOOKUP(A76,'Trips&amp;Operators'!$C$1:$E$10000,3,FALSE)</f>
        <v>HELVIE</v>
      </c>
      <c r="M76" s="6">
        <f t="shared" si="1"/>
        <v>2.9606481482915115E-2</v>
      </c>
      <c r="N76" s="7">
        <f t="shared" si="2"/>
        <v>42.633333335397765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https://search-rtdc-monitor-bjffxe2xuh6vdkpspy63sjmuny.us-east-1.es.amazonaws.com/_plugin/kibana/#/discover/Steve-Slow-Train-Analysis-(2080s-and-2083s)?_g=(refreshInterval:(display:Off,section:0,value:0),time:(from:'2016-09-20 11:18:20-0600',mode:absolute,to:'2016-09-20 14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6" s="54" t="str">
        <f t="shared" si="6"/>
        <v>N</v>
      </c>
      <c r="X76" s="168">
        <f t="shared" si="19"/>
        <v>1</v>
      </c>
      <c r="Y76" s="69">
        <f t="shared" si="7"/>
        <v>23.2942</v>
      </c>
      <c r="Z76" s="69">
        <f t="shared" si="8"/>
        <v>1.61E-2</v>
      </c>
      <c r="AA76" s="69">
        <f t="shared" si="9"/>
        <v>23.278099999999998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10"/>
        <v>0164-20</v>
      </c>
      <c r="AE76" s="99" t="str">
        <f t="shared" si="11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76" s="96" t="str">
        <f t="shared" si="12"/>
        <v>"C:\Program Files (x86)\AstroGrep\AstroGrep.exe" /spath="%USERPROFILE%\AppData\Local\Temp\OnboardLogs" /stypes="app*4012*20160920*" /stext=" 19:.+((SYSTEM_STATE.+slice.+state.+changed )|(ment ac)|(system.+state.+changed )|(\|lc)|(penalty)|(\[timeout)|(PRM\|1\|D)|(kpr)|(kdp))" /e /r /s</v>
      </c>
      <c r="AG76" s="1" t="str">
        <f t="shared" si="13"/>
        <v>EC</v>
      </c>
      <c r="AH76" s="100" t="str">
        <f t="shared" ref="AH76:AH139" si="20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164-20 --locoid 4012 --swversion DE.1.0.7.0 --startMP 204:232942 --initTime 2016-09-20T12:18:20 --startdatetime 2016-09-20T12:26:18 --delay 3 --endMP 204:161 --enddatetime 2016-09-20T13:08:56 --enforcementcount 0 &gt;&gt;C:\Users\stu\Documents\GitHub\eaglep3-reporting\EC\2016-09-20-refined-times.txt</v>
      </c>
      <c r="AI76" s="134" t="str">
        <f t="shared" ref="AI76:AI139" si="21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{"issue":{"subject":"","project_id":79,"tracker_id":40,"status_id":1,"priority_id":2,"assigned_to_id":23,"start_date":"2016-09-20","description":"","custom_fields":[{"id":1,"name":"Subdivision","value":"EC"},{"id":4,"name":"Milepost","value":"0.0161"},{"id":17,"name":"Train ID","value":"164-20"},{"id":16,"name":"Locomotive ID","value":"4012"},{"id":130,"name":"Impact","value":""},{"id":150,"name":"Time of Event (Mountain Time)","value":"13:08:56"},{"id":151,"name":"Denver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469</v>
      </c>
      <c r="B77" s="7">
        <v>4042</v>
      </c>
      <c r="C77" s="24" t="s">
        <v>106</v>
      </c>
      <c r="D77" s="24" t="s">
        <v>251</v>
      </c>
      <c r="E77" s="15">
        <v>42633.487013888887</v>
      </c>
      <c r="F77" s="15">
        <v>42633.48982638889</v>
      </c>
      <c r="G77" s="7">
        <v>1</v>
      </c>
      <c r="H77" s="15" t="s">
        <v>645</v>
      </c>
      <c r="I77" s="15">
        <v>42633.515057870369</v>
      </c>
      <c r="J77" s="7">
        <v>0</v>
      </c>
      <c r="K77" s="121" t="str">
        <f t="shared" ref="K77:K140" si="22">IF(ISEVEN(B77),(B77-1)&amp;"/"&amp;B77,B77&amp;"/"&amp;(B77+1))</f>
        <v>4041/4042</v>
      </c>
      <c r="L77" s="24" t="str">
        <f>VLOOKUP(A77,'Trips&amp;Operators'!$C$1:$E$10000,3,FALSE)</f>
        <v>LEVIN</v>
      </c>
      <c r="M77" s="6">
        <f t="shared" ref="M77:M140" si="23">I77-F77</f>
        <v>2.5231481478840578E-2</v>
      </c>
      <c r="N77" s="7">
        <f t="shared" ref="N77:N140" si="24">24*60*SUM($M77:$M77)</f>
        <v>36.333333329530433</v>
      </c>
      <c r="O77" s="7"/>
      <c r="P77" s="7"/>
      <c r="Q77" s="25"/>
      <c r="R77" s="25"/>
      <c r="S77" s="37">
        <f t="shared" ref="S77:S140" si="25">SUM(U77:U77)/IF(AG77="EC",12,1)</f>
        <v>1</v>
      </c>
      <c r="T77" s="52" t="str">
        <f t="shared" ref="T77:T140" si="26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https://search-rtdc-monitor-bjffxe2xuh6vdkpspy63sjmuny.us-east-1.es.amazonaws.com/_plugin/kibana/#/discover/Steve-Slow-Train-Analysis-(2080s-and-2083s)?_g=(refreshInterval:(display:Off,section:0,value:0),time:(from:'2016-09-20 10:41:18-0600',mode:absolute,to:'2016-09-20 13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7" s="54" t="str">
        <f t="shared" ref="W77:W140" si="28">IF(AA77&lt;IF(AG77="EC",23,5.65),"Y","N")</f>
        <v>N</v>
      </c>
      <c r="X77" s="168">
        <f t="shared" si="19"/>
        <v>1</v>
      </c>
      <c r="Y77" s="69">
        <f t="shared" ref="Y77:Y140" si="29">RIGHT(D77,LEN(D77)-4)/10000</f>
        <v>4.3700000000000003E-2</v>
      </c>
      <c r="Z77" s="69">
        <f t="shared" ref="Z77:Z140" si="30">RIGHT(H77,LEN(H77)-4)/10000</f>
        <v>23.333200000000001</v>
      </c>
      <c r="AA77" s="69">
        <f t="shared" ref="AA77:AA140" si="31">ABS(Z77-Y77)</f>
        <v>23.2895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40" si="32">IF(LEN(A77)=6,"0"&amp;A77,A77)</f>
        <v>0165-20</v>
      </c>
      <c r="AE77" s="99" t="str">
        <f t="shared" ref="AE77:AE140" si="33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77" s="96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/stypes="app*4042*20160920*" /stext=" 18:.+((SYSTEM_STATE.+slice.+state.+changed )|(ment ac)|(system.+state.+changed )|(\|lc)|(penalty)|(\[timeout)|(PRM\|1\|D)|(kpr)|(kdp))"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100" t="str">
        <f t="shared" si="20"/>
        <v>"%USERPROFILE%\Documents\GitHub\eaglep3\Utilities\RefineRTDCRunTimes.py" --tripid 165-20 --locoid 4042 --swversion DE.1.0.7.0 --startMP 204:437 --initTime 2016-09-20T11:41:18 --startdatetime 2016-09-20T11:45:21 --delay 1 --endMP 204:233332 --enddatetime 2016-09-20T12:21:41 --enforcementcount 0 &gt;&gt;C:\Users\stu\Documents\GitHub\eaglep3-reporting\EC\2016-09-20-refined-times.txt</v>
      </c>
      <c r="AI77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{"issue":{"subject":"","project_id":79,"tracker_id":40,"status_id":1,"priority_id":2,"assigned_to_id":23,"start_date":"2016-09-20","description":"","custom_fields":[{"id":1,"name":"Subdivision","value":"EC"},{"id":4,"name":"Milepost","value":"23.3332"},{"id":17,"name":"Train ID","value":"165-20"},{"id":16,"name":"Locomotive ID","value":"4042"},{"id":130,"name":"Impact","value":""},{"id":150,"name":"Time of Event (Mountain Time)","value":"12:21:41"},{"id":151,"name":"Denver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479</v>
      </c>
      <c r="B78" s="7">
        <v>4041</v>
      </c>
      <c r="C78" s="24" t="s">
        <v>106</v>
      </c>
      <c r="D78" s="24" t="s">
        <v>339</v>
      </c>
      <c r="E78" s="15">
        <v>42633.521006944444</v>
      </c>
      <c r="F78" s="15">
        <v>42633.528703703705</v>
      </c>
      <c r="G78" s="7">
        <v>1</v>
      </c>
      <c r="H78" s="15" t="s">
        <v>217</v>
      </c>
      <c r="I78" s="15">
        <v>42633.555763888886</v>
      </c>
      <c r="J78" s="7">
        <v>0</v>
      </c>
      <c r="K78" s="121" t="str">
        <f t="shared" si="22"/>
        <v>4041/4042</v>
      </c>
      <c r="L78" s="24" t="str">
        <f>VLOOKUP(A78,'Trips&amp;Operators'!$C$1:$E$10000,3,FALSE)</f>
        <v>LEVIN</v>
      </c>
      <c r="M78" s="6">
        <f t="shared" si="23"/>
        <v>2.7060185180744156E-2</v>
      </c>
      <c r="N78" s="7">
        <f t="shared" si="24"/>
        <v>38.966666660271585</v>
      </c>
      <c r="O78" s="7"/>
      <c r="P78" s="7"/>
      <c r="Q78" s="25"/>
      <c r="R78" s="25"/>
      <c r="S78" s="37">
        <f t="shared" si="25"/>
        <v>1</v>
      </c>
      <c r="T78" s="52" t="str">
        <f t="shared" si="26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11:30:15-0600',mode:absolute,to:'2016-09-20 14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8" s="54" t="str">
        <f t="shared" si="28"/>
        <v>N</v>
      </c>
      <c r="X78" s="168">
        <f t="shared" si="19"/>
        <v>1</v>
      </c>
      <c r="Y78" s="69">
        <f t="shared" si="29"/>
        <v>23.296700000000001</v>
      </c>
      <c r="Z78" s="69">
        <f t="shared" si="30"/>
        <v>1.5800000000000002E-2</v>
      </c>
      <c r="AA78" s="69">
        <f t="shared" si="31"/>
        <v>23.280900000000003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32"/>
        <v>0166-20</v>
      </c>
      <c r="AE78" s="99" t="str">
        <f t="shared" si="33"/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78" s="96" t="str">
        <f t="shared" si="34"/>
        <v>"C:\Program Files (x86)\AstroGrep\AstroGrep.exe" /spath="%USERPROFILE%\AppData\Local\Temp\OnboardLogs" /stypes="app*4041*20160920*" /stext=" 19:.+((SYSTEM_STATE.+slice.+state.+changed )|(ment ac)|(system.+state.+changed )|(\|lc)|(penalty)|(\[timeout)|(PRM\|1\|D)|(kpr)|(kdp))" /e /r /s</v>
      </c>
      <c r="AG78" s="1" t="str">
        <f t="shared" si="35"/>
        <v>EC</v>
      </c>
      <c r="AH78" s="100" t="str">
        <f t="shared" si="20"/>
        <v>"%USERPROFILE%\Documents\GitHub\eaglep3\Utilities\RefineRTDCRunTimes.py" --tripid 166-20 --locoid 4041 --swversion DE.1.0.7.0 --startMP 204:232967 --initTime 2016-09-20T12:30:15 --startdatetime 2016-09-20T12:41:20 --delay 1 --endMP 204:158 --enddatetime 2016-09-20T13:20:18 --enforcementcount 0 &gt;&gt;C:\Users\stu\Documents\GitHub\eaglep3-reporting\EC\2016-09-20-refined-times.txt</v>
      </c>
      <c r="AI78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ID","value":"166-20"},{"id":16,"name":"Locomotive ID","value":"4041"},{"id":130,"name":"Impact","value":""},{"id":150,"name":"Time of Event (Mountain Time)","value":"13:20:18"},{"id":151,"name":"Denver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472</v>
      </c>
      <c r="B79" s="7">
        <v>4003</v>
      </c>
      <c r="C79" s="24" t="s">
        <v>106</v>
      </c>
      <c r="D79" s="24" t="s">
        <v>227</v>
      </c>
      <c r="E79" s="15">
        <v>42633.497442129628</v>
      </c>
      <c r="F79" s="15">
        <v>42633.5002662037</v>
      </c>
      <c r="G79" s="7">
        <v>1</v>
      </c>
      <c r="H79" s="15" t="s">
        <v>640</v>
      </c>
      <c r="I79" s="15">
        <v>42633.527766203704</v>
      </c>
      <c r="J79" s="7">
        <v>0</v>
      </c>
      <c r="K79" s="121" t="str">
        <f t="shared" si="22"/>
        <v>4003/4004</v>
      </c>
      <c r="L79" s="24" t="str">
        <f>VLOOKUP(A79,'Trips&amp;Operators'!$C$1:$E$10000,3,FALSE)</f>
        <v>YOUNG</v>
      </c>
      <c r="M79" s="6">
        <f t="shared" si="23"/>
        <v>2.7500000003783498E-2</v>
      </c>
      <c r="N79" s="7">
        <f t="shared" si="24"/>
        <v>39.600000005448237</v>
      </c>
      <c r="O79" s="7"/>
      <c r="P79" s="7"/>
      <c r="Q79" s="25"/>
      <c r="R79" s="25"/>
      <c r="S79" s="37">
        <f t="shared" si="25"/>
        <v>1</v>
      </c>
      <c r="T79" s="52" t="str">
        <f t="shared" si="26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10:56:19-0600',mode:absolute,to:'2016-09-20 13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79" s="54" t="str">
        <f t="shared" si="28"/>
        <v>N</v>
      </c>
      <c r="X79" s="168">
        <f t="shared" si="19"/>
        <v>1</v>
      </c>
      <c r="Y79" s="69">
        <f t="shared" si="29"/>
        <v>4.5499999999999999E-2</v>
      </c>
      <c r="Z79" s="69">
        <f t="shared" si="30"/>
        <v>23.332699999999999</v>
      </c>
      <c r="AA79" s="69">
        <f t="shared" si="31"/>
        <v>23.287199999999999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32"/>
        <v>0167-20</v>
      </c>
      <c r="AE79" s="99" t="str">
        <f t="shared" si="33"/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79" s="96" t="str">
        <f t="shared" si="34"/>
        <v>"C:\Program Files (x86)\AstroGrep\AstroGrep.exe" /spath="%USERPROFILE%\AppData\Local\Temp\OnboardLogs" /stypes="app*4003*20160920*" /stext=" 18:.+((SYSTEM_STATE.+slice.+state.+changed )|(ment ac)|(system.+state.+changed )|(\|lc)|(penalty)|(\[timeout)|(PRM\|1\|D)|(kpr)|(kdp))" /e /r /s</v>
      </c>
      <c r="AG79" s="1" t="str">
        <f t="shared" si="35"/>
        <v>EC</v>
      </c>
      <c r="AH79" s="100" t="str">
        <f t="shared" si="20"/>
        <v>"%USERPROFILE%\Documents\GitHub\eaglep3\Utilities\RefineRTDCRunTimes.py" --tripid 167-20 --locoid 4003 --swversion DE.1.0.7.0 --startMP 204:455 --initTime 2016-09-20T11:56:19 --startdatetime 2016-09-20T12:00:23 --delay 1 --endMP 204:233327 --enddatetime 2016-09-20T12:39:59 --enforcementcount 0 &gt;&gt;C:\Users\stu\Documents\GitHub\eaglep3-reporting\EC\2016-09-20-refined-times.txt</v>
      </c>
      <c r="AI79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{"issue":{"subject":"","project_id":79,"tracker_id":40,"status_id":1,"priority_id":2,"assigned_to_id":23,"start_date":"2016-09-20","description":"","custom_fields":[{"id":1,"name":"Subdivision","value":"EC"},{"id":4,"name":"Milepost","value":"23.3327"},{"id":17,"name":"Train ID","value":"167-20"},{"id":16,"name":"Locomotive ID","value":"4003"},{"id":130,"name":"Impact","value":""},{"id":150,"name":"Time of Event (Mountain Time)","value":"12:39:59"},{"id":151,"name":"Denver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482</v>
      </c>
      <c r="B80" s="7">
        <v>4004</v>
      </c>
      <c r="C80" s="24" t="s">
        <v>106</v>
      </c>
      <c r="D80" s="24" t="s">
        <v>646</v>
      </c>
      <c r="E80" s="15">
        <v>42633.531666666669</v>
      </c>
      <c r="F80" s="15">
        <v>42633.539305555554</v>
      </c>
      <c r="G80" s="7">
        <v>1</v>
      </c>
      <c r="H80" s="15" t="s">
        <v>366</v>
      </c>
      <c r="I80" s="15">
        <v>42633.566793981481</v>
      </c>
      <c r="J80" s="7">
        <v>0</v>
      </c>
      <c r="K80" s="121" t="str">
        <f t="shared" si="22"/>
        <v>4003/4004</v>
      </c>
      <c r="L80" s="24" t="str">
        <f>VLOOKUP(A80,'Trips&amp;Operators'!$C$1:$E$10000,3,FALSE)</f>
        <v>YOUNG</v>
      </c>
      <c r="M80" s="6">
        <f t="shared" si="23"/>
        <v>2.7488425927003846E-2</v>
      </c>
      <c r="N80" s="7">
        <f t="shared" si="24"/>
        <v>39.583333334885538</v>
      </c>
      <c r="O80" s="7"/>
      <c r="P80" s="7"/>
      <c r="Q80" s="25"/>
      <c r="R80" s="25"/>
      <c r="S80" s="37">
        <f t="shared" si="25"/>
        <v>1</v>
      </c>
      <c r="T80" s="52" t="str">
        <f t="shared" si="26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11:45:36-0600',mode:absolute,to:'2016-09-20 14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80" s="54" t="str">
        <f t="shared" si="28"/>
        <v>N</v>
      </c>
      <c r="X80" s="168">
        <f t="shared" si="19"/>
        <v>1</v>
      </c>
      <c r="Y80" s="69">
        <f t="shared" si="29"/>
        <v>23.3004</v>
      </c>
      <c r="Z80" s="69">
        <f t="shared" si="30"/>
        <v>1.78E-2</v>
      </c>
      <c r="AA80" s="69">
        <f t="shared" si="31"/>
        <v>23.282599999999999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32"/>
        <v>0168-20</v>
      </c>
      <c r="AE80" s="99" t="str">
        <f t="shared" si="33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80" s="96" t="str">
        <f t="shared" si="34"/>
        <v>"C:\Program Files (x86)\AstroGrep\AstroGrep.exe" /spath="%USERPROFILE%\AppData\Local\Temp\OnboardLogs" /stypes="app*4004*20160920*" /stext=" 19:.+((SYSTEM_STATE.+slice.+state.+changed )|(ment ac)|(system.+state.+changed )|(\|lc)|(penalty)|(\[timeout)|(PRM\|1\|D)|(kpr)|(kdp))" /e /r /s</v>
      </c>
      <c r="AG80" s="1" t="str">
        <f t="shared" si="35"/>
        <v>EC</v>
      </c>
      <c r="AH80" s="100" t="str">
        <f t="shared" si="20"/>
        <v>"%USERPROFILE%\Documents\GitHub\eaglep3\Utilities\RefineRTDCRunTimes.py" --tripid 168-20 --locoid 4004 --swversion DE.1.0.7.0 --startMP 204:233004 --initTime 2016-09-20T12:45:36 --startdatetime 2016-09-20T12:56:36 --delay 1 --endMP 204:178 --enddatetime 2016-09-20T13:36:11 --enforcementcount 0 &gt;&gt;C:\Users\stu\Documents\GitHub\eaglep3-reporting\EC\2016-09-20-refined-times.txt</v>
      </c>
      <c r="AI80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{"issue":{"subject":"","project_id":79,"tracker_id":40,"status_id":1,"priority_id":2,"assigned_to_id":23,"start_date":"2016-09-20","description":"","custom_fields":[{"id":1,"name":"Subdivision","value":"EC"},{"id":4,"name":"Milepost","value":"0.0178"},{"id":17,"name":"Train ID","value":"168-20"},{"id":16,"name":"Locomotive ID","value":"4004"},{"id":130,"name":"Impact","value":""},{"id":150,"name":"Time of Event (Mountain Time)","value":"13:36:11"},{"id":151,"name":"Denver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474</v>
      </c>
      <c r="B81" s="7">
        <v>4018</v>
      </c>
      <c r="C81" s="24" t="s">
        <v>106</v>
      </c>
      <c r="D81" s="24" t="s">
        <v>226</v>
      </c>
      <c r="E81" s="15">
        <v>42633.507199074076</v>
      </c>
      <c r="F81" s="15">
        <v>42633.510625000003</v>
      </c>
      <c r="G81" s="7">
        <v>1</v>
      </c>
      <c r="H81" s="15" t="s">
        <v>647</v>
      </c>
      <c r="I81" s="15">
        <v>42633.536400462966</v>
      </c>
      <c r="J81" s="7">
        <v>0</v>
      </c>
      <c r="K81" s="121" t="str">
        <f t="shared" si="22"/>
        <v>4017/4018</v>
      </c>
      <c r="L81" s="24" t="str">
        <f>VLOOKUP(A81,'Trips&amp;Operators'!$C$1:$E$10000,3,FALSE)</f>
        <v>CLARK</v>
      </c>
      <c r="M81" s="6">
        <f t="shared" si="23"/>
        <v>2.5775462963792961E-2</v>
      </c>
      <c r="N81" s="7">
        <f t="shared" si="24"/>
        <v>37.116666667861864</v>
      </c>
      <c r="O81" s="7"/>
      <c r="P81" s="7"/>
      <c r="Q81" s="25"/>
      <c r="R81" s="25"/>
      <c r="S81" s="37">
        <f t="shared" si="25"/>
        <v>1</v>
      </c>
      <c r="T81" s="52" t="str">
        <f t="shared" si="26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11:10:22-0600',mode:absolute,to:'2016-09-20 13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81" s="54" t="str">
        <f t="shared" si="28"/>
        <v>N</v>
      </c>
      <c r="X81" s="168">
        <f t="shared" si="19"/>
        <v>1</v>
      </c>
      <c r="Y81" s="69">
        <f t="shared" si="29"/>
        <v>4.5100000000000001E-2</v>
      </c>
      <c r="Z81" s="69">
        <f t="shared" si="30"/>
        <v>23.325500000000002</v>
      </c>
      <c r="AA81" s="69">
        <f t="shared" si="31"/>
        <v>23.2804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32"/>
        <v>0169-20</v>
      </c>
      <c r="AE81" s="99" t="str">
        <f t="shared" si="33"/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81" s="96" t="str">
        <f t="shared" si="34"/>
        <v>"C:\Program Files (x86)\AstroGrep\AstroGrep.exe" /spath="%USERPROFILE%\AppData\Local\Temp\OnboardLogs" /stypes="app*4018*20160920*" /stext=" 18:.+((SYSTEM_STATE.+slice.+state.+changed )|(ment ac)|(system.+state.+changed )|(\|lc)|(penalty)|(\[timeout)|(PRM\|1\|D)|(kpr)|(kdp))" /e /r /s</v>
      </c>
      <c r="AG81" s="1" t="str">
        <f t="shared" si="35"/>
        <v>EC</v>
      </c>
      <c r="AH81" s="100" t="str">
        <f t="shared" si="20"/>
        <v>"%USERPROFILE%\Documents\GitHub\eaglep3\Utilities\RefineRTDCRunTimes.py" --tripid 169-20 --locoid 4018 --swversion DE.1.0.7.0 --startMP 204:451 --initTime 2016-09-20T12:10:22 --startdatetime 2016-09-20T12:15:18 --delay 1 --endMP 204:233255 --enddatetime 2016-09-20T12:52:25 --enforcementcount 0 &gt;&gt;C:\Users\stu\Documents\GitHub\eaglep3-reporting\EC\2016-09-20-refined-times.txt</v>
      </c>
      <c r="AI81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{"issue":{"subject":"","project_id":79,"tracker_id":40,"status_id":1,"priority_id":2,"assigned_to_id":23,"start_date":"2016-09-20","description":"","custom_fields":[{"id":1,"name":"Subdivision","value":"EC"},{"id":4,"name":"Milepost","value":"23.3255"},{"id":17,"name":"Train ID","value":"169-20"},{"id":16,"name":"Locomotive ID","value":"4018"},{"id":130,"name":"Impact","value":""},{"id":150,"name":"Time of Event (Mountain Time)","value":"12:52:25"},{"id":151,"name":"Denver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486</v>
      </c>
      <c r="B82" s="7">
        <v>4017</v>
      </c>
      <c r="C82" s="24" t="s">
        <v>106</v>
      </c>
      <c r="D82" s="24" t="s">
        <v>303</v>
      </c>
      <c r="E82" s="15">
        <v>42633.545254629629</v>
      </c>
      <c r="F82" s="15">
        <v>42633.549479166664</v>
      </c>
      <c r="G82" s="7">
        <v>1</v>
      </c>
      <c r="H82" s="15" t="s">
        <v>347</v>
      </c>
      <c r="I82" s="15">
        <v>42633.578020833331</v>
      </c>
      <c r="J82" s="7">
        <v>0</v>
      </c>
      <c r="K82" s="121" t="str">
        <f t="shared" si="22"/>
        <v>4017/4018</v>
      </c>
      <c r="L82" s="24" t="str">
        <f>VLOOKUP(A82,'Trips&amp;Operators'!$C$1:$E$10000,3,FALSE)</f>
        <v>CLARK</v>
      </c>
      <c r="M82" s="6">
        <f t="shared" si="23"/>
        <v>2.8541666666569654E-2</v>
      </c>
      <c r="N82" s="7">
        <f t="shared" si="24"/>
        <v>41.099999999860302</v>
      </c>
      <c r="O82" s="7"/>
      <c r="P82" s="7"/>
      <c r="Q82" s="25"/>
      <c r="R82" s="25"/>
      <c r="S82" s="37">
        <f t="shared" si="25"/>
        <v>1</v>
      </c>
      <c r="T82" s="52" t="str">
        <f t="shared" si="26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12:05:10-0600',mode:absolute,to:'2016-09-20 14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2" s="54" t="str">
        <f t="shared" si="28"/>
        <v>N</v>
      </c>
      <c r="X82" s="168">
        <f t="shared" si="19"/>
        <v>1</v>
      </c>
      <c r="Y82" s="69">
        <f t="shared" si="29"/>
        <v>23.292999999999999</v>
      </c>
      <c r="Z82" s="69">
        <f t="shared" si="30"/>
        <v>1.83E-2</v>
      </c>
      <c r="AA82" s="69">
        <f t="shared" si="31"/>
        <v>23.274699999999999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32"/>
        <v>0170-20</v>
      </c>
      <c r="AE82" s="99" t="str">
        <f t="shared" si="33"/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82" s="96" t="str">
        <f t="shared" si="34"/>
        <v>"C:\Program Files (x86)\AstroGrep\AstroGrep.exe" /spath="%USERPROFILE%\AppData\Local\Temp\OnboardLogs" /stypes="app*4017*20160920*" /stext=" 19:.+((SYSTEM_STATE.+slice.+state.+changed )|(ment ac)|(system.+state.+changed )|(\|lc)|(penalty)|(\[timeout)|(PRM\|1\|D)|(kpr)|(kdp))" /e /r /s</v>
      </c>
      <c r="AG82" s="1" t="str">
        <f t="shared" si="35"/>
        <v>EC</v>
      </c>
      <c r="AH82" s="100" t="str">
        <f t="shared" si="20"/>
        <v>"%USERPROFILE%\Documents\GitHub\eaglep3\Utilities\RefineRTDCRunTimes.py" --tripid 170-20 --locoid 4017 --swversion DE.1.0.7.0 --startMP 204:232930 --initTime 2016-09-20T13:05:10 --startdatetime 2016-09-20T13:11:15 --delay 1 --endMP 204:183 --enddatetime 2016-09-20T13:52:21 --enforcementcount 0 &gt;&gt;C:\Users\stu\Documents\GitHub\eaglep3-reporting\EC\2016-09-20-refined-times.txt</v>
      </c>
      <c r="AI82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{"issue":{"subject":"","project_id":79,"tracker_id":40,"status_id":1,"priority_id":2,"assigned_to_id":23,"start_date":"2016-09-20","description":"","custom_fields":[{"id":1,"name":"Subdivision","value":"EC"},{"id":4,"name":"Milepost","value":"0.0183"},{"id":17,"name":"Train ID","value":"170-20"},{"id":16,"name":"Locomotive ID","value":"4017"},{"id":130,"name":"Impact","value":""},{"id":150,"name":"Time of Event (Mountain Time)","value":"13:52:21"},{"id":151,"name":"Denver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477</v>
      </c>
      <c r="B83" s="7">
        <v>4025</v>
      </c>
      <c r="C83" s="24" t="s">
        <v>106</v>
      </c>
      <c r="D83" s="24" t="s">
        <v>226</v>
      </c>
      <c r="E83" s="15">
        <v>42633.518067129633</v>
      </c>
      <c r="F83" s="15">
        <v>42633.521747685183</v>
      </c>
      <c r="G83" s="7">
        <v>2</v>
      </c>
      <c r="H83" s="15" t="s">
        <v>648</v>
      </c>
      <c r="I83" s="15">
        <v>42633.553831018522</v>
      </c>
      <c r="J83" s="7">
        <v>0</v>
      </c>
      <c r="K83" s="121" t="str">
        <f t="shared" si="22"/>
        <v>4025/4026</v>
      </c>
      <c r="L83" s="24" t="str">
        <f>VLOOKUP(A83,'Trips&amp;Operators'!$C$1:$E$10000,3,FALSE)</f>
        <v>STORY</v>
      </c>
      <c r="M83" s="6">
        <f t="shared" si="23"/>
        <v>3.2083333338960074E-2</v>
      </c>
      <c r="N83" s="7">
        <f t="shared" si="24"/>
        <v>46.200000008102506</v>
      </c>
      <c r="O83" s="7"/>
      <c r="P83" s="7"/>
      <c r="Q83" s="25"/>
      <c r="R83" s="25"/>
      <c r="S83" s="37">
        <f t="shared" si="25"/>
        <v>1</v>
      </c>
      <c r="T83" s="52" t="str">
        <f t="shared" si="26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11:26:01-0600',mode:absolute,to:'2016-09-20 14:17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83" s="54" t="str">
        <f t="shared" si="28"/>
        <v>N</v>
      </c>
      <c r="X83" s="168">
        <f t="shared" ref="X83:X146" si="36">VALUE(LEFT(AD83,4))-VALUE(LEFT(AD82,4))</f>
        <v>1</v>
      </c>
      <c r="Y83" s="69">
        <f t="shared" si="29"/>
        <v>4.5100000000000001E-2</v>
      </c>
      <c r="Z83" s="69">
        <f t="shared" si="30"/>
        <v>23.331</v>
      </c>
      <c r="AA83" s="69">
        <f t="shared" si="31"/>
        <v>23.285899999999998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32"/>
        <v>0171-20</v>
      </c>
      <c r="AE83" s="99" t="str">
        <f t="shared" si="33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83" s="96" t="str">
        <f t="shared" si="34"/>
        <v>"C:\Program Files (x86)\AstroGrep\AstroGrep.exe" /spath="%USERPROFILE%\AppData\Local\Temp\OnboardLogs" /stypes="app*4025*20160920*" /stext=" 19:.+((SYSTEM_STATE.+slice.+state.+changed )|(ment ac)|(system.+state.+changed )|(\|lc)|(penalty)|(\[timeout)|(PRM\|1\|D)|(kpr)|(kdp))" /e /r /s</v>
      </c>
      <c r="AG83" s="1" t="str">
        <f t="shared" si="35"/>
        <v>EC</v>
      </c>
      <c r="AH83" s="100" t="str">
        <f t="shared" si="20"/>
        <v>"%USERPROFILE%\Documents\GitHub\eaglep3\Utilities\RefineRTDCRunTimes.py" --tripid 171-20 --locoid 4025 --swversion DE.1.0.7.0 --startMP 204:451 --initTime 2016-09-20T12:26:01 --startdatetime 2016-09-20T12:31:19 --delay 2 --endMP 204:233310 --enddatetime 2016-09-20T13:17:31 --enforcementcount 0 &gt;&gt;C:\Users\stu\Documents\GitHub\eaglep3-reporting\EC\2016-09-20-refined-times.txt</v>
      </c>
      <c r="AI83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{"issue":{"subject":"","project_id":79,"tracker_id":40,"status_id":1,"priority_id":2,"assigned_to_id":23,"start_date":"2016-09-20","description":"","custom_fields":[{"id":1,"name":"Subdivision","value":"EC"},{"id":4,"name":"Milepost","value":"23.331"},{"id":17,"name":"Train ID","value":"171-20"},{"id":16,"name":"Locomotive ID","value":"4025"},{"id":130,"name":"Impact","value":""},{"id":150,"name":"Time of Event (Mountain Time)","value":"13:17:31"},{"id":151,"name":"Denver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489</v>
      </c>
      <c r="B84" s="7">
        <v>4026</v>
      </c>
      <c r="C84" s="24" t="s">
        <v>106</v>
      </c>
      <c r="D84" s="24" t="s">
        <v>649</v>
      </c>
      <c r="E84" s="15">
        <v>42633.55672453704</v>
      </c>
      <c r="F84" s="15">
        <v>42633.559976851851</v>
      </c>
      <c r="G84" s="7">
        <v>1</v>
      </c>
      <c r="H84" s="15" t="s">
        <v>213</v>
      </c>
      <c r="I84" s="15">
        <v>42633.589768518519</v>
      </c>
      <c r="J84" s="7">
        <v>0</v>
      </c>
      <c r="K84" s="121" t="str">
        <f t="shared" si="22"/>
        <v>4025/4026</v>
      </c>
      <c r="L84" s="24" t="str">
        <f>VLOOKUP(A84,'Trips&amp;Operators'!$C$1:$E$10000,3,FALSE)</f>
        <v>STORY</v>
      </c>
      <c r="M84" s="6">
        <f t="shared" si="23"/>
        <v>2.9791666667733807E-2</v>
      </c>
      <c r="N84" s="7">
        <f t="shared" si="24"/>
        <v>42.900000001536682</v>
      </c>
      <c r="O84" s="7"/>
      <c r="P84" s="7"/>
      <c r="Q84" s="25"/>
      <c r="R84" s="25"/>
      <c r="S84" s="37">
        <f t="shared" si="25"/>
        <v>1</v>
      </c>
      <c r="T84" s="52" t="str">
        <f t="shared" si="26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12:21:41-0600',mode:absolute,to:'2016-09-20 15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4" s="54" t="str">
        <f t="shared" si="28"/>
        <v>N</v>
      </c>
      <c r="X84" s="168">
        <f t="shared" si="36"/>
        <v>1</v>
      </c>
      <c r="Y84" s="69">
        <f t="shared" si="29"/>
        <v>23.298500000000001</v>
      </c>
      <c r="Z84" s="69">
        <f t="shared" si="30"/>
        <v>1.49E-2</v>
      </c>
      <c r="AA84" s="69">
        <f t="shared" si="31"/>
        <v>23.2836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32"/>
        <v>0172-20</v>
      </c>
      <c r="AE84" s="99" t="str">
        <f t="shared" si="33"/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84" s="96" t="str">
        <f t="shared" si="34"/>
        <v>"C:\Program Files (x86)\AstroGrep\AstroGrep.exe" /spath="%USERPROFILE%\AppData\Local\Temp\OnboardLogs" /stypes="app*4026*20160920*" /stext=" 20:.+((SYSTEM_STATE.+slice.+state.+changed )|(ment ac)|(system.+state.+changed )|(\|lc)|(penalty)|(\[timeout)|(PRM\|1\|D)|(kpr)|(kdp))" /e /r /s</v>
      </c>
      <c r="AG84" s="1" t="str">
        <f t="shared" si="35"/>
        <v>EC</v>
      </c>
      <c r="AH84" s="100" t="str">
        <f t="shared" si="20"/>
        <v>"%USERPROFILE%\Documents\GitHub\eaglep3\Utilities\RefineRTDCRunTimes.py" --tripid 172-20 --locoid 4026 --swversion DE.1.0.7.0 --startMP 204:232985 --initTime 2016-09-20T13:21:41 --startdatetime 2016-09-20T13:26:22 --delay 1 --endMP 204:149 --enddatetime 2016-09-20T14:09:16 --enforcementcount 0 &gt;&gt;C:\Users\stu\Documents\GitHub\eaglep3-reporting\EC\2016-09-20-refined-times.txt</v>
      </c>
      <c r="AI84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{"issue":{"subject":"","project_id":79,"tracker_id":40,"status_id":1,"priority_id":2,"assigned_to_id":23,"start_date":"2016-09-20","description":"","custom_fields":[{"id":1,"name":"Subdivision","value":"EC"},{"id":4,"name":"Milepost","value":"0.0149"},{"id":17,"name":"Train ID","value":"172-20"},{"id":16,"name":"Locomotive ID","value":"4026"},{"id":130,"name":"Impact","value":""},{"id":150,"name":"Time of Event (Mountain Time)","value":"14:09:16"},{"id":151,"name":"Denver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481</v>
      </c>
      <c r="B85" s="7">
        <v>4009</v>
      </c>
      <c r="C85" s="24" t="s">
        <v>106</v>
      </c>
      <c r="D85" s="24" t="s">
        <v>223</v>
      </c>
      <c r="E85" s="15">
        <v>42633.530347222222</v>
      </c>
      <c r="F85" s="15">
        <v>42633.531689814816</v>
      </c>
      <c r="G85" s="7">
        <v>1</v>
      </c>
      <c r="H85" s="15" t="s">
        <v>302</v>
      </c>
      <c r="I85" s="15">
        <v>42633.55746527778</v>
      </c>
      <c r="J85" s="7">
        <v>0</v>
      </c>
      <c r="K85" s="121" t="str">
        <f t="shared" si="22"/>
        <v>4009/4010</v>
      </c>
      <c r="L85" s="24" t="str">
        <f>VLOOKUP(A85,'Trips&amp;Operators'!$C$1:$E$10000,3,FALSE)</f>
        <v>BARTLETT</v>
      </c>
      <c r="M85" s="6">
        <f t="shared" si="23"/>
        <v>2.5775462963792961E-2</v>
      </c>
      <c r="N85" s="7">
        <f t="shared" si="24"/>
        <v>37.116666667861864</v>
      </c>
      <c r="O85" s="7"/>
      <c r="P85" s="7"/>
      <c r="Q85" s="25"/>
      <c r="R85" s="25"/>
      <c r="S85" s="37">
        <f t="shared" si="25"/>
        <v>1</v>
      </c>
      <c r="T85" s="52" t="str">
        <f t="shared" si="26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11:43:42-0600',mode:absolute,to:'2016-09-20 14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5" s="54" t="str">
        <f t="shared" si="28"/>
        <v>N</v>
      </c>
      <c r="X85" s="168">
        <f t="shared" si="36"/>
        <v>1</v>
      </c>
      <c r="Y85" s="69">
        <f t="shared" si="29"/>
        <v>4.5699999999999998E-2</v>
      </c>
      <c r="Z85" s="69">
        <f t="shared" si="30"/>
        <v>23.329499999999999</v>
      </c>
      <c r="AA85" s="69">
        <f t="shared" si="31"/>
        <v>23.283799999999999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32"/>
        <v>0173-20</v>
      </c>
      <c r="AE85" s="99" t="str">
        <f t="shared" si="33"/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85" s="96" t="str">
        <f t="shared" si="34"/>
        <v>"C:\Program Files (x86)\AstroGrep\AstroGrep.exe" /spath="%USERPROFILE%\AppData\Local\Temp\OnboardLogs" /stypes="app*4009*20160920*" /stext=" 19:.+((SYSTEM_STATE.+slice.+state.+changed )|(ment ac)|(system.+state.+changed )|(\|lc)|(penalty)|(\[timeout)|(PRM\|1\|D)|(kpr)|(kdp))" /e /r /s</v>
      </c>
      <c r="AG85" s="1" t="str">
        <f t="shared" si="35"/>
        <v>EC</v>
      </c>
      <c r="AH85" s="100" t="str">
        <f t="shared" si="20"/>
        <v>"%USERPROFILE%\Documents\GitHub\eaglep3\Utilities\RefineRTDCRunTimes.py" --tripid 173-20 --locoid 4009 --swversion DE.1.0.7.0 --startMP 204:457 --initTime 2016-09-20T12:43:42 --startdatetime 2016-09-20T12:45:38 --delay 1 --endMP 204:233295 --enddatetime 2016-09-20T13:22:45 --enforcementcount 0 &gt;&gt;C:\Users\stu\Documents\GitHub\eaglep3-reporting\EC\2016-09-20-refined-times.txt</v>
      </c>
      <c r="AI85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{"issue":{"subject":"","project_id":79,"tracker_id":40,"status_id":1,"priority_id":2,"assigned_to_id":23,"start_date":"2016-09-20","description":"","custom_fields":[{"id":1,"name":"Subdivision","value":"EC"},{"id":4,"name":"Milepost","value":"23.3295"},{"id":17,"name":"Train ID","value":"173-20"},{"id":16,"name":"Locomotive ID","value":"4009"},{"id":130,"name":"Impact","value":""},{"id":150,"name":"Time of Event (Mountain Time)","value":"13:22:45"},{"id":151,"name":"Denver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490</v>
      </c>
      <c r="B86" s="7">
        <v>4010</v>
      </c>
      <c r="C86" s="24" t="s">
        <v>106</v>
      </c>
      <c r="D86" s="24" t="s">
        <v>305</v>
      </c>
      <c r="E86" s="15">
        <v>42633.559351851851</v>
      </c>
      <c r="F86" s="15">
        <v>42633.570370370369</v>
      </c>
      <c r="G86" s="7">
        <v>1</v>
      </c>
      <c r="H86" s="15" t="s">
        <v>304</v>
      </c>
      <c r="I86" s="15">
        <v>42633.598912037036</v>
      </c>
      <c r="J86" s="7">
        <v>0</v>
      </c>
      <c r="K86" s="121" t="str">
        <f t="shared" si="22"/>
        <v>4009/4010</v>
      </c>
      <c r="L86" s="24" t="str">
        <f>VLOOKUP(A86,'Trips&amp;Operators'!$C$1:$E$10000,3,FALSE)</f>
        <v>BARTLETT</v>
      </c>
      <c r="M86" s="6">
        <f t="shared" si="23"/>
        <v>2.8541666666569654E-2</v>
      </c>
      <c r="N86" s="7">
        <f t="shared" si="24"/>
        <v>41.099999999860302</v>
      </c>
      <c r="O86" s="7"/>
      <c r="P86" s="7"/>
      <c r="Q86" s="25"/>
      <c r="R86" s="25"/>
      <c r="S86" s="37">
        <f t="shared" si="25"/>
        <v>1</v>
      </c>
      <c r="T86" s="52" t="str">
        <f t="shared" si="26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12:25:28-0600',mode:absolute,to:'2016-09-20 15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86" s="54" t="str">
        <f t="shared" si="28"/>
        <v>N</v>
      </c>
      <c r="X86" s="168">
        <f t="shared" si="36"/>
        <v>1</v>
      </c>
      <c r="Y86" s="69">
        <f t="shared" si="29"/>
        <v>23.298200000000001</v>
      </c>
      <c r="Z86" s="69">
        <f t="shared" si="30"/>
        <v>1.4500000000000001E-2</v>
      </c>
      <c r="AA86" s="69">
        <f t="shared" si="31"/>
        <v>23.2837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32"/>
        <v>0174-20</v>
      </c>
      <c r="AE86" s="99" t="str">
        <f t="shared" si="33"/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86" s="96" t="str">
        <f t="shared" si="34"/>
        <v>"C:\Program Files (x86)\AstroGrep\AstroGrep.exe" /spath="%USERPROFILE%\AppData\Local\Temp\OnboardLogs" /stypes="app*4010*20160920*" /stext=" 20:.+((SYSTEM_STATE.+slice.+state.+changed )|(ment ac)|(system.+state.+changed )|(\|lc)|(penalty)|(\[timeout)|(PRM\|1\|D)|(kpr)|(kdp))" /e /r /s</v>
      </c>
      <c r="AG86" s="1" t="str">
        <f t="shared" si="35"/>
        <v>EC</v>
      </c>
      <c r="AH86" s="100" t="str">
        <f t="shared" si="20"/>
        <v>"%USERPROFILE%\Documents\GitHub\eaglep3\Utilities\RefineRTDCRunTimes.py" --tripid 174-20 --locoid 4010 --swversion DE.1.0.7.0 --startMP 204:232982 --initTime 2016-09-20T13:25:28 --startdatetime 2016-09-20T13:41:20 --delay 1 --endMP 204:145 --enddatetime 2016-09-20T14:22:26 --enforcementcount 0 &gt;&gt;C:\Users\stu\Documents\GitHub\eaglep3-reporting\EC\2016-09-20-refined-times.txt</v>
      </c>
      <c r="AI86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{"issue":{"subject":"","project_id":79,"tracker_id":40,"status_id":1,"priority_id":2,"assigned_to_id":23,"start_date":"2016-09-20","description":"","custom_fields":[{"id":1,"name":"Subdivision","value":"EC"},{"id":4,"name":"Milepost","value":"0.0145"},{"id":17,"name":"Train ID","value":"174-20"},{"id":16,"name":"Locomotive ID","value":"4010"},{"id":130,"name":"Impact","value":""},{"id":150,"name":"Time of Event (Mountain Time)","value":"14:22:26"},{"id":151,"name":"Denver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485</v>
      </c>
      <c r="B87" s="7">
        <v>4014</v>
      </c>
      <c r="C87" s="24" t="s">
        <v>106</v>
      </c>
      <c r="D87" s="24" t="s">
        <v>238</v>
      </c>
      <c r="E87" s="15">
        <v>42633.53833333333</v>
      </c>
      <c r="F87" s="15">
        <v>42633.542002314818</v>
      </c>
      <c r="G87" s="7">
        <v>2</v>
      </c>
      <c r="H87" s="15" t="s">
        <v>650</v>
      </c>
      <c r="I87" s="15">
        <v>42633.567962962959</v>
      </c>
      <c r="J87" s="7">
        <v>0</v>
      </c>
      <c r="K87" s="121" t="str">
        <f t="shared" si="22"/>
        <v>4013/4014</v>
      </c>
      <c r="L87" s="24" t="str">
        <f>VLOOKUP(A87,'Trips&amp;Operators'!$C$1:$E$10000,3,FALSE)</f>
        <v>STEWART</v>
      </c>
      <c r="M87" s="6">
        <f t="shared" si="23"/>
        <v>2.5960648141335696E-2</v>
      </c>
      <c r="N87" s="7">
        <f t="shared" si="24"/>
        <v>37.383333323523402</v>
      </c>
      <c r="O87" s="7"/>
      <c r="P87" s="7"/>
      <c r="Q87" s="25"/>
      <c r="R87" s="25"/>
      <c r="S87" s="37">
        <f t="shared" si="25"/>
        <v>1</v>
      </c>
      <c r="T87" s="52" t="str">
        <f t="shared" si="26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11:55:12-0600',mode:absolute,to:'2016-09-20 14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7" s="54" t="str">
        <f t="shared" si="28"/>
        <v>N</v>
      </c>
      <c r="X87" s="168">
        <f t="shared" si="36"/>
        <v>1</v>
      </c>
      <c r="Y87" s="69">
        <f t="shared" si="29"/>
        <v>4.6899999999999997E-2</v>
      </c>
      <c r="Z87" s="69">
        <f t="shared" si="30"/>
        <v>23.325299999999999</v>
      </c>
      <c r="AA87" s="69">
        <f t="shared" si="31"/>
        <v>23.278399999999998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32"/>
        <v>0175-20</v>
      </c>
      <c r="AE87" s="99" t="str">
        <f t="shared" si="33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87" s="96" t="str">
        <f t="shared" si="34"/>
        <v>"C:\Program Files (x86)\AstroGrep\AstroGrep.exe" /spath="%USERPROFILE%\AppData\Local\Temp\OnboardLogs" /stypes="app*4014*20160920*" /stext=" 19:.+((SYSTEM_STATE.+slice.+state.+changed )|(ment ac)|(system.+state.+changed )|(\|lc)|(penalty)|(\[timeout)|(PRM\|1\|D)|(kpr)|(kdp))" /e /r /s</v>
      </c>
      <c r="AG87" s="1" t="str">
        <f t="shared" si="35"/>
        <v>EC</v>
      </c>
      <c r="AH87" s="100" t="str">
        <f t="shared" si="20"/>
        <v>"%USERPROFILE%\Documents\GitHub\eaglep3\Utilities\RefineRTDCRunTimes.py" --tripid 175-20 --locoid 4014 --swversion DE.1.0.7.0 --startMP 204:469 --initTime 2016-09-20T12:55:12 --startdatetime 2016-09-20T13:00:29 --delay 2 --endMP 204:233253 --enddatetime 2016-09-20T13:37:52 --enforcementcount 0 &gt;&gt;C:\Users\stu\Documents\GitHub\eaglep3-reporting\EC\2016-09-20-refined-times.txt</v>
      </c>
      <c r="AI87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{"issue":{"subject":"","project_id":79,"tracker_id":40,"status_id":1,"priority_id":2,"assigned_to_id":23,"start_date":"2016-09-20","description":"","custom_fields":[{"id":1,"name":"Subdivision","value":"EC"},{"id":4,"name":"Milepost","value":"23.3253"},{"id":17,"name":"Train ID","value":"175-20"},{"id":16,"name":"Locomotive ID","value":"4014"},{"id":130,"name":"Impact","value":""},{"id":150,"name":"Time of Event (Mountain Time)","value":"13:37:52"},{"id":151,"name":"Denver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494</v>
      </c>
      <c r="B88" s="7">
        <v>4013</v>
      </c>
      <c r="C88" s="24" t="s">
        <v>106</v>
      </c>
      <c r="D88" s="24" t="s">
        <v>651</v>
      </c>
      <c r="E88" s="15">
        <v>42633.577835648146</v>
      </c>
      <c r="F88" s="15">
        <v>42633.58084490741</v>
      </c>
      <c r="G88" s="7">
        <v>1</v>
      </c>
      <c r="H88" s="15" t="s">
        <v>336</v>
      </c>
      <c r="I88" s="15">
        <v>42633.609849537039</v>
      </c>
      <c r="J88" s="7">
        <v>0</v>
      </c>
      <c r="K88" s="121" t="str">
        <f t="shared" si="22"/>
        <v>4013/4014</v>
      </c>
      <c r="L88" s="24" t="str">
        <f>VLOOKUP(A88,'Trips&amp;Operators'!$C$1:$E$10000,3,FALSE)</f>
        <v>STEWART</v>
      </c>
      <c r="M88" s="6">
        <f t="shared" si="23"/>
        <v>2.9004629628616385E-2</v>
      </c>
      <c r="N88" s="7">
        <f t="shared" si="24"/>
        <v>41.766666665207595</v>
      </c>
      <c r="O88" s="7"/>
      <c r="P88" s="7"/>
      <c r="Q88" s="25"/>
      <c r="R88" s="25"/>
      <c r="S88" s="37">
        <f t="shared" si="25"/>
        <v>1</v>
      </c>
      <c r="T88" s="52" t="str">
        <f t="shared" si="26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12:52:05-0600',mode:absolute,to:'2016-09-20 15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88" s="54" t="str">
        <f t="shared" si="28"/>
        <v>N</v>
      </c>
      <c r="X88" s="168">
        <f t="shared" si="36"/>
        <v>1</v>
      </c>
      <c r="Y88" s="69">
        <f t="shared" si="29"/>
        <v>23.295100000000001</v>
      </c>
      <c r="Z88" s="69">
        <f t="shared" si="30"/>
        <v>1.41E-2</v>
      </c>
      <c r="AA88" s="69">
        <f t="shared" si="31"/>
        <v>23.281000000000002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32"/>
        <v>0176-20</v>
      </c>
      <c r="AE88" s="99" t="str">
        <f t="shared" si="33"/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88" s="96" t="str">
        <f t="shared" si="34"/>
        <v>"C:\Program Files (x86)\AstroGrep\AstroGrep.exe" /spath="%USERPROFILE%\AppData\Local\Temp\OnboardLogs" /stypes="app*4013*20160920*" /stext=" 20:.+((SYSTEM_STATE.+slice.+state.+changed )|(ment ac)|(system.+state.+changed )|(\|lc)|(penalty)|(\[timeout)|(PRM\|1\|D)|(kpr)|(kdp))" /e /r /s</v>
      </c>
      <c r="AG88" s="1" t="str">
        <f t="shared" si="35"/>
        <v>EC</v>
      </c>
      <c r="AH88" s="100" t="str">
        <f t="shared" si="20"/>
        <v>"%USERPROFILE%\Documents\GitHub\eaglep3\Utilities\RefineRTDCRunTimes.py" --tripid 176-20 --locoid 4013 --swversion DE.1.0.7.0 --startMP 204:232951 --initTime 2016-09-20T13:52:05 --startdatetime 2016-09-20T13:56:25 --delay 1 --endMP 204:141 --enddatetime 2016-09-20T14:38:11 --enforcementcount 0 &gt;&gt;C:\Users\stu\Documents\GitHub\eaglep3-reporting\EC\2016-09-20-refined-times.txt</v>
      </c>
      <c r="AI88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{"issue":{"subject":"","project_id":79,"tracker_id":40,"status_id":1,"priority_id":2,"assigned_to_id":23,"start_date":"2016-09-20","description":"","custom_fields":[{"id":1,"name":"Subdivision","value":"EC"},{"id":4,"name":"Milepost","value":"0.0141"},{"id":17,"name":"Train ID","value":"176-20"},{"id":16,"name":"Locomotive ID","value":"4013"},{"id":130,"name":"Impact","value":""},{"id":150,"name":"Time of Event (Mountain Time)","value":"14:38:11"},{"id":151,"name":"Denver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487</v>
      </c>
      <c r="B89" s="7">
        <v>4011</v>
      </c>
      <c r="C89" s="24" t="s">
        <v>106</v>
      </c>
      <c r="D89" s="24" t="s">
        <v>340</v>
      </c>
      <c r="E89" s="15">
        <v>42633.550416666665</v>
      </c>
      <c r="F89" s="15">
        <v>42633.553935185184</v>
      </c>
      <c r="G89" s="7">
        <v>3</v>
      </c>
      <c r="H89" s="15" t="s">
        <v>302</v>
      </c>
      <c r="I89" s="15">
        <v>42633.579918981479</v>
      </c>
      <c r="J89" s="7">
        <v>0</v>
      </c>
      <c r="K89" s="121" t="str">
        <f t="shared" si="22"/>
        <v>4011/4012</v>
      </c>
      <c r="L89" s="24" t="str">
        <f>VLOOKUP(A89,'Trips&amp;Operators'!$C$1:$E$10000,3,FALSE)</f>
        <v>HELVIE</v>
      </c>
      <c r="M89" s="6">
        <f t="shared" si="23"/>
        <v>2.5983796294895001E-2</v>
      </c>
      <c r="N89" s="7">
        <f t="shared" si="24"/>
        <v>37.416666664648801</v>
      </c>
      <c r="O89" s="7"/>
      <c r="P89" s="7"/>
      <c r="Q89" s="25"/>
      <c r="R89" s="25"/>
      <c r="S89" s="37">
        <f t="shared" si="25"/>
        <v>1</v>
      </c>
      <c r="T89" s="52" t="str">
        <f t="shared" si="26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12:12:36-0600',mode:absolute,to:'2016-09-20 14:55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9" s="54" t="str">
        <f t="shared" si="28"/>
        <v>N</v>
      </c>
      <c r="X89" s="168">
        <f t="shared" si="36"/>
        <v>1</v>
      </c>
      <c r="Y89" s="69">
        <f t="shared" si="29"/>
        <v>4.9700000000000001E-2</v>
      </c>
      <c r="Z89" s="69">
        <f t="shared" si="30"/>
        <v>23.329499999999999</v>
      </c>
      <c r="AA89" s="69">
        <f t="shared" si="31"/>
        <v>23.279799999999998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32"/>
        <v>0177-20</v>
      </c>
      <c r="AE89" s="99" t="str">
        <f t="shared" si="33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89" s="96" t="str">
        <f t="shared" si="34"/>
        <v>"C:\Program Files (x86)\AstroGrep\AstroGrep.exe" /spath="%USERPROFILE%\AppData\Local\Temp\OnboardLogs" /stypes="app*4011*20160920*" /stext=" 19:.+((SYSTEM_STATE.+slice.+state.+changed )|(ment ac)|(system.+state.+changed )|(\|lc)|(penalty)|(\[timeout)|(PRM\|1\|D)|(kpr)|(kdp))" /e /r /s</v>
      </c>
      <c r="AG89" s="1" t="str">
        <f t="shared" si="35"/>
        <v>EC</v>
      </c>
      <c r="AH89" s="100" t="str">
        <f t="shared" si="20"/>
        <v>"%USERPROFILE%\Documents\GitHub\eaglep3\Utilities\RefineRTDCRunTimes.py" --tripid 177-20 --locoid 4011 --swversion DE.1.0.7.0 --startMP 204:497 --initTime 2016-09-20T13:12:36 --startdatetime 2016-09-20T13:17:40 --delay 3 --endMP 204:233295 --enddatetime 2016-09-20T13:55:05 --enforcementcount 0 &gt;&gt;C:\Users\stu\Documents\GitHub\eaglep3-reporting\EC\2016-09-20-refined-times.txt</v>
      </c>
      <c r="AI89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{"issue":{"subject":"","project_id":79,"tracker_id":40,"status_id":1,"priority_id":2,"assigned_to_id":23,"start_date":"2016-09-20","description":"","custom_fields":[{"id":1,"name":"Subdivision","value":"EC"},{"id":4,"name":"Milepost","value":"23.3295"},{"id":17,"name":"Train ID","value":"177-20"},{"id":16,"name":"Locomotive ID","value":"4011"},{"id":130,"name":"Impact","value":""},{"id":150,"name":"Time of Event (Mountain Time)","value":"13:55:05"},{"id":151,"name":"Denver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496</v>
      </c>
      <c r="B90" s="7">
        <v>4012</v>
      </c>
      <c r="C90" s="24" t="s">
        <v>106</v>
      </c>
      <c r="D90" s="24" t="s">
        <v>228</v>
      </c>
      <c r="E90" s="15">
        <v>42633.587210648147</v>
      </c>
      <c r="F90" s="15">
        <v>42633.591226851851</v>
      </c>
      <c r="G90" s="7">
        <v>1</v>
      </c>
      <c r="H90" s="15" t="s">
        <v>127</v>
      </c>
      <c r="I90" s="15">
        <v>42633.618900462963</v>
      </c>
      <c r="J90" s="7">
        <v>0</v>
      </c>
      <c r="K90" s="121" t="str">
        <f t="shared" si="22"/>
        <v>4011/4012</v>
      </c>
      <c r="L90" s="24" t="str">
        <f>VLOOKUP(A90,'Trips&amp;Operators'!$C$1:$E$10000,3,FALSE)</f>
        <v>HELVIE</v>
      </c>
      <c r="M90" s="6">
        <f t="shared" si="23"/>
        <v>2.7673611111822538E-2</v>
      </c>
      <c r="N90" s="7">
        <f t="shared" si="24"/>
        <v>39.850000001024455</v>
      </c>
      <c r="O90" s="7"/>
      <c r="P90" s="7"/>
      <c r="Q90" s="25"/>
      <c r="R90" s="25"/>
      <c r="S90" s="37">
        <f t="shared" si="25"/>
        <v>1</v>
      </c>
      <c r="T90" s="52" t="str">
        <f t="shared" si="26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13:05:35-0600',mode:absolute,to:'2016-09-20 15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0" s="54" t="str">
        <f t="shared" si="28"/>
        <v>N</v>
      </c>
      <c r="X90" s="168">
        <f t="shared" si="36"/>
        <v>1</v>
      </c>
      <c r="Y90" s="69">
        <f t="shared" si="29"/>
        <v>23.297699999999999</v>
      </c>
      <c r="Z90" s="69">
        <f t="shared" si="30"/>
        <v>1.54E-2</v>
      </c>
      <c r="AA90" s="69">
        <f t="shared" si="31"/>
        <v>23.282299999999999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32"/>
        <v>0178-20</v>
      </c>
      <c r="AE90" s="99" t="str">
        <f t="shared" si="33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90" s="96" t="str">
        <f t="shared" si="34"/>
        <v>"C:\Program Files (x86)\AstroGrep\AstroGrep.exe" /spath="%USERPROFILE%\AppData\Local\Temp\OnboardLogs" /stypes="app*4012*20160920*" /stext=" 20:.+((SYSTEM_STATE.+slice.+state.+changed )|(ment ac)|(system.+state.+changed )|(\|lc)|(penalty)|(\[timeout)|(PRM\|1\|D)|(kpr)|(kdp))" /e /r /s</v>
      </c>
      <c r="AG90" s="1" t="str">
        <f t="shared" si="35"/>
        <v>EC</v>
      </c>
      <c r="AH90" s="100" t="str">
        <f t="shared" si="20"/>
        <v>"%USERPROFILE%\Documents\GitHub\eaglep3\Utilities\RefineRTDCRunTimes.py" --tripid 178-20 --locoid 4012 --swversion DE.1.0.7.0 --startMP 204:232977 --initTime 2016-09-20T14:05:35 --startdatetime 2016-09-20T14:11:22 --delay 1 --endMP 204:154 --enddatetime 2016-09-20T14:51:13 --enforcementcount 0 &gt;&gt;C:\Users\stu\Documents\GitHub\eaglep3-reporting\EC\2016-09-20-refined-times.txt</v>
      </c>
      <c r="AI90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{"issue":{"subject":"","project_id":79,"tracker_id":40,"status_id":1,"priority_id":2,"assigned_to_id":23,"start_date":"2016-09-20","description":"","custom_fields":[{"id":1,"name":"Subdivision","value":"EC"},{"id":4,"name":"Milepost","value":"0.0154"},{"id":17,"name":"Train ID","value":"178-20"},{"id":16,"name":"Locomotive ID","value":"4012"},{"id":130,"name":"Impact","value":""},{"id":150,"name":"Time of Event (Mountain Time)","value":"14:51:13"},{"id":151,"name":"Denver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491</v>
      </c>
      <c r="B91" s="7">
        <v>4042</v>
      </c>
      <c r="C91" s="24" t="s">
        <v>106</v>
      </c>
      <c r="D91" s="24" t="s">
        <v>219</v>
      </c>
      <c r="E91" s="15">
        <v>42633.55940972222</v>
      </c>
      <c r="F91" s="15">
        <v>42633.562719907408</v>
      </c>
      <c r="G91" s="7">
        <v>1</v>
      </c>
      <c r="H91" s="15" t="s">
        <v>338</v>
      </c>
      <c r="I91" s="15">
        <v>42633.588738425926</v>
      </c>
      <c r="J91" s="7">
        <v>0</v>
      </c>
      <c r="K91" s="121" t="str">
        <f t="shared" si="22"/>
        <v>4041/4042</v>
      </c>
      <c r="L91" s="24" t="str">
        <f>VLOOKUP(A91,'Trips&amp;Operators'!$C$1:$E$10000,3,FALSE)</f>
        <v>BONDS</v>
      </c>
      <c r="M91" s="6">
        <f t="shared" si="23"/>
        <v>2.6018518517958E-2</v>
      </c>
      <c r="N91" s="7">
        <f t="shared" si="24"/>
        <v>37.46666666585952</v>
      </c>
      <c r="O91" s="7"/>
      <c r="P91" s="7"/>
      <c r="Q91" s="25"/>
      <c r="R91" s="25"/>
      <c r="S91" s="37">
        <f t="shared" si="25"/>
        <v>1</v>
      </c>
      <c r="T91" s="52" t="str">
        <f t="shared" si="26"/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12:25:33-0600',mode:absolute,to:'2016-09-20 15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1" s="54" t="str">
        <f t="shared" si="28"/>
        <v>N</v>
      </c>
      <c r="X91" s="168">
        <f t="shared" si="36"/>
        <v>1</v>
      </c>
      <c r="Y91" s="69">
        <f t="shared" si="29"/>
        <v>4.53E-2</v>
      </c>
      <c r="Z91" s="69">
        <f t="shared" si="30"/>
        <v>23.3308</v>
      </c>
      <c r="AA91" s="69">
        <f t="shared" si="31"/>
        <v>23.285499999999999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32"/>
        <v>0179-20</v>
      </c>
      <c r="AE91" s="99" t="str">
        <f t="shared" si="33"/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91" s="96" t="str">
        <f t="shared" si="34"/>
        <v>"C:\Program Files (x86)\AstroGrep\AstroGrep.exe" /spath="%USERPROFILE%\AppData\Local\Temp\OnboardLogs" /stypes="app*4042*20160920*" /stext=" 20:.+((SYSTEM_STATE.+slice.+state.+changed )|(ment ac)|(system.+state.+changed )|(\|lc)|(penalty)|(\[timeout)|(PRM\|1\|D)|(kpr)|(kdp))" /e /r /s</v>
      </c>
      <c r="AG91" s="1" t="str">
        <f t="shared" si="35"/>
        <v>EC</v>
      </c>
      <c r="AH91" s="100" t="str">
        <f t="shared" si="20"/>
        <v>"%USERPROFILE%\Documents\GitHub\eaglep3\Utilities\RefineRTDCRunTimes.py" --tripid 179-20 --locoid 4042 --swversion DE.1.0.7.0 --startMP 204:453 --initTime 2016-09-20T13:25:33 --startdatetime 2016-09-20T13:30:19 --delay 1 --endMP 204:233308 --enddatetime 2016-09-20T14:07:47 --enforcementcount 0 &gt;&gt;C:\Users\stu\Documents\GitHub\eaglep3-reporting\EC\2016-09-20-refined-times.txt</v>
      </c>
      <c r="AI91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{"issue":{"subject":"","project_id":79,"tracker_id":40,"status_id":1,"priority_id":2,"assigned_to_id":23,"start_date":"2016-09-20","description":"","custom_fields":[{"id":1,"name":"Subdivision","value":"EC"},{"id":4,"name":"Milepost","value":"23.3308"},{"id":17,"name":"Train ID","value":"179-20"},{"id":16,"name":"Locomotive ID","value":"4042"},{"id":130,"name":"Impact","value":""},{"id":150,"name":"Time of Event (Mountain Time)","value":"14:07:47"},{"id":151,"name":"Denver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499</v>
      </c>
      <c r="B92" s="7">
        <v>4041</v>
      </c>
      <c r="C92" s="24" t="s">
        <v>106</v>
      </c>
      <c r="D92" s="24" t="s">
        <v>309</v>
      </c>
      <c r="E92" s="15">
        <v>42633.594965277778</v>
      </c>
      <c r="F92" s="15">
        <v>42633.6015625</v>
      </c>
      <c r="G92" s="7">
        <v>1</v>
      </c>
      <c r="H92" s="15" t="s">
        <v>235</v>
      </c>
      <c r="I92" s="15">
        <v>42633.629571759258</v>
      </c>
      <c r="J92" s="7">
        <v>0</v>
      </c>
      <c r="K92" s="121" t="str">
        <f t="shared" si="22"/>
        <v>4041/4042</v>
      </c>
      <c r="L92" s="24" t="str">
        <f>VLOOKUP(A92,'Trips&amp;Operators'!$C$1:$E$10000,3,FALSE)</f>
        <v>BONDS</v>
      </c>
      <c r="M92" s="6">
        <f t="shared" si="23"/>
        <v>2.8009259258396924E-2</v>
      </c>
      <c r="N92" s="7">
        <f t="shared" si="24"/>
        <v>40.33333333209157</v>
      </c>
      <c r="O92" s="7"/>
      <c r="P92" s="7"/>
      <c r="Q92" s="25"/>
      <c r="R92" s="25"/>
      <c r="S92" s="37">
        <f t="shared" si="25"/>
        <v>1</v>
      </c>
      <c r="T92" s="52" t="str">
        <f t="shared" si="26"/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13:16:45-0600',mode:absolute,to:'2016-09-20 16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2" s="54" t="str">
        <f t="shared" si="28"/>
        <v>N</v>
      </c>
      <c r="X92" s="168">
        <f t="shared" si="36"/>
        <v>1</v>
      </c>
      <c r="Y92" s="69">
        <f t="shared" si="29"/>
        <v>23.3</v>
      </c>
      <c r="Z92" s="69">
        <f t="shared" si="30"/>
        <v>1.38E-2</v>
      </c>
      <c r="AA92" s="69">
        <f t="shared" si="31"/>
        <v>23.286200000000001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32"/>
        <v>0180-20</v>
      </c>
      <c r="AE92" s="99" t="str">
        <f t="shared" si="33"/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92" s="96" t="str">
        <f t="shared" si="34"/>
        <v>"C:\Program Files (x86)\AstroGrep\AstroGrep.exe" /spath="%USERPROFILE%\AppData\Local\Temp\OnboardLogs" /stypes="app*4041*20160920*" /stext=" 21:.+((SYSTEM_STATE.+slice.+state.+changed )|(ment ac)|(system.+state.+changed )|(\|lc)|(penalty)|(\[timeout)|(PRM\|1\|D)|(kpr)|(kdp))" /e /r /s</v>
      </c>
      <c r="AG92" s="1" t="str">
        <f t="shared" si="35"/>
        <v>EC</v>
      </c>
      <c r="AH92" s="100" t="str">
        <f t="shared" si="20"/>
        <v>"%USERPROFILE%\Documents\GitHub\eaglep3\Utilities\RefineRTDCRunTimes.py" --tripid 180-20 --locoid 4041 --swversion DE.1.0.7.0 --startMP 204:233000 --initTime 2016-09-20T14:16:45 --startdatetime 2016-09-20T14:26:15 --delay 1 --endMP 204:138 --enddatetime 2016-09-20T15:06:35 --enforcementcount 0 &gt;&gt;C:\Users\stu\Documents\GitHub\eaglep3-reporting\EC\2016-09-20-refined-times.txt</v>
      </c>
      <c r="AI92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{"issue":{"subject":"","project_id":79,"tracker_id":40,"status_id":1,"priority_id":2,"assigned_to_id":23,"start_date":"2016-09-20","description":"","custom_fields":[{"id":1,"name":"Subdivision","value":"EC"},{"id":4,"name":"Milepost","value":"0.0138"},{"id":17,"name":"Train ID","value":"180-20"},{"id":16,"name":"Locomotive ID","value":"4041"},{"id":130,"name":"Impact","value":""},{"id":150,"name":"Time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492</v>
      </c>
      <c r="B93" s="7">
        <v>4003</v>
      </c>
      <c r="C93" s="24" t="s">
        <v>106</v>
      </c>
      <c r="D93" s="24" t="s">
        <v>652</v>
      </c>
      <c r="E93" s="15">
        <v>42633.568449074075</v>
      </c>
      <c r="F93" s="15">
        <v>42633.573194444441</v>
      </c>
      <c r="G93" s="7">
        <v>1</v>
      </c>
      <c r="H93" s="15" t="s">
        <v>653</v>
      </c>
      <c r="I93" s="15">
        <v>42633.599317129629</v>
      </c>
      <c r="J93" s="7">
        <v>0</v>
      </c>
      <c r="K93" s="121" t="str">
        <f t="shared" si="22"/>
        <v>4003/4004</v>
      </c>
      <c r="L93" s="24" t="str">
        <f>VLOOKUP(A93,'Trips&amp;Operators'!$C$1:$E$10000,3,FALSE)</f>
        <v>YOUNG</v>
      </c>
      <c r="M93" s="6">
        <f t="shared" si="23"/>
        <v>2.6122685187146999E-2</v>
      </c>
      <c r="N93" s="7">
        <f t="shared" si="24"/>
        <v>37.616666669491678</v>
      </c>
      <c r="O93" s="7"/>
      <c r="P93" s="7"/>
      <c r="Q93" s="25"/>
      <c r="R93" s="25"/>
      <c r="S93" s="37">
        <f t="shared" si="25"/>
        <v>1</v>
      </c>
      <c r="T93" s="52" t="str">
        <f t="shared" si="26"/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12:38:34-0600',mode:absolute,to:'2016-09-20 15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93" s="54" t="str">
        <f t="shared" si="28"/>
        <v>N</v>
      </c>
      <c r="X93" s="168">
        <f t="shared" si="36"/>
        <v>1</v>
      </c>
      <c r="Y93" s="69">
        <f t="shared" si="29"/>
        <v>4.9799999999999997E-2</v>
      </c>
      <c r="Z93" s="69">
        <f t="shared" si="30"/>
        <v>23.332000000000001</v>
      </c>
      <c r="AA93" s="69">
        <f t="shared" si="31"/>
        <v>23.2822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32"/>
        <v>0181-20</v>
      </c>
      <c r="AE93" s="99" t="str">
        <f t="shared" si="33"/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93" s="96" t="str">
        <f t="shared" si="34"/>
        <v>"C:\Program Files (x86)\AstroGrep\AstroGrep.exe" /spath="%USERPROFILE%\AppData\Local\Temp\OnboardLogs" /stypes="app*4003*20160920*" /stext=" 20:.+((SYSTEM_STATE.+slice.+state.+changed )|(ment ac)|(system.+state.+changed )|(\|lc)|(penalty)|(\[timeout)|(PRM\|1\|D)|(kpr)|(kdp))" /e /r /s</v>
      </c>
      <c r="AG93" s="1" t="str">
        <f t="shared" si="35"/>
        <v>EC</v>
      </c>
      <c r="AH93" s="100" t="str">
        <f t="shared" si="20"/>
        <v>"%USERPROFILE%\Documents\GitHub\eaglep3\Utilities\RefineRTDCRunTimes.py" --tripid 181-20 --locoid 4003 --swversion DE.1.0.7.0 --startMP 204:498 --initTime 2016-09-20T13:38:34 --startdatetime 2016-09-20T13:45:24 --delay 1 --endMP 204:233320 --enddatetime 2016-09-20T14:23:01 --enforcementcount 0 &gt;&gt;C:\Users\stu\Documents\GitHub\eaglep3-reporting\EC\2016-09-20-refined-times.txt</v>
      </c>
      <c r="AI93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{"issue":{"subject":"","project_id":79,"tracker_id":40,"status_id":1,"priority_id":2,"assigned_to_id":23,"start_date":"2016-09-20","description":"","custom_fields":[{"id":1,"name":"Subdivision","value":"EC"},{"id":4,"name":"Milepost","value":"23.332"},{"id":17,"name":"Train ID","value":"181-20"},{"id":16,"name":"Locomotive ID","value":"4003"},{"id":130,"name":"Impact","value":""},{"id":150,"name":"Time of Event (Mountain Time)","value":"14:23:01"},{"id":151,"name":"Denver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501</v>
      </c>
      <c r="B94" s="7">
        <v>4004</v>
      </c>
      <c r="C94" s="24" t="s">
        <v>106</v>
      </c>
      <c r="D94" s="24" t="s">
        <v>292</v>
      </c>
      <c r="E94" s="15">
        <v>42633.606238425928</v>
      </c>
      <c r="F94" s="15">
        <v>42633.612557870372</v>
      </c>
      <c r="G94" s="7">
        <v>1</v>
      </c>
      <c r="H94" s="15" t="s">
        <v>217</v>
      </c>
      <c r="I94" s="15">
        <v>42633.641944444447</v>
      </c>
      <c r="J94" s="7">
        <v>0</v>
      </c>
      <c r="K94" s="121" t="str">
        <f t="shared" si="22"/>
        <v>4003/4004</v>
      </c>
      <c r="L94" s="24" t="str">
        <f>VLOOKUP(A94,'Trips&amp;Operators'!$C$1:$E$10000,3,FALSE)</f>
        <v>YOUNG</v>
      </c>
      <c r="M94" s="6">
        <f t="shared" si="23"/>
        <v>2.9386574075033423E-2</v>
      </c>
      <c r="N94" s="7">
        <f t="shared" si="24"/>
        <v>42.316666668048128</v>
      </c>
      <c r="O94" s="7"/>
      <c r="P94" s="7"/>
      <c r="Q94" s="25"/>
      <c r="R94" s="25"/>
      <c r="S94" s="37">
        <f t="shared" si="25"/>
        <v>1</v>
      </c>
      <c r="T94" s="52" t="str">
        <f t="shared" si="26"/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13:32:59-0600',mode:absolute,to:'2016-09-20 16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94" s="54" t="str">
        <f t="shared" si="28"/>
        <v>N</v>
      </c>
      <c r="X94" s="168">
        <f t="shared" si="36"/>
        <v>1</v>
      </c>
      <c r="Y94" s="69">
        <f t="shared" si="29"/>
        <v>23.298999999999999</v>
      </c>
      <c r="Z94" s="69">
        <f t="shared" si="30"/>
        <v>1.5800000000000002E-2</v>
      </c>
      <c r="AA94" s="69">
        <f t="shared" si="31"/>
        <v>23.283200000000001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32"/>
        <v>0182-20</v>
      </c>
      <c r="AE94" s="99" t="str">
        <f t="shared" si="33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94" s="96" t="str">
        <f t="shared" si="34"/>
        <v>"C:\Program Files (x86)\AstroGrep\AstroGrep.exe" /spath="%USERPROFILE%\AppData\Local\Temp\OnboardLogs" /stypes="app*4004*20160920*" /stext=" 21:.+((SYSTEM_STATE.+slice.+state.+changed )|(ment ac)|(system.+state.+changed )|(\|lc)|(penalty)|(\[timeout)|(PRM\|1\|D)|(kpr)|(kdp))" /e /r /s</v>
      </c>
      <c r="AG94" s="1" t="str">
        <f t="shared" si="35"/>
        <v>EC</v>
      </c>
      <c r="AH94" s="100" t="str">
        <f t="shared" si="20"/>
        <v>"%USERPROFILE%\Documents\GitHub\eaglep3\Utilities\RefineRTDCRunTimes.py" --tripid 182-20 --locoid 4004 --swversion DE.1.0.7.0 --startMP 204:232990 --initTime 2016-09-20T14:32:59 --startdatetime 2016-09-20T14:42:05 --delay 1 --endMP 204:158 --enddatetime 2016-09-20T15:24:24 --enforcementcount 0 &gt;&gt;C:\Users\stu\Documents\GitHub\eaglep3-reporting\EC\2016-09-20-refined-times.txt</v>
      </c>
      <c r="AI94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ID","value":"182-20"},{"id":16,"name":"Locomotive ID","value":"4004"},{"id":130,"name":"Impact","value":""},{"id":150,"name":"Time of Event (Mountain Time)","value":"15:24:24"},{"id":151,"name":"Denver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495</v>
      </c>
      <c r="B95" s="7">
        <v>4018</v>
      </c>
      <c r="C95" s="24" t="s">
        <v>106</v>
      </c>
      <c r="D95" s="24" t="s">
        <v>654</v>
      </c>
      <c r="E95" s="15">
        <v>42633.579513888886</v>
      </c>
      <c r="F95" s="15">
        <v>42633.583506944444</v>
      </c>
      <c r="G95" s="7">
        <v>1</v>
      </c>
      <c r="H95" s="15" t="s">
        <v>655</v>
      </c>
      <c r="I95" s="15">
        <v>42633.609340277777</v>
      </c>
      <c r="J95" s="7">
        <v>0</v>
      </c>
      <c r="K95" s="121" t="str">
        <f t="shared" si="22"/>
        <v>4017/4018</v>
      </c>
      <c r="L95" s="24" t="str">
        <f>VLOOKUP(A95,'Trips&amp;Operators'!$C$1:$E$10000,3,FALSE)</f>
        <v>CLARK</v>
      </c>
      <c r="M95" s="6">
        <f t="shared" si="23"/>
        <v>2.5833333333139308E-2</v>
      </c>
      <c r="N95" s="7">
        <f t="shared" si="24"/>
        <v>37.199999999720603</v>
      </c>
      <c r="O95" s="7"/>
      <c r="P95" s="7"/>
      <c r="Q95" s="25"/>
      <c r="R95" s="25"/>
      <c r="S95" s="37">
        <f t="shared" si="25"/>
        <v>1</v>
      </c>
      <c r="T95" s="52" t="str">
        <f t="shared" si="26"/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12:54:30-0600',mode:absolute,to:'2016-09-20 15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5" s="54" t="str">
        <f t="shared" si="28"/>
        <v>N</v>
      </c>
      <c r="X95" s="168">
        <f t="shared" si="36"/>
        <v>1</v>
      </c>
      <c r="Y95" s="69">
        <f t="shared" si="29"/>
        <v>4.8899999999999999E-2</v>
      </c>
      <c r="Z95" s="69">
        <f t="shared" si="30"/>
        <v>23.322700000000001</v>
      </c>
      <c r="AA95" s="69">
        <f t="shared" si="31"/>
        <v>23.273800000000001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32"/>
        <v>0183-20</v>
      </c>
      <c r="AE95" s="99" t="str">
        <f t="shared" si="33"/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95" s="96" t="str">
        <f t="shared" si="34"/>
        <v>"C:\Program Files (x86)\AstroGrep\AstroGrep.exe" /spath="%USERPROFILE%\AppData\Local\Temp\OnboardLogs" /stypes="app*4018*20160920*" /stext=" 20:.+((SYSTEM_STATE.+slice.+state.+changed )|(ment ac)|(system.+state.+changed )|(\|lc)|(penalty)|(\[timeout)|(PRM\|1\|D)|(kpr)|(kdp))" /e /r /s</v>
      </c>
      <c r="AG95" s="1" t="str">
        <f t="shared" si="35"/>
        <v>EC</v>
      </c>
      <c r="AH95" s="100" t="str">
        <f t="shared" si="20"/>
        <v>"%USERPROFILE%\Documents\GitHub\eaglep3\Utilities\RefineRTDCRunTimes.py" --tripid 183-20 --locoid 4018 --swversion DE.1.0.7.0 --startMP 204:489 --initTime 2016-09-20T13:54:30 --startdatetime 2016-09-20T14:00:15 --delay 1 --endMP 204:233227 --enddatetime 2016-09-20T14:37:27 --enforcementcount 0 &gt;&gt;C:\Users\stu\Documents\GitHub\eaglep3-reporting\EC\2016-09-20-refined-times.txt</v>
      </c>
      <c r="AI95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{"issue":{"subject":"","project_id":79,"tracker_id":40,"status_id":1,"priority_id":2,"assigned_to_id":23,"start_date":"2016-09-20","description":"","custom_fields":[{"id":1,"name":"Subdivision","value":"EC"},{"id":4,"name":"Milepost","value":"23.3227"},{"id":17,"name":"Train ID","value":"183-20"},{"id":16,"name":"Locomotive ID","value":"4018"},{"id":130,"name":"Impact","value":""},{"id":150,"name":"Time of Event (Mountain Time)","value":"14:37:27"},{"id":151,"name":"Denver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504</v>
      </c>
      <c r="B96" s="7">
        <v>4017</v>
      </c>
      <c r="C96" s="24" t="s">
        <v>106</v>
      </c>
      <c r="D96" s="24" t="s">
        <v>656</v>
      </c>
      <c r="E96" s="15">
        <v>42633.617071759261</v>
      </c>
      <c r="F96" s="15">
        <v>42633.622488425928</v>
      </c>
      <c r="G96" s="7">
        <v>1</v>
      </c>
      <c r="H96" s="15" t="s">
        <v>657</v>
      </c>
      <c r="I96" s="15">
        <v>42633.651041666664</v>
      </c>
      <c r="J96" s="7">
        <v>0</v>
      </c>
      <c r="K96" s="121" t="str">
        <f t="shared" si="22"/>
        <v>4017/4018</v>
      </c>
      <c r="L96" s="24" t="str">
        <f>VLOOKUP(A96,'Trips&amp;Operators'!$C$1:$E$10000,3,FALSE)</f>
        <v>CLARK</v>
      </c>
      <c r="M96" s="6">
        <f t="shared" si="23"/>
        <v>2.8553240736073349E-2</v>
      </c>
      <c r="N96" s="7">
        <f t="shared" si="24"/>
        <v>41.116666659945622</v>
      </c>
      <c r="O96" s="7"/>
      <c r="P96" s="7"/>
      <c r="Q96" s="25"/>
      <c r="R96" s="25"/>
      <c r="S96" s="37">
        <f t="shared" si="25"/>
        <v>1</v>
      </c>
      <c r="T96" s="52" t="str">
        <f t="shared" si="26"/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13:48:35-0600',mode:absolute,to:'2016-09-20 16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6" s="54" t="str">
        <f t="shared" si="28"/>
        <v>N</v>
      </c>
      <c r="X96" s="168">
        <f t="shared" si="36"/>
        <v>1</v>
      </c>
      <c r="Y96" s="69">
        <f t="shared" si="29"/>
        <v>23.290400000000002</v>
      </c>
      <c r="Z96" s="69">
        <f t="shared" si="30"/>
        <v>1.8499999999999999E-2</v>
      </c>
      <c r="AA96" s="69">
        <f t="shared" si="31"/>
        <v>23.271900000000002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32"/>
        <v>0184-20</v>
      </c>
      <c r="AE96" s="99" t="str">
        <f t="shared" si="33"/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96" s="96" t="str">
        <f t="shared" si="34"/>
        <v>"C:\Program Files (x86)\AstroGrep\AstroGrep.exe" /spath="%USERPROFILE%\AppData\Local\Temp\OnboardLogs" /stypes="app*4017*20160920*" /stext=" 21:.+((SYSTEM_STATE.+slice.+state.+changed )|(ment ac)|(system.+state.+changed )|(\|lc)|(penalty)|(\[timeout)|(PRM\|1\|D)|(kpr)|(kdp))" /e /r /s</v>
      </c>
      <c r="AG96" s="1" t="str">
        <f t="shared" si="35"/>
        <v>EC</v>
      </c>
      <c r="AH96" s="100" t="str">
        <f t="shared" si="20"/>
        <v>"%USERPROFILE%\Documents\GitHub\eaglep3\Utilities\RefineRTDCRunTimes.py" --tripid 184-20 --locoid 4017 --swversion DE.1.0.7.0 --startMP 204:232904 --initTime 2016-09-20T14:48:35 --startdatetime 2016-09-20T14:56:23 --delay 1 --endMP 204:185 --enddatetime 2016-09-20T15:37:30 --enforcementcount 0 &gt;&gt;C:\Users\stu\Documents\GitHub\eaglep3-reporting\EC\2016-09-20-refined-times.txt</v>
      </c>
      <c r="AI96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{"issue":{"subject":"","project_id":79,"tracker_id":40,"status_id":1,"priority_id":2,"assigned_to_id":23,"start_date":"2016-09-20","description":"","custom_fields":[{"id":1,"name":"Subdivision","value":"EC"},{"id":4,"name":"Milepost","value":"0.0185"},{"id":17,"name":"Train ID","value":"184-20"},{"id":16,"name":"Locomotive ID","value":"4017"},{"id":130,"name":"Impact","value":""},{"id":150,"name":"Time of Event (Mountain Time)","value":"15:37:30"},{"id":151,"name":"Denver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497</v>
      </c>
      <c r="B97" s="7">
        <v>4025</v>
      </c>
      <c r="C97" s="24" t="s">
        <v>106</v>
      </c>
      <c r="D97" s="24" t="s">
        <v>238</v>
      </c>
      <c r="E97" s="15">
        <v>42633.591400462959</v>
      </c>
      <c r="F97" s="15">
        <v>42633.594131944446</v>
      </c>
      <c r="G97" s="7">
        <v>1</v>
      </c>
      <c r="H97" s="15" t="s">
        <v>333</v>
      </c>
      <c r="I97" s="15">
        <v>42633.61922453704</v>
      </c>
      <c r="J97" s="7">
        <v>0</v>
      </c>
      <c r="K97" s="121" t="str">
        <f t="shared" si="22"/>
        <v>4025/4026</v>
      </c>
      <c r="L97" s="24" t="str">
        <f>VLOOKUP(A97,'Trips&amp;Operators'!$C$1:$E$10000,3,FALSE)</f>
        <v>STORY</v>
      </c>
      <c r="M97" s="6">
        <f t="shared" si="23"/>
        <v>2.5092592593864538E-2</v>
      </c>
      <c r="N97" s="7">
        <f t="shared" si="24"/>
        <v>36.133333335164934</v>
      </c>
      <c r="O97" s="7"/>
      <c r="P97" s="7"/>
      <c r="Q97" s="25"/>
      <c r="R97" s="25"/>
      <c r="S97" s="37">
        <f t="shared" si="25"/>
        <v>1</v>
      </c>
      <c r="T97" s="52" t="str">
        <f t="shared" si="26"/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13:11:37-0600',mode:absolute,to:'2016-09-20 15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7" s="54" t="str">
        <f t="shared" si="28"/>
        <v>N</v>
      </c>
      <c r="X97" s="168">
        <f t="shared" si="36"/>
        <v>1</v>
      </c>
      <c r="Y97" s="69">
        <f t="shared" si="29"/>
        <v>4.6899999999999997E-2</v>
      </c>
      <c r="Z97" s="69">
        <f t="shared" si="30"/>
        <v>23.333400000000001</v>
      </c>
      <c r="AA97" s="69">
        <f t="shared" si="31"/>
        <v>23.2865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32"/>
        <v>0185-20</v>
      </c>
      <c r="AE97" s="99" t="str">
        <f t="shared" si="33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97" s="96" t="str">
        <f t="shared" si="34"/>
        <v>"C:\Program Files (x86)\AstroGrep\AstroGrep.exe" /spath="%USERPROFILE%\AppData\Local\Temp\OnboardLogs" /stypes="app*4025*20160920*" /stext=" 20:.+((SYSTEM_STATE.+slice.+state.+changed )|(ment ac)|(system.+state.+changed )|(\|lc)|(penalty)|(\[timeout)|(PRM\|1\|D)|(kpr)|(kdp))" /e /r /s</v>
      </c>
      <c r="AG97" s="1" t="str">
        <f t="shared" si="35"/>
        <v>EC</v>
      </c>
      <c r="AH97" s="100" t="str">
        <f t="shared" si="20"/>
        <v>"%USERPROFILE%\Documents\GitHub\eaglep3\Utilities\RefineRTDCRunTimes.py" --tripid 185-20 --locoid 4025 --swversion DE.1.0.7.0 --startMP 204:469 --initTime 2016-09-20T14:11:37 --startdatetime 2016-09-20T14:15:33 --delay 1 --endMP 204:233334 --enddatetime 2016-09-20T14:51:41 --enforcementcount 0 &gt;&gt;C:\Users\stu\Documents\GitHub\eaglep3-reporting\EC\2016-09-20-refined-times.txt</v>
      </c>
      <c r="AI97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{"issue":{"subject":"","project_id":79,"tracker_id":40,"status_id":1,"priority_id":2,"assigned_to_id":23,"start_date":"2016-09-20","description":"","custom_fields":[{"id":1,"name":"Subdivision","value":"EC"},{"id":4,"name":"Milepost","value":"23.3334"},{"id":17,"name":"Train ID","value":"185-20"},{"id":16,"name":"Locomotive ID","value":"4025"},{"id":130,"name":"Impact","value":""},{"id":150,"name":"Time of Event (Mountain Time)","value":"14:51:41"},{"id":151,"name":"Denver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506</v>
      </c>
      <c r="B98" s="7">
        <v>4026</v>
      </c>
      <c r="C98" s="24" t="s">
        <v>106</v>
      </c>
      <c r="D98" s="24" t="s">
        <v>642</v>
      </c>
      <c r="E98" s="15">
        <v>42633.624178240738</v>
      </c>
      <c r="F98" s="15">
        <v>42633.632881944446</v>
      </c>
      <c r="G98" s="7">
        <v>1</v>
      </c>
      <c r="H98" s="15" t="s">
        <v>218</v>
      </c>
      <c r="I98" s="15">
        <v>42633.660439814812</v>
      </c>
      <c r="J98" s="7">
        <v>0</v>
      </c>
      <c r="K98" s="121" t="str">
        <f t="shared" si="22"/>
        <v>4025/4026</v>
      </c>
      <c r="L98" s="24" t="str">
        <f>VLOOKUP(A98,'Trips&amp;Operators'!$C$1:$E$10000,3,FALSE)</f>
        <v>STORY</v>
      </c>
      <c r="M98" s="6">
        <f t="shared" si="23"/>
        <v>2.7557870365853887E-2</v>
      </c>
      <c r="N98" s="7">
        <f t="shared" si="24"/>
        <v>39.683333326829597</v>
      </c>
      <c r="O98" s="7"/>
      <c r="P98" s="7"/>
      <c r="Q98" s="25"/>
      <c r="R98" s="25"/>
      <c r="S98" s="37">
        <f t="shared" si="25"/>
        <v>1</v>
      </c>
      <c r="T98" s="52" t="str">
        <f t="shared" si="26"/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13:58:49-0600',mode:absolute,to:'2016-09-20 16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8" s="54" t="str">
        <f t="shared" si="28"/>
        <v>N</v>
      </c>
      <c r="X98" s="168">
        <f t="shared" si="36"/>
        <v>1</v>
      </c>
      <c r="Y98" s="69">
        <f t="shared" si="29"/>
        <v>23.303000000000001</v>
      </c>
      <c r="Z98" s="69">
        <f t="shared" si="30"/>
        <v>1.47E-2</v>
      </c>
      <c r="AA98" s="69">
        <f t="shared" si="31"/>
        <v>23.2883</v>
      </c>
      <c r="AB98" s="66" t="str">
        <f>VLOOKUP(A98,Enforcements!$C$7:$K$20,8,0)</f>
        <v>Bulletin (2)</v>
      </c>
      <c r="AC98" s="62" t="str">
        <f>VLOOKUP(A98,Enforcements!$C$7:$E$20,3,0)</f>
        <v>GRADE CROSSING</v>
      </c>
      <c r="AD98" s="63" t="str">
        <f t="shared" si="32"/>
        <v>0186-20</v>
      </c>
      <c r="AE98" s="99" t="str">
        <f t="shared" si="33"/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98" s="96" t="str">
        <f t="shared" si="34"/>
        <v>"C:\Program Files (x86)\AstroGrep\AstroGrep.exe" /spath="%USERPROFILE%\AppData\Local\Temp\OnboardLogs" /stypes="app*4026*20160920*" /stext=" 21:.+((SYSTEM_STATE.+slice.+state.+changed )|(ment ac)|(system.+state.+changed )|(\|lc)|(penalty)|(\[timeout)|(PRM\|1\|D)|(kpr)|(kdp))" /e /r /s</v>
      </c>
      <c r="AG98" s="1" t="str">
        <f t="shared" si="35"/>
        <v>EC</v>
      </c>
      <c r="AH98" s="100" t="str">
        <f t="shared" si="20"/>
        <v>"%USERPROFILE%\Documents\GitHub\eaglep3\Utilities\RefineRTDCRunTimes.py" --tripid 186-20 --locoid 4026 --swversion DE.1.0.7.0 --startMP 204:233030 --initTime 2016-09-20T14:58:49 --startdatetime 2016-09-20T15:11:21 --delay 1 --endMP 204:147 --enddatetime 2016-09-20T15:51:02 --enforcementcount 0 &gt;&gt;C:\Users\stu\Documents\GitHub\eaglep3-reporting\EC\2016-09-20-refined-times.txt</v>
      </c>
      <c r="AI98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{"issue":{"subject":"","project_id":79,"tracker_id":40,"status_id":1,"priority_id":2,"assigned_to_id":23,"start_date":"2016-09-20","description":"","custom_fields":[{"id":1,"name":"Subdivision","value":"EC"},{"id":4,"name":"Milepost","value":"0.0147"},{"id":17,"name":"Train ID","value":"186-20"},{"id":16,"name":"Locomotive ID","value":"4026"},{"id":130,"name":"Impact","value":""},{"id":150,"name":"Time of Event (Mountain Time)","value":"15:51:02"},{"id":151,"name":"Denver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500</v>
      </c>
      <c r="B99" s="7">
        <v>4009</v>
      </c>
      <c r="C99" s="24" t="s">
        <v>106</v>
      </c>
      <c r="D99" s="24" t="s">
        <v>219</v>
      </c>
      <c r="E99" s="15">
        <v>42633.600648148145</v>
      </c>
      <c r="F99" s="15">
        <v>42633.604525462964</v>
      </c>
      <c r="G99" s="7">
        <v>1</v>
      </c>
      <c r="H99" s="15" t="s">
        <v>333</v>
      </c>
      <c r="I99" s="15">
        <v>42633.629953703705</v>
      </c>
      <c r="J99" s="7">
        <v>0</v>
      </c>
      <c r="K99" s="121" t="str">
        <f t="shared" si="22"/>
        <v>4009/4010</v>
      </c>
      <c r="L99" s="24" t="str">
        <f>VLOOKUP(A99,'Trips&amp;Operators'!$C$1:$E$10000,3,FALSE)</f>
        <v>BARTLETT</v>
      </c>
      <c r="M99" s="6">
        <f t="shared" si="23"/>
        <v>2.5428240740438923E-2</v>
      </c>
      <c r="N99" s="7">
        <f t="shared" si="24"/>
        <v>36.616666666232049</v>
      </c>
      <c r="O99" s="7"/>
      <c r="P99" s="7"/>
      <c r="Q99" s="25"/>
      <c r="R99" s="25"/>
      <c r="S99" s="37">
        <f t="shared" si="25"/>
        <v>1</v>
      </c>
      <c r="T99" s="52" t="str">
        <f t="shared" si="26"/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13:24:56-0600',mode:absolute,to:'2016-09-20 16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9" s="54" t="str">
        <f t="shared" si="28"/>
        <v>N</v>
      </c>
      <c r="X99" s="168">
        <f t="shared" si="36"/>
        <v>1</v>
      </c>
      <c r="Y99" s="69">
        <f t="shared" si="29"/>
        <v>4.53E-2</v>
      </c>
      <c r="Z99" s="69">
        <f t="shared" si="30"/>
        <v>23.333400000000001</v>
      </c>
      <c r="AA99" s="69">
        <f t="shared" si="31"/>
        <v>23.2881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32"/>
        <v>0187-20</v>
      </c>
      <c r="AE99" s="99" t="str">
        <f t="shared" si="33"/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99" s="96" t="str">
        <f t="shared" si="34"/>
        <v>"C:\Program Files (x86)\AstroGrep\AstroGrep.exe" /spath="%USERPROFILE%\AppData\Local\Temp\OnboardLogs" /stypes="app*4009*20160920*" /stext=" 21:.+((SYSTEM_STATE.+slice.+state.+changed )|(ment ac)|(system.+state.+changed )|(\|lc)|(penalty)|(\[timeout)|(PRM\|1\|D)|(kpr)|(kdp))" /e /r /s</v>
      </c>
      <c r="AG99" s="1" t="str">
        <f t="shared" si="35"/>
        <v>EC</v>
      </c>
      <c r="AH99" s="100" t="str">
        <f t="shared" si="20"/>
        <v>"%USERPROFILE%\Documents\GitHub\eaglep3\Utilities\RefineRTDCRunTimes.py" --tripid 187-20 --locoid 4009 --swversion DE.1.0.7.0 --startMP 204:453 --initTime 2016-09-20T14:24:56 --startdatetime 2016-09-20T14:30:31 --delay 1 --endMP 204:233334 --enddatetime 2016-09-20T15:07:08 --enforcementcount 0 &gt;&gt;C:\Users\stu\Documents\GitHub\eaglep3-reporting\EC\2016-09-20-refined-times.txt</v>
      </c>
      <c r="AI99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{"issue":{"subject":"","project_id":79,"tracker_id":40,"status_id":1,"priority_id":2,"assigned_to_id":23,"start_date":"2016-09-20","description":"","custom_fields":[{"id":1,"name":"Subdivision","value":"EC"},{"id":4,"name":"Milepost","value":"23.3334"},{"id":17,"name":"Train ID","value":"187-20"},{"id":16,"name":"Locomotive ID","value":"4009"},{"id":130,"name":"Impact","value":""},{"id":150,"name":"Time of Event (Mountain Time)","value":"15:07:08"},{"id":151,"name":"Denver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507</v>
      </c>
      <c r="B100" s="7">
        <v>4010</v>
      </c>
      <c r="C100" s="24" t="s">
        <v>106</v>
      </c>
      <c r="D100" s="24" t="s">
        <v>658</v>
      </c>
      <c r="E100" s="15">
        <v>42633.631574074076</v>
      </c>
      <c r="F100" s="15">
        <v>42633.64366898148</v>
      </c>
      <c r="G100" s="7">
        <v>1</v>
      </c>
      <c r="H100" s="15" t="s">
        <v>217</v>
      </c>
      <c r="I100" s="15">
        <v>42633.671273148146</v>
      </c>
      <c r="J100" s="7">
        <v>0</v>
      </c>
      <c r="K100" s="121" t="str">
        <f t="shared" si="22"/>
        <v>4009/4010</v>
      </c>
      <c r="L100" s="24" t="str">
        <f>VLOOKUP(A100,'Trips&amp;Operators'!$C$1:$E$10000,3,FALSE)</f>
        <v>BARTLETT</v>
      </c>
      <c r="M100" s="6">
        <f t="shared" si="23"/>
        <v>2.7604166665696539E-2</v>
      </c>
      <c r="N100" s="7">
        <f t="shared" si="24"/>
        <v>39.749999998603016</v>
      </c>
      <c r="O100" s="7"/>
      <c r="P100" s="7"/>
      <c r="Q100" s="25"/>
      <c r="R100" s="25"/>
      <c r="S100" s="37">
        <f t="shared" si="25"/>
        <v>1</v>
      </c>
      <c r="T100" s="52" t="str">
        <f t="shared" si="26"/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14:09:28-0600',mode:absolute,to:'2016-09-20 17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0" s="54" t="str">
        <f t="shared" si="28"/>
        <v>N</v>
      </c>
      <c r="X100" s="168">
        <f t="shared" si="36"/>
        <v>1</v>
      </c>
      <c r="Y100" s="69">
        <f t="shared" si="29"/>
        <v>23.301100000000002</v>
      </c>
      <c r="Z100" s="69">
        <f t="shared" si="30"/>
        <v>1.5800000000000002E-2</v>
      </c>
      <c r="AA100" s="69">
        <f t="shared" si="31"/>
        <v>23.285300000000003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32"/>
        <v>0188-20</v>
      </c>
      <c r="AE100" s="99" t="str">
        <f t="shared" si="33"/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100" s="96" t="str">
        <f t="shared" si="34"/>
        <v>"C:\Program Files (x86)\AstroGrep\AstroGrep.exe" /spath="%USERPROFILE%\AppData\Local\Temp\OnboardLogs" /stypes="app*4010*20160920*" /stext=" 22:.+((SYSTEM_STATE.+slice.+state.+changed )|(ment ac)|(system.+state.+changed )|(\|lc)|(penalty)|(\[timeout)|(PRM\|1\|D)|(kpr)|(kdp))" /e /r /s</v>
      </c>
      <c r="AG100" s="1" t="str">
        <f t="shared" si="35"/>
        <v>EC</v>
      </c>
      <c r="AH100" s="100" t="str">
        <f t="shared" si="20"/>
        <v>"%USERPROFILE%\Documents\GitHub\eaglep3\Utilities\RefineRTDCRunTimes.py" --tripid 188-20 --locoid 4010 --swversion DE.1.0.7.0 --startMP 204:233011 --initTime 2016-09-20T15:09:28 --startdatetime 2016-09-20T15:26:53 --delay 1 --endMP 204:158 --enddatetime 2016-09-20T16:06:38 --enforcementcount 0 &gt;&gt;C:\Users\stu\Documents\GitHub\eaglep3-reporting\EC\2016-09-20-refined-times.txt</v>
      </c>
      <c r="AI100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ID","value":"188-20"},{"id":16,"name":"Locomotive ID","value":"4010"},{"id":130,"name":"Impact","value":""},{"id":150,"name":"Time of Event (Mountain Time)","value":"16:06:38"},{"id":151,"name":"Denver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503</v>
      </c>
      <c r="B101" s="7">
        <v>4014</v>
      </c>
      <c r="C101" s="24" t="s">
        <v>106</v>
      </c>
      <c r="D101" s="24" t="s">
        <v>659</v>
      </c>
      <c r="E101" s="15">
        <v>42633.611909722225</v>
      </c>
      <c r="F101" s="15">
        <v>42633.614895833336</v>
      </c>
      <c r="G101" s="7">
        <v>1</v>
      </c>
      <c r="H101" s="15" t="s">
        <v>295</v>
      </c>
      <c r="I101" s="15">
        <v>42633.640092592592</v>
      </c>
      <c r="J101" s="7">
        <v>0</v>
      </c>
      <c r="K101" s="121" t="str">
        <f t="shared" si="22"/>
        <v>4013/4014</v>
      </c>
      <c r="L101" s="24" t="str">
        <f>VLOOKUP(A101,'Trips&amp;Operators'!$C$1:$E$10000,3,FALSE)</f>
        <v>STEWART</v>
      </c>
      <c r="M101" s="6">
        <f t="shared" si="23"/>
        <v>2.5196759255777579E-2</v>
      </c>
      <c r="N101" s="7">
        <f t="shared" si="24"/>
        <v>36.283333328319713</v>
      </c>
      <c r="O101" s="7"/>
      <c r="P101" s="7"/>
      <c r="Q101" s="25"/>
      <c r="R101" s="25"/>
      <c r="S101" s="37">
        <f t="shared" si="25"/>
        <v>1</v>
      </c>
      <c r="T101" s="52" t="str">
        <f t="shared" si="26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13:41:09-0600',mode:absolute,to:'2016-09-20 16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1" s="54" t="str">
        <f t="shared" si="28"/>
        <v>N</v>
      </c>
      <c r="X101" s="168">
        <f t="shared" si="36"/>
        <v>1</v>
      </c>
      <c r="Y101" s="69">
        <f t="shared" si="29"/>
        <v>4.4600000000000001E-2</v>
      </c>
      <c r="Z101" s="69">
        <f t="shared" si="30"/>
        <v>23.3293</v>
      </c>
      <c r="AA101" s="69">
        <f t="shared" si="31"/>
        <v>23.284700000000001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32"/>
        <v>0189-20</v>
      </c>
      <c r="AE101" s="99" t="str">
        <f t="shared" si="33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01" s="96" t="str">
        <f t="shared" si="34"/>
        <v>"C:\Program Files (x86)\AstroGrep\AstroGrep.exe" /spath="%USERPROFILE%\AppData\Local\Temp\OnboardLogs" /stypes="app*4014*20160920*" /stext=" 21:.+((SYSTEM_STATE.+slice.+state.+changed )|(ment ac)|(system.+state.+changed )|(\|lc)|(penalty)|(\[timeout)|(PRM\|1\|D)|(kpr)|(kdp))" /e /r /s</v>
      </c>
      <c r="AG101" s="1" t="str">
        <f t="shared" si="35"/>
        <v>EC</v>
      </c>
      <c r="AH101" s="100" t="str">
        <f t="shared" si="20"/>
        <v>"%USERPROFILE%\Documents\GitHub\eaglep3\Utilities\RefineRTDCRunTimes.py" --tripid 189-20 --locoid 4014 --swversion DE.1.0.7.0 --startMP 204:446 --initTime 2016-09-20T14:41:09 --startdatetime 2016-09-20T14:45:27 --delay 1 --endMP 204:233293 --enddatetime 2016-09-20T15:21:44 --enforcementcount 0 &gt;&gt;C:\Users\stu\Documents\GitHub\eaglep3-reporting\EC\2016-09-20-refined-times.txt</v>
      </c>
      <c r="AI101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{"issue":{"subject":"","project_id":79,"tracker_id":40,"status_id":1,"priority_id":2,"assigned_to_id":23,"start_date":"2016-09-20","description":"","custom_fields":[{"id":1,"name":"Subdivision","value":"EC"},{"id":4,"name":"Milepost","value":"23.3293"},{"id":17,"name":"Train ID","value":"189-20"},{"id":16,"name":"Locomotive ID","value":"4014"},{"id":130,"name":"Impact","value":""},{"id":150,"name":"Time of Event (Mountain Time)","value":"15:21:44"},{"id":151,"name":"Denver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512</v>
      </c>
      <c r="B102" s="7">
        <v>4013</v>
      </c>
      <c r="C102" s="24" t="s">
        <v>106</v>
      </c>
      <c r="D102" s="24" t="s">
        <v>236</v>
      </c>
      <c r="E102" s="15">
        <v>42633.649259259262</v>
      </c>
      <c r="F102" s="15">
        <v>42633.65388888889</v>
      </c>
      <c r="G102" s="7">
        <v>1</v>
      </c>
      <c r="H102" s="15" t="s">
        <v>217</v>
      </c>
      <c r="I102" s="15">
        <v>42633.683194444442</v>
      </c>
      <c r="J102" s="7">
        <v>0</v>
      </c>
      <c r="K102" s="121" t="str">
        <f t="shared" si="22"/>
        <v>4013/4014</v>
      </c>
      <c r="L102" s="24" t="str">
        <f>VLOOKUP(A102,'Trips&amp;Operators'!$C$1:$E$10000,3,FALSE)</f>
        <v>STEWART</v>
      </c>
      <c r="M102" s="6">
        <f t="shared" si="23"/>
        <v>2.9305555552127771E-2</v>
      </c>
      <c r="N102" s="7">
        <f t="shared" si="24"/>
        <v>42.19999999506399</v>
      </c>
      <c r="O102" s="7"/>
      <c r="P102" s="7"/>
      <c r="Q102" s="25"/>
      <c r="R102" s="25"/>
      <c r="S102" s="37">
        <f t="shared" si="25"/>
        <v>1</v>
      </c>
      <c r="T102" s="52" t="str">
        <f t="shared" si="26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14:34:56-0600',mode:absolute,to:'2016-09-20 17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2" s="54" t="str">
        <f t="shared" si="28"/>
        <v>N</v>
      </c>
      <c r="X102" s="168">
        <f t="shared" si="36"/>
        <v>1</v>
      </c>
      <c r="Y102" s="69">
        <f t="shared" si="29"/>
        <v>23.297999999999998</v>
      </c>
      <c r="Z102" s="69">
        <f t="shared" si="30"/>
        <v>1.5800000000000002E-2</v>
      </c>
      <c r="AA102" s="69">
        <f t="shared" si="31"/>
        <v>23.2822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32"/>
        <v>0190-20</v>
      </c>
      <c r="AE102" s="99" t="str">
        <f t="shared" si="33"/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102" s="96" t="str">
        <f t="shared" si="34"/>
        <v>"C:\Program Files (x86)\AstroGrep\AstroGrep.exe" /spath="%USERPROFILE%\AppData\Local\Temp\OnboardLogs" /stypes="app*4013*20160920*" /stext=" 22:.+((SYSTEM_STATE.+slice.+state.+changed )|(ment ac)|(system.+state.+changed )|(\|lc)|(penalty)|(\[timeout)|(PRM\|1\|D)|(kpr)|(kdp))" /e /r /s</v>
      </c>
      <c r="AG102" s="1" t="str">
        <f t="shared" si="35"/>
        <v>EC</v>
      </c>
      <c r="AH102" s="100" t="str">
        <f t="shared" si="20"/>
        <v>"%USERPROFILE%\Documents\GitHub\eaglep3\Utilities\RefineRTDCRunTimes.py" --tripid 190-20 --locoid 4013 --swversion DE.1.0.7.0 --startMP 204:232980 --initTime 2016-09-20T15:34:56 --startdatetime 2016-09-20T15:41:36 --delay 1 --endMP 204:158 --enddatetime 2016-09-20T16:23:48 --enforcementcount 0 &gt;&gt;C:\Users\stu\Documents\GitHub\eaglep3-reporting\EC\2016-09-20-refined-times.txt</v>
      </c>
      <c r="AI102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ID","value":"190-20"},{"id":16,"name":"Locomotive ID","value":"4013"},{"id":130,"name":"Impact","value":""},{"id":150,"name":"Time of Event (Mountain Time)","value":"16:23:48"},{"id":151,"name":"Denver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505</v>
      </c>
      <c r="B103" s="7">
        <v>4011</v>
      </c>
      <c r="C103" s="24" t="s">
        <v>106</v>
      </c>
      <c r="D103" s="24" t="s">
        <v>243</v>
      </c>
      <c r="E103" s="15">
        <v>42633.622442129628</v>
      </c>
      <c r="F103" s="15">
        <v>42633.625289351854</v>
      </c>
      <c r="G103" s="7">
        <v>1</v>
      </c>
      <c r="H103" s="15" t="s">
        <v>344</v>
      </c>
      <c r="I103" s="15">
        <v>42633.649363425924</v>
      </c>
      <c r="J103" s="7">
        <v>0</v>
      </c>
      <c r="K103" s="121" t="str">
        <f t="shared" si="22"/>
        <v>4011/4012</v>
      </c>
      <c r="L103" s="24" t="str">
        <f>VLOOKUP(A103,'Trips&amp;Operators'!$C$1:$E$10000,3,FALSE)</f>
        <v>HELVIE</v>
      </c>
      <c r="M103" s="6">
        <f t="shared" si="23"/>
        <v>2.4074074070085771E-2</v>
      </c>
      <c r="N103" s="7">
        <f t="shared" si="24"/>
        <v>34.666666660923511</v>
      </c>
      <c r="O103" s="7"/>
      <c r="P103" s="7"/>
      <c r="Q103" s="25"/>
      <c r="R103" s="25"/>
      <c r="S103" s="37">
        <f t="shared" si="25"/>
        <v>1</v>
      </c>
      <c r="T103" s="52" t="str">
        <f t="shared" si="26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13:56:19-0600',mode:absolute,to:'2016-09-20 16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3" s="54" t="str">
        <f t="shared" si="28"/>
        <v>N</v>
      </c>
      <c r="X103" s="168">
        <f t="shared" si="36"/>
        <v>1</v>
      </c>
      <c r="Y103" s="69">
        <f t="shared" si="29"/>
        <v>4.6199999999999998E-2</v>
      </c>
      <c r="Z103" s="69">
        <f t="shared" si="30"/>
        <v>23.325099999999999</v>
      </c>
      <c r="AA103" s="69">
        <f t="shared" si="31"/>
        <v>23.2789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32"/>
        <v>0191-20</v>
      </c>
      <c r="AE103" s="99" t="str">
        <f t="shared" si="33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03" s="96" t="str">
        <f t="shared" si="34"/>
        <v>"C:\Program Files (x86)\AstroGrep\AstroGrep.exe" /spath="%USERPROFILE%\AppData\Local\Temp\OnboardLogs" /stypes="app*4011*20160920*" /stext=" 21:.+((SYSTEM_STATE.+slice.+state.+changed )|(ment ac)|(system.+state.+changed )|(\|lc)|(penalty)|(\[timeout)|(PRM\|1\|D)|(kpr)|(kdp))" /e /r /s</v>
      </c>
      <c r="AG103" s="1" t="str">
        <f t="shared" si="35"/>
        <v>EC</v>
      </c>
      <c r="AH103" s="100" t="str">
        <f t="shared" si="20"/>
        <v>"%USERPROFILE%\Documents\GitHub\eaglep3\Utilities\RefineRTDCRunTimes.py" --tripid 191-20 --locoid 4011 --swversion DE.1.0.7.0 --startMP 204:462 --initTime 2016-09-20T14:56:19 --startdatetime 2016-09-20T15:00:25 --delay 1 --endMP 204:233251 --enddatetime 2016-09-20T15:35:05 --enforcementcount 0 &gt;&gt;C:\Users\stu\Documents\GitHub\eaglep3-reporting\EC\2016-09-20-refined-times.txt</v>
      </c>
      <c r="AI103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{"issue":{"subject":"","project_id":79,"tracker_id":40,"status_id":1,"priority_id":2,"assigned_to_id":23,"start_date":"2016-09-20","description":"","custom_fields":[{"id":1,"name":"Subdivision","value":"EC"},{"id":4,"name":"Milepost","value":"23.3251"},{"id":17,"name":"Train ID","value":"191-20"},{"id":16,"name":"Locomotive ID","value":"4011"},{"id":130,"name":"Impact","value":""},{"id":150,"name":"Time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516</v>
      </c>
      <c r="B104" s="7">
        <v>4012</v>
      </c>
      <c r="C104" s="24" t="s">
        <v>106</v>
      </c>
      <c r="D104" s="24" t="s">
        <v>660</v>
      </c>
      <c r="E104" s="15">
        <v>42633.660069444442</v>
      </c>
      <c r="F104" s="15">
        <v>42633.664131944446</v>
      </c>
      <c r="G104" s="7">
        <v>1</v>
      </c>
      <c r="H104" s="15" t="s">
        <v>347</v>
      </c>
      <c r="I104" s="15">
        <v>42633.691053240742</v>
      </c>
      <c r="J104" s="7">
        <v>0</v>
      </c>
      <c r="K104" s="121" t="str">
        <f t="shared" si="22"/>
        <v>4011/4012</v>
      </c>
      <c r="L104" s="24" t="str">
        <f>VLOOKUP(A104,'Trips&amp;Operators'!$C$1:$E$10000,3,FALSE)</f>
        <v>HELVIE</v>
      </c>
      <c r="M104" s="6">
        <f t="shared" si="23"/>
        <v>2.6921296295768116E-2</v>
      </c>
      <c r="N104" s="7">
        <f t="shared" si="24"/>
        <v>38.766666665906087</v>
      </c>
      <c r="O104" s="7"/>
      <c r="P104" s="7"/>
      <c r="Q104" s="25"/>
      <c r="R104" s="25"/>
      <c r="S104" s="37">
        <f t="shared" si="25"/>
        <v>1</v>
      </c>
      <c r="T104" s="52" t="str">
        <f t="shared" si="26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14:50:30-0600',mode:absolute,to:'2016-09-20 17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4" s="54" t="str">
        <f t="shared" si="28"/>
        <v>N</v>
      </c>
      <c r="X104" s="168">
        <f t="shared" si="36"/>
        <v>1</v>
      </c>
      <c r="Y104" s="69">
        <f t="shared" si="29"/>
        <v>23.293800000000001</v>
      </c>
      <c r="Z104" s="69">
        <f t="shared" si="30"/>
        <v>1.83E-2</v>
      </c>
      <c r="AA104" s="69">
        <f t="shared" si="31"/>
        <v>23.275500000000001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32"/>
        <v>0192-20</v>
      </c>
      <c r="AE104" s="99" t="str">
        <f t="shared" si="33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104" s="96" t="str">
        <f t="shared" si="34"/>
        <v>"C:\Program Files (x86)\AstroGrep\AstroGrep.exe" /spath="%USERPROFILE%\AppData\Local\Temp\OnboardLogs" /stypes="app*4012*20160920*" /stext=" 22:.+((SYSTEM_STATE.+slice.+state.+changed )|(ment ac)|(system.+state.+changed )|(\|lc)|(penalty)|(\[timeout)|(PRM\|1\|D)|(kpr)|(kdp))" /e /r /s</v>
      </c>
      <c r="AG104" s="1" t="str">
        <f t="shared" si="35"/>
        <v>EC</v>
      </c>
      <c r="AH104" s="100" t="str">
        <f t="shared" si="20"/>
        <v>"%USERPROFILE%\Documents\GitHub\eaglep3\Utilities\RefineRTDCRunTimes.py" --tripid 192-20 --locoid 4012 --swversion DE.1.0.7.0 --startMP 204:232938 --initTime 2016-09-20T15:50:30 --startdatetime 2016-09-20T15:56:21 --delay 1 --endMP 204:183 --enddatetime 2016-09-20T16:35:07 --enforcementcount 0 &gt;&gt;C:\Users\stu\Documents\GitHub\eaglep3-reporting\EC\2016-09-20-refined-times.txt</v>
      </c>
      <c r="AI104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{"issue":{"subject":"","project_id":79,"tracker_id":40,"status_id":1,"priority_id":2,"assigned_to_id":23,"start_date":"2016-09-20","description":"","custom_fields":[{"id":1,"name":"Subdivision","value":"EC"},{"id":4,"name":"Milepost","value":"0.0183"},{"id":17,"name":"Train ID","value":"192-20"},{"id":16,"name":"Locomotive ID","value":"4012"},{"id":130,"name":"Impact","value":""},{"id":150,"name":"Time of Event (Mountain Time)","value":"16:35:07"},{"id":151,"name":"Denver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508</v>
      </c>
      <c r="B105" s="7">
        <v>4042</v>
      </c>
      <c r="C105" s="24" t="s">
        <v>106</v>
      </c>
      <c r="D105" s="24" t="s">
        <v>230</v>
      </c>
      <c r="E105" s="15">
        <v>42633.63144675926</v>
      </c>
      <c r="F105" s="15">
        <v>42633.635601851849</v>
      </c>
      <c r="G105" s="7">
        <v>2</v>
      </c>
      <c r="H105" s="15" t="s">
        <v>625</v>
      </c>
      <c r="I105" s="15">
        <v>42633.663032407407</v>
      </c>
      <c r="J105" s="7">
        <v>0</v>
      </c>
      <c r="K105" s="121" t="str">
        <f t="shared" si="22"/>
        <v>4041/4042</v>
      </c>
      <c r="L105" s="24" t="str">
        <f>VLOOKUP(A105,'Trips&amp;Operators'!$C$1:$E$10000,3,FALSE)</f>
        <v>BONDS</v>
      </c>
      <c r="M105" s="6">
        <f t="shared" si="23"/>
        <v>2.7430555557657499E-2</v>
      </c>
      <c r="N105" s="7">
        <f t="shared" si="24"/>
        <v>39.500000003026798</v>
      </c>
      <c r="O105" s="7"/>
      <c r="P105" s="7"/>
      <c r="Q105" s="25"/>
      <c r="R105" s="25"/>
      <c r="S105" s="37">
        <f t="shared" si="25"/>
        <v>1</v>
      </c>
      <c r="T105" s="52" t="str">
        <f t="shared" si="26"/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14:09:17-0600',mode:absolute,to:'2016-09-20 16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05" s="54" t="str">
        <f t="shared" si="28"/>
        <v>N</v>
      </c>
      <c r="X105" s="168">
        <f t="shared" si="36"/>
        <v>1</v>
      </c>
      <c r="Y105" s="69">
        <f t="shared" si="29"/>
        <v>4.58E-2</v>
      </c>
      <c r="Z105" s="69">
        <f t="shared" si="30"/>
        <v>23.328800000000001</v>
      </c>
      <c r="AA105" s="69">
        <f t="shared" si="31"/>
        <v>23.283000000000001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32"/>
        <v>0193-20</v>
      </c>
      <c r="AE105" s="99" t="str">
        <f t="shared" si="33"/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105" s="96" t="str">
        <f t="shared" si="34"/>
        <v>"C:\Program Files (x86)\AstroGrep\AstroGrep.exe" /spath="%USERPROFILE%\AppData\Local\Temp\OnboardLogs" /stypes="app*4042*20160920*" /stext=" 21:.+((SYSTEM_STATE.+slice.+state.+changed )|(ment ac)|(system.+state.+changed )|(\|lc)|(penalty)|(\[timeout)|(PRM\|1\|D)|(kpr)|(kdp))" /e /r /s</v>
      </c>
      <c r="AG105" s="1" t="str">
        <f t="shared" si="35"/>
        <v>EC</v>
      </c>
      <c r="AH105" s="100" t="str">
        <f t="shared" si="20"/>
        <v>"%USERPROFILE%\Documents\GitHub\eaglep3\Utilities\RefineRTDCRunTimes.py" --tripid 193-20 --locoid 4042 --swversion DE.1.0.7.0 --startMP 204:458 --initTime 2016-09-20T15:09:17 --startdatetime 2016-09-20T15:15:16 --delay 2 --endMP 204:233288 --enddatetime 2016-09-20T15:54:46 --enforcementcount 0 &gt;&gt;C:\Users\stu\Documents\GitHub\eaglep3-reporting\EC\2016-09-20-refined-times.txt</v>
      </c>
      <c r="AI105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{"issue":{"subject":"","project_id":79,"tracker_id":40,"status_id":1,"priority_id":2,"assigned_to_id":23,"start_date":"2016-09-20","description":"","custom_fields":[{"id":1,"name":"Subdivision","value":"EC"},{"id":4,"name":"Milepost","value":"23.3288"},{"id":17,"name":"Train ID","value":"193-20"},{"id":16,"name":"Locomotive ID","value":"4042"},{"id":130,"name":"Impact","value":""},{"id":150,"name":"Time of Event (Mountain Time)","value":"15:54:46"},{"id":151,"name":"Denver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518</v>
      </c>
      <c r="B106" s="7">
        <v>4041</v>
      </c>
      <c r="C106" s="24" t="s">
        <v>106</v>
      </c>
      <c r="D106" s="24" t="s">
        <v>234</v>
      </c>
      <c r="E106" s="15">
        <v>42633.668587962966</v>
      </c>
      <c r="F106" s="15">
        <v>42633.674490740741</v>
      </c>
      <c r="G106" s="7">
        <v>1</v>
      </c>
      <c r="H106" s="15" t="s">
        <v>244</v>
      </c>
      <c r="I106" s="15">
        <v>42633.702696759261</v>
      </c>
      <c r="J106" s="7">
        <v>0</v>
      </c>
      <c r="K106" s="121" t="str">
        <f t="shared" si="22"/>
        <v>4041/4042</v>
      </c>
      <c r="L106" s="24" t="str">
        <f>VLOOKUP(A106,'Trips&amp;Operators'!$C$1:$E$10000,3,FALSE)</f>
        <v>BONDS</v>
      </c>
      <c r="M106" s="6">
        <f t="shared" si="23"/>
        <v>2.8206018519995268E-2</v>
      </c>
      <c r="N106" s="7">
        <f t="shared" si="24"/>
        <v>40.616666668793187</v>
      </c>
      <c r="O106" s="7"/>
      <c r="P106" s="7"/>
      <c r="Q106" s="25"/>
      <c r="R106" s="25"/>
      <c r="S106" s="37">
        <f t="shared" si="25"/>
        <v>1</v>
      </c>
      <c r="T106" s="52" t="str">
        <f t="shared" si="26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15:02:46-0600',mode:absolute,to:'2016-09-20 17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6" s="54" t="str">
        <f t="shared" si="28"/>
        <v>N</v>
      </c>
      <c r="X106" s="168">
        <f t="shared" si="36"/>
        <v>1</v>
      </c>
      <c r="Y106" s="69">
        <f t="shared" si="29"/>
        <v>23.297799999999999</v>
      </c>
      <c r="Z106" s="69">
        <f t="shared" si="30"/>
        <v>1.72E-2</v>
      </c>
      <c r="AA106" s="69">
        <f t="shared" si="31"/>
        <v>23.2806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32"/>
        <v>0194-20</v>
      </c>
      <c r="AE106" s="99" t="str">
        <f t="shared" si="33"/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106" s="96" t="str">
        <f t="shared" si="34"/>
        <v>"C:\Program Files (x86)\AstroGrep\AstroGrep.exe" /spath="%USERPROFILE%\AppData\Local\Temp\OnboardLogs" /stypes="app*4041*20160920*" /stext=" 22:.+((SYSTEM_STATE.+slice.+state.+changed )|(ment ac)|(system.+state.+changed )|(\|lc)|(penalty)|(\[timeout)|(PRM\|1\|D)|(kpr)|(kdp))" /e /r /s</v>
      </c>
      <c r="AG106" s="1" t="str">
        <f t="shared" si="35"/>
        <v>EC</v>
      </c>
      <c r="AH106" s="100" t="str">
        <f t="shared" si="20"/>
        <v>"%USERPROFILE%\Documents\GitHub\eaglep3\Utilities\RefineRTDCRunTimes.py" --tripid 194-20 --locoid 4041 --swversion DE.1.0.7.0 --startMP 204:232978 --initTime 2016-09-20T16:02:46 --startdatetime 2016-09-20T16:11:16 --delay 1 --endMP 204:172 --enddatetime 2016-09-20T16:51:53 --enforcementcount 0 &gt;&gt;C:\Users\stu\Documents\GitHub\eaglep3-reporting\EC\2016-09-20-refined-times.txt</v>
      </c>
      <c r="AI106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{"issue":{"subject":"","project_id":79,"tracker_id":40,"status_id":1,"priority_id":2,"assigned_to_id":23,"start_date":"2016-09-20","description":"","custom_fields":[{"id":1,"name":"Subdivision","value":"EC"},{"id":4,"name":"Milepost","value":"0.0172"},{"id":17,"name":"Train ID","value":"194-20"},{"id":16,"name":"Locomotive ID","value":"4041"},{"id":130,"name":"Impact","value":""},{"id":150,"name":"Time of Event (Mountain Time)","value":"16:51:53"},{"id":151,"name":"Denver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511</v>
      </c>
      <c r="B107" s="7">
        <v>4003</v>
      </c>
      <c r="C107" s="24" t="s">
        <v>106</v>
      </c>
      <c r="D107" s="24" t="s">
        <v>225</v>
      </c>
      <c r="E107" s="15">
        <v>42633.64398148148</v>
      </c>
      <c r="F107" s="15">
        <v>42633.646608796298</v>
      </c>
      <c r="G107" s="7">
        <v>2</v>
      </c>
      <c r="H107" s="15" t="s">
        <v>661</v>
      </c>
      <c r="I107" s="15">
        <v>42633.672824074078</v>
      </c>
      <c r="J107" s="7">
        <v>0</v>
      </c>
      <c r="K107" s="121" t="str">
        <f t="shared" si="22"/>
        <v>4003/4004</v>
      </c>
      <c r="L107" s="24" t="str">
        <f>VLOOKUP(A107,'Trips&amp;Operators'!$C$1:$E$10000,3,FALSE)</f>
        <v>YOUNG</v>
      </c>
      <c r="M107" s="6">
        <f t="shared" si="23"/>
        <v>2.6215277779556345E-2</v>
      </c>
      <c r="N107" s="7">
        <f t="shared" si="24"/>
        <v>37.750000002561137</v>
      </c>
      <c r="O107" s="7"/>
      <c r="P107" s="7"/>
      <c r="Q107" s="25"/>
      <c r="R107" s="25"/>
      <c r="S107" s="37">
        <f t="shared" si="25"/>
        <v>1</v>
      </c>
      <c r="T107" s="52" t="str">
        <f t="shared" si="26"/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14:27:20-0600',mode:absolute,to:'2016-09-20 17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7" s="54" t="str">
        <f t="shared" si="28"/>
        <v>N</v>
      </c>
      <c r="X107" s="168">
        <f t="shared" si="36"/>
        <v>1</v>
      </c>
      <c r="Y107" s="69">
        <f t="shared" si="29"/>
        <v>4.6600000000000003E-2</v>
      </c>
      <c r="Z107" s="69">
        <f t="shared" si="30"/>
        <v>23.331900000000001</v>
      </c>
      <c r="AA107" s="69">
        <f t="shared" si="31"/>
        <v>23.285299999999999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32"/>
        <v>0195-20</v>
      </c>
      <c r="AE107" s="99" t="str">
        <f t="shared" si="33"/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07" s="96" t="str">
        <f t="shared" si="34"/>
        <v>"C:\Program Files (x86)\AstroGrep\AstroGrep.exe" /spath="%USERPROFILE%\AppData\Local\Temp\OnboardLogs" /stypes="app*4003*20160920*" /stext=" 22:.+((SYSTEM_STATE.+slice.+state.+changed )|(ment ac)|(system.+state.+changed )|(\|lc)|(penalty)|(\[timeout)|(PRM\|1\|D)|(kpr)|(kdp))" /e /r /s</v>
      </c>
      <c r="AG107" s="1" t="str">
        <f t="shared" si="35"/>
        <v>EC</v>
      </c>
      <c r="AH107" s="100" t="str">
        <f t="shared" si="20"/>
        <v>"%USERPROFILE%\Documents\GitHub\eaglep3\Utilities\RefineRTDCRunTimes.py" --tripid 195-20 --locoid 4003 --swversion DE.1.0.7.0 --startMP 204:466 --initTime 2016-09-20T15:27:20 --startdatetime 2016-09-20T15:31:07 --delay 2 --endMP 204:233319 --enddatetime 2016-09-20T16:08:52 --enforcementcount 0 &gt;&gt;C:\Users\stu\Documents\GitHub\eaglep3-reporting\EC\2016-09-20-refined-times.txt</v>
      </c>
      <c r="AI107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{"issue":{"subject":"","project_id":79,"tracker_id":40,"status_id":1,"priority_id":2,"assigned_to_id":23,"start_date":"2016-09-20","description":"","custom_fields":[{"id":1,"name":"Subdivision","value":"EC"},{"id":4,"name":"Milepost","value":"23.3319"},{"id":17,"name":"Train ID","value":"195-20"},{"id":16,"name":"Locomotive ID","value":"4003"},{"id":130,"name":"Impact","value":""},{"id":150,"name":"Time of Event (Mountain Time)","value":"16:08:52"},{"id":151,"name":"Denver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522</v>
      </c>
      <c r="B108" s="7">
        <v>4004</v>
      </c>
      <c r="C108" s="24" t="s">
        <v>106</v>
      </c>
      <c r="D108" s="24" t="s">
        <v>609</v>
      </c>
      <c r="E108" s="15">
        <v>42633.676550925928</v>
      </c>
      <c r="F108" s="15">
        <v>42633.68545138889</v>
      </c>
      <c r="G108" s="7">
        <v>2</v>
      </c>
      <c r="H108" s="15" t="s">
        <v>341</v>
      </c>
      <c r="I108" s="15">
        <v>42633.713356481479</v>
      </c>
      <c r="J108" s="7">
        <v>0</v>
      </c>
      <c r="K108" s="121" t="str">
        <f t="shared" si="22"/>
        <v>4003/4004</v>
      </c>
      <c r="L108" s="24" t="str">
        <f>VLOOKUP(A108,'Trips&amp;Operators'!$C$1:$E$10000,3,FALSE)</f>
        <v>YOUNG</v>
      </c>
      <c r="M108" s="6">
        <f t="shared" si="23"/>
        <v>2.7905092589207925E-2</v>
      </c>
      <c r="N108" s="7">
        <f t="shared" si="24"/>
        <v>40.183333328459412</v>
      </c>
      <c r="O108" s="7"/>
      <c r="P108" s="7"/>
      <c r="Q108" s="25"/>
      <c r="R108" s="25"/>
      <c r="S108" s="37">
        <f t="shared" si="25"/>
        <v>1</v>
      </c>
      <c r="T108" s="52" t="str">
        <f t="shared" si="26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15:14:14-0600',mode:absolute,to:'2016-09-20 18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8" s="54" t="str">
        <f t="shared" si="28"/>
        <v>N</v>
      </c>
      <c r="X108" s="168">
        <f t="shared" si="36"/>
        <v>1</v>
      </c>
      <c r="Y108" s="69">
        <f t="shared" si="29"/>
        <v>23.300599999999999</v>
      </c>
      <c r="Z108" s="69">
        <f t="shared" si="30"/>
        <v>1.7600000000000001E-2</v>
      </c>
      <c r="AA108" s="69">
        <f t="shared" si="31"/>
        <v>23.282999999999998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32"/>
        <v>0196-20</v>
      </c>
      <c r="AE108" s="99" t="str">
        <f t="shared" si="33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108" s="96" t="str">
        <f t="shared" si="34"/>
        <v>"C:\Program Files (x86)\AstroGrep\AstroGrep.exe" /spath="%USERPROFILE%\AppData\Local\Temp\OnboardLogs" /stypes="app*4004*20160920*" /stext=" 23:.+((SYSTEM_STATE.+slice.+state.+changed )|(ment ac)|(system.+state.+changed )|(\|lc)|(penalty)|(\[timeout)|(PRM\|1\|D)|(kpr)|(kdp))" /e /r /s</v>
      </c>
      <c r="AG108" s="1" t="str">
        <f t="shared" si="35"/>
        <v>EC</v>
      </c>
      <c r="AH108" s="100" t="str">
        <f t="shared" si="20"/>
        <v>"%USERPROFILE%\Documents\GitHub\eaglep3\Utilities\RefineRTDCRunTimes.py" --tripid 196-20 --locoid 4004 --swversion DE.1.0.7.0 --startMP 204:233006 --initTime 2016-09-20T16:14:14 --startdatetime 2016-09-20T16:27:03 --delay 2 --endMP 204:176 --enddatetime 2016-09-20T17:07:14 --enforcementcount 0 &gt;&gt;C:\Users\stu\Documents\GitHub\eaglep3-reporting\EC\2016-09-20-refined-times.txt</v>
      </c>
      <c r="AI108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{"issue":{"subject":"","project_id":79,"tracker_id":40,"status_id":1,"priority_id":2,"assigned_to_id":23,"start_date":"2016-09-20","description":"","custom_fields":[{"id":1,"name":"Subdivision","value":"EC"},{"id":4,"name":"Milepost","value":"0.0176"},{"id":17,"name":"Train ID","value":"196-20"},{"id":16,"name":"Locomotive ID","value":"4004"},{"id":130,"name":"Impact","value":""},{"id":150,"name":"Time of Event (Mountain Time)","value":"17:07:14"},{"id":151,"name":"Denver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514</v>
      </c>
      <c r="B109" s="7">
        <v>4018</v>
      </c>
      <c r="C109" s="24" t="s">
        <v>106</v>
      </c>
      <c r="D109" s="24" t="s">
        <v>662</v>
      </c>
      <c r="E109" s="15">
        <v>42633.652766203704</v>
      </c>
      <c r="F109" s="15">
        <v>42633.656412037039</v>
      </c>
      <c r="G109" s="7">
        <v>1</v>
      </c>
      <c r="H109" s="15" t="s">
        <v>297</v>
      </c>
      <c r="I109" s="15">
        <v>42633.681597222225</v>
      </c>
      <c r="J109" s="7">
        <v>0</v>
      </c>
      <c r="K109" s="121" t="str">
        <f t="shared" si="22"/>
        <v>4017/4018</v>
      </c>
      <c r="L109" s="24" t="str">
        <f>VLOOKUP(A109,'Trips&amp;Operators'!$C$1:$E$10000,3,FALSE)</f>
        <v>CLARK</v>
      </c>
      <c r="M109" s="6">
        <f t="shared" si="23"/>
        <v>2.5185185186273884E-2</v>
      </c>
      <c r="N109" s="7">
        <f t="shared" si="24"/>
        <v>36.266666668234393</v>
      </c>
      <c r="O109" s="7"/>
      <c r="P109" s="7"/>
      <c r="Q109" s="25"/>
      <c r="R109" s="25"/>
      <c r="S109" s="37">
        <f t="shared" si="25"/>
        <v>1</v>
      </c>
      <c r="T109" s="52" t="str">
        <f t="shared" si="26"/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14:39:59-0600',mode:absolute,to:'2016-09-20 17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9" s="54" t="str">
        <f t="shared" si="28"/>
        <v>N</v>
      </c>
      <c r="X109" s="168">
        <f t="shared" si="36"/>
        <v>1</v>
      </c>
      <c r="Y109" s="69">
        <f t="shared" si="29"/>
        <v>4.9500000000000002E-2</v>
      </c>
      <c r="Z109" s="69">
        <f t="shared" si="30"/>
        <v>23.331399999999999</v>
      </c>
      <c r="AA109" s="69">
        <f t="shared" si="31"/>
        <v>23.2819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si="32"/>
        <v>0197-20</v>
      </c>
      <c r="AE109" s="99" t="str">
        <f t="shared" si="33"/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109" s="96" t="str">
        <f t="shared" si="34"/>
        <v>"C:\Program Files (x86)\AstroGrep\AstroGrep.exe" /spath="%USERPROFILE%\AppData\Local\Temp\OnboardLogs" /stypes="app*4018*20160920*" /stext=" 22:.+((SYSTEM_STATE.+slice.+state.+changed )|(ment ac)|(system.+state.+changed )|(\|lc)|(penalty)|(\[timeout)|(PRM\|1\|D)|(kpr)|(kdp))" /e /r /s</v>
      </c>
      <c r="AG109" s="1" t="str">
        <f t="shared" si="35"/>
        <v>EC</v>
      </c>
      <c r="AH109" s="100" t="str">
        <f t="shared" si="20"/>
        <v>"%USERPROFILE%\Documents\GitHub\eaglep3\Utilities\RefineRTDCRunTimes.py" --tripid 197-20 --locoid 4018 --swversion DE.1.0.7.0 --startMP 204:495 --initTime 2016-09-20T15:39:59 --startdatetime 2016-09-20T15:45:14 --delay 1 --endMP 204:233314 --enddatetime 2016-09-20T16:21:30 --enforcementcount 0 &gt;&gt;C:\Users\stu\Documents\GitHub\eaglep3-reporting\EC\2016-09-20-refined-times.txt</v>
      </c>
      <c r="AI109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{"issue":{"subject":"","project_id":79,"tracker_id":40,"status_id":1,"priority_id":2,"assigned_to_id":23,"start_date":"2016-09-20","description":"","custom_fields":[{"id":1,"name":"Subdivision","value":"EC"},{"id":4,"name":"Milepost","value":"23.3314"},{"id":17,"name":"Train ID","value":"197-20"},{"id":16,"name":"Locomotive ID","value":"4018"},{"id":130,"name":"Impact","value":""},{"id":150,"name":"Time of Event (Mountain Time)","value":"16:21:30"},{"id":151,"name":"Denver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524</v>
      </c>
      <c r="B110" s="7">
        <v>4017</v>
      </c>
      <c r="C110" s="24" t="s">
        <v>106</v>
      </c>
      <c r="D110" s="24" t="s">
        <v>621</v>
      </c>
      <c r="E110" s="15">
        <v>42633.69</v>
      </c>
      <c r="F110" s="15">
        <v>42633.6953125</v>
      </c>
      <c r="G110" s="7">
        <v>1</v>
      </c>
      <c r="H110" s="15" t="s">
        <v>215</v>
      </c>
      <c r="I110" s="15">
        <v>42633.725208333337</v>
      </c>
      <c r="J110" s="7">
        <v>0</v>
      </c>
      <c r="K110" s="121" t="str">
        <f t="shared" si="22"/>
        <v>4017/4018</v>
      </c>
      <c r="L110" s="24" t="str">
        <f>VLOOKUP(A110,'Trips&amp;Operators'!$C$1:$E$10000,3,FALSE)</f>
        <v>CLARK</v>
      </c>
      <c r="M110" s="6">
        <f t="shared" si="23"/>
        <v>2.9895833336922806E-2</v>
      </c>
      <c r="N110" s="7">
        <f t="shared" si="24"/>
        <v>43.05000000516884</v>
      </c>
      <c r="O110" s="7"/>
      <c r="P110" s="7"/>
      <c r="Q110" s="25"/>
      <c r="R110" s="25"/>
      <c r="S110" s="37">
        <f t="shared" si="25"/>
        <v>1</v>
      </c>
      <c r="T110" s="52" t="str">
        <f t="shared" si="26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15:33:36-0600',mode:absolute,to:'2016-09-20 18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10" s="54" t="str">
        <f t="shared" si="28"/>
        <v>N</v>
      </c>
      <c r="X110" s="168">
        <f t="shared" si="36"/>
        <v>1</v>
      </c>
      <c r="Y110" s="69">
        <f t="shared" si="29"/>
        <v>23.299800000000001</v>
      </c>
      <c r="Z110" s="69">
        <f t="shared" si="30"/>
        <v>1.6299999999999999E-2</v>
      </c>
      <c r="AA110" s="69">
        <f t="shared" si="31"/>
        <v>23.2835</v>
      </c>
      <c r="AB110" s="66" t="str">
        <f>VLOOKUP(A110,Enforcements!$C$7:$K$20,8,0)</f>
        <v>Bulletin (2)</v>
      </c>
      <c r="AC110" s="62" t="str">
        <f>VLOOKUP(A110,Enforcements!$C$7:$E$20,3,0)</f>
        <v>GRADE CROSSING</v>
      </c>
      <c r="AD110" s="63" t="str">
        <f t="shared" si="32"/>
        <v>0198-20</v>
      </c>
      <c r="AE110" s="99" t="str">
        <f t="shared" si="33"/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110" s="96" t="str">
        <f t="shared" si="34"/>
        <v>"C:\Program Files (x86)\AstroGrep\AstroGrep.exe" /spath="%USERPROFILE%\AppData\Local\Temp\OnboardLogs" /stypes="app*4017*20160920*" /stext=" 23:.+((SYSTEM_STATE.+slice.+state.+changed )|(ment ac)|(system.+state.+changed )|(\|lc)|(penalty)|(\[timeout)|(PRM\|1\|D)|(kpr)|(kdp))" /e /r /s</v>
      </c>
      <c r="AG110" s="1" t="str">
        <f t="shared" si="35"/>
        <v>EC</v>
      </c>
      <c r="AH110" s="100" t="str">
        <f t="shared" si="20"/>
        <v>"%USERPROFILE%\Documents\GitHub\eaglep3\Utilities\RefineRTDCRunTimes.py" --tripid 198-20 --locoid 4017 --swversion DE.1.0.7.0 --startMP 204:232998 --initTime 2016-09-20T16:33:36 --startdatetime 2016-09-20T16:41:15 --delay 1 --endMP 204:163 --enddatetime 2016-09-20T17:24:18 --enforcementcount 0 &gt;&gt;C:\Users\stu\Documents\GitHub\eaglep3-reporting\EC\2016-09-20-refined-times.txt</v>
      </c>
      <c r="AI110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{"issue":{"subject":"","project_id":79,"tracker_id":40,"status_id":1,"priority_id":2,"assigned_to_id":23,"start_date":"2016-09-20","description":"","custom_fields":[{"id":1,"name":"Subdivision","value":"EC"},{"id":4,"name":"Milepost","value":"0.0163"},{"id":17,"name":"Train ID","value":"198-20"},{"id":16,"name":"Locomotive ID","value":"4017"},{"id":130,"name":"Impact","value":""},{"id":150,"name":"Time of Event (Mountain Time)","value":"17:24:18"},{"id":151,"name":"Denver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517</v>
      </c>
      <c r="B111" s="7">
        <v>4025</v>
      </c>
      <c r="C111" s="24" t="s">
        <v>106</v>
      </c>
      <c r="D111" s="24" t="s">
        <v>223</v>
      </c>
      <c r="E111" s="15">
        <v>42633.662291666667</v>
      </c>
      <c r="F111" s="15">
        <v>42633.666932870372</v>
      </c>
      <c r="G111" s="7">
        <v>1</v>
      </c>
      <c r="H111" s="15" t="s">
        <v>663</v>
      </c>
      <c r="I111" s="15">
        <v>42633.692372685182</v>
      </c>
      <c r="J111" s="7">
        <v>0</v>
      </c>
      <c r="K111" s="121" t="str">
        <f t="shared" si="22"/>
        <v>4025/4026</v>
      </c>
      <c r="L111" s="24" t="str">
        <f>VLOOKUP(A111,'Trips&amp;Operators'!$C$1:$E$10000,3,FALSE)</f>
        <v>STORY</v>
      </c>
      <c r="M111" s="6">
        <f t="shared" si="23"/>
        <v>2.5439814809942618E-2</v>
      </c>
      <c r="N111" s="7">
        <f t="shared" si="24"/>
        <v>36.63333332631737</v>
      </c>
      <c r="O111" s="7"/>
      <c r="P111" s="7"/>
      <c r="Q111" s="25"/>
      <c r="R111" s="25"/>
      <c r="S111" s="37">
        <f t="shared" si="25"/>
        <v>1</v>
      </c>
      <c r="T111" s="52" t="str">
        <f t="shared" si="26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14:53:42-0600',mode:absolute,to:'2016-09-20 17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1" s="54" t="str">
        <f t="shared" si="28"/>
        <v>N</v>
      </c>
      <c r="X111" s="168">
        <f t="shared" si="36"/>
        <v>1</v>
      </c>
      <c r="Y111" s="69">
        <f t="shared" si="29"/>
        <v>4.5699999999999998E-2</v>
      </c>
      <c r="Z111" s="69">
        <f t="shared" si="30"/>
        <v>23.3325</v>
      </c>
      <c r="AA111" s="69">
        <f t="shared" si="31"/>
        <v>23.286799999999999</v>
      </c>
      <c r="AB111" s="66" t="str">
        <f>VLOOKUP(A111,Enforcements!$C$7:$K$20,8,0)</f>
        <v>Speed (6)</v>
      </c>
      <c r="AC111" s="62" t="str">
        <f>VLOOKUP(A111,Enforcements!$C$7:$E$20,3,0)</f>
        <v>PERMANENT SPEED RESTRICTION</v>
      </c>
      <c r="AD111" s="63" t="str">
        <f t="shared" si="32"/>
        <v>0199-20</v>
      </c>
      <c r="AE111" s="99" t="str">
        <f t="shared" si="33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11" s="96" t="str">
        <f t="shared" si="34"/>
        <v>"C:\Program Files (x86)\AstroGrep\AstroGrep.exe" /spath="%USERPROFILE%\AppData\Local\Temp\OnboardLogs" /stypes="app*4025*20160920*" /stext=" 22:.+((SYSTEM_STATE.+slice.+state.+changed )|(ment ac)|(system.+state.+changed )|(\|lc)|(penalty)|(\[timeout)|(PRM\|1\|D)|(kpr)|(kdp))" /e /r /s</v>
      </c>
      <c r="AG111" s="1" t="str">
        <f t="shared" si="35"/>
        <v>EC</v>
      </c>
      <c r="AH111" s="100" t="str">
        <f t="shared" si="20"/>
        <v>"%USERPROFILE%\Documents\GitHub\eaglep3\Utilities\RefineRTDCRunTimes.py" --tripid 199-20 --locoid 4025 --swversion DE.1.0.7.0 --startMP 204:457 --initTime 2016-09-20T15:53:42 --startdatetime 2016-09-20T16:00:23 --delay 1 --endMP 204:233325 --enddatetime 2016-09-20T16:37:01 --enforcementcount 0 &gt;&gt;C:\Users\stu\Documents\GitHub\eaglep3-reporting\EC\2016-09-20-refined-times.txt</v>
      </c>
      <c r="AI111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{"issue":{"subject":"","project_id":79,"tracker_id":40,"status_id":1,"priority_id":2,"assigned_to_id":23,"start_date":"2016-09-20","description":"","custom_fields":[{"id":1,"name":"Subdivision","value":"EC"},{"id":4,"name":"Milepost","value":"23.3325"},{"id":17,"name":"Train ID","value":"199-20"},{"id":16,"name":"Locomotive ID","value":"4025"},{"id":130,"name":"Impact","value":""},{"id":150,"name":"Time of Event (Mountain Time)","value":"16:37:01"},{"id":151,"name":"Denver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529</v>
      </c>
      <c r="B112" s="7">
        <v>4026</v>
      </c>
      <c r="C112" s="24" t="s">
        <v>106</v>
      </c>
      <c r="D112" s="24" t="s">
        <v>664</v>
      </c>
      <c r="E112" s="15">
        <v>42633.702291666668</v>
      </c>
      <c r="F112" s="15">
        <v>42633.705879629626</v>
      </c>
      <c r="G112" s="7">
        <v>1</v>
      </c>
      <c r="H112" s="15" t="s">
        <v>281</v>
      </c>
      <c r="I112" s="15">
        <v>42633.735474537039</v>
      </c>
      <c r="J112" s="7">
        <v>0</v>
      </c>
      <c r="K112" s="121" t="str">
        <f t="shared" si="22"/>
        <v>4025/4026</v>
      </c>
      <c r="L112" s="24" t="str">
        <f>VLOOKUP(A112,'Trips&amp;Operators'!$C$1:$E$10000,3,FALSE)</f>
        <v>STORY</v>
      </c>
      <c r="M112" s="6">
        <f t="shared" si="23"/>
        <v>2.959490741341142E-2</v>
      </c>
      <c r="N112" s="7">
        <f t="shared" si="24"/>
        <v>42.616666675312445</v>
      </c>
      <c r="O112" s="7"/>
      <c r="P112" s="7"/>
      <c r="Q112" s="25"/>
      <c r="R112" s="25"/>
      <c r="S112" s="37">
        <f t="shared" si="25"/>
        <v>1</v>
      </c>
      <c r="T112" s="52" t="str">
        <f t="shared" si="26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15:51:18-0600',mode:absolute,to:'2016-09-20 18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2" s="54" t="str">
        <f t="shared" si="28"/>
        <v>N</v>
      </c>
      <c r="X112" s="168">
        <f t="shared" si="36"/>
        <v>1</v>
      </c>
      <c r="Y112" s="69">
        <f t="shared" si="29"/>
        <v>23.301300000000001</v>
      </c>
      <c r="Z112" s="69">
        <f t="shared" si="30"/>
        <v>1.5599999999999999E-2</v>
      </c>
      <c r="AA112" s="69">
        <f t="shared" si="31"/>
        <v>23.285700000000002</v>
      </c>
      <c r="AB112" s="66" t="str">
        <f>VLOOKUP(A112,Enforcements!$C$7:$K$20,8,0)</f>
        <v>Bulletin (2)</v>
      </c>
      <c r="AC112" s="62" t="str">
        <f>VLOOKUP(A112,Enforcements!$C$7:$E$20,3,0)</f>
        <v>GRADE CROSSING</v>
      </c>
      <c r="AD112" s="63" t="str">
        <f t="shared" si="32"/>
        <v>0200-20</v>
      </c>
      <c r="AE112" s="99" t="str">
        <f t="shared" si="33"/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112" s="96" t="str">
        <f t="shared" si="34"/>
        <v>"C:\Program Files (x86)\AstroGrep\AstroGrep.exe" /spath="%USERPROFILE%\AppData\Local\Temp\OnboardLogs" /stypes="app*4026*20160920*" /stext=" 23:.+((SYSTEM_STATE.+slice.+state.+changed )|(ment ac)|(system.+state.+changed )|(\|lc)|(penalty)|(\[timeout)|(PRM\|1\|D)|(kpr)|(kdp))" /e /r /s</v>
      </c>
      <c r="AG112" s="1" t="str">
        <f t="shared" si="35"/>
        <v>EC</v>
      </c>
      <c r="AH112" s="100" t="str">
        <f t="shared" si="20"/>
        <v>"%USERPROFILE%\Documents\GitHub\eaglep3\Utilities\RefineRTDCRunTimes.py" --tripid 200-20 --locoid 4026 --swversion DE.1.0.7.0 --startMP 204:233013 --initTime 2016-09-20T16:51:18 --startdatetime 2016-09-20T16:56:28 --delay 1 --endMP 204:156 --enddatetime 2016-09-20T17:39:05 --enforcementcount 0 &gt;&gt;C:\Users\stu\Documents\GitHub\eaglep3-reporting\EC\2016-09-20-refined-times.txt</v>
      </c>
      <c r="AI112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{"issue":{"subject":"","project_id":79,"tracker_id":40,"status_id":1,"priority_id":2,"assigned_to_id":23,"start_date":"2016-09-20","description":"","custom_fields":[{"id":1,"name":"Subdivision","value":"EC"},{"id":4,"name":"Milepost","value":"0.0156"},{"id":17,"name":"Train ID","value":"200-20"},{"id":16,"name":"Locomotive ID","value":"4026"},{"id":130,"name":"Impact","value":""},{"id":150,"name":"Time of Event (Mountain Time)","value":"17:39:05"},{"id":151,"name":"Denver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520</v>
      </c>
      <c r="B113" s="7">
        <v>4009</v>
      </c>
      <c r="C113" s="24" t="s">
        <v>106</v>
      </c>
      <c r="D113" s="24" t="s">
        <v>232</v>
      </c>
      <c r="E113" s="15">
        <v>42633.673182870371</v>
      </c>
      <c r="F113" s="15">
        <v>42633.677824074075</v>
      </c>
      <c r="G113" s="7">
        <v>1</v>
      </c>
      <c r="H113" s="15" t="s">
        <v>665</v>
      </c>
      <c r="I113" s="15">
        <v>42633.703113425923</v>
      </c>
      <c r="J113" s="7">
        <v>0</v>
      </c>
      <c r="K113" s="121" t="str">
        <f t="shared" si="22"/>
        <v>4009/4010</v>
      </c>
      <c r="L113" s="24" t="str">
        <f>VLOOKUP(A113,'Trips&amp;Operators'!$C$1:$E$10000,3,FALSE)</f>
        <v>BARTLETT</v>
      </c>
      <c r="M113" s="6">
        <f t="shared" si="23"/>
        <v>2.5289351848186925E-2</v>
      </c>
      <c r="N113" s="7">
        <f t="shared" si="24"/>
        <v>36.416666661389172</v>
      </c>
      <c r="O113" s="7"/>
      <c r="P113" s="7"/>
      <c r="Q113" s="25"/>
      <c r="R113" s="25"/>
      <c r="S113" s="37">
        <f t="shared" si="25"/>
        <v>1</v>
      </c>
      <c r="T113" s="52" t="str">
        <f t="shared" si="26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15:09:23-0600',mode:absolute,to:'2016-09-20 17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3" s="54" t="str">
        <f t="shared" si="28"/>
        <v>N</v>
      </c>
      <c r="X113" s="168">
        <f t="shared" si="36"/>
        <v>1</v>
      </c>
      <c r="Y113" s="69">
        <f t="shared" si="29"/>
        <v>4.5999999999999999E-2</v>
      </c>
      <c r="Z113" s="69">
        <f t="shared" si="30"/>
        <v>23.3324</v>
      </c>
      <c r="AA113" s="69">
        <f t="shared" si="31"/>
        <v>23.2864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32"/>
        <v>0201-20</v>
      </c>
      <c r="AE113" s="99" t="str">
        <f t="shared" si="33"/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113" s="96" t="str">
        <f t="shared" si="34"/>
        <v>"C:\Program Files (x86)\AstroGrep\AstroGrep.exe" /spath="%USERPROFILE%\AppData\Local\Temp\OnboardLogs" /stypes="app*4009*20160920*" /stext=" 22:.+((SYSTEM_STATE.+slice.+state.+changed )|(ment ac)|(system.+state.+changed )|(\|lc)|(penalty)|(\[timeout)|(PRM\|1\|D)|(kpr)|(kdp))" /e /r /s</v>
      </c>
      <c r="AG113" s="1" t="str">
        <f t="shared" si="35"/>
        <v>EC</v>
      </c>
      <c r="AH113" s="100" t="str">
        <f t="shared" si="20"/>
        <v>"%USERPROFILE%\Documents\GitHub\eaglep3\Utilities\RefineRTDCRunTimes.py" --tripid 201-20 --locoid 4009 --swversion DE.1.0.7.0 --startMP 204:460 --initTime 2016-09-20T16:09:23 --startdatetime 2016-09-20T16:16:04 --delay 1 --endMP 204:233324 --enddatetime 2016-09-20T16:52:29 --enforcementcount 0 &gt;&gt;C:\Users\stu\Documents\GitHub\eaglep3-reporting\EC\2016-09-20-refined-times.txt</v>
      </c>
      <c r="AI113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{"issue":{"subject":"","project_id":79,"tracker_id":40,"status_id":1,"priority_id":2,"assigned_to_id":23,"start_date":"2016-09-20","description":"","custom_fields":[{"id":1,"name":"Subdivision","value":"EC"},{"id":4,"name":"Milepost","value":"23.3324"},{"id":17,"name":"Train ID","value":"201-20"},{"id":16,"name":"Locomotive ID","value":"4009"},{"id":130,"name":"Impact","value":""},{"id":150,"name":"Time of Event (Mountain Time)","value":"16:52:29"},{"id":151,"name":"Denver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531</v>
      </c>
      <c r="B114" s="7">
        <v>4010</v>
      </c>
      <c r="C114" s="24" t="s">
        <v>106</v>
      </c>
      <c r="D114" s="24" t="s">
        <v>664</v>
      </c>
      <c r="E114" s="15">
        <v>42633.706053240741</v>
      </c>
      <c r="F114" s="15">
        <v>42633.716331018521</v>
      </c>
      <c r="G114" s="7">
        <v>9</v>
      </c>
      <c r="H114" s="15" t="s">
        <v>235</v>
      </c>
      <c r="I114" s="15">
        <v>42633.743344907409</v>
      </c>
      <c r="J114" s="7">
        <v>0</v>
      </c>
      <c r="K114" s="121" t="str">
        <f t="shared" si="22"/>
        <v>4009/4010</v>
      </c>
      <c r="L114" s="24" t="str">
        <f>VLOOKUP(A114,'Trips&amp;Operators'!$C$1:$E$10000,3,FALSE)</f>
        <v>BARTLETT</v>
      </c>
      <c r="M114" s="6">
        <f t="shared" si="23"/>
        <v>2.7013888888177462E-2</v>
      </c>
      <c r="N114" s="7">
        <f t="shared" si="24"/>
        <v>38.899999998975545</v>
      </c>
      <c r="O114" s="7"/>
      <c r="P114" s="7"/>
      <c r="Q114" s="25"/>
      <c r="R114" s="25"/>
      <c r="S114" s="37">
        <f t="shared" si="25"/>
        <v>1</v>
      </c>
      <c r="T114" s="52" t="str">
        <f t="shared" si="26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15:56:43-0600',mode:absolute,to:'2016-09-20 18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4" s="54" t="str">
        <f t="shared" si="28"/>
        <v>N</v>
      </c>
      <c r="X114" s="168">
        <f t="shared" si="36"/>
        <v>1</v>
      </c>
      <c r="Y114" s="69">
        <f t="shared" si="29"/>
        <v>23.301300000000001</v>
      </c>
      <c r="Z114" s="69">
        <f t="shared" si="30"/>
        <v>1.38E-2</v>
      </c>
      <c r="AA114" s="69">
        <f t="shared" si="31"/>
        <v>23.287500000000001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32"/>
        <v>0202-20</v>
      </c>
      <c r="AE114" s="99" t="str">
        <f t="shared" si="33"/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114" s="96" t="str">
        <f t="shared" si="34"/>
        <v>"C:\Program Files (x86)\AstroGrep\AstroGrep.exe" /spath="%USERPROFILE%\AppData\Local\Temp\OnboardLogs" /stypes="app*4010*20160920*" /stext=" 23:.+((SYSTEM_STATE.+slice.+state.+changed )|(ment ac)|(system.+state.+changed )|(\|lc)|(penalty)|(\[timeout)|(PRM\|1\|D)|(kpr)|(kdp))" /e /r /s</v>
      </c>
      <c r="AG114" s="1" t="str">
        <f t="shared" si="35"/>
        <v>EC</v>
      </c>
      <c r="AH114" s="100" t="str">
        <f t="shared" si="20"/>
        <v>"%USERPROFILE%\Documents\GitHub\eaglep3\Utilities\RefineRTDCRunTimes.py" --tripid 202-20 --locoid 4010 --swversion DE.1.0.7.0 --startMP 204:233013 --initTime 2016-09-20T16:56:43 --startdatetime 2016-09-20T17:11:31 --delay 9 --endMP 204:138 --enddatetime 2016-09-20T17:50:25 --enforcementcount 0 &gt;&gt;C:\Users\stu\Documents\GitHub\eaglep3-reporting\EC\2016-09-20-refined-times.txt</v>
      </c>
      <c r="AI114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{"issue":{"subject":"","project_id":79,"tracker_id":40,"status_id":1,"priority_id":2,"assigned_to_id":23,"start_date":"2016-09-20","description":"","custom_fields":[{"id":1,"name":"Subdivision","value":"EC"},{"id":4,"name":"Milepost","value":"0.0138"},{"id":17,"name":"Train ID","value":"202-20"},{"id":16,"name":"Locomotive ID","value":"4010"},{"id":130,"name":"Impact","value":""},{"id":150,"name":"Time of Event (Mountain Time)","value":"17:50:25"},{"id":151,"name":"Denver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523</v>
      </c>
      <c r="B115" s="7">
        <v>4014</v>
      </c>
      <c r="C115" s="24" t="s">
        <v>106</v>
      </c>
      <c r="D115" s="24" t="s">
        <v>223</v>
      </c>
      <c r="E115" s="15">
        <v>42633.684988425928</v>
      </c>
      <c r="F115" s="15">
        <v>42633.687789351854</v>
      </c>
      <c r="G115" s="7">
        <v>1</v>
      </c>
      <c r="H115" s="15" t="s">
        <v>666</v>
      </c>
      <c r="I115" s="15">
        <v>42633.714826388888</v>
      </c>
      <c r="J115" s="7">
        <v>0</v>
      </c>
      <c r="K115" s="121" t="str">
        <f t="shared" si="22"/>
        <v>4013/4014</v>
      </c>
      <c r="L115" s="24" t="str">
        <f>VLOOKUP(A115,'Trips&amp;Operators'!$C$1:$E$10000,3,FALSE)</f>
        <v>STEWART</v>
      </c>
      <c r="M115" s="6">
        <f t="shared" si="23"/>
        <v>2.7037037034460809E-2</v>
      </c>
      <c r="N115" s="7">
        <f t="shared" si="24"/>
        <v>38.933333329623565</v>
      </c>
      <c r="O115" s="7"/>
      <c r="P115" s="7"/>
      <c r="Q115" s="25"/>
      <c r="R115" s="25"/>
      <c r="S115" s="37">
        <f t="shared" si="25"/>
        <v>1</v>
      </c>
      <c r="T115" s="52" t="str">
        <f t="shared" si="26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15:26:23-0600',mode:absolute,to:'2016-09-20 18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5" s="54" t="str">
        <f t="shared" si="28"/>
        <v>N</v>
      </c>
      <c r="X115" s="168">
        <f t="shared" si="36"/>
        <v>1</v>
      </c>
      <c r="Y115" s="69">
        <f t="shared" si="29"/>
        <v>4.5699999999999998E-2</v>
      </c>
      <c r="Z115" s="69">
        <f t="shared" si="30"/>
        <v>23.3247</v>
      </c>
      <c r="AA115" s="69">
        <f t="shared" si="31"/>
        <v>23.279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32"/>
        <v>0203-20</v>
      </c>
      <c r="AE115" s="99" t="str">
        <f t="shared" si="33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15" s="96" t="str">
        <f t="shared" si="34"/>
        <v>"C:\Program Files (x86)\AstroGrep\AstroGrep.exe" /spath="%USERPROFILE%\AppData\Local\Temp\OnboardLogs" /stypes="app*4014*20160920*" /stext=" 23:.+((SYSTEM_STATE.+slice.+state.+changed )|(ment ac)|(system.+state.+changed )|(\|lc)|(penalty)|(\[timeout)|(PRM\|1\|D)|(kpr)|(kdp))" /e /r /s</v>
      </c>
      <c r="AG115" s="1" t="str">
        <f t="shared" si="35"/>
        <v>EC</v>
      </c>
      <c r="AH115" s="100" t="str">
        <f t="shared" si="20"/>
        <v>"%USERPROFILE%\Documents\GitHub\eaglep3\Utilities\RefineRTDCRunTimes.py" --tripid 203-20 --locoid 4014 --swversion DE.1.0.7.0 --startMP 204:457 --initTime 2016-09-20T16:26:23 --startdatetime 2016-09-20T16:30:25 --delay 1 --endMP 204:233247 --enddatetime 2016-09-20T17:09:21 --enforcementcount 0 &gt;&gt;C:\Users\stu\Documents\GitHub\eaglep3-reporting\EC\2016-09-20-refined-times.txt</v>
      </c>
      <c r="AI115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{"issue":{"subject":"","project_id":79,"tracker_id":40,"status_id":1,"priority_id":2,"assigned_to_id":23,"start_date":"2016-09-20","description":"","custom_fields":[{"id":1,"name":"Subdivision","value":"EC"},{"id":4,"name":"Milepost","value":"23.3247"},{"id":17,"name":"Train ID","value":"203-20"},{"id":16,"name":"Locomotive ID","value":"4014"},{"id":130,"name":"Impact","value":""},{"id":150,"name":"Time of Event (Mountain Time)","value":"17:09:21"},{"id":151,"name":"Denver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535</v>
      </c>
      <c r="B116" s="7">
        <v>4013</v>
      </c>
      <c r="C116" s="24" t="s">
        <v>106</v>
      </c>
      <c r="D116" s="24" t="s">
        <v>651</v>
      </c>
      <c r="E116" s="15">
        <v>42633.723506944443</v>
      </c>
      <c r="F116" s="15">
        <v>42633.726712962962</v>
      </c>
      <c r="G116" s="7">
        <v>2</v>
      </c>
      <c r="H116" s="15" t="s">
        <v>220</v>
      </c>
      <c r="I116" s="15">
        <v>42633.754652777781</v>
      </c>
      <c r="J116" s="7">
        <v>0</v>
      </c>
      <c r="K116" s="121" t="str">
        <f t="shared" si="22"/>
        <v>4013/4014</v>
      </c>
      <c r="L116" s="24" t="str">
        <f>VLOOKUP(A116,'Trips&amp;Operators'!$C$1:$E$10000,3,FALSE)</f>
        <v>STEWART</v>
      </c>
      <c r="M116" s="6">
        <f t="shared" si="23"/>
        <v>2.7939814819546882E-2</v>
      </c>
      <c r="N116" s="7">
        <f t="shared" si="24"/>
        <v>40.23333334014751</v>
      </c>
      <c r="O116" s="7"/>
      <c r="P116" s="7"/>
      <c r="Q116" s="25"/>
      <c r="R116" s="25"/>
      <c r="S116" s="37">
        <f t="shared" si="25"/>
        <v>1</v>
      </c>
      <c r="T116" s="52" t="str">
        <f t="shared" si="26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16:21:51-0600',mode:absolute,to:'2016-09-20 19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6" s="54" t="str">
        <f t="shared" si="28"/>
        <v>N</v>
      </c>
      <c r="X116" s="168">
        <f t="shared" si="36"/>
        <v>1</v>
      </c>
      <c r="Y116" s="69">
        <f t="shared" si="29"/>
        <v>23.295100000000001</v>
      </c>
      <c r="Z116" s="69">
        <f t="shared" si="30"/>
        <v>1.4999999999999999E-2</v>
      </c>
      <c r="AA116" s="69">
        <f t="shared" si="31"/>
        <v>23.280100000000001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32"/>
        <v>0204-20</v>
      </c>
      <c r="AE116" s="99" t="str">
        <f t="shared" si="33"/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116" s="96" t="str">
        <f t="shared" si="34"/>
        <v>"C:\Program Files (x86)\AstroGrep\AstroGrep.exe" /spath="%USERPROFILE%\AppData\Local\Temp\OnboardLogs" /stypes="app*4013*20160921*" /stext=" 00:.+((SYSTEM_STATE.+slice.+state.+changed )|(ment ac)|(system.+state.+changed )|(\|lc)|(penalty)|(\[timeout)|(PRM\|1\|D)|(kpr)|(kdp))" /e /r /s</v>
      </c>
      <c r="AG116" s="1" t="str">
        <f t="shared" si="35"/>
        <v>EC</v>
      </c>
      <c r="AH116" s="100" t="str">
        <f t="shared" si="20"/>
        <v>"%USERPROFILE%\Documents\GitHub\eaglep3\Utilities\RefineRTDCRunTimes.py" --tripid 204-20 --locoid 4013 --swversion DE.1.0.7.0 --startMP 204:232951 --initTime 2016-09-20T17:21:51 --startdatetime 2016-09-20T17:26:28 --delay 2 --endMP 204:150 --enddatetime 2016-09-20T18:06:42 --enforcementcount 0 &gt;&gt;C:\Users\stu\Documents\GitHub\eaglep3-reporting\EC\2016-09-20-refined-times.txt</v>
      </c>
      <c r="AI116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{"issue":{"subject":"","project_id":79,"tracker_id":40,"status_id":1,"priority_id":2,"assigned_to_id":23,"start_date":"2016-09-20","description":"","custom_fields":[{"id":1,"name":"Subdivision","value":"EC"},{"id":4,"name":"Milepost","value":"0.015"},{"id":17,"name":"Train ID","value":"204-20"},{"id":16,"name":"Locomotive ID","value":"4013"},{"id":130,"name":"Impact","value":""},{"id":150,"name":"Time of Event (Mountain Time)","value":"18:06:42"},{"id":151,"name":"Denver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526</v>
      </c>
      <c r="B117" s="7">
        <v>4011</v>
      </c>
      <c r="C117" s="24" t="s">
        <v>106</v>
      </c>
      <c r="D117" s="24" t="s">
        <v>667</v>
      </c>
      <c r="E117" s="15">
        <v>42633.69321759259</v>
      </c>
      <c r="F117" s="15">
        <v>42633.698321759257</v>
      </c>
      <c r="G117" s="7">
        <v>2</v>
      </c>
      <c r="H117" s="15" t="s">
        <v>291</v>
      </c>
      <c r="I117" s="15">
        <v>42633.724351851852</v>
      </c>
      <c r="J117" s="7">
        <v>0</v>
      </c>
      <c r="K117" s="121" t="str">
        <f t="shared" si="22"/>
        <v>4011/4012</v>
      </c>
      <c r="L117" s="24" t="str">
        <f>VLOOKUP(A117,'Trips&amp;Operators'!$C$1:$E$10000,3,FALSE)</f>
        <v>HELVIE</v>
      </c>
      <c r="M117" s="6">
        <f t="shared" si="23"/>
        <v>2.6030092594737653E-2</v>
      </c>
      <c r="N117" s="7">
        <f t="shared" si="24"/>
        <v>37.48333333642222</v>
      </c>
      <c r="O117" s="7"/>
      <c r="P117" s="7"/>
      <c r="Q117" s="25"/>
      <c r="R117" s="25"/>
      <c r="S117" s="37">
        <f t="shared" si="25"/>
        <v>1</v>
      </c>
      <c r="T117" s="52" t="str">
        <f t="shared" si="26"/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15:38:14-0600',mode:absolute,to:'2016-09-20 18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7" s="54" t="str">
        <f t="shared" si="28"/>
        <v>N</v>
      </c>
      <c r="X117" s="168">
        <f t="shared" si="36"/>
        <v>1</v>
      </c>
      <c r="Y117" s="69">
        <f t="shared" si="29"/>
        <v>5.1999999999999998E-2</v>
      </c>
      <c r="Z117" s="69">
        <f t="shared" si="30"/>
        <v>23.3309</v>
      </c>
      <c r="AA117" s="69">
        <f t="shared" si="31"/>
        <v>23.2789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32"/>
        <v>0205-20</v>
      </c>
      <c r="AE117" s="99" t="str">
        <f t="shared" si="33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17" s="96" t="str">
        <f t="shared" si="34"/>
        <v>"C:\Program Files (x86)\AstroGrep\AstroGrep.exe" /spath="%USERPROFILE%\AppData\Local\Temp\OnboardLogs" /stypes="app*4011*20160920*" /stext=" 23:.+((SYSTEM_STATE.+slice.+state.+changed )|(ment ac)|(system.+state.+changed )|(\|lc)|(penalty)|(\[timeout)|(PRM\|1\|D)|(kpr)|(kdp))" /e /r /s</v>
      </c>
      <c r="AG117" s="1" t="str">
        <f t="shared" si="35"/>
        <v>EC</v>
      </c>
      <c r="AH117" s="100" t="str">
        <f t="shared" si="20"/>
        <v>"%USERPROFILE%\Documents\GitHub\eaglep3\Utilities\RefineRTDCRunTimes.py" --tripid 205-20 --locoid 4011 --swversion DE.1.0.7.0 --startMP 204:520 --initTime 2016-09-20T16:38:14 --startdatetime 2016-09-20T16:45:35 --delay 2 --endMP 204:233309 --enddatetime 2016-09-20T17:23:04 --enforcementcount 0 &gt;&gt;C:\Users\stu\Documents\GitHub\eaglep3-reporting\EC\2016-09-20-refined-times.txt</v>
      </c>
      <c r="AI117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{"issue":{"subject":"","project_id":79,"tracker_id":40,"status_id":1,"priority_id":2,"assigned_to_id":23,"start_date":"2016-09-20","description":"","custom_fields":[{"id":1,"name":"Subdivision","value":"EC"},{"id":4,"name":"Milepost","value":"23.3309"},{"id":17,"name":"Train ID","value":"205-20"},{"id":16,"name":"Locomotive ID","value":"4011"},{"id":130,"name":"Impact","value":""},{"id":150,"name":"Time of Event (Mountain Time)","value":"17:23:04"},{"id":151,"name":"Denver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538</v>
      </c>
      <c r="B118" s="7">
        <v>4012</v>
      </c>
      <c r="C118" s="24" t="s">
        <v>106</v>
      </c>
      <c r="D118" s="24" t="s">
        <v>632</v>
      </c>
      <c r="E118" s="15">
        <v>42633.732812499999</v>
      </c>
      <c r="F118" s="15">
        <v>42633.737060185187</v>
      </c>
      <c r="G118" s="7">
        <v>1</v>
      </c>
      <c r="H118" s="15" t="s">
        <v>127</v>
      </c>
      <c r="I118" s="15">
        <v>42633.766261574077</v>
      </c>
      <c r="J118" s="7">
        <v>0</v>
      </c>
      <c r="K118" s="121" t="str">
        <f t="shared" si="22"/>
        <v>4011/4012</v>
      </c>
      <c r="L118" s="24" t="str">
        <f>VLOOKUP(A118,'Trips&amp;Operators'!$C$1:$E$10000,3,FALSE)</f>
        <v>HELVIE</v>
      </c>
      <c r="M118" s="6">
        <f t="shared" si="23"/>
        <v>2.920138889021473E-2</v>
      </c>
      <c r="N118" s="7">
        <f t="shared" si="24"/>
        <v>42.050000001909211</v>
      </c>
      <c r="O118" s="7"/>
      <c r="P118" s="7"/>
      <c r="Q118" s="25"/>
      <c r="R118" s="25"/>
      <c r="S118" s="37">
        <f t="shared" si="25"/>
        <v>1</v>
      </c>
      <c r="T118" s="52" t="str">
        <f t="shared" si="26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16:35:15-0600',mode:absolute,to:'2016-09-20 19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8" s="54" t="str">
        <f t="shared" si="28"/>
        <v>N</v>
      </c>
      <c r="X118" s="168">
        <f t="shared" si="36"/>
        <v>1</v>
      </c>
      <c r="Y118" s="69">
        <f t="shared" si="29"/>
        <v>23.298400000000001</v>
      </c>
      <c r="Z118" s="69">
        <f t="shared" si="30"/>
        <v>1.54E-2</v>
      </c>
      <c r="AA118" s="69">
        <f t="shared" si="31"/>
        <v>23.283000000000001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32"/>
        <v>0206-20</v>
      </c>
      <c r="AE118" s="99" t="str">
        <f t="shared" si="33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118" s="96" t="str">
        <f t="shared" si="34"/>
        <v>"C:\Program Files (x86)\AstroGrep\AstroGrep.exe" /spath="%USERPROFILE%\AppData\Local\Temp\OnboardLogs" /stypes="app*4012*20160921*" /stext=" 00:.+((SYSTEM_STATE.+slice.+state.+changed )|(ment ac)|(system.+state.+changed )|(\|lc)|(penalty)|(\[timeout)|(PRM\|1\|D)|(kpr)|(kdp))" /e /r /s</v>
      </c>
      <c r="AG118" s="1" t="str">
        <f t="shared" si="35"/>
        <v>EC</v>
      </c>
      <c r="AH118" s="100" t="str">
        <f t="shared" si="20"/>
        <v>"%USERPROFILE%\Documents\GitHub\eaglep3\Utilities\RefineRTDCRunTimes.py" --tripid 206-20 --locoid 4012 --swversion DE.1.0.7.0 --startMP 204:232984 --initTime 2016-09-20T17:35:15 --startdatetime 2016-09-20T17:41:22 --delay 1 --endMP 204:154 --enddatetime 2016-09-20T18:23:25 --enforcementcount 0 &gt;&gt;C:\Users\stu\Documents\GitHub\eaglep3-reporting\EC\2016-09-20-refined-times.txt</v>
      </c>
      <c r="AI118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{"issue":{"subject":"","project_id":79,"tracker_id":40,"status_id":1,"priority_id":2,"assigned_to_id":23,"start_date":"2016-09-20","description":"","custom_fields":[{"id":1,"name":"Subdivision","value":"EC"},{"id":4,"name":"Milepost","value":"0.0154"},{"id":17,"name":"Train ID","value":"206-20"},{"id":16,"name":"Locomotive ID","value":"4012"},{"id":130,"name":"Impact","value":""},{"id":150,"name":"Time of Event (Mountain Time)","value":"18:23:25"},{"id":151,"name":"Denver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530</v>
      </c>
      <c r="B119" s="7">
        <v>4042</v>
      </c>
      <c r="C119" s="24" t="s">
        <v>106</v>
      </c>
      <c r="D119" s="24" t="s">
        <v>668</v>
      </c>
      <c r="E119" s="15">
        <v>42633.704548611109</v>
      </c>
      <c r="F119" s="15">
        <v>42633.708506944444</v>
      </c>
      <c r="G119" s="7">
        <v>1</v>
      </c>
      <c r="H119" s="15" t="s">
        <v>257</v>
      </c>
      <c r="I119" s="15">
        <v>42633.73400462963</v>
      </c>
      <c r="J119" s="7">
        <v>0</v>
      </c>
      <c r="K119" s="121" t="str">
        <f t="shared" si="22"/>
        <v>4041/4042</v>
      </c>
      <c r="L119" s="24" t="str">
        <f>VLOOKUP(A119,'Trips&amp;Operators'!$C$1:$E$10000,3,FALSE)</f>
        <v>BONDS</v>
      </c>
      <c r="M119" s="6">
        <f t="shared" si="23"/>
        <v>2.5497685186564922E-2</v>
      </c>
      <c r="N119" s="7">
        <f t="shared" si="24"/>
        <v>36.716666668653488</v>
      </c>
      <c r="O119" s="7"/>
      <c r="P119" s="7"/>
      <c r="Q119" s="25"/>
      <c r="R119" s="25"/>
      <c r="S119" s="37">
        <f t="shared" si="25"/>
        <v>1</v>
      </c>
      <c r="T119" s="52" t="str">
        <f t="shared" si="26"/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15:54:33-0600',mode:absolute,to:'2016-09-20 18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9" s="54" t="str">
        <f t="shared" si="28"/>
        <v>N</v>
      </c>
      <c r="X119" s="168">
        <f t="shared" si="36"/>
        <v>1</v>
      </c>
      <c r="Y119" s="69">
        <f t="shared" si="29"/>
        <v>5.04E-2</v>
      </c>
      <c r="Z119" s="69">
        <f t="shared" si="30"/>
        <v>23.329699999999999</v>
      </c>
      <c r="AA119" s="69">
        <f t="shared" si="31"/>
        <v>23.279299999999999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32"/>
        <v>0207-20</v>
      </c>
      <c r="AE119" s="99" t="str">
        <f t="shared" si="33"/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119" s="96" t="str">
        <f t="shared" si="34"/>
        <v>"C:\Program Files (x86)\AstroGrep\AstroGrep.exe" /spath="%USERPROFILE%\AppData\Local\Temp\OnboardLogs" /stypes="app*4042*20160920*" /stext=" 23:.+((SYSTEM_STATE.+slice.+state.+changed )|(ment ac)|(system.+state.+changed )|(\|lc)|(penalty)|(\[timeout)|(PRM\|1\|D)|(kpr)|(kdp))" /e /r /s</v>
      </c>
      <c r="AG119" s="1" t="str">
        <f t="shared" si="35"/>
        <v>EC</v>
      </c>
      <c r="AH119" s="100" t="str">
        <f t="shared" si="20"/>
        <v>"%USERPROFILE%\Documents\GitHub\eaglep3\Utilities\RefineRTDCRunTimes.py" --tripid 207-20 --locoid 4042 --swversion DE.1.0.7.0 --startMP 204:504 --initTime 2016-09-20T16:54:33 --startdatetime 2016-09-20T17:00:15 --delay 1 --endMP 204:233297 --enddatetime 2016-09-20T17:36:58 --enforcementcount 0 &gt;&gt;C:\Users\stu\Documents\GitHub\eaglep3-reporting\EC\2016-09-20-refined-times.txt</v>
      </c>
      <c r="AI119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{"issue":{"subject":"","project_id":79,"tracker_id":40,"status_id":1,"priority_id":2,"assigned_to_id":23,"start_date":"2016-09-20","description":"","custom_fields":[{"id":1,"name":"Subdivision","value":"EC"},{"id":4,"name":"Milepost","value":"23.3297"},{"id":17,"name":"Train ID","value":"207-20"},{"id":16,"name":"Locomotive ID","value":"4042"},{"id":130,"name":"Impact","value":""},{"id":150,"name":"Time of Event (Mountain Time)","value":"17:36:58"},{"id":151,"name":"Denver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544</v>
      </c>
      <c r="B120" s="7">
        <v>4041</v>
      </c>
      <c r="C120" s="24" t="s">
        <v>106</v>
      </c>
      <c r="D120" s="24" t="s">
        <v>669</v>
      </c>
      <c r="E120" s="15">
        <v>42633.739039351851</v>
      </c>
      <c r="F120" s="15">
        <v>42633.747777777775</v>
      </c>
      <c r="G120" s="7">
        <v>1</v>
      </c>
      <c r="H120" s="15" t="s">
        <v>235</v>
      </c>
      <c r="I120" s="15">
        <v>42633.776261574072</v>
      </c>
      <c r="J120" s="7">
        <v>0</v>
      </c>
      <c r="K120" s="121" t="str">
        <f t="shared" si="22"/>
        <v>4041/4042</v>
      </c>
      <c r="L120" s="24" t="str">
        <f>VLOOKUP(A120,'Trips&amp;Operators'!$C$1:$E$10000,3,FALSE)</f>
        <v>BONDS</v>
      </c>
      <c r="M120" s="6">
        <f t="shared" si="23"/>
        <v>2.8483796297223307E-2</v>
      </c>
      <c r="N120" s="7">
        <f t="shared" si="24"/>
        <v>41.016666668001562</v>
      </c>
      <c r="O120" s="7"/>
      <c r="P120" s="7"/>
      <c r="Q120" s="25"/>
      <c r="R120" s="25"/>
      <c r="S120" s="37">
        <f t="shared" si="25"/>
        <v>1</v>
      </c>
      <c r="T120" s="52" t="str">
        <f t="shared" si="26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16:44:13-0600',mode:absolute,to:'2016-09-20 19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0" s="54" t="str">
        <f t="shared" si="28"/>
        <v>N</v>
      </c>
      <c r="X120" s="168">
        <f t="shared" si="36"/>
        <v>1</v>
      </c>
      <c r="Y120" s="69">
        <f t="shared" si="29"/>
        <v>23.2974</v>
      </c>
      <c r="Z120" s="69">
        <f t="shared" si="30"/>
        <v>1.38E-2</v>
      </c>
      <c r="AA120" s="69">
        <f t="shared" si="31"/>
        <v>23.2836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32"/>
        <v>0208-20</v>
      </c>
      <c r="AE120" s="99" t="str">
        <f t="shared" si="33"/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120" s="96" t="str">
        <f t="shared" si="34"/>
        <v>"C:\Program Files (x86)\AstroGrep\AstroGrep.exe" /spath="%USERPROFILE%\AppData\Local\Temp\OnboardLogs" /stypes="app*4041*20160921*" /stext=" 00:.+((SYSTEM_STATE.+slice.+state.+changed )|(ment ac)|(system.+state.+changed )|(\|lc)|(penalty)|(\[timeout)|(PRM\|1\|D)|(kpr)|(kdp))" /e /r /s</v>
      </c>
      <c r="AG120" s="1" t="str">
        <f t="shared" si="35"/>
        <v>EC</v>
      </c>
      <c r="AH120" s="100" t="str">
        <f t="shared" si="20"/>
        <v>"%USERPROFILE%\Documents\GitHub\eaglep3\Utilities\RefineRTDCRunTimes.py" --tripid 208-20 --locoid 4041 --swversion DE.1.0.7.0 --startMP 204:232974 --initTime 2016-09-20T17:44:13 --startdatetime 2016-09-20T17:56:48 --delay 1 --endMP 204:138 --enddatetime 2016-09-20T18:37:49 --enforcementcount 0 &gt;&gt;C:\Users\stu\Documents\GitHub\eaglep3-reporting\EC\2016-09-20-refined-times.txt</v>
      </c>
      <c r="AI120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{"issue":{"subject":"","project_id":79,"tracker_id":40,"status_id":1,"priority_id":2,"assigned_to_id":23,"start_date":"2016-09-20","description":"","custom_fields":[{"id":1,"name":"Subdivision","value":"EC"},{"id":4,"name":"Milepost","value":"0.0138"},{"id":17,"name":"Train ID","value":"208-20"},{"id":16,"name":"Locomotive ID","value":"4041"},{"id":130,"name":"Impact","value":""},{"id":150,"name":"Time of Event (Mountain Time)","value":"18:37:49"},{"id":151,"name":"Denver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533</v>
      </c>
      <c r="B121" s="7">
        <v>4003</v>
      </c>
      <c r="C121" s="24" t="s">
        <v>106</v>
      </c>
      <c r="D121" s="24" t="s">
        <v>225</v>
      </c>
      <c r="E121" s="15">
        <v>42633.715844907405</v>
      </c>
      <c r="F121" s="15">
        <v>42633.719097222223</v>
      </c>
      <c r="G121" s="7">
        <v>1</v>
      </c>
      <c r="H121" s="15" t="s">
        <v>283</v>
      </c>
      <c r="I121" s="15">
        <v>42633.746030092596</v>
      </c>
      <c r="J121" s="7">
        <v>0</v>
      </c>
      <c r="K121" s="121" t="str">
        <f t="shared" si="22"/>
        <v>4003/4004</v>
      </c>
      <c r="L121" s="24" t="str">
        <f>VLOOKUP(A121,'Trips&amp;Operators'!$C$1:$E$10000,3,FALSE)</f>
        <v>LEVERE</v>
      </c>
      <c r="M121" s="6">
        <f t="shared" si="23"/>
        <v>2.6932870372547768E-2</v>
      </c>
      <c r="N121" s="7">
        <f t="shared" si="24"/>
        <v>38.783333336468786</v>
      </c>
      <c r="O121" s="7"/>
      <c r="P121" s="7"/>
      <c r="Q121" s="25"/>
      <c r="R121" s="25"/>
      <c r="S121" s="37">
        <f t="shared" si="25"/>
        <v>1</v>
      </c>
      <c r="T121" s="52" t="str">
        <f t="shared" si="26"/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16:10:49-0600',mode:absolute,to:'2016-09-20 18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21" s="54" t="str">
        <f t="shared" si="28"/>
        <v>N</v>
      </c>
      <c r="X121" s="168">
        <f t="shared" si="36"/>
        <v>1</v>
      </c>
      <c r="Y121" s="69">
        <f t="shared" si="29"/>
        <v>4.6600000000000003E-2</v>
      </c>
      <c r="Z121" s="69">
        <f t="shared" si="30"/>
        <v>23.328600000000002</v>
      </c>
      <c r="AA121" s="69">
        <f t="shared" si="31"/>
        <v>23.282</v>
      </c>
      <c r="AB121" s="66" t="str">
        <f>VLOOKUP(A121,Enforcements!$C$7:$K$20,8,0)</f>
        <v>Bulletin (2)</v>
      </c>
      <c r="AC121" s="62" t="str">
        <f>VLOOKUP(A121,Enforcements!$C$7:$E$20,3,0)</f>
        <v>GRADE CROSSING</v>
      </c>
      <c r="AD121" s="63" t="str">
        <f t="shared" si="32"/>
        <v>0209-20</v>
      </c>
      <c r="AE121" s="99" t="str">
        <f t="shared" si="33"/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21" s="96" t="str">
        <f t="shared" si="34"/>
        <v>"C:\Program Files (x86)\AstroGrep\AstroGrep.exe" /spath="%USERPROFILE%\AppData\Local\Temp\OnboardLogs" /stypes="app*4003*20160920*" /stext=" 23:.+((SYSTEM_STATE.+slice.+state.+changed )|(ment ac)|(system.+state.+changed )|(\|lc)|(penalty)|(\[timeout)|(PRM\|1\|D)|(kpr)|(kdp))" /e /r /s</v>
      </c>
      <c r="AG121" s="1" t="str">
        <f t="shared" si="35"/>
        <v>EC</v>
      </c>
      <c r="AH121" s="100" t="str">
        <f t="shared" si="20"/>
        <v>"%USERPROFILE%\Documents\GitHub\eaglep3\Utilities\RefineRTDCRunTimes.py" --tripid 209-20 --locoid 4003 --swversion DE.1.0.7.0 --startMP 204:466 --initTime 2016-09-20T17:10:49 --startdatetime 2016-09-20T17:15:30 --delay 1 --endMP 204:233286 --enddatetime 2016-09-20T17:54:17 --enforcementcount 0 &gt;&gt;C:\Users\stu\Documents\GitHub\eaglep3-reporting\EC\2016-09-20-refined-times.txt</v>
      </c>
      <c r="AI121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{"issue":{"subject":"","project_id":79,"tracker_id":40,"status_id":1,"priority_id":2,"assigned_to_id":23,"start_date":"2016-09-20","description":"","custom_fields":[{"id":1,"name":"Subdivision","value":"EC"},{"id":4,"name":"Milepost","value":"23.3286"},{"id":17,"name":"Train ID","value":"209-20"},{"id":16,"name":"Locomotive ID","value":"4003"},{"id":130,"name":"Impact","value":""},{"id":150,"name":"Time of Event (Mountain Time)","value":"17:54:17"},{"id":151,"name":"Denver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547</v>
      </c>
      <c r="B122" s="7">
        <v>4004</v>
      </c>
      <c r="C122" s="24" t="s">
        <v>106</v>
      </c>
      <c r="D122" s="24" t="s">
        <v>252</v>
      </c>
      <c r="E122" s="15">
        <v>42633.752060185187</v>
      </c>
      <c r="F122" s="15">
        <v>42633.758020833331</v>
      </c>
      <c r="G122" s="7">
        <v>1</v>
      </c>
      <c r="H122" s="15" t="s">
        <v>218</v>
      </c>
      <c r="I122" s="15">
        <v>42633.784710648149</v>
      </c>
      <c r="J122" s="7">
        <v>0</v>
      </c>
      <c r="K122" s="121" t="str">
        <f t="shared" si="22"/>
        <v>4003/4004</v>
      </c>
      <c r="L122" s="24" t="str">
        <f>VLOOKUP(A122,'Trips&amp;Operators'!$C$1:$E$10000,3,FALSE)</f>
        <v>LEVERE</v>
      </c>
      <c r="M122" s="6">
        <f t="shared" si="23"/>
        <v>2.6689814818382729E-2</v>
      </c>
      <c r="N122" s="7">
        <f t="shared" si="24"/>
        <v>38.43333333847113</v>
      </c>
      <c r="O122" s="7"/>
      <c r="P122" s="7"/>
      <c r="Q122" s="25"/>
      <c r="R122" s="25"/>
      <c r="S122" s="37">
        <f t="shared" si="25"/>
        <v>1</v>
      </c>
      <c r="T122" s="52" t="str">
        <f t="shared" si="26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17:02:58-0600',mode:absolute,to:'2016-09-20 19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22" s="54" t="str">
        <f t="shared" si="28"/>
        <v>N</v>
      </c>
      <c r="X122" s="168">
        <f t="shared" si="36"/>
        <v>1</v>
      </c>
      <c r="Y122" s="69">
        <f t="shared" si="29"/>
        <v>23.2971</v>
      </c>
      <c r="Z122" s="69">
        <f t="shared" si="30"/>
        <v>1.47E-2</v>
      </c>
      <c r="AA122" s="69">
        <f t="shared" si="31"/>
        <v>23.282399999999999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32"/>
        <v>0210-20</v>
      </c>
      <c r="AE122" s="99" t="str">
        <f t="shared" si="33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122" s="96" t="str">
        <f t="shared" si="34"/>
        <v>"C:\Program Files (x86)\AstroGrep\AstroGrep.exe" /spath="%USERPROFILE%\AppData\Local\Temp\OnboardLogs" /stypes="app*4004*20160921*" /stext=" 00:.+((SYSTEM_STATE.+slice.+state.+changed )|(ment ac)|(system.+state.+changed )|(\|lc)|(penalty)|(\[timeout)|(PRM\|1\|D)|(kpr)|(kdp))" /e /r /s</v>
      </c>
      <c r="AG122" s="1" t="str">
        <f t="shared" si="35"/>
        <v>EC</v>
      </c>
      <c r="AH122" s="100" t="str">
        <f t="shared" si="20"/>
        <v>"%USERPROFILE%\Documents\GitHub\eaglep3\Utilities\RefineRTDCRunTimes.py" --tripid 210-20 --locoid 4004 --swversion DE.1.0.7.0 --startMP 204:232971 --initTime 2016-09-20T18:02:58 --startdatetime 2016-09-20T18:11:33 --delay 1 --endMP 204:147 --enddatetime 2016-09-20T18:49:59 --enforcementcount 0 &gt;&gt;C:\Users\stu\Documents\GitHub\eaglep3-reporting\EC\2016-09-20-refined-times.txt</v>
      </c>
      <c r="AI122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{"issue":{"subject":"","project_id":79,"tracker_id":40,"status_id":1,"priority_id":2,"assigned_to_id":23,"start_date":"2016-09-20","description":"","custom_fields":[{"id":1,"name":"Subdivision","value":"EC"},{"id":4,"name":"Milepost","value":"0.0147"},{"id":17,"name":"Train ID","value":"210-20"},{"id":16,"name":"Locomotive ID","value":"4004"},{"id":130,"name":"Impact","value":""},{"id":150,"name":"Time of Event (Mountain Time)","value":"18:49:59"},{"id":151,"name":"Denver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536</v>
      </c>
      <c r="B123" s="7">
        <v>4018</v>
      </c>
      <c r="C123" s="24" t="s">
        <v>106</v>
      </c>
      <c r="D123" s="24" t="s">
        <v>231</v>
      </c>
      <c r="E123" s="15">
        <v>42633.728067129632</v>
      </c>
      <c r="F123" s="15">
        <v>42633.729791666665</v>
      </c>
      <c r="G123" s="7">
        <v>1</v>
      </c>
      <c r="H123" s="15" t="s">
        <v>648</v>
      </c>
      <c r="I123" s="15">
        <v>42633.756979166668</v>
      </c>
      <c r="J123" s="7">
        <v>0</v>
      </c>
      <c r="K123" s="121" t="str">
        <f t="shared" si="22"/>
        <v>4017/4018</v>
      </c>
      <c r="L123" s="24" t="str">
        <f>VLOOKUP(A123,'Trips&amp;Operators'!$C$1:$E$10000,3,FALSE)</f>
        <v>YOUNG</v>
      </c>
      <c r="M123" s="6">
        <f t="shared" si="23"/>
        <v>2.718750000349246E-2</v>
      </c>
      <c r="N123" s="7">
        <f t="shared" si="24"/>
        <v>39.150000005029142</v>
      </c>
      <c r="O123" s="7"/>
      <c r="P123" s="7"/>
      <c r="Q123" s="25"/>
      <c r="R123" s="25"/>
      <c r="S123" s="37">
        <f t="shared" si="25"/>
        <v>1</v>
      </c>
      <c r="T123" s="52" t="str">
        <f t="shared" si="26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16:28:25-0600',mode:absolute,to:'2016-09-20 19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3" s="54" t="str">
        <f t="shared" si="28"/>
        <v>N</v>
      </c>
      <c r="X123" s="168">
        <f t="shared" si="36"/>
        <v>1</v>
      </c>
      <c r="Y123" s="69">
        <f t="shared" si="29"/>
        <v>4.6699999999999998E-2</v>
      </c>
      <c r="Z123" s="69">
        <f t="shared" si="30"/>
        <v>23.331</v>
      </c>
      <c r="AA123" s="69">
        <f t="shared" si="31"/>
        <v>23.284299999999998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32"/>
        <v>0211-20</v>
      </c>
      <c r="AE123" s="99" t="str">
        <f t="shared" si="33"/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123" s="96" t="str">
        <f t="shared" si="34"/>
        <v>"C:\Program Files (x86)\AstroGrep\AstroGrep.exe" /spath="%USERPROFILE%\AppData\Local\Temp\OnboardLogs" /stypes="app*4018*20160921*" /stext=" 00:.+((SYSTEM_STATE.+slice.+state.+changed )|(ment ac)|(system.+state.+changed )|(\|lc)|(penalty)|(\[timeout)|(PRM\|1\|D)|(kpr)|(kdp))" /e /r /s</v>
      </c>
      <c r="AG123" s="1" t="str">
        <f t="shared" si="35"/>
        <v>EC</v>
      </c>
      <c r="AH123" s="100" t="str">
        <f t="shared" si="20"/>
        <v>"%USERPROFILE%\Documents\GitHub\eaglep3\Utilities\RefineRTDCRunTimes.py" --tripid 211-20 --locoid 4018 --swversion DE.1.0.7.0 --startMP 204:467 --initTime 2016-09-20T17:28:25 --startdatetime 2016-09-20T17:30:54 --delay 1 --endMP 204:233310 --enddatetime 2016-09-20T18:10:03 --enforcementcount 0 &gt;&gt;C:\Users\stu\Documents\GitHub\eaglep3-reporting\EC\2016-09-20-refined-times.txt</v>
      </c>
      <c r="AI123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{"issue":{"subject":"","project_id":79,"tracker_id":40,"status_id":1,"priority_id":2,"assigned_to_id":23,"start_date":"2016-09-20","description":"","custom_fields":[{"id":1,"name":"Subdivision","value":"EC"},{"id":4,"name":"Milepost","value":"23.331"},{"id":17,"name":"Train ID","value":"211-20"},{"id":16,"name":"Locomotive ID","value":"4018"},{"id":130,"name":"Impact","value":""},{"id":150,"name":"Time of Event (Mountain Time)","value":"18:10:03"},{"id":151,"name":"Denver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551</v>
      </c>
      <c r="B124" s="7">
        <v>4017</v>
      </c>
      <c r="C124" s="24" t="s">
        <v>106</v>
      </c>
      <c r="D124" s="24" t="s">
        <v>617</v>
      </c>
      <c r="E124" s="15">
        <v>42633.761759259258</v>
      </c>
      <c r="F124" s="15">
        <v>42633.768437500003</v>
      </c>
      <c r="G124" s="7">
        <v>1</v>
      </c>
      <c r="H124" s="15" t="s">
        <v>304</v>
      </c>
      <c r="I124" s="15">
        <v>42633.797777777778</v>
      </c>
      <c r="J124" s="7">
        <v>0</v>
      </c>
      <c r="K124" s="121" t="str">
        <f t="shared" si="22"/>
        <v>4017/4018</v>
      </c>
      <c r="L124" s="24" t="str">
        <f>VLOOKUP(A124,'Trips&amp;Operators'!$C$1:$E$10000,3,FALSE)</f>
        <v>YOUNG</v>
      </c>
      <c r="M124" s="6">
        <f t="shared" si="23"/>
        <v>2.9340277775190771E-2</v>
      </c>
      <c r="N124" s="7">
        <f t="shared" si="24"/>
        <v>42.24999999627471</v>
      </c>
      <c r="O124" s="7"/>
      <c r="P124" s="7"/>
      <c r="Q124" s="25"/>
      <c r="R124" s="25"/>
      <c r="S124" s="37">
        <f t="shared" si="25"/>
        <v>1</v>
      </c>
      <c r="T124" s="52" t="str">
        <f t="shared" si="26"/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17:16:56-0600',mode:absolute,to:'2016-09-20 20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4" s="54" t="str">
        <f t="shared" si="28"/>
        <v>N</v>
      </c>
      <c r="X124" s="168">
        <f t="shared" si="36"/>
        <v>1</v>
      </c>
      <c r="Y124" s="69">
        <f t="shared" si="29"/>
        <v>23.298300000000001</v>
      </c>
      <c r="Z124" s="69">
        <f t="shared" si="30"/>
        <v>1.4500000000000001E-2</v>
      </c>
      <c r="AA124" s="69">
        <f t="shared" si="31"/>
        <v>23.283799999999999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32"/>
        <v>0212-20</v>
      </c>
      <c r="AE124" s="99" t="str">
        <f t="shared" si="33"/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124" s="96" t="str">
        <f t="shared" si="34"/>
        <v>"C:\Program Files (x86)\AstroGrep\AstroGrep.exe" /spath="%USERPROFILE%\AppData\Local\Temp\OnboardLogs" /stypes="app*4017*20160921*" /stext=" 01:.+((SYSTEM_STATE.+slice.+state.+changed )|(ment ac)|(system.+state.+changed )|(\|lc)|(penalty)|(\[timeout)|(PRM\|1\|D)|(kpr)|(kdp))" /e /r /s</v>
      </c>
      <c r="AG124" s="1" t="str">
        <f t="shared" si="35"/>
        <v>EC</v>
      </c>
      <c r="AH124" s="100" t="str">
        <f t="shared" si="20"/>
        <v>"%USERPROFILE%\Documents\GitHub\eaglep3\Utilities\RefineRTDCRunTimes.py" --tripid 212-20 --locoid 4017 --swversion DE.1.0.7.0 --startMP 204:232983 --initTime 2016-09-20T18:16:56 --startdatetime 2016-09-20T18:26:33 --delay 1 --endMP 204:145 --enddatetime 2016-09-20T19:08:48 --enforcementcount 0 &gt;&gt;C:\Users\stu\Documents\GitHub\eaglep3-reporting\EC\2016-09-20-refined-times.txt</v>
      </c>
      <c r="AI124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{"issue":{"subject":"","project_id":79,"tracker_id":40,"status_id":1,"priority_id":2,"assigned_to_id":23,"start_date":"2016-09-20","description":"","custom_fields":[{"id":1,"name":"Subdivision","value":"EC"},{"id":4,"name":"Milepost","value":"0.0145"},{"id":17,"name":"Train ID","value":"212-20"},{"id":16,"name":"Locomotive ID","value":"4017"},{"id":130,"name":"Impact","value":""},{"id":150,"name":"Time of Event (Mountain Time)","value":"19:08:48"},{"id":151,"name":"Denver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543</v>
      </c>
      <c r="B125" s="7">
        <v>4025</v>
      </c>
      <c r="C125" s="24" t="s">
        <v>106</v>
      </c>
      <c r="D125" s="24" t="s">
        <v>240</v>
      </c>
      <c r="E125" s="15">
        <v>42633.737071759257</v>
      </c>
      <c r="F125" s="15">
        <v>42633.739803240744</v>
      </c>
      <c r="G125" s="7">
        <v>2</v>
      </c>
      <c r="H125" s="15" t="s">
        <v>342</v>
      </c>
      <c r="I125" s="15">
        <v>42633.764328703706</v>
      </c>
      <c r="J125" s="7">
        <v>0</v>
      </c>
      <c r="K125" s="121" t="str">
        <f t="shared" si="22"/>
        <v>4025/4026</v>
      </c>
      <c r="L125" s="24" t="str">
        <f>VLOOKUP(A125,'Trips&amp;Operators'!$C$1:$E$10000,3,FALSE)</f>
        <v>COOLAHAN</v>
      </c>
      <c r="M125" s="6">
        <f t="shared" si="23"/>
        <v>2.4525462962628808E-2</v>
      </c>
      <c r="N125" s="7">
        <f t="shared" si="24"/>
        <v>35.316666666185483</v>
      </c>
      <c r="O125" s="7"/>
      <c r="P125" s="7"/>
      <c r="Q125" s="25"/>
      <c r="R125" s="25"/>
      <c r="S125" s="37">
        <f t="shared" si="25"/>
        <v>1</v>
      </c>
      <c r="T125" s="52" t="str">
        <f t="shared" si="26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16:41:23-0600',mode:absolute,to:'2016-09-20 19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5" s="54" t="str">
        <f t="shared" si="28"/>
        <v>N</v>
      </c>
      <c r="X125" s="168">
        <f t="shared" si="36"/>
        <v>1</v>
      </c>
      <c r="Y125" s="69">
        <f t="shared" si="29"/>
        <v>4.7500000000000001E-2</v>
      </c>
      <c r="Z125" s="69">
        <f t="shared" si="30"/>
        <v>23.326599999999999</v>
      </c>
      <c r="AA125" s="69">
        <f t="shared" si="31"/>
        <v>23.2791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32"/>
        <v>0213-20</v>
      </c>
      <c r="AE125" s="99" t="str">
        <f t="shared" si="33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25" s="96" t="str">
        <f t="shared" si="34"/>
        <v>"C:\Program Files (x86)\AstroGrep\AstroGrep.exe" /spath="%USERPROFILE%\AppData\Local\Temp\OnboardLogs" /stypes="app*4025*20160921*" /stext=" 00:.+((SYSTEM_STATE.+slice.+state.+changed )|(ment ac)|(system.+state.+changed )|(\|lc)|(penalty)|(\[timeout)|(PRM\|1\|D)|(kpr)|(kdp))" /e /r /s</v>
      </c>
      <c r="AG125" s="1" t="str">
        <f t="shared" si="35"/>
        <v>EC</v>
      </c>
      <c r="AH125" s="100" t="str">
        <f t="shared" si="20"/>
        <v>"%USERPROFILE%\Documents\GitHub\eaglep3\Utilities\RefineRTDCRunTimes.py" --tripid 213-20 --locoid 4025 --swversion DE.1.0.7.0 --startMP 204:475 --initTime 2016-09-20T17:41:23 --startdatetime 2016-09-20T17:45:19 --delay 2 --endMP 204:233266 --enddatetime 2016-09-20T18:20:38 --enforcementcount 0 &gt;&gt;C:\Users\stu\Documents\GitHub\eaglep3-reporting\EC\2016-09-20-refined-times.txt</v>
      </c>
      <c r="AI125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{"issue":{"subject":"","project_id":79,"tracker_id":40,"status_id":1,"priority_id":2,"assigned_to_id":23,"start_date":"2016-09-20","description":"","custom_fields":[{"id":1,"name":"Subdivision","value":"EC"},{"id":4,"name":"Milepost","value":"23.3266"},{"id":17,"name":"Train ID","value":"213-20"},{"id":16,"name":"Locomotive ID","value":"4025"},{"id":130,"name":"Impact","value":""},{"id":150,"name":"Time of Event (Mountain Time)","value":"18:20:38"},{"id":151,"name":"Denver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554</v>
      </c>
      <c r="B126" s="7">
        <v>4026</v>
      </c>
      <c r="C126" s="24" t="s">
        <v>106</v>
      </c>
      <c r="D126" s="24" t="s">
        <v>670</v>
      </c>
      <c r="E126" s="15">
        <v>42633.772905092592</v>
      </c>
      <c r="F126" s="15">
        <v>42633.778715277775</v>
      </c>
      <c r="G126" s="7">
        <v>2</v>
      </c>
      <c r="H126" s="15" t="s">
        <v>245</v>
      </c>
      <c r="I126" s="15">
        <v>42633.804907407408</v>
      </c>
      <c r="J126" s="7">
        <v>0</v>
      </c>
      <c r="K126" s="121" t="str">
        <f t="shared" si="22"/>
        <v>4025/4026</v>
      </c>
      <c r="L126" s="24" t="str">
        <f>VLOOKUP(A126,'Trips&amp;Operators'!$C$1:$E$10000,3,FALSE)</f>
        <v>COOLAHAN</v>
      </c>
      <c r="M126" s="6">
        <f t="shared" si="23"/>
        <v>2.6192129633272998E-2</v>
      </c>
      <c r="N126" s="7">
        <f t="shared" si="24"/>
        <v>37.716666671913117</v>
      </c>
      <c r="O126" s="7"/>
      <c r="P126" s="7"/>
      <c r="Q126" s="25"/>
      <c r="R126" s="25"/>
      <c r="S126" s="37">
        <f t="shared" si="25"/>
        <v>1</v>
      </c>
      <c r="T126" s="52" t="str">
        <f t="shared" si="26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17:32:59-0600',mode:absolute,to:'2016-09-20 20:19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6" s="54" t="str">
        <f t="shared" si="28"/>
        <v>N</v>
      </c>
      <c r="X126" s="168">
        <f t="shared" si="36"/>
        <v>1</v>
      </c>
      <c r="Y126" s="69">
        <f t="shared" si="29"/>
        <v>23.295000000000002</v>
      </c>
      <c r="Z126" s="69">
        <f t="shared" si="30"/>
        <v>1.43E-2</v>
      </c>
      <c r="AA126" s="69">
        <f t="shared" si="31"/>
        <v>23.280700000000003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32"/>
        <v>0214-20</v>
      </c>
      <c r="AE126" s="99" t="str">
        <f t="shared" si="33"/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126" s="96" t="str">
        <f t="shared" si="34"/>
        <v>"C:\Program Files (x86)\AstroGrep\AstroGrep.exe" /spath="%USERPROFILE%\AppData\Local\Temp\OnboardLogs" /stypes="app*4026*20160921*" /stext=" 01:.+((SYSTEM_STATE.+slice.+state.+changed )|(ment ac)|(system.+state.+changed )|(\|lc)|(penalty)|(\[timeout)|(PRM\|1\|D)|(kpr)|(kdp))" /e /r /s</v>
      </c>
      <c r="AG126" s="1" t="str">
        <f t="shared" si="35"/>
        <v>EC</v>
      </c>
      <c r="AH126" s="100" t="str">
        <f t="shared" si="20"/>
        <v>"%USERPROFILE%\Documents\GitHub\eaglep3\Utilities\RefineRTDCRunTimes.py" --tripid 214-20 --locoid 4026 --swversion DE.1.0.7.0 --startMP 204:232950 --initTime 2016-09-20T18:32:59 --startdatetime 2016-09-20T18:41:21 --delay 2 --endMP 204:143 --enddatetime 2016-09-20T19:19:04 --enforcementcount 0 &gt;&gt;C:\Users\stu\Documents\GitHub\eaglep3-reporting\EC\2016-09-20-refined-times.txt</v>
      </c>
      <c r="AI126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{"issue":{"subject":"","project_id":79,"tracker_id":40,"status_id":1,"priority_id":2,"assigned_to_id":23,"start_date":"2016-09-20","description":"","custom_fields":[{"id":1,"name":"Subdivision","value":"EC"},{"id":4,"name":"Milepost","value":"0.0143"},{"id":17,"name":"Train ID","value":"214-20"},{"id":16,"name":"Locomotive ID","value":"4026"},{"id":130,"name":"Impact","value":""},{"id":150,"name":"Time of Event (Mountain Time)","value":"19:19:04"},{"id":151,"name":"Denver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546</v>
      </c>
      <c r="B127" s="7">
        <v>4009</v>
      </c>
      <c r="C127" s="24" t="s">
        <v>106</v>
      </c>
      <c r="D127" s="24" t="s">
        <v>216</v>
      </c>
      <c r="E127" s="15">
        <v>42633.745358796295</v>
      </c>
      <c r="F127" s="15">
        <v>42633.750185185185</v>
      </c>
      <c r="G127" s="7">
        <v>2</v>
      </c>
      <c r="H127" s="15" t="s">
        <v>352</v>
      </c>
      <c r="I127" s="15">
        <v>42633.77516203704</v>
      </c>
      <c r="J127" s="7">
        <v>0</v>
      </c>
      <c r="K127" s="121" t="str">
        <f t="shared" si="22"/>
        <v>4009/4010</v>
      </c>
      <c r="L127" s="24" t="str">
        <f>VLOOKUP(A127,'Trips&amp;Operators'!$C$1:$E$10000,3,FALSE)</f>
        <v>STORY</v>
      </c>
      <c r="M127" s="6">
        <f t="shared" si="23"/>
        <v>2.4976851855171844E-2</v>
      </c>
      <c r="N127" s="7">
        <f t="shared" si="24"/>
        <v>35.966666671447456</v>
      </c>
      <c r="O127" s="7"/>
      <c r="P127" s="7"/>
      <c r="Q127" s="25"/>
      <c r="R127" s="25"/>
      <c r="S127" s="37">
        <f t="shared" si="25"/>
        <v>1</v>
      </c>
      <c r="T127" s="52" t="str">
        <f t="shared" si="26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16:53:19-0600',mode:absolute,to:'2016-09-20 19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7" s="54" t="str">
        <f t="shared" si="28"/>
        <v>N</v>
      </c>
      <c r="X127" s="168">
        <f t="shared" si="36"/>
        <v>1</v>
      </c>
      <c r="Y127" s="69">
        <f t="shared" si="29"/>
        <v>4.7100000000000003E-2</v>
      </c>
      <c r="Z127" s="69">
        <f t="shared" si="30"/>
        <v>23.328700000000001</v>
      </c>
      <c r="AA127" s="69">
        <f t="shared" si="31"/>
        <v>23.281600000000001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32"/>
        <v>0215-20</v>
      </c>
      <c r="AE127" s="99" t="str">
        <f t="shared" si="33"/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127" s="96" t="str">
        <f t="shared" si="34"/>
        <v>"C:\Program Files (x86)\AstroGrep\AstroGrep.exe" /spath="%USERPROFILE%\AppData\Local\Temp\OnboardLogs" /stypes="app*4009*20160921*" /stext=" 00:.+((SYSTEM_STATE.+slice.+state.+changed )|(ment ac)|(system.+state.+changed )|(\|lc)|(penalty)|(\[timeout)|(PRM\|1\|D)|(kpr)|(kdp))" /e /r /s</v>
      </c>
      <c r="AG127" s="1" t="str">
        <f t="shared" si="35"/>
        <v>EC</v>
      </c>
      <c r="AH127" s="100" t="str">
        <f t="shared" si="20"/>
        <v>"%USERPROFILE%\Documents\GitHub\eaglep3\Utilities\RefineRTDCRunTimes.py" --tripid 215-20 --locoid 4009 --swversion DE.1.0.7.0 --startMP 204:471 --initTime 2016-09-20T17:53:19 --startdatetime 2016-09-20T18:00:16 --delay 2 --endMP 204:233287 --enddatetime 2016-09-20T18:36:14 --enforcementcount 0 &gt;&gt;C:\Users\stu\Documents\GitHub\eaglep3-reporting\EC\2016-09-20-refined-times.txt</v>
      </c>
      <c r="AI127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{"issue":{"subject":"","project_id":79,"tracker_id":40,"status_id":1,"priority_id":2,"assigned_to_id":23,"start_date":"2016-09-20","description":"","custom_fields":[{"id":1,"name":"Subdivision","value":"EC"},{"id":4,"name":"Milepost","value":"23.3287"},{"id":17,"name":"Train ID","value":"215-20"},{"id":16,"name":"Locomotive ID","value":"4009"},{"id":130,"name":"Impact","value":""},{"id":150,"name":"Time of Event (Mountain Time)","value":"18:36:14"},{"id":151,"name":"Denver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558</v>
      </c>
      <c r="B128" s="7">
        <v>4010</v>
      </c>
      <c r="C128" s="24" t="s">
        <v>106</v>
      </c>
      <c r="D128" s="24" t="s">
        <v>671</v>
      </c>
      <c r="E128" s="15">
        <v>42633.782129629632</v>
      </c>
      <c r="F128" s="15">
        <v>42633.789189814815</v>
      </c>
      <c r="G128" s="7">
        <v>1</v>
      </c>
      <c r="H128" s="15" t="s">
        <v>218</v>
      </c>
      <c r="I128" s="15">
        <v>42633.816053240742</v>
      </c>
      <c r="J128" s="7">
        <v>0</v>
      </c>
      <c r="K128" s="121" t="str">
        <f t="shared" si="22"/>
        <v>4009/4010</v>
      </c>
      <c r="L128" s="24" t="str">
        <f>VLOOKUP(A128,'Trips&amp;Operators'!$C$1:$E$10000,3,FALSE)</f>
        <v>STORY</v>
      </c>
      <c r="M128" s="6">
        <f t="shared" si="23"/>
        <v>2.6863425926421769E-2</v>
      </c>
      <c r="N128" s="7">
        <f t="shared" si="24"/>
        <v>38.683333334047347</v>
      </c>
      <c r="O128" s="7"/>
      <c r="P128" s="7"/>
      <c r="Q128" s="25"/>
      <c r="R128" s="25"/>
      <c r="S128" s="37">
        <f t="shared" si="25"/>
        <v>1</v>
      </c>
      <c r="T128" s="52" t="str">
        <f t="shared" si="26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17:46:16-0600',mode:absolute,to:'2016-09-20 20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8" s="54" t="str">
        <f t="shared" si="28"/>
        <v>N</v>
      </c>
      <c r="X128" s="168">
        <f t="shared" si="36"/>
        <v>1</v>
      </c>
      <c r="Y128" s="69">
        <f t="shared" si="29"/>
        <v>23.296399999999998</v>
      </c>
      <c r="Z128" s="69">
        <f t="shared" si="30"/>
        <v>1.47E-2</v>
      </c>
      <c r="AA128" s="69">
        <f t="shared" si="31"/>
        <v>23.281699999999997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32"/>
        <v>0216-20</v>
      </c>
      <c r="AE128" s="99" t="str">
        <f t="shared" si="33"/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128" s="96" t="str">
        <f t="shared" si="34"/>
        <v>"C:\Program Files (x86)\AstroGrep\AstroGrep.exe" /spath="%USERPROFILE%\AppData\Local\Temp\OnboardLogs" /stypes="app*4010*20160921*" /stext=" 01:.+((SYSTEM_STATE.+slice.+state.+changed )|(ment ac)|(system.+state.+changed )|(\|lc)|(penalty)|(\[timeout)|(PRM\|1\|D)|(kpr)|(kdp))" /e /r /s</v>
      </c>
      <c r="AG128" s="1" t="str">
        <f t="shared" si="35"/>
        <v>EC</v>
      </c>
      <c r="AH128" s="100" t="str">
        <f t="shared" si="20"/>
        <v>"%USERPROFILE%\Documents\GitHub\eaglep3\Utilities\RefineRTDCRunTimes.py" --tripid 216-20 --locoid 4010 --swversion DE.1.0.7.0 --startMP 204:232964 --initTime 2016-09-20T18:46:16 --startdatetime 2016-09-20T18:56:26 --delay 1 --endMP 204:147 --enddatetime 2016-09-20T19:35:07 --enforcementcount 0 &gt;&gt;C:\Users\stu\Documents\GitHub\eaglep3-reporting\EC\2016-09-20-refined-times.txt</v>
      </c>
      <c r="AI128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{"issue":{"subject":"","project_id":79,"tracker_id":40,"status_id":1,"priority_id":2,"assigned_to_id":23,"start_date":"2016-09-20","description":"","custom_fields":[{"id":1,"name":"Subdivision","value":"EC"},{"id":4,"name":"Milepost","value":"0.0147"},{"id":17,"name":"Train ID","value":"216-20"},{"id":16,"name":"Locomotive ID","value":"4010"},{"id":130,"name":"Impact","value":""},{"id":150,"name":"Time of Event (Mountain Time)","value":"19:35:07"},{"id":151,"name":"Denver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549</v>
      </c>
      <c r="B129" s="7">
        <v>4014</v>
      </c>
      <c r="C129" s="24" t="s">
        <v>106</v>
      </c>
      <c r="D129" s="24" t="s">
        <v>216</v>
      </c>
      <c r="E129" s="15">
        <v>42633.756921296299</v>
      </c>
      <c r="F129" s="15">
        <v>42633.760740740741</v>
      </c>
      <c r="G129" s="7">
        <v>1</v>
      </c>
      <c r="H129" s="15" t="s">
        <v>353</v>
      </c>
      <c r="I129" s="15">
        <v>42633.784722222219</v>
      </c>
      <c r="J129" s="7">
        <v>0</v>
      </c>
      <c r="K129" s="121" t="str">
        <f t="shared" si="22"/>
        <v>4013/4014</v>
      </c>
      <c r="L129" s="24" t="str">
        <f>VLOOKUP(A129,'Trips&amp;Operators'!$C$1:$E$10000,3,FALSE)</f>
        <v>YANAI</v>
      </c>
      <c r="M129" s="6">
        <f t="shared" si="23"/>
        <v>2.3981481477676425E-2</v>
      </c>
      <c r="N129" s="7">
        <f t="shared" si="24"/>
        <v>34.533333327854052</v>
      </c>
      <c r="O129" s="7"/>
      <c r="P129" s="7"/>
      <c r="Q129" s="25"/>
      <c r="R129" s="25"/>
      <c r="S129" s="37">
        <f t="shared" si="25"/>
        <v>1</v>
      </c>
      <c r="T129" s="52" t="str">
        <f t="shared" si="26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17:09:58-0600',mode:absolute,to:'2016-09-20 19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9" s="54" t="str">
        <f t="shared" si="28"/>
        <v>N</v>
      </c>
      <c r="X129" s="168">
        <f t="shared" si="36"/>
        <v>1</v>
      </c>
      <c r="Y129" s="69">
        <f t="shared" si="29"/>
        <v>4.7100000000000003E-2</v>
      </c>
      <c r="Z129" s="69">
        <f t="shared" si="30"/>
        <v>23.330100000000002</v>
      </c>
      <c r="AA129" s="69">
        <f t="shared" si="31"/>
        <v>23.283000000000001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32"/>
        <v>0217-20</v>
      </c>
      <c r="AE129" s="99" t="str">
        <f t="shared" si="33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29" s="96" t="str">
        <f t="shared" si="34"/>
        <v>"C:\Program Files (x86)\AstroGrep\AstroGrep.exe" /spath="%USERPROFILE%\AppData\Local\Temp\OnboardLogs" /stypes="app*4014*20160921*" /stext=" 00:.+((SYSTEM_STATE.+slice.+state.+changed )|(ment ac)|(system.+state.+changed )|(\|lc)|(penalty)|(\[timeout)|(PRM\|1\|D)|(kpr)|(kdp))" /e /r /s</v>
      </c>
      <c r="AG129" s="1" t="str">
        <f t="shared" si="35"/>
        <v>EC</v>
      </c>
      <c r="AH129" s="100" t="str">
        <f t="shared" si="20"/>
        <v>"%USERPROFILE%\Documents\GitHub\eaglep3\Utilities\RefineRTDCRunTimes.py" --tripid 217-20 --locoid 4014 --swversion DE.1.0.7.0 --startMP 204:471 --initTime 2016-09-20T18:09:58 --startdatetime 2016-09-20T18:15:28 --delay 1 --endMP 204:233301 --enddatetime 2016-09-20T18:50:00 --enforcementcount 0 &gt;&gt;C:\Users\stu\Documents\GitHub\eaglep3-reporting\EC\2016-09-20-refined-times.txt</v>
      </c>
      <c r="AI129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{"issue":{"subject":"","project_id":79,"tracker_id":40,"status_id":1,"priority_id":2,"assigned_to_id":23,"start_date":"2016-09-20","description":"","custom_fields":[{"id":1,"name":"Subdivision","value":"EC"},{"id":4,"name":"Milepost","value":"23.3301"},{"id":17,"name":"Train ID","value":"217-20"},{"id":16,"name":"Locomotive ID","value":"4014"},{"id":130,"name":"Impact","value":""},{"id":150,"name":"Time of Event (Mountain Time)","value":"18:50:00"},{"id":151,"name":"Denver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560</v>
      </c>
      <c r="B130" s="7">
        <v>4013</v>
      </c>
      <c r="C130" s="24" t="s">
        <v>106</v>
      </c>
      <c r="D130" s="24" t="s">
        <v>339</v>
      </c>
      <c r="E130" s="15">
        <v>42633.794293981482</v>
      </c>
      <c r="F130" s="15">
        <v>42633.799490740741</v>
      </c>
      <c r="G130" s="7">
        <v>1</v>
      </c>
      <c r="H130" s="15" t="s">
        <v>672</v>
      </c>
      <c r="I130" s="15">
        <v>42633.825682870367</v>
      </c>
      <c r="J130" s="7">
        <v>0</v>
      </c>
      <c r="K130" s="121" t="str">
        <f t="shared" si="22"/>
        <v>4013/4014</v>
      </c>
      <c r="L130" s="24" t="str">
        <f>VLOOKUP(A130,'Trips&amp;Operators'!$C$1:$E$10000,3,FALSE)</f>
        <v>YANAI</v>
      </c>
      <c r="M130" s="6">
        <f t="shared" si="23"/>
        <v>2.619212962599704E-2</v>
      </c>
      <c r="N130" s="7">
        <f t="shared" si="24"/>
        <v>37.716666661435738</v>
      </c>
      <c r="O130" s="7"/>
      <c r="P130" s="7"/>
      <c r="Q130" s="25"/>
      <c r="R130" s="25"/>
      <c r="S130" s="37">
        <f t="shared" si="25"/>
        <v>1</v>
      </c>
      <c r="T130" s="52" t="str">
        <f t="shared" si="26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18:03:47-0600',mode:absolute,to:'2016-09-20 20:48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0" s="54" t="str">
        <f t="shared" si="28"/>
        <v>N</v>
      </c>
      <c r="X130" s="168">
        <f t="shared" si="36"/>
        <v>1</v>
      </c>
      <c r="Y130" s="69">
        <f t="shared" si="29"/>
        <v>23.296700000000001</v>
      </c>
      <c r="Z130" s="69">
        <f t="shared" si="30"/>
        <v>1.7000000000000001E-2</v>
      </c>
      <c r="AA130" s="69">
        <f t="shared" si="31"/>
        <v>23.279700000000002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32"/>
        <v>0218-20</v>
      </c>
      <c r="AE130" s="99" t="str">
        <f t="shared" si="33"/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130" s="96" t="str">
        <f t="shared" si="34"/>
        <v>"C:\Program Files (x86)\AstroGrep\AstroGrep.exe" /spath="%USERPROFILE%\AppData\Local\Temp\OnboardLogs" /stypes="app*4013*20160921*" /stext=" 01:.+((SYSTEM_STATE.+slice.+state.+changed )|(ment ac)|(system.+state.+changed )|(\|lc)|(penalty)|(\[timeout)|(PRM\|1\|D)|(kpr)|(kdp))" /e /r /s</v>
      </c>
      <c r="AG130" s="1" t="str">
        <f t="shared" si="35"/>
        <v>EC</v>
      </c>
      <c r="AH130" s="100" t="str">
        <f t="shared" si="20"/>
        <v>"%USERPROFILE%\Documents\GitHub\eaglep3\Utilities\RefineRTDCRunTimes.py" --tripid 218-20 --locoid 4013 --swversion DE.1.0.7.0 --startMP 204:232967 --initTime 2016-09-20T19:03:47 --startdatetime 2016-09-20T19:11:16 --delay 1 --endMP 204:170 --enddatetime 2016-09-20T19:48:59 --enforcementcount 0 &gt;&gt;C:\Users\stu\Documents\GitHub\eaglep3-reporting\EC\2016-09-20-refined-times.txt</v>
      </c>
      <c r="AI130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{"issue":{"subject":"","project_id":79,"tracker_id":40,"status_id":1,"priority_id":2,"assigned_to_id":23,"start_date":"2016-09-20","description":"","custom_fields":[{"id":1,"name":"Subdivision","value":"EC"},{"id":4,"name":"Milepost","value":"0.017"},{"id":17,"name":"Train ID","value":"218-20"},{"id":16,"name":"Locomotive ID","value":"4013"},{"id":130,"name":"Impact","value":""},{"id":150,"name":"Time of Event (Mountain Time)","value":"19:48:59"},{"id":151,"name":"Denver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553</v>
      </c>
      <c r="B131" s="7">
        <v>4011</v>
      </c>
      <c r="C131" s="24" t="s">
        <v>106</v>
      </c>
      <c r="D131" s="24" t="s">
        <v>230</v>
      </c>
      <c r="E131" s="15">
        <v>42633.770682870374</v>
      </c>
      <c r="F131" s="15">
        <v>42633.771921296298</v>
      </c>
      <c r="G131" s="7">
        <v>1</v>
      </c>
      <c r="H131" s="15" t="s">
        <v>648</v>
      </c>
      <c r="I131" s="15">
        <v>42633.797442129631</v>
      </c>
      <c r="J131" s="7">
        <v>0</v>
      </c>
      <c r="K131" s="121" t="str">
        <f t="shared" si="22"/>
        <v>4011/4012</v>
      </c>
      <c r="L131" s="24" t="str">
        <f>VLOOKUP(A131,'Trips&amp;Operators'!$C$1:$E$10000,3,FALSE)</f>
        <v>CHANDLER</v>
      </c>
      <c r="M131" s="6">
        <f t="shared" si="23"/>
        <v>2.5520833332848269E-2</v>
      </c>
      <c r="N131" s="7">
        <f t="shared" si="24"/>
        <v>36.749999999301508</v>
      </c>
      <c r="O131" s="7"/>
      <c r="P131" s="7"/>
      <c r="Q131" s="25"/>
      <c r="R131" s="25"/>
      <c r="S131" s="37">
        <f t="shared" si="25"/>
        <v>1</v>
      </c>
      <c r="T131" s="52" t="str">
        <f t="shared" si="26"/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17:29:47-0600',mode:absolute,to:'2016-09-20 20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1" s="54" t="str">
        <f t="shared" si="28"/>
        <v>N</v>
      </c>
      <c r="X131" s="168">
        <f t="shared" si="36"/>
        <v>1</v>
      </c>
      <c r="Y131" s="69">
        <f t="shared" si="29"/>
        <v>4.58E-2</v>
      </c>
      <c r="Z131" s="69">
        <f t="shared" si="30"/>
        <v>23.331</v>
      </c>
      <c r="AA131" s="69">
        <f t="shared" si="31"/>
        <v>23.2852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32"/>
        <v>0219-20</v>
      </c>
      <c r="AE131" s="99" t="str">
        <f t="shared" si="33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31" s="96" t="str">
        <f t="shared" si="34"/>
        <v>"C:\Program Files (x86)\AstroGrep\AstroGrep.exe" /spath="%USERPROFILE%\AppData\Local\Temp\OnboardLogs" /stypes="app*4011*20160921*" /stext=" 01:.+((SYSTEM_STATE.+slice.+state.+changed )|(ment ac)|(system.+state.+changed )|(\|lc)|(penalty)|(\[timeout)|(PRM\|1\|D)|(kpr)|(kdp))" /e /r /s</v>
      </c>
      <c r="AG131" s="1" t="str">
        <f t="shared" si="35"/>
        <v>EC</v>
      </c>
      <c r="AH131" s="100" t="str">
        <f t="shared" si="20"/>
        <v>"%USERPROFILE%\Documents\GitHub\eaglep3\Utilities\RefineRTDCRunTimes.py" --tripid 219-20 --locoid 4011 --swversion DE.1.0.7.0 --startMP 204:458 --initTime 2016-09-20T18:29:47 --startdatetime 2016-09-20T18:31:34 --delay 1 --endMP 204:233310 --enddatetime 2016-09-20T19:08:19 --enforcementcount 0 &gt;&gt;C:\Users\stu\Documents\GitHub\eaglep3-reporting\EC\2016-09-20-refined-times.txt</v>
      </c>
      <c r="AI131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{"issue":{"subject":"","project_id":79,"tracker_id":40,"status_id":1,"priority_id":2,"assigned_to_id":23,"start_date":"2016-09-20","description":"","custom_fields":[{"id":1,"name":"Subdivision","value":"EC"},{"id":4,"name":"Milepost","value":"23.331"},{"id":17,"name":"Train ID","value":"219-20"},{"id":16,"name":"Locomotive ID","value":"4011"},{"id":130,"name":"Impact","value":""},{"id":150,"name":"Time of Event (Mountain Time)","value":"19:08:19"},{"id":151,"name":"Denver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563</v>
      </c>
      <c r="B132" s="7">
        <v>4012</v>
      </c>
      <c r="C132" s="24" t="s">
        <v>106</v>
      </c>
      <c r="D132" s="24" t="s">
        <v>228</v>
      </c>
      <c r="E132" s="15">
        <v>42633.808067129627</v>
      </c>
      <c r="F132" s="15">
        <v>42633.810127314813</v>
      </c>
      <c r="G132" s="7">
        <v>1</v>
      </c>
      <c r="H132" s="15" t="s">
        <v>341</v>
      </c>
      <c r="I132" s="15">
        <v>42633.838530092595</v>
      </c>
      <c r="J132" s="7">
        <v>0</v>
      </c>
      <c r="K132" s="121" t="str">
        <f t="shared" si="22"/>
        <v>4011/4012</v>
      </c>
      <c r="L132" s="24" t="str">
        <f>VLOOKUP(A132,'Trips&amp;Operators'!$C$1:$E$10000,3,FALSE)</f>
        <v>CHANDLER</v>
      </c>
      <c r="M132" s="6">
        <f t="shared" si="23"/>
        <v>2.8402777781593613E-2</v>
      </c>
      <c r="N132" s="7">
        <f t="shared" si="24"/>
        <v>40.900000005494803</v>
      </c>
      <c r="O132" s="7"/>
      <c r="P132" s="7"/>
      <c r="Q132" s="25"/>
      <c r="R132" s="25"/>
      <c r="S132" s="37">
        <f t="shared" si="25"/>
        <v>1</v>
      </c>
      <c r="T132" s="52" t="str">
        <f t="shared" si="26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18:23:37-0600',mode:absolute,to:'2016-09-20 21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2" s="54" t="str">
        <f t="shared" si="28"/>
        <v>N</v>
      </c>
      <c r="X132" s="168">
        <f t="shared" si="36"/>
        <v>1</v>
      </c>
      <c r="Y132" s="69">
        <f t="shared" si="29"/>
        <v>23.297699999999999</v>
      </c>
      <c r="Z132" s="69">
        <f t="shared" si="30"/>
        <v>1.7600000000000001E-2</v>
      </c>
      <c r="AA132" s="69">
        <f t="shared" si="31"/>
        <v>23.280099999999997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32"/>
        <v>0220-20</v>
      </c>
      <c r="AE132" s="99" t="str">
        <f t="shared" si="33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132" s="96" t="str">
        <f t="shared" si="34"/>
        <v>"C:\Program Files (x86)\AstroGrep\AstroGrep.exe" /spath="%USERPROFILE%\AppData\Local\Temp\OnboardLogs" /stypes="app*4012*20160921*" /stext=" 02:.+((SYSTEM_STATE.+slice.+state.+changed )|(ment ac)|(system.+state.+changed )|(\|lc)|(penalty)|(\[timeout)|(PRM\|1\|D)|(kpr)|(kdp))" /e /r /s</v>
      </c>
      <c r="AG132" s="1" t="str">
        <f t="shared" si="35"/>
        <v>EC</v>
      </c>
      <c r="AH132" s="100" t="str">
        <f t="shared" si="20"/>
        <v>"%USERPROFILE%\Documents\GitHub\eaglep3\Utilities\RefineRTDCRunTimes.py" --tripid 220-20 --locoid 4012 --swversion DE.1.0.7.0 --startMP 204:232977 --initTime 2016-09-20T19:23:37 --startdatetime 2016-09-20T19:26:35 --delay 1 --endMP 204:176 --enddatetime 2016-09-20T20:07:29 --enforcementcount 0 &gt;&gt;C:\Users\stu\Documents\GitHub\eaglep3-reporting\EC\2016-09-20-refined-times.txt</v>
      </c>
      <c r="AI132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{"issue":{"subject":"","project_id":79,"tracker_id":40,"status_id":1,"priority_id":2,"assigned_to_id":23,"start_date":"2016-09-20","description":"","custom_fields":[{"id":1,"name":"Subdivision","value":"EC"},{"id":4,"name":"Milepost","value":"0.0176"},{"id":17,"name":"Train ID","value":"220-20"},{"id":16,"name":"Locomotive ID","value":"4012"},{"id":130,"name":"Impact","value":""},{"id":150,"name":"Time of Event (Mountain Time)","value":"20:07:29"},{"id":151,"name":"Denver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559</v>
      </c>
      <c r="B133" s="7">
        <v>4003</v>
      </c>
      <c r="C133" s="24" t="s">
        <v>106</v>
      </c>
      <c r="D133" s="24" t="s">
        <v>223</v>
      </c>
      <c r="E133" s="15">
        <v>42633.786666666667</v>
      </c>
      <c r="F133" s="15">
        <v>42633.792291666665</v>
      </c>
      <c r="G133" s="7">
        <v>1</v>
      </c>
      <c r="H133" s="15" t="s">
        <v>673</v>
      </c>
      <c r="I133" s="15">
        <v>42633.818333333336</v>
      </c>
      <c r="J133" s="7">
        <v>0</v>
      </c>
      <c r="K133" s="121" t="str">
        <f t="shared" si="22"/>
        <v>4003/4004</v>
      </c>
      <c r="L133" s="24" t="str">
        <f>VLOOKUP(A133,'Trips&amp;Operators'!$C$1:$E$10000,3,FALSE)</f>
        <v>LEVERE</v>
      </c>
      <c r="M133" s="6">
        <f t="shared" si="23"/>
        <v>2.6041666671517305E-2</v>
      </c>
      <c r="N133" s="7">
        <f t="shared" si="24"/>
        <v>37.500000006984919</v>
      </c>
      <c r="O133" s="7"/>
      <c r="P133" s="7"/>
      <c r="Q133" s="25"/>
      <c r="R133" s="25"/>
      <c r="S133" s="37">
        <f t="shared" si="25"/>
        <v>1</v>
      </c>
      <c r="T133" s="52" t="str">
        <f t="shared" si="26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17:52:48-0600',mode:absolute,to:'2016-09-20 20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3" s="54" t="str">
        <f t="shared" si="28"/>
        <v>N</v>
      </c>
      <c r="X133" s="168">
        <f t="shared" si="36"/>
        <v>1</v>
      </c>
      <c r="Y133" s="69">
        <f t="shared" si="29"/>
        <v>4.5699999999999998E-2</v>
      </c>
      <c r="Z133" s="69">
        <f t="shared" si="30"/>
        <v>23.330200000000001</v>
      </c>
      <c r="AA133" s="69">
        <f t="shared" si="31"/>
        <v>23.284500000000001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32"/>
        <v>0221-20</v>
      </c>
      <c r="AE133" s="99" t="str">
        <f t="shared" si="33"/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33" s="96" t="str">
        <f t="shared" si="34"/>
        <v>"C:\Program Files (x86)\AstroGrep\AstroGrep.exe" /spath="%USERPROFILE%\AppData\Local\Temp\OnboardLogs" /stypes="app*4003*20160921*" /stext=" 01:.+((SYSTEM_STATE.+slice.+state.+changed )|(ment ac)|(system.+state.+changed )|(\|lc)|(penalty)|(\[timeout)|(PRM\|1\|D)|(kpr)|(kdp))" /e /r /s</v>
      </c>
      <c r="AG133" s="1" t="str">
        <f t="shared" si="35"/>
        <v>EC</v>
      </c>
      <c r="AH133" s="100" t="str">
        <f t="shared" si="20"/>
        <v>"%USERPROFILE%\Documents\GitHub\eaglep3\Utilities\RefineRTDCRunTimes.py" --tripid 221-20 --locoid 4003 --swversion DE.1.0.7.0 --startMP 204:457 --initTime 2016-09-20T18:52:48 --startdatetime 2016-09-20T19:00:54 --delay 1 --endMP 204:233302 --enddatetime 2016-09-20T19:38:24 --enforcementcount 0 &gt;&gt;C:\Users\stu\Documents\GitHub\eaglep3-reporting\EC\2016-09-20-refined-times.txt</v>
      </c>
      <c r="AI133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{"issue":{"subject":"","project_id":79,"tracker_id":40,"status_id":1,"priority_id":2,"assigned_to_id":23,"start_date":"2016-09-20","description":"","custom_fields":[{"id":1,"name":"Subdivision","value":"EC"},{"id":4,"name":"Milepost","value":"23.3302"},{"id":17,"name":"Train ID","value":"221-20"},{"id":16,"name":"Locomotive ID","value":"4003"},{"id":130,"name":"Impact","value":""},{"id":150,"name":"Time of Event (Mountain Time)","value":"19:38:24"},{"id":151,"name":"Denver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567</v>
      </c>
      <c r="B134" s="7">
        <v>4004</v>
      </c>
      <c r="C134" s="24" t="s">
        <v>106</v>
      </c>
      <c r="D134" s="24" t="s">
        <v>631</v>
      </c>
      <c r="E134" s="15">
        <v>42633.823449074072</v>
      </c>
      <c r="F134" s="15">
        <v>42633.83084490741</v>
      </c>
      <c r="G134" s="7">
        <v>1</v>
      </c>
      <c r="H134" s="15" t="s">
        <v>217</v>
      </c>
      <c r="I134" s="15">
        <v>42633.858043981483</v>
      </c>
      <c r="J134" s="7">
        <v>0</v>
      </c>
      <c r="K134" s="121" t="str">
        <f t="shared" si="22"/>
        <v>4003/4004</v>
      </c>
      <c r="L134" s="24" t="str">
        <f>VLOOKUP(A134,'Trips&amp;Operators'!$C$1:$E$10000,3,FALSE)</f>
        <v>LEVERE</v>
      </c>
      <c r="M134" s="6">
        <f t="shared" si="23"/>
        <v>2.7199074072996154E-2</v>
      </c>
      <c r="N134" s="7">
        <f t="shared" si="24"/>
        <v>39.166666665114462</v>
      </c>
      <c r="O134" s="7"/>
      <c r="P134" s="7"/>
      <c r="Q134" s="25"/>
      <c r="R134" s="25"/>
      <c r="S134" s="37">
        <f t="shared" si="25"/>
        <v>1</v>
      </c>
      <c r="T134" s="52" t="str">
        <f t="shared" si="26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18:45:46-0600',mode:absolute,to:'2016-09-20 21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34" s="54" t="str">
        <f t="shared" si="28"/>
        <v>N</v>
      </c>
      <c r="X134" s="168">
        <f t="shared" si="36"/>
        <v>1</v>
      </c>
      <c r="Y134" s="69">
        <f t="shared" si="29"/>
        <v>23.299299999999999</v>
      </c>
      <c r="Z134" s="69">
        <f t="shared" si="30"/>
        <v>1.5800000000000002E-2</v>
      </c>
      <c r="AA134" s="69">
        <f t="shared" si="31"/>
        <v>23.2835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32"/>
        <v>0222-20</v>
      </c>
      <c r="AE134" s="99" t="str">
        <f t="shared" si="33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134" s="96" t="str">
        <f t="shared" si="34"/>
        <v>"C:\Program Files (x86)\AstroGrep\AstroGrep.exe" /spath="%USERPROFILE%\AppData\Local\Temp\OnboardLogs" /stypes="app*4004*20160921*" /stext=" 02:.+((SYSTEM_STATE.+slice.+state.+changed )|(ment ac)|(system.+state.+changed )|(\|lc)|(penalty)|(\[timeout)|(PRM\|1\|D)|(kpr)|(kdp))" /e /r /s</v>
      </c>
      <c r="AG134" s="1" t="str">
        <f t="shared" si="35"/>
        <v>EC</v>
      </c>
      <c r="AH134" s="100" t="str">
        <f t="shared" si="20"/>
        <v>"%USERPROFILE%\Documents\GitHub\eaglep3\Utilities\RefineRTDCRunTimes.py" --tripid 222-20 --locoid 4004 --swversion DE.1.0.7.0 --startMP 204:232993 --initTime 2016-09-20T19:45:46 --startdatetime 2016-09-20T19:56:25 --delay 1 --endMP 204:158 --enddatetime 2016-09-20T20:35:35 --enforcementcount 0 &gt;&gt;C:\Users\stu\Documents\GitHub\eaglep3-reporting\EC\2016-09-20-refined-times.txt</v>
      </c>
      <c r="AI134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ID","value":"222-20"},{"id":16,"name":"Locomotive ID","value":"4004"},{"id":130,"name":"Impact","value":""},{"id":150,"name":"Time of Event (Mountain Time)","value":"20:35:35"},{"id":151,"name":"Denver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564</v>
      </c>
      <c r="B135" s="7">
        <v>4025</v>
      </c>
      <c r="C135" s="24" t="s">
        <v>106</v>
      </c>
      <c r="D135" s="24" t="s">
        <v>230</v>
      </c>
      <c r="E135" s="15">
        <v>42633.808530092596</v>
      </c>
      <c r="F135" s="15">
        <v>42633.812731481485</v>
      </c>
      <c r="G135" s="7">
        <v>5</v>
      </c>
      <c r="H135" s="15" t="s">
        <v>674</v>
      </c>
      <c r="I135" s="15">
        <v>42633.837129629632</v>
      </c>
      <c r="J135" s="7">
        <v>0</v>
      </c>
      <c r="K135" s="121" t="str">
        <f t="shared" si="22"/>
        <v>4025/4026</v>
      </c>
      <c r="L135" s="24" t="str">
        <f>VLOOKUP(A135,'Trips&amp;Operators'!$C$1:$E$10000,3,FALSE)</f>
        <v>COOLAHAN</v>
      </c>
      <c r="M135" s="6">
        <f t="shared" si="23"/>
        <v>2.4398148147156462E-2</v>
      </c>
      <c r="N135" s="7">
        <f t="shared" si="24"/>
        <v>35.133333331905305</v>
      </c>
      <c r="O135" s="7"/>
      <c r="P135" s="7"/>
      <c r="Q135" s="25"/>
      <c r="R135" s="25"/>
      <c r="S135" s="37">
        <f t="shared" si="25"/>
        <v>1</v>
      </c>
      <c r="T135" s="52" t="str">
        <f t="shared" si="26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18:24:17-0600',mode:absolute,to:'2016-09-20 21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5" s="54" t="str">
        <f t="shared" si="28"/>
        <v>N</v>
      </c>
      <c r="X135" s="168">
        <f t="shared" si="36"/>
        <v>1</v>
      </c>
      <c r="Y135" s="69">
        <f t="shared" si="29"/>
        <v>4.58E-2</v>
      </c>
      <c r="Z135" s="69">
        <f t="shared" si="30"/>
        <v>23.3278</v>
      </c>
      <c r="AA135" s="69">
        <f t="shared" si="31"/>
        <v>23.282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32"/>
        <v>0223-20</v>
      </c>
      <c r="AE135" s="99" t="str">
        <f t="shared" si="33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35" s="96" t="str">
        <f t="shared" si="34"/>
        <v>"C:\Program Files (x86)\AstroGrep\AstroGrep.exe" /spath="%USERPROFILE%\AppData\Local\Temp\OnboardLogs" /stypes="app*4025*20160921*" /stext=" 02:.+((SYSTEM_STATE.+slice.+state.+changed )|(ment ac)|(system.+state.+changed )|(\|lc)|(penalty)|(\[timeout)|(PRM\|1\|D)|(kpr)|(kdp))" /e /r /s</v>
      </c>
      <c r="AG135" s="1" t="str">
        <f t="shared" si="35"/>
        <v>EC</v>
      </c>
      <c r="AH135" s="100" t="str">
        <f t="shared" si="20"/>
        <v>"%USERPROFILE%\Documents\GitHub\eaglep3\Utilities\RefineRTDCRunTimes.py" --tripid 223-20 --locoid 4025 --swversion DE.1.0.7.0 --startMP 204:458 --initTime 2016-09-20T19:24:17 --startdatetime 2016-09-20T19:30:20 --delay 5 --endMP 204:233278 --enddatetime 2016-09-20T20:05:28 --enforcementcount 0 &gt;&gt;C:\Users\stu\Documents\GitHub\eaglep3-reporting\EC\2016-09-20-refined-times.txt</v>
      </c>
      <c r="AI135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{"issue":{"subject":"","project_id":79,"tracker_id":40,"status_id":1,"priority_id":2,"assigned_to_id":23,"start_date":"2016-09-20","description":"","custom_fields":[{"id":1,"name":"Subdivision","value":"EC"},{"id":4,"name":"Milepost","value":"23.3278"},{"id":17,"name":"Train ID","value":"223-20"},{"id":16,"name":"Locomotive ID","value":"4025"},{"id":130,"name":"Impact","value":""},{"id":150,"name":"Time of Event (Mountain Time)","value":"20:05:28"},{"id":151,"name":"Denver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570</v>
      </c>
      <c r="B136" s="7">
        <v>4026</v>
      </c>
      <c r="C136" s="24" t="s">
        <v>106</v>
      </c>
      <c r="D136" s="24" t="s">
        <v>649</v>
      </c>
      <c r="E136" s="15">
        <v>42633.84820601852</v>
      </c>
      <c r="F136" s="15">
        <v>42633.851620370369</v>
      </c>
      <c r="G136" s="7">
        <v>4</v>
      </c>
      <c r="H136" s="15" t="s">
        <v>245</v>
      </c>
      <c r="I136" s="15">
        <v>42633.877627314818</v>
      </c>
      <c r="J136" s="7">
        <v>0</v>
      </c>
      <c r="K136" s="121" t="str">
        <f t="shared" si="22"/>
        <v>4025/4026</v>
      </c>
      <c r="L136" s="24" t="str">
        <f>VLOOKUP(A136,'Trips&amp;Operators'!$C$1:$E$10000,3,FALSE)</f>
        <v>COOLAHAN</v>
      </c>
      <c r="M136" s="6">
        <f t="shared" si="23"/>
        <v>2.6006944448454306E-2</v>
      </c>
      <c r="N136" s="7">
        <f t="shared" si="24"/>
        <v>37.4500000057742</v>
      </c>
      <c r="O136" s="7"/>
      <c r="P136" s="7"/>
      <c r="Q136" s="25"/>
      <c r="R136" s="25"/>
      <c r="S136" s="37">
        <f t="shared" si="25"/>
        <v>1</v>
      </c>
      <c r="T136" s="52" t="str">
        <f t="shared" si="26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19:21:25-0600',mode:absolute,to:'2016-09-20 22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6" s="54" t="str">
        <f t="shared" si="28"/>
        <v>N</v>
      </c>
      <c r="X136" s="168">
        <f t="shared" si="36"/>
        <v>1</v>
      </c>
      <c r="Y136" s="69">
        <f t="shared" si="29"/>
        <v>23.298500000000001</v>
      </c>
      <c r="Z136" s="69">
        <f t="shared" si="30"/>
        <v>1.43E-2</v>
      </c>
      <c r="AA136" s="69">
        <f t="shared" si="31"/>
        <v>23.284200000000002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32"/>
        <v>0224-20</v>
      </c>
      <c r="AE136" s="99" t="str">
        <f t="shared" si="33"/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136" s="96" t="str">
        <f t="shared" si="34"/>
        <v>"C:\Program Files (x86)\AstroGrep\AstroGrep.exe" /spath="%USERPROFILE%\AppData\Local\Temp\OnboardLogs" /stypes="app*4026*20160921*" /stext=" 03:.+((SYSTEM_STATE.+slice.+state.+changed )|(ment ac)|(system.+state.+changed )|(\|lc)|(penalty)|(\[timeout)|(PRM\|1\|D)|(kpr)|(kdp))" /e /r /s</v>
      </c>
      <c r="AG136" s="1" t="str">
        <f t="shared" si="35"/>
        <v>EC</v>
      </c>
      <c r="AH136" s="100" t="str">
        <f t="shared" si="20"/>
        <v>"%USERPROFILE%\Documents\GitHub\eaglep3\Utilities\RefineRTDCRunTimes.py" --tripid 224-20 --locoid 4026 --swversion DE.1.0.7.0 --startMP 204:232985 --initTime 2016-09-20T20:21:25 --startdatetime 2016-09-20T20:26:20 --delay 4 --endMP 204:143 --enddatetime 2016-09-20T21:03:47 --enforcementcount 0 &gt;&gt;C:\Users\stu\Documents\GitHub\eaglep3-reporting\EC\2016-09-20-refined-times.txt</v>
      </c>
      <c r="AI136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{"issue":{"subject":"","project_id":79,"tracker_id":40,"status_id":1,"priority_id":2,"assigned_to_id":23,"start_date":"2016-09-20","description":"","custom_fields":[{"id":1,"name":"Subdivision","value":"EC"},{"id":4,"name":"Milepost","value":"0.0143"},{"id":17,"name":"Train ID","value":"224-20"},{"id":16,"name":"Locomotive ID","value":"4026"},{"id":130,"name":"Impact","value":""},{"id":150,"name":"Time of Event (Mountain Time)","value":"21:03:47"},{"id":151,"name":"Denver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568</v>
      </c>
      <c r="B137" s="7">
        <v>4014</v>
      </c>
      <c r="C137" s="24" t="s">
        <v>106</v>
      </c>
      <c r="D137" s="24" t="s">
        <v>223</v>
      </c>
      <c r="E137" s="15">
        <v>42633.827581018515</v>
      </c>
      <c r="F137" s="15">
        <v>42633.833495370367</v>
      </c>
      <c r="G137" s="7">
        <v>1</v>
      </c>
      <c r="H137" s="15" t="s">
        <v>675</v>
      </c>
      <c r="I137" s="15">
        <v>42633.858171296299</v>
      </c>
      <c r="J137" s="7">
        <v>0</v>
      </c>
      <c r="K137" s="121" t="str">
        <f t="shared" si="22"/>
        <v>4013/4014</v>
      </c>
      <c r="L137" s="24" t="str">
        <f>VLOOKUP(A137,'Trips&amp;Operators'!$C$1:$E$10000,3,FALSE)</f>
        <v>YANAI</v>
      </c>
      <c r="M137" s="6">
        <f t="shared" si="23"/>
        <v>2.4675925931660458E-2</v>
      </c>
      <c r="N137" s="7">
        <f t="shared" si="24"/>
        <v>35.53333334159106</v>
      </c>
      <c r="O137" s="7"/>
      <c r="P137" s="7"/>
      <c r="Q137" s="25"/>
      <c r="R137" s="25"/>
      <c r="S137" s="37">
        <f t="shared" si="25"/>
        <v>1</v>
      </c>
      <c r="T137" s="52" t="str">
        <f t="shared" si="26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18:51:43-0600',mode:absolute,to:'2016-09-20 21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7" s="54" t="str">
        <f t="shared" si="28"/>
        <v>N</v>
      </c>
      <c r="X137" s="168">
        <f t="shared" si="36"/>
        <v>1</v>
      </c>
      <c r="Y137" s="69">
        <f t="shared" si="29"/>
        <v>4.5699999999999998E-2</v>
      </c>
      <c r="Z137" s="69">
        <f t="shared" si="30"/>
        <v>23.328900000000001</v>
      </c>
      <c r="AA137" s="69">
        <f t="shared" si="31"/>
        <v>23.283200000000001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32"/>
        <v>0225-20</v>
      </c>
      <c r="AE137" s="99" t="str">
        <f t="shared" si="33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37" s="96" t="str">
        <f t="shared" si="34"/>
        <v>"C:\Program Files (x86)\AstroGrep\AstroGrep.exe" /spath="%USERPROFILE%\AppData\Local\Temp\OnboardLogs" /stypes="app*4014*20160921*" /stext=" 02:.+((SYSTEM_STATE.+slice.+state.+changed )|(ment ac)|(system.+state.+changed )|(\|lc)|(penalty)|(\[timeout)|(PRM\|1\|D)|(kpr)|(kdp))" /e /r /s</v>
      </c>
      <c r="AG137" s="1" t="str">
        <f t="shared" si="35"/>
        <v>EC</v>
      </c>
      <c r="AH137" s="100" t="str">
        <f t="shared" si="20"/>
        <v>"%USERPROFILE%\Documents\GitHub\eaglep3\Utilities\RefineRTDCRunTimes.py" --tripid 225-20 --locoid 4014 --swversion DE.1.0.7.0 --startMP 204:457 --initTime 2016-09-20T19:51:43 --startdatetime 2016-09-20T20:00:14 --delay 1 --endMP 204:233289 --enddatetime 2016-09-20T20:35:46 --enforcementcount 0 &gt;&gt;C:\Users\stu\Documents\GitHub\eaglep3-reporting\EC\2016-09-20-refined-times.txt</v>
      </c>
      <c r="AI137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{"issue":{"subject":"","project_id":79,"tracker_id":40,"status_id":1,"priority_id":2,"assigned_to_id":23,"start_date":"2016-09-20","description":"","custom_fields":[{"id":1,"name":"Subdivision","value":"EC"},{"id":4,"name":"Milepost","value":"23.3289"},{"id":17,"name":"Train ID","value":"225-20"},{"id":16,"name":"Locomotive ID","value":"4014"},{"id":130,"name":"Impact","value":""},{"id":150,"name":"Time of Event (Mountain Time)","value":"20:35:46"},{"id":151,"name":"Denver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573</v>
      </c>
      <c r="B138" s="7">
        <v>4013</v>
      </c>
      <c r="C138" s="24" t="s">
        <v>106</v>
      </c>
      <c r="D138" s="24" t="s">
        <v>628</v>
      </c>
      <c r="E138" s="15">
        <v>42633.869687500002</v>
      </c>
      <c r="F138" s="15">
        <v>42633.872384259259</v>
      </c>
      <c r="G138" s="7">
        <v>1</v>
      </c>
      <c r="H138" s="15" t="s">
        <v>213</v>
      </c>
      <c r="I138" s="15">
        <v>42633.898194444446</v>
      </c>
      <c r="J138" s="7">
        <v>0</v>
      </c>
      <c r="K138" s="121" t="str">
        <f t="shared" si="22"/>
        <v>4013/4014</v>
      </c>
      <c r="L138" s="24" t="str">
        <f>VLOOKUP(A138,'Trips&amp;Operators'!$C$1:$E$10000,3,FALSE)</f>
        <v>YANAI</v>
      </c>
      <c r="M138" s="6">
        <f t="shared" si="23"/>
        <v>2.5810185186855961E-2</v>
      </c>
      <c r="N138" s="7">
        <f t="shared" si="24"/>
        <v>37.166666669072583</v>
      </c>
      <c r="O138" s="7"/>
      <c r="P138" s="7"/>
      <c r="Q138" s="25"/>
      <c r="R138" s="25"/>
      <c r="S138" s="37">
        <f t="shared" si="25"/>
        <v>1</v>
      </c>
      <c r="T138" s="52" t="str">
        <f t="shared" si="26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19:52:21-0600',mode:absolute,to:'2016-09-20 22:33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8" s="54" t="str">
        <f t="shared" si="28"/>
        <v>N</v>
      </c>
      <c r="X138" s="168">
        <f t="shared" si="36"/>
        <v>1</v>
      </c>
      <c r="Y138" s="69">
        <f t="shared" si="29"/>
        <v>23.2989</v>
      </c>
      <c r="Z138" s="69">
        <f t="shared" si="30"/>
        <v>1.49E-2</v>
      </c>
      <c r="AA138" s="69">
        <f t="shared" si="31"/>
        <v>23.283999999999999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32"/>
        <v>0226-20</v>
      </c>
      <c r="AE138" s="99" t="str">
        <f t="shared" si="33"/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138" s="96" t="str">
        <f t="shared" si="34"/>
        <v>"C:\Program Files (x86)\AstroGrep\AstroGrep.exe" /spath="%USERPROFILE%\AppData\Local\Temp\OnboardLogs" /stypes="app*4013*20160921*" /stext=" 03:.+((SYSTEM_STATE.+slice.+state.+changed )|(ment ac)|(system.+state.+changed )|(\|lc)|(penalty)|(\[timeout)|(PRM\|1\|D)|(kpr)|(kdp))" /e /r /s</v>
      </c>
      <c r="AG138" s="1" t="str">
        <f t="shared" si="35"/>
        <v>EC</v>
      </c>
      <c r="AH138" s="100" t="str">
        <f t="shared" si="20"/>
        <v>"%USERPROFILE%\Documents\GitHub\eaglep3\Utilities\RefineRTDCRunTimes.py" --tripid 226-20 --locoid 4013 --swversion DE.1.0.7.0 --startMP 204:232989 --initTime 2016-09-20T20:52:21 --startdatetime 2016-09-20T20:56:14 --delay 1 --endMP 204:149 --enddatetime 2016-09-20T21:33:24 --enforcementcount 0 &gt;&gt;C:\Users\stu\Documents\GitHub\eaglep3-reporting\EC\2016-09-20-refined-times.txt</v>
      </c>
      <c r="AI138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{"issue":{"subject":"","project_id":79,"tracker_id":40,"status_id":1,"priority_id":2,"assigned_to_id":23,"start_date":"2016-09-20","description":"","custom_fields":[{"id":1,"name":"Subdivision","value":"EC"},{"id":4,"name":"Milepost","value":"0.0149"},{"id":17,"name":"Train ID","value":"226-20"},{"id":16,"name":"Locomotive ID","value":"4013"},{"id":130,"name":"Impact","value":""},{"id":150,"name":"Time of Event (Mountain Time)","value":"21:33:24"},{"id":151,"name":"Denver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571</v>
      </c>
      <c r="B139" s="7">
        <v>4011</v>
      </c>
      <c r="C139" s="24" t="s">
        <v>106</v>
      </c>
      <c r="D139" s="24" t="s">
        <v>216</v>
      </c>
      <c r="E139" s="15">
        <v>42633.852638888886</v>
      </c>
      <c r="F139" s="15">
        <v>42633.854456018518</v>
      </c>
      <c r="G139" s="7">
        <v>0</v>
      </c>
      <c r="H139" s="15" t="s">
        <v>676</v>
      </c>
      <c r="I139" s="15">
        <v>42633.880127314813</v>
      </c>
      <c r="J139" s="7">
        <v>0</v>
      </c>
      <c r="K139" s="121" t="str">
        <f t="shared" si="22"/>
        <v>4011/4012</v>
      </c>
      <c r="L139" s="24" t="str">
        <f>VLOOKUP(A139,'Trips&amp;Operators'!$C$1:$E$10000,3,FALSE)</f>
        <v>CHANDLER</v>
      </c>
      <c r="M139" s="6">
        <f t="shared" si="23"/>
        <v>2.5671296294603962E-2</v>
      </c>
      <c r="N139" s="7">
        <f t="shared" si="24"/>
        <v>36.966666664229706</v>
      </c>
      <c r="O139" s="7"/>
      <c r="P139" s="7"/>
      <c r="Q139" s="25"/>
      <c r="R139" s="25"/>
      <c r="S139" s="37">
        <f t="shared" si="25"/>
        <v>1</v>
      </c>
      <c r="T139" s="52" t="str">
        <f t="shared" si="26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19:27:48-0600',mode:absolute,to:'2016-09-20 22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9" s="54" t="str">
        <f t="shared" si="28"/>
        <v>N</v>
      </c>
      <c r="X139" s="168">
        <f t="shared" si="36"/>
        <v>1</v>
      </c>
      <c r="Y139" s="69">
        <f t="shared" si="29"/>
        <v>4.7100000000000003E-2</v>
      </c>
      <c r="Z139" s="69">
        <f t="shared" si="30"/>
        <v>23.33</v>
      </c>
      <c r="AA139" s="69">
        <f t="shared" si="31"/>
        <v>23.282899999999998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32"/>
        <v>0227-20</v>
      </c>
      <c r="AE139" s="99" t="str">
        <f t="shared" si="33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39" s="96" t="str">
        <f t="shared" si="34"/>
        <v>"C:\Program Files (x86)\AstroGrep\AstroGrep.exe" /spath="%USERPROFILE%\AppData\Local\Temp\OnboardLogs" /stypes="app*4011*20160921*" /stext=" 03:.+((SYSTEM_STATE.+slice.+state.+changed )|(ment ac)|(system.+state.+changed )|(\|lc)|(penalty)|(\[timeout)|(PRM\|1\|D)|(kpr)|(kdp))" /e /r /s</v>
      </c>
      <c r="AG139" s="1" t="str">
        <f t="shared" si="35"/>
        <v>EC</v>
      </c>
      <c r="AH139" s="100" t="str">
        <f t="shared" si="20"/>
        <v>"%USERPROFILE%\Documents\GitHub\eaglep3\Utilities\RefineRTDCRunTimes.py" --tripid 227-20 --locoid 4011 --swversion DE.1.0.7.0 --startMP 204:471 --initTime 2016-09-20T20:27:48 --startdatetime 2016-09-20T20:30:25 --delay 0 --endMP 204:233300 --enddatetime 2016-09-20T21:07:23 --enforcementcount 0 &gt;&gt;C:\Users\stu\Documents\GitHub\eaglep3-reporting\EC\2016-09-20-refined-times.txt</v>
      </c>
      <c r="AI139" s="134" t="str">
        <f t="shared" si="21"/>
        <v>echo {"issue":{"subject":"","project_id":79,"tracker_id":40,"status_id":1,"priority_id":2,"assigned_to_id":23,"start_date":"2016-09-20","description":"","custom_fields":[{"id":1,"name":"Subdivision","value":"EC"},{"id":4,"name":"Milepost","value":"23.33"},{"id":17,"name":"Train ID","value":"227-20"},{"id":16,"name":"Locomotive ID","value":"4011"},{"id":130,"name":"Impact","value":""},{"id":150,"name":"Time of Event (Mountain Time)","value":"21:07:23"},{"id":151,"name":"Denver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577</v>
      </c>
      <c r="B140" s="7">
        <v>4012</v>
      </c>
      <c r="C140" s="24" t="s">
        <v>106</v>
      </c>
      <c r="D140" s="24" t="s">
        <v>311</v>
      </c>
      <c r="E140" s="15">
        <v>42633.892581018517</v>
      </c>
      <c r="F140" s="15">
        <v>42633.893935185188</v>
      </c>
      <c r="G140" s="7">
        <v>1</v>
      </c>
      <c r="H140" s="15" t="s">
        <v>213</v>
      </c>
      <c r="I140" s="15">
        <v>42633.921863425923</v>
      </c>
      <c r="J140" s="7">
        <v>0</v>
      </c>
      <c r="K140" s="121" t="str">
        <f t="shared" si="22"/>
        <v>4011/4012</v>
      </c>
      <c r="L140" s="24" t="str">
        <f>VLOOKUP(A140,'Trips&amp;Operators'!$C$1:$E$10000,3,FALSE)</f>
        <v>CHANDLER</v>
      </c>
      <c r="M140" s="6">
        <f t="shared" si="23"/>
        <v>2.7928240735491272E-2</v>
      </c>
      <c r="N140" s="7">
        <f t="shared" si="24"/>
        <v>40.216666659107432</v>
      </c>
      <c r="O140" s="7"/>
      <c r="P140" s="7"/>
      <c r="Q140" s="25"/>
      <c r="R140" s="25"/>
      <c r="S140" s="37">
        <f t="shared" si="25"/>
        <v>1</v>
      </c>
      <c r="T140" s="52" t="str">
        <f t="shared" si="26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https://search-rtdc-monitor-bjffxe2xuh6vdkpspy63sjmuny.us-east-1.es.amazonaws.com/_plugin/kibana/#/discover/Steve-Slow-Train-Analysis-(2080s-and-2083s)?_g=(refreshInterval:(display:Off,section:0,value:0),time:(from:'2016-09-20 20:25:19-0600',mode:absolute,to:'2016-09-20 23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0" s="54" t="str">
        <f t="shared" si="28"/>
        <v>N</v>
      </c>
      <c r="X140" s="168">
        <f t="shared" si="36"/>
        <v>1</v>
      </c>
      <c r="Y140" s="69">
        <f t="shared" si="29"/>
        <v>23.2972</v>
      </c>
      <c r="Z140" s="69">
        <f t="shared" si="30"/>
        <v>1.49E-2</v>
      </c>
      <c r="AA140" s="69">
        <f t="shared" si="31"/>
        <v>23.282299999999999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32"/>
        <v>0228-20</v>
      </c>
      <c r="AE140" s="99" t="str">
        <f t="shared" si="33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140" s="96" t="str">
        <f t="shared" si="34"/>
        <v>"C:\Program Files (x86)\AstroGrep\AstroGrep.exe" /spath="%USERPROFILE%\AppData\Local\Temp\OnboardLogs" /stypes="app*4012*20160921*" /stext=" 04:.+((SYSTEM_STATE.+slice.+state.+changed )|(ment ac)|(system.+state.+changed )|(\|lc)|(penalty)|(\[timeout)|(PRM\|1\|D)|(kpr)|(kdp))" /e /r /s</v>
      </c>
      <c r="AG140" s="1" t="str">
        <f t="shared" si="35"/>
        <v>EC</v>
      </c>
      <c r="AH140" s="100" t="str">
        <f t="shared" ref="AH140:AH203" si="37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228-20 --locoid 4012 --swversion DE.1.0.7.0 --startMP 204:232972 --initTime 2016-09-20T21:25:19 --startdatetime 2016-09-20T21:27:16 --delay 1 --endMP 204:149 --enddatetime 2016-09-20T22:07:29 --enforcementcount 0 &gt;&gt;C:\Users\stu\Documents\GitHub\eaglep3-reporting\EC\2016-09-20-refined-times.txt</v>
      </c>
      <c r="AI140" s="134" t="str">
        <f t="shared" ref="AI140:AI203" si="38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{"issue":{"subject":"","project_id":79,"tracker_id":40,"status_id":1,"priority_id":2,"assigned_to_id":23,"start_date":"2016-09-20","description":"","custom_fields":[{"id":1,"name":"Subdivision","value":"EC"},{"id":4,"name":"Milepost","value":"0.0149"},{"id":17,"name":"Train ID","value":"228-20"},{"id":16,"name":"Locomotive ID","value":"4012"},{"id":130,"name":"Impact","value":""},{"id":150,"name":"Time of Event (Mountain Time)","value":"22:07:29"},{"id":151,"name":"Denver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574</v>
      </c>
      <c r="B141" s="7">
        <v>4003</v>
      </c>
      <c r="C141" s="24" t="s">
        <v>106</v>
      </c>
      <c r="D141" s="24" t="s">
        <v>239</v>
      </c>
      <c r="E141" s="15">
        <v>42633.871874999997</v>
      </c>
      <c r="F141" s="15">
        <v>42633.875381944446</v>
      </c>
      <c r="G141" s="7">
        <v>1</v>
      </c>
      <c r="H141" s="15" t="s">
        <v>648</v>
      </c>
      <c r="I141" s="15">
        <v>42633.901666666665</v>
      </c>
      <c r="J141" s="7">
        <v>0</v>
      </c>
      <c r="K141" s="121" t="str">
        <f t="shared" ref="K141:K204" si="39">IF(ISEVEN(B141),(B141-1)&amp;"/"&amp;B141,B141&amp;"/"&amp;(B141+1))</f>
        <v>4003/4004</v>
      </c>
      <c r="L141" s="24" t="str">
        <f>VLOOKUP(A141,'Trips&amp;Operators'!$C$1:$E$10000,3,FALSE)</f>
        <v>LEVERE</v>
      </c>
      <c r="M141" s="6">
        <f t="shared" ref="M141:M204" si="40">I141-F141</f>
        <v>2.6284722218406387E-2</v>
      </c>
      <c r="N141" s="7">
        <f t="shared" ref="N141:N204" si="41">24*60*SUM($M141:$M141)</f>
        <v>37.849999994505197</v>
      </c>
      <c r="O141" s="7"/>
      <c r="P141" s="7"/>
      <c r="Q141" s="25"/>
      <c r="R141" s="25"/>
      <c r="S141" s="37">
        <f t="shared" ref="S141:S204" si="42">SUM(U141:U141)/IF(AG141="EC",12,1)</f>
        <v>1</v>
      </c>
      <c r="T141" s="52" t="str">
        <f t="shared" ref="T141:T204" si="43"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4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https://search-rtdc-monitor-bjffxe2xuh6vdkpspy63sjmuny.us-east-1.es.amazonaws.com/_plugin/kibana/#/discover/Steve-Slow-Train-Analysis-(2080s-and-2083s)?_g=(refreshInterval:(display:Off,section:0,value:0),time:(from:'2016-09-20 19:55:30-0600',mode:absolute,to:'2016-09-20 22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41" s="54" t="str">
        <f t="shared" ref="W141:W204" si="45">IF(AA141&lt;IF(AG141="EC",23,5.65),"Y","N")</f>
        <v>N</v>
      </c>
      <c r="X141" s="168">
        <f t="shared" si="36"/>
        <v>1</v>
      </c>
      <c r="Y141" s="69">
        <f t="shared" ref="Y141:Y204" si="46">RIGHT(D141,LEN(D141)-4)/10000</f>
        <v>4.4900000000000002E-2</v>
      </c>
      <c r="Z141" s="69">
        <f t="shared" ref="Z141:Z204" si="47">RIGHT(H141,LEN(H141)-4)/10000</f>
        <v>23.331</v>
      </c>
      <c r="AA141" s="69">
        <f t="shared" ref="AA141:AA204" si="48">ABS(Z141-Y141)</f>
        <v>23.286100000000001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204" si="49">IF(LEN(A141)=6,"0"&amp;A141,A141)</f>
        <v>0229-20</v>
      </c>
      <c r="AE141" s="99" t="str">
        <f t="shared" ref="AE141:AE204" si="50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41" s="96" t="str">
        <f t="shared" ref="AF141:AF204" si="5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/stypes="app*4003*20160921*" /stext=" 03:.+((SYSTEM_STATE.+slice.+state.+changed )|(ment ac)|(system.+state.+changed )|(\|lc)|(penalty)|(\[timeout)|(PRM\|1\|D)|(kpr)|(kdp))" /e /r /s</v>
      </c>
      <c r="AG141" s="1" t="str">
        <f t="shared" ref="AG141:AG204" si="52">IFERROR(IF(VALUE(LEFT(AD141,2))&lt;=2,"EC",IF(OR(VALUE(LEFT(AD141,2))=8,VALUE(LEFT(AD141,2))=18),"NW","Other")),"Other")</f>
        <v>EC</v>
      </c>
      <c r="AH141" s="100" t="str">
        <f t="shared" si="37"/>
        <v>"%USERPROFILE%\Documents\GitHub\eaglep3\Utilities\RefineRTDCRunTimes.py" --tripid 229-20 --locoid 4003 --swversion DE.1.0.7.0 --startMP 204:449 --initTime 2016-09-20T20:55:30 --startdatetime 2016-09-20T21:00:33 --delay 1 --endMP 204:233310 --enddatetime 2016-09-20T21:38:24 --enforcementcount 0 &gt;&gt;C:\Users\stu\Documents\GitHub\eaglep3-reporting\EC\2016-09-20-refined-times.txt</v>
      </c>
      <c r="AI141" s="134" t="str">
        <f t="shared" si="38"/>
        <v>echo {"issue":{"subject":"","project_id":79,"tracker_id":40,"status_id":1,"priority_id":2,"assigned_to_id":23,"start_date":"2016-09-20","description":"","custom_fields":[{"id":1,"name":"Subdivision","value":"EC"},{"id":4,"name":"Milepost","value":"23.331"},{"id":17,"name":"Train ID","value":"229-20"},{"id":16,"name":"Locomotive ID","value":"4003"},{"id":130,"name":"Impact","value":""},{"id":150,"name":"Time of Event (Mountain Time)","value":"21:38:24"},{"id":151,"name":"Denver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580</v>
      </c>
      <c r="B142" s="7">
        <v>4004</v>
      </c>
      <c r="C142" s="24" t="s">
        <v>106</v>
      </c>
      <c r="D142" s="24" t="s">
        <v>677</v>
      </c>
      <c r="E142" s="15">
        <v>42633.909467592595</v>
      </c>
      <c r="F142" s="15">
        <v>42633.914236111108</v>
      </c>
      <c r="G142" s="7">
        <v>1</v>
      </c>
      <c r="H142" s="15" t="s">
        <v>217</v>
      </c>
      <c r="I142" s="15">
        <v>42633.941886574074</v>
      </c>
      <c r="J142" s="7">
        <v>0</v>
      </c>
      <c r="K142" s="121" t="str">
        <f t="shared" si="39"/>
        <v>4003/4004</v>
      </c>
      <c r="L142" s="24" t="str">
        <f>VLOOKUP(A142,'Trips&amp;Operators'!$C$1:$E$10000,3,FALSE)</f>
        <v>LEVERE</v>
      </c>
      <c r="M142" s="6">
        <f t="shared" si="40"/>
        <v>2.7650462965539191E-2</v>
      </c>
      <c r="N142" s="7">
        <f t="shared" si="41"/>
        <v>39.816666670376435</v>
      </c>
      <c r="O142" s="7"/>
      <c r="P142" s="7"/>
      <c r="Q142" s="25"/>
      <c r="R142" s="25"/>
      <c r="S142" s="37">
        <f t="shared" si="42"/>
        <v>1</v>
      </c>
      <c r="T142" s="52" t="str">
        <f t="shared" si="43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20:49:38-0600',mode:absolute,to:'2016-09-20 23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42" s="54" t="str">
        <f t="shared" si="45"/>
        <v>N</v>
      </c>
      <c r="X142" s="168">
        <f t="shared" si="36"/>
        <v>1</v>
      </c>
      <c r="Y142" s="69">
        <f t="shared" si="46"/>
        <v>23.2987</v>
      </c>
      <c r="Z142" s="69">
        <f t="shared" si="47"/>
        <v>1.5800000000000002E-2</v>
      </c>
      <c r="AA142" s="69">
        <f t="shared" si="48"/>
        <v>23.282900000000001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49"/>
        <v>0230-20</v>
      </c>
      <c r="AE142" s="99" t="str">
        <f t="shared" si="50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142" s="96" t="str">
        <f t="shared" si="51"/>
        <v>"C:\Program Files (x86)\AstroGrep\AstroGrep.exe" /spath="%USERPROFILE%\AppData\Local\Temp\OnboardLogs" /stypes="app*4004*20160921*" /stext=" 04:.+((SYSTEM_STATE.+slice.+state.+changed )|(ment ac)|(system.+state.+changed )|(\|lc)|(penalty)|(\[timeout)|(PRM\|1\|D)|(kpr)|(kdp))" /e /r /s</v>
      </c>
      <c r="AG142" s="1" t="str">
        <f t="shared" si="52"/>
        <v>EC</v>
      </c>
      <c r="AH142" s="100" t="str">
        <f t="shared" si="37"/>
        <v>"%USERPROFILE%\Documents\GitHub\eaglep3\Utilities\RefineRTDCRunTimes.py" --tripid 230-20 --locoid 4004 --swversion DE.1.0.7.0 --startMP 204:232987 --initTime 2016-09-20T21:49:38 --startdatetime 2016-09-20T21:56:30 --delay 1 --endMP 204:158 --enddatetime 2016-09-20T22:36:19 --enforcementcount 0 &gt;&gt;C:\Users\stu\Documents\GitHub\eaglep3-reporting\EC\2016-09-20-refined-times.txt</v>
      </c>
      <c r="AI142" s="134" t="str">
        <f t="shared" si="38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ID","value":"230-20"},{"id":16,"name":"Locomotive ID","value":"4004"},{"id":130,"name":"Impact","value":""},{"id":150,"name":"Time of Event (Mountain Time)","value":"22:36:19"},{"id":151,"name":"Denver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576</v>
      </c>
      <c r="B143" s="7">
        <v>4025</v>
      </c>
      <c r="C143" s="24" t="s">
        <v>106</v>
      </c>
      <c r="D143" s="24" t="s">
        <v>226</v>
      </c>
      <c r="E143" s="15">
        <v>42633.892199074071</v>
      </c>
      <c r="F143" s="15">
        <v>42633.896053240744</v>
      </c>
      <c r="G143" s="7">
        <v>5</v>
      </c>
      <c r="H143" s="15" t="s">
        <v>221</v>
      </c>
      <c r="I143" s="15">
        <v>42633.92050925926</v>
      </c>
      <c r="J143" s="7">
        <v>0</v>
      </c>
      <c r="K143" s="121" t="str">
        <f t="shared" si="39"/>
        <v>4025/4026</v>
      </c>
      <c r="L143" s="24" t="str">
        <f>VLOOKUP(A143,'Trips&amp;Operators'!$C$1:$E$10000,3,FALSE)</f>
        <v>COOLAHAN</v>
      </c>
      <c r="M143" s="6">
        <f t="shared" si="40"/>
        <v>2.4456018516502809E-2</v>
      </c>
      <c r="N143" s="7">
        <f t="shared" si="41"/>
        <v>35.216666663764045</v>
      </c>
      <c r="O143" s="7"/>
      <c r="P143" s="7"/>
      <c r="Q143" s="25"/>
      <c r="R143" s="25"/>
      <c r="S143" s="37">
        <f t="shared" si="42"/>
        <v>1</v>
      </c>
      <c r="T143" s="52" t="str">
        <f t="shared" si="43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20:24:46-0600',mode:absolute,to:'2016-09-20 23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3" s="54" t="str">
        <f t="shared" si="45"/>
        <v>N</v>
      </c>
      <c r="X143" s="168">
        <f t="shared" si="36"/>
        <v>1</v>
      </c>
      <c r="Y143" s="69">
        <f t="shared" si="46"/>
        <v>4.5100000000000001E-2</v>
      </c>
      <c r="Z143" s="69">
        <f t="shared" si="47"/>
        <v>23.3291</v>
      </c>
      <c r="AA143" s="69">
        <f t="shared" si="48"/>
        <v>23.283999999999999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49"/>
        <v>0231-20</v>
      </c>
      <c r="AE143" s="99" t="str">
        <f t="shared" si="50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43" s="96" t="str">
        <f t="shared" si="51"/>
        <v>"C:\Program Files (x86)\AstroGrep\AstroGrep.exe" /spath="%USERPROFILE%\AppData\Local\Temp\OnboardLogs" /stypes="app*4025*20160921*" /stext=" 04:.+((SYSTEM_STATE.+slice.+state.+changed )|(ment ac)|(system.+state.+changed )|(\|lc)|(penalty)|(\[timeout)|(PRM\|1\|D)|(kpr)|(kdp))" /e /r /s</v>
      </c>
      <c r="AG143" s="1" t="str">
        <f t="shared" si="52"/>
        <v>EC</v>
      </c>
      <c r="AH143" s="100" t="str">
        <f t="shared" si="37"/>
        <v>"%USERPROFILE%\Documents\GitHub\eaglep3\Utilities\RefineRTDCRunTimes.py" --tripid 231-20 --locoid 4025 --swversion DE.1.0.7.0 --startMP 204:451 --initTime 2016-09-20T21:24:46 --startdatetime 2016-09-20T21:30:19 --delay 5 --endMP 204:233291 --enddatetime 2016-09-20T22:05:32 --enforcementcount 0 &gt;&gt;C:\Users\stu\Documents\GitHub\eaglep3-reporting\EC\2016-09-20-refined-times.txt</v>
      </c>
      <c r="AI143" s="134" t="str">
        <f t="shared" si="38"/>
        <v>echo {"issue":{"subject":"","project_id":79,"tracker_id":40,"status_id":1,"priority_id":2,"assigned_to_id":23,"start_date":"2016-09-20","description":"","custom_fields":[{"id":1,"name":"Subdivision","value":"EC"},{"id":4,"name":"Milepost","value":"23.3291"},{"id":17,"name":"Train ID","value":"231-20"},{"id":16,"name":"Locomotive ID","value":"4025"},{"id":130,"name":"Impact","value":""},{"id":150,"name":"Time of Event (Mountain Time)","value":"22:05:32"},{"id":151,"name":"Denver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582</v>
      </c>
      <c r="B144" s="7">
        <v>4026</v>
      </c>
      <c r="C144" s="24" t="s">
        <v>106</v>
      </c>
      <c r="D144" s="24" t="s">
        <v>335</v>
      </c>
      <c r="E144" s="15">
        <v>42633.930046296293</v>
      </c>
      <c r="F144" s="15">
        <v>42633.935046296298</v>
      </c>
      <c r="G144" s="7">
        <v>1</v>
      </c>
      <c r="H144" s="15" t="s">
        <v>220</v>
      </c>
      <c r="I144" s="15">
        <v>42633.960925925923</v>
      </c>
      <c r="J144" s="7">
        <v>0</v>
      </c>
      <c r="K144" s="121" t="str">
        <f t="shared" si="39"/>
        <v>4025/4026</v>
      </c>
      <c r="L144" s="24" t="str">
        <f>VLOOKUP(A144,'Trips&amp;Operators'!$C$1:$E$10000,3,FALSE)</f>
        <v>COOLAHAN</v>
      </c>
      <c r="M144" s="6">
        <f t="shared" si="40"/>
        <v>2.5879629625706002E-2</v>
      </c>
      <c r="N144" s="7">
        <f t="shared" si="41"/>
        <v>37.266666661016643</v>
      </c>
      <c r="O144" s="7"/>
      <c r="P144" s="7"/>
      <c r="Q144" s="25"/>
      <c r="R144" s="25"/>
      <c r="S144" s="37">
        <f t="shared" si="42"/>
        <v>1</v>
      </c>
      <c r="T144" s="52" t="str">
        <f t="shared" si="43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21:19:16-0600',mode:absolute,to:'2016-09-21 00:03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4" s="54" t="str">
        <f t="shared" si="45"/>
        <v>N</v>
      </c>
      <c r="X144" s="168">
        <f t="shared" si="36"/>
        <v>1</v>
      </c>
      <c r="Y144" s="69">
        <f t="shared" si="46"/>
        <v>23.298100000000002</v>
      </c>
      <c r="Z144" s="69">
        <f t="shared" si="47"/>
        <v>1.4999999999999999E-2</v>
      </c>
      <c r="AA144" s="69">
        <f t="shared" si="48"/>
        <v>23.283100000000001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49"/>
        <v>0232-20</v>
      </c>
      <c r="AE144" s="99" t="str">
        <f t="shared" si="50"/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144" s="96" t="str">
        <f t="shared" si="51"/>
        <v>"C:\Program Files (x86)\AstroGrep\AstroGrep.exe" /spath="%USERPROFILE%\AppData\Local\Temp\OnboardLogs" /stypes="app*4026*20160921*" /stext=" 05:.+((SYSTEM_STATE.+slice.+state.+changed )|(ment ac)|(system.+state.+changed )|(\|lc)|(penalty)|(\[timeout)|(PRM\|1\|D)|(kpr)|(kdp))" /e /r /s</v>
      </c>
      <c r="AG144" s="1" t="str">
        <f t="shared" si="52"/>
        <v>EC</v>
      </c>
      <c r="AH144" s="100" t="str">
        <f t="shared" si="37"/>
        <v>"%USERPROFILE%\Documents\GitHub\eaglep3\Utilities\RefineRTDCRunTimes.py" --tripid 232-20 --locoid 4026 --swversion DE.1.0.7.0 --startMP 204:232981 --initTime 2016-09-20T22:19:16 --startdatetime 2016-09-20T22:26:28 --delay 1 --endMP 204:150 --enddatetime 2016-09-20T23:03:44 --enforcementcount 0 &gt;&gt;C:\Users\stu\Documents\GitHub\eaglep3-reporting\EC\2016-09-20-refined-times.txt</v>
      </c>
      <c r="AI144" s="134" t="str">
        <f t="shared" si="38"/>
        <v>echo {"issue":{"subject":"","project_id":79,"tracker_id":40,"status_id":1,"priority_id":2,"assigned_to_id":23,"start_date":"2016-09-20","description":"","custom_fields":[{"id":1,"name":"Subdivision","value":"EC"},{"id":4,"name":"Milepost","value":"0.015"},{"id":17,"name":"Train ID","value":"232-20"},{"id":16,"name":"Locomotive ID","value":"4026"},{"id":130,"name":"Impact","value":""},{"id":150,"name":"Time of Event (Mountain Time)","value":"23:03:44"},{"id":151,"name":"Denver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578</v>
      </c>
      <c r="B145" s="7">
        <v>4014</v>
      </c>
      <c r="C145" s="24" t="s">
        <v>106</v>
      </c>
      <c r="D145" s="24" t="s">
        <v>307</v>
      </c>
      <c r="E145" s="15">
        <v>42633.900011574071</v>
      </c>
      <c r="F145" s="15">
        <v>42633.916909722226</v>
      </c>
      <c r="G145" s="7">
        <v>1</v>
      </c>
      <c r="H145" s="15" t="s">
        <v>242</v>
      </c>
      <c r="I145" s="15">
        <v>42633.94127314815</v>
      </c>
      <c r="J145" s="7">
        <v>0</v>
      </c>
      <c r="K145" s="121" t="str">
        <f t="shared" si="39"/>
        <v>4013/4014</v>
      </c>
      <c r="L145" s="24" t="str">
        <f>VLOOKUP(A145,'Trips&amp;Operators'!$C$1:$E$10000,3,FALSE)</f>
        <v>YANAI</v>
      </c>
      <c r="M145" s="6">
        <f t="shared" si="40"/>
        <v>2.4363425924093463E-2</v>
      </c>
      <c r="N145" s="7">
        <f t="shared" si="41"/>
        <v>35.083333330694586</v>
      </c>
      <c r="O145" s="7"/>
      <c r="P145" s="7"/>
      <c r="Q145" s="25"/>
      <c r="R145" s="25"/>
      <c r="S145" s="37">
        <f t="shared" si="42"/>
        <v>1</v>
      </c>
      <c r="T145" s="52" t="str">
        <f t="shared" si="43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20:36:01-0600',mode:absolute,to:'2016-09-20 23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5" s="54" t="str">
        <f t="shared" si="45"/>
        <v>N</v>
      </c>
      <c r="X145" s="168">
        <f t="shared" si="36"/>
        <v>1</v>
      </c>
      <c r="Y145" s="69">
        <f t="shared" si="46"/>
        <v>4.7300000000000002E-2</v>
      </c>
      <c r="Z145" s="69">
        <f t="shared" si="47"/>
        <v>23.329899999999999</v>
      </c>
      <c r="AA145" s="69">
        <f t="shared" si="48"/>
        <v>23.282599999999999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49"/>
        <v>0233-20</v>
      </c>
      <c r="AE145" s="99" t="str">
        <f t="shared" si="50"/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45" s="96" t="str">
        <f t="shared" si="51"/>
        <v>"C:\Program Files (x86)\AstroGrep\AstroGrep.exe" /spath="%USERPROFILE%\AppData\Local\Temp\OnboardLogs" /stypes="app*4014*20160921*" /stext=" 04:.+((SYSTEM_STATE.+slice.+state.+changed )|(ment ac)|(system.+state.+changed )|(\|lc)|(penalty)|(\[timeout)|(PRM\|1\|D)|(kpr)|(kdp))" /e /r /s</v>
      </c>
      <c r="AG145" s="1" t="str">
        <f t="shared" si="52"/>
        <v>EC</v>
      </c>
      <c r="AH145" s="100" t="str">
        <f t="shared" si="37"/>
        <v>"%USERPROFILE%\Documents\GitHub\eaglep3\Utilities\RefineRTDCRunTimes.py" --tripid 233-20 --locoid 4014 --swversion DE.1.0.7.0 --startMP 204:473 --initTime 2016-09-20T21:36:01 --startdatetime 2016-09-20T22:00:21 --delay 1 --endMP 204:233299 --enddatetime 2016-09-20T22:35:26 --enforcementcount 0 &gt;&gt;C:\Users\stu\Documents\GitHub\eaglep3-reporting\EC\2016-09-20-refined-times.txt</v>
      </c>
      <c r="AI145" s="134" t="str">
        <f t="shared" si="38"/>
        <v>echo {"issue":{"subject":"","project_id":79,"tracker_id":40,"status_id":1,"priority_id":2,"assigned_to_id":23,"start_date":"2016-09-20","description":"","custom_fields":[{"id":1,"name":"Subdivision","value":"EC"},{"id":4,"name":"Milepost","value":"23.3299"},{"id":17,"name":"Train ID","value":"233-20"},{"id":16,"name":"Locomotive ID","value":"4014"},{"id":130,"name":"Impact","value":""},{"id":150,"name":"Time of Event (Mountain Time)","value":"22:35:26"},{"id":151,"name":"Denver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585</v>
      </c>
      <c r="B146" s="7">
        <v>4013</v>
      </c>
      <c r="C146" s="24" t="s">
        <v>106</v>
      </c>
      <c r="D146" s="24" t="s">
        <v>253</v>
      </c>
      <c r="E146" s="15">
        <v>42633.952314814815</v>
      </c>
      <c r="F146" s="15">
        <v>42633.955729166664</v>
      </c>
      <c r="G146" s="7">
        <v>1</v>
      </c>
      <c r="H146" s="15" t="s">
        <v>284</v>
      </c>
      <c r="I146" s="15">
        <v>42633.981863425928</v>
      </c>
      <c r="J146" s="7">
        <v>0</v>
      </c>
      <c r="K146" s="121" t="str">
        <f t="shared" si="39"/>
        <v>4013/4014</v>
      </c>
      <c r="L146" s="24" t="str">
        <f>VLOOKUP(A146,'Trips&amp;Operators'!$C$1:$E$10000,3,FALSE)</f>
        <v>YANAI</v>
      </c>
      <c r="M146" s="6">
        <f t="shared" si="40"/>
        <v>2.6134259263926651E-2</v>
      </c>
      <c r="N146" s="7">
        <f t="shared" si="41"/>
        <v>37.633333340054378</v>
      </c>
      <c r="O146" s="7"/>
      <c r="P146" s="7"/>
      <c r="Q146" s="25"/>
      <c r="R146" s="25"/>
      <c r="S146" s="37">
        <f t="shared" si="42"/>
        <v>1</v>
      </c>
      <c r="T146" s="52" t="str">
        <f t="shared" si="43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21:51:20-0600',mode:absolute,to:'2016-09-21 00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6" s="54" t="str">
        <f t="shared" si="45"/>
        <v>N</v>
      </c>
      <c r="X146" s="168">
        <f t="shared" si="36"/>
        <v>1</v>
      </c>
      <c r="Y146" s="69">
        <f t="shared" si="46"/>
        <v>23.297499999999999</v>
      </c>
      <c r="Z146" s="69">
        <f t="shared" si="47"/>
        <v>1.6500000000000001E-2</v>
      </c>
      <c r="AA146" s="69">
        <f t="shared" si="48"/>
        <v>23.280999999999999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49"/>
        <v>0234-20</v>
      </c>
      <c r="AE146" s="99" t="str">
        <f t="shared" si="50"/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146" s="96" t="str">
        <f t="shared" si="51"/>
        <v>"C:\Program Files (x86)\AstroGrep\AstroGrep.exe" /spath="%USERPROFILE%\AppData\Local\Temp\OnboardLogs" /stypes="app*4013*20160921*" /stext=" 05:.+((SYSTEM_STATE.+slice.+state.+changed )|(ment ac)|(system.+state.+changed )|(\|lc)|(penalty)|(\[timeout)|(PRM\|1\|D)|(kpr)|(kdp))" /e /r /s</v>
      </c>
      <c r="AG146" s="1" t="str">
        <f t="shared" si="52"/>
        <v>EC</v>
      </c>
      <c r="AH146" s="100" t="str">
        <f t="shared" si="37"/>
        <v>"%USERPROFILE%\Documents\GitHub\eaglep3\Utilities\RefineRTDCRunTimes.py" --tripid 234-20 --locoid 4013 --swversion DE.1.0.7.0 --startMP 204:232975 --initTime 2016-09-20T22:51:20 --startdatetime 2016-09-20T22:56:15 --delay 1 --endMP 204:165 --enddatetime 2016-09-20T23:33:53 --enforcementcount 0 &gt;&gt;C:\Users\stu\Documents\GitHub\eaglep3-reporting\EC\2016-09-20-refined-times.txt</v>
      </c>
      <c r="AI146" s="134" t="str">
        <f t="shared" si="38"/>
        <v>echo {"issue":{"subject":"","project_id":79,"tracker_id":40,"status_id":1,"priority_id":2,"assigned_to_id":23,"start_date":"2016-09-20","description":"","custom_fields":[{"id":1,"name":"Subdivision","value":"EC"},{"id":4,"name":"Milepost","value":"0.0165"},{"id":17,"name":"Train ID","value":"234-20"},{"id":16,"name":"Locomotive ID","value":"4013"},{"id":130,"name":"Impact","value":""},{"id":150,"name":"Time of Event (Mountain Time)","value":"23:33:53"},{"id":151,"name":"Denver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583</v>
      </c>
      <c r="B147" s="7">
        <v>4011</v>
      </c>
      <c r="C147" s="24" t="s">
        <v>106</v>
      </c>
      <c r="D147" s="24" t="s">
        <v>294</v>
      </c>
      <c r="E147" s="15">
        <v>42633.936041666668</v>
      </c>
      <c r="F147" s="15">
        <v>42633.9378125</v>
      </c>
      <c r="G147" s="7">
        <v>1</v>
      </c>
      <c r="H147" s="15" t="s">
        <v>250</v>
      </c>
      <c r="I147" s="15">
        <v>42633.963784722226</v>
      </c>
      <c r="J147" s="7">
        <v>0</v>
      </c>
      <c r="K147" s="121" t="str">
        <f t="shared" si="39"/>
        <v>4011/4012</v>
      </c>
      <c r="L147" s="24" t="str">
        <f>VLOOKUP(A147,'Trips&amp;Operators'!$C$1:$E$10000,3,FALSE)</f>
        <v>CHANDLER</v>
      </c>
      <c r="M147" s="6">
        <f t="shared" si="40"/>
        <v>2.5972222225391306E-2</v>
      </c>
      <c r="N147" s="7">
        <f t="shared" si="41"/>
        <v>37.400000004563481</v>
      </c>
      <c r="O147" s="7"/>
      <c r="P147" s="7"/>
      <c r="Q147" s="25"/>
      <c r="R147" s="25"/>
      <c r="S147" s="37">
        <f t="shared" si="42"/>
        <v>1</v>
      </c>
      <c r="T147" s="52" t="str">
        <f t="shared" si="43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21:27:54-0600',mode:absolute,to:'2016-09-21 00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47" s="54" t="str">
        <f t="shared" si="45"/>
        <v>N</v>
      </c>
      <c r="X147" s="168">
        <f t="shared" ref="X147:X210" si="53">VALUE(LEFT(AD147,4))-VALUE(LEFT(AD146,4))</f>
        <v>1</v>
      </c>
      <c r="Y147" s="69">
        <f t="shared" si="46"/>
        <v>4.82E-2</v>
      </c>
      <c r="Z147" s="69">
        <f t="shared" si="47"/>
        <v>23.3276</v>
      </c>
      <c r="AA147" s="69">
        <f t="shared" si="48"/>
        <v>23.279399999999999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49"/>
        <v>0235-20</v>
      </c>
      <c r="AE147" s="99" t="str">
        <f t="shared" si="50"/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47" s="96" t="str">
        <f t="shared" si="51"/>
        <v>"C:\Program Files (x86)\AstroGrep\AstroGrep.exe" /spath="%USERPROFILE%\AppData\Local\Temp\OnboardLogs" /stypes="app*4011*20160921*" /stext=" 05:.+((SYSTEM_STATE.+slice.+state.+changed )|(ment ac)|(system.+state.+changed )|(\|lc)|(penalty)|(\[timeout)|(PRM\|1\|D)|(kpr)|(kdp))" /e /r /s</v>
      </c>
      <c r="AG147" s="1" t="str">
        <f t="shared" si="52"/>
        <v>EC</v>
      </c>
      <c r="AH147" s="100" t="str">
        <f t="shared" si="37"/>
        <v>"%USERPROFILE%\Documents\GitHub\eaglep3\Utilities\RefineRTDCRunTimes.py" --tripid 235-20 --locoid 4011 --swversion DE.1.0.7.0 --startMP 204:482 --initTime 2016-09-20T22:27:54 --startdatetime 2016-09-20T22:30:27 --delay 1 --endMP 204:233276 --enddatetime 2016-09-20T23:07:51 --enforcementcount 0 &gt;&gt;C:\Users\stu\Documents\GitHub\eaglep3-reporting\EC\2016-09-20-refined-times.txt</v>
      </c>
      <c r="AI147" s="134" t="str">
        <f t="shared" si="38"/>
        <v>echo {"issue":{"subject":"","project_id":79,"tracker_id":40,"status_id":1,"priority_id":2,"assigned_to_id":23,"start_date":"2016-09-20","description":"","custom_fields":[{"id":1,"name":"Subdivision","value":"EC"},{"id":4,"name":"Milepost","value":"23.3276"},{"id":17,"name":"Train ID","value":"235-20"},{"id":16,"name":"Locomotive ID","value":"4011"},{"id":130,"name":"Impact","value":""},{"id":150,"name":"Time of Event (Mountain Time)","value":"23:07:51"},{"id":151,"name":"Denver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587</v>
      </c>
      <c r="B148" s="7">
        <v>4012</v>
      </c>
      <c r="C148" s="24" t="s">
        <v>106</v>
      </c>
      <c r="D148" s="24" t="s">
        <v>613</v>
      </c>
      <c r="E148" s="15">
        <v>42633.974953703706</v>
      </c>
      <c r="F148" s="15">
        <v>42633.976643518516</v>
      </c>
      <c r="G148" s="7">
        <v>1</v>
      </c>
      <c r="H148" s="15" t="s">
        <v>366</v>
      </c>
      <c r="I148" s="15">
        <v>42634.005277777775</v>
      </c>
      <c r="J148" s="7">
        <v>0</v>
      </c>
      <c r="K148" s="121" t="str">
        <f t="shared" si="39"/>
        <v>4011/4012</v>
      </c>
      <c r="L148" s="24" t="str">
        <f>VLOOKUP(A148,'Trips&amp;Operators'!$C$1:$E$10000,3,FALSE)</f>
        <v>CHANDLER</v>
      </c>
      <c r="M148" s="6">
        <f t="shared" si="40"/>
        <v>2.8634259258979E-2</v>
      </c>
      <c r="N148" s="7">
        <f t="shared" si="41"/>
        <v>41.23333333292976</v>
      </c>
      <c r="O148" s="7"/>
      <c r="P148" s="7"/>
      <c r="Q148" s="25"/>
      <c r="R148" s="25"/>
      <c r="S148" s="37">
        <f t="shared" si="42"/>
        <v>1</v>
      </c>
      <c r="T148" s="52" t="str">
        <f t="shared" si="43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22:23:56-0600',mode:absolute,to:'2016-09-21 01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8" s="54" t="str">
        <f t="shared" si="45"/>
        <v>N</v>
      </c>
      <c r="X148" s="168">
        <f t="shared" si="53"/>
        <v>1</v>
      </c>
      <c r="Y148" s="69">
        <f t="shared" si="46"/>
        <v>23.295200000000001</v>
      </c>
      <c r="Z148" s="69">
        <f t="shared" si="47"/>
        <v>1.78E-2</v>
      </c>
      <c r="AA148" s="69">
        <f t="shared" si="48"/>
        <v>23.2774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49"/>
        <v>0236-20</v>
      </c>
      <c r="AE148" s="99" t="str">
        <f t="shared" si="50"/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148" s="96" t="str">
        <f t="shared" si="51"/>
        <v>"C:\Program Files (x86)\AstroGrep\AstroGrep.exe" /spath="%USERPROFILE%\AppData\Local\Temp\OnboardLogs" /stypes="app*4012*20160921*" /stext=" 06:.+((SYSTEM_STATE.+slice.+state.+changed )|(ment ac)|(system.+state.+changed )|(\|lc)|(penalty)|(\[timeout)|(PRM\|1\|D)|(kpr)|(kdp))" /e /r /s</v>
      </c>
      <c r="AG148" s="1" t="str">
        <f t="shared" si="52"/>
        <v>EC</v>
      </c>
      <c r="AH148" s="100" t="str">
        <f t="shared" si="37"/>
        <v>"%USERPROFILE%\Documents\GitHub\eaglep3\Utilities\RefineRTDCRunTimes.py" --tripid 236-20 --locoid 4012 --swversion DE.1.0.7.0 --startMP 204:232952 --initTime 2016-09-20T23:23:56 --startdatetime 2016-09-20T23:26:22 --delay 1 --endMP 204:178 --enddatetime 2016-09-21T00:07:36 --enforcementcount 0 &gt;&gt;C:\Users\stu\Documents\GitHub\eaglep3-reporting\EC\2016-09-20-refined-times.txt</v>
      </c>
      <c r="AI148" s="134" t="str">
        <f t="shared" si="38"/>
        <v>echo {"issue":{"subject":"","project_id":79,"tracker_id":40,"status_id":1,"priority_id":2,"assigned_to_id":23,"start_date":"2016-09-21","description":"","custom_fields":[{"id":1,"name":"Subdivision","value":"EC"},{"id":4,"name":"Milepost","value":"0.0178"},{"id":17,"name":"Train ID","value":"236-20"},{"id":16,"name":"Locomotive ID","value":"4012"},{"id":130,"name":"Impact","value":""},{"id":150,"name":"Time of Event (Mountain Time)","value":"00:07:36"},{"id":151,"name":"Denver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586</v>
      </c>
      <c r="B149" s="7">
        <v>4003</v>
      </c>
      <c r="C149" s="24" t="s">
        <v>106</v>
      </c>
      <c r="D149" s="24" t="s">
        <v>261</v>
      </c>
      <c r="E149" s="15">
        <v>42633.954548611109</v>
      </c>
      <c r="F149" s="15">
        <v>42633.958761574075</v>
      </c>
      <c r="G149" s="7">
        <v>1</v>
      </c>
      <c r="H149" s="15" t="s">
        <v>221</v>
      </c>
      <c r="I149" s="15">
        <v>42633.984814814816</v>
      </c>
      <c r="J149" s="7">
        <v>0</v>
      </c>
      <c r="K149" s="121" t="str">
        <f t="shared" si="39"/>
        <v>4003/4004</v>
      </c>
      <c r="L149" s="24" t="str">
        <f>VLOOKUP(A149,'Trips&amp;Operators'!$C$1:$E$10000,3,FALSE)</f>
        <v>LEVERE</v>
      </c>
      <c r="M149" s="6">
        <f t="shared" si="40"/>
        <v>2.6053240741021E-2</v>
      </c>
      <c r="N149" s="7">
        <f t="shared" si="41"/>
        <v>37.51666666707024</v>
      </c>
      <c r="O149" s="7"/>
      <c r="P149" s="7"/>
      <c r="Q149" s="25"/>
      <c r="R149" s="25"/>
      <c r="S149" s="37">
        <f t="shared" si="42"/>
        <v>1</v>
      </c>
      <c r="T149" s="52" t="str">
        <f t="shared" si="43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21:54:33-0600',mode:absolute,to:'2016-09-21 00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49" s="54" t="str">
        <f t="shared" si="45"/>
        <v>N</v>
      </c>
      <c r="X149" s="168">
        <f t="shared" si="53"/>
        <v>1</v>
      </c>
      <c r="Y149" s="69">
        <f t="shared" si="46"/>
        <v>4.7699999999999999E-2</v>
      </c>
      <c r="Z149" s="69">
        <f t="shared" si="47"/>
        <v>23.3291</v>
      </c>
      <c r="AA149" s="69">
        <f t="shared" si="48"/>
        <v>23.281400000000001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49"/>
        <v>0237-20</v>
      </c>
      <c r="AE149" s="99" t="str">
        <f t="shared" si="50"/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49" s="96" t="str">
        <f t="shared" si="51"/>
        <v>"C:\Program Files (x86)\AstroGrep\AstroGrep.exe" /spath="%USERPROFILE%\AppData\Local\Temp\OnboardLogs" /stypes="app*4003*20160921*" /stext=" 05:.+((SYSTEM_STATE.+slice.+state.+changed )|(ment ac)|(system.+state.+changed )|(\|lc)|(penalty)|(\[timeout)|(PRM\|1\|D)|(kpr)|(kdp))" /e /r /s</v>
      </c>
      <c r="AG149" s="1" t="str">
        <f t="shared" si="52"/>
        <v>EC</v>
      </c>
      <c r="AH149" s="100" t="str">
        <f t="shared" si="37"/>
        <v>"%USERPROFILE%\Documents\GitHub\eaglep3\Utilities\RefineRTDCRunTimes.py" --tripid 237-20 --locoid 4003 --swversion DE.1.0.7.0 --startMP 204:477 --initTime 2016-09-20T22:54:33 --startdatetime 2016-09-20T23:00:37 --delay 1 --endMP 204:233291 --enddatetime 2016-09-20T23:38:08 --enforcementcount 0 &gt;&gt;C:\Users\stu\Documents\GitHub\eaglep3-reporting\EC\2016-09-20-refined-times.txt</v>
      </c>
      <c r="AI149" s="134" t="str">
        <f t="shared" si="38"/>
        <v>echo {"issue":{"subject":"","project_id":79,"tracker_id":40,"status_id":1,"priority_id":2,"assigned_to_id":23,"start_date":"2016-09-20","description":"","custom_fields":[{"id":1,"name":"Subdivision","value":"EC"},{"id":4,"name":"Milepost","value":"23.3291"},{"id":17,"name":"Train ID","value":"237-20"},{"id":16,"name":"Locomotive ID","value":"4003"},{"id":130,"name":"Impact","value":""},{"id":150,"name":"Time of Event (Mountain Time)","value":"23:38:08"},{"id":151,"name":"Denver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590</v>
      </c>
      <c r="B150" s="7">
        <v>4004</v>
      </c>
      <c r="C150" s="24" t="s">
        <v>106</v>
      </c>
      <c r="D150" s="24" t="s">
        <v>349</v>
      </c>
      <c r="E150" s="15">
        <v>42633.993043981478</v>
      </c>
      <c r="F150" s="15">
        <v>42633.997627314813</v>
      </c>
      <c r="G150" s="7">
        <v>1</v>
      </c>
      <c r="H150" s="15" t="s">
        <v>678</v>
      </c>
      <c r="I150" s="15">
        <v>42634.024884259263</v>
      </c>
      <c r="J150" s="7">
        <v>0</v>
      </c>
      <c r="K150" s="121" t="str">
        <f t="shared" si="39"/>
        <v>4003/4004</v>
      </c>
      <c r="L150" s="24" t="str">
        <f>VLOOKUP(A150,'Trips&amp;Operators'!$C$1:$E$10000,3,FALSE)</f>
        <v>LEVERE</v>
      </c>
      <c r="M150" s="6">
        <f t="shared" si="40"/>
        <v>2.7256944449618459E-2</v>
      </c>
      <c r="N150" s="7">
        <f t="shared" si="41"/>
        <v>39.250000007450581</v>
      </c>
      <c r="O150" s="7"/>
      <c r="P150" s="7"/>
      <c r="Q150" s="25"/>
      <c r="R150" s="25"/>
      <c r="S150" s="37">
        <f t="shared" si="42"/>
        <v>1</v>
      </c>
      <c r="T150" s="52" t="str">
        <f t="shared" si="43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22:49:59-0600',mode:absolute,to:'2016-09-21 01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50" s="54" t="str">
        <f t="shared" si="45"/>
        <v>N</v>
      </c>
      <c r="X150" s="168">
        <f t="shared" si="53"/>
        <v>1</v>
      </c>
      <c r="Y150" s="69">
        <f t="shared" si="46"/>
        <v>23.296299999999999</v>
      </c>
      <c r="Z150" s="69">
        <f t="shared" si="47"/>
        <v>1.2500000000000001E-2</v>
      </c>
      <c r="AA150" s="69">
        <f t="shared" si="48"/>
        <v>23.283799999999999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49"/>
        <v>0238-20</v>
      </c>
      <c r="AE150" s="99" t="str">
        <f t="shared" si="50"/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150" s="96" t="str">
        <f t="shared" si="51"/>
        <v>"C:\Program Files (x86)\AstroGrep\AstroGrep.exe" /spath="%USERPROFILE%\AppData\Local\Temp\OnboardLogs" /stypes="app*4004*20160921*" /stext=" 06:.+((SYSTEM_STATE.+slice.+state.+changed )|(ment ac)|(system.+state.+changed )|(\|lc)|(penalty)|(\[timeout)|(PRM\|1\|D)|(kpr)|(kdp))" /e /r /s</v>
      </c>
      <c r="AG150" s="1" t="str">
        <f t="shared" si="52"/>
        <v>EC</v>
      </c>
      <c r="AH150" s="100" t="str">
        <f t="shared" si="37"/>
        <v>"%USERPROFILE%\Documents\GitHub\eaglep3\Utilities\RefineRTDCRunTimes.py" --tripid 238-20 --locoid 4004 --swversion DE.1.0.7.0 --startMP 204:232963 --initTime 2016-09-20T23:49:59 --startdatetime 2016-09-20T23:56:35 --delay 1 --endMP 204:125 --enddatetime 2016-09-21T00:35:50 --enforcementcount 0 &gt;&gt;C:\Users\stu\Documents\GitHub\eaglep3-reporting\EC\2016-09-20-refined-times.txt</v>
      </c>
      <c r="AI150" s="134" t="str">
        <f t="shared" si="38"/>
        <v>echo {"issue":{"subject":"","project_id":79,"tracker_id":40,"status_id":1,"priority_id":2,"assigned_to_id":23,"start_date":"2016-09-21","description":"","custom_fields":[{"id":1,"name":"Subdivision","value":"EC"},{"id":4,"name":"Milepost","value":"0.0125"},{"id":17,"name":"Train ID","value":"238-20"},{"id":16,"name":"Locomotive ID","value":"4004"},{"id":130,"name":"Impact","value":""},{"id":150,"name":"Time of Event (Mountain Time)","value":"00:35:50"},{"id":151,"name":"Denver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588</v>
      </c>
      <c r="B151" s="7">
        <v>4025</v>
      </c>
      <c r="C151" s="24" t="s">
        <v>106</v>
      </c>
      <c r="D151" s="24" t="s">
        <v>226</v>
      </c>
      <c r="E151" s="15">
        <v>42633.977326388886</v>
      </c>
      <c r="F151" s="15">
        <v>42633.979409722226</v>
      </c>
      <c r="G151" s="7">
        <v>1</v>
      </c>
      <c r="H151" s="15" t="s">
        <v>665</v>
      </c>
      <c r="I151" s="15">
        <v>42634.003842592596</v>
      </c>
      <c r="J151" s="7">
        <v>0</v>
      </c>
      <c r="K151" s="121" t="str">
        <f t="shared" si="39"/>
        <v>4025/4026</v>
      </c>
      <c r="L151" s="24" t="str">
        <f>VLOOKUP(A151,'Trips&amp;Operators'!$C$1:$E$10000,3,FALSE)</f>
        <v>COOLAHAN</v>
      </c>
      <c r="M151" s="6">
        <f t="shared" si="40"/>
        <v>2.4432870370219462E-2</v>
      </c>
      <c r="N151" s="7">
        <f t="shared" si="41"/>
        <v>35.183333333116025</v>
      </c>
      <c r="O151" s="7"/>
      <c r="P151" s="7"/>
      <c r="Q151" s="25"/>
      <c r="R151" s="25"/>
      <c r="S151" s="37">
        <f t="shared" si="42"/>
        <v>1</v>
      </c>
      <c r="T151" s="52" t="str">
        <f t="shared" si="43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22:27:21-0600',mode:absolute,to:'2016-09-21 01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1" s="54" t="str">
        <f t="shared" si="45"/>
        <v>N</v>
      </c>
      <c r="X151" s="168">
        <f t="shared" si="53"/>
        <v>1</v>
      </c>
      <c r="Y151" s="69">
        <f t="shared" si="46"/>
        <v>4.5100000000000001E-2</v>
      </c>
      <c r="Z151" s="69">
        <f t="shared" si="47"/>
        <v>23.3324</v>
      </c>
      <c r="AA151" s="69">
        <f t="shared" si="48"/>
        <v>23.287299999999998</v>
      </c>
      <c r="AB151" s="66" t="str">
        <f>VLOOKUP(A151,Enforcements!$C$7:$K$20,8,0)</f>
        <v>Bulletin (2)</v>
      </c>
      <c r="AC151" s="62" t="str">
        <f>VLOOKUP(A151,Enforcements!$C$7:$E$20,3,0)</f>
        <v>GRADE CROSSING</v>
      </c>
      <c r="AD151" s="63" t="str">
        <f t="shared" si="49"/>
        <v>0239-20</v>
      </c>
      <c r="AE151" s="99" t="str">
        <f t="shared" si="50"/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51" s="96" t="str">
        <f t="shared" si="51"/>
        <v>"C:\Program Files (x86)\AstroGrep\AstroGrep.exe" /spath="%USERPROFILE%\AppData\Local\Temp\OnboardLogs" /stypes="app*4025*20160921*" /stext=" 06:.+((SYSTEM_STATE.+slice.+state.+changed )|(ment ac)|(system.+state.+changed )|(\|lc)|(penalty)|(\[timeout)|(PRM\|1\|D)|(kpr)|(kdp))" /e /r /s</v>
      </c>
      <c r="AG151" s="1" t="str">
        <f t="shared" si="52"/>
        <v>EC</v>
      </c>
      <c r="AH151" s="100" t="str">
        <f t="shared" si="37"/>
        <v>"%USERPROFILE%\Documents\GitHub\eaglep3\Utilities\RefineRTDCRunTimes.py" --tripid 239-20 --locoid 4025 --swversion DE.1.0.7.0 --startMP 204:451 --initTime 2016-09-20T23:27:21 --startdatetime 2016-09-20T23:30:21 --delay 1 --endMP 204:233324 --enddatetime 2016-09-21T00:05:32 --enforcementcount 0 &gt;&gt;C:\Users\stu\Documents\GitHub\eaglep3-reporting\EC\2016-09-20-refined-times.txt</v>
      </c>
      <c r="AI151" s="134" t="str">
        <f t="shared" si="38"/>
        <v>echo {"issue":{"subject":"","project_id":79,"tracker_id":40,"status_id":1,"priority_id":2,"assigned_to_id":23,"start_date":"2016-09-21","description":"","custom_fields":[{"id":1,"name":"Subdivision","value":"EC"},{"id":4,"name":"Milepost","value":"23.3324"},{"id":17,"name":"Train ID","value":"239-20"},{"id":16,"name":"Locomotive ID","value":"4025"},{"id":130,"name":"Impact","value":""},{"id":150,"name":"Time of Event (Mountain Time)","value":"00:05:32"},{"id":151,"name":"Denver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591</v>
      </c>
      <c r="B152" s="7">
        <v>4026</v>
      </c>
      <c r="C152" s="24" t="s">
        <v>106</v>
      </c>
      <c r="D152" s="24" t="s">
        <v>345</v>
      </c>
      <c r="E152" s="15">
        <v>42634.015555555554</v>
      </c>
      <c r="F152" s="15">
        <v>42634.018287037034</v>
      </c>
      <c r="G152" s="7">
        <v>1</v>
      </c>
      <c r="H152" s="15" t="s">
        <v>218</v>
      </c>
      <c r="I152" s="15">
        <v>42634.04414351852</v>
      </c>
      <c r="J152" s="7">
        <v>0</v>
      </c>
      <c r="K152" s="121" t="str">
        <f t="shared" si="39"/>
        <v>4025/4026</v>
      </c>
      <c r="L152" s="24" t="str">
        <f>VLOOKUP(A152,'Trips&amp;Operators'!$C$1:$E$10000,3,FALSE)</f>
        <v>COOLAHAN</v>
      </c>
      <c r="M152" s="6">
        <f t="shared" si="40"/>
        <v>2.5856481486698613E-2</v>
      </c>
      <c r="N152" s="7">
        <f t="shared" si="41"/>
        <v>37.233333340846002</v>
      </c>
      <c r="O152" s="7"/>
      <c r="P152" s="7"/>
      <c r="Q152" s="25"/>
      <c r="R152" s="25"/>
      <c r="S152" s="37">
        <f t="shared" si="42"/>
        <v>1</v>
      </c>
      <c r="T152" s="52" t="str">
        <f t="shared" si="43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23:22:24-0600',mode:absolute,to:'2016-09-21 02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2" s="54" t="str">
        <f t="shared" si="45"/>
        <v>N</v>
      </c>
      <c r="X152" s="168">
        <f t="shared" si="53"/>
        <v>1</v>
      </c>
      <c r="Y152" s="69">
        <f t="shared" si="46"/>
        <v>23.2986</v>
      </c>
      <c r="Z152" s="69">
        <f t="shared" si="47"/>
        <v>1.47E-2</v>
      </c>
      <c r="AA152" s="69">
        <f t="shared" si="48"/>
        <v>23.283899999999999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49"/>
        <v>0240-20</v>
      </c>
      <c r="AE152" s="99" t="str">
        <f t="shared" si="50"/>
        <v>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 &amp; 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</v>
      </c>
      <c r="AF152" s="96" t="str">
        <f t="shared" si="51"/>
        <v>"C:\Program Files (x86)\AstroGrep\AstroGrep.exe" /spath="%USERPROFILE%\AppData\Local\Temp\OnboardLogs" /stypes="app*4026*20160921*" /stext=" 07:.+((SYSTEM_STATE.+slice.+state.+changed )|(ment ac)|(system.+state.+changed )|(\|lc)|(penalty)|(\[timeout)|(PRM\|1\|D)|(kpr)|(kdp))" /e /r /s</v>
      </c>
      <c r="AG152" s="1" t="str">
        <f t="shared" si="52"/>
        <v>EC</v>
      </c>
      <c r="AH152" s="100" t="str">
        <f t="shared" si="37"/>
        <v>"%USERPROFILE%\Documents\GitHub\eaglep3\Utilities\RefineRTDCRunTimes.py" --tripid 240-20 --locoid 4026 --swversion DE.1.0.7.0 --startMP 204:232986 --initTime 2016-09-21T00:22:24 --startdatetime 2016-09-21T00:26:20 --delay 1 --endMP 204:147 --enddatetime 2016-09-21T01:03:34 --enforcementcount 0 &gt;&gt;C:\Users\stu\Documents\GitHub\eaglep3-reporting\EC\2016-09-20-refined-times.txt</v>
      </c>
      <c r="AI152" s="134" t="str">
        <f t="shared" si="38"/>
        <v>echo {"issue":{"subject":"","project_id":79,"tracker_id":40,"status_id":1,"priority_id":2,"assigned_to_id":23,"start_date":"2016-09-21","description":"","custom_fields":[{"id":1,"name":"Subdivision","value":"EC"},{"id":4,"name":"Milepost","value":"0.0147"},{"id":17,"name":"Train ID","value":"240-20"},{"id":16,"name":"Locomotive ID","value":"4026"},{"id":130,"name":"Impact","value":""},{"id":150,"name":"Time of Event (Mountain Time)","value":"01:03:34"},{"id":151,"name":"Denver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589</v>
      </c>
      <c r="B153" s="7">
        <v>4014</v>
      </c>
      <c r="C153" s="24" t="s">
        <v>106</v>
      </c>
      <c r="D153" s="24" t="s">
        <v>238</v>
      </c>
      <c r="E153" s="15">
        <v>42633.983067129629</v>
      </c>
      <c r="F153" s="15">
        <v>42634.000324074077</v>
      </c>
      <c r="G153" s="7">
        <v>1</v>
      </c>
      <c r="H153" s="15" t="s">
        <v>260</v>
      </c>
      <c r="I153" s="15">
        <v>42634.02443287037</v>
      </c>
      <c r="J153" s="7">
        <v>0</v>
      </c>
      <c r="K153" s="121" t="str">
        <f t="shared" si="39"/>
        <v>4013/4014</v>
      </c>
      <c r="L153" s="24" t="str">
        <f>VLOOKUP(A153,'Trips&amp;Operators'!$C$1:$E$10000,3,FALSE)</f>
        <v>YANAI</v>
      </c>
      <c r="M153" s="6">
        <f t="shared" si="40"/>
        <v>2.4108796293148771E-2</v>
      </c>
      <c r="N153" s="7">
        <f t="shared" si="41"/>
        <v>34.71666666213423</v>
      </c>
      <c r="O153" s="7"/>
      <c r="P153" s="7"/>
      <c r="Q153" s="25"/>
      <c r="R153" s="25"/>
      <c r="S153" s="37">
        <f t="shared" si="42"/>
        <v>1</v>
      </c>
      <c r="T153" s="52" t="str">
        <f t="shared" si="43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22:35:37-0600',mode:absolute,to:'2016-09-21 01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3" s="54" t="str">
        <f t="shared" si="45"/>
        <v>N</v>
      </c>
      <c r="X153" s="168">
        <f t="shared" si="53"/>
        <v>1</v>
      </c>
      <c r="Y153" s="69">
        <f t="shared" si="46"/>
        <v>4.6899999999999997E-2</v>
      </c>
      <c r="Z153" s="69">
        <f t="shared" si="47"/>
        <v>23.330300000000001</v>
      </c>
      <c r="AA153" s="69">
        <f t="shared" si="48"/>
        <v>23.2834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49"/>
        <v>0241-20</v>
      </c>
      <c r="AE153" s="99" t="str">
        <f t="shared" si="50"/>
        <v>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 &amp; aws s3 cp s3://rtdc.mdm.uploadarchive/RTDC4014/2016-09-22/ "%USERPROFILE%\AppData\Local\Temp\OnboardLogs"\RTDC4014\2016-09-22 --recursive &amp; "%USERPROFILE%\Documents\GitHub\mrs-test-scripts\Headless Mode &amp; Sideloading\WalkAndUnGZ.bat" "%USERPROFILE%\AppData\Local\Temp\OnboardLogs"\RTDC4014\2016-09-22</v>
      </c>
      <c r="AF153" s="96" t="str">
        <f t="shared" si="51"/>
        <v>"C:\Program Files (x86)\AstroGrep\AstroGrep.exe" /spath="%USERPROFILE%\AppData\Local\Temp\OnboardLogs" /stypes="app*4014*20160921*" /stext=" 06:.+((SYSTEM_STATE.+slice.+state.+changed )|(ment ac)|(system.+state.+changed )|(\|lc)|(penalty)|(\[timeout)|(PRM\|1\|D)|(kpr)|(kdp))" /e /r /s</v>
      </c>
      <c r="AG153" s="1" t="str">
        <f t="shared" si="52"/>
        <v>EC</v>
      </c>
      <c r="AH153" s="100" t="str">
        <f t="shared" si="37"/>
        <v>"%USERPROFILE%\Documents\GitHub\eaglep3\Utilities\RefineRTDCRunTimes.py" --tripid 241-20 --locoid 4014 --swversion DE.1.0.7.0 --startMP 204:469 --initTime 2016-09-20T23:35:37 --startdatetime 2016-09-21T00:00:28 --delay 1 --endMP 204:233303 --enddatetime 2016-09-21T00:35:11 --enforcementcount 0 &gt;&gt;C:\Users\stu\Documents\GitHub\eaglep3-reporting\EC\2016-09-20-refined-times.txt</v>
      </c>
      <c r="AI153" s="134" t="str">
        <f t="shared" si="38"/>
        <v>echo {"issue":{"subject":"","project_id":79,"tracker_id":40,"status_id":1,"priority_id":2,"assigned_to_id":23,"start_date":"2016-09-21","description":"","custom_fields":[{"id":1,"name":"Subdivision","value":"EC"},{"id":4,"name":"Milepost","value":"23.3303"},{"id":17,"name":"Train ID","value":"241-20"},{"id":16,"name":"Locomotive ID","value":"4014"},{"id":130,"name":"Impact","value":""},{"id":150,"name":"Time of Event (Mountain Time)","value":"00:35:11"},{"id":151,"name":"Denver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594</v>
      </c>
      <c r="B154" s="7">
        <v>4013</v>
      </c>
      <c r="C154" s="24" t="s">
        <v>106</v>
      </c>
      <c r="D154" s="24" t="s">
        <v>234</v>
      </c>
      <c r="E154" s="15">
        <v>42634.036273148151</v>
      </c>
      <c r="F154" s="15">
        <v>42634.0390625</v>
      </c>
      <c r="G154" s="7">
        <v>1</v>
      </c>
      <c r="H154" s="15" t="s">
        <v>218</v>
      </c>
      <c r="I154" s="15">
        <v>42634.06459490741</v>
      </c>
      <c r="J154" s="7">
        <v>0</v>
      </c>
      <c r="K154" s="121" t="str">
        <f t="shared" si="39"/>
        <v>4013/4014</v>
      </c>
      <c r="L154" s="24" t="str">
        <f>VLOOKUP(A154,'Trips&amp;Operators'!$C$1:$E$10000,3,FALSE)</f>
        <v>YANAI</v>
      </c>
      <c r="M154" s="6">
        <f t="shared" si="40"/>
        <v>2.5532407409627922E-2</v>
      </c>
      <c r="N154" s="7">
        <f t="shared" si="41"/>
        <v>36.766666669864208</v>
      </c>
      <c r="O154" s="7"/>
      <c r="P154" s="7"/>
      <c r="Q154" s="25"/>
      <c r="R154" s="25"/>
      <c r="S154" s="37">
        <f t="shared" si="42"/>
        <v>1</v>
      </c>
      <c r="T154" s="52" t="str">
        <f t="shared" si="43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23:52:14-0600',mode:absolute,to:'2016-09-21 02:33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4" s="54" t="str">
        <f t="shared" si="45"/>
        <v>N</v>
      </c>
      <c r="X154" s="168">
        <f t="shared" si="53"/>
        <v>1</v>
      </c>
      <c r="Y154" s="69">
        <f t="shared" si="46"/>
        <v>23.297799999999999</v>
      </c>
      <c r="Z154" s="69">
        <f t="shared" si="47"/>
        <v>1.47E-2</v>
      </c>
      <c r="AA154" s="69">
        <f t="shared" si="48"/>
        <v>23.283099999999997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49"/>
        <v>0242-20</v>
      </c>
      <c r="AE154" s="99" t="str">
        <f t="shared" si="50"/>
        <v>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 &amp; 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</v>
      </c>
      <c r="AF154" s="96" t="str">
        <f t="shared" si="51"/>
        <v>"C:\Program Files (x86)\AstroGrep\AstroGrep.exe" /spath="%USERPROFILE%\AppData\Local\Temp\OnboardLogs" /stypes="app*4013*20160921*" /stext=" 07:.+((SYSTEM_STATE.+slice.+state.+changed )|(ment ac)|(system.+state.+changed )|(\|lc)|(penalty)|(\[timeout)|(PRM\|1\|D)|(kpr)|(kdp))" /e /r /s</v>
      </c>
      <c r="AG154" s="1" t="str">
        <f t="shared" si="52"/>
        <v>EC</v>
      </c>
      <c r="AH154" s="100" t="str">
        <f t="shared" si="37"/>
        <v>"%USERPROFILE%\Documents\GitHub\eaglep3\Utilities\RefineRTDCRunTimes.py" --tripid 242-20 --locoid 4013 --swversion DE.1.0.7.0 --startMP 204:232978 --initTime 2016-09-21T00:52:14 --startdatetime 2016-09-21T00:56:15 --delay 1 --endMP 204:147 --enddatetime 2016-09-21T01:33:01 --enforcementcount 0 &gt;&gt;C:\Users\stu\Documents\GitHub\eaglep3-reporting\EC\2016-09-20-refined-times.txt</v>
      </c>
      <c r="AI154" s="134" t="str">
        <f t="shared" si="38"/>
        <v>echo {"issue":{"subject":"","project_id":79,"tracker_id":40,"status_id":1,"priority_id":2,"assigned_to_id":23,"start_date":"2016-09-21","description":"","custom_fields":[{"id":1,"name":"Subdivision","value":"EC"},{"id":4,"name":"Milepost","value":"0.0147"},{"id":17,"name":"Train ID","value":"242-20"},{"id":16,"name":"Locomotive ID","value":"4013"},{"id":130,"name":"Impact","value":""},{"id":150,"name":"Time of Event (Mountain Time)","value":"01:33:01"},{"id":151,"name":"Denver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592</v>
      </c>
      <c r="B155" s="7">
        <v>4011</v>
      </c>
      <c r="C155" s="24" t="s">
        <v>106</v>
      </c>
      <c r="D155" s="24" t="s">
        <v>216</v>
      </c>
      <c r="E155" s="15">
        <v>42634.020046296297</v>
      </c>
      <c r="F155" s="15">
        <v>42634.021203703705</v>
      </c>
      <c r="G155" s="7">
        <v>1</v>
      </c>
      <c r="H155" s="15" t="s">
        <v>647</v>
      </c>
      <c r="I155" s="15">
        <v>42634.0466087963</v>
      </c>
      <c r="J155" s="7">
        <v>0</v>
      </c>
      <c r="K155" s="121" t="str">
        <f t="shared" si="39"/>
        <v>4011/4012</v>
      </c>
      <c r="L155" s="24" t="str">
        <f>VLOOKUP(A155,'Trips&amp;Operators'!$C$1:$E$10000,3,FALSE)</f>
        <v>CHANDLER</v>
      </c>
      <c r="M155" s="6">
        <f t="shared" si="40"/>
        <v>2.5405092594155576E-2</v>
      </c>
      <c r="N155" s="7">
        <f t="shared" si="41"/>
        <v>36.58333333558403</v>
      </c>
      <c r="O155" s="7"/>
      <c r="P155" s="7"/>
      <c r="Q155" s="25"/>
      <c r="R155" s="25"/>
      <c r="S155" s="37">
        <f t="shared" si="42"/>
        <v>1</v>
      </c>
      <c r="T155" s="52" t="str">
        <f t="shared" si="43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23:28:52-0600',mode:absolute,to:'2016-09-21 02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5" s="54" t="str">
        <f t="shared" si="45"/>
        <v>N</v>
      </c>
      <c r="X155" s="168">
        <f t="shared" si="53"/>
        <v>1</v>
      </c>
      <c r="Y155" s="69">
        <f t="shared" si="46"/>
        <v>4.7100000000000003E-2</v>
      </c>
      <c r="Z155" s="69">
        <f t="shared" si="47"/>
        <v>23.325500000000002</v>
      </c>
      <c r="AA155" s="69">
        <f t="shared" si="48"/>
        <v>23.278400000000001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49"/>
        <v>0243-20</v>
      </c>
      <c r="AE155" s="99" t="str">
        <f t="shared" si="50"/>
        <v>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 &amp; 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</v>
      </c>
      <c r="AF155" s="96" t="str">
        <f t="shared" si="51"/>
        <v>"C:\Program Files (x86)\AstroGrep\AstroGrep.exe" /spath="%USERPROFILE%\AppData\Local\Temp\OnboardLogs" /stypes="app*4011*20160921*" /stext=" 07:.+((SYSTEM_STATE.+slice.+state.+changed )|(ment ac)|(system.+state.+changed )|(\|lc)|(penalty)|(\[timeout)|(PRM\|1\|D)|(kpr)|(kdp))" /e /r /s</v>
      </c>
      <c r="AG155" s="1" t="str">
        <f t="shared" si="52"/>
        <v>EC</v>
      </c>
      <c r="AH155" s="100" t="str">
        <f t="shared" si="37"/>
        <v>"%USERPROFILE%\Documents\GitHub\eaglep3\Utilities\RefineRTDCRunTimes.py" --tripid 243-20 --locoid 4011 --swversion DE.1.0.7.0 --startMP 204:471 --initTime 2016-09-21T00:28:52 --startdatetime 2016-09-21T00:30:32 --delay 1 --endMP 204:233255 --enddatetime 2016-09-21T01:07:07 --enforcementcount 0 &gt;&gt;C:\Users\stu\Documents\GitHub\eaglep3-reporting\EC\2016-09-20-refined-times.txt</v>
      </c>
      <c r="AI155" s="134" t="str">
        <f t="shared" si="38"/>
        <v>echo {"issue":{"subject":"","project_id":79,"tracker_id":40,"status_id":1,"priority_id":2,"assigned_to_id":23,"start_date":"2016-09-21","description":"","custom_fields":[{"id":1,"name":"Subdivision","value":"EC"},{"id":4,"name":"Milepost","value":"23.3255"},{"id":17,"name":"Train ID","value":"243-20"},{"id":16,"name":"Locomotive ID","value":"4011"},{"id":130,"name":"Impact","value":""},{"id":150,"name":"Time of Event (Mountain Time)","value":"01:07:07"},{"id":151,"name":"Denver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596</v>
      </c>
      <c r="B156" s="7">
        <v>4012</v>
      </c>
      <c r="C156" s="24" t="s">
        <v>106</v>
      </c>
      <c r="D156" s="24" t="s">
        <v>246</v>
      </c>
      <c r="E156" s="15">
        <v>42634.058113425926</v>
      </c>
      <c r="F156" s="15">
        <v>42634.060150462959</v>
      </c>
      <c r="G156" s="7">
        <v>1</v>
      </c>
      <c r="H156" s="15" t="s">
        <v>222</v>
      </c>
      <c r="I156" s="15">
        <v>42634.088726851849</v>
      </c>
      <c r="J156" s="7">
        <v>0</v>
      </c>
      <c r="K156" s="121" t="str">
        <f t="shared" si="39"/>
        <v>4011/4012</v>
      </c>
      <c r="L156" s="24" t="str">
        <f>VLOOKUP(A156,'Trips&amp;Operators'!$C$1:$E$10000,3,FALSE)</f>
        <v>CHANDLER</v>
      </c>
      <c r="M156" s="6">
        <f t="shared" si="40"/>
        <v>2.8576388889632653E-2</v>
      </c>
      <c r="N156" s="7">
        <f t="shared" si="41"/>
        <v>41.150000001071021</v>
      </c>
      <c r="O156" s="7"/>
      <c r="P156" s="7"/>
      <c r="Q156" s="25"/>
      <c r="R156" s="25"/>
      <c r="S156" s="37">
        <f t="shared" si="42"/>
        <v>1</v>
      </c>
      <c r="T156" s="52" t="str">
        <f t="shared" si="43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https://search-rtdc-monitor-bjffxe2xuh6vdkpspy63sjmuny.us-east-1.es.amazonaws.com/_plugin/kibana/#/discover/Steve-Slow-Train-Analysis-(2080s-and-2083s)?_g=(refreshInterval:(display:Off,section:0,value:0),time:(from:'2016-09-21 00:23:41-0600',mode:absolute,to:'2016-09-21 03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6" s="54" t="str">
        <f t="shared" si="45"/>
        <v>N</v>
      </c>
      <c r="X156" s="168">
        <f t="shared" si="53"/>
        <v>1</v>
      </c>
      <c r="Y156" s="69">
        <f t="shared" si="46"/>
        <v>23.295500000000001</v>
      </c>
      <c r="Z156" s="69">
        <f t="shared" si="47"/>
        <v>1.52E-2</v>
      </c>
      <c r="AA156" s="69">
        <f t="shared" si="48"/>
        <v>23.2803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49"/>
        <v>0244-20</v>
      </c>
      <c r="AE156" s="99" t="str">
        <f t="shared" si="50"/>
        <v>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 &amp; 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</v>
      </c>
      <c r="AF156" s="96" t="str">
        <f t="shared" si="51"/>
        <v>"C:\Program Files (x86)\AstroGrep\AstroGrep.exe" /spath="%USERPROFILE%\AppData\Local\Temp\OnboardLogs" /stypes="app*4012*20160921*" /stext=" 08:.+((SYSTEM_STATE.+slice.+state.+changed )|(ment ac)|(system.+state.+changed )|(\|lc)|(penalty)|(\[timeout)|(PRM\|1\|D)|(kpr)|(kdp))" /e /r /s</v>
      </c>
      <c r="AG156" s="1" t="str">
        <f t="shared" si="52"/>
        <v>EC</v>
      </c>
      <c r="AH156" s="100" t="str">
        <f t="shared" si="37"/>
        <v>"%USERPROFILE%\Documents\GitHub\eaglep3\Utilities\RefineRTDCRunTimes.py" --tripid 244-20 --locoid 4012 --swversion DE.1.0.7.0 --startMP 204:232955 --initTime 2016-09-21T01:23:41 --startdatetime 2016-09-21T01:26:37 --delay 1 --endMP 204:152 --enddatetime 2016-09-21T02:07:46 --enforcementcount 0 &gt;&gt;C:\Users\stu\Documents\GitHub\eaglep3-reporting\EC\2016-09-20-refined-times.txt</v>
      </c>
      <c r="AI156" s="134" t="str">
        <f t="shared" si="38"/>
        <v>echo {"issue":{"subject":"","project_id":79,"tracker_id":40,"status_id":1,"priority_id":2,"assigned_to_id":23,"start_date":"2016-09-21","description":"","custom_fields":[{"id":1,"name":"Subdivision","value":"EC"},{"id":4,"name":"Milepost","value":"0.0152"},{"id":17,"name":"Train ID","value":"244-20"},{"id":16,"name":"Locomotive ID","value":"4012"},{"id":130,"name":"Impact","value":""},{"id":150,"name":"Time of Event (Mountain Time)","value":"02:07:46"},{"id":151,"name":"Denver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392</v>
      </c>
      <c r="B157" s="7">
        <v>4019</v>
      </c>
      <c r="C157" s="24" t="s">
        <v>106</v>
      </c>
      <c r="D157" s="24" t="s">
        <v>369</v>
      </c>
      <c r="E157" s="15">
        <v>42633.215775462966</v>
      </c>
      <c r="F157" s="15">
        <v>42633.217013888891</v>
      </c>
      <c r="G157" s="7">
        <v>1</v>
      </c>
      <c r="H157" s="15" t="s">
        <v>699</v>
      </c>
      <c r="I157" s="15">
        <v>42633.225949074076</v>
      </c>
      <c r="J157" s="7">
        <v>0</v>
      </c>
      <c r="K157" s="121" t="str">
        <f t="shared" si="39"/>
        <v>4019/4020</v>
      </c>
      <c r="L157" s="24" t="str">
        <f>VLOOKUP(A157,'Trips&amp;Operators'!$C$1:$E$10000,3,FALSE)</f>
        <v>STARKS</v>
      </c>
      <c r="M157" s="6">
        <f t="shared" si="40"/>
        <v>8.9351851856918074E-3</v>
      </c>
      <c r="N157" s="7">
        <f t="shared" si="41"/>
        <v>12.866666667396203</v>
      </c>
      <c r="O157" s="7"/>
      <c r="P157" s="7"/>
      <c r="Q157" s="25"/>
      <c r="R157" s="25"/>
      <c r="S157" s="37">
        <f t="shared" si="42"/>
        <v>1</v>
      </c>
      <c r="T157" s="52" t="str">
        <f t="shared" si="43"/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04:10:43-0600',mode:absolute,to:'2016-09-20 06:25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7" s="54" t="str">
        <f t="shared" si="45"/>
        <v>N</v>
      </c>
      <c r="X157" s="168">
        <f t="shared" si="53"/>
        <v>556</v>
      </c>
      <c r="Y157" s="69">
        <f t="shared" si="46"/>
        <v>5.8630000000000004</v>
      </c>
      <c r="Z157" s="69">
        <f t="shared" si="47"/>
        <v>7.8700000000000006E-2</v>
      </c>
      <c r="AA157" s="69">
        <f t="shared" si="48"/>
        <v>5.7843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49"/>
        <v>0800-20</v>
      </c>
      <c r="AE157" s="99" t="str">
        <f t="shared" si="50"/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57" s="96" t="str">
        <f t="shared" si="51"/>
        <v>"C:\Program Files (x86)\AstroGrep\AstroGrep.exe" /spath="%USERPROFILE%\AppData\Local\Temp\OnboardLogs" /stypes="app*4019*20160920*" /stext=" 11:.+((SYSTEM_STATE.+slice.+state.+changed )|(ment ac)|(system.+state.+changed )|(\|lc)|(penalty)|(\[timeout)|(PRM\|1\|D)|(kpr)|(kdp))" /e /r /s</v>
      </c>
      <c r="AG157" s="1" t="str">
        <f t="shared" si="52"/>
        <v>NW</v>
      </c>
      <c r="AH157" s="100" t="str">
        <f t="shared" si="37"/>
        <v>"%USERPROFILE%\Documents\GitHub\eaglep3\Utilities\RefineRTDCRunTimes.py" --tripid 800-20 --locoid 4019 --swversion DE.1.0.7.0 --startMP 300:58630 --initTime 2016-09-20T05:10:43 --startdatetime 2016-09-20T05:12:30 --delay 1 --endMP 204:787 --enddatetime 2016-09-20T05:25:22 --enforcementcount 0 &gt;&gt;C:\Users\stu\Documents\GitHub\eaglep3-reporting\EC\2016-09-20-refined-times.txt</v>
      </c>
      <c r="AI157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{"issue":{"subject":"","project_id":79,"tracker_id":40,"status_id":1,"priority_id":2,"assigned_to_id":23,"start_date":"2016-09-20","description":"","custom_fields":[{"id":1,"name":"Subdivision","value":"NW"},{"id":4,"name":"Milepost","value":"0.0787"},{"id":17,"name":"Train ID","value":"800-20"},{"id":16,"name":"Locomotive ID","value":"4019"},{"id":130,"name":"Impact","value":""},{"id":150,"name":"Time of Event (Mountain Time)","value":"05:25:22"},{"id":151,"name":"Denver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398</v>
      </c>
      <c r="B158" s="7">
        <v>4020</v>
      </c>
      <c r="C158" s="24" t="s">
        <v>106</v>
      </c>
      <c r="D158" s="24" t="s">
        <v>700</v>
      </c>
      <c r="E158" s="15">
        <v>42633.241400462961</v>
      </c>
      <c r="F158" s="15">
        <v>42633.244074074071</v>
      </c>
      <c r="G158" s="7">
        <v>1</v>
      </c>
      <c r="H158" s="15" t="s">
        <v>701</v>
      </c>
      <c r="I158" s="15">
        <v>42633.253611111111</v>
      </c>
      <c r="J158" s="7">
        <v>0</v>
      </c>
      <c r="K158" s="121" t="str">
        <f t="shared" si="39"/>
        <v>4019/4020</v>
      </c>
      <c r="L158" s="24" t="str">
        <f>VLOOKUP(A158,'Trips&amp;Operators'!$C$1:$E$10000,3,FALSE)</f>
        <v>STARKS</v>
      </c>
      <c r="M158" s="6">
        <f t="shared" si="40"/>
        <v>9.5370370399905369E-3</v>
      </c>
      <c r="N158" s="7">
        <f t="shared" si="41"/>
        <v>13.733333337586373</v>
      </c>
      <c r="O158" s="7"/>
      <c r="P158" s="7"/>
      <c r="Q158" s="25"/>
      <c r="R158" s="25"/>
      <c r="S158" s="37">
        <f t="shared" si="42"/>
        <v>1</v>
      </c>
      <c r="T158" s="52" t="str">
        <f t="shared" si="43"/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04:47:37-0600',mode:absolute,to:'2016-09-20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8" s="54" t="str">
        <f t="shared" si="45"/>
        <v>N</v>
      </c>
      <c r="X158" s="168">
        <f t="shared" si="53"/>
        <v>1</v>
      </c>
      <c r="Y158" s="69">
        <f t="shared" si="46"/>
        <v>0.11</v>
      </c>
      <c r="Z158" s="69">
        <f t="shared" si="47"/>
        <v>5.8912000000000004</v>
      </c>
      <c r="AA158" s="69">
        <f t="shared" si="48"/>
        <v>5.7812000000000001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49"/>
        <v>0801-20</v>
      </c>
      <c r="AE158" s="99" t="str">
        <f t="shared" si="50"/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58" s="96" t="str">
        <f t="shared" si="51"/>
        <v>"C:\Program Files (x86)\AstroGrep\AstroGrep.exe" /spath="%USERPROFILE%\AppData\Local\Temp\OnboardLogs" /stypes="app*4020*20160920*" /stext=" 12:.+((SYSTEM_STATE.+slice.+state.+changed )|(ment ac)|(system.+state.+changed )|(\|lc)|(penalty)|(\[timeout)|(PRM\|1\|D)|(kpr)|(kdp))" /e /r /s</v>
      </c>
      <c r="AG158" s="1" t="str">
        <f t="shared" si="52"/>
        <v>NW</v>
      </c>
      <c r="AH158" s="100" t="str">
        <f t="shared" si="37"/>
        <v>"%USERPROFILE%\Documents\GitHub\eaglep3\Utilities\RefineRTDCRunTimes.py" --tripid 801-20 --locoid 4020 --swversion DE.1.0.7.0 --startMP 204:1100 --initTime 2016-09-20T05:47:37 --startdatetime 2016-09-20T05:51:28 --delay 1 --endMP 300:58912 --enddatetime 2016-09-20T06:05:12 --enforcementcount 0 &gt;&gt;C:\Users\stu\Documents\GitHub\eaglep3-reporting\EC\2016-09-20-refined-times.txt</v>
      </c>
      <c r="AI158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{"issue":{"subject":"","project_id":79,"tracker_id":40,"status_id":1,"priority_id":2,"assigned_to_id":23,"start_date":"2016-09-20","description":"","custom_fields":[{"id":1,"name":"Subdivision","value":"NW"},{"id":4,"name":"Milepost","value":"5.8912"},{"id":17,"name":"Train ID","value":"801-20"},{"id":16,"name":"Locomotive ID","value":"4020"},{"id":130,"name":"Impact","value":""},{"id":150,"name":"Time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403</v>
      </c>
      <c r="B159" s="7">
        <v>4019</v>
      </c>
      <c r="C159" s="24" t="s">
        <v>106</v>
      </c>
      <c r="D159" s="24" t="s">
        <v>702</v>
      </c>
      <c r="E159" s="15">
        <v>42633.254594907405</v>
      </c>
      <c r="F159" s="15">
        <v>42633.255648148152</v>
      </c>
      <c r="G159" s="7">
        <v>1</v>
      </c>
      <c r="H159" s="15" t="s">
        <v>703</v>
      </c>
      <c r="I159" s="15">
        <v>42633.268425925926</v>
      </c>
      <c r="J159" s="7">
        <v>0</v>
      </c>
      <c r="K159" s="121" t="str">
        <f t="shared" si="39"/>
        <v>4019/4020</v>
      </c>
      <c r="L159" s="24" t="str">
        <f>VLOOKUP(A159,'Trips&amp;Operators'!$C$1:$E$10000,3,FALSE)</f>
        <v>STARKS</v>
      </c>
      <c r="M159" s="6">
        <f t="shared" si="40"/>
        <v>1.2777777774317656E-2</v>
      </c>
      <c r="N159" s="7">
        <f t="shared" si="41"/>
        <v>18.399999995017424</v>
      </c>
      <c r="O159" s="7"/>
      <c r="P159" s="7"/>
      <c r="Q159" s="25"/>
      <c r="R159" s="25"/>
      <c r="S159" s="37">
        <f t="shared" si="42"/>
        <v>1</v>
      </c>
      <c r="T159" s="52" t="str">
        <f t="shared" si="43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05:06:37-0600',mode:absolute,to:'2016-09-20 07:26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9" s="54" t="str">
        <f t="shared" si="45"/>
        <v>N</v>
      </c>
      <c r="X159" s="168">
        <f t="shared" si="53"/>
        <v>1</v>
      </c>
      <c r="Y159" s="69">
        <f t="shared" si="46"/>
        <v>5.8589000000000002</v>
      </c>
      <c r="Z159" s="69">
        <f t="shared" si="47"/>
        <v>7.4099999999999999E-2</v>
      </c>
      <c r="AA159" s="69">
        <f t="shared" si="48"/>
        <v>5.7848000000000006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49"/>
        <v>0802-20</v>
      </c>
      <c r="AE159" s="99" t="str">
        <f t="shared" si="50"/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59" s="96" t="str">
        <f t="shared" si="51"/>
        <v>"C:\Program Files (x86)\AstroGrep\AstroGrep.exe" /spath="%USERPROFILE%\AppData\Local\Temp\OnboardLogs" /stypes="app*4019*20160920*" /stext=" 12:.+((SYSTEM_STATE.+slice.+state.+changed )|(ment ac)|(system.+state.+changed )|(\|lc)|(penalty)|(\[timeout)|(PRM\|1\|D)|(kpr)|(kdp))" /e /r /s</v>
      </c>
      <c r="AG159" s="1" t="str">
        <f t="shared" si="52"/>
        <v>NW</v>
      </c>
      <c r="AH159" s="100" t="str">
        <f t="shared" si="37"/>
        <v>"%USERPROFILE%\Documents\GitHub\eaglep3\Utilities\RefineRTDCRunTimes.py" --tripid 802-20 --locoid 4019 --swversion DE.1.0.7.0 --startMP 300:58589 --initTime 2016-09-20T06:06:37 --startdatetime 2016-09-20T06:08:08 --delay 1 --endMP 204:741 --enddatetime 2016-09-20T06:26:32 --enforcementcount 0 &gt;&gt;C:\Users\stu\Documents\GitHub\eaglep3-reporting\EC\2016-09-20-refined-times.txt</v>
      </c>
      <c r="AI159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{"issue":{"subject":"","project_id":79,"tracker_id":40,"status_id":1,"priority_id":2,"assigned_to_id":23,"start_date":"2016-09-20","description":"","custom_fields":[{"id":1,"name":"Subdivision","value":"NW"},{"id":4,"name":"Milepost","value":"0.0741"},{"id":17,"name":"Train ID","value":"802-20"},{"id":16,"name":"Locomotive ID","value":"4019"},{"id":130,"name":"Impact","value":""},{"id":150,"name":"Time of Event (Mountain Time)","value":"06:26:32"},{"id":151,"name":"Denver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401</v>
      </c>
      <c r="B160" s="7">
        <v>4046</v>
      </c>
      <c r="C160" s="24" t="s">
        <v>106</v>
      </c>
      <c r="D160" s="24" t="s">
        <v>358</v>
      </c>
      <c r="E160" s="15">
        <v>42633.252766203703</v>
      </c>
      <c r="F160" s="15">
        <v>42633.264780092592</v>
      </c>
      <c r="G160" s="7">
        <v>2</v>
      </c>
      <c r="H160" s="15" t="s">
        <v>704</v>
      </c>
      <c r="I160" s="15">
        <v>42633.274108796293</v>
      </c>
      <c r="J160" s="7">
        <v>0</v>
      </c>
      <c r="K160" s="121" t="str">
        <f t="shared" si="39"/>
        <v>4045/4046</v>
      </c>
      <c r="L160" s="24" t="str">
        <f>VLOOKUP(A160,'Trips&amp;Operators'!$C$1:$E$10000,3,FALSE)</f>
        <v>LEVIN</v>
      </c>
      <c r="M160" s="6">
        <f t="shared" si="40"/>
        <v>9.3287037016125396E-3</v>
      </c>
      <c r="N160" s="7">
        <f t="shared" si="41"/>
        <v>13.433333330322057</v>
      </c>
      <c r="O160" s="7"/>
      <c r="P160" s="7"/>
      <c r="Q160" s="25"/>
      <c r="R160" s="25"/>
      <c r="S160" s="37">
        <f t="shared" si="42"/>
        <v>1</v>
      </c>
      <c r="T160" s="52" t="str">
        <f t="shared" si="43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05:03:59-0600',mode:absolute,to:'2016-09-20 07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60" s="54" t="str">
        <f t="shared" si="45"/>
        <v>N</v>
      </c>
      <c r="X160" s="168">
        <f t="shared" si="53"/>
        <v>1</v>
      </c>
      <c r="Y160" s="69">
        <f t="shared" si="46"/>
        <v>9.8500000000000004E-2</v>
      </c>
      <c r="Z160" s="69">
        <f t="shared" si="47"/>
        <v>5.8925999999999998</v>
      </c>
      <c r="AA160" s="69">
        <f t="shared" si="48"/>
        <v>5.7941000000000003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49"/>
        <v>0803-20</v>
      </c>
      <c r="AE160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60" s="96" t="str">
        <f t="shared" si="51"/>
        <v>"C:\Program Files (x86)\AstroGrep\AstroGrep.exe" /spath="%USERPROFILE%\AppData\Local\Temp\OnboardLogs" /stypes="app*4046*20160920*" /stext=" 12:.+((SYSTEM_STATE.+slice.+state.+changed )|(ment ac)|(system.+state.+changed )|(\|lc)|(penalty)|(\[timeout)|(PRM\|1\|D)|(kpr)|(kdp))" /e /r /s</v>
      </c>
      <c r="AG160" s="1" t="str">
        <f t="shared" si="52"/>
        <v>NW</v>
      </c>
      <c r="AH160" s="100" t="str">
        <f t="shared" si="37"/>
        <v>"%USERPROFILE%\Documents\GitHub\eaglep3\Utilities\RefineRTDCRunTimes.py" --tripid 803-20 --locoid 4046 --swversion DE.1.0.7.0 --startMP 204:985 --initTime 2016-09-20T06:03:59 --startdatetime 2016-09-20T06:21:17 --delay 2 --endMP 300:58926 --enddatetime 2016-09-20T06:34:43 --enforcementcount 0 &gt;&gt;C:\Users\stu\Documents\GitHub\eaglep3-reporting\EC\2016-09-20-refined-times.txt</v>
      </c>
      <c r="AI160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{"issue":{"subject":"","project_id":79,"tracker_id":40,"status_id":1,"priority_id":2,"assigned_to_id":23,"start_date":"2016-09-20","description":"","custom_fields":[{"id":1,"name":"Subdivision","value":"NW"},{"id":4,"name":"Milepost","value":"5.8926"},{"id":17,"name":"Train ID","value":"803-20"},{"id":16,"name":"Locomotive ID","value":"4046"},{"id":130,"name":"Impact","value":""},{"id":150,"name":"Time of Event (Mountain Time)","value":"06:34:43"},{"id":151,"name":"Denver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408</v>
      </c>
      <c r="B161" s="7">
        <v>4045</v>
      </c>
      <c r="C161" s="24" t="s">
        <v>106</v>
      </c>
      <c r="D161" s="24" t="s">
        <v>705</v>
      </c>
      <c r="E161" s="15">
        <v>42633.275393518517</v>
      </c>
      <c r="F161" s="15">
        <v>42633.276863425926</v>
      </c>
      <c r="G161" s="7">
        <v>1</v>
      </c>
      <c r="H161" s="15" t="s">
        <v>706</v>
      </c>
      <c r="I161" s="15">
        <v>42633.288310185184</v>
      </c>
      <c r="J161" s="7">
        <v>0</v>
      </c>
      <c r="K161" s="121" t="str">
        <f t="shared" si="39"/>
        <v>4045/4046</v>
      </c>
      <c r="L161" s="24" t="str">
        <f>VLOOKUP(A161,'Trips&amp;Operators'!$C$1:$E$10000,3,FALSE)</f>
        <v>LEVIN</v>
      </c>
      <c r="M161" s="6">
        <f t="shared" si="40"/>
        <v>1.1446759257523809E-2</v>
      </c>
      <c r="N161" s="7">
        <f t="shared" si="41"/>
        <v>16.483333330834284</v>
      </c>
      <c r="O161" s="7"/>
      <c r="P161" s="7"/>
      <c r="Q161" s="25"/>
      <c r="R161" s="25"/>
      <c r="S161" s="37">
        <f t="shared" si="42"/>
        <v>1</v>
      </c>
      <c r="T161" s="52" t="str">
        <f t="shared" si="43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05:36:34-0600',mode:absolute,to:'2016-09-20 07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61" s="54" t="str">
        <f t="shared" si="45"/>
        <v>N</v>
      </c>
      <c r="X161" s="168">
        <f t="shared" si="53"/>
        <v>1</v>
      </c>
      <c r="Y161" s="69">
        <f t="shared" si="46"/>
        <v>5.8616999999999999</v>
      </c>
      <c r="Z161" s="69">
        <f t="shared" si="47"/>
        <v>7.3800000000000004E-2</v>
      </c>
      <c r="AA161" s="69">
        <f t="shared" si="48"/>
        <v>5.7878999999999996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49"/>
        <v>0804-20</v>
      </c>
      <c r="AE161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61" s="96" t="str">
        <f t="shared" si="51"/>
        <v>"C:\Program Files (x86)\AstroGrep\AstroGrep.exe" /spath="%USERPROFILE%\AppData\Local\Temp\OnboardLogs" /stypes="app*4045*20160920*" /stext=" 12:.+((SYSTEM_STATE.+slice.+state.+changed )|(ment ac)|(system.+state.+changed )|(\|lc)|(penalty)|(\[timeout)|(PRM\|1\|D)|(kpr)|(kdp))" /e /r /s</v>
      </c>
      <c r="AG161" s="1" t="str">
        <f t="shared" si="52"/>
        <v>NW</v>
      </c>
      <c r="AH161" s="100" t="str">
        <f t="shared" si="37"/>
        <v>"%USERPROFILE%\Documents\GitHub\eaglep3\Utilities\RefineRTDCRunTimes.py" --tripid 804-20 --locoid 4045 --swversion DE.1.0.7.0 --startMP 300:58617 --initTime 2016-09-20T06:36:34 --startdatetime 2016-09-20T06:38:41 --delay 1 --endMP 204:738 --enddatetime 2016-09-20T06:55:10 --enforcementcount 0 &gt;&gt;C:\Users\stu\Documents\GitHub\eaglep3-reporting\EC\2016-09-20-refined-times.txt</v>
      </c>
      <c r="AI161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{"issue":{"subject":"","project_id":79,"tracker_id":40,"status_id":1,"priority_id":2,"assigned_to_id":23,"start_date":"2016-09-20","description":"","custom_fields":[{"id":1,"name":"Subdivision","value":"NW"},{"id":4,"name":"Milepost","value":"0.0738"},{"id":17,"name":"Train ID","value":"804-20"},{"id":16,"name":"Locomotive ID","value":"4045"},{"id":130,"name":"Impact","value":""},{"id":150,"name":"Time of Event (Mountain Time)","value":"06:55:10"},{"id":151,"name":"Denver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410</v>
      </c>
      <c r="B162" s="7">
        <v>4020</v>
      </c>
      <c r="C162" s="24" t="s">
        <v>106</v>
      </c>
      <c r="D162" s="24" t="s">
        <v>707</v>
      </c>
      <c r="E162" s="15">
        <v>42633.282361111109</v>
      </c>
      <c r="F162" s="15">
        <v>42633.285567129627</v>
      </c>
      <c r="G162" s="7">
        <v>1</v>
      </c>
      <c r="H162" s="15" t="s">
        <v>708</v>
      </c>
      <c r="I162" s="15">
        <v>42633.295532407406</v>
      </c>
      <c r="J162" s="7">
        <v>0</v>
      </c>
      <c r="K162" s="121" t="str">
        <f t="shared" si="39"/>
        <v>4019/4020</v>
      </c>
      <c r="L162" s="24" t="str">
        <f>VLOOKUP(A162,'Trips&amp;Operators'!$C$1:$E$10000,3,FALSE)</f>
        <v>STARKS</v>
      </c>
      <c r="M162" s="6">
        <f t="shared" si="40"/>
        <v>9.9652777789742686E-3</v>
      </c>
      <c r="N162" s="7">
        <f t="shared" si="41"/>
        <v>14.350000001722947</v>
      </c>
      <c r="O162" s="7"/>
      <c r="P162" s="7"/>
      <c r="Q162" s="25"/>
      <c r="R162" s="25"/>
      <c r="S162" s="37">
        <f t="shared" si="42"/>
        <v>1</v>
      </c>
      <c r="T162" s="52" t="str">
        <f t="shared" si="43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05:46:36-0600',mode:absolute,to:'2016-09-20 08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2" s="54" t="str">
        <f t="shared" si="45"/>
        <v>N</v>
      </c>
      <c r="X162" s="168">
        <f t="shared" si="53"/>
        <v>1</v>
      </c>
      <c r="Y162" s="69">
        <f t="shared" si="46"/>
        <v>0.1027</v>
      </c>
      <c r="Z162" s="69">
        <f t="shared" si="47"/>
        <v>5.8933</v>
      </c>
      <c r="AA162" s="69">
        <f t="shared" si="48"/>
        <v>5.7906000000000004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49"/>
        <v>0805-20</v>
      </c>
      <c r="AE162" s="99" t="str">
        <f t="shared" si="50"/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62" s="96" t="str">
        <f t="shared" si="51"/>
        <v>"C:\Program Files (x86)\AstroGrep\AstroGrep.exe" /spath="%USERPROFILE%\AppData\Local\Temp\OnboardLogs" /stypes="app*4020*20160920*" /stext=" 13:.+((SYSTEM_STATE.+slice.+state.+changed )|(ment ac)|(system.+state.+changed )|(\|lc)|(penalty)|(\[timeout)|(PRM\|1\|D)|(kpr)|(kdp))" /e /r /s</v>
      </c>
      <c r="AG162" s="1" t="str">
        <f t="shared" si="52"/>
        <v>NW</v>
      </c>
      <c r="AH162" s="100" t="str">
        <f t="shared" si="37"/>
        <v>"%USERPROFILE%\Documents\GitHub\eaglep3\Utilities\RefineRTDCRunTimes.py" --tripid 805-20 --locoid 4020 --swversion DE.1.0.7.0 --startMP 204:1027 --initTime 2016-09-20T06:46:36 --startdatetime 2016-09-20T06:51:13 --delay 1 --endMP 300:58933 --enddatetime 2016-09-20T07:05:34 --enforcementcount 0 &gt;&gt;C:\Users\stu\Documents\GitHub\eaglep3-reporting\EC\2016-09-20-refined-times.txt</v>
      </c>
      <c r="AI162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{"issue":{"subject":"","project_id":79,"tracker_id":40,"status_id":1,"priority_id":2,"assigned_to_id":23,"start_date":"2016-09-20","description":"","custom_fields":[{"id":1,"name":"Subdivision","value":"NW"},{"id":4,"name":"Milepost","value":"5.8933"},{"id":17,"name":"Train ID","value":"805-20"},{"id":16,"name":"Locomotive ID","value":"4020"},{"id":130,"name":"Impact","value":""},{"id":150,"name":"Time of Event (Mountain Time)","value":"07:05:34"},{"id":151,"name":"Denver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415</v>
      </c>
      <c r="B163" s="7">
        <v>4019</v>
      </c>
      <c r="C163" s="24" t="s">
        <v>106</v>
      </c>
      <c r="D163" s="24" t="s">
        <v>709</v>
      </c>
      <c r="E163" s="15">
        <v>42633.296817129631</v>
      </c>
      <c r="F163" s="15">
        <v>42633.297951388886</v>
      </c>
      <c r="G163" s="7">
        <v>1</v>
      </c>
      <c r="H163" s="15" t="s">
        <v>337</v>
      </c>
      <c r="I163" s="15">
        <v>42633.309861111113</v>
      </c>
      <c r="J163" s="7">
        <v>0</v>
      </c>
      <c r="K163" s="121" t="str">
        <f t="shared" si="39"/>
        <v>4019/4020</v>
      </c>
      <c r="L163" s="24" t="str">
        <f>VLOOKUP(A163,'Trips&amp;Operators'!$C$1:$E$10000,3,FALSE)</f>
        <v>STARKS</v>
      </c>
      <c r="M163" s="6">
        <f t="shared" si="40"/>
        <v>1.1909722226846498E-2</v>
      </c>
      <c r="N163" s="7">
        <f t="shared" si="41"/>
        <v>17.150000006658956</v>
      </c>
      <c r="O163" s="7"/>
      <c r="P163" s="7"/>
      <c r="Q163" s="25"/>
      <c r="R163" s="25"/>
      <c r="S163" s="37">
        <f t="shared" si="42"/>
        <v>1</v>
      </c>
      <c r="T163" s="52" t="str">
        <f t="shared" si="43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06:07:25-0600',mode:absolute,to:'2016-09-20 08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3" s="54" t="str">
        <f t="shared" si="45"/>
        <v>N</v>
      </c>
      <c r="X163" s="168">
        <f t="shared" si="53"/>
        <v>1</v>
      </c>
      <c r="Y163" s="69">
        <f t="shared" si="46"/>
        <v>5.8615000000000004</v>
      </c>
      <c r="Z163" s="69">
        <f t="shared" si="47"/>
        <v>7.6600000000000001E-2</v>
      </c>
      <c r="AA163" s="69">
        <f t="shared" si="48"/>
        <v>5.7849000000000004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49"/>
        <v>0806-20</v>
      </c>
      <c r="AE163" s="99" t="str">
        <f t="shared" si="50"/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63" s="96" t="str">
        <f t="shared" si="51"/>
        <v>"C:\Program Files (x86)\AstroGrep\AstroGrep.exe" /spath="%USERPROFILE%\AppData\Local\Temp\OnboardLogs" /stypes="app*4019*20160920*" /stext=" 13:.+((SYSTEM_STATE.+slice.+state.+changed )|(ment ac)|(system.+state.+changed )|(\|lc)|(penalty)|(\[timeout)|(PRM\|1\|D)|(kpr)|(kdp))" /e /r /s</v>
      </c>
      <c r="AG163" s="1" t="str">
        <f t="shared" si="52"/>
        <v>NW</v>
      </c>
      <c r="AH163" s="100" t="str">
        <f t="shared" si="37"/>
        <v>"%USERPROFILE%\Documents\GitHub\eaglep3\Utilities\RefineRTDCRunTimes.py" --tripid 806-20 --locoid 4019 --swversion DE.1.0.7.0 --startMP 300:58615 --initTime 2016-09-20T07:07:25 --startdatetime 2016-09-20T07:09:03 --delay 1 --endMP 204:766 --enddatetime 2016-09-20T07:26:12 --enforcementcount 0 &gt;&gt;C:\Users\stu\Documents\GitHub\eaglep3-reporting\EC\2016-09-20-refined-times.txt</v>
      </c>
      <c r="AI163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{"issue":{"subject":"","project_id":79,"tracker_id":40,"status_id":1,"priority_id":2,"assigned_to_id":23,"start_date":"2016-09-20","description":"","custom_fields":[{"id":1,"name":"Subdivision","value":"NW"},{"id":4,"name":"Milepost","value":"0.0766"},{"id":17,"name":"Train ID","value":"806-20"},{"id":16,"name":"Locomotive ID","value":"4019"},{"id":130,"name":"Impact","value":""},{"id":150,"name":"Time of Event (Mountain Time)","value":"07:26:12"},{"id":151,"name":"Denver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417</v>
      </c>
      <c r="B164" s="7">
        <v>4046</v>
      </c>
      <c r="C164" s="24" t="s">
        <v>106</v>
      </c>
      <c r="D164" s="24" t="s">
        <v>710</v>
      </c>
      <c r="E164" s="15">
        <v>42633.302986111114</v>
      </c>
      <c r="F164" s="15">
        <v>42633.306435185186</v>
      </c>
      <c r="G164" s="7">
        <v>1</v>
      </c>
      <c r="H164" s="15" t="s">
        <v>708</v>
      </c>
      <c r="I164" s="15">
        <v>42633.315324074072</v>
      </c>
      <c r="J164" s="7">
        <v>0</v>
      </c>
      <c r="K164" s="121" t="str">
        <f t="shared" si="39"/>
        <v>4045/4046</v>
      </c>
      <c r="L164" s="24" t="str">
        <f>VLOOKUP(A164,'Trips&amp;Operators'!$C$1:$E$10000,3,FALSE)</f>
        <v>LEVIN</v>
      </c>
      <c r="M164" s="6">
        <f t="shared" si="40"/>
        <v>8.8888888858491555E-3</v>
      </c>
      <c r="N164" s="7">
        <f t="shared" si="41"/>
        <v>12.799999995622784</v>
      </c>
      <c r="O164" s="7"/>
      <c r="P164" s="7"/>
      <c r="Q164" s="25"/>
      <c r="R164" s="25"/>
      <c r="S164" s="37">
        <f t="shared" si="42"/>
        <v>1</v>
      </c>
      <c r="T164" s="52" t="str">
        <f t="shared" si="43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06:16:18-0600',mode:absolute,to:'2016-09-20 08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64" s="54" t="str">
        <f t="shared" si="45"/>
        <v>N</v>
      </c>
      <c r="X164" s="168">
        <f t="shared" si="53"/>
        <v>1</v>
      </c>
      <c r="Y164" s="69">
        <f t="shared" si="46"/>
        <v>0.10299999999999999</v>
      </c>
      <c r="Z164" s="69">
        <f t="shared" si="47"/>
        <v>5.8933</v>
      </c>
      <c r="AA164" s="69">
        <f t="shared" si="48"/>
        <v>5.7903000000000002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49"/>
        <v>0807-20</v>
      </c>
      <c r="AE164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64" s="96" t="str">
        <f t="shared" si="51"/>
        <v>"C:\Program Files (x86)\AstroGrep\AstroGrep.exe" /spath="%USERPROFILE%\AppData\Local\Temp\OnboardLogs" /stypes="app*4046*20160920*" /stext=" 13:.+((SYSTEM_STATE.+slice.+state.+changed )|(ment ac)|(system.+state.+changed )|(\|lc)|(penalty)|(\[timeout)|(PRM\|1\|D)|(kpr)|(kdp))" /e /r /s</v>
      </c>
      <c r="AG164" s="1" t="str">
        <f t="shared" si="52"/>
        <v>NW</v>
      </c>
      <c r="AH164" s="100" t="str">
        <f t="shared" si="37"/>
        <v>"%USERPROFILE%\Documents\GitHub\eaglep3\Utilities\RefineRTDCRunTimes.py" --tripid 807-20 --locoid 4046 --swversion DE.1.0.7.0 --startMP 204:1030 --initTime 2016-09-20T07:16:18 --startdatetime 2016-09-20T07:21:16 --delay 1 --endMP 300:58933 --enddatetime 2016-09-20T07:34:04 --enforcementcount 0 &gt;&gt;C:\Users\stu\Documents\GitHub\eaglep3-reporting\EC\2016-09-20-refined-times.txt</v>
      </c>
      <c r="AI164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{"issue":{"subject":"","project_id":79,"tracker_id":40,"status_id":1,"priority_id":2,"assigned_to_id":23,"start_date":"2016-09-20","description":"","custom_fields":[{"id":1,"name":"Subdivision","value":"NW"},{"id":4,"name":"Milepost","value":"5.8933"},{"id":17,"name":"Train ID","value":"807-20"},{"id":16,"name":"Locomotive ID","value":"4046"},{"id":130,"name":"Impact","value":""},{"id":150,"name":"Time of Event (Mountain Time)","value":"07:34:04"},{"id":151,"name":"Denver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420</v>
      </c>
      <c r="B165" s="7">
        <v>4045</v>
      </c>
      <c r="C165" s="24" t="s">
        <v>106</v>
      </c>
      <c r="D165" s="24" t="s">
        <v>705</v>
      </c>
      <c r="E165" s="15">
        <v>42633.316678240742</v>
      </c>
      <c r="F165" s="15">
        <v>42633.317986111113</v>
      </c>
      <c r="G165" s="7">
        <v>1</v>
      </c>
      <c r="H165" s="15" t="s">
        <v>711</v>
      </c>
      <c r="I165" s="15">
        <v>42633.330497685187</v>
      </c>
      <c r="J165" s="7">
        <v>0</v>
      </c>
      <c r="K165" s="121" t="str">
        <f t="shared" si="39"/>
        <v>4045/4046</v>
      </c>
      <c r="L165" s="24" t="str">
        <f>VLOOKUP(A165,'Trips&amp;Operators'!$C$1:$E$10000,3,FALSE)</f>
        <v>LEVIN</v>
      </c>
      <c r="M165" s="6">
        <f t="shared" si="40"/>
        <v>1.2511574073869269E-2</v>
      </c>
      <c r="N165" s="7">
        <f t="shared" si="41"/>
        <v>18.016666666371748</v>
      </c>
      <c r="O165" s="7"/>
      <c r="P165" s="7"/>
      <c r="Q165" s="25"/>
      <c r="R165" s="25"/>
      <c r="S165" s="37">
        <f t="shared" si="42"/>
        <v>1</v>
      </c>
      <c r="T165" s="52" t="str">
        <f t="shared" si="43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06:36:01-0600',mode:absolute,to:'2016-09-20 08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65" s="54" t="str">
        <f t="shared" si="45"/>
        <v>N</v>
      </c>
      <c r="X165" s="168">
        <f t="shared" si="53"/>
        <v>1</v>
      </c>
      <c r="Y165" s="69">
        <f t="shared" si="46"/>
        <v>5.8616999999999999</v>
      </c>
      <c r="Z165" s="69">
        <f t="shared" si="47"/>
        <v>7.1999999999999995E-2</v>
      </c>
      <c r="AA165" s="69">
        <f t="shared" si="48"/>
        <v>5.7896999999999998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49"/>
        <v>0808-20</v>
      </c>
      <c r="AE165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65" s="96" t="str">
        <f t="shared" si="51"/>
        <v>"C:\Program Files (x86)\AstroGrep\AstroGrep.exe" /spath="%USERPROFILE%\AppData\Local\Temp\OnboardLogs" /stypes="app*4045*20160920*" /stext=" 13:.+((SYSTEM_STATE.+slice.+state.+changed )|(ment ac)|(system.+state.+changed )|(\|lc)|(penalty)|(\[timeout)|(PRM\|1\|D)|(kpr)|(kdp))" /e /r /s</v>
      </c>
      <c r="AG165" s="1" t="str">
        <f t="shared" si="52"/>
        <v>NW</v>
      </c>
      <c r="AH165" s="100" t="str">
        <f t="shared" si="37"/>
        <v>"%USERPROFILE%\Documents\GitHub\eaglep3\Utilities\RefineRTDCRunTimes.py" --tripid 808-20 --locoid 4045 --swversion DE.1.0.7.0 --startMP 300:58617 --initTime 2016-09-20T07:36:01 --startdatetime 2016-09-20T07:37:54 --delay 1 --endMP 204:720 --enddatetime 2016-09-20T07:55:55 --enforcementcount 0 &gt;&gt;C:\Users\stu\Documents\GitHub\eaglep3-reporting\EC\2016-09-20-refined-times.txt</v>
      </c>
      <c r="AI165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{"issue":{"subject":"","project_id":79,"tracker_id":40,"status_id":1,"priority_id":2,"assigned_to_id":23,"start_date":"2016-09-20","description":"","custom_fields":[{"id":1,"name":"Subdivision","value":"NW"},{"id":4,"name":"Milepost","value":"0.072"},{"id":17,"name":"Train ID","value":"808-20"},{"id":16,"name":"Locomotive ID","value":"4045"},{"id":130,"name":"Impact","value":""},{"id":150,"name":"Time of Event (Mountain Time)","value":"07:55:55"},{"id":151,"name":"Denver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423</v>
      </c>
      <c r="B166" s="7">
        <v>4020</v>
      </c>
      <c r="C166" s="24" t="s">
        <v>106</v>
      </c>
      <c r="D166" s="24" t="s">
        <v>712</v>
      </c>
      <c r="E166" s="15">
        <v>42633.322604166664</v>
      </c>
      <c r="F166" s="15">
        <v>42633.327233796299</v>
      </c>
      <c r="G166" s="7">
        <v>1</v>
      </c>
      <c r="H166" s="15" t="s">
        <v>285</v>
      </c>
      <c r="I166" s="15">
        <v>42633.336898148147</v>
      </c>
      <c r="J166" s="7">
        <v>0</v>
      </c>
      <c r="K166" s="121" t="str">
        <f t="shared" si="39"/>
        <v>4019/4020</v>
      </c>
      <c r="L166" s="24" t="str">
        <f>VLOOKUP(A166,'Trips&amp;Operators'!$C$1:$E$10000,3,FALSE)</f>
        <v>STARKS</v>
      </c>
      <c r="M166" s="6">
        <f t="shared" si="40"/>
        <v>9.6643518481869251E-3</v>
      </c>
      <c r="N166" s="7">
        <f t="shared" si="41"/>
        <v>13.916666661389172</v>
      </c>
      <c r="O166" s="7"/>
      <c r="P166" s="7"/>
      <c r="Q166" s="25"/>
      <c r="R166" s="25"/>
      <c r="S166" s="37">
        <f t="shared" si="42"/>
        <v>1</v>
      </c>
      <c r="T166" s="52" t="str">
        <f t="shared" si="43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06:44:33-0600',mode:absolute,to:'2016-09-20 09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6" s="54" t="str">
        <f t="shared" si="45"/>
        <v>N</v>
      </c>
      <c r="X166" s="168">
        <f t="shared" si="53"/>
        <v>1</v>
      </c>
      <c r="Y166" s="69">
        <f t="shared" si="46"/>
        <v>0.106</v>
      </c>
      <c r="Z166" s="69">
        <f t="shared" si="47"/>
        <v>5.8936999999999999</v>
      </c>
      <c r="AA166" s="69">
        <f t="shared" si="48"/>
        <v>5.7877000000000001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49"/>
        <v>0809-20</v>
      </c>
      <c r="AE166" s="99" t="str">
        <f t="shared" si="50"/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66" s="96" t="str">
        <f t="shared" si="51"/>
        <v>"C:\Program Files (x86)\AstroGrep\AstroGrep.exe" /spath="%USERPROFILE%\AppData\Local\Temp\OnboardLogs" /stypes="app*4020*20160920*" /stext=" 14:.+((SYSTEM_STATE.+slice.+state.+changed )|(ment ac)|(system.+state.+changed )|(\|lc)|(penalty)|(\[timeout)|(PRM\|1\|D)|(kpr)|(kdp))" /e /r /s</v>
      </c>
      <c r="AG166" s="1" t="str">
        <f t="shared" si="52"/>
        <v>NW</v>
      </c>
      <c r="AH166" s="100" t="str">
        <f t="shared" si="37"/>
        <v>"%USERPROFILE%\Documents\GitHub\eaglep3\Utilities\RefineRTDCRunTimes.py" --tripid 809-20 --locoid 4020 --swversion DE.1.0.7.0 --startMP 204:1060 --initTime 2016-09-20T07:44:33 --startdatetime 2016-09-20T07:51:13 --delay 1 --endMP 300:58937 --enddatetime 2016-09-20T08:05:08 --enforcementcount 0 &gt;&gt;C:\Users\stu\Documents\GitHub\eaglep3-reporting\EC\2016-09-20-refined-times.txt</v>
      </c>
      <c r="AI166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{"issue":{"subject":"","project_id":79,"tracker_id":40,"status_id":1,"priority_id":2,"assigned_to_id":23,"start_date":"2016-09-20","description":"","custom_fields":[{"id":1,"name":"Subdivision","value":"NW"},{"id":4,"name":"Milepost","value":"5.8937"},{"id":17,"name":"Train ID","value":"809-20"},{"id":16,"name":"Locomotive ID","value":"4020"},{"id":130,"name":"Impact","value":""},{"id":150,"name":"Time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427</v>
      </c>
      <c r="B167" s="7">
        <v>4019</v>
      </c>
      <c r="C167" s="24" t="s">
        <v>106</v>
      </c>
      <c r="D167" s="24" t="s">
        <v>713</v>
      </c>
      <c r="E167" s="15">
        <v>42633.338310185187</v>
      </c>
      <c r="F167" s="15">
        <v>42633.339641203704</v>
      </c>
      <c r="G167" s="7">
        <v>1</v>
      </c>
      <c r="H167" s="15" t="s">
        <v>714</v>
      </c>
      <c r="I167" s="15">
        <v>42633.351712962962</v>
      </c>
      <c r="J167" s="7">
        <v>0</v>
      </c>
      <c r="K167" s="121" t="str">
        <f t="shared" si="39"/>
        <v>4019/4020</v>
      </c>
      <c r="L167" s="24" t="str">
        <f>VLOOKUP(A167,'Trips&amp;Operators'!$C$1:$E$10000,3,FALSE)</f>
        <v>STARKS</v>
      </c>
      <c r="M167" s="6">
        <f t="shared" si="40"/>
        <v>1.2071759258105885E-2</v>
      </c>
      <c r="N167" s="7">
        <f t="shared" si="41"/>
        <v>17.383333331672475</v>
      </c>
      <c r="O167" s="7"/>
      <c r="P167" s="7"/>
      <c r="Q167" s="25"/>
      <c r="R167" s="25"/>
      <c r="S167" s="37">
        <f t="shared" si="42"/>
        <v>1</v>
      </c>
      <c r="T167" s="52" t="str">
        <f t="shared" si="43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07:07:10-0600',mode:absolute,to:'2016-09-20 09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7" s="54" t="str">
        <f t="shared" si="45"/>
        <v>N</v>
      </c>
      <c r="X167" s="168">
        <f t="shared" si="53"/>
        <v>1</v>
      </c>
      <c r="Y167" s="69">
        <f t="shared" si="46"/>
        <v>5.8623000000000003</v>
      </c>
      <c r="Z167" s="69">
        <f t="shared" si="47"/>
        <v>8.0799999999999997E-2</v>
      </c>
      <c r="AA167" s="69">
        <f t="shared" si="48"/>
        <v>5.7815000000000003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49"/>
        <v>0810-20</v>
      </c>
      <c r="AE167" s="99" t="str">
        <f t="shared" si="50"/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67" s="96" t="str">
        <f t="shared" si="51"/>
        <v>"C:\Program Files (x86)\AstroGrep\AstroGrep.exe" /spath="%USERPROFILE%\AppData\Local\Temp\OnboardLogs" /stypes="app*4019*20160920*" /stext=" 14:.+((SYSTEM_STATE.+slice.+state.+changed )|(ment ac)|(system.+state.+changed )|(\|lc)|(penalty)|(\[timeout)|(PRM\|1\|D)|(kpr)|(kdp))" /e /r /s</v>
      </c>
      <c r="AG167" s="1" t="str">
        <f t="shared" si="52"/>
        <v>NW</v>
      </c>
      <c r="AH167" s="100" t="str">
        <f t="shared" si="37"/>
        <v>"%USERPROFILE%\Documents\GitHub\eaglep3\Utilities\RefineRTDCRunTimes.py" --tripid 810-20 --locoid 4019 --swversion DE.1.0.7.0 --startMP 300:58623 --initTime 2016-09-20T08:07:10 --startdatetime 2016-09-20T08:09:05 --delay 1 --endMP 204:808 --enddatetime 2016-09-20T08:26:28 --enforcementcount 0 &gt;&gt;C:\Users\stu\Documents\GitHub\eaglep3-reporting\EC\2016-09-20-refined-times.txt</v>
      </c>
      <c r="AI167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{"issue":{"subject":"","project_id":79,"tracker_id":40,"status_id":1,"priority_id":2,"assigned_to_id":23,"start_date":"2016-09-20","description":"","custom_fields":[{"id":1,"name":"Subdivision","value":"NW"},{"id":4,"name":"Milepost","value":"0.0808"},{"id":17,"name":"Train ID","value":"810-20"},{"id":16,"name":"Locomotive ID","value":"4019"},{"id":130,"name":"Impact","value":""},{"id":150,"name":"Time of Event (Mountain Time)","value":"08:26:28"},{"id":151,"name":"Denver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429</v>
      </c>
      <c r="B168" s="7">
        <v>4046</v>
      </c>
      <c r="C168" s="24" t="s">
        <v>106</v>
      </c>
      <c r="D168" s="24" t="s">
        <v>715</v>
      </c>
      <c r="E168" s="15">
        <v>42633.345185185186</v>
      </c>
      <c r="F168" s="15">
        <v>42633.348217592589</v>
      </c>
      <c r="G168" s="7">
        <v>1</v>
      </c>
      <c r="H168" s="15" t="s">
        <v>716</v>
      </c>
      <c r="I168" s="15">
        <v>42633.356898148151</v>
      </c>
      <c r="J168" s="7">
        <v>0</v>
      </c>
      <c r="K168" s="121" t="str">
        <f t="shared" si="39"/>
        <v>4045/4046</v>
      </c>
      <c r="L168" s="24" t="str">
        <f>VLOOKUP(A168,'Trips&amp;Operators'!$C$1:$E$10000,3,FALSE)</f>
        <v>LEVIN</v>
      </c>
      <c r="M168" s="6">
        <f t="shared" si="40"/>
        <v>8.6805555620230734E-3</v>
      </c>
      <c r="N168" s="7">
        <f t="shared" si="41"/>
        <v>12.500000009313226</v>
      </c>
      <c r="O168" s="7"/>
      <c r="P168" s="7"/>
      <c r="Q168" s="25"/>
      <c r="R168" s="25"/>
      <c r="S168" s="37">
        <f t="shared" si="42"/>
        <v>1</v>
      </c>
      <c r="T168" s="52" t="str">
        <f t="shared" si="43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07:17:04-0600',mode:absolute,to:'2016-09-20 09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68" s="54" t="str">
        <f t="shared" si="45"/>
        <v>N</v>
      </c>
      <c r="X168" s="168">
        <f t="shared" si="53"/>
        <v>1</v>
      </c>
      <c r="Y168" s="69">
        <f t="shared" si="46"/>
        <v>9.9699999999999997E-2</v>
      </c>
      <c r="Z168" s="69">
        <f t="shared" si="47"/>
        <v>5.8935000000000004</v>
      </c>
      <c r="AA168" s="69">
        <f t="shared" si="48"/>
        <v>5.7938000000000001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49"/>
        <v>0811-20</v>
      </c>
      <c r="AE168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68" s="96" t="str">
        <f t="shared" si="51"/>
        <v>"C:\Program Files (x86)\AstroGrep\AstroGrep.exe" /spath="%USERPROFILE%\AppData\Local\Temp\OnboardLogs" /stypes="app*4046*20160920*" /stext=" 14:.+((SYSTEM_STATE.+slice.+state.+changed )|(ment ac)|(system.+state.+changed )|(\|lc)|(penalty)|(\[timeout)|(PRM\|1\|D)|(kpr)|(kdp))" /e /r /s</v>
      </c>
      <c r="AG168" s="1" t="str">
        <f t="shared" si="52"/>
        <v>NW</v>
      </c>
      <c r="AH168" s="100" t="str">
        <f t="shared" si="37"/>
        <v>"%USERPROFILE%\Documents\GitHub\eaglep3\Utilities\RefineRTDCRunTimes.py" --tripid 811-20 --locoid 4046 --swversion DE.1.0.7.0 --startMP 204:997 --initTime 2016-09-20T08:17:04 --startdatetime 2016-09-20T08:21:26 --delay 1 --endMP 300:58935 --enddatetime 2016-09-20T08:33:56 --enforcementcount 0 &gt;&gt;C:\Users\stu\Documents\GitHub\eaglep3-reporting\EC\2016-09-20-refined-times.txt</v>
      </c>
      <c r="AI168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{"issue":{"subject":"","project_id":79,"tracker_id":40,"status_id":1,"priority_id":2,"assigned_to_id":23,"start_date":"2016-09-20","description":"","custom_fields":[{"id":1,"name":"Subdivision","value":"NW"},{"id":4,"name":"Milepost","value":"5.8935"},{"id":17,"name":"Train ID","value":"811-20"},{"id":16,"name":"Locomotive ID","value":"4046"},{"id":130,"name":"Impact","value":""},{"id":150,"name":"Time of Event (Mountain Time)","value":"08:33:56"},{"id":151,"name":"Denver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433</v>
      </c>
      <c r="B169" s="7">
        <v>4045</v>
      </c>
      <c r="C169" s="24" t="s">
        <v>106</v>
      </c>
      <c r="D169" s="24" t="s">
        <v>709</v>
      </c>
      <c r="E169" s="15">
        <v>42633.358124999999</v>
      </c>
      <c r="F169" s="15">
        <v>42633.359375</v>
      </c>
      <c r="G169" s="7">
        <v>1</v>
      </c>
      <c r="H169" s="15" t="s">
        <v>717</v>
      </c>
      <c r="I169" s="15">
        <v>42633.373773148145</v>
      </c>
      <c r="J169" s="7">
        <v>0</v>
      </c>
      <c r="K169" s="121" t="str">
        <f t="shared" si="39"/>
        <v>4045/4046</v>
      </c>
      <c r="L169" s="24" t="str">
        <f>VLOOKUP(A169,'Trips&amp;Operators'!$C$1:$E$10000,3,FALSE)</f>
        <v>LEVIN</v>
      </c>
      <c r="M169" s="6">
        <f t="shared" si="40"/>
        <v>1.4398148145119194E-2</v>
      </c>
      <c r="N169" s="7">
        <f t="shared" si="41"/>
        <v>20.733333328971639</v>
      </c>
      <c r="O169" s="7"/>
      <c r="P169" s="7"/>
      <c r="Q169" s="25"/>
      <c r="R169" s="25"/>
      <c r="S169" s="37">
        <f t="shared" si="42"/>
        <v>1</v>
      </c>
      <c r="T169" s="52" t="str">
        <f t="shared" si="43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07:35:42-0600',mode:absolute,to:'2016-09-20 09:58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69" s="54" t="str">
        <f t="shared" si="45"/>
        <v>N</v>
      </c>
      <c r="X169" s="168">
        <f t="shared" si="53"/>
        <v>1</v>
      </c>
      <c r="Y169" s="69">
        <f t="shared" si="46"/>
        <v>5.8615000000000004</v>
      </c>
      <c r="Z169" s="69">
        <f t="shared" si="47"/>
        <v>7.22E-2</v>
      </c>
      <c r="AA169" s="69">
        <f t="shared" si="48"/>
        <v>5.7893000000000008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49"/>
        <v>0812-20</v>
      </c>
      <c r="AE169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69" s="96" t="str">
        <f t="shared" si="51"/>
        <v>"C:\Program Files (x86)\AstroGrep\AstroGrep.exe" /spath="%USERPROFILE%\AppData\Local\Temp\OnboardLogs" /stypes="app*4045*20160920*" /stext=" 14:.+((SYSTEM_STATE.+slice.+state.+changed )|(ment ac)|(system.+state.+changed )|(\|lc)|(penalty)|(\[timeout)|(PRM\|1\|D)|(kpr)|(kdp))" /e /r /s</v>
      </c>
      <c r="AG169" s="1" t="str">
        <f t="shared" si="52"/>
        <v>NW</v>
      </c>
      <c r="AH169" s="100" t="str">
        <f t="shared" si="37"/>
        <v>"%USERPROFILE%\Documents\GitHub\eaglep3\Utilities\RefineRTDCRunTimes.py" --tripid 812-20 --locoid 4045 --swversion DE.1.0.7.0 --startMP 300:58615 --initTime 2016-09-20T08:35:42 --startdatetime 2016-09-20T08:37:30 --delay 1 --endMP 204:722 --enddatetime 2016-09-20T08:58:14 --enforcementcount 0 &gt;&gt;C:\Users\stu\Documents\GitHub\eaglep3-reporting\EC\2016-09-20-refined-times.txt</v>
      </c>
      <c r="AI169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{"issue":{"subject":"","project_id":79,"tracker_id":40,"status_id":1,"priority_id":2,"assigned_to_id":23,"start_date":"2016-09-20","description":"","custom_fields":[{"id":1,"name":"Subdivision","value":"NW"},{"id":4,"name":"Milepost","value":"0.0722"},{"id":17,"name":"Train ID","value":"812-20"},{"id":16,"name":"Locomotive ID","value":"4045"},{"id":130,"name":"Impact","value":""},{"id":150,"name":"Time of Event (Mountain Time)","value":"08:58:14"},{"id":151,"name":"Denver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440</v>
      </c>
      <c r="B170" s="7">
        <v>4046</v>
      </c>
      <c r="C170" s="24" t="s">
        <v>106</v>
      </c>
      <c r="D170" s="24" t="s">
        <v>718</v>
      </c>
      <c r="E170" s="15">
        <v>42633.386435185188</v>
      </c>
      <c r="F170" s="15">
        <v>42633.389780092592</v>
      </c>
      <c r="G170" s="7">
        <v>1</v>
      </c>
      <c r="H170" s="15" t="s">
        <v>719</v>
      </c>
      <c r="I170" s="15">
        <v>42633.398738425924</v>
      </c>
      <c r="J170" s="7">
        <v>0</v>
      </c>
      <c r="K170" s="121" t="str">
        <f t="shared" si="39"/>
        <v>4045/4046</v>
      </c>
      <c r="L170" s="24" t="str">
        <f>VLOOKUP(A170,'Trips&amp;Operators'!$C$1:$E$10000,3,FALSE)</f>
        <v>LEVIN</v>
      </c>
      <c r="M170" s="6">
        <f t="shared" si="40"/>
        <v>8.9583333319751546E-3</v>
      </c>
      <c r="N170" s="7">
        <f t="shared" si="41"/>
        <v>12.899999998044223</v>
      </c>
      <c r="O170" s="7"/>
      <c r="P170" s="7"/>
      <c r="Q170" s="25"/>
      <c r="R170" s="25"/>
      <c r="S170" s="37">
        <f t="shared" si="42"/>
        <v>1</v>
      </c>
      <c r="T170" s="52" t="str">
        <f t="shared" si="43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08:16:28-0600',mode:absolute,to:'2016-09-20 10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0" s="54" t="str">
        <f t="shared" si="45"/>
        <v>N</v>
      </c>
      <c r="X170" s="168">
        <f t="shared" si="53"/>
        <v>1</v>
      </c>
      <c r="Y170" s="69">
        <f t="shared" si="46"/>
        <v>0.1004</v>
      </c>
      <c r="Z170" s="69">
        <f t="shared" si="47"/>
        <v>5.8929</v>
      </c>
      <c r="AA170" s="69">
        <f t="shared" si="48"/>
        <v>5.7925000000000004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49"/>
        <v>0813-20</v>
      </c>
      <c r="AE170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70" s="96" t="str">
        <f t="shared" si="51"/>
        <v>"C:\Program Files (x86)\AstroGrep\AstroGrep.exe" /spath="%USERPROFILE%\AppData\Local\Temp\OnboardLogs" /stypes="app*4046*20160920*" /stext=" 15:.+((SYSTEM_STATE.+slice.+state.+changed )|(ment ac)|(system.+state.+changed )|(\|lc)|(penalty)|(\[timeout)|(PRM\|1\|D)|(kpr)|(kdp))" /e /r /s</v>
      </c>
      <c r="AG170" s="1" t="str">
        <f t="shared" si="52"/>
        <v>NW</v>
      </c>
      <c r="AH170" s="100" t="str">
        <f t="shared" si="37"/>
        <v>"%USERPROFILE%\Documents\GitHub\eaglep3\Utilities\RefineRTDCRunTimes.py" --tripid 813-20 --locoid 4046 --swversion DE.1.0.7.0 --startMP 204:1004 --initTime 2016-09-20T09:16:28 --startdatetime 2016-09-20T09:21:17 --delay 1 --endMP 300:58929 --enddatetime 2016-09-20T09:34:11 --enforcementcount 0 &gt;&gt;C:\Users\stu\Documents\GitHub\eaglep3-reporting\EC\2016-09-20-refined-times.txt</v>
      </c>
      <c r="AI170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{"issue":{"subject":"","project_id":79,"tracker_id":40,"status_id":1,"priority_id":2,"assigned_to_id":23,"start_date":"2016-09-20","description":"","custom_fields":[{"id":1,"name":"Subdivision","value":"NW"},{"id":4,"name":"Milepost","value":"5.8929"},{"id":17,"name":"Train ID","value":"813-20"},{"id":16,"name":"Locomotive ID","value":"4046"},{"id":130,"name":"Impact","value":""},{"id":150,"name":"Time of Event (Mountain Time)","value":"09:34:11"},{"id":151,"name":"Denver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444</v>
      </c>
      <c r="B171" s="7">
        <v>4045</v>
      </c>
      <c r="C171" s="24" t="s">
        <v>106</v>
      </c>
      <c r="D171" s="24" t="s">
        <v>296</v>
      </c>
      <c r="E171" s="15">
        <v>42633.399687500001</v>
      </c>
      <c r="F171" s="15">
        <v>42633.400914351849</v>
      </c>
      <c r="G171" s="7">
        <v>1</v>
      </c>
      <c r="H171" s="15" t="s">
        <v>720</v>
      </c>
      <c r="I171" s="15">
        <v>42633.413611111115</v>
      </c>
      <c r="J171" s="7">
        <v>0</v>
      </c>
      <c r="K171" s="121" t="str">
        <f t="shared" si="39"/>
        <v>4045/4046</v>
      </c>
      <c r="L171" s="24" t="str">
        <f>VLOOKUP(A171,'Trips&amp;Operators'!$C$1:$E$10000,3,FALSE)</f>
        <v>LEVIN</v>
      </c>
      <c r="M171" s="6">
        <f t="shared" si="40"/>
        <v>1.2696759265963919E-2</v>
      </c>
      <c r="N171" s="7">
        <f t="shared" si="41"/>
        <v>18.283333342988044</v>
      </c>
      <c r="O171" s="7"/>
      <c r="P171" s="7"/>
      <c r="Q171" s="25"/>
      <c r="R171" s="25"/>
      <c r="S171" s="37">
        <f t="shared" si="42"/>
        <v>1</v>
      </c>
      <c r="T171" s="52" t="str">
        <f t="shared" si="43"/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08:35:33-0600',mode:absolute,to:'2016-09-20 10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71" s="54" t="str">
        <f t="shared" si="45"/>
        <v>N</v>
      </c>
      <c r="X171" s="168">
        <f t="shared" si="53"/>
        <v>1</v>
      </c>
      <c r="Y171" s="69">
        <f t="shared" si="46"/>
        <v>5.8619000000000003</v>
      </c>
      <c r="Z171" s="69">
        <f t="shared" si="47"/>
        <v>6.7699999999999996E-2</v>
      </c>
      <c r="AA171" s="69">
        <f t="shared" si="48"/>
        <v>5.7942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49"/>
        <v>0814-20</v>
      </c>
      <c r="AE171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71" s="96" t="str">
        <f t="shared" si="51"/>
        <v>"C:\Program Files (x86)\AstroGrep\AstroGrep.exe" /spath="%USERPROFILE%\AppData\Local\Temp\OnboardLogs" /stypes="app*4045*20160920*" /stext=" 15:.+((SYSTEM_STATE.+slice.+state.+changed )|(ment ac)|(system.+state.+changed )|(\|lc)|(penalty)|(\[timeout)|(PRM\|1\|D)|(kpr)|(kdp))" /e /r /s</v>
      </c>
      <c r="AG171" s="1" t="str">
        <f t="shared" si="52"/>
        <v>NW</v>
      </c>
      <c r="AH171" s="100" t="str">
        <f t="shared" si="37"/>
        <v>"%USERPROFILE%\Documents\GitHub\eaglep3\Utilities\RefineRTDCRunTimes.py" --tripid 814-20 --locoid 4045 --swversion DE.1.0.7.0 --startMP 300:58619 --initTime 2016-09-20T09:35:33 --startdatetime 2016-09-20T09:37:19 --delay 1 --endMP 204:677 --enddatetime 2016-09-20T09:55:36 --enforcementcount 0 &gt;&gt;C:\Users\stu\Documents\GitHub\eaglep3-reporting\EC\2016-09-20-refined-times.txt</v>
      </c>
      <c r="AI171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{"issue":{"subject":"","project_id":79,"tracker_id":40,"status_id":1,"priority_id":2,"assigned_to_id":23,"start_date":"2016-09-20","description":"","custom_fields":[{"id":1,"name":"Subdivision","value":"NW"},{"id":4,"name":"Milepost","value":"0.0677"},{"id":17,"name":"Train ID","value":"814-20"},{"id":16,"name":"Locomotive ID","value":"4045"},{"id":130,"name":"Impact","value":""},{"id":150,"name":"Time of Event (Mountain Time)","value":"09:55:36"},{"id":151,"name":"Denver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451</v>
      </c>
      <c r="B172" s="7">
        <v>4046</v>
      </c>
      <c r="C172" s="24" t="s">
        <v>106</v>
      </c>
      <c r="D172" s="24" t="s">
        <v>358</v>
      </c>
      <c r="E172" s="15">
        <v>42633.429305555554</v>
      </c>
      <c r="F172" s="15">
        <v>42633.431435185186</v>
      </c>
      <c r="G172" s="7">
        <v>1</v>
      </c>
      <c r="H172" s="15" t="s">
        <v>721</v>
      </c>
      <c r="I172" s="15">
        <v>42633.440740740742</v>
      </c>
      <c r="J172" s="7">
        <v>0</v>
      </c>
      <c r="K172" s="121" t="str">
        <f t="shared" si="39"/>
        <v>4045/4046</v>
      </c>
      <c r="L172" s="24" t="str">
        <f>VLOOKUP(A172,'Trips&amp;Operators'!$C$1:$E$10000,3,FALSE)</f>
        <v>LEVIN</v>
      </c>
      <c r="M172" s="6">
        <f t="shared" si="40"/>
        <v>9.3055555553291924E-3</v>
      </c>
      <c r="N172" s="7">
        <f t="shared" si="41"/>
        <v>13.399999999674037</v>
      </c>
      <c r="O172" s="7"/>
      <c r="P172" s="7"/>
      <c r="Q172" s="25"/>
      <c r="R172" s="25"/>
      <c r="S172" s="37">
        <f t="shared" si="42"/>
        <v>1</v>
      </c>
      <c r="T172" s="52" t="str">
        <f t="shared" si="43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09:18:12-0600',mode:absolute,to:'2016-09-20 11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2" s="54" t="str">
        <f t="shared" si="45"/>
        <v>N</v>
      </c>
      <c r="X172" s="168">
        <f t="shared" si="53"/>
        <v>1</v>
      </c>
      <c r="Y172" s="69">
        <f t="shared" si="46"/>
        <v>9.8500000000000004E-2</v>
      </c>
      <c r="Z172" s="69">
        <f t="shared" si="47"/>
        <v>5.8930999999999996</v>
      </c>
      <c r="AA172" s="69">
        <f t="shared" si="48"/>
        <v>5.7946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49"/>
        <v>0815-20</v>
      </c>
      <c r="AE172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72" s="96" t="str">
        <f t="shared" si="51"/>
        <v>"C:\Program Files (x86)\AstroGrep\AstroGrep.exe" /spath="%USERPROFILE%\AppData\Local\Temp\OnboardLogs" /stypes="app*4046*20160920*" /stext=" 16:.+((SYSTEM_STATE.+slice.+state.+changed )|(ment ac)|(system.+state.+changed )|(\|lc)|(penalty)|(\[timeout)|(PRM\|1\|D)|(kpr)|(kdp))" /e /r /s</v>
      </c>
      <c r="AG172" s="1" t="str">
        <f t="shared" si="52"/>
        <v>NW</v>
      </c>
      <c r="AH172" s="100" t="str">
        <f t="shared" si="37"/>
        <v>"%USERPROFILE%\Documents\GitHub\eaglep3\Utilities\RefineRTDCRunTimes.py" --tripid 815-20 --locoid 4046 --swversion DE.1.0.7.0 --startMP 204:985 --initTime 2016-09-20T10:18:12 --startdatetime 2016-09-20T10:21:16 --delay 1 --endMP 300:58931 --enddatetime 2016-09-20T10:34:40 --enforcementcount 0 &gt;&gt;C:\Users\stu\Documents\GitHub\eaglep3-reporting\EC\2016-09-20-refined-times.txt</v>
      </c>
      <c r="AI172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{"issue":{"subject":"","project_id":79,"tracker_id":40,"status_id":1,"priority_id":2,"assigned_to_id":23,"start_date":"2016-09-20","description":"","custom_fields":[{"id":1,"name":"Subdivision","value":"NW"},{"id":4,"name":"Milepost","value":"5.8931"},{"id":17,"name":"Train ID","value":"815-20"},{"id":16,"name":"Locomotive ID","value":"4046"},{"id":130,"name":"Impact","value":""},{"id":150,"name":"Time of Event (Mountain Time)","value":"10:34:40"},{"id":151,"name":"Denver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453</v>
      </c>
      <c r="B173" s="7">
        <v>4045</v>
      </c>
      <c r="C173" s="24" t="s">
        <v>106</v>
      </c>
      <c r="D173" s="24" t="s">
        <v>705</v>
      </c>
      <c r="E173" s="15">
        <v>42633.442175925928</v>
      </c>
      <c r="F173" s="15">
        <v>42633.443657407406</v>
      </c>
      <c r="G173" s="7">
        <v>1</v>
      </c>
      <c r="H173" s="15" t="s">
        <v>368</v>
      </c>
      <c r="I173" s="15">
        <v>42633.454606481479</v>
      </c>
      <c r="J173" s="7">
        <v>0</v>
      </c>
      <c r="K173" s="121" t="str">
        <f t="shared" si="39"/>
        <v>4045/4046</v>
      </c>
      <c r="L173" s="24" t="str">
        <f>VLOOKUP(A173,'Trips&amp;Operators'!$C$1:$E$10000,3,FALSE)</f>
        <v>LEVIN</v>
      </c>
      <c r="M173" s="6">
        <f t="shared" si="40"/>
        <v>1.0949074072414078E-2</v>
      </c>
      <c r="N173" s="7">
        <f t="shared" si="41"/>
        <v>15.766666664276272</v>
      </c>
      <c r="O173" s="7"/>
      <c r="P173" s="7"/>
      <c r="Q173" s="25"/>
      <c r="R173" s="25"/>
      <c r="S173" s="37">
        <f t="shared" si="42"/>
        <v>1</v>
      </c>
      <c r="T173" s="52" t="str">
        <f t="shared" si="43"/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09:36:44-0600',mode:absolute,to:'2016-09-20 11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73" s="54" t="str">
        <f t="shared" si="45"/>
        <v>N</v>
      </c>
      <c r="X173" s="168">
        <f t="shared" si="53"/>
        <v>1</v>
      </c>
      <c r="Y173" s="69">
        <f t="shared" si="46"/>
        <v>5.8616999999999999</v>
      </c>
      <c r="Z173" s="69">
        <f t="shared" si="47"/>
        <v>7.0300000000000001E-2</v>
      </c>
      <c r="AA173" s="69">
        <f t="shared" si="48"/>
        <v>5.7914000000000003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49"/>
        <v>0816-20</v>
      </c>
      <c r="AE173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73" s="96" t="str">
        <f t="shared" si="51"/>
        <v>"C:\Program Files (x86)\AstroGrep\AstroGrep.exe" /spath="%USERPROFILE%\AppData\Local\Temp\OnboardLogs" /stypes="app*4045*20160920*" /stext=" 16:.+((SYSTEM_STATE.+slice.+state.+changed )|(ment ac)|(system.+state.+changed )|(\|lc)|(penalty)|(\[timeout)|(PRM\|1\|D)|(kpr)|(kdp))" /e /r /s</v>
      </c>
      <c r="AG173" s="1" t="str">
        <f t="shared" si="52"/>
        <v>NW</v>
      </c>
      <c r="AH173" s="100" t="str">
        <f t="shared" si="37"/>
        <v>"%USERPROFILE%\Documents\GitHub\eaglep3\Utilities\RefineRTDCRunTimes.py" --tripid 816-20 --locoid 4045 --swversion DE.1.0.7.0 --startMP 300:58617 --initTime 2016-09-20T10:36:44 --startdatetime 2016-09-20T10:38:52 --delay 1 --endMP 204:703 --enddatetime 2016-09-20T10:54:38 --enforcementcount 0 &gt;&gt;C:\Users\stu\Documents\GitHub\eaglep3-reporting\EC\2016-09-20-refined-times.txt</v>
      </c>
      <c r="AI173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{"issue":{"subject":"","project_id":79,"tracker_id":40,"status_id":1,"priority_id":2,"assigned_to_id":23,"start_date":"2016-09-20","description":"","custom_fields":[{"id":1,"name":"Subdivision","value":"NW"},{"id":4,"name":"Milepost","value":"0.0703"},{"id":17,"name":"Train ID","value":"816-20"},{"id":16,"name":"Locomotive ID","value":"4045"},{"id":130,"name":"Impact","value":""},{"id":150,"name":"Time of Event (Mountain Time)","value":"10:54:38"},{"id":151,"name":"Denver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460</v>
      </c>
      <c r="B174" s="7">
        <v>4046</v>
      </c>
      <c r="C174" s="24" t="s">
        <v>106</v>
      </c>
      <c r="D174" s="24" t="s">
        <v>722</v>
      </c>
      <c r="E174" s="15">
        <v>42633.470555555556</v>
      </c>
      <c r="F174" s="15">
        <v>42633.473240740743</v>
      </c>
      <c r="G174" s="7">
        <v>1</v>
      </c>
      <c r="H174" s="15" t="s">
        <v>704</v>
      </c>
      <c r="I174" s="15">
        <v>42633.48233796296</v>
      </c>
      <c r="J174" s="7">
        <v>0</v>
      </c>
      <c r="K174" s="121" t="str">
        <f t="shared" si="39"/>
        <v>4045/4046</v>
      </c>
      <c r="L174" s="24" t="str">
        <f>VLOOKUP(A174,'Trips&amp;Operators'!$C$1:$E$10000,3,FALSE)</f>
        <v>LEVIN</v>
      </c>
      <c r="M174" s="6">
        <f t="shared" si="40"/>
        <v>9.0972222169511952E-3</v>
      </c>
      <c r="N174" s="7">
        <f t="shared" si="41"/>
        <v>13.099999992409721</v>
      </c>
      <c r="O174" s="7"/>
      <c r="P174" s="7"/>
      <c r="Q174" s="25"/>
      <c r="R174" s="25"/>
      <c r="S174" s="37">
        <f t="shared" si="42"/>
        <v>1</v>
      </c>
      <c r="T174" s="52" t="str">
        <f t="shared" si="43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10:17:36-0600',mode:absolute,to:'2016-09-20 12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4" s="54" t="str">
        <f t="shared" si="45"/>
        <v>N</v>
      </c>
      <c r="X174" s="168">
        <f t="shared" si="53"/>
        <v>1</v>
      </c>
      <c r="Y174" s="69">
        <f t="shared" si="46"/>
        <v>9.9299999999999999E-2</v>
      </c>
      <c r="Z174" s="69">
        <f t="shared" si="47"/>
        <v>5.8925999999999998</v>
      </c>
      <c r="AA174" s="69">
        <f t="shared" si="48"/>
        <v>5.7932999999999995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49"/>
        <v>0817-20</v>
      </c>
      <c r="AE174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74" s="96" t="str">
        <f t="shared" si="51"/>
        <v>"C:\Program Files (x86)\AstroGrep\AstroGrep.exe" /spath="%USERPROFILE%\AppData\Local\Temp\OnboardLogs" /stypes="app*4046*20160920*" /stext=" 17:.+((SYSTEM_STATE.+slice.+state.+changed )|(ment ac)|(system.+state.+changed )|(\|lc)|(penalty)|(\[timeout)|(PRM\|1\|D)|(kpr)|(kdp))" /e /r /s</v>
      </c>
      <c r="AG174" s="1" t="str">
        <f t="shared" si="52"/>
        <v>NW</v>
      </c>
      <c r="AH174" s="100" t="str">
        <f t="shared" si="37"/>
        <v>"%USERPROFILE%\Documents\GitHub\eaglep3\Utilities\RefineRTDCRunTimes.py" --tripid 817-20 --locoid 4046 --swversion DE.1.0.7.0 --startMP 204:993 --initTime 2016-09-20T11:17:36 --startdatetime 2016-09-20T11:21:28 --delay 1 --endMP 300:58926 --enddatetime 2016-09-20T11:34:34 --enforcementcount 0 &gt;&gt;C:\Users\stu\Documents\GitHub\eaglep3-reporting\EC\2016-09-20-refined-times.txt</v>
      </c>
      <c r="AI174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{"issue":{"subject":"","project_id":79,"tracker_id":40,"status_id":1,"priority_id":2,"assigned_to_id":23,"start_date":"2016-09-20","description":"","custom_fields":[{"id":1,"name":"Subdivision","value":"NW"},{"id":4,"name":"Milepost","value":"5.8926"},{"id":17,"name":"Train ID","value":"817-20"},{"id":16,"name":"Locomotive ID","value":"4046"},{"id":130,"name":"Impact","value":""},{"id":150,"name":"Time of Event (Mountain Time)","value":"11:34:34"},{"id":151,"name":"Denver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467</v>
      </c>
      <c r="B175" s="7">
        <v>4045</v>
      </c>
      <c r="C175" s="24" t="s">
        <v>106</v>
      </c>
      <c r="D175" s="24" t="s">
        <v>723</v>
      </c>
      <c r="E175" s="15">
        <v>42633.483414351853</v>
      </c>
      <c r="F175" s="15">
        <v>42633.4846875</v>
      </c>
      <c r="G175" s="7">
        <v>1</v>
      </c>
      <c r="H175" s="15" t="s">
        <v>717</v>
      </c>
      <c r="I175" s="15">
        <v>42633.496168981481</v>
      </c>
      <c r="J175" s="7">
        <v>0</v>
      </c>
      <c r="K175" s="121" t="str">
        <f t="shared" si="39"/>
        <v>4045/4046</v>
      </c>
      <c r="L175" s="24" t="str">
        <f>VLOOKUP(A175,'Trips&amp;Operators'!$C$1:$E$10000,3,FALSE)</f>
        <v>LEVIN</v>
      </c>
      <c r="M175" s="6">
        <f t="shared" si="40"/>
        <v>1.1481481480586808E-2</v>
      </c>
      <c r="N175" s="7">
        <f t="shared" si="41"/>
        <v>16.533333332045004</v>
      </c>
      <c r="O175" s="7"/>
      <c r="P175" s="7"/>
      <c r="Q175" s="25"/>
      <c r="R175" s="25"/>
      <c r="S175" s="37">
        <f t="shared" si="42"/>
        <v>1</v>
      </c>
      <c r="T175" s="52" t="str">
        <f t="shared" si="43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10:36:07-0600',mode:absolute,to:'2016-09-20 12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75" s="54" t="str">
        <f t="shared" si="45"/>
        <v>N</v>
      </c>
      <c r="X175" s="168">
        <f t="shared" si="53"/>
        <v>1</v>
      </c>
      <c r="Y175" s="69">
        <f t="shared" si="46"/>
        <v>5.8608000000000002</v>
      </c>
      <c r="Z175" s="69">
        <f t="shared" si="47"/>
        <v>7.22E-2</v>
      </c>
      <c r="AA175" s="69">
        <f t="shared" si="48"/>
        <v>5.7886000000000006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49"/>
        <v>0818-20</v>
      </c>
      <c r="AE175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75" s="96" t="str">
        <f t="shared" si="51"/>
        <v>"C:\Program Files (x86)\AstroGrep\AstroGrep.exe" /spath="%USERPROFILE%\AppData\Local\Temp\OnboardLogs" /stypes="app*4045*20160920*" /stext=" 17:.+((SYSTEM_STATE.+slice.+state.+changed )|(ment ac)|(system.+state.+changed )|(\|lc)|(penalty)|(\[timeout)|(PRM\|1\|D)|(kpr)|(kdp))" /e /r /s</v>
      </c>
      <c r="AG175" s="1" t="str">
        <f t="shared" si="52"/>
        <v>NW</v>
      </c>
      <c r="AH175" s="100" t="str">
        <f t="shared" si="37"/>
        <v>"%USERPROFILE%\Documents\GitHub\eaglep3\Utilities\RefineRTDCRunTimes.py" --tripid 818-20 --locoid 4045 --swversion DE.1.0.7.0 --startMP 300:58608 --initTime 2016-09-20T11:36:07 --startdatetime 2016-09-20T11:37:57 --delay 1 --endMP 204:722 --enddatetime 2016-09-20T11:54:29 --enforcementcount 0 &gt;&gt;C:\Users\stu\Documents\GitHub\eaglep3-reporting\EC\2016-09-20-refined-times.txt</v>
      </c>
      <c r="AI175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{"issue":{"subject":"","project_id":79,"tracker_id":40,"status_id":1,"priority_id":2,"assigned_to_id":23,"start_date":"2016-09-20","description":"","custom_fields":[{"id":1,"name":"Subdivision","value":"NW"},{"id":4,"name":"Milepost","value":"0.0722"},{"id":17,"name":"Train ID","value":"818-20"},{"id":16,"name":"Locomotive ID","value":"4045"},{"id":130,"name":"Impact","value":""},{"id":150,"name":"Time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475</v>
      </c>
      <c r="B176" s="7">
        <v>4046</v>
      </c>
      <c r="C176" s="24" t="s">
        <v>106</v>
      </c>
      <c r="D176" s="24" t="s">
        <v>724</v>
      </c>
      <c r="E176" s="15">
        <v>42633.512974537036</v>
      </c>
      <c r="F176" s="15">
        <v>42633.514780092592</v>
      </c>
      <c r="G176" s="7">
        <v>1</v>
      </c>
      <c r="H176" s="15" t="s">
        <v>725</v>
      </c>
      <c r="I176" s="15">
        <v>42633.523865740739</v>
      </c>
      <c r="J176" s="7">
        <v>0</v>
      </c>
      <c r="K176" s="121" t="str">
        <f t="shared" si="39"/>
        <v>4045/4046</v>
      </c>
      <c r="L176" s="24" t="str">
        <f>VLOOKUP(A176,'Trips&amp;Operators'!$C$1:$E$10000,3,FALSE)</f>
        <v>LEVIN</v>
      </c>
      <c r="M176" s="6">
        <f t="shared" si="40"/>
        <v>9.0856481474475004E-3</v>
      </c>
      <c r="N176" s="7">
        <f t="shared" si="41"/>
        <v>13.083333332324401</v>
      </c>
      <c r="O176" s="7"/>
      <c r="P176" s="7"/>
      <c r="Q176" s="25"/>
      <c r="R176" s="25"/>
      <c r="S176" s="37">
        <f t="shared" si="42"/>
        <v>1</v>
      </c>
      <c r="T176" s="52" t="str">
        <f t="shared" si="43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11:18:41-0600',mode:absolute,to:'2016-09-20 13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6" s="54" t="str">
        <f t="shared" si="45"/>
        <v>N</v>
      </c>
      <c r="X176" s="168">
        <f t="shared" si="53"/>
        <v>1</v>
      </c>
      <c r="Y176" s="69">
        <f t="shared" si="46"/>
        <v>0.1</v>
      </c>
      <c r="Z176" s="69">
        <f t="shared" si="47"/>
        <v>5.8939000000000004</v>
      </c>
      <c r="AA176" s="69">
        <f t="shared" si="48"/>
        <v>5.7939000000000007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49"/>
        <v>0819-20</v>
      </c>
      <c r="AE176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76" s="96" t="str">
        <f t="shared" si="51"/>
        <v>"C:\Program Files (x86)\AstroGrep\AstroGrep.exe" /spath="%USERPROFILE%\AppData\Local\Temp\OnboardLogs" /stypes="app*4046*20160920*" /stext=" 18:.+((SYSTEM_STATE.+slice.+state.+changed )|(ment ac)|(system.+state.+changed )|(\|lc)|(penalty)|(\[timeout)|(PRM\|1\|D)|(kpr)|(kdp))" /e /r /s</v>
      </c>
      <c r="AG176" s="1" t="str">
        <f t="shared" si="52"/>
        <v>NW</v>
      </c>
      <c r="AH176" s="100" t="str">
        <f t="shared" si="37"/>
        <v>"%USERPROFILE%\Documents\GitHub\eaglep3\Utilities\RefineRTDCRunTimes.py" --tripid 819-20 --locoid 4046 --swversion DE.1.0.7.0 --startMP 204:1000 --initTime 2016-09-20T12:18:41 --startdatetime 2016-09-20T12:21:17 --delay 1 --endMP 300:58939 --enddatetime 2016-09-20T12:34:22 --enforcementcount 0 &gt;&gt;C:\Users\stu\Documents\GitHub\eaglep3-reporting\EC\2016-09-20-refined-times.txt</v>
      </c>
      <c r="AI176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{"issue":{"subject":"","project_id":79,"tracker_id":40,"status_id":1,"priority_id":2,"assigned_to_id":23,"start_date":"2016-09-20","description":"","custom_fields":[{"id":1,"name":"Subdivision","value":"NW"},{"id":4,"name":"Milepost","value":"5.8939"},{"id":17,"name":"Train ID","value":"819-20"},{"id":16,"name":"Locomotive ID","value":"4046"},{"id":130,"name":"Impact","value":""},{"id":150,"name":"Time of Event (Mountain Time)","value":"12:34:22"},{"id":151,"name":"Denver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480</v>
      </c>
      <c r="B177" s="7">
        <v>4045</v>
      </c>
      <c r="C177" s="24" t="s">
        <v>106</v>
      </c>
      <c r="D177" s="24" t="s">
        <v>726</v>
      </c>
      <c r="E177" s="15">
        <v>42633.524733796294</v>
      </c>
      <c r="F177" s="15">
        <v>42633.526030092595</v>
      </c>
      <c r="G177" s="7">
        <v>1</v>
      </c>
      <c r="H177" s="15" t="s">
        <v>356</v>
      </c>
      <c r="I177" s="15">
        <v>42633.537905092591</v>
      </c>
      <c r="J177" s="7">
        <v>0</v>
      </c>
      <c r="K177" s="121" t="str">
        <f t="shared" si="39"/>
        <v>4045/4046</v>
      </c>
      <c r="L177" s="24" t="str">
        <f>VLOOKUP(A177,'Trips&amp;Operators'!$C$1:$E$10000,3,FALSE)</f>
        <v>LEVIN</v>
      </c>
      <c r="M177" s="6">
        <f t="shared" si="40"/>
        <v>1.187499999650754E-2</v>
      </c>
      <c r="N177" s="7">
        <f t="shared" si="41"/>
        <v>17.099999994970858</v>
      </c>
      <c r="O177" s="7"/>
      <c r="P177" s="7"/>
      <c r="Q177" s="25"/>
      <c r="R177" s="25"/>
      <c r="S177" s="37">
        <f t="shared" si="42"/>
        <v>1</v>
      </c>
      <c r="T177" s="52" t="str">
        <f t="shared" si="43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11:35:37-0600',mode:absolute,to:'2016-09-20 13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77" s="54" t="str">
        <f t="shared" si="45"/>
        <v>N</v>
      </c>
      <c r="X177" s="168">
        <f t="shared" si="53"/>
        <v>1</v>
      </c>
      <c r="Y177" s="69">
        <f t="shared" si="46"/>
        <v>5.8620999999999999</v>
      </c>
      <c r="Z177" s="69">
        <f t="shared" si="47"/>
        <v>6.9099999999999995E-2</v>
      </c>
      <c r="AA177" s="69">
        <f t="shared" si="48"/>
        <v>5.7930000000000001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49"/>
        <v>0820-20</v>
      </c>
      <c r="AE177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77" s="96" t="str">
        <f t="shared" si="51"/>
        <v>"C:\Program Files (x86)\AstroGrep\AstroGrep.exe" /spath="%USERPROFILE%\AppData\Local\Temp\OnboardLogs" /stypes="app*4045*20160920*" /stext=" 18:.+((SYSTEM_STATE.+slice.+state.+changed )|(ment ac)|(system.+state.+changed )|(\|lc)|(penalty)|(\[timeout)|(PRM\|1\|D)|(kpr)|(kdp))" /e /r /s</v>
      </c>
      <c r="AG177" s="1" t="str">
        <f t="shared" si="52"/>
        <v>NW</v>
      </c>
      <c r="AH177" s="100" t="str">
        <f t="shared" si="37"/>
        <v>"%USERPROFILE%\Documents\GitHub\eaglep3\Utilities\RefineRTDCRunTimes.py" --tripid 820-20 --locoid 4045 --swversion DE.1.0.7.0 --startMP 300:58621 --initTime 2016-09-20T12:35:37 --startdatetime 2016-09-20T12:37:29 --delay 1 --endMP 204:691 --enddatetime 2016-09-20T12:54:35 --enforcementcount 0 &gt;&gt;C:\Users\stu\Documents\GitHub\eaglep3-reporting\EC\2016-09-20-refined-times.txt</v>
      </c>
      <c r="AI177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{"issue":{"subject":"","project_id":79,"tracker_id":40,"status_id":1,"priority_id":2,"assigned_to_id":23,"start_date":"2016-09-20","description":"","custom_fields":[{"id":1,"name":"Subdivision","value":"NW"},{"id":4,"name":"Milepost","value":"0.0691"},{"id":17,"name":"Train ID","value":"820-20"},{"id":16,"name":"Locomotive ID","value":"4045"},{"id":130,"name":"Impact","value":""},{"id":150,"name":"Time of Event (Mountain Time)","value":"12:54:35"},{"id":151,"name":"Denver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488</v>
      </c>
      <c r="B178" s="7">
        <v>4046</v>
      </c>
      <c r="C178" s="24" t="s">
        <v>106</v>
      </c>
      <c r="D178" s="24" t="s">
        <v>357</v>
      </c>
      <c r="E178" s="15">
        <v>42633.551805555559</v>
      </c>
      <c r="F178" s="15">
        <v>42633.556643518517</v>
      </c>
      <c r="G178" s="7">
        <v>2</v>
      </c>
      <c r="H178" s="15" t="s">
        <v>727</v>
      </c>
      <c r="I178" s="15">
        <v>42633.566423611112</v>
      </c>
      <c r="J178" s="7">
        <v>0</v>
      </c>
      <c r="K178" s="121" t="str">
        <f t="shared" si="39"/>
        <v>4045/4046</v>
      </c>
      <c r="L178" s="24" t="str">
        <f>VLOOKUP(A178,'Trips&amp;Operators'!$C$1:$E$10000,3,FALSE)</f>
        <v>BRUDER</v>
      </c>
      <c r="M178" s="6">
        <f t="shared" si="40"/>
        <v>9.7800925941555761E-3</v>
      </c>
      <c r="N178" s="7">
        <f t="shared" si="41"/>
        <v>14.08333333558403</v>
      </c>
      <c r="O178" s="7"/>
      <c r="P178" s="7"/>
      <c r="Q178" s="25"/>
      <c r="R178" s="25"/>
      <c r="S178" s="37">
        <f t="shared" si="42"/>
        <v>1</v>
      </c>
      <c r="T178" s="52" t="str">
        <f t="shared" si="43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12:14:36-0600',mode:absolute,to:'2016-09-20 14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8" s="54" t="str">
        <f t="shared" si="45"/>
        <v>N</v>
      </c>
      <c r="X178" s="168">
        <f t="shared" si="53"/>
        <v>1</v>
      </c>
      <c r="Y178" s="69">
        <f t="shared" si="46"/>
        <v>9.8100000000000007E-2</v>
      </c>
      <c r="Z178" s="69">
        <f t="shared" si="47"/>
        <v>5.8960999999999997</v>
      </c>
      <c r="AA178" s="69">
        <f t="shared" si="48"/>
        <v>5.798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49"/>
        <v>0821-20</v>
      </c>
      <c r="AE178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78" s="96" t="str">
        <f t="shared" si="51"/>
        <v>"C:\Program Files (x86)\AstroGrep\AstroGrep.exe" /spath="%USERPROFILE%\AppData\Local\Temp\OnboardLogs" /stypes="app*4046*20160920*" /stext=" 19:.+((SYSTEM_STATE.+slice.+state.+changed )|(ment ac)|(system.+state.+changed )|(\|lc)|(penalty)|(\[timeout)|(PRM\|1\|D)|(kpr)|(kdp))" /e /r /s</v>
      </c>
      <c r="AG178" s="1" t="str">
        <f t="shared" si="52"/>
        <v>NW</v>
      </c>
      <c r="AH178" s="100" t="str">
        <f t="shared" si="37"/>
        <v>"%USERPROFILE%\Documents\GitHub\eaglep3\Utilities\RefineRTDCRunTimes.py" --tripid 821-20 --locoid 4046 --swversion DE.1.0.7.0 --startMP 204:981 --initTime 2016-09-20T13:14:36 --startdatetime 2016-09-20T13:21:34 --delay 2 --endMP 300:58961 --enddatetime 2016-09-20T13:35:39 --enforcementcount 0 &gt;&gt;C:\Users\stu\Documents\GitHub\eaglep3-reporting\EC\2016-09-20-refined-times.txt</v>
      </c>
      <c r="AI178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{"issue":{"subject":"","project_id":79,"tracker_id":40,"status_id":1,"priority_id":2,"assigned_to_id":23,"start_date":"2016-09-20","description":"","custom_fields":[{"id":1,"name":"Subdivision","value":"NW"},{"id":4,"name":"Milepost","value":"5.8961"},{"id":17,"name":"Train ID","value":"821-20"},{"id":16,"name":"Locomotive ID","value":"4046"},{"id":130,"name":"Impact","value":""},{"id":150,"name":"Time of Event (Mountain Time)","value":"13:35:39"},{"id":151,"name":"Denver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493</v>
      </c>
      <c r="B179" s="7">
        <v>4045</v>
      </c>
      <c r="C179" s="24" t="s">
        <v>106</v>
      </c>
      <c r="D179" s="24" t="s">
        <v>728</v>
      </c>
      <c r="E179" s="15">
        <v>42633.568668981483</v>
      </c>
      <c r="F179" s="15">
        <v>42633.570636574077</v>
      </c>
      <c r="G179" s="7">
        <v>1</v>
      </c>
      <c r="H179" s="15" t="s">
        <v>729</v>
      </c>
      <c r="I179" s="15">
        <v>42633.581018518518</v>
      </c>
      <c r="J179" s="7">
        <v>0</v>
      </c>
      <c r="K179" s="121" t="str">
        <f t="shared" si="39"/>
        <v>4045/4046</v>
      </c>
      <c r="L179" s="24" t="str">
        <f>VLOOKUP(A179,'Trips&amp;Operators'!$C$1:$E$10000,3,FALSE)</f>
        <v>BRUDER</v>
      </c>
      <c r="M179" s="6">
        <f t="shared" si="40"/>
        <v>1.0381944441178348E-2</v>
      </c>
      <c r="N179" s="7">
        <f t="shared" si="41"/>
        <v>14.949999995296821</v>
      </c>
      <c r="O179" s="7"/>
      <c r="P179" s="7"/>
      <c r="Q179" s="25"/>
      <c r="R179" s="25"/>
      <c r="S179" s="37">
        <f t="shared" si="42"/>
        <v>1</v>
      </c>
      <c r="T179" s="52" t="str">
        <f t="shared" si="43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12:38:53-0600',mode:absolute,to:'2016-09-20 14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79" s="54" t="str">
        <f t="shared" si="45"/>
        <v>N</v>
      </c>
      <c r="X179" s="168">
        <f t="shared" si="53"/>
        <v>1</v>
      </c>
      <c r="Y179" s="69">
        <f t="shared" si="46"/>
        <v>5.8651</v>
      </c>
      <c r="Z179" s="69">
        <f t="shared" si="47"/>
        <v>6.6600000000000006E-2</v>
      </c>
      <c r="AA179" s="69">
        <f t="shared" si="48"/>
        <v>5.7984999999999998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49"/>
        <v>0822-20</v>
      </c>
      <c r="AE179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79" s="96" t="str">
        <f t="shared" si="51"/>
        <v>"C:\Program Files (x86)\AstroGrep\AstroGrep.exe" /spath="%USERPROFILE%\AppData\Local\Temp\OnboardLogs" /stypes="app*4045*20160920*" /stext=" 19:.+((SYSTEM_STATE.+slice.+state.+changed )|(ment ac)|(system.+state.+changed )|(\|lc)|(penalty)|(\[timeout)|(PRM\|1\|D)|(kpr)|(kdp))" /e /r /s</v>
      </c>
      <c r="AG179" s="1" t="str">
        <f t="shared" si="52"/>
        <v>NW</v>
      </c>
      <c r="AH179" s="100" t="str">
        <f t="shared" si="37"/>
        <v>"%USERPROFILE%\Documents\GitHub\eaglep3\Utilities\RefineRTDCRunTimes.py" --tripid 822-20 --locoid 4045 --swversion DE.1.0.7.0 --startMP 300:58651 --initTime 2016-09-20T13:38:53 --startdatetime 2016-09-20T13:41:43 --delay 1 --endMP 204:666 --enddatetime 2016-09-20T13:56:40 --enforcementcount 0 &gt;&gt;C:\Users\stu\Documents\GitHub\eaglep3-reporting\EC\2016-09-20-refined-times.txt</v>
      </c>
      <c r="AI179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{"issue":{"subject":"","project_id":79,"tracker_id":40,"status_id":1,"priority_id":2,"assigned_to_id":23,"start_date":"2016-09-20","description":"","custom_fields":[{"id":1,"name":"Subdivision","value":"NW"},{"id":4,"name":"Milepost","value":"0.0666"},{"id":17,"name":"Train ID","value":"822-20"},{"id":16,"name":"Locomotive ID","value":"4045"},{"id":130,"name":"Impact","value":""},{"id":150,"name":"Time of Event (Mountain Time)","value":"13:56:40"},{"id":151,"name":"Denver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498</v>
      </c>
      <c r="B180" s="7">
        <v>4046</v>
      </c>
      <c r="C180" s="24" t="s">
        <v>106</v>
      </c>
      <c r="D180" s="24" t="s">
        <v>367</v>
      </c>
      <c r="E180" s="15">
        <v>42633.593831018516</v>
      </c>
      <c r="F180" s="15">
        <v>42633.598136574074</v>
      </c>
      <c r="G180" s="7">
        <v>2</v>
      </c>
      <c r="H180" s="15" t="s">
        <v>730</v>
      </c>
      <c r="I180" s="15">
        <v>42633.607939814814</v>
      </c>
      <c r="J180" s="7">
        <v>0</v>
      </c>
      <c r="K180" s="121" t="str">
        <f t="shared" si="39"/>
        <v>4045/4046</v>
      </c>
      <c r="L180" s="24" t="str">
        <f>VLOOKUP(A180,'Trips&amp;Operators'!$C$1:$E$10000,3,FALSE)</f>
        <v>BRUDER</v>
      </c>
      <c r="M180" s="6">
        <f t="shared" si="40"/>
        <v>9.8032407404389232E-3</v>
      </c>
      <c r="N180" s="7">
        <f t="shared" si="41"/>
        <v>14.116666666232049</v>
      </c>
      <c r="O180" s="7"/>
      <c r="P180" s="7"/>
      <c r="Q180" s="25"/>
      <c r="R180" s="25"/>
      <c r="S180" s="37">
        <f t="shared" si="42"/>
        <v>1</v>
      </c>
      <c r="T180" s="52" t="str">
        <f t="shared" si="43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13:15:07-0600',mode:absolute,to:'2016-09-20 15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80" s="54" t="str">
        <f t="shared" si="45"/>
        <v>N</v>
      </c>
      <c r="X180" s="168">
        <f t="shared" si="53"/>
        <v>1</v>
      </c>
      <c r="Y180" s="69">
        <f t="shared" si="46"/>
        <v>9.7199999999999995E-2</v>
      </c>
      <c r="Z180" s="69">
        <f t="shared" si="47"/>
        <v>5.8968999999999996</v>
      </c>
      <c r="AA180" s="69">
        <f t="shared" si="48"/>
        <v>5.7996999999999996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49"/>
        <v>0823-20</v>
      </c>
      <c r="AE180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80" s="96" t="str">
        <f t="shared" si="51"/>
        <v>"C:\Program Files (x86)\AstroGrep\AstroGrep.exe" /spath="%USERPROFILE%\AppData\Local\Temp\OnboardLogs" /stypes="app*4046*20160920*" /stext=" 20:.+((SYSTEM_STATE.+slice.+state.+changed )|(ment ac)|(system.+state.+changed )|(\|lc)|(penalty)|(\[timeout)|(PRM\|1\|D)|(kpr)|(kdp))" /e /r /s</v>
      </c>
      <c r="AG180" s="1" t="str">
        <f t="shared" si="52"/>
        <v>NW</v>
      </c>
      <c r="AH180" s="100" t="str">
        <f t="shared" si="37"/>
        <v>"%USERPROFILE%\Documents\GitHub\eaglep3\Utilities\RefineRTDCRunTimes.py" --tripid 823-20 --locoid 4046 --swversion DE.1.0.7.0 --startMP 204:972 --initTime 2016-09-20T14:15:07 --startdatetime 2016-09-20T14:21:19 --delay 2 --endMP 300:58969 --enddatetime 2016-09-20T14:35:26 --enforcementcount 0 &gt;&gt;C:\Users\stu\Documents\GitHub\eaglep3-reporting\EC\2016-09-20-refined-times.txt</v>
      </c>
      <c r="AI180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{"issue":{"subject":"","project_id":79,"tracker_id":40,"status_id":1,"priority_id":2,"assigned_to_id":23,"start_date":"2016-09-20","description":"","custom_fields":[{"id":1,"name":"Subdivision","value":"NW"},{"id":4,"name":"Milepost","value":"5.8969"},{"id":17,"name":"Train ID","value":"823-20"},{"id":16,"name":"Locomotive ID","value":"4046"},{"id":130,"name":"Impact","value":""},{"id":150,"name":"Time of Event (Mountain Time)","value":"14:35:26"},{"id":151,"name":"Denver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502</v>
      </c>
      <c r="B181" s="7">
        <v>4045</v>
      </c>
      <c r="C181" s="24" t="s">
        <v>106</v>
      </c>
      <c r="D181" s="24" t="s">
        <v>731</v>
      </c>
      <c r="E181" s="15">
        <v>42633.609490740739</v>
      </c>
      <c r="F181" s="15">
        <v>42633.611307870371</v>
      </c>
      <c r="G181" s="7">
        <v>1</v>
      </c>
      <c r="H181" s="15" t="s">
        <v>732</v>
      </c>
      <c r="I181" s="15">
        <v>42633.621817129628</v>
      </c>
      <c r="J181" s="7">
        <v>0</v>
      </c>
      <c r="K181" s="121" t="str">
        <f t="shared" si="39"/>
        <v>4045/4046</v>
      </c>
      <c r="L181" s="24" t="str">
        <f>VLOOKUP(A181,'Trips&amp;Operators'!$C$1:$E$10000,3,FALSE)</f>
        <v>BRUDER</v>
      </c>
      <c r="M181" s="6">
        <f t="shared" si="40"/>
        <v>1.0509259256650694E-2</v>
      </c>
      <c r="N181" s="7">
        <f t="shared" si="41"/>
        <v>15.133333329576999</v>
      </c>
      <c r="O181" s="7"/>
      <c r="P181" s="7"/>
      <c r="Q181" s="25"/>
      <c r="R181" s="25"/>
      <c r="S181" s="37">
        <f t="shared" si="42"/>
        <v>1</v>
      </c>
      <c r="T181" s="52" t="str">
        <f t="shared" si="43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13:37:40-0600',mode:absolute,to:'2016-09-20 15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81" s="54" t="str">
        <f t="shared" si="45"/>
        <v>N</v>
      </c>
      <c r="X181" s="168">
        <f t="shared" si="53"/>
        <v>1</v>
      </c>
      <c r="Y181" s="69">
        <f t="shared" si="46"/>
        <v>5.8658000000000001</v>
      </c>
      <c r="Z181" s="69">
        <f t="shared" si="47"/>
        <v>6.8900000000000003E-2</v>
      </c>
      <c r="AA181" s="69">
        <f t="shared" si="48"/>
        <v>5.7968999999999999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49"/>
        <v>0824-20</v>
      </c>
      <c r="AE181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81" s="96" t="str">
        <f t="shared" si="51"/>
        <v>"C:\Program Files (x86)\AstroGrep\AstroGrep.exe" /spath="%USERPROFILE%\AppData\Local\Temp\OnboardLogs" /stypes="app*4045*20160920*" /stext=" 20:.+((SYSTEM_STATE.+slice.+state.+changed )|(ment ac)|(system.+state.+changed )|(\|lc)|(penalty)|(\[timeout)|(PRM\|1\|D)|(kpr)|(kdp))" /e /r /s</v>
      </c>
      <c r="AG181" s="1" t="str">
        <f t="shared" si="52"/>
        <v>NW</v>
      </c>
      <c r="AH181" s="100" t="str">
        <f t="shared" si="37"/>
        <v>"%USERPROFILE%\Documents\GitHub\eaglep3\Utilities\RefineRTDCRunTimes.py" --tripid 824-20 --locoid 4045 --swversion DE.1.0.7.0 --startMP 300:58658 --initTime 2016-09-20T14:37:40 --startdatetime 2016-09-20T14:40:17 --delay 1 --endMP 204:689 --enddatetime 2016-09-20T14:55:25 --enforcementcount 0 &gt;&gt;C:\Users\stu\Documents\GitHub\eaglep3-reporting\EC\2016-09-20-refined-times.txt</v>
      </c>
      <c r="AI181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{"issue":{"subject":"","project_id":79,"tracker_id":40,"status_id":1,"priority_id":2,"assigned_to_id":23,"start_date":"2016-09-20","description":"","custom_fields":[{"id":1,"name":"Subdivision","value":"NW"},{"id":4,"name":"Milepost","value":"0.0689"},{"id":17,"name":"Train ID","value":"824-20"},{"id":16,"name":"Locomotive ID","value":"4045"},{"id":130,"name":"Impact","value":""},{"id":150,"name":"Time of Event (Mountain Time)","value":"14:55:25"},{"id":151,"name":"Denver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509</v>
      </c>
      <c r="B182" s="7">
        <v>4046</v>
      </c>
      <c r="C182" s="24" t="s">
        <v>106</v>
      </c>
      <c r="D182" s="24" t="s">
        <v>364</v>
      </c>
      <c r="E182" s="15">
        <v>42633.636064814818</v>
      </c>
      <c r="F182" s="15">
        <v>42633.640451388892</v>
      </c>
      <c r="G182" s="7">
        <v>2</v>
      </c>
      <c r="H182" s="15" t="s">
        <v>254</v>
      </c>
      <c r="I182" s="15">
        <v>42633.651412037034</v>
      </c>
      <c r="J182" s="7">
        <v>0</v>
      </c>
      <c r="K182" s="121" t="str">
        <f t="shared" si="39"/>
        <v>4045/4046</v>
      </c>
      <c r="L182" s="24" t="str">
        <f>VLOOKUP(A182,'Trips&amp;Operators'!$C$1:$E$10000,3,FALSE)</f>
        <v>BRUDER</v>
      </c>
      <c r="M182" s="6">
        <f t="shared" si="40"/>
        <v>1.0960648141917773E-2</v>
      </c>
      <c r="N182" s="7">
        <f t="shared" si="41"/>
        <v>15.783333324361593</v>
      </c>
      <c r="O182" s="7"/>
      <c r="P182" s="7"/>
      <c r="Q182" s="25"/>
      <c r="R182" s="25"/>
      <c r="S182" s="37">
        <f t="shared" si="42"/>
        <v>1</v>
      </c>
      <c r="T182" s="52" t="str">
        <f t="shared" si="43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14:15:56-0600',mode:absolute,to:'2016-09-20 16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82" s="54" t="str">
        <f t="shared" si="45"/>
        <v>N</v>
      </c>
      <c r="X182" s="168">
        <f t="shared" si="53"/>
        <v>1</v>
      </c>
      <c r="Y182" s="69">
        <f t="shared" si="46"/>
        <v>9.7799999999999998E-2</v>
      </c>
      <c r="Z182" s="69">
        <f t="shared" si="47"/>
        <v>5.8943000000000003</v>
      </c>
      <c r="AA182" s="69">
        <f t="shared" si="48"/>
        <v>5.7965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49"/>
        <v>0825-20</v>
      </c>
      <c r="AE182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82" s="96" t="str">
        <f t="shared" si="51"/>
        <v>"C:\Program Files (x86)\AstroGrep\AstroGrep.exe" /spath="%USERPROFILE%\AppData\Local\Temp\OnboardLogs" /stypes="app*4046*20160920*" /stext=" 21:.+((SYSTEM_STATE.+slice.+state.+changed )|(ment ac)|(system.+state.+changed )|(\|lc)|(penalty)|(\[timeout)|(PRM\|1\|D)|(kpr)|(kdp))" /e /r /s</v>
      </c>
      <c r="AG182" s="1" t="str">
        <f t="shared" si="52"/>
        <v>NW</v>
      </c>
      <c r="AH182" s="100" t="str">
        <f t="shared" si="37"/>
        <v>"%USERPROFILE%\Documents\GitHub\eaglep3\Utilities\RefineRTDCRunTimes.py" --tripid 825-20 --locoid 4046 --swversion DE.1.0.7.0 --startMP 204:978 --initTime 2016-09-20T15:15:56 --startdatetime 2016-09-20T15:22:15 --delay 2 --endMP 300:58943 --enddatetime 2016-09-20T15:38:02 --enforcementcount 0 &gt;&gt;C:\Users\stu\Documents\GitHub\eaglep3-reporting\EC\2016-09-20-refined-times.txt</v>
      </c>
      <c r="AI182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{"issue":{"subject":"","project_id":79,"tracker_id":40,"status_id":1,"priority_id":2,"assigned_to_id":23,"start_date":"2016-09-20","description":"","custom_fields":[{"id":1,"name":"Subdivision","value":"NW"},{"id":4,"name":"Milepost","value":"5.8943"},{"id":17,"name":"Train ID","value":"825-20"},{"id":16,"name":"Locomotive ID","value":"4046"},{"id":130,"name":"Impact","value":""},{"id":150,"name":"Time of Event (Mountain Time)","value":"15:38:02"},{"id":151,"name":"Denver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513</v>
      </c>
      <c r="B183" s="7">
        <v>4045</v>
      </c>
      <c r="C183" s="24" t="s">
        <v>106</v>
      </c>
      <c r="D183" s="24" t="s">
        <v>733</v>
      </c>
      <c r="E183" s="15">
        <v>42633.652708333335</v>
      </c>
      <c r="F183" s="15">
        <v>42633.654699074075</v>
      </c>
      <c r="G183" s="7">
        <v>1</v>
      </c>
      <c r="H183" s="15" t="s">
        <v>734</v>
      </c>
      <c r="I183" s="15">
        <v>42633.664861111109</v>
      </c>
      <c r="J183" s="7">
        <v>0</v>
      </c>
      <c r="K183" s="121" t="str">
        <f t="shared" si="39"/>
        <v>4045/4046</v>
      </c>
      <c r="L183" s="24" t="str">
        <f>VLOOKUP(A183,'Trips&amp;Operators'!$C$1:$E$10000,3,FALSE)</f>
        <v>BRUDER</v>
      </c>
      <c r="M183" s="6">
        <f t="shared" si="40"/>
        <v>1.0162037033296656E-2</v>
      </c>
      <c r="N183" s="7">
        <f t="shared" si="41"/>
        <v>14.633333327947184</v>
      </c>
      <c r="O183" s="7"/>
      <c r="P183" s="7"/>
      <c r="Q183" s="25"/>
      <c r="R183" s="25"/>
      <c r="S183" s="37">
        <f t="shared" si="42"/>
        <v>1</v>
      </c>
      <c r="T183" s="52" t="str">
        <f t="shared" si="43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14:39:54-0600',mode:absolute,to:'2016-09-20 16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83" s="54" t="str">
        <f t="shared" si="45"/>
        <v>N</v>
      </c>
      <c r="X183" s="168">
        <f t="shared" si="53"/>
        <v>1</v>
      </c>
      <c r="Y183" s="69">
        <f t="shared" si="46"/>
        <v>5.8625999999999996</v>
      </c>
      <c r="Z183" s="69">
        <f t="shared" si="47"/>
        <v>6.8500000000000005E-2</v>
      </c>
      <c r="AA183" s="69">
        <f t="shared" si="48"/>
        <v>5.7940999999999994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49"/>
        <v>0826-20</v>
      </c>
      <c r="AE183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83" s="96" t="str">
        <f t="shared" si="51"/>
        <v>"C:\Program Files (x86)\AstroGrep\AstroGrep.exe" /spath="%USERPROFILE%\AppData\Local\Temp\OnboardLogs" /stypes="app*4045*20160920*" /stext=" 21:.+((SYSTEM_STATE.+slice.+state.+changed )|(ment ac)|(system.+state.+changed )|(\|lc)|(penalty)|(\[timeout)|(PRM\|1\|D)|(kpr)|(kdp))" /e /r /s</v>
      </c>
      <c r="AG183" s="1" t="str">
        <f t="shared" si="52"/>
        <v>NW</v>
      </c>
      <c r="AH183" s="100" t="str">
        <f t="shared" si="37"/>
        <v>"%USERPROFILE%\Documents\GitHub\eaglep3\Utilities\RefineRTDCRunTimes.py" --tripid 826-20 --locoid 4045 --swversion DE.1.0.7.0 --startMP 300:58626 --initTime 2016-09-20T15:39:54 --startdatetime 2016-09-20T15:42:46 --delay 1 --endMP 204:685 --enddatetime 2016-09-20T15:57:24 --enforcementcount 0 &gt;&gt;C:\Users\stu\Documents\GitHub\eaglep3-reporting\EC\2016-09-20-refined-times.txt</v>
      </c>
      <c r="AI183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{"issue":{"subject":"","project_id":79,"tracker_id":40,"status_id":1,"priority_id":2,"assigned_to_id":23,"start_date":"2016-09-20","description":"","custom_fields":[{"id":1,"name":"Subdivision","value":"NW"},{"id":4,"name":"Milepost","value":"0.0685"},{"id":17,"name":"Train ID","value":"826-20"},{"id":16,"name":"Locomotive ID","value":"4045"},{"id":130,"name":"Impact","value":""},{"id":150,"name":"Time of Event (Mountain Time)","value":"15:57:24"},{"id":151,"name":"Denver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515</v>
      </c>
      <c r="B184" s="7">
        <v>4020</v>
      </c>
      <c r="C184" s="24" t="s">
        <v>106</v>
      </c>
      <c r="D184" s="24" t="s">
        <v>735</v>
      </c>
      <c r="E184" s="15">
        <v>42633.653854166667</v>
      </c>
      <c r="F184" s="15">
        <v>42633.660787037035</v>
      </c>
      <c r="G184" s="7">
        <v>3</v>
      </c>
      <c r="H184" s="15" t="s">
        <v>736</v>
      </c>
      <c r="I184" s="15">
        <v>42633.670937499999</v>
      </c>
      <c r="J184" s="7">
        <v>0</v>
      </c>
      <c r="K184" s="121" t="str">
        <f t="shared" si="39"/>
        <v>4019/4020</v>
      </c>
      <c r="L184" s="24" t="str">
        <f>VLOOKUP(A184,'Trips&amp;Operators'!$C$1:$E$10000,3,FALSE)</f>
        <v>STURGEON</v>
      </c>
      <c r="M184" s="6">
        <f t="shared" si="40"/>
        <v>1.0150462963792961E-2</v>
      </c>
      <c r="N184" s="7">
        <f t="shared" si="41"/>
        <v>14.616666667861864</v>
      </c>
      <c r="O184" s="7"/>
      <c r="P184" s="7"/>
      <c r="Q184" s="25"/>
      <c r="R184" s="25"/>
      <c r="S184" s="37">
        <f t="shared" si="42"/>
        <v>1</v>
      </c>
      <c r="T184" s="52" t="str">
        <f t="shared" si="43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14:41:33-0600',mode:absolute,to:'2016-09-20 17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4" s="54" t="str">
        <f t="shared" si="45"/>
        <v>N</v>
      </c>
      <c r="X184" s="168">
        <f t="shared" si="53"/>
        <v>1</v>
      </c>
      <c r="Y184" s="69">
        <f t="shared" si="46"/>
        <v>0.1018</v>
      </c>
      <c r="Z184" s="69">
        <f t="shared" si="47"/>
        <v>5.8921999999999999</v>
      </c>
      <c r="AA184" s="69">
        <f t="shared" si="48"/>
        <v>5.7904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49"/>
        <v>0827-20</v>
      </c>
      <c r="AE184" s="99" t="str">
        <f t="shared" si="50"/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84" s="96" t="str">
        <f t="shared" si="51"/>
        <v>"C:\Program Files (x86)\AstroGrep\AstroGrep.exe" /spath="%USERPROFILE%\AppData\Local\Temp\OnboardLogs" /stypes="app*4020*20160920*" /stext=" 22:.+((SYSTEM_STATE.+slice.+state.+changed )|(ment ac)|(system.+state.+changed )|(\|lc)|(penalty)|(\[timeout)|(PRM\|1\|D)|(kpr)|(kdp))" /e /r /s</v>
      </c>
      <c r="AG184" s="1" t="str">
        <f t="shared" si="52"/>
        <v>NW</v>
      </c>
      <c r="AH184" s="100" t="str">
        <f t="shared" si="37"/>
        <v>"%USERPROFILE%\Documents\GitHub\eaglep3\Utilities\RefineRTDCRunTimes.py" --tripid 827-20 --locoid 4020 --swversion DE.1.0.7.0 --startMP 204:1018 --initTime 2016-09-20T15:41:33 --startdatetime 2016-09-20T15:51:32 --delay 3 --endMP 300:58922 --enddatetime 2016-09-20T16:06:09 --enforcementcount 0 &gt;&gt;C:\Users\stu\Documents\GitHub\eaglep3-reporting\EC\2016-09-20-refined-times.txt</v>
      </c>
      <c r="AI184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{"issue":{"subject":"","project_id":79,"tracker_id":40,"status_id":1,"priority_id":2,"assigned_to_id":23,"start_date":"2016-09-20","description":"","custom_fields":[{"id":1,"name":"Subdivision","value":"NW"},{"id":4,"name":"Milepost","value":"5.8922"},{"id":17,"name":"Train ID","value":"827-20"},{"id":16,"name":"Locomotive ID","value":"4020"},{"id":130,"name":"Impact","value":""},{"id":150,"name":"Time of Event (Mountain Time)","value":"16:06:09"},{"id":151,"name":"Denver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519</v>
      </c>
      <c r="B185" s="7">
        <v>4019</v>
      </c>
      <c r="C185" s="24" t="s">
        <v>106</v>
      </c>
      <c r="D185" s="24" t="s">
        <v>737</v>
      </c>
      <c r="E185" s="15">
        <v>42633.672546296293</v>
      </c>
      <c r="F185" s="15">
        <v>42633.674351851849</v>
      </c>
      <c r="G185" s="7">
        <v>1</v>
      </c>
      <c r="H185" s="15" t="s">
        <v>711</v>
      </c>
      <c r="I185" s="15">
        <v>42633.685381944444</v>
      </c>
      <c r="J185" s="7">
        <v>0</v>
      </c>
      <c r="K185" s="121" t="str">
        <f t="shared" si="39"/>
        <v>4019/4020</v>
      </c>
      <c r="L185" s="24" t="str">
        <f>VLOOKUP(A185,'Trips&amp;Operators'!$C$1:$E$10000,3,FALSE)</f>
        <v>STURGEON</v>
      </c>
      <c r="M185" s="6">
        <f t="shared" si="40"/>
        <v>1.1030092595319729E-2</v>
      </c>
      <c r="N185" s="7">
        <f t="shared" si="41"/>
        <v>15.88333333726041</v>
      </c>
      <c r="O185" s="7"/>
      <c r="P185" s="7"/>
      <c r="Q185" s="25"/>
      <c r="R185" s="25"/>
      <c r="S185" s="37">
        <f t="shared" si="42"/>
        <v>1</v>
      </c>
      <c r="T185" s="52" t="str">
        <f t="shared" si="43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15:08:28-0600',mode:absolute,to:'2016-09-20 17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5" s="54" t="str">
        <f t="shared" si="45"/>
        <v>N</v>
      </c>
      <c r="X185" s="168">
        <f t="shared" si="53"/>
        <v>1</v>
      </c>
      <c r="Y185" s="69">
        <f t="shared" si="46"/>
        <v>5.8605999999999998</v>
      </c>
      <c r="Z185" s="69">
        <f t="shared" si="47"/>
        <v>7.1999999999999995E-2</v>
      </c>
      <c r="AA185" s="69">
        <f t="shared" si="48"/>
        <v>5.7885999999999997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49"/>
        <v>0828-20</v>
      </c>
      <c r="AE185" s="99" t="str">
        <f t="shared" si="50"/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85" s="96" t="str">
        <f t="shared" si="51"/>
        <v>"C:\Program Files (x86)\AstroGrep\AstroGrep.exe" /spath="%USERPROFILE%\AppData\Local\Temp\OnboardLogs" /stypes="app*4019*20160920*" /stext=" 22:.+((SYSTEM_STATE.+slice.+state.+changed )|(ment ac)|(system.+state.+changed )|(\|lc)|(penalty)|(\[timeout)|(PRM\|1\|D)|(kpr)|(kdp))" /e /r /s</v>
      </c>
      <c r="AG185" s="1" t="str">
        <f t="shared" si="52"/>
        <v>NW</v>
      </c>
      <c r="AH185" s="100" t="str">
        <f t="shared" si="37"/>
        <v>"%USERPROFILE%\Documents\GitHub\eaglep3\Utilities\RefineRTDCRunTimes.py" --tripid 828-20 --locoid 4019 --swversion DE.1.0.7.0 --startMP 300:58606 --initTime 2016-09-20T16:08:28 --startdatetime 2016-09-20T16:11:04 --delay 1 --endMP 204:720 --enddatetime 2016-09-20T16:26:57 --enforcementcount 0 &gt;&gt;C:\Users\stu\Documents\GitHub\eaglep3-reporting\EC\2016-09-20-refined-times.txt</v>
      </c>
      <c r="AI185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{"issue":{"subject":"","project_id":79,"tracker_id":40,"status_id":1,"priority_id":2,"assigned_to_id":23,"start_date":"2016-09-20","description":"","custom_fields":[{"id":1,"name":"Subdivision","value":"NW"},{"id":4,"name":"Milepost","value":"0.072"},{"id":17,"name":"Train ID","value":"828-20"},{"id":16,"name":"Locomotive ID","value":"4019"},{"id":130,"name":"Impact","value":""},{"id":150,"name":"Time of Event (Mountain Time)","value":"16:26:57"},{"id":151,"name":"Denver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521</v>
      </c>
      <c r="B186" s="7">
        <v>4046</v>
      </c>
      <c r="C186" s="24" t="s">
        <v>106</v>
      </c>
      <c r="D186" s="24" t="s">
        <v>738</v>
      </c>
      <c r="E186" s="15">
        <v>42633.676261574074</v>
      </c>
      <c r="F186" s="15">
        <v>42633.681574074071</v>
      </c>
      <c r="G186" s="7">
        <v>2</v>
      </c>
      <c r="H186" s="15" t="s">
        <v>708</v>
      </c>
      <c r="I186" s="15">
        <v>42633.691354166665</v>
      </c>
      <c r="J186" s="7">
        <v>0</v>
      </c>
      <c r="K186" s="121" t="str">
        <f t="shared" si="39"/>
        <v>4045/4046</v>
      </c>
      <c r="L186" s="24" t="str">
        <f>VLOOKUP(A186,'Trips&amp;Operators'!$C$1:$E$10000,3,FALSE)</f>
        <v>BRUDER</v>
      </c>
      <c r="M186" s="6">
        <f t="shared" si="40"/>
        <v>9.7800925941555761E-3</v>
      </c>
      <c r="N186" s="7">
        <f t="shared" si="41"/>
        <v>14.08333333558403</v>
      </c>
      <c r="O186" s="7"/>
      <c r="P186" s="7"/>
      <c r="Q186" s="25"/>
      <c r="R186" s="25"/>
      <c r="S186" s="37">
        <f t="shared" si="42"/>
        <v>1</v>
      </c>
      <c r="T186" s="52" t="str">
        <f t="shared" si="43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15:13:49-0600',mode:absolute,to:'2016-09-20 17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86" s="54" t="str">
        <f t="shared" si="45"/>
        <v>N</v>
      </c>
      <c r="X186" s="168">
        <f t="shared" si="53"/>
        <v>1</v>
      </c>
      <c r="Y186" s="69">
        <f t="shared" si="46"/>
        <v>9.6699999999999994E-2</v>
      </c>
      <c r="Z186" s="69">
        <f t="shared" si="47"/>
        <v>5.8933</v>
      </c>
      <c r="AA186" s="69">
        <f t="shared" si="48"/>
        <v>5.7965999999999998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49"/>
        <v>0829-20</v>
      </c>
      <c r="AE186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86" s="96" t="str">
        <f t="shared" si="51"/>
        <v>"C:\Program Files (x86)\AstroGrep\AstroGrep.exe" /spath="%USERPROFILE%\AppData\Local\Temp\OnboardLogs" /stypes="app*4046*20160920*" /stext=" 22:.+((SYSTEM_STATE.+slice.+state.+changed )|(ment ac)|(system.+state.+changed )|(\|lc)|(penalty)|(\[timeout)|(PRM\|1\|D)|(kpr)|(kdp))" /e /r /s</v>
      </c>
      <c r="AG186" s="1" t="str">
        <f t="shared" si="52"/>
        <v>NW</v>
      </c>
      <c r="AH186" s="100" t="str">
        <f t="shared" si="37"/>
        <v>"%USERPROFILE%\Documents\GitHub\eaglep3\Utilities\RefineRTDCRunTimes.py" --tripid 829-20 --locoid 4046 --swversion DE.1.0.7.0 --startMP 204:967 --initTime 2016-09-20T16:13:49 --startdatetime 2016-09-20T16:21:28 --delay 2 --endMP 300:58933 --enddatetime 2016-09-20T16:35:33 --enforcementcount 0 &gt;&gt;C:\Users\stu\Documents\GitHub\eaglep3-reporting\EC\2016-09-20-refined-times.txt</v>
      </c>
      <c r="AI186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{"issue":{"subject":"","project_id":79,"tracker_id":40,"status_id":1,"priority_id":2,"assigned_to_id":23,"start_date":"2016-09-20","description":"","custom_fields":[{"id":1,"name":"Subdivision","value":"NW"},{"id":4,"name":"Milepost","value":"5.8933"},{"id":17,"name":"Train ID","value":"829-20"},{"id":16,"name":"Locomotive ID","value":"4046"},{"id":130,"name":"Impact","value":""},{"id":150,"name":"Time of Event (Mountain Time)","value":"16:35:33"},{"id":151,"name":"Denver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525</v>
      </c>
      <c r="B187" s="7">
        <v>4045</v>
      </c>
      <c r="C187" s="24" t="s">
        <v>106</v>
      </c>
      <c r="D187" s="24" t="s">
        <v>713</v>
      </c>
      <c r="E187" s="15">
        <v>42633.693159722221</v>
      </c>
      <c r="F187" s="15">
        <v>42633.695902777778</v>
      </c>
      <c r="G187" s="7">
        <v>2</v>
      </c>
      <c r="H187" s="15" t="s">
        <v>739</v>
      </c>
      <c r="I187" s="15">
        <v>42633.70652777778</v>
      </c>
      <c r="J187" s="7">
        <v>0</v>
      </c>
      <c r="K187" s="121" t="str">
        <f t="shared" si="39"/>
        <v>4045/4046</v>
      </c>
      <c r="L187" s="24" t="str">
        <f>VLOOKUP(A187,'Trips&amp;Operators'!$C$1:$E$10000,3,FALSE)</f>
        <v>BRUDER</v>
      </c>
      <c r="M187" s="6">
        <f t="shared" si="40"/>
        <v>1.0625000002619345E-2</v>
      </c>
      <c r="N187" s="7">
        <f t="shared" si="41"/>
        <v>15.300000003771856</v>
      </c>
      <c r="O187" s="7"/>
      <c r="P187" s="7"/>
      <c r="Q187" s="25"/>
      <c r="R187" s="25"/>
      <c r="S187" s="37">
        <f t="shared" si="42"/>
        <v>1</v>
      </c>
      <c r="T187" s="52" t="str">
        <f t="shared" si="43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15:38:09-0600',mode:absolute,to:'2016-09-20 17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87" s="54" t="str">
        <f t="shared" si="45"/>
        <v>N</v>
      </c>
      <c r="X187" s="168">
        <f t="shared" si="53"/>
        <v>1</v>
      </c>
      <c r="Y187" s="69">
        <f t="shared" si="46"/>
        <v>5.8623000000000003</v>
      </c>
      <c r="Z187" s="69">
        <f t="shared" si="47"/>
        <v>6.7100000000000007E-2</v>
      </c>
      <c r="AA187" s="69">
        <f t="shared" si="48"/>
        <v>5.7952000000000004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49"/>
        <v>0830-20</v>
      </c>
      <c r="AE187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87" s="96" t="str">
        <f t="shared" si="51"/>
        <v>"C:\Program Files (x86)\AstroGrep\AstroGrep.exe" /spath="%USERPROFILE%\AppData\Local\Temp\OnboardLogs" /stypes="app*4045*20160920*" /stext=" 22:.+((SYSTEM_STATE.+slice.+state.+changed )|(ment ac)|(system.+state.+changed )|(\|lc)|(penalty)|(\[timeout)|(PRM\|1\|D)|(kpr)|(kdp))" /e /r /s</v>
      </c>
      <c r="AG187" s="1" t="str">
        <f t="shared" si="52"/>
        <v>NW</v>
      </c>
      <c r="AH187" s="100" t="str">
        <f t="shared" si="37"/>
        <v>"%USERPROFILE%\Documents\GitHub\eaglep3\Utilities\RefineRTDCRunTimes.py" --tripid 830-20 --locoid 4045 --swversion DE.1.0.7.0 --startMP 300:58623 --initTime 2016-09-20T16:38:09 --startdatetime 2016-09-20T16:42:06 --delay 2 --endMP 204:671 --enddatetime 2016-09-20T16:57:24 --enforcementcount 0 &gt;&gt;C:\Users\stu\Documents\GitHub\eaglep3-reporting\EC\2016-09-20-refined-times.txt</v>
      </c>
      <c r="AI187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{"issue":{"subject":"","project_id":79,"tracker_id":40,"status_id":1,"priority_id":2,"assigned_to_id":23,"start_date":"2016-09-20","description":"","custom_fields":[{"id":1,"name":"Subdivision","value":"NW"},{"id":4,"name":"Milepost","value":"0.0671"},{"id":17,"name":"Train ID","value":"830-20"},{"id":16,"name":"Locomotive ID","value":"4045"},{"id":130,"name":"Impact","value":""},{"id":150,"name":"Time of Event (Mountain Time)","value":"16:57:24"},{"id":151,"name":"Denver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528</v>
      </c>
      <c r="B188" s="7">
        <v>4020</v>
      </c>
      <c r="C188" s="24" t="s">
        <v>106</v>
      </c>
      <c r="D188" s="24" t="s">
        <v>722</v>
      </c>
      <c r="E188" s="15">
        <v>42633.697326388887</v>
      </c>
      <c r="F188" s="15">
        <v>42633.702650462961</v>
      </c>
      <c r="G188" s="7">
        <v>5</v>
      </c>
      <c r="H188" s="15" t="s">
        <v>740</v>
      </c>
      <c r="I188" s="15">
        <v>42633.712731481479</v>
      </c>
      <c r="J188" s="7">
        <v>0</v>
      </c>
      <c r="K188" s="121" t="str">
        <f t="shared" si="39"/>
        <v>4019/4020</v>
      </c>
      <c r="L188" s="24" t="str">
        <f>VLOOKUP(A188,'Trips&amp;Operators'!$C$1:$E$10000,3,FALSE)</f>
        <v>STURGEON</v>
      </c>
      <c r="M188" s="6">
        <f t="shared" si="40"/>
        <v>1.0081018517666962E-2</v>
      </c>
      <c r="N188" s="7">
        <f t="shared" si="41"/>
        <v>14.516666665440425</v>
      </c>
      <c r="O188" s="7"/>
      <c r="P188" s="7"/>
      <c r="Q188" s="25"/>
      <c r="R188" s="25"/>
      <c r="S188" s="37">
        <f t="shared" si="42"/>
        <v>1</v>
      </c>
      <c r="T188" s="52" t="str">
        <f t="shared" si="43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15:44:09-0600',mode:absolute,to:'2016-09-20 18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8" s="54" t="str">
        <f t="shared" si="45"/>
        <v>N</v>
      </c>
      <c r="X188" s="168">
        <f t="shared" si="53"/>
        <v>1</v>
      </c>
      <c r="Y188" s="69">
        <f t="shared" si="46"/>
        <v>9.9299999999999999E-2</v>
      </c>
      <c r="Z188" s="69">
        <f t="shared" si="47"/>
        <v>5.8906999999999998</v>
      </c>
      <c r="AA188" s="69">
        <f t="shared" si="48"/>
        <v>5.7913999999999994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49"/>
        <v>0831-20</v>
      </c>
      <c r="AE188" s="99" t="str">
        <f t="shared" si="50"/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88" s="96" t="str">
        <f t="shared" si="51"/>
        <v>"C:\Program Files (x86)\AstroGrep\AstroGrep.exe" /spath="%USERPROFILE%\AppData\Local\Temp\OnboardLogs" /stypes="app*4020*20160920*" /stext=" 23:.+((SYSTEM_STATE.+slice.+state.+changed )|(ment ac)|(system.+state.+changed )|(\|lc)|(penalty)|(\[timeout)|(PRM\|1\|D)|(kpr)|(kdp))" /e /r /s</v>
      </c>
      <c r="AG188" s="1" t="str">
        <f t="shared" si="52"/>
        <v>NW</v>
      </c>
      <c r="AH188" s="100" t="str">
        <f t="shared" si="37"/>
        <v>"%USERPROFILE%\Documents\GitHub\eaglep3\Utilities\RefineRTDCRunTimes.py" --tripid 831-20 --locoid 4020 --swversion DE.1.0.7.0 --startMP 204:993 --initTime 2016-09-20T16:44:09 --startdatetime 2016-09-20T16:51:49 --delay 5 --endMP 300:58907 --enddatetime 2016-09-20T17:06:20 --enforcementcount 0 &gt;&gt;C:\Users\stu\Documents\GitHub\eaglep3-reporting\EC\2016-09-20-refined-times.txt</v>
      </c>
      <c r="AI188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{"issue":{"subject":"","project_id":79,"tracker_id":40,"status_id":1,"priority_id":2,"assigned_to_id":23,"start_date":"2016-09-20","description":"","custom_fields":[{"id":1,"name":"Subdivision","value":"NW"},{"id":4,"name":"Milepost","value":"5.8907"},{"id":17,"name":"Train ID","value":"831-20"},{"id":16,"name":"Locomotive ID","value":"4020"},{"id":130,"name":"Impact","value":""},{"id":150,"name":"Time of Event (Mountain Time)","value":"17:06:20"},{"id":151,"name":"Denver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532</v>
      </c>
      <c r="B189" s="7">
        <v>4019</v>
      </c>
      <c r="C189" s="24" t="s">
        <v>106</v>
      </c>
      <c r="D189" s="24" t="s">
        <v>741</v>
      </c>
      <c r="E189" s="15">
        <v>42633.714490740742</v>
      </c>
      <c r="F189" s="15">
        <v>42633.718194444446</v>
      </c>
      <c r="G189" s="7">
        <v>4</v>
      </c>
      <c r="H189" s="15" t="s">
        <v>742</v>
      </c>
      <c r="I189" s="15">
        <v>42633.728865740741</v>
      </c>
      <c r="J189" s="7">
        <v>0</v>
      </c>
      <c r="K189" s="121" t="str">
        <f t="shared" si="39"/>
        <v>4019/4020</v>
      </c>
      <c r="L189" s="24" t="str">
        <f>VLOOKUP(A189,'Trips&amp;Operators'!$C$1:$E$10000,3,FALSE)</f>
        <v>STURGEON</v>
      </c>
      <c r="M189" s="6">
        <f t="shared" si="40"/>
        <v>1.0671296295186039E-2</v>
      </c>
      <c r="N189" s="7">
        <f t="shared" si="41"/>
        <v>15.366666665067896</v>
      </c>
      <c r="O189" s="7"/>
      <c r="P189" s="7"/>
      <c r="Q189" s="25"/>
      <c r="R189" s="25"/>
      <c r="S189" s="37">
        <f t="shared" si="42"/>
        <v>1</v>
      </c>
      <c r="T189" s="52" t="str">
        <f t="shared" si="43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16:08:52-0600',mode:absolute,to:'2016-09-20 18:29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9" s="54" t="str">
        <f t="shared" si="45"/>
        <v>N</v>
      </c>
      <c r="X189" s="168">
        <f t="shared" si="53"/>
        <v>1</v>
      </c>
      <c r="Y189" s="69">
        <f t="shared" si="46"/>
        <v>5.7321999999999997</v>
      </c>
      <c r="Z189" s="69">
        <f t="shared" si="47"/>
        <v>7.1499999999999994E-2</v>
      </c>
      <c r="AA189" s="69">
        <f t="shared" si="48"/>
        <v>5.6606999999999994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49"/>
        <v>0832-20</v>
      </c>
      <c r="AE189" s="99" t="str">
        <f t="shared" si="50"/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89" s="96" t="str">
        <f t="shared" si="51"/>
        <v>"C:\Program Files (x86)\AstroGrep\AstroGrep.exe" /spath="%USERPROFILE%\AppData\Local\Temp\OnboardLogs" /stypes="app*4019*20160920*" /stext=" 23:.+((SYSTEM_STATE.+slice.+state.+changed )|(ment ac)|(system.+state.+changed )|(\|lc)|(penalty)|(\[timeout)|(PRM\|1\|D)|(kpr)|(kdp))" /e /r /s</v>
      </c>
      <c r="AG189" s="1" t="str">
        <f t="shared" si="52"/>
        <v>NW</v>
      </c>
      <c r="AH189" s="100" t="str">
        <f t="shared" si="37"/>
        <v>"%USERPROFILE%\Documents\GitHub\eaglep3\Utilities\RefineRTDCRunTimes.py" --tripid 832-20 --locoid 4019 --swversion DE.1.0.7.0 --startMP 300:57322 --initTime 2016-09-20T17:08:52 --startdatetime 2016-09-20T17:14:12 --delay 4 --endMP 204:715 --enddatetime 2016-09-20T17:29:34 --enforcementcount 0 &gt;&gt;C:\Users\stu\Documents\GitHub\eaglep3-reporting\EC\2016-09-20-refined-times.txt</v>
      </c>
      <c r="AI189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{"issue":{"subject":"","project_id":79,"tracker_id":40,"status_id":1,"priority_id":2,"assigned_to_id":23,"start_date":"2016-09-20","description":"","custom_fields":[{"id":1,"name":"Subdivision","value":"NW"},{"id":4,"name":"Milepost","value":"0.0715"},{"id":17,"name":"Train ID","value":"832-20"},{"id":16,"name":"Locomotive ID","value":"4019"},{"id":130,"name":"Impact","value":""},{"id":150,"name":"Time of Event (Mountain Time)","value":"17:29:34"},{"id":151,"name":"Denver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534</v>
      </c>
      <c r="B190" s="7">
        <v>4046</v>
      </c>
      <c r="C190" s="24" t="s">
        <v>106</v>
      </c>
      <c r="D190" s="24" t="s">
        <v>359</v>
      </c>
      <c r="E190" s="15">
        <v>42633.718877314815</v>
      </c>
      <c r="F190" s="15">
        <v>42633.723194444443</v>
      </c>
      <c r="G190" s="7">
        <v>1</v>
      </c>
      <c r="H190" s="15" t="s">
        <v>743</v>
      </c>
      <c r="I190" s="15">
        <v>42633.732951388891</v>
      </c>
      <c r="J190" s="7">
        <v>0</v>
      </c>
      <c r="K190" s="121" t="str">
        <f t="shared" si="39"/>
        <v>4045/4046</v>
      </c>
      <c r="L190" s="24" t="str">
        <f>VLOOKUP(A190,'Trips&amp;Operators'!$C$1:$E$10000,3,FALSE)</f>
        <v>BRUDER</v>
      </c>
      <c r="M190" s="6">
        <f t="shared" si="40"/>
        <v>9.7569444478722289E-3</v>
      </c>
      <c r="N190" s="7">
        <f t="shared" si="41"/>
        <v>14.05000000493601</v>
      </c>
      <c r="O190" s="7"/>
      <c r="P190" s="7"/>
      <c r="Q190" s="25"/>
      <c r="R190" s="25"/>
      <c r="S190" s="37">
        <f t="shared" si="42"/>
        <v>1</v>
      </c>
      <c r="T190" s="52" t="str">
        <f t="shared" si="43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16:15:11-0600',mode:absolute,to:'2016-09-20 18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0" s="54" t="str">
        <f t="shared" si="45"/>
        <v>N</v>
      </c>
      <c r="X190" s="168">
        <f t="shared" si="53"/>
        <v>1</v>
      </c>
      <c r="Y190" s="69">
        <f t="shared" si="46"/>
        <v>9.7600000000000006E-2</v>
      </c>
      <c r="Z190" s="69">
        <f t="shared" si="47"/>
        <v>5.8944000000000001</v>
      </c>
      <c r="AA190" s="69">
        <f t="shared" si="48"/>
        <v>5.7968000000000002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49"/>
        <v>0833-20</v>
      </c>
      <c r="AE190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90" s="96" t="str">
        <f t="shared" si="51"/>
        <v>"C:\Program Files (x86)\AstroGrep\AstroGrep.exe" /spath="%USERPROFILE%\AppData\Local\Temp\OnboardLogs" /stypes="app*4046*20160920*" /stext=" 23:.+((SYSTEM_STATE.+slice.+state.+changed )|(ment ac)|(system.+state.+changed )|(\|lc)|(penalty)|(\[timeout)|(PRM\|1\|D)|(kpr)|(kdp))" /e /r /s</v>
      </c>
      <c r="AG190" s="1" t="str">
        <f t="shared" si="52"/>
        <v>NW</v>
      </c>
      <c r="AH190" s="100" t="str">
        <f t="shared" si="37"/>
        <v>"%USERPROFILE%\Documents\GitHub\eaglep3\Utilities\RefineRTDCRunTimes.py" --tripid 833-20 --locoid 4046 --swversion DE.1.0.7.0 --startMP 204:976 --initTime 2016-09-20T17:15:11 --startdatetime 2016-09-20T17:21:24 --delay 1 --endMP 300:58944 --enddatetime 2016-09-20T17:35:27 --enforcementcount 0 &gt;&gt;C:\Users\stu\Documents\GitHub\eaglep3-reporting\EC\2016-09-20-refined-times.txt</v>
      </c>
      <c r="AI190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{"issue":{"subject":"","project_id":79,"tracker_id":40,"status_id":1,"priority_id":2,"assigned_to_id":23,"start_date":"2016-09-20","description":"","custom_fields":[{"id":1,"name":"Subdivision","value":"NW"},{"id":4,"name":"Milepost","value":"5.8944"},{"id":17,"name":"Train ID","value":"833-20"},{"id":16,"name":"Locomotive ID","value":"4046"},{"id":130,"name":"Impact","value":""},{"id":150,"name":"Time of Event (Mountain Time)","value":"17:35:27"},{"id":151,"name":"Denver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540</v>
      </c>
      <c r="B191" s="7">
        <v>4045</v>
      </c>
      <c r="C191" s="24" t="s">
        <v>106</v>
      </c>
      <c r="D191" s="24" t="s">
        <v>363</v>
      </c>
      <c r="E191" s="15">
        <v>42633.734375</v>
      </c>
      <c r="F191" s="15">
        <v>42633.736990740741</v>
      </c>
      <c r="G191" s="7">
        <v>2</v>
      </c>
      <c r="H191" s="15" t="s">
        <v>744</v>
      </c>
      <c r="I191" s="15">
        <v>42633.748784722222</v>
      </c>
      <c r="J191" s="7">
        <v>0</v>
      </c>
      <c r="K191" s="121" t="str">
        <f t="shared" si="39"/>
        <v>4045/4046</v>
      </c>
      <c r="L191" s="24" t="str">
        <f>VLOOKUP(A191,'Trips&amp;Operators'!$C$1:$E$10000,3,FALSE)</f>
        <v>BRUDER</v>
      </c>
      <c r="M191" s="6">
        <f t="shared" si="40"/>
        <v>1.1793981480877846E-2</v>
      </c>
      <c r="N191" s="7">
        <f t="shared" si="41"/>
        <v>16.983333332464099</v>
      </c>
      <c r="O191" s="7"/>
      <c r="P191" s="7"/>
      <c r="Q191" s="25"/>
      <c r="R191" s="25"/>
      <c r="S191" s="37">
        <f t="shared" si="42"/>
        <v>1</v>
      </c>
      <c r="T191" s="52" t="str">
        <f t="shared" si="43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16:37:30-0600',mode:absolute,to:'2016-09-20 18:58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91" s="54" t="str">
        <f t="shared" si="45"/>
        <v>N</v>
      </c>
      <c r="X191" s="168">
        <f t="shared" si="53"/>
        <v>1</v>
      </c>
      <c r="Y191" s="69">
        <f t="shared" si="46"/>
        <v>5.8632</v>
      </c>
      <c r="Z191" s="69">
        <f t="shared" si="47"/>
        <v>6.8199999999999997E-2</v>
      </c>
      <c r="AA191" s="69">
        <f t="shared" si="48"/>
        <v>5.7949999999999999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49"/>
        <v>0834-20</v>
      </c>
      <c r="AE191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91" s="96" t="str">
        <f t="shared" si="51"/>
        <v>"C:\Program Files (x86)\AstroGrep\AstroGrep.exe" /spath="%USERPROFILE%\AppData\Local\Temp\OnboardLogs" /stypes="app*4045*20160920*" /stext=" 23:.+((SYSTEM_STATE.+slice.+state.+changed )|(ment ac)|(system.+state.+changed )|(\|lc)|(penalty)|(\[timeout)|(PRM\|1\|D)|(kpr)|(kdp))" /e /r /s</v>
      </c>
      <c r="AG191" s="1" t="str">
        <f t="shared" si="52"/>
        <v>NW</v>
      </c>
      <c r="AH191" s="100" t="str">
        <f t="shared" si="37"/>
        <v>"%USERPROFILE%\Documents\GitHub\eaglep3\Utilities\RefineRTDCRunTimes.py" --tripid 834-20 --locoid 4045 --swversion DE.1.0.7.0 --startMP 300:58632 --initTime 2016-09-20T17:37:30 --startdatetime 2016-09-20T17:41:16 --delay 2 --endMP 204:682 --enddatetime 2016-09-20T17:58:15 --enforcementcount 0 &gt;&gt;C:\Users\stu\Documents\GitHub\eaglep3-reporting\EC\2016-09-20-refined-times.txt</v>
      </c>
      <c r="AI191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{"issue":{"subject":"","project_id":79,"tracker_id":40,"status_id":1,"priority_id":2,"assigned_to_id":23,"start_date":"2016-09-20","description":"","custom_fields":[{"id":1,"name":"Subdivision","value":"NW"},{"id":4,"name":"Milepost","value":"0.0682"},{"id":17,"name":"Train ID","value":"834-20"},{"id":16,"name":"Locomotive ID","value":"4045"},{"id":130,"name":"Impact","value":""},{"id":150,"name":"Time of Event (Mountain Time)","value":"17:58:15"},{"id":151,"name":"Denver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545</v>
      </c>
      <c r="B192" s="7">
        <v>4020</v>
      </c>
      <c r="C192" s="24" t="s">
        <v>106</v>
      </c>
      <c r="D192" s="24" t="s">
        <v>724</v>
      </c>
      <c r="E192" s="15">
        <v>42633.739733796298</v>
      </c>
      <c r="F192" s="15">
        <v>42633.744074074071</v>
      </c>
      <c r="G192" s="7">
        <v>1</v>
      </c>
      <c r="H192" s="15" t="s">
        <v>725</v>
      </c>
      <c r="I192" s="15">
        <v>42633.754166666666</v>
      </c>
      <c r="J192" s="7">
        <v>0</v>
      </c>
      <c r="K192" s="121" t="str">
        <f t="shared" si="39"/>
        <v>4019/4020</v>
      </c>
      <c r="L192" s="24" t="str">
        <f>VLOOKUP(A192,'Trips&amp;Operators'!$C$1:$E$10000,3,FALSE)</f>
        <v>STURGEON</v>
      </c>
      <c r="M192" s="6">
        <f t="shared" si="40"/>
        <v>1.0092592594446614E-2</v>
      </c>
      <c r="N192" s="7">
        <f t="shared" si="41"/>
        <v>14.533333336003125</v>
      </c>
      <c r="O192" s="7"/>
      <c r="P192" s="7"/>
      <c r="Q192" s="25"/>
      <c r="R192" s="25"/>
      <c r="S192" s="37">
        <f t="shared" si="42"/>
        <v>1</v>
      </c>
      <c r="T192" s="52" t="str">
        <f t="shared" si="43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16:45:13-0600',mode:absolute,to:'2016-09-20 19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2" s="54" t="str">
        <f t="shared" si="45"/>
        <v>N</v>
      </c>
      <c r="X192" s="168">
        <f t="shared" si="53"/>
        <v>1</v>
      </c>
      <c r="Y192" s="69">
        <f t="shared" si="46"/>
        <v>0.1</v>
      </c>
      <c r="Z192" s="69">
        <f t="shared" si="47"/>
        <v>5.8939000000000004</v>
      </c>
      <c r="AA192" s="69">
        <f t="shared" si="48"/>
        <v>5.7939000000000007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49"/>
        <v>0835-20</v>
      </c>
      <c r="AE192" s="99" t="str">
        <f t="shared" si="50"/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92" s="96" t="str">
        <f t="shared" si="51"/>
        <v>"C:\Program Files (x86)\AstroGrep\AstroGrep.exe" /spath="%USERPROFILE%\AppData\Local\Temp\OnboardLogs" /stypes="app*4020*20160921*" /stext=" 00:.+((SYSTEM_STATE.+slice.+state.+changed )|(ment ac)|(system.+state.+changed )|(\|lc)|(penalty)|(\[timeout)|(PRM\|1\|D)|(kpr)|(kdp))" /e /r /s</v>
      </c>
      <c r="AG192" s="1" t="str">
        <f t="shared" si="52"/>
        <v>NW</v>
      </c>
      <c r="AH192" s="100" t="str">
        <f t="shared" si="37"/>
        <v>"%USERPROFILE%\Documents\GitHub\eaglep3\Utilities\RefineRTDCRunTimes.py" --tripid 835-20 --locoid 4020 --swversion DE.1.0.7.0 --startMP 204:1000 --initTime 2016-09-20T17:45:13 --startdatetime 2016-09-20T17:51:28 --delay 1 --endMP 300:58939 --enddatetime 2016-09-20T18:06:00 --enforcementcount 0 &gt;&gt;C:\Users\stu\Documents\GitHub\eaglep3-reporting\EC\2016-09-20-refined-times.txt</v>
      </c>
      <c r="AI192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{"issue":{"subject":"","project_id":79,"tracker_id":40,"status_id":1,"priority_id":2,"assigned_to_id":23,"start_date":"2016-09-20","description":"","custom_fields":[{"id":1,"name":"Subdivision","value":"NW"},{"id":4,"name":"Milepost","value":"5.8939"},{"id":17,"name":"Train ID","value":"835-20"},{"id":16,"name":"Locomotive ID","value":"4020"},{"id":130,"name":"Impact","value":""},{"id":150,"name":"Time of Event (Mountain Time)","value":"18:06:00"},{"id":151,"name":"Denver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548</v>
      </c>
      <c r="B193" s="7">
        <v>4019</v>
      </c>
      <c r="C193" s="24" t="s">
        <v>106</v>
      </c>
      <c r="D193" s="24" t="s">
        <v>745</v>
      </c>
      <c r="E193" s="15">
        <v>42633.755972222221</v>
      </c>
      <c r="F193" s="15">
        <v>42633.758738425924</v>
      </c>
      <c r="G193" s="7">
        <v>2</v>
      </c>
      <c r="H193" s="15" t="s">
        <v>360</v>
      </c>
      <c r="I193" s="15">
        <v>42633.768807870372</v>
      </c>
      <c r="J193" s="7">
        <v>0</v>
      </c>
      <c r="K193" s="121" t="str">
        <f t="shared" si="39"/>
        <v>4019/4020</v>
      </c>
      <c r="L193" s="24" t="str">
        <f>VLOOKUP(A193,'Trips&amp;Operators'!$C$1:$E$10000,3,FALSE)</f>
        <v>STURGEON</v>
      </c>
      <c r="M193" s="6">
        <f t="shared" si="40"/>
        <v>1.0069444448163267E-2</v>
      </c>
      <c r="N193" s="7">
        <f t="shared" si="41"/>
        <v>14.500000005355105</v>
      </c>
      <c r="O193" s="7"/>
      <c r="P193" s="7"/>
      <c r="Q193" s="25"/>
      <c r="R193" s="25"/>
      <c r="S193" s="37">
        <f t="shared" si="42"/>
        <v>1</v>
      </c>
      <c r="T193" s="52" t="str">
        <f t="shared" si="43"/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17:08:36-0600',mode:absolute,to:'2016-09-20 19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3" s="54" t="str">
        <f t="shared" si="45"/>
        <v>N</v>
      </c>
      <c r="X193" s="168">
        <f t="shared" si="53"/>
        <v>1</v>
      </c>
      <c r="Y193" s="69">
        <f t="shared" si="46"/>
        <v>5.8611000000000004</v>
      </c>
      <c r="Z193" s="69">
        <f t="shared" si="47"/>
        <v>7.0999999999999994E-2</v>
      </c>
      <c r="AA193" s="69">
        <f t="shared" si="48"/>
        <v>5.7901000000000007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49"/>
        <v>0836-20</v>
      </c>
      <c r="AE193" s="99" t="str">
        <f t="shared" si="50"/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93" s="96" t="str">
        <f t="shared" si="51"/>
        <v>"C:\Program Files (x86)\AstroGrep\AstroGrep.exe" /spath="%USERPROFILE%\AppData\Local\Temp\OnboardLogs" /stypes="app*4019*20160921*" /stext=" 00:.+((SYSTEM_STATE.+slice.+state.+changed )|(ment ac)|(system.+state.+changed )|(\|lc)|(penalty)|(\[timeout)|(PRM\|1\|D)|(kpr)|(kdp))" /e /r /s</v>
      </c>
      <c r="AG193" s="1" t="str">
        <f t="shared" si="52"/>
        <v>NW</v>
      </c>
      <c r="AH193" s="100" t="str">
        <f t="shared" si="37"/>
        <v>"%USERPROFILE%\Documents\GitHub\eaglep3\Utilities\RefineRTDCRunTimes.py" --tripid 836-20 --locoid 4019 --swversion DE.1.0.7.0 --startMP 300:58611 --initTime 2016-09-20T18:08:36 --startdatetime 2016-09-20T18:12:35 --delay 2 --endMP 204:710 --enddatetime 2016-09-20T18:27:05 --enforcementcount 0 &gt;&gt;C:\Users\stu\Documents\GitHub\eaglep3-reporting\EC\2016-09-20-refined-times.txt</v>
      </c>
      <c r="AI193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{"issue":{"subject":"","project_id":79,"tracker_id":40,"status_id":1,"priority_id":2,"assigned_to_id":23,"start_date":"2016-09-20","description":"","custom_fields":[{"id":1,"name":"Subdivision","value":"NW"},{"id":4,"name":"Milepost","value":"0.071"},{"id":17,"name":"Train ID","value":"836-20"},{"id":16,"name":"Locomotive ID","value":"4019"},{"id":130,"name":"Impact","value":""},{"id":150,"name":"Time of Event (Mountain Time)","value":"18:27:05"},{"id":151,"name":"Denver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550</v>
      </c>
      <c r="B194" s="7">
        <v>4046</v>
      </c>
      <c r="C194" s="24" t="s">
        <v>106</v>
      </c>
      <c r="D194" s="24" t="s">
        <v>361</v>
      </c>
      <c r="E194" s="15">
        <v>42633.76017361111</v>
      </c>
      <c r="F194" s="15">
        <v>42633.76494212963</v>
      </c>
      <c r="G194" s="7">
        <v>1</v>
      </c>
      <c r="H194" s="15" t="s">
        <v>743</v>
      </c>
      <c r="I194" s="15">
        <v>42633.774884259263</v>
      </c>
      <c r="J194" s="7">
        <v>0</v>
      </c>
      <c r="K194" s="121" t="str">
        <f t="shared" si="39"/>
        <v>4045/4046</v>
      </c>
      <c r="L194" s="24" t="str">
        <f>VLOOKUP(A194,'Trips&amp;Operators'!$C$1:$E$10000,3,FALSE)</f>
        <v>BRUDER</v>
      </c>
      <c r="M194" s="6">
        <f t="shared" si="40"/>
        <v>9.9421296326909214E-3</v>
      </c>
      <c r="N194" s="7">
        <f t="shared" si="41"/>
        <v>14.316666671074927</v>
      </c>
      <c r="O194" s="7"/>
      <c r="P194" s="7"/>
      <c r="Q194" s="25"/>
      <c r="R194" s="25"/>
      <c r="S194" s="37">
        <f t="shared" si="42"/>
        <v>1</v>
      </c>
      <c r="T194" s="52" t="str">
        <f t="shared" si="43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17:14:39-0600',mode:absolute,to:'2016-09-20 19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4" s="54" t="str">
        <f t="shared" si="45"/>
        <v>N</v>
      </c>
      <c r="X194" s="168">
        <f t="shared" si="53"/>
        <v>1</v>
      </c>
      <c r="Y194" s="69">
        <f t="shared" si="46"/>
        <v>9.74E-2</v>
      </c>
      <c r="Z194" s="69">
        <f t="shared" si="47"/>
        <v>5.8944000000000001</v>
      </c>
      <c r="AA194" s="69">
        <f t="shared" si="48"/>
        <v>5.7969999999999997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49"/>
        <v>0837-20</v>
      </c>
      <c r="AE194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94" s="96" t="str">
        <f t="shared" si="51"/>
        <v>"C:\Program Files (x86)\AstroGrep\AstroGrep.exe" /spath="%USERPROFILE%\AppData\Local\Temp\OnboardLogs" /stypes="app*4046*20160921*" /stext=" 00:.+((SYSTEM_STATE.+slice.+state.+changed )|(ment ac)|(system.+state.+changed )|(\|lc)|(penalty)|(\[timeout)|(PRM\|1\|D)|(kpr)|(kdp))" /e /r /s</v>
      </c>
      <c r="AG194" s="1" t="str">
        <f t="shared" si="52"/>
        <v>NW</v>
      </c>
      <c r="AH194" s="100" t="str">
        <f t="shared" si="37"/>
        <v>"%USERPROFILE%\Documents\GitHub\eaglep3\Utilities\RefineRTDCRunTimes.py" --tripid 837-20 --locoid 4046 --swversion DE.1.0.7.0 --startMP 204:974 --initTime 2016-09-20T18:14:39 --startdatetime 2016-09-20T18:21:31 --delay 1 --endMP 300:58944 --enddatetime 2016-09-20T18:35:50 --enforcementcount 0 &gt;&gt;C:\Users\stu\Documents\GitHub\eaglep3-reporting\EC\2016-09-20-refined-times.txt</v>
      </c>
      <c r="AI194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{"issue":{"subject":"","project_id":79,"tracker_id":40,"status_id":1,"priority_id":2,"assigned_to_id":23,"start_date":"2016-09-20","description":"","custom_fields":[{"id":1,"name":"Subdivision","value":"NW"},{"id":4,"name":"Milepost","value":"5.8944"},{"id":17,"name":"Train ID","value":"837-20"},{"id":16,"name":"Locomotive ID","value":"4046"},{"id":130,"name":"Impact","value":""},{"id":150,"name":"Time of Event (Mountain Time)","value":"18:35:50"},{"id":151,"name":"Denver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555</v>
      </c>
      <c r="B195" s="7">
        <v>4045</v>
      </c>
      <c r="C195" s="24" t="s">
        <v>106</v>
      </c>
      <c r="D195" s="24" t="s">
        <v>369</v>
      </c>
      <c r="E195" s="15">
        <v>42633.776747685188</v>
      </c>
      <c r="F195" s="15">
        <v>42633.779363425929</v>
      </c>
      <c r="G195" s="7">
        <v>2</v>
      </c>
      <c r="H195" s="15" t="s">
        <v>734</v>
      </c>
      <c r="I195" s="15">
        <v>42633.791365740741</v>
      </c>
      <c r="J195" s="7">
        <v>0</v>
      </c>
      <c r="K195" s="121" t="str">
        <f t="shared" si="39"/>
        <v>4045/4046</v>
      </c>
      <c r="L195" s="24" t="str">
        <f>VLOOKUP(A195,'Trips&amp;Operators'!$C$1:$E$10000,3,FALSE)</f>
        <v>BRUDER</v>
      </c>
      <c r="M195" s="6">
        <f t="shared" si="40"/>
        <v>1.2002314811979886E-2</v>
      </c>
      <c r="N195" s="7">
        <f t="shared" si="41"/>
        <v>17.283333329251036</v>
      </c>
      <c r="O195" s="7"/>
      <c r="P195" s="7"/>
      <c r="Q195" s="25"/>
      <c r="R195" s="25"/>
      <c r="S195" s="37">
        <f t="shared" si="42"/>
        <v>1</v>
      </c>
      <c r="T195" s="52" t="str">
        <f t="shared" si="43"/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17:38:31-0600',mode:absolute,to:'2016-09-20 19:59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95" s="54" t="str">
        <f t="shared" si="45"/>
        <v>N</v>
      </c>
      <c r="X195" s="168">
        <f t="shared" si="53"/>
        <v>1</v>
      </c>
      <c r="Y195" s="69">
        <f t="shared" si="46"/>
        <v>5.8630000000000004</v>
      </c>
      <c r="Z195" s="69">
        <f t="shared" si="47"/>
        <v>6.8500000000000005E-2</v>
      </c>
      <c r="AA195" s="69">
        <f t="shared" si="48"/>
        <v>5.7945000000000002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49"/>
        <v>0838-20</v>
      </c>
      <c r="AE195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95" s="96" t="str">
        <f t="shared" si="51"/>
        <v>"C:\Program Files (x86)\AstroGrep\AstroGrep.exe" /spath="%USERPROFILE%\AppData\Local\Temp\OnboardLogs" /stypes="app*4045*20160921*" /stext=" 00:.+((SYSTEM_STATE.+slice.+state.+changed )|(ment ac)|(system.+state.+changed )|(\|lc)|(penalty)|(\[timeout)|(PRM\|1\|D)|(kpr)|(kdp))" /e /r /s</v>
      </c>
      <c r="AG195" s="1" t="str">
        <f t="shared" si="52"/>
        <v>NW</v>
      </c>
      <c r="AH195" s="100" t="str">
        <f t="shared" si="37"/>
        <v>"%USERPROFILE%\Documents\GitHub\eaglep3\Utilities\RefineRTDCRunTimes.py" --tripid 838-20 --locoid 4045 --swversion DE.1.0.7.0 --startMP 300:58630 --initTime 2016-09-20T18:38:31 --startdatetime 2016-09-20T18:42:17 --delay 2 --endMP 204:685 --enddatetime 2016-09-20T18:59:34 --enforcementcount 0 &gt;&gt;C:\Users\stu\Documents\GitHub\eaglep3-reporting\EC\2016-09-20-refined-times.txt</v>
      </c>
      <c r="AI195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{"issue":{"subject":"","project_id":79,"tracker_id":40,"status_id":1,"priority_id":2,"assigned_to_id":23,"start_date":"2016-09-20","description":"","custom_fields":[{"id":1,"name":"Subdivision","value":"NW"},{"id":4,"name":"Milepost","value":"0.0685"},{"id":17,"name":"Train ID","value":"838-20"},{"id":16,"name":"Locomotive ID","value":"4045"},{"id":130,"name":"Impact","value":""},{"id":150,"name":"Time of Event (Mountain Time)","value":"18:59:34"},{"id":151,"name":"Denver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557</v>
      </c>
      <c r="B196" s="7">
        <v>4020</v>
      </c>
      <c r="C196" s="24" t="s">
        <v>106</v>
      </c>
      <c r="D196" s="24" t="s">
        <v>746</v>
      </c>
      <c r="E196" s="15">
        <v>42633.778784722221</v>
      </c>
      <c r="F196" s="15">
        <v>42633.785902777781</v>
      </c>
      <c r="G196" s="7">
        <v>2</v>
      </c>
      <c r="H196" s="15" t="s">
        <v>747</v>
      </c>
      <c r="I196" s="15">
        <v>42633.796516203707</v>
      </c>
      <c r="J196" s="7">
        <v>0</v>
      </c>
      <c r="K196" s="121" t="str">
        <f t="shared" si="39"/>
        <v>4019/4020</v>
      </c>
      <c r="L196" s="24" t="str">
        <f>VLOOKUP(A196,'Trips&amp;Operators'!$C$1:$E$10000,3,FALSE)</f>
        <v>STURGEON</v>
      </c>
      <c r="M196" s="6">
        <f t="shared" si="40"/>
        <v>1.0613425925839692E-2</v>
      </c>
      <c r="N196" s="7">
        <f t="shared" si="41"/>
        <v>15.283333333209157</v>
      </c>
      <c r="O196" s="7"/>
      <c r="P196" s="7"/>
      <c r="Q196" s="25"/>
      <c r="R196" s="25"/>
      <c r="S196" s="37">
        <f t="shared" si="42"/>
        <v>1</v>
      </c>
      <c r="T196" s="52" t="str">
        <f t="shared" si="43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17:41:27-0600',mode:absolute,to:'2016-09-20 20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6" s="54" t="str">
        <f t="shared" si="45"/>
        <v>N</v>
      </c>
      <c r="X196" s="168">
        <f t="shared" si="53"/>
        <v>1</v>
      </c>
      <c r="Y196" s="69">
        <f t="shared" si="46"/>
        <v>0.1011</v>
      </c>
      <c r="Z196" s="69">
        <f t="shared" si="47"/>
        <v>5.8928000000000003</v>
      </c>
      <c r="AA196" s="69">
        <f t="shared" si="48"/>
        <v>5.7917000000000005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49"/>
        <v>0839-20</v>
      </c>
      <c r="AE196" s="99" t="str">
        <f t="shared" si="50"/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96" s="96" t="str">
        <f t="shared" si="51"/>
        <v>"C:\Program Files (x86)\AstroGrep\AstroGrep.exe" /spath="%USERPROFILE%\AppData\Local\Temp\OnboardLogs" /stypes="app*4020*20160921*" /stext=" 01:.+((SYSTEM_STATE.+slice.+state.+changed )|(ment ac)|(system.+state.+changed )|(\|lc)|(penalty)|(\[timeout)|(PRM\|1\|D)|(kpr)|(kdp))" /e /r /s</v>
      </c>
      <c r="AG196" s="1" t="str">
        <f t="shared" si="52"/>
        <v>NW</v>
      </c>
      <c r="AH196" s="100" t="str">
        <f t="shared" si="37"/>
        <v>"%USERPROFILE%\Documents\GitHub\eaglep3\Utilities\RefineRTDCRunTimes.py" --tripid 839-20 --locoid 4020 --swversion DE.1.0.7.0 --startMP 204:1011 --initTime 2016-09-20T18:41:27 --startdatetime 2016-09-20T18:51:42 --delay 2 --endMP 300:58928 --enddatetime 2016-09-20T19:06:59 --enforcementcount 0 &gt;&gt;C:\Users\stu\Documents\GitHub\eaglep3-reporting\EC\2016-09-20-refined-times.txt</v>
      </c>
      <c r="AI196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{"issue":{"subject":"","project_id":79,"tracker_id":40,"status_id":1,"priority_id":2,"assigned_to_id":23,"start_date":"2016-09-20","description":"","custom_fields":[{"id":1,"name":"Subdivision","value":"NW"},{"id":4,"name":"Milepost","value":"5.8928"},{"id":17,"name":"Train ID","value":"839-20"},{"id":16,"name":"Locomotive ID","value":"4020"},{"id":130,"name":"Impact","value":""},{"id":150,"name":"Time of Event (Mountain Time)","value":"19:06:59"},{"id":151,"name":"Denver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566</v>
      </c>
      <c r="B197" s="7">
        <v>4045</v>
      </c>
      <c r="C197" s="24" t="s">
        <v>106</v>
      </c>
      <c r="D197" s="24" t="s">
        <v>748</v>
      </c>
      <c r="E197" s="15">
        <v>42633.819386574076</v>
      </c>
      <c r="F197" s="15">
        <v>42633.821192129632</v>
      </c>
      <c r="G197" s="7">
        <v>1</v>
      </c>
      <c r="H197" s="15" t="s">
        <v>749</v>
      </c>
      <c r="I197" s="15">
        <v>42633.830925925926</v>
      </c>
      <c r="J197" s="7">
        <v>0</v>
      </c>
      <c r="K197" s="121" t="str">
        <f t="shared" si="39"/>
        <v>4045/4046</v>
      </c>
      <c r="L197" s="24" t="str">
        <f>VLOOKUP(A197,'Trips&amp;Operators'!$C$1:$E$10000,3,FALSE)</f>
        <v>BRUDER</v>
      </c>
      <c r="M197" s="6">
        <f t="shared" si="40"/>
        <v>9.7337962943129241E-3</v>
      </c>
      <c r="N197" s="7">
        <f t="shared" si="41"/>
        <v>14.016666663810611</v>
      </c>
      <c r="O197" s="7"/>
      <c r="P197" s="7"/>
      <c r="Q197" s="25"/>
      <c r="R197" s="25"/>
      <c r="S197" s="37">
        <f t="shared" si="42"/>
        <v>1</v>
      </c>
      <c r="T197" s="52" t="str">
        <f t="shared" si="43"/>
        <v>Southbound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18:39:55-0600',mode:absolute,to:'2016-09-20 20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97" s="54" t="str">
        <f t="shared" si="45"/>
        <v>N</v>
      </c>
      <c r="X197" s="168">
        <f t="shared" si="53"/>
        <v>1</v>
      </c>
      <c r="Y197" s="69">
        <f t="shared" si="46"/>
        <v>5.8634000000000004</v>
      </c>
      <c r="Z197" s="69">
        <f t="shared" si="47"/>
        <v>6.9199999999999998E-2</v>
      </c>
      <c r="AA197" s="69">
        <f t="shared" si="48"/>
        <v>5.7942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49"/>
        <v>0840-20</v>
      </c>
      <c r="AE197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97" s="96" t="str">
        <f t="shared" si="51"/>
        <v>"C:\Program Files (x86)\AstroGrep\AstroGrep.exe" /spath="%USERPROFILE%\AppData\Local\Temp\OnboardLogs" /stypes="app*4045*20160921*" /stext=" 01:.+((SYSTEM_STATE.+slice.+state.+changed )|(ment ac)|(system.+state.+changed )|(\|lc)|(penalty)|(\[timeout)|(PRM\|1\|D)|(kpr)|(kdp))" /e /r /s</v>
      </c>
      <c r="AG197" s="1" t="str">
        <f t="shared" si="52"/>
        <v>NW</v>
      </c>
      <c r="AH197" s="100" t="str">
        <f t="shared" si="37"/>
        <v>"%USERPROFILE%\Documents\GitHub\eaglep3\Utilities\RefineRTDCRunTimes.py" --tripid 840-20 --locoid 4045 --swversion DE.1.0.7.0 --startMP 300:58634 --initTime 2016-09-20T19:39:55 --startdatetime 2016-09-20T19:42:31 --delay 1 --endMP 204:692 --enddatetime 2016-09-20T19:56:32 --enforcementcount 0 &gt;&gt;C:\Users\stu\Documents\GitHub\eaglep3-reporting\EC\2016-09-20-refined-times.txt</v>
      </c>
      <c r="AI197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{"issue":{"subject":"","project_id":79,"tracker_id":40,"status_id":1,"priority_id":2,"assigned_to_id":23,"start_date":"2016-09-20","description":"","custom_fields":[{"id":1,"name":"Subdivision","value":"NW"},{"id":4,"name":"Milepost","value":"0.0692"},{"id":17,"name":"Train ID","value":"840-20"},{"id":16,"name":"Locomotive ID","value":"4045"},{"id":130,"name":"Impact","value":""},{"id":150,"name":"Time of Event (Mountain Time)","value":"19:56:32"},{"id":151,"name":"Denver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562</v>
      </c>
      <c r="B198" s="7">
        <v>4046</v>
      </c>
      <c r="C198" s="24" t="s">
        <v>106</v>
      </c>
      <c r="D198" s="24" t="s">
        <v>361</v>
      </c>
      <c r="E198" s="15">
        <v>42633.798506944448</v>
      </c>
      <c r="F198" s="15">
        <v>42633.806539351855</v>
      </c>
      <c r="G198" s="7">
        <v>1</v>
      </c>
      <c r="H198" s="15" t="s">
        <v>362</v>
      </c>
      <c r="I198" s="15">
        <v>42633.81753472222</v>
      </c>
      <c r="J198" s="7">
        <v>0</v>
      </c>
      <c r="K198" s="121" t="str">
        <f t="shared" si="39"/>
        <v>4045/4046</v>
      </c>
      <c r="L198" s="24" t="str">
        <f>VLOOKUP(A198,'Trips&amp;Operators'!$C$1:$E$10000,3,FALSE)</f>
        <v>BRUDER</v>
      </c>
      <c r="M198" s="6">
        <f t="shared" si="40"/>
        <v>1.0995370364980772E-2</v>
      </c>
      <c r="N198" s="7">
        <f t="shared" si="41"/>
        <v>15.833333325572312</v>
      </c>
      <c r="O198" s="7"/>
      <c r="P198" s="7"/>
      <c r="Q198" s="25"/>
      <c r="R198" s="25"/>
      <c r="S198" s="37">
        <f t="shared" si="42"/>
        <v>1</v>
      </c>
      <c r="T198" s="52" t="str">
        <f t="shared" si="43"/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18:09:51-0600',mode:absolute,to:'2016-09-20 20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8" s="54" t="str">
        <f t="shared" si="45"/>
        <v>N</v>
      </c>
      <c r="X198" s="168">
        <f t="shared" si="53"/>
        <v>1</v>
      </c>
      <c r="Y198" s="69">
        <f t="shared" si="46"/>
        <v>9.74E-2</v>
      </c>
      <c r="Z198" s="69">
        <f t="shared" si="47"/>
        <v>5.8949999999999996</v>
      </c>
      <c r="AA198" s="69">
        <f t="shared" si="48"/>
        <v>5.7975999999999992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49"/>
        <v>0841-20</v>
      </c>
      <c r="AE198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98" s="96" t="str">
        <f t="shared" si="51"/>
        <v>"C:\Program Files (x86)\AstroGrep\AstroGrep.exe" /spath="%USERPROFILE%\AppData\Local\Temp\OnboardLogs" /stypes="app*4046*20160921*" /stext=" 01:.+((SYSTEM_STATE.+slice.+state.+changed )|(ment ac)|(system.+state.+changed )|(\|lc)|(penalty)|(\[timeout)|(PRM\|1\|D)|(kpr)|(kdp))" /e /r /s</v>
      </c>
      <c r="AG198" s="1" t="str">
        <f t="shared" si="52"/>
        <v>NW</v>
      </c>
      <c r="AH198" s="100" t="str">
        <f t="shared" si="37"/>
        <v>"%USERPROFILE%\Documents\GitHub\eaglep3\Utilities\RefineRTDCRunTimes.py" --tripid 841-20 --locoid 4046 --swversion DE.1.0.7.0 --startMP 204:974 --initTime 2016-09-20T19:09:51 --startdatetime 2016-09-20T19:21:25 --delay 1 --endMP 300:58950 --enddatetime 2016-09-20T19:37:15 --enforcementcount 0 &gt;&gt;C:\Users\stu\Documents\GitHub\eaglep3-reporting\EC\2016-09-20-refined-times.txt</v>
      </c>
      <c r="AI198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{"issue":{"subject":"","project_id":79,"tracker_id":40,"status_id":1,"priority_id":2,"assigned_to_id":23,"start_date":"2016-09-20","description":"","custom_fields":[{"id":1,"name":"Subdivision","value":"NW"},{"id":4,"name":"Milepost","value":"5.895"},{"id":17,"name":"Train ID","value":"841-20"},{"id":16,"name":"Locomotive ID","value":"4046"},{"id":130,"name":"Impact","value":""},{"id":150,"name":"Time of Event (Mountain Time)","value":"19:37:15"},{"id":151,"name":"Denver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572</v>
      </c>
      <c r="B199" s="7">
        <v>4045</v>
      </c>
      <c r="C199" s="24" t="s">
        <v>106</v>
      </c>
      <c r="D199" s="24" t="s">
        <v>750</v>
      </c>
      <c r="E199" s="15">
        <v>42633.858668981484</v>
      </c>
      <c r="F199" s="15">
        <v>42633.86005787037</v>
      </c>
      <c r="G199" s="7">
        <v>1</v>
      </c>
      <c r="H199" s="15" t="s">
        <v>751</v>
      </c>
      <c r="I199" s="15">
        <v>42633.871388888889</v>
      </c>
      <c r="J199" s="7">
        <v>0</v>
      </c>
      <c r="K199" s="121" t="str">
        <f t="shared" si="39"/>
        <v>4045/4046</v>
      </c>
      <c r="L199" s="24" t="str">
        <f>VLOOKUP(A199,'Trips&amp;Operators'!$C$1:$E$10000,3,FALSE)</f>
        <v>BRUDER</v>
      </c>
      <c r="M199" s="6">
        <f t="shared" si="40"/>
        <v>1.1331018518831115E-2</v>
      </c>
      <c r="N199" s="7">
        <f t="shared" si="41"/>
        <v>16.316666667116806</v>
      </c>
      <c r="O199" s="7"/>
      <c r="P199" s="7"/>
      <c r="Q199" s="25"/>
      <c r="R199" s="25"/>
      <c r="S199" s="37">
        <f t="shared" si="42"/>
        <v>1</v>
      </c>
      <c r="T199" s="52" t="str">
        <f t="shared" si="43"/>
        <v>Southbound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19:36:29-0600',mode:absolute,to:'2016-09-20 21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99" s="54" t="str">
        <f t="shared" si="45"/>
        <v>N</v>
      </c>
      <c r="X199" s="168">
        <f t="shared" si="53"/>
        <v>1</v>
      </c>
      <c r="Y199" s="69">
        <f t="shared" si="46"/>
        <v>5.8638000000000003</v>
      </c>
      <c r="Z199" s="69">
        <f t="shared" si="47"/>
        <v>6.6299999999999998E-2</v>
      </c>
      <c r="AA199" s="69">
        <f t="shared" si="48"/>
        <v>5.7975000000000003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49"/>
        <v>0842-20</v>
      </c>
      <c r="AE199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99" s="96" t="str">
        <f t="shared" si="51"/>
        <v>"C:\Program Files (x86)\AstroGrep\AstroGrep.exe" /spath="%USERPROFILE%\AppData\Local\Temp\OnboardLogs" /stypes="app*4045*20160921*" /stext=" 02:.+((SYSTEM_STATE.+slice.+state.+changed )|(ment ac)|(system.+state.+changed )|(\|lc)|(penalty)|(\[timeout)|(PRM\|1\|D)|(kpr)|(kdp))" /e /r /s</v>
      </c>
      <c r="AG199" s="1" t="str">
        <f t="shared" si="52"/>
        <v>NW</v>
      </c>
      <c r="AH199" s="100" t="str">
        <f t="shared" si="37"/>
        <v>"%USERPROFILE%\Documents\GitHub\eaglep3\Utilities\RefineRTDCRunTimes.py" --tripid 842-20 --locoid 4045 --swversion DE.1.0.7.0 --startMP 300:58638 --initTime 2016-09-20T20:36:29 --startdatetime 2016-09-20T20:38:29 --delay 1 --endMP 204:663 --enddatetime 2016-09-20T20:54:48 --enforcementcount 0 &gt;&gt;C:\Users\stu\Documents\GitHub\eaglep3-reporting\EC\2016-09-20-refined-times.txt</v>
      </c>
      <c r="AI199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{"issue":{"subject":"","project_id":79,"tracker_id":40,"status_id":1,"priority_id":2,"assigned_to_id":23,"start_date":"2016-09-20","description":"","custom_fields":[{"id":1,"name":"Subdivision","value":"NW"},{"id":4,"name":"Milepost","value":"0.0663"},{"id":17,"name":"Train ID","value":"842-20"},{"id":16,"name":"Locomotive ID","value":"4045"},{"id":130,"name":"Impact","value":""},{"id":150,"name":"Time of Event (Mountain Time)","value":"20:54:48"},{"id":151,"name":"Denver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569</v>
      </c>
      <c r="B200" s="7">
        <v>4046</v>
      </c>
      <c r="C200" s="24" t="s">
        <v>106</v>
      </c>
      <c r="D200" s="24" t="s">
        <v>752</v>
      </c>
      <c r="E200" s="15">
        <v>42633.842314814814</v>
      </c>
      <c r="F200" s="15">
        <v>42633.84814814815</v>
      </c>
      <c r="G200" s="7">
        <v>2</v>
      </c>
      <c r="H200" s="15" t="s">
        <v>365</v>
      </c>
      <c r="I200" s="15">
        <v>42633.857071759259</v>
      </c>
      <c r="J200" s="7">
        <v>0</v>
      </c>
      <c r="K200" s="121" t="str">
        <f t="shared" si="39"/>
        <v>4045/4046</v>
      </c>
      <c r="L200" s="24" t="str">
        <f>VLOOKUP(A200,'Trips&amp;Operators'!$C$1:$E$10000,3,FALSE)</f>
        <v>BRUDER</v>
      </c>
      <c r="M200" s="6">
        <f t="shared" si="40"/>
        <v>8.923611108912155E-3</v>
      </c>
      <c r="N200" s="7">
        <f t="shared" si="41"/>
        <v>12.849999996833503</v>
      </c>
      <c r="O200" s="7"/>
      <c r="P200" s="7"/>
      <c r="Q200" s="25"/>
      <c r="R200" s="25"/>
      <c r="S200" s="37">
        <f t="shared" si="42"/>
        <v>1</v>
      </c>
      <c r="T200" s="52" t="str">
        <f t="shared" si="43"/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19:12:56-0600',mode:absolute,to:'2016-09-20 21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0" s="54" t="str">
        <f t="shared" si="45"/>
        <v>N</v>
      </c>
      <c r="X200" s="168">
        <f t="shared" si="53"/>
        <v>1</v>
      </c>
      <c r="Y200" s="69">
        <f t="shared" si="46"/>
        <v>9.64E-2</v>
      </c>
      <c r="Z200" s="69">
        <f t="shared" si="47"/>
        <v>5.8958000000000004</v>
      </c>
      <c r="AA200" s="69">
        <f t="shared" si="48"/>
        <v>5.7994000000000003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49"/>
        <v>0843-20</v>
      </c>
      <c r="AE200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200" s="96" t="str">
        <f t="shared" si="51"/>
        <v>"C:\Program Files (x86)\AstroGrep\AstroGrep.exe" /spath="%USERPROFILE%\AppData\Local\Temp\OnboardLogs" /stypes="app*4046*20160921*" /stext=" 02:.+((SYSTEM_STATE.+slice.+state.+changed )|(ment ac)|(system.+state.+changed )|(\|lc)|(penalty)|(\[timeout)|(PRM\|1\|D)|(kpr)|(kdp))" /e /r /s</v>
      </c>
      <c r="AG200" s="1" t="str">
        <f t="shared" si="52"/>
        <v>NW</v>
      </c>
      <c r="AH200" s="100" t="str">
        <f t="shared" si="37"/>
        <v>"%USERPROFILE%\Documents\GitHub\eaglep3\Utilities\RefineRTDCRunTimes.py" --tripid 843-20 --locoid 4046 --swversion DE.1.0.7.0 --startMP 204:964 --initTime 2016-09-20T20:12:56 --startdatetime 2016-09-20T20:21:20 --delay 2 --endMP 300:58958 --enddatetime 2016-09-20T20:34:11 --enforcementcount 0 &gt;&gt;C:\Users\stu\Documents\GitHub\eaglep3-reporting\EC\2016-09-20-refined-times.txt</v>
      </c>
      <c r="AI200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{"issue":{"subject":"","project_id":79,"tracker_id":40,"status_id":1,"priority_id":2,"assigned_to_id":23,"start_date":"2016-09-20","description":"","custom_fields":[{"id":1,"name":"Subdivision","value":"NW"},{"id":4,"name":"Milepost","value":"5.8958"},{"id":17,"name":"Train ID","value":"843-20"},{"id":16,"name":"Locomotive ID","value":"4046"},{"id":130,"name":"Impact","value":""},{"id":150,"name":"Time of Event (Mountain Time)","value":"20:34:11"},{"id":151,"name":"Denver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579</v>
      </c>
      <c r="B201" s="7">
        <v>4045</v>
      </c>
      <c r="C201" s="24" t="s">
        <v>106</v>
      </c>
      <c r="D201" s="24" t="s">
        <v>296</v>
      </c>
      <c r="E201" s="15">
        <v>42633.902291666665</v>
      </c>
      <c r="F201" s="15">
        <v>42633.905185185184</v>
      </c>
      <c r="G201" s="7">
        <v>2</v>
      </c>
      <c r="H201" s="15" t="s">
        <v>753</v>
      </c>
      <c r="I201" s="15">
        <v>42633.915243055555</v>
      </c>
      <c r="J201" s="7">
        <v>0</v>
      </c>
      <c r="K201" s="121" t="str">
        <f t="shared" si="39"/>
        <v>4045/4046</v>
      </c>
      <c r="L201" s="24" t="str">
        <f>VLOOKUP(A201,'Trips&amp;Operators'!$C$1:$E$10000,3,FALSE)</f>
        <v>STURGEON</v>
      </c>
      <c r="M201" s="6">
        <f t="shared" si="40"/>
        <v>1.0057870371383615E-2</v>
      </c>
      <c r="N201" s="7">
        <f t="shared" si="41"/>
        <v>14.483333334792405</v>
      </c>
      <c r="O201" s="7"/>
      <c r="P201" s="7"/>
      <c r="Q201" s="25"/>
      <c r="R201" s="25"/>
      <c r="S201" s="37">
        <f t="shared" si="42"/>
        <v>1</v>
      </c>
      <c r="T201" s="52" t="str">
        <f t="shared" si="43"/>
        <v>Southbound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20:39:18-0600',mode:absolute,to:'2016-09-20 22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01" s="54" t="str">
        <f t="shared" si="45"/>
        <v>N</v>
      </c>
      <c r="X201" s="168">
        <f t="shared" si="53"/>
        <v>1</v>
      </c>
      <c r="Y201" s="69">
        <f t="shared" si="46"/>
        <v>5.8619000000000003</v>
      </c>
      <c r="Z201" s="69">
        <f t="shared" si="47"/>
        <v>7.0499999999999993E-2</v>
      </c>
      <c r="AA201" s="69">
        <f t="shared" si="48"/>
        <v>5.7914000000000003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49"/>
        <v>0844-20</v>
      </c>
      <c r="AE201" s="99" t="str">
        <f t="shared" si="50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201" s="96" t="str">
        <f t="shared" si="51"/>
        <v>"C:\Program Files (x86)\AstroGrep\AstroGrep.exe" /spath="%USERPROFILE%\AppData\Local\Temp\OnboardLogs" /stypes="app*4045*20160921*" /stext=" 03:.+((SYSTEM_STATE.+slice.+state.+changed )|(ment ac)|(system.+state.+changed )|(\|lc)|(penalty)|(\[timeout)|(PRM\|1\|D)|(kpr)|(kdp))" /e /r /s</v>
      </c>
      <c r="AG201" s="1" t="str">
        <f t="shared" si="52"/>
        <v>NW</v>
      </c>
      <c r="AH201" s="100" t="str">
        <f t="shared" si="37"/>
        <v>"%USERPROFILE%\Documents\GitHub\eaglep3\Utilities\RefineRTDCRunTimes.py" --tripid 844-20 --locoid 4045 --swversion DE.1.0.7.0 --startMP 300:58619 --initTime 2016-09-20T21:39:18 --startdatetime 2016-09-20T21:43:28 --delay 2 --endMP 204:705 --enddatetime 2016-09-20T21:57:57 --enforcementcount 0 &gt;&gt;C:\Users\stu\Documents\GitHub\eaglep3-reporting\EC\2016-09-20-refined-times.txt</v>
      </c>
      <c r="AI201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{"issue":{"subject":"","project_id":79,"tracker_id":40,"status_id":1,"priority_id":2,"assigned_to_id":23,"start_date":"2016-09-20","description":"","custom_fields":[{"id":1,"name":"Subdivision","value":"NW"},{"id":4,"name":"Milepost","value":"0.0705"},{"id":17,"name":"Train ID","value":"844-20"},{"id":16,"name":"Locomotive ID","value":"4045"},{"id":130,"name":"Impact","value":""},{"id":150,"name":"Time of Event (Mountain Time)","value":"21:57:57"},{"id":151,"name":"Denver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575</v>
      </c>
      <c r="B202" s="7">
        <v>4046</v>
      </c>
      <c r="C202" s="24" t="s">
        <v>106</v>
      </c>
      <c r="D202" s="24" t="s">
        <v>754</v>
      </c>
      <c r="E202" s="15">
        <v>42633.8749537037</v>
      </c>
      <c r="F202" s="15">
        <v>42633.889930555553</v>
      </c>
      <c r="G202" s="7">
        <v>2</v>
      </c>
      <c r="H202" s="15" t="s">
        <v>708</v>
      </c>
      <c r="I202" s="15">
        <v>42633.900706018518</v>
      </c>
      <c r="J202" s="7">
        <v>0</v>
      </c>
      <c r="K202" s="121" t="str">
        <f t="shared" si="39"/>
        <v>4045/4046</v>
      </c>
      <c r="L202" s="24" t="str">
        <f>VLOOKUP(A202,'Trips&amp;Operators'!$C$1:$E$10000,3,FALSE)</f>
        <v>STURGEON</v>
      </c>
      <c r="M202" s="6">
        <f t="shared" si="40"/>
        <v>1.0775462964375038E-2</v>
      </c>
      <c r="N202" s="7">
        <f t="shared" si="41"/>
        <v>15.516666668700054</v>
      </c>
      <c r="O202" s="7"/>
      <c r="P202" s="7"/>
      <c r="Q202" s="25"/>
      <c r="R202" s="25"/>
      <c r="S202" s="37">
        <f t="shared" si="42"/>
        <v>1</v>
      </c>
      <c r="T202" s="52" t="str">
        <f t="shared" si="43"/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19:59:56-0600',mode:absolute,to:'2016-09-20 22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2" s="54" t="str">
        <f t="shared" si="45"/>
        <v>N</v>
      </c>
      <c r="X202" s="168">
        <f t="shared" si="53"/>
        <v>1</v>
      </c>
      <c r="Y202" s="69">
        <f t="shared" si="46"/>
        <v>9.7100000000000006E-2</v>
      </c>
      <c r="Z202" s="69">
        <f t="shared" si="47"/>
        <v>5.8933</v>
      </c>
      <c r="AA202" s="69">
        <f t="shared" si="48"/>
        <v>5.7961999999999998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49"/>
        <v>0845-20</v>
      </c>
      <c r="AE202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202" s="96" t="str">
        <f t="shared" si="51"/>
        <v>"C:\Program Files (x86)\AstroGrep\AstroGrep.exe" /spath="%USERPROFILE%\AppData\Local\Temp\OnboardLogs" /stypes="app*4046*20160921*" /stext=" 03:.+((SYSTEM_STATE.+slice.+state.+changed )|(ment ac)|(system.+state.+changed )|(\|lc)|(penalty)|(\[timeout)|(PRM\|1\|D)|(kpr)|(kdp))" /e /r /s</v>
      </c>
      <c r="AG202" s="1" t="str">
        <f t="shared" si="52"/>
        <v>NW</v>
      </c>
      <c r="AH202" s="100" t="str">
        <f t="shared" si="37"/>
        <v>"%USERPROFILE%\Documents\GitHub\eaglep3\Utilities\RefineRTDCRunTimes.py" --tripid 845-20 --locoid 4046 --swversion DE.1.0.7.0 --startMP 204:971 --initTime 2016-09-20T20:59:56 --startdatetime 2016-09-20T21:21:30 --delay 2 --endMP 300:58933 --enddatetime 2016-09-20T21:37:01 --enforcementcount 0 &gt;&gt;C:\Users\stu\Documents\GitHub\eaglep3-reporting\EC\2016-09-20-refined-times.txt</v>
      </c>
      <c r="AI202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{"issue":{"subject":"","project_id":79,"tracker_id":40,"status_id":1,"priority_id":2,"assigned_to_id":23,"start_date":"2016-09-20","description":"","custom_fields":[{"id":1,"name":"Subdivision","value":"NW"},{"id":4,"name":"Milepost","value":"5.8933"},{"id":17,"name":"Train ID","value":"845-20"},{"id":16,"name":"Locomotive ID","value":"4046"},{"id":130,"name":"Impact","value":""},{"id":150,"name":"Time of Event (Mountain Time)","value":"21:37:01"},{"id":151,"name":"Denver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581</v>
      </c>
      <c r="B203" s="7">
        <v>4046</v>
      </c>
      <c r="C203" s="24" t="s">
        <v>106</v>
      </c>
      <c r="D203" s="24" t="s">
        <v>755</v>
      </c>
      <c r="E203" s="15">
        <v>42633.921539351853</v>
      </c>
      <c r="F203" s="15">
        <v>42633.931562500002</v>
      </c>
      <c r="G203" s="7">
        <v>1</v>
      </c>
      <c r="H203" s="15" t="s">
        <v>721</v>
      </c>
      <c r="I203" s="15">
        <v>42633.941874999997</v>
      </c>
      <c r="J203" s="7">
        <v>0</v>
      </c>
      <c r="K203" s="121" t="str">
        <f t="shared" si="39"/>
        <v>4045/4046</v>
      </c>
      <c r="L203" s="24" t="str">
        <f>VLOOKUP(A203,'Trips&amp;Operators'!$C$1:$E$10000,3,FALSE)</f>
        <v>STURGEON</v>
      </c>
      <c r="M203" s="6">
        <f t="shared" si="40"/>
        <v>1.0312499995052349E-2</v>
      </c>
      <c r="N203" s="7">
        <f t="shared" si="41"/>
        <v>14.849999992875382</v>
      </c>
      <c r="O203" s="7"/>
      <c r="P203" s="7"/>
      <c r="Q203" s="25"/>
      <c r="R203" s="25"/>
      <c r="S203" s="37">
        <f t="shared" si="42"/>
        <v>1</v>
      </c>
      <c r="T203" s="52" t="str">
        <f t="shared" si="43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21:07:01-0600',mode:absolute,to:'2016-09-20 23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3" s="54" t="str">
        <f t="shared" si="45"/>
        <v>N</v>
      </c>
      <c r="X203" s="168">
        <f t="shared" si="53"/>
        <v>2</v>
      </c>
      <c r="Y203" s="69">
        <f t="shared" si="46"/>
        <v>0.1007</v>
      </c>
      <c r="Z203" s="69">
        <f t="shared" si="47"/>
        <v>5.8930999999999996</v>
      </c>
      <c r="AA203" s="69">
        <f t="shared" si="48"/>
        <v>5.7923999999999998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49"/>
        <v>0847-20</v>
      </c>
      <c r="AE203" s="99" t="str">
        <f t="shared" si="50"/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203" s="96" t="str">
        <f t="shared" si="51"/>
        <v>"C:\Program Files (x86)\AstroGrep\AstroGrep.exe" /spath="%USERPROFILE%\AppData\Local\Temp\OnboardLogs" /stypes="app*4046*20160921*" /stext=" 04:.+((SYSTEM_STATE.+slice.+state.+changed )|(ment ac)|(system.+state.+changed )|(\|lc)|(penalty)|(\[timeout)|(PRM\|1\|D)|(kpr)|(kdp))" /e /r /s</v>
      </c>
      <c r="AG203" s="1" t="str">
        <f t="shared" si="52"/>
        <v>NW</v>
      </c>
      <c r="AH203" s="100" t="str">
        <f t="shared" si="37"/>
        <v>"%USERPROFILE%\Documents\GitHub\eaglep3\Utilities\RefineRTDCRunTimes.py" --tripid 847-20 --locoid 4046 --swversion DE.1.0.7.0 --startMP 204:1007 --initTime 2016-09-20T22:07:01 --startdatetime 2016-09-20T22:21:27 --delay 1 --endMP 300:58931 --enddatetime 2016-09-20T22:36:18 --enforcementcount 0 &gt;&gt;C:\Users\stu\Documents\GitHub\eaglep3-reporting\EC\2016-09-20-refined-times.txt</v>
      </c>
      <c r="AI203" s="134" t="str">
        <f t="shared" si="38"/>
        <v>echo {"issue":{"subject":"","project_id":79,"tracker_id":40,"status_id":1,"priority_id":2,"assigned_to_id":23,"start_date":"2016-09-20","description":"","custom_fields":[{"id":1,"name":"Subdivision","value":"NW"},{"id":4,"name":"Milepost","value":"5.8931"},{"id":17,"name":"Train ID","value":"847-20"},{"id":16,"name":"Locomotive ID","value":"4046"},{"id":130,"name":"Impact","value":""},{"id":150,"name":"Time of Event (Mountain Time)","value":"22:36:18"},{"id":151,"name":"Denver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556</v>
      </c>
      <c r="B204" s="7">
        <v>4042</v>
      </c>
      <c r="C204" s="24" t="s">
        <v>106</v>
      </c>
      <c r="D204" s="24" t="s">
        <v>251</v>
      </c>
      <c r="E204" s="15">
        <v>42633.778009259258</v>
      </c>
      <c r="F204" s="15">
        <v>25568.708333333332</v>
      </c>
      <c r="G204" s="7">
        <v>1</v>
      </c>
      <c r="H204" s="15" t="s">
        <v>679</v>
      </c>
      <c r="I204" s="15">
        <v>25568.708333333332</v>
      </c>
      <c r="J204" s="7">
        <v>0</v>
      </c>
      <c r="K204" s="121" t="str">
        <f t="shared" si="39"/>
        <v>4041/4042</v>
      </c>
      <c r="L204" s="24" t="str">
        <f>VLOOKUP(A204,'Trips&amp;Operators'!$C$1:$E$10000,3,FALSE)</f>
        <v>BONDS</v>
      </c>
      <c r="M204" s="6">
        <f t="shared" si="40"/>
        <v>0</v>
      </c>
      <c r="N204" s="7">
        <f t="shared" si="41"/>
        <v>0</v>
      </c>
      <c r="O204" s="7"/>
      <c r="P204" s="7"/>
      <c r="Q204" s="25"/>
      <c r="R204" s="25"/>
      <c r="S204" s="37">
        <f t="shared" si="42"/>
        <v>1</v>
      </c>
      <c r="T204" s="52" t="str">
        <f t="shared" si="43"/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4"/>
        <v>https://search-rtdc-monitor-bjffxe2xuh6vdkpspy63sjmuny.us-east-1.es.amazonaws.com/_plugin/kibana/#/discover/Steve-Slow-Train-Analysis-(2080s-and-2083s)?_g=(refreshInterval:(display:Off,section:0,value:0),time:(from:'2016-09-20 17:40:20-0600',mode:absolute,to:'1969-12-31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04" s="54" t="str">
        <f t="shared" si="45"/>
        <v>Y</v>
      </c>
      <c r="X204" s="168">
        <f t="shared" si="53"/>
        <v>-544</v>
      </c>
      <c r="Y204" s="69">
        <f t="shared" si="46"/>
        <v>4.3700000000000003E-2</v>
      </c>
      <c r="Z204" s="69">
        <f t="shared" si="47"/>
        <v>2.3315999999999999</v>
      </c>
      <c r="AA204" s="69">
        <f t="shared" si="48"/>
        <v>2.2879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49"/>
        <v>0303-20</v>
      </c>
      <c r="AE204" s="99" t="str">
        <f t="shared" si="50"/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204" s="96" t="str">
        <f t="shared" si="51"/>
        <v>"C:\Program Files (x86)\AstroGrep\AstroGrep.exe" /spath="%USERPROFILE%\AppData\Local\Temp\OnboardLogs" /stypes="app*4042*19691231*" /stext=" 23:.+((SYSTEM_STATE.+slice.+state.+changed )|(ment ac)|(system.+state.+changed )|(\|lc)|(penalty)|(\[timeout)|(PRM\|1\|D)|(kpr)|(kdp))" /e /r /s</v>
      </c>
      <c r="AG204" s="1" t="str">
        <f t="shared" si="52"/>
        <v>Other</v>
      </c>
      <c r="AH204" s="100" t="str">
        <f t="shared" ref="AH204:AH222" si="54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303-20 --locoid 4042 --swversion DE.1.0.7.0 --startMP 204:437 --initTime 2016-09-20T18:40:20 --startdatetime 1969-12-31T17:00:00 --delay 1 --endMP 300:23316 --enddatetime 1969-12-31T17:00:00 --enforcementcount 0 &gt;&gt;C:\Users\stu\Documents\GitHub\eaglep3-reporting\EC\2016-09-20-refined-times.txt</v>
      </c>
      <c r="AI204" s="134" t="str">
        <f t="shared" ref="AI204:AI222" si="55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ID","value":"303-20"},{"id":16,"name":"Locomotive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565</v>
      </c>
      <c r="B205" s="7">
        <v>4009</v>
      </c>
      <c r="C205" s="24" t="s">
        <v>106</v>
      </c>
      <c r="D205" s="24" t="s">
        <v>219</v>
      </c>
      <c r="E205" s="15">
        <v>42633.818692129629</v>
      </c>
      <c r="F205" s="15">
        <v>25568.708333333332</v>
      </c>
      <c r="G205" s="7">
        <v>1</v>
      </c>
      <c r="H205" s="15" t="s">
        <v>680</v>
      </c>
      <c r="I205" s="15">
        <v>25568.708333333332</v>
      </c>
      <c r="J205" s="7">
        <v>0</v>
      </c>
      <c r="K205" s="121" t="str">
        <f t="shared" ref="K205:K222" si="56">IF(ISEVEN(B205),(B205-1)&amp;"/"&amp;B205,B205&amp;"/"&amp;(B205+1))</f>
        <v>4009/4010</v>
      </c>
      <c r="L205" s="24" t="str">
        <f>VLOOKUP(A205,'Trips&amp;Operators'!$C$1:$E$10000,3,FALSE)</f>
        <v>STORY</v>
      </c>
      <c r="M205" s="6">
        <f t="shared" ref="M205:M222" si="57">I205-F205</f>
        <v>0</v>
      </c>
      <c r="N205" s="7">
        <f t="shared" ref="N205:N222" si="58">24*60*SUM($M205:$M205)</f>
        <v>0</v>
      </c>
      <c r="O205" s="7"/>
      <c r="P205" s="7"/>
      <c r="Q205" s="25"/>
      <c r="R205" s="25"/>
      <c r="S205" s="37">
        <f t="shared" ref="S205:S222" si="59">SUM(U205:U205)/IF(AG205="EC",12,1)</f>
        <v>1</v>
      </c>
      <c r="T205" s="52" t="str">
        <f t="shared" ref="T205:T222" si="60"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2" si="6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https://search-rtdc-monitor-bjffxe2xuh6vdkpspy63sjmuny.us-east-1.es.amazonaws.com/_plugin/kibana/#/discover/Steve-Slow-Train-Analysis-(2080s-and-2083s)?_g=(refreshInterval:(display:Off,section:0,value:0),time:(from:'2016-09-20 18:38:55-0600',mode:absolute,to:'1969-12-31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05" s="54" t="str">
        <f t="shared" ref="W205:W222" si="62">IF(AA205&lt;IF(AG205="EC",23,5.65),"Y","N")</f>
        <v>Y</v>
      </c>
      <c r="X205" s="168">
        <f t="shared" si="53"/>
        <v>4</v>
      </c>
      <c r="Y205" s="69">
        <f t="shared" ref="Y205:Y222" si="63">RIGHT(D205,LEN(D205)-4)/10000</f>
        <v>4.53E-2</v>
      </c>
      <c r="Z205" s="69">
        <f t="shared" ref="Z205:Z222" si="64">RIGHT(H205,LEN(H205)-4)/10000</f>
        <v>2.3308</v>
      </c>
      <c r="AA205" s="69">
        <f t="shared" ref="AA205:AA222" si="65">ABS(Z205-Y205)</f>
        <v>2.2854999999999999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22" si="66">IF(LEN(A205)=6,"0"&amp;A205,A205)</f>
        <v>0307-20</v>
      </c>
      <c r="AE205" s="99" t="str">
        <f t="shared" ref="AE205:AE222" si="67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05" s="96" t="str">
        <f t="shared" ref="AF205:AF222" si="6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/stypes="app*4009*19691231*" /stext=" 23:.+((SYSTEM_STATE.+slice.+state.+changed )|(ment ac)|(system.+state.+changed )|(\|lc)|(penalty)|(\[timeout)|(PRM\|1\|D)|(kpr)|(kdp))" /e /r /s</v>
      </c>
      <c r="AG205" s="1" t="str">
        <f t="shared" ref="AG205:AG222" si="69">IFERROR(IF(VALUE(LEFT(AD205,2))&lt;=2,"EC",IF(OR(VALUE(LEFT(AD205,2))=8,VALUE(LEFT(AD205,2))=18),"NW","Other")),"Other")</f>
        <v>Other</v>
      </c>
      <c r="AH205" s="100" t="str">
        <f t="shared" si="54"/>
        <v>"%USERPROFILE%\Documents\GitHub\eaglep3\Utilities\RefineRTDCRunTimes.py" --tripid 307-20 --locoid 4009 --swversion DE.1.0.7.0 --startMP 204:453 --initTime 2016-09-20T19:38:55 --startdatetime 1969-12-31T17:00:00 --delay 1 --endMP 300:23308 --enddatetime 1969-12-31T17:00:00 --enforcementcount 0 &gt;&gt;C:\Users\stu\Documents\GitHub\eaglep3-reporting\EC\2016-09-20-refined-times.txt</v>
      </c>
      <c r="AI205" s="134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ID","value":"307-20"},{"id":16,"name":"Locomotive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s="23" customFormat="1" x14ac:dyDescent="0.25">
      <c r="A206" s="39" t="s">
        <v>593</v>
      </c>
      <c r="B206" s="7">
        <v>4003</v>
      </c>
      <c r="C206" s="24" t="s">
        <v>106</v>
      </c>
      <c r="D206" s="24" t="s">
        <v>638</v>
      </c>
      <c r="E206" s="15">
        <v>42634.028923611113</v>
      </c>
      <c r="F206" s="15">
        <v>42634.030185185184</v>
      </c>
      <c r="G206" s="7">
        <v>1</v>
      </c>
      <c r="H206" s="15" t="s">
        <v>681</v>
      </c>
      <c r="I206" s="15">
        <v>42634.035578703704</v>
      </c>
      <c r="J206" s="7">
        <v>0</v>
      </c>
      <c r="K206" s="121" t="str">
        <f t="shared" si="56"/>
        <v>4003/4004</v>
      </c>
      <c r="L206" s="24" t="str">
        <f>VLOOKUP(A206,'Trips&amp;Operators'!$C$1:$E$10000,3,FALSE)</f>
        <v>LEVERE</v>
      </c>
      <c r="M206" s="6">
        <f t="shared" si="57"/>
        <v>5.393518520577345E-3</v>
      </c>
      <c r="N206" s="7">
        <f t="shared" si="58"/>
        <v>7.7666666696313769</v>
      </c>
      <c r="O206" s="7"/>
      <c r="P206" s="7"/>
      <c r="Q206" s="25"/>
      <c r="R206" s="25"/>
      <c r="S206" s="37">
        <f t="shared" si="59"/>
        <v>1</v>
      </c>
      <c r="T206" s="52" t="str">
        <f t="shared" si="60"/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23:41:39-0600',mode:absolute,to:'2016-09-21 01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06" s="54" t="str">
        <f t="shared" si="62"/>
        <v>Y</v>
      </c>
      <c r="X206" s="168">
        <f t="shared" si="53"/>
        <v>2</v>
      </c>
      <c r="Y206" s="69">
        <f t="shared" si="63"/>
        <v>4.2900000000000001E-2</v>
      </c>
      <c r="Z206" s="69">
        <f t="shared" si="64"/>
        <v>2.2890000000000001</v>
      </c>
      <c r="AA206" s="69">
        <f t="shared" si="65"/>
        <v>2.2461000000000002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66"/>
        <v>0309-20</v>
      </c>
      <c r="AE206" s="99" t="str">
        <f t="shared" si="67"/>
        <v>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 &amp; 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</v>
      </c>
      <c r="AF206" s="96" t="str">
        <f t="shared" si="68"/>
        <v>"C:\Program Files (x86)\AstroGrep\AstroGrep.exe" /spath="%USERPROFILE%\AppData\Local\Temp\OnboardLogs" /stypes="app*4003*20160921*" /stext=" 06:.+((SYSTEM_STATE.+slice.+state.+changed )|(ment ac)|(system.+state.+changed )|(\|lc)|(penalty)|(\[timeout)|(PRM\|1\|D)|(kpr)|(kdp))" /e /r /s</v>
      </c>
      <c r="AG206" s="1" t="str">
        <f t="shared" si="69"/>
        <v>Other</v>
      </c>
      <c r="AH206" s="100" t="str">
        <f t="shared" si="54"/>
        <v>"%USERPROFILE%\Documents\GitHub\eaglep3\Utilities\RefineRTDCRunTimes.py" --tripid 309-20 --locoid 4003 --swversion DE.1.0.7.0 --startMP 204:429 --initTime 2016-09-21T00:41:39 --startdatetime 2016-09-21T00:43:28 --delay 1 --endMP 300:22890 --enddatetime 2016-09-21T00:51:14 --enforcementcount 0 &gt;&gt;C:\Users\stu\Documents\GitHub\eaglep3-reporting\EC\2016-09-20-refined-times.txt</v>
      </c>
      <c r="AI206" s="134" t="str">
        <f t="shared" si="55"/>
        <v>echo {"issue":{"subject":"","project_id":79,"tracker_id":40,"status_id":1,"priority_id":2,"assigned_to_id":23,"start_date":"2016-09-21","description":"","custom_fields":[{"id":1,"name":"Subdivision","value":"Other"},{"id":4,"name":"Milepost","value":"2.289"},{"id":17,"name":"Train ID","value":"309-20"},{"id":16,"name":"Locomotive ID","value":"4003"},{"id":130,"name":"Impact","value":""},{"id":150,"name":"Time of Event (Mountain Time)","value":"00:51:14"},{"id":151,"name":"Denver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s="23" customFormat="1" x14ac:dyDescent="0.25">
      <c r="A207" s="39" t="s">
        <v>595</v>
      </c>
      <c r="B207" s="7">
        <v>4025</v>
      </c>
      <c r="C207" s="24" t="s">
        <v>106</v>
      </c>
      <c r="D207" s="24" t="s">
        <v>230</v>
      </c>
      <c r="E207" s="15">
        <v>42634.046354166669</v>
      </c>
      <c r="F207" s="15">
        <v>25568.708333333332</v>
      </c>
      <c r="G207" s="7">
        <v>2</v>
      </c>
      <c r="H207" s="15" t="s">
        <v>680</v>
      </c>
      <c r="I207" s="15">
        <v>25568.708333333332</v>
      </c>
      <c r="J207" s="7">
        <v>0</v>
      </c>
      <c r="K207" s="121" t="str">
        <f t="shared" si="56"/>
        <v>4025/4026</v>
      </c>
      <c r="L207" s="24" t="str">
        <f>VLOOKUP(A207,'Trips&amp;Operators'!$C$1:$E$10000,3,FALSE)</f>
        <v>COOLAHAN</v>
      </c>
      <c r="M207" s="6">
        <f t="shared" si="57"/>
        <v>0</v>
      </c>
      <c r="N207" s="7">
        <f t="shared" si="58"/>
        <v>0</v>
      </c>
      <c r="O207" s="7"/>
      <c r="P207" s="7"/>
      <c r="Q207" s="25"/>
      <c r="R207" s="25"/>
      <c r="S207" s="37">
        <f t="shared" si="59"/>
        <v>1</v>
      </c>
      <c r="T207" s="52" t="str">
        <f t="shared" si="60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https://search-rtdc-monitor-bjffxe2xuh6vdkpspy63sjmuny.us-east-1.es.amazonaws.com/_plugin/kibana/#/discover/Steve-Slow-Train-Analysis-(2080s-and-2083s)?_g=(refreshInterval:(display:Off,section:0,value:0),time:(from:'2016-09-21 00:06:45-0600',mode:absolute,to:'1969-12-31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7" s="54" t="str">
        <f t="shared" si="62"/>
        <v>Y</v>
      </c>
      <c r="X207" s="168">
        <f t="shared" si="53"/>
        <v>2</v>
      </c>
      <c r="Y207" s="69">
        <f t="shared" si="63"/>
        <v>4.58E-2</v>
      </c>
      <c r="Z207" s="69">
        <f t="shared" si="64"/>
        <v>2.3308</v>
      </c>
      <c r="AA207" s="69">
        <f t="shared" si="65"/>
        <v>2.2850000000000001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66"/>
        <v>0311-20</v>
      </c>
      <c r="AE207" s="99" t="str">
        <f t="shared" si="67"/>
        <v>aws s3 cp s3://rtdc.mdm.uploadarchive/RTDC4025/1969-12-31/ "%USERPROFILE%\AppData\Local\Temp\OnboardLogs"\RTDC4025\1969-12-31 --recursive &amp; "%USERPROFILE%\Documents\GitHub\mrs-test-scripts\Headless Mode &amp; Sideloading\WalkAndUnGZ.bat" "%USERPROFILE%\AppData\Local\Temp\OnboardLogs"\RTDC4025\1969-12-31 &amp; aws s3 cp s3://rtdc.mdm.uploadarchive/RTDC4025/1970-01-01/ "%USERPROFILE%\AppData\Local\Temp\OnboardLogs"\RTDC4025\1970-01-01 --recursive &amp; "%USERPROFILE%\Documents\GitHub\mrs-test-scripts\Headless Mode &amp; Sideloading\WalkAndUnGZ.bat" "%USERPROFILE%\AppData\Local\Temp\OnboardLogs"\RTDC4025\1970-01-01</v>
      </c>
      <c r="AF207" s="96" t="str">
        <f t="shared" si="68"/>
        <v>"C:\Program Files (x86)\AstroGrep\AstroGrep.exe" /spath="%USERPROFILE%\AppData\Local\Temp\OnboardLogs" /stypes="app*4025*19691231*" /stext=" 23:.+((SYSTEM_STATE.+slice.+state.+changed )|(ment ac)|(system.+state.+changed )|(\|lc)|(penalty)|(\[timeout)|(PRM\|1\|D)|(kpr)|(kdp))" /e /r /s</v>
      </c>
      <c r="AG207" s="1" t="str">
        <f t="shared" si="69"/>
        <v>Other</v>
      </c>
      <c r="AH207" s="100" t="str">
        <f t="shared" si="54"/>
        <v>"%USERPROFILE%\Documents\GitHub\eaglep3\Utilities\RefineRTDCRunTimes.py" --tripid 311-20 --locoid 4025 --swversion DE.1.0.7.0 --startMP 204:458 --initTime 2016-09-21T01:06:45 --startdatetime 1969-12-31T17:00:00 --delay 2 --endMP 300:23308 --enddatetime 1969-12-31T17:00:00 --enforcementcount 0 &gt;&gt;C:\Users\stu\Documents\GitHub\eaglep3-reporting\EC\2016-09-20-refined-times.txt</v>
      </c>
      <c r="AI207" s="134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ID","value":"311-20"},{"id":16,"name":"Locomotive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597</v>
      </c>
      <c r="B208" s="7">
        <v>4014</v>
      </c>
      <c r="C208" s="24" t="s">
        <v>106</v>
      </c>
      <c r="D208" s="24" t="s">
        <v>350</v>
      </c>
      <c r="E208" s="15">
        <v>42634.065682870372</v>
      </c>
      <c r="F208" s="15">
        <v>25568.708333333332</v>
      </c>
      <c r="G208" s="7">
        <v>1</v>
      </c>
      <c r="H208" s="15" t="s">
        <v>682</v>
      </c>
      <c r="I208" s="15">
        <v>25568.708333333332</v>
      </c>
      <c r="J208" s="7">
        <v>0</v>
      </c>
      <c r="K208" s="121" t="str">
        <f t="shared" si="56"/>
        <v>4013/4014</v>
      </c>
      <c r="L208" s="24" t="str">
        <f>VLOOKUP(A208,'Trips&amp;Operators'!$C$1:$E$10000,3,FALSE)</f>
        <v>YANAI</v>
      </c>
      <c r="M208" s="6">
        <f t="shared" si="57"/>
        <v>0</v>
      </c>
      <c r="N208" s="7">
        <f t="shared" si="58"/>
        <v>0</v>
      </c>
      <c r="O208" s="7"/>
      <c r="P208" s="7"/>
      <c r="Q208" s="25"/>
      <c r="R208" s="25"/>
      <c r="S208" s="37">
        <f t="shared" si="59"/>
        <v>1</v>
      </c>
      <c r="T208" s="52" t="str">
        <f t="shared" si="60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https://search-rtdc-monitor-bjffxe2xuh6vdkpspy63sjmuny.us-east-1.es.amazonaws.com/_plugin/kibana/#/discover/Steve-Slow-Train-Analysis-(2080s-and-2083s)?_g=(refreshInterval:(display:Off,section:0,value:0),time:(from:'2016-09-21 00:34:35-0600',mode:absolute,to:'1969-12-31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8" s="54" t="str">
        <f t="shared" si="62"/>
        <v>Y</v>
      </c>
      <c r="X208" s="168">
        <f t="shared" si="53"/>
        <v>2</v>
      </c>
      <c r="Y208" s="69">
        <f t="shared" si="63"/>
        <v>4.8399999999999999E-2</v>
      </c>
      <c r="Z208" s="69">
        <f t="shared" si="64"/>
        <v>2.3069999999999999</v>
      </c>
      <c r="AA208" s="69">
        <f t="shared" si="65"/>
        <v>2.2585999999999999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66"/>
        <v>0313-20</v>
      </c>
      <c r="AE208" s="99" t="str">
        <f t="shared" si="67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208" s="96" t="str">
        <f t="shared" si="68"/>
        <v>"C:\Program Files (x86)\AstroGrep\AstroGrep.exe" /spath="%USERPROFILE%\AppData\Local\Temp\OnboardLogs" /stypes="app*4014*19691231*" /stext=" 23:.+((SYSTEM_STATE.+slice.+state.+changed )|(ment ac)|(system.+state.+changed )|(\|lc)|(penalty)|(\[timeout)|(PRM\|1\|D)|(kpr)|(kdp))" /e /r /s</v>
      </c>
      <c r="AG208" s="1" t="str">
        <f t="shared" si="69"/>
        <v>Other</v>
      </c>
      <c r="AH208" s="100" t="str">
        <f t="shared" si="54"/>
        <v>"%USERPROFILE%\Documents\GitHub\eaglep3\Utilities\RefineRTDCRunTimes.py" --tripid 313-20 --locoid 4014 --swversion DE.1.0.7.0 --startMP 204:484 --initTime 2016-09-21T01:34:35 --startdatetime 1969-12-31T17:00:00 --delay 1 --endMP 300:23070 --enddatetime 1969-12-31T17:00:00 --enforcementcount 0 &gt;&gt;C:\Users\stu\Documents\GitHub\eaglep3-reporting\EC\2016-09-20-refined-times.txt</v>
      </c>
      <c r="AI208" s="134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{"issue":{"subject":"","project_id":79,"tracker_id":40,"status_id":1,"priority_id":2,"assigned_to_id":23,"start_date":"1969-12-31","description":"","custom_fields":[{"id":1,"name":"Subdivision","value":"Other"},{"id":4,"name":"Milepost","value":"2.307"},{"id":17,"name":"Train ID","value":"313-20"},{"id":16,"name":"Locomotive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332</v>
      </c>
      <c r="B209" s="7">
        <v>4002</v>
      </c>
      <c r="C209" s="24" t="s">
        <v>106</v>
      </c>
      <c r="D209" s="24" t="s">
        <v>240</v>
      </c>
      <c r="E209" s="15">
        <v>42633.087407407409</v>
      </c>
      <c r="F209" s="15">
        <v>25568.708333333332</v>
      </c>
      <c r="G209" s="7">
        <v>1</v>
      </c>
      <c r="H209" s="15" t="s">
        <v>355</v>
      </c>
      <c r="I209" s="15">
        <v>25568.708333333332</v>
      </c>
      <c r="J209" s="7">
        <v>0</v>
      </c>
      <c r="K209" s="121" t="str">
        <f t="shared" si="56"/>
        <v>4001/4002</v>
      </c>
      <c r="L209" s="24" t="str">
        <f>VLOOKUP(A209,'Trips&amp;Operators'!$C$1:$E$10000,3,FALSE)</f>
        <v>YANAI</v>
      </c>
      <c r="M209" s="6">
        <f t="shared" si="57"/>
        <v>0</v>
      </c>
      <c r="N209" s="7">
        <f t="shared" si="58"/>
        <v>0</v>
      </c>
      <c r="O209" s="7"/>
      <c r="P209" s="7"/>
      <c r="Q209" s="25"/>
      <c r="R209" s="25"/>
      <c r="S209" s="37">
        <f t="shared" si="59"/>
        <v>1</v>
      </c>
      <c r="T209" s="52" t="str">
        <f t="shared" si="60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01:05:52-0600',mode:absolute,to:'1969-12-31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09" s="54" t="str">
        <f t="shared" si="62"/>
        <v>Y</v>
      </c>
      <c r="X209" s="168">
        <f t="shared" si="53"/>
        <v>2</v>
      </c>
      <c r="Y209" s="69">
        <f t="shared" si="63"/>
        <v>4.7500000000000001E-2</v>
      </c>
      <c r="Z209" s="69">
        <f t="shared" si="64"/>
        <v>2.3007</v>
      </c>
      <c r="AA209" s="69">
        <f t="shared" si="65"/>
        <v>2.2532000000000001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66"/>
        <v>0315-19</v>
      </c>
      <c r="AE209" s="99" t="str">
        <f t="shared" si="67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09" s="96" t="str">
        <f t="shared" si="68"/>
        <v>"C:\Program Files (x86)\AstroGrep\AstroGrep.exe" /spath="%USERPROFILE%\AppData\Local\Temp\OnboardLogs" /stypes="app*4002*19691231*" /stext=" 23:.+((SYSTEM_STATE.+slice.+state.+changed )|(ment ac)|(system.+state.+changed )|(\|lc)|(penalty)|(\[timeout)|(PRM\|1\|D)|(kpr)|(kdp))" /e /r /s</v>
      </c>
      <c r="AG209" s="1" t="str">
        <f t="shared" si="69"/>
        <v>Other</v>
      </c>
      <c r="AH209" s="100" t="str">
        <f t="shared" si="54"/>
        <v>"%USERPROFILE%\Documents\GitHub\eaglep3\Utilities\RefineRTDCRunTimes.py" --tripid 315-19 --locoid 4002 --swversion DE.1.0.7.0 --startMP 204:475 --initTime 2016-09-20T02:05:52 --startdatetime 1969-12-31T17:00:00 --delay 1 --endMP 300:23007 --enddatetime 1969-12-31T17:00:00 --enforcementcount 0 &gt;&gt;C:\Users\stu\Documents\GitHub\eaglep3-reporting\EC\2016-09-20-refined-times.txt</v>
      </c>
      <c r="AI209" s="134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{"issue":{"subject":"","project_id":79,"tracker_id":40,"status_id":1,"priority_id":2,"assigned_to_id":23,"start_date":"1969-12-31","description":"","custom_fields":[{"id":1,"name":"Subdivision","value":"Other"},{"id":4,"name":"Milepost","value":"2.3007"},{"id":17,"name":"Train ID","value":"315-19"},{"id":16,"name":"Locomotive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598</v>
      </c>
      <c r="B210" s="7">
        <v>4011</v>
      </c>
      <c r="C210" s="24" t="s">
        <v>106</v>
      </c>
      <c r="D210" s="24" t="s">
        <v>294</v>
      </c>
      <c r="E210" s="15">
        <v>42634.091840277775</v>
      </c>
      <c r="F210" s="15">
        <v>42634.093807870369</v>
      </c>
      <c r="G210" s="7">
        <v>1</v>
      </c>
      <c r="H210" s="15" t="s">
        <v>683</v>
      </c>
      <c r="I210" s="15">
        <v>42634.099456018521</v>
      </c>
      <c r="J210" s="7">
        <v>0</v>
      </c>
      <c r="K210" s="121" t="str">
        <f t="shared" si="56"/>
        <v>4011/4012</v>
      </c>
      <c r="L210" s="24" t="str">
        <f>VLOOKUP(A210,'Trips&amp;Operators'!$C$1:$E$10000,3,FALSE)</f>
        <v>CHANDLER</v>
      </c>
      <c r="M210" s="6">
        <f t="shared" si="57"/>
        <v>5.6481481515220366E-3</v>
      </c>
      <c r="N210" s="7">
        <f t="shared" si="58"/>
        <v>8.1333333381917328</v>
      </c>
      <c r="O210" s="7"/>
      <c r="P210" s="7"/>
      <c r="Q210" s="25"/>
      <c r="R210" s="25"/>
      <c r="S210" s="37">
        <f t="shared" si="59"/>
        <v>1</v>
      </c>
      <c r="T210" s="52" t="str">
        <f t="shared" si="60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https://search-rtdc-monitor-bjffxe2xuh6vdkpspy63sjmuny.us-east-1.es.amazonaws.com/_plugin/kibana/#/discover/Steve-Slow-Train-Analysis-(2080s-and-2083s)?_g=(refreshInterval:(display:Off,section:0,value:0),time:(from:'2016-09-21 01:12:15-0600',mode:absolute,to:'2016-09-21 03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10" s="54" t="str">
        <f t="shared" si="62"/>
        <v>Y</v>
      </c>
      <c r="X210" s="168">
        <f t="shared" si="53"/>
        <v>0</v>
      </c>
      <c r="Y210" s="69">
        <f t="shared" si="63"/>
        <v>4.82E-2</v>
      </c>
      <c r="Z210" s="69">
        <f t="shared" si="64"/>
        <v>2.2827999999999999</v>
      </c>
      <c r="AA210" s="69">
        <f t="shared" si="65"/>
        <v>2.2345999999999999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66"/>
        <v>0315-20</v>
      </c>
      <c r="AE210" s="99" t="str">
        <f t="shared" si="67"/>
        <v>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 &amp; 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</v>
      </c>
      <c r="AF210" s="96" t="str">
        <f t="shared" si="68"/>
        <v>"C:\Program Files (x86)\AstroGrep\AstroGrep.exe" /spath="%USERPROFILE%\AppData\Local\Temp\OnboardLogs" /stypes="app*4011*20160921*" /stext=" 08:.+((SYSTEM_STATE.+slice.+state.+changed )|(ment ac)|(system.+state.+changed )|(\|lc)|(penalty)|(\[timeout)|(PRM\|1\|D)|(kpr)|(kdp))" /e /r /s</v>
      </c>
      <c r="AG210" s="1" t="str">
        <f t="shared" si="69"/>
        <v>Other</v>
      </c>
      <c r="AH210" s="100" t="str">
        <f t="shared" si="54"/>
        <v>"%USERPROFILE%\Documents\GitHub\eaglep3\Utilities\RefineRTDCRunTimes.py" --tripid 315-20 --locoid 4011 --swversion DE.1.0.7.0 --startMP 204:482 --initTime 2016-09-21T02:12:15 --startdatetime 2016-09-21T02:15:05 --delay 1 --endMP 300:22828 --enddatetime 2016-09-21T02:23:13 --enforcementcount 0 &gt;&gt;C:\Users\stu\Documents\GitHub\eaglep3-reporting\EC\2016-09-20-refined-times.txt</v>
      </c>
      <c r="AI210" s="134" t="str">
        <f t="shared" si="55"/>
        <v>echo {"issue":{"subject":"","project_id":79,"tracker_id":40,"status_id":1,"priority_id":2,"assigned_to_id":23,"start_date":"2016-09-21","description":"","custom_fields":[{"id":1,"name":"Subdivision","value":"Other"},{"id":4,"name":"Milepost","value":"2.2828"},{"id":17,"name":"Train ID","value":"315-20"},{"id":16,"name":"Locomotive ID","value":"4011"},{"id":130,"name":"Impact","value":""},{"id":150,"name":"Time of Event (Mountain Time)","value":"02:23:13"},{"id":151,"name":"Denver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s="23" customFormat="1" x14ac:dyDescent="0.25">
      <c r="A211" s="39" t="s">
        <v>432</v>
      </c>
      <c r="B211" s="7">
        <v>4020</v>
      </c>
      <c r="C211" s="24" t="s">
        <v>106</v>
      </c>
      <c r="D211" s="24" t="s">
        <v>700</v>
      </c>
      <c r="E211" s="15">
        <v>42633.356064814812</v>
      </c>
      <c r="F211" s="15">
        <v>42633.358159722222</v>
      </c>
      <c r="G211" s="7">
        <v>1</v>
      </c>
      <c r="H211" s="15" t="s">
        <v>756</v>
      </c>
      <c r="I211" s="15">
        <v>42633.364629629628</v>
      </c>
      <c r="J211" s="7">
        <v>0</v>
      </c>
      <c r="K211" s="121" t="str">
        <f t="shared" si="56"/>
        <v>4019/4020</v>
      </c>
      <c r="L211" s="24" t="str">
        <f>VLOOKUP(A211,'Trips&amp;Operators'!$C$1:$E$10000,3,FALSE)</f>
        <v>STARKS</v>
      </c>
      <c r="M211" s="6">
        <f t="shared" si="57"/>
        <v>6.4699074064265005E-3</v>
      </c>
      <c r="N211" s="7">
        <f t="shared" si="58"/>
        <v>9.3166666652541608</v>
      </c>
      <c r="O211" s="7"/>
      <c r="P211" s="7"/>
      <c r="Q211" s="25"/>
      <c r="R211" s="25"/>
      <c r="S211" s="37">
        <f t="shared" si="59"/>
        <v>1</v>
      </c>
      <c r="T211" s="52" t="str">
        <f t="shared" si="60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07:32:44-0600',mode:absolute,to:'2016-09-20 09:45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11" s="54" t="str">
        <f t="shared" si="62"/>
        <v>Y</v>
      </c>
      <c r="X211" s="168">
        <f t="shared" ref="X211:X222" si="70">VALUE(LEFT(AD211,4))-VALUE(LEFT(AD210,4))</f>
        <v>588</v>
      </c>
      <c r="Y211" s="69">
        <f t="shared" si="63"/>
        <v>0.11</v>
      </c>
      <c r="Z211" s="69">
        <f t="shared" si="64"/>
        <v>2.4235000000000002</v>
      </c>
      <c r="AA211" s="69">
        <f t="shared" si="65"/>
        <v>2.3135000000000003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66"/>
        <v>0903-20</v>
      </c>
      <c r="AE211" s="99" t="str">
        <f t="shared" si="67"/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211" s="96" t="str">
        <f t="shared" si="68"/>
        <v>"C:\Program Files (x86)\AstroGrep\AstroGrep.exe" /spath="%USERPROFILE%\AppData\Local\Temp\OnboardLogs" /stypes="app*4020*20160920*" /stext=" 14:.+((SYSTEM_STATE.+slice.+state.+changed )|(ment ac)|(system.+state.+changed )|(\|lc)|(penalty)|(\[timeout)|(PRM\|1\|D)|(kpr)|(kdp))" /e /r /s</v>
      </c>
      <c r="AG211" s="1" t="str">
        <f t="shared" si="69"/>
        <v>Other</v>
      </c>
      <c r="AH211" s="100" t="str">
        <f t="shared" si="54"/>
        <v>"%USERPROFILE%\Documents\GitHub\eaglep3\Utilities\RefineRTDCRunTimes.py" --tripid 903-20 --locoid 4020 --swversion DE.1.0.7.0 --startMP 204:1100 --initTime 2016-09-20T08:32:44 --startdatetime 2016-09-20T08:35:45 --delay 1 --endMP 300:24235 --enddatetime 2016-09-20T08:45:04 --enforcementcount 0 &gt;&gt;C:\Users\stu\Documents\GitHub\eaglep3-reporting\EC\2016-09-20-refined-times.txt</v>
      </c>
      <c r="AI211" s="134" t="str">
        <f t="shared" si="55"/>
        <v>echo {"issue":{"subject":"","project_id":79,"tracker_id":40,"status_id":1,"priority_id":2,"assigned_to_id":23,"start_date":"2016-09-20","description":"","custom_fields":[{"id":1,"name":"Subdivision","value":"Other"},{"id":4,"name":"Milepost","value":"2.4235"},{"id":17,"name":"Train ID","value":"903-20"},{"id":16,"name":"Locomotive ID","value":"4020"},{"id":130,"name":"Impact","value":""},{"id":150,"name":"Time of Event (Mountain Time)","value":"08:45:04"},{"id":151,"name":"Denver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510</v>
      </c>
      <c r="B212" s="7">
        <v>4019</v>
      </c>
      <c r="C212" s="24" t="s">
        <v>106</v>
      </c>
      <c r="D212" s="24" t="s">
        <v>757</v>
      </c>
      <c r="E212" s="15">
        <v>42633.639675925922</v>
      </c>
      <c r="F212" s="15">
        <v>42633.644629629627</v>
      </c>
      <c r="G212" s="7">
        <v>7</v>
      </c>
      <c r="H212" s="15" t="s">
        <v>742</v>
      </c>
      <c r="I212" s="15">
        <v>42633.651145833333</v>
      </c>
      <c r="J212" s="7">
        <v>0</v>
      </c>
      <c r="K212" s="121" t="str">
        <f t="shared" si="56"/>
        <v>4019/4020</v>
      </c>
      <c r="L212" s="24" t="str">
        <f>VLOOKUP(A212,'Trips&amp;Operators'!$C$1:$E$10000,3,FALSE)</f>
        <v>STURGEON</v>
      </c>
      <c r="M212" s="6">
        <f t="shared" si="57"/>
        <v>6.5162037062691525E-3</v>
      </c>
      <c r="N212" s="7">
        <f t="shared" si="58"/>
        <v>9.3833333370275795</v>
      </c>
      <c r="O212" s="7"/>
      <c r="P212" s="7"/>
      <c r="Q212" s="25"/>
      <c r="R212" s="25"/>
      <c r="S212" s="37">
        <f t="shared" si="59"/>
        <v>1</v>
      </c>
      <c r="T212" s="52" t="str">
        <f t="shared" si="60"/>
        <v>Southbound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14:21:08-0600',mode:absolute,to:'2016-09-20 16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2" s="54" t="str">
        <f t="shared" si="62"/>
        <v>Y</v>
      </c>
      <c r="X212" s="168">
        <f t="shared" si="70"/>
        <v>1</v>
      </c>
      <c r="Y212" s="69">
        <f t="shared" si="63"/>
        <v>2.3176999999999999</v>
      </c>
      <c r="Z212" s="69">
        <f t="shared" si="64"/>
        <v>7.1499999999999994E-2</v>
      </c>
      <c r="AA212" s="69">
        <f t="shared" si="65"/>
        <v>2.2462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66"/>
        <v>0904-20</v>
      </c>
      <c r="AE212" s="99" t="str">
        <f t="shared" si="67"/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212" s="96" t="str">
        <f t="shared" si="68"/>
        <v>"C:\Program Files (x86)\AstroGrep\AstroGrep.exe" /spath="%USERPROFILE%\AppData\Local\Temp\OnboardLogs" /stypes="app*4019*20160920*" /stext=" 21:.+((SYSTEM_STATE.+slice.+state.+changed )|(ment ac)|(system.+state.+changed )|(\|lc)|(penalty)|(\[timeout)|(PRM\|1\|D)|(kpr)|(kdp))" /e /r /s</v>
      </c>
      <c r="AG212" s="1" t="str">
        <f t="shared" si="69"/>
        <v>Other</v>
      </c>
      <c r="AH212" s="100" t="str">
        <f t="shared" si="54"/>
        <v>"%USERPROFILE%\Documents\GitHub\eaglep3\Utilities\RefineRTDCRunTimes.py" --tripid 904-20 --locoid 4019 --swversion DE.1.0.7.0 --startMP 300:23177 --initTime 2016-09-20T15:21:08 --startdatetime 2016-09-20T15:28:16 --delay 7 --endMP 204:715 --enddatetime 2016-09-20T15:37:39 --enforcementcount 0 &gt;&gt;C:\Users\stu\Documents\GitHub\eaglep3-reporting\EC\2016-09-20-refined-times.txt</v>
      </c>
      <c r="AI212" s="134" t="str">
        <f t="shared" si="55"/>
        <v>echo {"issue":{"subject":"","project_id":79,"tracker_id":40,"status_id":1,"priority_id":2,"assigned_to_id":23,"start_date":"2016-09-20","description":"","custom_fields":[{"id":1,"name":"Subdivision","value":"Other"},{"id":4,"name":"Milepost","value":"0.0715"},{"id":17,"name":"Train ID","value":"904-20"},{"id":16,"name":"Locomotive ID","value":"4019"},{"id":130,"name":"Impact","value":""},{"id":150,"name":"Time of Event (Mountain Time)","value":"15:37:39"},{"id":151,"name":"Denver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561</v>
      </c>
      <c r="B213" s="7">
        <v>4019</v>
      </c>
      <c r="C213" s="24" t="s">
        <v>106</v>
      </c>
      <c r="D213" s="24" t="s">
        <v>726</v>
      </c>
      <c r="E213" s="15">
        <v>42633.798437500001</v>
      </c>
      <c r="F213" s="15">
        <v>25568.708333333332</v>
      </c>
      <c r="G213" s="7">
        <v>1</v>
      </c>
      <c r="H213" s="15" t="s">
        <v>758</v>
      </c>
      <c r="I213" s="15">
        <v>25568.708333333332</v>
      </c>
      <c r="J213" s="7">
        <v>0</v>
      </c>
      <c r="K213" s="121" t="str">
        <f t="shared" si="56"/>
        <v>4019/4020</v>
      </c>
      <c r="L213" s="24" t="str">
        <f>VLOOKUP(A213,'Trips&amp;Operators'!$C$1:$E$10000,3,FALSE)</f>
        <v>STURGEON</v>
      </c>
      <c r="M213" s="6">
        <f t="shared" si="57"/>
        <v>0</v>
      </c>
      <c r="N213" s="7">
        <f t="shared" si="58"/>
        <v>0</v>
      </c>
      <c r="O213" s="7"/>
      <c r="P213" s="7"/>
      <c r="Q213" s="25"/>
      <c r="R213" s="25"/>
      <c r="S213" s="37">
        <f t="shared" si="59"/>
        <v>0</v>
      </c>
      <c r="T213" s="52" t="str">
        <f t="shared" si="60"/>
        <v>Southbound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18:09:45-0600',mode:absolute,to:'1969-12-31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3" s="54" t="str">
        <f t="shared" si="62"/>
        <v>Y</v>
      </c>
      <c r="X213" s="168">
        <f t="shared" si="70"/>
        <v>2</v>
      </c>
      <c r="Y213" s="69">
        <f t="shared" si="63"/>
        <v>5.8620999999999999</v>
      </c>
      <c r="Z213" s="69">
        <f t="shared" si="64"/>
        <v>2.8767</v>
      </c>
      <c r="AA213" s="69">
        <f t="shared" si="65"/>
        <v>2.9853999999999998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66"/>
        <v>0906-20</v>
      </c>
      <c r="AE213" s="99" t="str">
        <f t="shared" si="67"/>
        <v>aws s3 cp s3://rtdc.mdm.uploadarchive/RTDC4019/1969-12-31/ "%USERPROFILE%\AppData\Local\Temp\OnboardLogs"\RTDC4019\1969-12-31 --recursive &amp; "%USERPROFILE%\Documents\GitHub\mrs-test-scripts\Headless Mode &amp; Sideloading\WalkAndUnGZ.bat" "%USERPROFILE%\AppData\Local\Temp\OnboardLogs"\RTDC4019\1969-12-31 &amp; aws s3 cp s3://rtdc.mdm.uploadarchive/RTDC4019/1970-01-01/ "%USERPROFILE%\AppData\Local\Temp\OnboardLogs"\RTDC4019\1970-01-01 --recursive &amp; "%USERPROFILE%\Documents\GitHub\mrs-test-scripts\Headless Mode &amp; Sideloading\WalkAndUnGZ.bat" "%USERPROFILE%\AppData\Local\Temp\OnboardLogs"\RTDC4019\1970-01-01</v>
      </c>
      <c r="AF213" s="96" t="str">
        <f t="shared" si="68"/>
        <v>"C:\Program Files (x86)\AstroGrep\AstroGrep.exe" /spath="%USERPROFILE%\AppData\Local\Temp\OnboardLogs" /stypes="app*4019*19691231*" /stext=" 23:.+((SYSTEM_STATE.+slice.+state.+changed )|(ment ac)|(system.+state.+changed )|(\|lc)|(penalty)|(\[timeout)|(PRM\|1\|D)|(kpr)|(kdp))" /e /r /s</v>
      </c>
      <c r="AG213" s="1" t="str">
        <f t="shared" si="69"/>
        <v>Other</v>
      </c>
      <c r="AH213" s="100" t="str">
        <f t="shared" si="54"/>
        <v>"%USERPROFILE%\Documents\GitHub\eaglep3\Utilities\RefineRTDCRunTimes.py" --tripid 906-20 --locoid 4019 --swversion DE.1.0.7.0 --startMP 300:58621 --initTime 2016-09-20T19:09:45 --startdatetime 1969-12-31T17:00:00 --delay 1 --endMP 300:28767 --enddatetime 1969-12-31T17:00:00 --enforcementcount 0 &gt;&gt;C:\Users\stu\Documents\GitHub\eaglep3-reporting\EC\2016-09-20-refined-times.txt</v>
      </c>
      <c r="AI213" s="134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{"issue":{"subject":"","project_id":79,"tracker_id":40,"status_id":1,"priority_id":2,"assigned_to_id":23,"start_date":"1969-12-31","description":"","custom_fields":[{"id":1,"name":"Subdivision","value":"Other"},{"id":4,"name":"Milepost","value":"2.8767"},{"id":17,"name":"Train ID","value":"906-20"},{"id":16,"name":"Locomotive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584</v>
      </c>
      <c r="B214" s="7">
        <v>4045</v>
      </c>
      <c r="C214" s="24" t="s">
        <v>106</v>
      </c>
      <c r="D214" s="24" t="s">
        <v>723</v>
      </c>
      <c r="E214" s="15">
        <v>42633.94327546296</v>
      </c>
      <c r="F214" s="15">
        <v>42633.945196759261</v>
      </c>
      <c r="G214" s="7">
        <v>1</v>
      </c>
      <c r="H214" s="15" t="s">
        <v>759</v>
      </c>
      <c r="I214" s="15">
        <v>42633.949907407405</v>
      </c>
      <c r="J214" s="7">
        <v>0</v>
      </c>
      <c r="K214" s="121" t="str">
        <f t="shared" si="56"/>
        <v>4045/4046</v>
      </c>
      <c r="L214" s="24" t="str">
        <f>VLOOKUP(A214,'Trips&amp;Operators'!$C$1:$E$10000,3,FALSE)</f>
        <v>STURGEON</v>
      </c>
      <c r="M214" s="6">
        <f t="shared" si="57"/>
        <v>4.7106481433729641E-3</v>
      </c>
      <c r="N214" s="7">
        <f t="shared" si="58"/>
        <v>6.7833333264570683</v>
      </c>
      <c r="O214" s="7"/>
      <c r="P214" s="7"/>
      <c r="Q214" s="25"/>
      <c r="R214" s="25"/>
      <c r="S214" s="37">
        <f t="shared" si="59"/>
        <v>0</v>
      </c>
      <c r="T214" s="52" t="str">
        <f t="shared" si="60"/>
        <v>Southbound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21:38:19-0600',mode:absolute,to:'2016-09-20 23:47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14" s="54" t="str">
        <f t="shared" si="62"/>
        <v>Y</v>
      </c>
      <c r="X214" s="168">
        <f t="shared" si="70"/>
        <v>2</v>
      </c>
      <c r="Y214" s="69">
        <f t="shared" si="63"/>
        <v>5.8608000000000002</v>
      </c>
      <c r="Z214" s="69">
        <f t="shared" si="64"/>
        <v>2.1738</v>
      </c>
      <c r="AA214" s="69">
        <f t="shared" si="65"/>
        <v>3.6870000000000003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66"/>
        <v>0908-20</v>
      </c>
      <c r="AE214" s="99" t="str">
        <f t="shared" si="67"/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214" s="96" t="str">
        <f t="shared" si="68"/>
        <v>"C:\Program Files (x86)\AstroGrep\AstroGrep.exe" /spath="%USERPROFILE%\AppData\Local\Temp\OnboardLogs" /stypes="app*4045*20160921*" /stext=" 04:.+((SYSTEM_STATE.+slice.+state.+changed )|(ment ac)|(system.+state.+changed )|(\|lc)|(penalty)|(\[timeout)|(PRM\|1\|D)|(kpr)|(kdp))" /e /r /s</v>
      </c>
      <c r="AG214" s="1" t="str">
        <f t="shared" si="69"/>
        <v>Other</v>
      </c>
      <c r="AH214" s="100" t="str">
        <f t="shared" si="54"/>
        <v>"%USERPROFILE%\Documents\GitHub\eaglep3\Utilities\RefineRTDCRunTimes.py" --tripid 908-20 --locoid 4045 --swversion DE.1.0.7.0 --startMP 300:58608 --initTime 2016-09-20T22:38:19 --startdatetime 2016-09-20T22:41:05 --delay 1 --endMP 300:21738 --enddatetime 2016-09-20T22:47:52 --enforcementcount 0 &gt;&gt;C:\Users\stu\Documents\GitHub\eaglep3-reporting\EC\2016-09-20-refined-times.txt</v>
      </c>
      <c r="AI214" s="134" t="str">
        <f t="shared" si="55"/>
        <v>echo {"issue":{"subject":"","project_id":79,"tracker_id":40,"status_id":1,"priority_id":2,"assigned_to_id":23,"start_date":"2016-09-20","description":"","custom_fields":[{"id":1,"name":"Subdivision","value":"Other"},{"id":4,"name":"Milepost","value":"2.1738"},{"id":17,"name":"Train ID","value":"908-20"},{"id":16,"name":"Locomotive ID","value":"4045"},{"id":130,"name":"Impact","value":""},{"id":150,"name":"Time of Event (Mountain Time)","value":"22:47:52"},{"id":151,"name":"Denver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462</v>
      </c>
      <c r="B215" s="7">
        <v>4022</v>
      </c>
      <c r="C215" s="24" t="s">
        <v>106</v>
      </c>
      <c r="D215" s="24" t="s">
        <v>684</v>
      </c>
      <c r="E215" s="15">
        <v>42633.472951388889</v>
      </c>
      <c r="F215" s="15">
        <v>25568.708333333332</v>
      </c>
      <c r="G215" s="7">
        <v>1</v>
      </c>
      <c r="H215" s="15" t="s">
        <v>685</v>
      </c>
      <c r="I215" s="15">
        <v>25568.708333333332</v>
      </c>
      <c r="J215" s="7">
        <v>0</v>
      </c>
      <c r="K215" s="121" t="str">
        <f t="shared" si="56"/>
        <v>4021/4022</v>
      </c>
      <c r="L215" s="24" t="str">
        <f>VLOOKUP(A215,'Trips&amp;Operators'!$C$1:$E$10000,3,FALSE)</f>
        <v>GRASTON</v>
      </c>
      <c r="M215" s="6">
        <f t="shared" si="57"/>
        <v>0</v>
      </c>
      <c r="N215" s="7">
        <f t="shared" si="58"/>
        <v>0</v>
      </c>
      <c r="O215" s="7"/>
      <c r="P215" s="7"/>
      <c r="Q215" s="25"/>
      <c r="R215" s="25"/>
      <c r="S215" s="37">
        <f t="shared" si="59"/>
        <v>0</v>
      </c>
      <c r="T215" s="52" t="e">
        <f t="shared" si="60"/>
        <v>#VALUE!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10:21:03-0600',mode:absolute,to:'1969-12-31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15" s="54" t="str">
        <f t="shared" si="62"/>
        <v>Y</v>
      </c>
      <c r="X215" s="168" t="e">
        <f t="shared" si="70"/>
        <v>#VALUE!</v>
      </c>
      <c r="Y215" s="69">
        <f t="shared" si="63"/>
        <v>3.3700000000000001E-2</v>
      </c>
      <c r="Z215" s="69">
        <f t="shared" si="64"/>
        <v>2.3346</v>
      </c>
      <c r="AA215" s="69">
        <f t="shared" si="65"/>
        <v>2.3008999999999999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66"/>
        <v>50-20</v>
      </c>
      <c r="AE215" s="99" t="str">
        <f t="shared" si="67"/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15" s="96" t="str">
        <f t="shared" si="68"/>
        <v>"C:\Program Files (x86)\AstroGrep\AstroGrep.exe" /spath="%USERPROFILE%\AppData\Local\Temp\OnboardLogs" /stypes="app*4022*19691231*" /stext=" 23:.+((SYSTEM_STATE.+slice.+state.+changed )|(ment ac)|(system.+state.+changed )|(\|lc)|(penalty)|(\[timeout)|(PRM\|1\|D)|(kpr)|(kdp))" /e /r /s</v>
      </c>
      <c r="AG215" s="1" t="str">
        <f t="shared" si="69"/>
        <v>Other</v>
      </c>
      <c r="AH215" s="100" t="str">
        <f t="shared" si="54"/>
        <v>"%USERPROFILE%\Documents\GitHub\eaglep3\Utilities\RefineRTDCRunTimes.py" --tripid 50-20 --locoid 4022 --swversion DE.1.0.7.0 --startMP 204:337 --initTime 2016-09-20T11:21:03 --startdatetime 1969-12-31T17:00:00 --delay 1 --endMP 300:23346 --enddatetime 1969-12-31T17:00:00 --enforcementcount 0 &gt;&gt;C:\Users\stu\Documents\GitHub\eaglep3-reporting\EC\2016-09-20-refined-times.txt</v>
      </c>
      <c r="AI215" s="134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ID","value":"50-20"},{"id":16,"name":"Locomotive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471</v>
      </c>
      <c r="B216" s="7">
        <v>4006</v>
      </c>
      <c r="C216" s="24" t="s">
        <v>106</v>
      </c>
      <c r="D216" s="24" t="s">
        <v>686</v>
      </c>
      <c r="E216" s="15">
        <v>42633.494004629632</v>
      </c>
      <c r="F216" s="15">
        <v>25568.708333333332</v>
      </c>
      <c r="G216" s="7">
        <v>1</v>
      </c>
      <c r="H216" s="15" t="s">
        <v>685</v>
      </c>
      <c r="I216" s="15">
        <v>25568.708333333332</v>
      </c>
      <c r="J216" s="7">
        <v>0</v>
      </c>
      <c r="K216" s="121" t="str">
        <f t="shared" si="56"/>
        <v>4005/4006</v>
      </c>
      <c r="L216" s="24" t="str">
        <f>VLOOKUP(A216,'Trips&amp;Operators'!$C$1:$E$10000,3,FALSE)</f>
        <v>DAVIS</v>
      </c>
      <c r="M216" s="6">
        <f t="shared" si="57"/>
        <v>0</v>
      </c>
      <c r="N216" s="7">
        <f t="shared" si="58"/>
        <v>0</v>
      </c>
      <c r="O216" s="7"/>
      <c r="P216" s="7"/>
      <c r="Q216" s="25"/>
      <c r="R216" s="25"/>
      <c r="S216" s="37">
        <f t="shared" si="59"/>
        <v>0</v>
      </c>
      <c r="T216" s="52" t="e">
        <f t="shared" si="60"/>
        <v>#VALUE!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10:51:22-0600',mode:absolute,to:'1969-12-31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6" s="54" t="str">
        <f t="shared" si="62"/>
        <v>Y</v>
      </c>
      <c r="X216" s="168" t="e">
        <f t="shared" si="70"/>
        <v>#VALUE!</v>
      </c>
      <c r="Y216" s="69">
        <f t="shared" si="63"/>
        <v>0.11840000000000001</v>
      </c>
      <c r="Z216" s="69">
        <f t="shared" si="64"/>
        <v>2.3346</v>
      </c>
      <c r="AA216" s="69">
        <f t="shared" si="65"/>
        <v>2.2162000000000002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66"/>
        <v>52-20</v>
      </c>
      <c r="AE216" s="99" t="str">
        <f t="shared" si="67"/>
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</c>
      <c r="AF216" s="96" t="str">
        <f t="shared" si="68"/>
        <v>"C:\Program Files (x86)\AstroGrep\AstroGrep.exe" /spath="%USERPROFILE%\AppData\Local\Temp\OnboardLogs" /stypes="app*4006*19691231*" /stext=" 23:.+((SYSTEM_STATE.+slice.+state.+changed )|(ment ac)|(system.+state.+changed )|(\|lc)|(penalty)|(\[timeout)|(PRM\|1\|D)|(kpr)|(kdp))" /e /r /s</v>
      </c>
      <c r="AG216" s="1" t="str">
        <f t="shared" si="69"/>
        <v>Other</v>
      </c>
      <c r="AH216" s="100" t="str">
        <f t="shared" si="54"/>
        <v>"%USERPROFILE%\Documents\GitHub\eaglep3\Utilities\RefineRTDCRunTimes.py" --tripid 52-20 --locoid 4006 --swversion DE.1.0.7.0 --startMP 204:1184 --initTime 2016-09-20T11:51:22 --startdatetime 1969-12-31T17:00:00 --delay 1 --endMP 300:23346 --enddatetime 1969-12-31T17:00:00 --enforcementcount 0 &gt;&gt;C:\Users\stu\Documents\GitHub\eaglep3-reporting\EC\2016-09-20-refined-times.txt</v>
      </c>
      <c r="AI216" s="134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ID","value":"52-20"},{"id":16,"name":"Locomotive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484</v>
      </c>
      <c r="B217" s="7">
        <v>4005</v>
      </c>
      <c r="C217" s="24" t="s">
        <v>106</v>
      </c>
      <c r="D217" s="24" t="s">
        <v>687</v>
      </c>
      <c r="E217" s="15">
        <v>42633.534918981481</v>
      </c>
      <c r="F217" s="15">
        <v>42633.539479166669</v>
      </c>
      <c r="G217" s="7">
        <v>6</v>
      </c>
      <c r="H217" s="15" t="s">
        <v>688</v>
      </c>
      <c r="I217" s="15">
        <v>42633.544675925928</v>
      </c>
      <c r="J217" s="7">
        <v>0</v>
      </c>
      <c r="K217" s="121" t="str">
        <f t="shared" si="56"/>
        <v>4005/4006</v>
      </c>
      <c r="L217" s="24" t="str">
        <f>VLOOKUP(A217,'Trips&amp;Operators'!$C$1:$E$10000,3,FALSE)</f>
        <v>BRUDER</v>
      </c>
      <c r="M217" s="6">
        <f t="shared" si="57"/>
        <v>5.1967592589790002E-3</v>
      </c>
      <c r="N217" s="7">
        <f t="shared" si="58"/>
        <v>7.4833333329297602</v>
      </c>
      <c r="O217" s="7"/>
      <c r="P217" s="7"/>
      <c r="Q217" s="25"/>
      <c r="R217" s="25"/>
      <c r="S217" s="37">
        <f t="shared" si="59"/>
        <v>0</v>
      </c>
      <c r="T217" s="52" t="e">
        <f t="shared" si="60"/>
        <v>#VALUE!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11:50:17-0600',mode:absolute,to:'2016-09-20 14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7" s="54" t="str">
        <f t="shared" si="62"/>
        <v>Y</v>
      </c>
      <c r="X217" s="168" t="e">
        <f t="shared" si="70"/>
        <v>#VALUE!</v>
      </c>
      <c r="Y217" s="69">
        <f t="shared" si="63"/>
        <v>2.1972999999999998</v>
      </c>
      <c r="Z217" s="69">
        <f t="shared" si="64"/>
        <v>1.0800000000000001E-2</v>
      </c>
      <c r="AA217" s="69">
        <f t="shared" si="65"/>
        <v>2.1864999999999997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66"/>
        <v>54-20</v>
      </c>
      <c r="AE217" s="99" t="str">
        <f t="shared" si="67"/>
        <v>aws s3 cp s3://rtdc.mdm.uploadarchive/RTDC4005/2016-09-20/ "%USERPROFILE%\AppData\Local\Temp\OnboardLogs"\RTDC4005\2016-09-20 --recursive &amp; "%USERPROFILE%\Documents\GitHub\mrs-test-scripts\Headless Mode &amp; Sideloading\WalkAndUnGZ.bat" "%USERPROFILE%\AppData\Local\Temp\OnboardLogs"\RTDC4005\2016-09-20 &amp; aws s3 cp s3://rtdc.mdm.uploadarchive/RTDC4005/2016-09-21/ "%USERPROFILE%\AppData\Local\Temp\OnboardLogs"\RTDC4005\2016-09-21 --recursive &amp; "%USERPROFILE%\Documents\GitHub\mrs-test-scripts\Headless Mode &amp; Sideloading\WalkAndUnGZ.bat" "%USERPROFILE%\AppData\Local\Temp\OnboardLogs"\RTDC4005\2016-09-21</v>
      </c>
      <c r="AF217" s="96" t="str">
        <f t="shared" si="68"/>
        <v>"C:\Program Files (x86)\AstroGrep\AstroGrep.exe" /spath="%USERPROFILE%\AppData\Local\Temp\OnboardLogs" /stypes="app*4005*20160920*" /stext=" 19:.+((SYSTEM_STATE.+slice.+state.+changed )|(ment ac)|(system.+state.+changed )|(\|lc)|(penalty)|(\[timeout)|(PRM\|1\|D)|(kpr)|(kdp))" /e /r /s</v>
      </c>
      <c r="AG217" s="1" t="str">
        <f t="shared" si="69"/>
        <v>Other</v>
      </c>
      <c r="AH217" s="100" t="str">
        <f t="shared" si="54"/>
        <v>"%USERPROFILE%\Documents\GitHub\eaglep3\Utilities\RefineRTDCRunTimes.py" --tripid 54-20 --locoid 4005 --swversion DE.1.0.7.0 --startMP 300:21973 --initTime 2016-09-20T12:50:17 --startdatetime 2016-09-20T12:56:51 --delay 6 --endMP 204:108 --enddatetime 2016-09-20T13:04:20 --enforcementcount 0 &gt;&gt;C:\Users\stu\Documents\GitHub\eaglep3-reporting\EC\2016-09-20-refined-times.txt</v>
      </c>
      <c r="AI217" s="134" t="str">
        <f t="shared" si="55"/>
        <v>echo {"issue":{"subject":"","project_id":79,"tracker_id":40,"status_id":1,"priority_id":2,"assigned_to_id":23,"start_date":"2016-09-20","description":"","custom_fields":[{"id":1,"name":"Subdivision","value":"Other"},{"id":4,"name":"Milepost","value":"0.0108"},{"id":17,"name":"Train ID","value":"54-20"},{"id":16,"name":"Locomotive ID","value":"4005"},{"id":130,"name":"Impact","value":""},{"id":150,"name":"Time of Event (Mountain Time)","value":"13:04:20"},{"id":151,"name":"Denver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527</v>
      </c>
      <c r="B218" s="7">
        <v>4005</v>
      </c>
      <c r="C218" s="24" t="s">
        <v>106</v>
      </c>
      <c r="D218" s="24" t="s">
        <v>689</v>
      </c>
      <c r="E218" s="15">
        <v>42633.692499999997</v>
      </c>
      <c r="F218" s="15">
        <v>25568.708333333332</v>
      </c>
      <c r="G218" s="7">
        <v>5</v>
      </c>
      <c r="H218" s="15" t="s">
        <v>690</v>
      </c>
      <c r="I218" s="15">
        <v>25568.708333333332</v>
      </c>
      <c r="J218" s="7">
        <v>0</v>
      </c>
      <c r="K218" s="121" t="str">
        <f t="shared" si="56"/>
        <v>4005/4006</v>
      </c>
      <c r="L218" s="24" t="str">
        <f>VLOOKUP(A218,'Trips&amp;Operators'!$C$1:$E$10000,3,FALSE)</f>
        <v>LEVERE</v>
      </c>
      <c r="M218" s="6">
        <f t="shared" si="57"/>
        <v>0</v>
      </c>
      <c r="N218" s="7">
        <f t="shared" si="58"/>
        <v>0</v>
      </c>
      <c r="O218" s="7"/>
      <c r="P218" s="7"/>
      <c r="Q218" s="25"/>
      <c r="R218" s="25"/>
      <c r="S218" s="37">
        <f t="shared" si="59"/>
        <v>0</v>
      </c>
      <c r="T218" s="52" t="e">
        <f t="shared" si="60"/>
        <v>#VALUE!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15:37:12-0600',mode:absolute,to:'1969-12-31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8" s="54" t="str">
        <f t="shared" si="62"/>
        <v>Y</v>
      </c>
      <c r="X218" s="168" t="e">
        <f t="shared" si="70"/>
        <v>#VALUE!</v>
      </c>
      <c r="Y218" s="69">
        <f t="shared" si="63"/>
        <v>2.4405999999999999</v>
      </c>
      <c r="Z218" s="69">
        <f t="shared" si="64"/>
        <v>2.4409000000000001</v>
      </c>
      <c r="AA218" s="69">
        <f t="shared" si="65"/>
        <v>3.00000000000189E-4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66"/>
        <v>56-20</v>
      </c>
      <c r="AE218" s="99" t="str">
        <f t="shared" si="67"/>
        <v>aws s3 cp s3://rtdc.mdm.uploadarchive/RTDC4005/1969-12-31/ "%USERPROFILE%\AppData\Local\Temp\OnboardLogs"\RTDC4005\1969-12-31 --recursive &amp; "%USERPROFILE%\Documents\GitHub\mrs-test-scripts\Headless Mode &amp; Sideloading\WalkAndUnGZ.bat" "%USERPROFILE%\AppData\Local\Temp\OnboardLogs"\RTDC4005\1969-12-31 &amp; aws s3 cp s3://rtdc.mdm.uploadarchive/RTDC4005/1970-01-01/ "%USERPROFILE%\AppData\Local\Temp\OnboardLogs"\RTDC4005\1970-01-01 --recursive &amp; "%USERPROFILE%\Documents\GitHub\mrs-test-scripts\Headless Mode &amp; Sideloading\WalkAndUnGZ.bat" "%USERPROFILE%\AppData\Local\Temp\OnboardLogs"\RTDC4005\1970-01-01</v>
      </c>
      <c r="AF218" s="96" t="str">
        <f t="shared" si="68"/>
        <v>"C:\Program Files (x86)\AstroGrep\AstroGrep.exe" /spath="%USERPROFILE%\AppData\Local\Temp\OnboardLogs" /stypes="app*4005*19691231*" /stext=" 23:.+((SYSTEM_STATE.+slice.+state.+changed )|(ment ac)|(system.+state.+changed )|(\|lc)|(penalty)|(\[timeout)|(PRM\|1\|D)|(kpr)|(kdp))" /e /r /s</v>
      </c>
      <c r="AG218" s="1" t="str">
        <f t="shared" si="69"/>
        <v>Other</v>
      </c>
      <c r="AH218" s="100" t="str">
        <f t="shared" si="54"/>
        <v>"%USERPROFILE%\Documents\GitHub\eaglep3\Utilities\RefineRTDCRunTimes.py" --tripid 56-20 --locoid 4005 --swversion DE.1.0.7.0 --startMP 300:24406 --initTime 2016-09-20T16:37:12 --startdatetime 1969-12-31T17:00:00 --delay 5 --endMP 300:24409 --enddatetime 1969-12-31T17:00:00 --enforcementcount 0 &gt;&gt;C:\Users\stu\Documents\GitHub\eaglep3-reporting\EC\2016-09-20-refined-times.txt</v>
      </c>
      <c r="AI218" s="134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{"issue":{"subject":"","project_id":79,"tracker_id":40,"status_id":1,"priority_id":2,"assigned_to_id":23,"start_date":"1969-12-31","description":"","custom_fields":[{"id":1,"name":"Subdivision","value":"Other"},{"id":4,"name":"Milepost","value":"2.4409"},{"id":17,"name":"Train ID","value":"56-20"},{"id":16,"name":"Locomotive ID","value":"4005"},{"id":130,"name":"Impact","value":""},{"id":150,"name":"Time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541</v>
      </c>
      <c r="B219" s="7">
        <v>4054</v>
      </c>
      <c r="C219" s="24" t="s">
        <v>106</v>
      </c>
      <c r="D219" s="24" t="s">
        <v>691</v>
      </c>
      <c r="E219" s="15">
        <v>42633.73542824074</v>
      </c>
      <c r="F219" s="15">
        <v>42633.738877314812</v>
      </c>
      <c r="G219" s="7">
        <v>4</v>
      </c>
      <c r="H219" s="15" t="s">
        <v>692</v>
      </c>
      <c r="I219" s="15">
        <v>42633.746400462966</v>
      </c>
      <c r="J219" s="7">
        <v>0</v>
      </c>
      <c r="K219" s="121" t="str">
        <f t="shared" si="56"/>
        <v>4053/4054</v>
      </c>
      <c r="L219" s="24" t="str">
        <f>VLOOKUP(A219,'Trips&amp;Operators'!$C$1:$E$10000,3,FALSE)</f>
        <v>MAHAN</v>
      </c>
      <c r="M219" s="6">
        <f t="shared" si="57"/>
        <v>7.5231481532682665E-3</v>
      </c>
      <c r="N219" s="7">
        <f t="shared" si="58"/>
        <v>10.833333340706304</v>
      </c>
      <c r="O219" s="7"/>
      <c r="P219" s="7"/>
      <c r="Q219" s="25"/>
      <c r="R219" s="25"/>
      <c r="S219" s="37">
        <f t="shared" si="59"/>
        <v>0</v>
      </c>
      <c r="T219" s="52" t="e">
        <f t="shared" si="60"/>
        <v>#VALUE!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16:39:01-0600',mode:absolute,to:'2016-09-20 18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219" s="54" t="str">
        <f t="shared" si="62"/>
        <v>Y</v>
      </c>
      <c r="X219" s="168" t="e">
        <f t="shared" si="70"/>
        <v>#VALUE!</v>
      </c>
      <c r="Y219" s="69">
        <f t="shared" si="63"/>
        <v>2.3254999999999999</v>
      </c>
      <c r="Z219" s="69">
        <f t="shared" si="64"/>
        <v>8.5900000000000004E-2</v>
      </c>
      <c r="AA219" s="69">
        <f t="shared" si="65"/>
        <v>2.2395999999999998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66"/>
        <v>58-20</v>
      </c>
      <c r="AE219" s="99" t="str">
        <f t="shared" si="67"/>
        <v>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 &amp; aws s3 cp s3://rtdc.mdm.uploadarchive/RTDC4054/2016-09-21/ "%USERPROFILE%\AppData\Local\Temp\OnboardLogs"\RTDC4054\2016-09-21 --recursive &amp; "%USERPROFILE%\Documents\GitHub\mrs-test-scripts\Headless Mode &amp; Sideloading\WalkAndUnGZ.bat" "%USERPROFILE%\AppData\Local\Temp\OnboardLogs"\RTDC4054\2016-09-21</v>
      </c>
      <c r="AF219" s="96" t="str">
        <f t="shared" si="68"/>
        <v>"C:\Program Files (x86)\AstroGrep\AstroGrep.exe" /spath="%USERPROFILE%\AppData\Local\Temp\OnboardLogs" /stypes="app*4054*20160920*" /stext=" 23:.+((SYSTEM_STATE.+slice.+state.+changed )|(ment ac)|(system.+state.+changed )|(\|lc)|(penalty)|(\[timeout)|(PRM\|1\|D)|(kpr)|(kdp))" /e /r /s</v>
      </c>
      <c r="AG219" s="1" t="str">
        <f t="shared" si="69"/>
        <v>Other</v>
      </c>
      <c r="AH219" s="100" t="str">
        <f t="shared" si="54"/>
        <v>"%USERPROFILE%\Documents\GitHub\eaglep3\Utilities\RefineRTDCRunTimes.py" --tripid 58-20 --locoid 4054 --swversion DE.1.0.7.0 --startMP 300:23255 --initTime 2016-09-20T17:39:01 --startdatetime 2016-09-20T17:43:59 --delay 4 --endMP 204:859 --enddatetime 2016-09-20T17:54:49 --enforcementcount 0 &gt;&gt;C:\Users\stu\Documents\GitHub\eaglep3-reporting\EC\2016-09-20-refined-times.txt</v>
      </c>
      <c r="AI219" s="134" t="str">
        <f t="shared" si="55"/>
        <v>echo {"issue":{"subject":"","project_id":79,"tracker_id":40,"status_id":1,"priority_id":2,"assigned_to_id":23,"start_date":"2016-09-20","description":"","custom_fields":[{"id":1,"name":"Subdivision","value":"Other"},{"id":4,"name":"Milepost","value":"0.0859"},{"id":17,"name":"Train ID","value":"58-20"},{"id":16,"name":"Locomotive ID","value":"4054"},{"id":130,"name":"Impact","value":""},{"id":150,"name":"Time of Event (Mountain Time)","value":"17:54:49"},{"id":151,"name":"Denver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539</v>
      </c>
      <c r="B220" s="7">
        <v>4006</v>
      </c>
      <c r="C220" s="24" t="s">
        <v>106</v>
      </c>
      <c r="D220" s="24" t="s">
        <v>693</v>
      </c>
      <c r="E220" s="15">
        <v>42633.734699074077</v>
      </c>
      <c r="F220" s="15">
        <v>42633.73642361111</v>
      </c>
      <c r="G220" s="7">
        <v>1</v>
      </c>
      <c r="H220" s="15" t="s">
        <v>694</v>
      </c>
      <c r="I220" s="15">
        <v>42633.743726851855</v>
      </c>
      <c r="J220" s="7">
        <v>0</v>
      </c>
      <c r="K220" s="121" t="str">
        <f t="shared" si="56"/>
        <v>4005/4006</v>
      </c>
      <c r="L220" s="24" t="str">
        <f>VLOOKUP(A220,'Trips&amp;Operators'!$C$1:$E$10000,3,FALSE)</f>
        <v>CLARK</v>
      </c>
      <c r="M220" s="6">
        <f t="shared" si="57"/>
        <v>7.3032407453865744E-3</v>
      </c>
      <c r="N220" s="7">
        <f t="shared" si="58"/>
        <v>10.516666673356667</v>
      </c>
      <c r="O220" s="7"/>
      <c r="P220" s="7"/>
      <c r="Q220" s="25"/>
      <c r="R220" s="25"/>
      <c r="S220" s="37">
        <f t="shared" si="59"/>
        <v>0</v>
      </c>
      <c r="T220" s="52" t="e">
        <f t="shared" si="60"/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16:37:58-0600',mode:absolute,to:'2016-09-20 18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0" s="54" t="str">
        <f t="shared" si="62"/>
        <v>Y</v>
      </c>
      <c r="X220" s="168" t="e">
        <f t="shared" si="70"/>
        <v>#VALUE!</v>
      </c>
      <c r="Y220" s="69">
        <f t="shared" si="63"/>
        <v>3.7199999999999997E-2</v>
      </c>
      <c r="Z220" s="69">
        <f t="shared" si="64"/>
        <v>2.2759</v>
      </c>
      <c r="AA220" s="69">
        <f t="shared" si="65"/>
        <v>2.2387000000000001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 t="shared" si="66"/>
        <v>61-20</v>
      </c>
      <c r="AE220" s="99" t="str">
        <f t="shared" si="67"/>
        <v>aws s3 cp s3://rtdc.mdm.uploadarchive/RTDC4006/2016-09-20/ "%USERPROFILE%\AppData\Local\Temp\OnboardLogs"\RTDC4006\2016-09-20 --recursive &amp; "%USERPROFILE%\Documents\GitHub\mrs-test-scripts\Headless Mode &amp; Sideloading\WalkAndUnGZ.bat" "%USERPROFILE%\AppData\Local\Temp\OnboardLogs"\RTDC4006\2016-09-20 &amp; aws s3 cp s3://rtdc.mdm.uploadarchive/RTDC4006/2016-09-21/ "%USERPROFILE%\AppData\Local\Temp\OnboardLogs"\RTDC4006\2016-09-21 --recursive &amp; "%USERPROFILE%\Documents\GitHub\mrs-test-scripts\Headless Mode &amp; Sideloading\WalkAndUnGZ.bat" "%USERPROFILE%\AppData\Local\Temp\OnboardLogs"\RTDC4006\2016-09-21</v>
      </c>
      <c r="AF220" s="96" t="str">
        <f t="shared" si="68"/>
        <v>"C:\Program Files (x86)\AstroGrep\AstroGrep.exe" /spath="%USERPROFILE%\AppData\Local\Temp\OnboardLogs" /stypes="app*4006*20160920*" /stext=" 23:.+((SYSTEM_STATE.+slice.+state.+changed )|(ment ac)|(system.+state.+changed )|(\|lc)|(penalty)|(\[timeout)|(PRM\|1\|D)|(kpr)|(kdp))" /e /r /s</v>
      </c>
      <c r="AG220" s="1" t="str">
        <f t="shared" si="69"/>
        <v>Other</v>
      </c>
      <c r="AH220" s="100" t="str">
        <f t="shared" si="54"/>
        <v>"%USERPROFILE%\Documents\GitHub\eaglep3\Utilities\RefineRTDCRunTimes.py" --tripid 61-20 --locoid 4006 --swversion DE.1.0.7.0 --startMP 204:372 --initTime 2016-09-20T17:37:58 --startdatetime 2016-09-20T17:40:27 --delay 1 --endMP 300:22759 --enddatetime 2016-09-20T17:50:58 --enforcementcount 0 &gt;&gt;C:\Users\stu\Documents\GitHub\eaglep3-reporting\EC\2016-09-20-refined-times.txt</v>
      </c>
      <c r="AI220" s="134" t="str">
        <f t="shared" si="55"/>
        <v>echo {"issue":{"subject":"","project_id":79,"tracker_id":40,"status_id":1,"priority_id":2,"assigned_to_id":23,"start_date":"2016-09-20","description":"","custom_fields":[{"id":1,"name":"Subdivision","value":"Other"},{"id":4,"name":"Milepost","value":"2.2759"},{"id":17,"name":"Train ID","value":"61-20"},{"id":16,"name":"Locomotive ID","value":"4006"},{"id":130,"name":"Impact","value":""},{"id":150,"name":"Time of Event (Mountain Time)","value":"17:50:58"},{"id":151,"name":"Denver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537</v>
      </c>
      <c r="B221" s="7">
        <v>4021</v>
      </c>
      <c r="C221" s="24" t="s">
        <v>106</v>
      </c>
      <c r="D221" s="24" t="s">
        <v>695</v>
      </c>
      <c r="E221" s="15">
        <v>42633.730856481481</v>
      </c>
      <c r="F221" s="15">
        <v>42633.732835648145</v>
      </c>
      <c r="G221" s="7">
        <v>2</v>
      </c>
      <c r="H221" s="15" t="s">
        <v>696</v>
      </c>
      <c r="I221" s="15">
        <v>42633.73940972222</v>
      </c>
      <c r="J221" s="7">
        <v>0</v>
      </c>
      <c r="K221" s="121" t="str">
        <f t="shared" si="56"/>
        <v>4021/4022</v>
      </c>
      <c r="L221" s="24" t="str">
        <f>VLOOKUP(A221,'Trips&amp;Operators'!$C$1:$E$10000,3,FALSE)</f>
        <v>YANAI</v>
      </c>
      <c r="M221" s="6">
        <f t="shared" si="57"/>
        <v>6.5740740756154992E-3</v>
      </c>
      <c r="N221" s="7">
        <f t="shared" si="58"/>
        <v>9.4666666688863188</v>
      </c>
      <c r="O221" s="7"/>
      <c r="P221" s="7"/>
      <c r="Q221" s="25"/>
      <c r="R221" s="25"/>
      <c r="S221" s="37">
        <f t="shared" si="59"/>
        <v>0</v>
      </c>
      <c r="T221" s="52" t="e">
        <f t="shared" si="60"/>
        <v>#VALUE!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16:32:26-0600',mode:absolute,to:'2016-09-20 18:44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1" s="54" t="str">
        <f t="shared" si="62"/>
        <v>Y</v>
      </c>
      <c r="X221" s="168" t="e">
        <f t="shared" si="70"/>
        <v>#VALUE!</v>
      </c>
      <c r="Y221" s="69">
        <f t="shared" si="63"/>
        <v>2.3650000000000002</v>
      </c>
      <c r="Z221" s="69">
        <f t="shared" si="64"/>
        <v>8.3999999999999995E-3</v>
      </c>
      <c r="AA221" s="69">
        <f t="shared" si="65"/>
        <v>2.3566000000000003</v>
      </c>
      <c r="AB221" s="66" t="e">
        <f>VLOOKUP(A221,Enforcements!$C$7:$K$20,8,0)</f>
        <v>#N/A</v>
      </c>
      <c r="AC221" s="62" t="e">
        <f>VLOOKUP(A221,Enforcements!$C$7:$E$20,3,0)</f>
        <v>#N/A</v>
      </c>
      <c r="AD221" s="63" t="str">
        <f t="shared" si="66"/>
        <v>66-20</v>
      </c>
      <c r="AE221" s="99" t="str">
        <f t="shared" si="67"/>
        <v>aws s3 cp s3://rtdc.mdm.uploadarchive/RTDC4021/2016-09-20/ "%USERPROFILE%\AppData\Local\Temp\OnboardLogs"\RTDC4021\2016-09-20 --recursive &amp; "%USERPROFILE%\Documents\GitHub\mrs-test-scripts\Headless Mode &amp; Sideloading\WalkAndUnGZ.bat" "%USERPROFILE%\AppData\Local\Temp\OnboardLogs"\RTDC4021\2016-09-20 &amp; aws s3 cp s3://rtdc.mdm.uploadarchive/RTDC4021/2016-09-21/ "%USERPROFILE%\AppData\Local\Temp\OnboardLogs"\RTDC4021\2016-09-21 --recursive &amp; "%USERPROFILE%\Documents\GitHub\mrs-test-scripts\Headless Mode &amp; Sideloading\WalkAndUnGZ.bat" "%USERPROFILE%\AppData\Local\Temp\OnboardLogs"\RTDC4021\2016-09-21</v>
      </c>
      <c r="AF221" s="96" t="str">
        <f t="shared" si="68"/>
        <v>"C:\Program Files (x86)\AstroGrep\AstroGrep.exe" /spath="%USERPROFILE%\AppData\Local\Temp\OnboardLogs" /stypes="app*4021*20160920*" /stext=" 23:.+((SYSTEM_STATE.+slice.+state.+changed )|(ment ac)|(system.+state.+changed )|(\|lc)|(penalty)|(\[timeout)|(PRM\|1\|D)|(kpr)|(kdp))" /e /r /s</v>
      </c>
      <c r="AG221" s="1" t="str">
        <f t="shared" si="69"/>
        <v>Other</v>
      </c>
      <c r="AH221" s="100" t="str">
        <f t="shared" si="54"/>
        <v>"%USERPROFILE%\Documents\GitHub\eaglep3\Utilities\RefineRTDCRunTimes.py" --tripid 66-20 --locoid 4021 --swversion DE.1.0.7.0 --startMP 300:23650 --initTime 2016-09-20T17:32:26 --startdatetime 2016-09-20T17:35:17 --delay 2 --endMP 204:84 --enddatetime 2016-09-20T17:44:45 --enforcementcount 0 &gt;&gt;C:\Users\stu\Documents\GitHub\eaglep3-reporting\EC\2016-09-20-refined-times.txt</v>
      </c>
      <c r="AI221" s="134" t="str">
        <f t="shared" si="55"/>
        <v>echo {"issue":{"subject":"","project_id":79,"tracker_id":40,"status_id":1,"priority_id":2,"assigned_to_id":23,"start_date":"2016-09-20","description":"","custom_fields":[{"id":1,"name":"Subdivision","value":"Other"},{"id":4,"name":"Milepost","value":"0.0084"},{"id":17,"name":"Train ID","value":"66-20"},{"id":16,"name":"Locomotive ID","value":"4021"},{"id":130,"name":"Impact","value":""},{"id":150,"name":"Time of Event (Mountain Time)","value":"17:44:45"},{"id":151,"name":"Denver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552</v>
      </c>
      <c r="B222" s="7">
        <v>4022</v>
      </c>
      <c r="C222" s="24" t="s">
        <v>106</v>
      </c>
      <c r="D222" s="24" t="s">
        <v>697</v>
      </c>
      <c r="E222" s="15">
        <v>42633.762395833335</v>
      </c>
      <c r="F222" s="15">
        <v>42633.76898148148</v>
      </c>
      <c r="G222" s="7">
        <v>1</v>
      </c>
      <c r="H222" s="15" t="s">
        <v>698</v>
      </c>
      <c r="I222" s="15">
        <v>42633.775659722225</v>
      </c>
      <c r="J222" s="7">
        <v>0</v>
      </c>
      <c r="K222" s="121" t="str">
        <f t="shared" si="56"/>
        <v>4021/4022</v>
      </c>
      <c r="L222" s="24" t="str">
        <f>VLOOKUP(A222,'Trips&amp;Operators'!$C$1:$E$10000,3,FALSE)</f>
        <v>STEWART</v>
      </c>
      <c r="M222" s="6">
        <f t="shared" si="57"/>
        <v>6.6782407448044978E-3</v>
      </c>
      <c r="N222" s="7">
        <f t="shared" si="58"/>
        <v>9.6166666725184768</v>
      </c>
      <c r="O222" s="7"/>
      <c r="P222" s="7"/>
      <c r="Q222" s="25"/>
      <c r="R222" s="25"/>
      <c r="S222" s="37">
        <f t="shared" si="59"/>
        <v>0</v>
      </c>
      <c r="T222" s="52" t="e">
        <f t="shared" si="60"/>
        <v>#VALUE!</v>
      </c>
      <c r="U222" s="16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61"/>
        <v>https://search-rtdc-monitor-bjffxe2xuh6vdkpspy63sjmuny.us-east-1.es.amazonaws.com/_plugin/kibana/#/discover/Steve-Slow-Train-Analysis-(2080s-and-2083s)?_g=(refreshInterval:(display:Off,section:0,value:0),time:(from:'2016-09-20 17:17:51-0600',mode:absolute,to:'2016-09-20 19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22" s="54" t="str">
        <f t="shared" si="62"/>
        <v>Y</v>
      </c>
      <c r="X222" s="168" t="e">
        <f t="shared" si="70"/>
        <v>#VALUE!</v>
      </c>
      <c r="Y222" s="69">
        <f t="shared" si="63"/>
        <v>3.8300000000000001E-2</v>
      </c>
      <c r="Z222" s="69">
        <f t="shared" si="64"/>
        <v>2.4239000000000002</v>
      </c>
      <c r="AA222" s="69">
        <f t="shared" si="65"/>
        <v>2.3856000000000002</v>
      </c>
      <c r="AB222" s="66" t="e">
        <f>VLOOKUP(A222,Enforcements!$C$7:$K$20,8,0)</f>
        <v>#N/A</v>
      </c>
      <c r="AC222" s="62" t="e">
        <f>VLOOKUP(A222,Enforcements!$C$7:$E$20,3,0)</f>
        <v>#N/A</v>
      </c>
      <c r="AD222" s="63" t="str">
        <f t="shared" si="66"/>
        <v>69-20</v>
      </c>
      <c r="AE222" s="99" t="str">
        <f t="shared" si="67"/>
        <v>aws s3 cp s3://rtdc.mdm.uploadarchive/RTDC4022/2016-09-20/ "%USERPROFILE%\AppData\Local\Temp\OnboardLogs"\RTDC4022\2016-09-20 --recursive &amp; "%USERPROFILE%\Documents\GitHub\mrs-test-scripts\Headless Mode &amp; Sideloading\WalkAndUnGZ.bat" "%USERPROFILE%\AppData\Local\Temp\OnboardLogs"\RTDC4022\2016-09-20 &amp; aws s3 cp s3://rtdc.mdm.uploadarchive/RTDC4022/2016-09-21/ "%USERPROFILE%\AppData\Local\Temp\OnboardLogs"\RTDC4022\2016-09-21 --recursive &amp; "%USERPROFILE%\Documents\GitHub\mrs-test-scripts\Headless Mode &amp; Sideloading\WalkAndUnGZ.bat" "%USERPROFILE%\AppData\Local\Temp\OnboardLogs"\RTDC4022\2016-09-21</v>
      </c>
      <c r="AF222" s="96" t="str">
        <f t="shared" si="68"/>
        <v>"C:\Program Files (x86)\AstroGrep\AstroGrep.exe" /spath="%USERPROFILE%\AppData\Local\Temp\OnboardLogs" /stypes="app*4022*20160921*" /stext=" 00:.+((SYSTEM_STATE.+slice.+state.+changed )|(ment ac)|(system.+state.+changed )|(\|lc)|(penalty)|(\[timeout)|(PRM\|1\|D)|(kpr)|(kdp))" /e /r /s</v>
      </c>
      <c r="AG222" s="1" t="str">
        <f t="shared" si="69"/>
        <v>Other</v>
      </c>
      <c r="AH222" s="100" t="str">
        <f t="shared" si="54"/>
        <v>"%USERPROFILE%\Documents\GitHub\eaglep3\Utilities\RefineRTDCRunTimes.py" --tripid 69-20 --locoid 4022 --swversion DE.1.0.7.0 --startMP 204:383 --initTime 2016-09-20T18:17:51 --startdatetime 2016-09-20T18:27:20 --delay 1 --endMP 300:24239 --enddatetime 2016-09-20T18:36:57 --enforcementcount 0 &gt;&gt;C:\Users\stu\Documents\GitHub\eaglep3-reporting\EC\2016-09-20-refined-times.txt</v>
      </c>
      <c r="AI222" s="134" t="str">
        <f t="shared" si="55"/>
        <v>echo {"issue":{"subject":"","project_id":79,"tracker_id":40,"status_id":1,"priority_id":2,"assigned_to_id":23,"start_date":"2016-09-20","description":"","custom_fields":[{"id":1,"name":"Subdivision","value":"Other"},{"id":4,"name":"Milepost","value":"2.4239"},{"id":17,"name":"Train ID","value":"69-20"},{"id":16,"name":"Locomotive ID","value":"4022"},{"id":130,"name":"Impact","value":""},{"id":150,"name":"Time of Event (Mountain Time)","value":"18:36:57"},{"id":151,"name":"Denver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</sheetData>
  <autoFilter ref="A12:AG252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52">
    <cfRule type="expression" dxfId="6" priority="262">
      <formula>$O13&gt;0</formula>
    </cfRule>
  </conditionalFormatting>
  <conditionalFormatting sqref="A13:S252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A223:S252 S13:S222 A13:Q222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AK13:AK252</xm:sqref>
        </x14:dataValidation>
        <x14:dataValidation type="list" allowBlank="1" showInputMessage="1" showErrorMessage="1">
          <x14:formula1>
            <xm:f>'Redmine List Values'!$C$2:$C$20</xm:f>
          </x14:formula1>
          <xm:sqref>AL13:AL252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abSelected="1" topLeftCell="A2" workbookViewId="0">
      <selection activeCell="P20" sqref="P2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7.710937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3</v>
      </c>
      <c r="P2" s="123"/>
      <c r="R2" s="97"/>
      <c r="S2" s="109"/>
      <c r="T2" s="94"/>
      <c r="V2" s="50"/>
      <c r="AC2" s="176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46</v>
      </c>
      <c r="P3" s="123"/>
      <c r="R3" s="97"/>
      <c r="S3" s="109"/>
      <c r="T3" s="94"/>
      <c r="V3" s="50"/>
      <c r="AC3" s="176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6"/>
    </row>
    <row r="5" spans="1:29" s="11" customFormat="1" ht="15" customHeight="1" x14ac:dyDescent="0.25">
      <c r="A5" s="179" t="str">
        <f>"Eagle P3 Braking Events - "&amp;TEXT(Variables!$A$2,"YYYY-mm-dd")</f>
        <v>Eagle P3 Braking Events - 2016-09-20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7"/>
      <c r="S5" s="110"/>
      <c r="T5" s="112"/>
      <c r="V5" s="51"/>
      <c r="AC5" s="177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179</v>
      </c>
      <c r="J6" s="136" t="s">
        <v>30</v>
      </c>
      <c r="K6" s="137" t="s">
        <v>29</v>
      </c>
      <c r="L6" s="149" t="s">
        <v>28</v>
      </c>
      <c r="M6" s="137" t="s">
        <v>180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161</v>
      </c>
      <c r="Z6" s="145" t="s">
        <v>162</v>
      </c>
      <c r="AA6" s="145" t="s">
        <v>135</v>
      </c>
      <c r="AB6" s="145" t="s">
        <v>163</v>
      </c>
      <c r="AC6" s="178" t="s">
        <v>298</v>
      </c>
    </row>
    <row r="7" spans="1:29" s="1" customFormat="1" x14ac:dyDescent="0.25">
      <c r="A7" s="38">
        <v>42633.522222222222</v>
      </c>
      <c r="B7" s="33" t="s">
        <v>177</v>
      </c>
      <c r="C7" s="33" t="s">
        <v>468</v>
      </c>
      <c r="D7" s="33" t="s">
        <v>241</v>
      </c>
      <c r="E7" s="33" t="s">
        <v>169</v>
      </c>
      <c r="F7" s="49">
        <v>0</v>
      </c>
      <c r="G7" s="49">
        <v>185</v>
      </c>
      <c r="H7" s="49">
        <v>27106</v>
      </c>
      <c r="I7" s="49">
        <v>26883</v>
      </c>
      <c r="J7" s="33" t="s">
        <v>168</v>
      </c>
      <c r="K7" s="49">
        <v>27350</v>
      </c>
      <c r="L7" s="150" t="s">
        <v>53</v>
      </c>
      <c r="M7" s="153">
        <f t="shared" ref="M7:M38" si="0">CONVERT((I7-K7)/10000,"mi","ft")*IF(L7="Increasing Mileposts (1)",-1,1)</f>
        <v>-246.57599999999999</v>
      </c>
      <c r="N7" s="92" t="str">
        <f>VLOOKUP(C7,'Trips&amp;Operators'!$C$1:$E$99999,3,FALSE)</f>
        <v>BARTLETT</v>
      </c>
      <c r="O7" s="174" t="s">
        <v>86</v>
      </c>
      <c r="P7" s="10" t="s">
        <v>375</v>
      </c>
      <c r="Q7" s="33"/>
      <c r="R7" s="108" t="str">
        <f>VLOOKUP(C7,'Train Runs'!$A$13:$AE$10015,31,0)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S7" s="111" t="str">
        <f>VLOOKUP(C7,'Train Runs'!$A$13:$AE$10015,22,0)</f>
        <v>https://search-rtdc-monitor-bjffxe2xuh6vdkpspy63sjmuny.us-east-1.es.amazonaws.com/_plugin/kibana/#/discover/Steve-Slow-Train-Analysis-(2080s-and-2083s)?_g=(refreshInterval:(display:Off,section:0,value:0),time:(from:'2016-09-20 10:40:29-0600',mode:absolute,to:'2016-09-20 13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/stypes="*4010*201609201*" /stext=" 18:.+((SYSTEM_STATE.+slice.+state.+changed )|(ment ac)|(system.+state.+changed )|(\|lc)|(penalty)|(\[timeout)|(PRM\|1\|D)|(kpr)|(kdp))" /e /r /s</v>
      </c>
      <c r="U7" s="9" t="str">
        <f t="shared" ref="U7:U38" si="2">MID(B7,13,4)</f>
        <v>4010</v>
      </c>
      <c r="V7" s="38">
        <f t="shared" ref="V7:V38" si="3">A7+6/24</f>
        <v>42633.772222222222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arrival","project_id":79,"tracker_id":40,"status_id":1,"priority_id":2,"assigned_to_id":23,"start_date":"2016-09-20","description":"","custom_fields":[{"id":1,"name":"Subdivision","value":"EC"},{"id":4,"name":"Milepost","value":"2.735"},{"id":17,"name":"Train ID","value":"160-20"},{"id":16,"name":"Locomotive ID","value":"4010"},{"id":130,"name":"Impact","value":""},{"id":150,"name":"Time of Event (Mountain Time)","value":"12:32:00"},{"id":151,"name":"Denver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5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"%USERPROFILE%\AppData\Local\Temp\OnboardLogs"\RTDC4010\*4010*201609201* | grep -SE "((Enforcement Ac)|(PRM))" -</v>
      </c>
    </row>
    <row r="8" spans="1:29" s="1" customFormat="1" x14ac:dyDescent="0.25">
      <c r="A8" s="38">
        <v>42633.466493055559</v>
      </c>
      <c r="B8" s="33" t="s">
        <v>288</v>
      </c>
      <c r="C8" s="33" t="s">
        <v>454</v>
      </c>
      <c r="D8" s="33" t="s">
        <v>241</v>
      </c>
      <c r="E8" s="33" t="s">
        <v>169</v>
      </c>
      <c r="F8" s="49">
        <v>0</v>
      </c>
      <c r="G8" s="49">
        <v>154</v>
      </c>
      <c r="H8" s="49">
        <v>33202</v>
      </c>
      <c r="I8" s="49">
        <v>33152</v>
      </c>
      <c r="J8" s="33" t="s">
        <v>168</v>
      </c>
      <c r="K8" s="49">
        <v>33257</v>
      </c>
      <c r="L8" s="150" t="s">
        <v>53</v>
      </c>
      <c r="M8" s="153">
        <f t="shared" si="0"/>
        <v>-55.44</v>
      </c>
      <c r="N8" s="92" t="str">
        <f>VLOOKUP(C8,'Trips&amp;Operators'!$C$1:$E$99999,3,FALSE)</f>
        <v>SPECTOR</v>
      </c>
      <c r="O8" s="174" t="s">
        <v>86</v>
      </c>
      <c r="P8" s="10" t="s">
        <v>375</v>
      </c>
      <c r="Q8" s="33"/>
      <c r="R8" s="108" t="str">
        <f>VLOOKUP(C8,'Train Runs'!$A$13:$AE$10015,31,0)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S8" s="111" t="str">
        <f>VLOOKUP(C8,'Train Runs'!$A$13:$AE$10015,22,0)</f>
        <v>https://search-rtdc-monitor-bjffxe2xuh6vdkpspy63sjmuny.us-east-1.es.amazonaws.com/_plugin/kibana/#/discover/Steve-Slow-Train-Analysis-(2080s-and-2083s)?_g=(refreshInterval:(display:Off,section:0,value:0),time:(from:'2016-09-20 09:36:55-0600',mode:absolute,to:'2016-09-20 12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8" s="113" t="str">
        <f t="shared" si="1"/>
        <v>"C:\Program Files (x86)\AstroGrep\AstroGrep.exe" /spath="%USERPROFILE%\AppData\Local\Temp\OnboardLogs" /stypes="*4012*201609201*" /stext=" 17:.+((SYSTEM_STATE.+slice.+state.+changed )|(ment ac)|(system.+state.+changed )|(\|lc)|(penalty)|(\[timeout)|(PRM\|1\|D)|(kpr)|(kdp))" /e /r /s</v>
      </c>
      <c r="U8" s="9" t="str">
        <f t="shared" si="2"/>
        <v>4012</v>
      </c>
      <c r="V8" s="38">
        <f t="shared" si="3"/>
        <v>42633.716493055559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{"issue":{"subject":"Early arrival","project_id":79,"tracker_id":40,"status_id":1,"priority_id":2,"assigned_to_id":23,"start_date":"2016-09-20","description":"","custom_fields":[{"id":1,"name":"Subdivision","value":"EC"},{"id":4,"name":"Milepost","value":"3.3257"},{"id":17,"name":"Train ID","value":"150-20"},{"id":16,"name":"Locomotive ID","value":"4012"},{"id":130,"name":"Impact","value":""},{"id":150,"name":"Time of Event (Mountain Time)","value":"11:11:45"},{"id":151,"name":"Denver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5" t="str">
        <f t="shared" si="7"/>
        <v>grep -hSE -A100 "Enforcement Action" "%USERPROFILE%\AppData\Local\Temp\OnboardLogs"\RTDC4012\*4012*201609201* | grep -SE "((Enforcement Ac)|(PRM))" -</v>
      </c>
    </row>
    <row r="9" spans="1:29" s="1" customFormat="1" x14ac:dyDescent="0.25">
      <c r="A9" s="38">
        <v>42633.728981481479</v>
      </c>
      <c r="B9" s="33" t="s">
        <v>172</v>
      </c>
      <c r="C9" s="33" t="s">
        <v>529</v>
      </c>
      <c r="D9" s="33" t="s">
        <v>49</v>
      </c>
      <c r="E9" s="33" t="s">
        <v>169</v>
      </c>
      <c r="F9" s="49">
        <v>0</v>
      </c>
      <c r="G9" s="49">
        <v>218</v>
      </c>
      <c r="H9" s="49">
        <v>33305</v>
      </c>
      <c r="I9" s="49">
        <v>33141</v>
      </c>
      <c r="J9" s="33" t="s">
        <v>168</v>
      </c>
      <c r="K9" s="49">
        <v>33257</v>
      </c>
      <c r="L9" s="150" t="s">
        <v>53</v>
      </c>
      <c r="M9" s="153">
        <f t="shared" si="0"/>
        <v>-61.247999999999998</v>
      </c>
      <c r="N9" s="92" t="str">
        <f>VLOOKUP(C9,'Trips&amp;Operators'!$C$1:$E$99999,3,FALSE)</f>
        <v>STORY</v>
      </c>
      <c r="O9" s="174" t="s">
        <v>86</v>
      </c>
      <c r="P9" s="10" t="s">
        <v>375</v>
      </c>
      <c r="Q9" s="33"/>
      <c r="R9" s="108" t="str">
        <f>VLOOKUP(C9,'Train Runs'!$A$13:$AE$10015,31,0)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S9" s="111" t="str">
        <f>VLOOKUP(C9,'Train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15:51:18-0600',mode:absolute,to:'2016-09-20 18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9" s="113" t="str">
        <f t="shared" si="1"/>
        <v>"C:\Program Files (x86)\AstroGrep\AstroGrep.exe" /spath="%USERPROFILE%\AppData\Local\Temp\OnboardLogs" /stypes="*4026*201609202*" /stext=" 23:.+((SYSTEM_STATE.+slice.+state.+changed )|(ment ac)|(system.+state.+changed )|(\|lc)|(penalty)|(\[timeout)|(PRM\|1\|D)|(kpr)|(kdp))" /e /r /s</v>
      </c>
      <c r="U9" s="9" t="str">
        <f t="shared" si="2"/>
        <v>4026</v>
      </c>
      <c r="V9" s="38">
        <f t="shared" si="3"/>
        <v>42633.978981481479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arrival","project_id":79,"tracker_id":40,"status_id":1,"priority_id":2,"assigned_to_id":23,"start_date":"2016-09-20","description":"","custom_fields":[{"id":1,"name":"Subdivision","value":"EC"},{"id":4,"name":"Milepost","value":"3.3257"},{"id":17,"name":"Train ID","value":"200-20"},{"id":16,"name":"Locomotive ID","value":"4026"},{"id":130,"name":"Impact","value":""},{"id":150,"name":"Time of Event (Mountain Time)","value":"17:29:44"},{"id":151,"name":"Denver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5" t="str">
        <f t="shared" si="7"/>
        <v>grep -hSE -A100 "Enforcement Action" "%USERPROFILE%\AppData\Local\Temp\OnboardLogs"\RTDC4026\*4026*201609202* | grep -SE "((Enforcement Ac)|(PRM))" -</v>
      </c>
    </row>
    <row r="10" spans="1:29" s="1" customFormat="1" x14ac:dyDescent="0.25">
      <c r="A10" s="38">
        <v>42633.455543981479</v>
      </c>
      <c r="B10" s="33" t="s">
        <v>171</v>
      </c>
      <c r="C10" s="33" t="s">
        <v>455</v>
      </c>
      <c r="D10" s="33" t="s">
        <v>105</v>
      </c>
      <c r="E10" s="33" t="s">
        <v>169</v>
      </c>
      <c r="F10" s="49">
        <v>0</v>
      </c>
      <c r="G10" s="49">
        <v>333</v>
      </c>
      <c r="H10" s="49">
        <v>42807</v>
      </c>
      <c r="I10" s="49">
        <v>43284</v>
      </c>
      <c r="J10" s="33" t="s">
        <v>168</v>
      </c>
      <c r="K10" s="49">
        <v>42779</v>
      </c>
      <c r="L10" s="150" t="s">
        <v>52</v>
      </c>
      <c r="M10" s="153">
        <f t="shared" si="0"/>
        <v>-266.64</v>
      </c>
      <c r="N10" s="92" t="str">
        <f>VLOOKUP(C10,'Trips&amp;Operators'!$C$1:$E$99999,3,FALSE)</f>
        <v>ROCHA</v>
      </c>
      <c r="O10" s="174" t="s">
        <v>86</v>
      </c>
      <c r="P10" s="10" t="s">
        <v>375</v>
      </c>
      <c r="Q10" s="33"/>
      <c r="R10" s="108" t="str">
        <f>VLOOKUP(C10,'Train Runs'!$A$13:$AE$10015,31,0)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S10" s="111" t="str">
        <f>VLOOKUP(C10,'Train Runs'!$A$13:$AE$10015,22,0)</f>
        <v>https://search-rtdc-monitor-bjffxe2xuh6vdkpspy63sjmuny.us-east-1.es.amazonaws.com/_plugin/kibana/#/discover/Steve-Slow-Train-Analysis-(2080s-and-2083s)?_g=(refreshInterval:(display:Off,section:0,value:0),time:(from:'2016-09-20 09:38:55-0600',mode:absolute,to:'2016-09-20 12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10" s="113" t="str">
        <f t="shared" si="1"/>
        <v>"C:\Program Files (x86)\AstroGrep\AstroGrep.exe" /spath="%USERPROFILE%\AppData\Local\Temp\OnboardLogs" /stypes="*4025*201609201*" /stext=" 16:.+((SYSTEM_STATE.+slice.+state.+changed )|(ment ac)|(system.+state.+changed )|(\|lc)|(penalty)|(\[timeout)|(PRM\|1\|D)|(kpr)|(kdp))" /e /r /s</v>
      </c>
      <c r="U10" s="9" t="str">
        <f t="shared" si="2"/>
        <v>4025</v>
      </c>
      <c r="V10" s="38">
        <f t="shared" si="3"/>
        <v>42633.705543981479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arrival","project_id":79,"tracker_id":40,"status_id":1,"priority_id":2,"assigned_to_id":23,"start_date":"2016-09-20","description":"","custom_fields":[{"id":1,"name":"Subdivision","value":"EC"},{"id":4,"name":"Milepost","value":"4.2779"},{"id":17,"name":"Train ID","value":"157-20"},{"id":16,"name":"Locomotive ID","value":"4025"},{"id":130,"name":"Impact","value":""},{"id":150,"name":"Time of Event (Mountain Time)","value":"10:55:59"},{"id":151,"name":"Denver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5" t="str">
        <f t="shared" si="7"/>
        <v>grep -hSE -A100 "Enforcement Action" "%USERPROFILE%\AppData\Local\Temp\OnboardLogs"\RTDC4025\*4025*201609201* | grep -SE "((Enforcement Ac)|(PRM))" -</v>
      </c>
    </row>
    <row r="11" spans="1:29" s="1" customFormat="1" x14ac:dyDescent="0.25">
      <c r="A11" s="38">
        <v>42633.726759259262</v>
      </c>
      <c r="B11" s="33" t="s">
        <v>264</v>
      </c>
      <c r="C11" s="33" t="s">
        <v>533</v>
      </c>
      <c r="D11" s="33" t="s">
        <v>105</v>
      </c>
      <c r="E11" s="33" t="s">
        <v>169</v>
      </c>
      <c r="F11" s="49">
        <v>0</v>
      </c>
      <c r="G11" s="49">
        <v>139</v>
      </c>
      <c r="H11" s="49">
        <v>42796</v>
      </c>
      <c r="I11" s="49">
        <v>42845</v>
      </c>
      <c r="J11" s="33" t="s">
        <v>168</v>
      </c>
      <c r="K11" s="49">
        <v>42779</v>
      </c>
      <c r="L11" s="150" t="s">
        <v>52</v>
      </c>
      <c r="M11" s="153">
        <f t="shared" si="0"/>
        <v>-34.847999999999999</v>
      </c>
      <c r="N11" s="92" t="str">
        <f>VLOOKUP(C11,'Trips&amp;Operators'!$C$1:$E$99999,3,FALSE)</f>
        <v>LEVERE</v>
      </c>
      <c r="O11" s="174" t="s">
        <v>86</v>
      </c>
      <c r="P11" s="10" t="s">
        <v>375</v>
      </c>
      <c r="Q11" s="33"/>
      <c r="R11" s="108" t="str">
        <f>VLOOKUP(C11,'Train Runs'!$A$13:$AE$10015,31,0)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S11" s="111" t="str">
        <f>VLOOKUP(C11,'Train Runs'!$A$13:$AE$10015,22,0)</f>
        <v>https://search-rtdc-monitor-bjffxe2xuh6vdkpspy63sjmuny.us-east-1.es.amazonaws.com/_plugin/kibana/#/discover/Steve-Slow-Train-Analysis-(2080s-and-2083s)?_g=(refreshInterval:(display:Off,section:0,value:0),time:(from:'2016-09-20 16:10:49-0600',mode:absolute,to:'2016-09-20 18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1" s="113" t="str">
        <f t="shared" si="1"/>
        <v>"C:\Program Files (x86)\AstroGrep\AstroGrep.exe" /spath="%USERPROFILE%\AppData\Local\Temp\OnboardLogs" /stypes="*4003*201609202*" /stext=" 23:.+((SYSTEM_STATE.+slice.+state.+changed )|(ment ac)|(system.+state.+changed )|(\|lc)|(penalty)|(\[timeout)|(PRM\|1\|D)|(kpr)|(kdp))" /e /r /s</v>
      </c>
      <c r="U11" s="9" t="str">
        <f t="shared" si="2"/>
        <v>4003</v>
      </c>
      <c r="V11" s="38">
        <f t="shared" si="3"/>
        <v>42633.976759259262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{"issue":{"subject":"Early arrival","project_id":79,"tracker_id":40,"status_id":1,"priority_id":2,"assigned_to_id":23,"start_date":"2016-09-20","description":"","custom_fields":[{"id":1,"name":"Subdivision","value":"EC"},{"id":4,"name":"Milepost","value":"4.2779"},{"id":17,"name":"Train ID","value":"209-20"},{"id":16,"name":"Locomotive ID","value":"4003"},{"id":130,"name":"Impact","value":""},{"id":150,"name":"Time of Event (Mountain Time)","value":"17:26:32"},{"id":151,"name":"Denver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5" t="str">
        <f t="shared" si="7"/>
        <v>grep -hSE -A100 "Enforcement Action" "%USERPROFILE%\AppData\Local\Temp\OnboardLogs"\RTDC4003\*4003*201609202* | grep -SE "((Enforcement Ac)|(PRM))" -</v>
      </c>
    </row>
    <row r="12" spans="1:29" s="1" customFormat="1" x14ac:dyDescent="0.25">
      <c r="A12" s="38">
        <v>42633.986886574072</v>
      </c>
      <c r="B12" s="33" t="s">
        <v>171</v>
      </c>
      <c r="C12" s="33" t="s">
        <v>588</v>
      </c>
      <c r="D12" s="33" t="s">
        <v>241</v>
      </c>
      <c r="E12" s="33" t="s">
        <v>169</v>
      </c>
      <c r="F12" s="49">
        <v>0</v>
      </c>
      <c r="G12" s="49">
        <v>149</v>
      </c>
      <c r="H12" s="49">
        <v>42825</v>
      </c>
      <c r="I12" s="49">
        <v>42926</v>
      </c>
      <c r="J12" s="33" t="s">
        <v>168</v>
      </c>
      <c r="K12" s="49">
        <v>42779</v>
      </c>
      <c r="L12" s="150" t="s">
        <v>52</v>
      </c>
      <c r="M12" s="153">
        <f t="shared" si="0"/>
        <v>-77.616</v>
      </c>
      <c r="N12" s="92" t="str">
        <f>VLOOKUP(C12,'Trips&amp;Operators'!$C$1:$E$99999,3,FALSE)</f>
        <v>COOLAHAN</v>
      </c>
      <c r="O12" s="174" t="s">
        <v>86</v>
      </c>
      <c r="P12" s="10" t="s">
        <v>375</v>
      </c>
      <c r="Q12" s="33"/>
      <c r="R12" s="108" t="str">
        <f>VLOOKUP(C12,'Train Runs'!$A$13:$AE$10015,31,0)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S12" s="111" t="str">
        <f>VLOOKUP(C12,'Train Runs'!$A$13:$AE$10015,22,0)</f>
        <v>https://search-rtdc-monitor-bjffxe2xuh6vdkpspy63sjmuny.us-east-1.es.amazonaws.com/_plugin/kibana/#/discover/Steve-Slow-Train-Analysis-(2080s-and-2083s)?_g=(refreshInterval:(display:Off,section:0,value:0),time:(from:'2016-09-20 22:27:21-0600',mode:absolute,to:'2016-09-21 01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12" s="113" t="str">
        <f t="shared" si="1"/>
        <v>"C:\Program Files (x86)\AstroGrep\AstroGrep.exe" /spath="%USERPROFILE%\AppData\Local\Temp\OnboardLogs" /stypes="*4025*201609210*" /stext=" 05:.+((SYSTEM_STATE.+slice.+state.+changed )|(ment ac)|(system.+state.+changed )|(\|lc)|(penalty)|(\[timeout)|(PRM\|1\|D)|(kpr)|(kdp))" /e /r /s</v>
      </c>
      <c r="U12" s="9" t="str">
        <f t="shared" si="2"/>
        <v>4025</v>
      </c>
      <c r="V12" s="38">
        <f t="shared" si="3"/>
        <v>42634.236886574072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{"issue":{"subject":"Early arrival","project_id":79,"tracker_id":40,"status_id":1,"priority_id":2,"assigned_to_id":23,"start_date":"2016-09-20","description":"","custom_fields":[{"id":1,"name":"Subdivision","value":"EC"},{"id":4,"name":"Milepost","value":"4.2779"},{"id":17,"name":"Train ID","value":"239-20"},{"id":16,"name":"Locomotive ID","value":"4025"},{"id":130,"name":"Impact","value":""},{"id":150,"name":"Time of Event (Mountain Time)","value":"23:41:07"},{"id":151,"name":"Denver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5" t="str">
        <f t="shared" si="7"/>
        <v>grep -hSE -A100 "Enforcement Action" "%USERPROFILE%\AppData\Local\Temp\OnboardLogs"\RTDC4025\*4025*201609210* | grep -SE "((Enforcement Ac)|(PRM))" -</v>
      </c>
    </row>
    <row r="13" spans="1:29" s="1" customFormat="1" x14ac:dyDescent="0.25">
      <c r="A13" s="38">
        <v>42633.650370370371</v>
      </c>
      <c r="B13" s="33" t="s">
        <v>172</v>
      </c>
      <c r="C13" s="33" t="s">
        <v>506</v>
      </c>
      <c r="D13" s="33" t="s">
        <v>241</v>
      </c>
      <c r="E13" s="33" t="s">
        <v>169</v>
      </c>
      <c r="F13" s="49">
        <v>0</v>
      </c>
      <c r="G13" s="49">
        <v>160</v>
      </c>
      <c r="H13" s="49">
        <v>63201</v>
      </c>
      <c r="I13" s="49">
        <v>63093</v>
      </c>
      <c r="J13" s="33" t="s">
        <v>168</v>
      </c>
      <c r="K13" s="49">
        <v>63309</v>
      </c>
      <c r="L13" s="150" t="s">
        <v>53</v>
      </c>
      <c r="M13" s="153">
        <f t="shared" si="0"/>
        <v>-114.048</v>
      </c>
      <c r="N13" s="92" t="str">
        <f>VLOOKUP(C13,'Trips&amp;Operators'!$C$1:$E$99999,3,FALSE)</f>
        <v>STORY</v>
      </c>
      <c r="O13" s="174" t="s">
        <v>86</v>
      </c>
      <c r="P13" s="10" t="s">
        <v>375</v>
      </c>
      <c r="Q13" s="33"/>
      <c r="R13" s="108" t="str">
        <f>VLOOKUP(C13,'Train Runs'!$A$13:$AE$10015,31,0)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S13" s="111" t="str">
        <f>VLOOKUP(C13,'Train Runs'!$A$13:$AE$10015,22,0)</f>
        <v>https://search-rtdc-monitor-bjffxe2xuh6vdkpspy63sjmuny.us-east-1.es.amazonaws.com/_plugin/kibana/#/discover/Steve-Slow-Train-Analysis-(2080s-and-2083s)?_g=(refreshInterval:(display:Off,section:0,value:0),time:(from:'2016-09-20 13:58:49-0600',mode:absolute,to:'2016-09-20 16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3" s="113" t="str">
        <f t="shared" si="1"/>
        <v>"C:\Program Files (x86)\AstroGrep\AstroGrep.exe" /spath="%USERPROFILE%\AppData\Local\Temp\OnboardLogs" /stypes="*4026*201609202*" /stext=" 21:.+((SYSTEM_STATE.+slice.+state.+changed )|(ment ac)|(system.+state.+changed )|(\|lc)|(penalty)|(\[timeout)|(PRM\|1\|D)|(kpr)|(kdp))" /e /r /s</v>
      </c>
      <c r="U13" s="9" t="str">
        <f t="shared" si="2"/>
        <v>4026</v>
      </c>
      <c r="V13" s="38">
        <f t="shared" si="3"/>
        <v>42633.900370370371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{"issue":{"subject":"Early arrival","project_id":79,"tracker_id":40,"status_id":1,"priority_id":2,"assigned_to_id":23,"start_date":"2016-09-20","description":"","custom_fields":[{"id":1,"name":"Subdivision","value":"EC"},{"id":4,"name":"Milepost","value":"6.3309"},{"id":17,"name":"Train ID","value":"186-20"},{"id":16,"name":"Locomotive ID","value":"4026"},{"id":130,"name":"Impact","value":""},{"id":150,"name":"Time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5" t="str">
        <f t="shared" si="7"/>
        <v>grep -hSE -A100 "Enforcement Action" "%USERPROFILE%\AppData\Local\Temp\OnboardLogs"\RTDC4026\*4026*201609202* | grep -SE "((Enforcement Ac)|(PRM))" -</v>
      </c>
    </row>
    <row r="14" spans="1:29" s="1" customFormat="1" x14ac:dyDescent="0.25">
      <c r="A14" s="38">
        <v>42633.725243055553</v>
      </c>
      <c r="B14" s="33" t="s">
        <v>172</v>
      </c>
      <c r="C14" s="33" t="s">
        <v>529</v>
      </c>
      <c r="D14" s="33" t="s">
        <v>49</v>
      </c>
      <c r="E14" s="33" t="s">
        <v>169</v>
      </c>
      <c r="F14" s="49">
        <v>0</v>
      </c>
      <c r="G14" s="49">
        <v>94</v>
      </c>
      <c r="H14" s="49">
        <v>63327</v>
      </c>
      <c r="I14" s="49">
        <v>63281</v>
      </c>
      <c r="J14" s="33" t="s">
        <v>168</v>
      </c>
      <c r="K14" s="49">
        <v>63309</v>
      </c>
      <c r="L14" s="150" t="s">
        <v>53</v>
      </c>
      <c r="M14" s="153">
        <f t="shared" si="0"/>
        <v>-14.784000000000001</v>
      </c>
      <c r="N14" s="92" t="str">
        <f>VLOOKUP(C14,'Trips&amp;Operators'!$C$1:$E$99999,3,FALSE)</f>
        <v>STORY</v>
      </c>
      <c r="O14" s="174" t="s">
        <v>86</v>
      </c>
      <c r="P14" s="10" t="s">
        <v>375</v>
      </c>
      <c r="Q14" s="33"/>
      <c r="R14" s="108" t="str">
        <f>VLOOKUP(C14,'Train Runs'!$A$13:$AE$10015,31,0)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S14" s="111" t="str">
        <f>VLOOKUP(C14,'Train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15:51:18-0600',mode:absolute,to:'2016-09-20 18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4" s="113" t="str">
        <f t="shared" si="1"/>
        <v>"C:\Program Files (x86)\AstroGrep\AstroGrep.exe" /spath="%USERPROFILE%\AppData\Local\Temp\OnboardLogs" /stypes="*4026*201609202*" /stext=" 23:.+((SYSTEM_STATE.+slice.+state.+changed )|(ment ac)|(system.+state.+changed )|(\|lc)|(penalty)|(\[timeout)|(PRM\|1\|D)|(kpr)|(kdp))" /e /r /s</v>
      </c>
      <c r="U14" s="9" t="str">
        <f t="shared" si="2"/>
        <v>4026</v>
      </c>
      <c r="V14" s="38">
        <f t="shared" si="3"/>
        <v>42633.975243055553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{"issue":{"subject":"Early arrival","project_id":79,"tracker_id":40,"status_id":1,"priority_id":2,"assigned_to_id":23,"start_date":"2016-09-20","description":"","custom_fields":[{"id":1,"name":"Subdivision","value":"EC"},{"id":4,"name":"Milepost","value":"6.3309"},{"id":17,"name":"Train ID","value":"200-20"},{"id":16,"name":"Locomotive ID","value":"4026"},{"id":130,"name":"Impact","value":""},{"id":150,"name":"Time of Event (Mountain Time)","value":"17:24:21"},{"id":151,"name":"Denver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5" t="str">
        <f t="shared" si="7"/>
        <v>grep -hSE -A100 "Enforcement Action" "%USERPROFILE%\AppData\Local\Temp\OnboardLogs"\RTDC4026\*4026*201609202* | grep -SE "((Enforcement Ac)|(PRM))" -</v>
      </c>
    </row>
    <row r="15" spans="1:29" s="1" customFormat="1" x14ac:dyDescent="0.25">
      <c r="A15" s="38">
        <v>42633.707638888889</v>
      </c>
      <c r="B15" s="33" t="s">
        <v>379</v>
      </c>
      <c r="C15" s="33" t="s">
        <v>524</v>
      </c>
      <c r="D15" s="33" t="s">
        <v>49</v>
      </c>
      <c r="E15" s="33" t="s">
        <v>169</v>
      </c>
      <c r="F15" s="49">
        <v>0</v>
      </c>
      <c r="G15" s="49">
        <v>309</v>
      </c>
      <c r="H15" s="49">
        <v>110123</v>
      </c>
      <c r="I15" s="49">
        <v>109396</v>
      </c>
      <c r="J15" s="33" t="s">
        <v>168</v>
      </c>
      <c r="K15" s="49">
        <v>109135</v>
      </c>
      <c r="L15" s="150" t="s">
        <v>53</v>
      </c>
      <c r="M15" s="153">
        <f t="shared" si="0"/>
        <v>137.80799999999999</v>
      </c>
      <c r="N15" s="92" t="str">
        <f>VLOOKUP(C15,'Trips&amp;Operators'!$C$1:$E$99999,3,FALSE)</f>
        <v>CLARK</v>
      </c>
      <c r="O15" s="174" t="s">
        <v>86</v>
      </c>
      <c r="P15" s="10" t="s">
        <v>375</v>
      </c>
      <c r="Q15" s="33"/>
      <c r="R15" s="108" t="str">
        <f>VLOOKUP(C15,'Train Runs'!$A$13:$AE$10015,31,0)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S15" s="111" t="str">
        <f>VLOOKUP(C15,'Train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15:33:36-0600',mode:absolute,to:'2016-09-20 18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5" s="113" t="str">
        <f t="shared" si="1"/>
        <v>"C:\Program Files (x86)\AstroGrep\AstroGrep.exe" /spath="%USERPROFILE%\AppData\Local\Temp\OnboardLogs" /stypes="*4017*201609202*" /stext=" 22:.+((SYSTEM_STATE.+slice.+state.+changed )|(ment ac)|(system.+state.+changed )|(\|lc)|(penalty)|(\[timeout)|(PRM\|1\|D)|(kpr)|(kdp))" /e /r /s</v>
      </c>
      <c r="U15" s="9" t="str">
        <f t="shared" si="2"/>
        <v>4017</v>
      </c>
      <c r="V15" s="38">
        <f t="shared" si="3"/>
        <v>42633.957638888889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{"issue":{"subject":"Early arrival","project_id":79,"tracker_id":40,"status_id":1,"priority_id":2,"assigned_to_id":23,"start_date":"2016-09-20","description":"","custom_fields":[{"id":1,"name":"Subdivision","value":"EC"},{"id":4,"name":"Milepost","value":"10.9135"},{"id":17,"name":"Train ID","value":"198-20"},{"id":16,"name":"Locomotive ID","value":"4017"},{"id":130,"name":"Impact","value":""},{"id":150,"name":"Time of Event (Mountain Time)","value":"16:59:00"},{"id":151,"name":"Denver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5" t="str">
        <f t="shared" si="7"/>
        <v>grep -hSE -A100 "Enforcement Action" "%USERPROFILE%\AppData\Local\Temp\OnboardLogs"\RTDC4017\*4017*201609202* | grep -SE "((Enforcement Ac)|(PRM))" -</v>
      </c>
    </row>
    <row r="16" spans="1:29" s="1" customFormat="1" x14ac:dyDescent="0.25">
      <c r="A16" s="38">
        <v>42633.707962962966</v>
      </c>
      <c r="B16" s="33" t="s">
        <v>379</v>
      </c>
      <c r="C16" s="33" t="s">
        <v>524</v>
      </c>
      <c r="D16" s="33" t="s">
        <v>49</v>
      </c>
      <c r="E16" s="33" t="s">
        <v>169</v>
      </c>
      <c r="F16" s="49">
        <v>30</v>
      </c>
      <c r="G16" s="49">
        <v>92</v>
      </c>
      <c r="H16" s="49">
        <v>109260</v>
      </c>
      <c r="I16" s="49">
        <v>109216</v>
      </c>
      <c r="J16" s="33" t="s">
        <v>168</v>
      </c>
      <c r="K16" s="49">
        <v>109135</v>
      </c>
      <c r="L16" s="150" t="s">
        <v>53</v>
      </c>
      <c r="M16" s="153">
        <f t="shared" si="0"/>
        <v>42.768000000000001</v>
      </c>
      <c r="N16" s="92" t="str">
        <f>VLOOKUP(C16,'Trips&amp;Operators'!$C$1:$E$99999,3,FALSE)</f>
        <v>CLARK</v>
      </c>
      <c r="O16" s="174" t="s">
        <v>86</v>
      </c>
      <c r="P16" s="10" t="s">
        <v>375</v>
      </c>
      <c r="Q16" s="33"/>
      <c r="R16" s="108" t="str">
        <f>VLOOKUP(C16,'Train Runs'!$A$13:$AE$10015,31,0)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S16" s="111" t="str">
        <f>VLOOKUP(C16,'Train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15:33:36-0600',mode:absolute,to:'2016-09-20 18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6" s="113" t="str">
        <f t="shared" si="1"/>
        <v>"C:\Program Files (x86)\AstroGrep\AstroGrep.exe" /spath="%USERPROFILE%\AppData\Local\Temp\OnboardLogs" /stypes="*4017*201609202*" /stext=" 22:.+((SYSTEM_STATE.+slice.+state.+changed )|(ment ac)|(system.+state.+changed )|(\|lc)|(penalty)|(\[timeout)|(PRM\|1\|D)|(kpr)|(kdp))" /e /r /s</v>
      </c>
      <c r="U16" s="9" t="str">
        <f t="shared" si="2"/>
        <v>4017</v>
      </c>
      <c r="V16" s="38">
        <f t="shared" si="3"/>
        <v>42633.957962962966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{"issue":{"subject":"Early arrival","project_id":79,"tracker_id":40,"status_id":1,"priority_id":2,"assigned_to_id":23,"start_date":"2016-09-20","description":"","custom_fields":[{"id":1,"name":"Subdivision","value":"EC"},{"id":4,"name":"Milepost","value":"10.9135"},{"id":17,"name":"Train ID","value":"198-20"},{"id":16,"name":"Locomotive ID","value":"4017"},{"id":130,"name":"Impact","value":""},{"id":150,"name":"Time of Event (Mountain Time)","value":"16:59:28"},{"id":151,"name":"Denver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5" t="str">
        <f t="shared" si="7"/>
        <v>grep -hSE -A100 "Enforcement Action" "%USERPROFILE%\AppData\Local\Temp\OnboardLogs"\RTDC4017\*4017*201609202* | grep -SE "((Enforcement Ac)|(PRM))" -</v>
      </c>
    </row>
    <row r="17" spans="1:29" s="1" customFormat="1" x14ac:dyDescent="0.25">
      <c r="A17" s="38">
        <v>42633.251631944448</v>
      </c>
      <c r="B17" s="33" t="s">
        <v>381</v>
      </c>
      <c r="C17" s="33" t="s">
        <v>400</v>
      </c>
      <c r="D17" s="33" t="s">
        <v>105</v>
      </c>
      <c r="E17" s="33" t="s">
        <v>56</v>
      </c>
      <c r="F17" s="49">
        <v>150</v>
      </c>
      <c r="G17" s="49">
        <v>202</v>
      </c>
      <c r="H17" s="49">
        <v>2998</v>
      </c>
      <c r="I17" s="49">
        <v>3329</v>
      </c>
      <c r="J17" s="33" t="s">
        <v>57</v>
      </c>
      <c r="K17" s="49">
        <v>0</v>
      </c>
      <c r="L17" s="150" t="s">
        <v>52</v>
      </c>
      <c r="M17" s="153">
        <f t="shared" si="0"/>
        <v>-1757.712</v>
      </c>
      <c r="N17" s="92" t="str">
        <f>VLOOKUP(C17,'Trips&amp;Operators'!$C$1:$E$99999,3,FALSE)</f>
        <v>BRANNON</v>
      </c>
      <c r="O17" s="174" t="s">
        <v>86</v>
      </c>
      <c r="P17" s="10"/>
      <c r="Q17" s="33"/>
      <c r="R17" s="108" t="str">
        <f>VLOOKUP(C17,'Train Runs'!$A$13:$AE$10015,31,0)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S17" s="111" t="str">
        <f>VLOOKUP(C17,'Train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04:58:42-0600',mode:absolute,to:'2016-09-20 07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7" s="113" t="str">
        <f t="shared" si="1"/>
        <v>"C:\Program Files (x86)\AstroGrep\AstroGrep.exe" /spath="%USERPROFILE%\AppData\Local\Temp\OnboardLogs" /stypes="*4014*201609201*" /stext=" 12:.+((SYSTEM_STATE.+slice.+state.+changed )|(ment ac)|(system.+state.+changed )|(\|lc)|(penalty)|(\[timeout)|(PRM\|1\|D)|(kpr)|(kdp))" /e /r /s</v>
      </c>
      <c r="U17" s="9" t="str">
        <f t="shared" si="2"/>
        <v>4014</v>
      </c>
      <c r="V17" s="38">
        <f t="shared" si="3"/>
        <v>42633.501631944448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{"issue":{"subject":"","project_id":79,"tracker_id":40,"status_id":1,"priority_id":2,"assigned_to_id":23,"start_date":"2016-09-20","description":"","custom_fields":[{"id":1,"name":"Subdivision","value":"EC"},{"id":4,"name":"Milepost","value":"0"},{"id":17,"name":"Train ID","value":"119-20"},{"id":16,"name":"Locomotive ID","value":"4014"},{"id":130,"name":"Impact","value":""},{"id":150,"name":"Time of Event (Mountain Time)","value":"06:02:21"},{"id":151,"name":"Denver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5" t="str">
        <f t="shared" si="7"/>
        <v>grep -hSE -A100 "Enforcement Action" "%USERPROFILE%\AppData\Local\Temp\OnboardLogs"\RTDC4014\*4014*201609201* | grep -SE "((Enforcement Ac)|(PRM))" -</v>
      </c>
    </row>
    <row r="18" spans="1:29" s="1" customFormat="1" x14ac:dyDescent="0.25">
      <c r="A18" s="38">
        <v>42633.252314814818</v>
      </c>
      <c r="B18" s="33" t="s">
        <v>381</v>
      </c>
      <c r="C18" s="33" t="s">
        <v>400</v>
      </c>
      <c r="D18" s="33" t="s">
        <v>105</v>
      </c>
      <c r="E18" s="33" t="s">
        <v>56</v>
      </c>
      <c r="F18" s="49">
        <v>150</v>
      </c>
      <c r="G18" s="49">
        <v>202</v>
      </c>
      <c r="H18" s="49">
        <v>3725</v>
      </c>
      <c r="I18" s="49">
        <v>3985</v>
      </c>
      <c r="J18" s="33" t="s">
        <v>57</v>
      </c>
      <c r="K18" s="49">
        <v>0</v>
      </c>
      <c r="L18" s="150" t="s">
        <v>52</v>
      </c>
      <c r="M18" s="153">
        <f t="shared" si="0"/>
        <v>-2104.08</v>
      </c>
      <c r="N18" s="92" t="str">
        <f>VLOOKUP(C18,'Trips&amp;Operators'!$C$1:$E$99999,3,FALSE)</f>
        <v>BRANNON</v>
      </c>
      <c r="O18" s="174" t="s">
        <v>86</v>
      </c>
      <c r="P18" s="10"/>
      <c r="Q18" s="33"/>
      <c r="R18" s="108" t="str">
        <f>VLOOKUP(C18,'Train Runs'!$A$13:$AE$10015,31,0)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S18" s="111" t="str">
        <f>VLOOKUP(C18,'Train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04:58:42-0600',mode:absolute,to:'2016-09-20 07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8" s="113" t="str">
        <f t="shared" si="1"/>
        <v>"C:\Program Files (x86)\AstroGrep\AstroGrep.exe" /spath="%USERPROFILE%\AppData\Local\Temp\OnboardLogs" /stypes="*4014*201609201*" /stext=" 12:.+((SYSTEM_STATE.+slice.+state.+changed )|(ment ac)|(system.+state.+changed )|(\|lc)|(penalty)|(\[timeout)|(PRM\|1\|D)|(kpr)|(kdp))" /e /r /s</v>
      </c>
      <c r="U18" s="9" t="str">
        <f t="shared" si="2"/>
        <v>4014</v>
      </c>
      <c r="V18" s="38">
        <f t="shared" si="3"/>
        <v>42633.502314814818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{"issue":{"subject":"","project_id":79,"tracker_id":40,"status_id":1,"priority_id":2,"assigned_to_id":23,"start_date":"2016-09-20","description":"","custom_fields":[{"id":1,"name":"Subdivision","value":"EC"},{"id":4,"name":"Milepost","value":"0"},{"id":17,"name":"Train ID","value":"119-20"},{"id":16,"name":"Locomotive ID","value":"4014"},{"id":130,"name":"Impact","value":""},{"id":150,"name":"Time of Event (Mountain Time)","value":"06:03:20"},{"id":151,"name":"Denver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5" t="str">
        <f t="shared" si="7"/>
        <v>grep -hSE -A100 "Enforcement Action" "%USERPROFILE%\AppData\Local\Temp\OnboardLogs"\RTDC4014\*4014*201609201* | grep -SE "((Enforcement Ac)|(PRM))" -</v>
      </c>
    </row>
    <row r="19" spans="1:29" s="1" customFormat="1" x14ac:dyDescent="0.25">
      <c r="A19" s="38">
        <v>42633.482662037037</v>
      </c>
      <c r="B19" s="33" t="s">
        <v>176</v>
      </c>
      <c r="C19" s="33" t="s">
        <v>456</v>
      </c>
      <c r="D19" s="33" t="s">
        <v>105</v>
      </c>
      <c r="E19" s="33" t="s">
        <v>56</v>
      </c>
      <c r="F19" s="49">
        <v>150</v>
      </c>
      <c r="G19" s="49">
        <v>200</v>
      </c>
      <c r="H19" s="49">
        <v>2891</v>
      </c>
      <c r="I19" s="49">
        <v>2641</v>
      </c>
      <c r="J19" s="33" t="s">
        <v>57</v>
      </c>
      <c r="K19" s="49">
        <v>4677</v>
      </c>
      <c r="L19" s="150" t="s">
        <v>53</v>
      </c>
      <c r="M19" s="153">
        <f t="shared" si="0"/>
        <v>-1075.008</v>
      </c>
      <c r="N19" s="92" t="str">
        <f>VLOOKUP(C19,'Trips&amp;Operators'!$C$1:$E$99999,3,FALSE)</f>
        <v>DAVIS</v>
      </c>
      <c r="O19" s="174" t="s">
        <v>86</v>
      </c>
      <c r="P19" s="10"/>
      <c r="Q19" s="33"/>
      <c r="R19" s="108" t="str">
        <f>VLOOKUP(C19,'Train Runs'!$A$13:$AE$10015,31,0)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S19" s="111" t="str">
        <f>VLOOKUP(C19,'Train Runs'!$A$13:$AE$10015,22,0)</f>
        <v>https://search-rtdc-monitor-bjffxe2xuh6vdkpspy63sjmuny.us-east-1.es.amazonaws.com/_plugin/kibana/#/discover/Steve-Slow-Train-Analysis-(2080s-and-2083s)?_g=(refreshInterval:(display:Off,section:0,value:0),time:(from:'2016-09-20 09:45:51-0600',mode:absolute,to:'2016-09-20 12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9" s="113" t="str">
        <f t="shared" si="1"/>
        <v>"C:\Program Files (x86)\AstroGrep\AstroGrep.exe" /spath="%USERPROFILE%\AppData\Local\Temp\OnboardLogs" /stypes="*4041*201609201*" /stext=" 17:.+((SYSTEM_STATE.+slice.+state.+changed )|(ment ac)|(system.+state.+changed )|(\|lc)|(penalty)|(\[timeout)|(PRM\|1\|D)|(kpr)|(kdp))" /e /r /s</v>
      </c>
      <c r="U19" s="9" t="str">
        <f t="shared" si="2"/>
        <v>4041</v>
      </c>
      <c r="V19" s="38">
        <f t="shared" si="3"/>
        <v>42633.732662037037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{"issue":{"subject":"","project_id":79,"tracker_id":40,"status_id":1,"priority_id":2,"assigned_to_id":23,"start_date":"2016-09-20","description":"","custom_fields":[{"id":1,"name":"Subdivision","value":"EC"},{"id":4,"name":"Milepost","value":"0.4677"},{"id":17,"name":"Train ID","value":"152-20"},{"id":16,"name":"Locomotive ID","value":"4041"},{"id":130,"name":"Impact","value":""},{"id":150,"name":"Time of Event (Mountain Time)","value":"11:35:02"},{"id":151,"name":"Denver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5" t="str">
        <f t="shared" si="7"/>
        <v>grep -hSE -A100 "Enforcement Action" "%USERPROFILE%\AppData\Local\Temp\OnboardLogs"\RTDC4041\*4041*201609201* | grep -SE "((Enforcement Ac)|(PRM))" -</v>
      </c>
    </row>
    <row r="20" spans="1:29" s="1" customFormat="1" x14ac:dyDescent="0.25">
      <c r="A20" s="38">
        <v>42633.669409722221</v>
      </c>
      <c r="B20" s="33" t="s">
        <v>171</v>
      </c>
      <c r="C20" s="33" t="s">
        <v>517</v>
      </c>
      <c r="D20" s="33" t="s">
        <v>49</v>
      </c>
      <c r="E20" s="33" t="s">
        <v>56</v>
      </c>
      <c r="F20" s="49">
        <v>400</v>
      </c>
      <c r="G20" s="49">
        <v>601</v>
      </c>
      <c r="H20" s="49">
        <v>13639</v>
      </c>
      <c r="I20" s="49">
        <v>17375</v>
      </c>
      <c r="J20" s="33" t="s">
        <v>57</v>
      </c>
      <c r="K20" s="49">
        <v>17867</v>
      </c>
      <c r="L20" s="150" t="s">
        <v>52</v>
      </c>
      <c r="M20" s="153">
        <f t="shared" si="0"/>
        <v>259.77600000000001</v>
      </c>
      <c r="N20" s="92" t="str">
        <f>VLOOKUP(C20,'Trips&amp;Operators'!$C$1:$E$99999,3,FALSE)</f>
        <v>STORY</v>
      </c>
      <c r="O20" s="174" t="s">
        <v>86</v>
      </c>
      <c r="P20" s="10"/>
      <c r="Q20" s="33"/>
      <c r="R20" s="108" t="str">
        <f>VLOOKUP(C20,'Train Runs'!$A$13:$AE$10015,31,0)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S20" s="111" t="str">
        <f>VLOOKUP(C20,'Train Runs'!$A$13:$AE$10015,22,0)</f>
        <v>https://search-rtdc-monitor-bjffxe2xuh6vdkpspy63sjmuny.us-east-1.es.amazonaws.com/_plugin/kibana/#/discover/Steve-Slow-Train-Analysis-(2080s-and-2083s)?_g=(refreshInterval:(display:Off,section:0,value:0),time:(from:'2016-09-20 14:53:42-0600',mode:absolute,to:'2016-09-20 17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20" s="113" t="str">
        <f t="shared" si="1"/>
        <v>"C:\Program Files (x86)\AstroGrep\AstroGrep.exe" /spath="%USERPROFILE%\AppData\Local\Temp\OnboardLogs" /stypes="*4025*201609202*" /stext=" 22:.+((SYSTEM_STATE.+slice.+state.+changed )|(ment ac)|(system.+state.+changed )|(\|lc)|(penalty)|(\[timeout)|(PRM\|1\|D)|(kpr)|(kdp))" /e /r /s</v>
      </c>
      <c r="U20" s="9" t="str">
        <f t="shared" si="2"/>
        <v>4025</v>
      </c>
      <c r="V20" s="38">
        <f t="shared" si="3"/>
        <v>42633.919409722221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{"issue":{"subject":"","project_id":79,"tracker_id":40,"status_id":1,"priority_id":2,"assigned_to_id":23,"start_date":"2016-09-20","description":"","custom_fields":[{"id":1,"name":"Subdivision","value":"EC"},{"id":4,"name":"Milepost","value":"1.7867"},{"id":17,"name":"Train ID","value":"199-20"},{"id":16,"name":"Locomotive ID","value":"4025"},{"id":130,"name":"Impact","value":""},{"id":150,"name":"Time of Event (Mountain Time)","value":"16:03:57"},{"id":151,"name":"Denver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5" t="str">
        <f t="shared" si="7"/>
        <v>grep -hSE -A100 "Enforcement Action" "%USERPROFILE%\AppData\Local\Temp\OnboardLogs"\RTDC4025\*4025*201609202* | grep -SE "((Enforcement Ac)|(PRM))" -</v>
      </c>
    </row>
    <row r="21" spans="1:29" x14ac:dyDescent="0.25">
      <c r="A21" s="38">
        <v>42633.499895833331</v>
      </c>
      <c r="B21" s="33" t="s">
        <v>379</v>
      </c>
      <c r="C21" s="33" t="s">
        <v>463</v>
      </c>
      <c r="D21" s="33" t="s">
        <v>49</v>
      </c>
      <c r="E21" s="33" t="s">
        <v>56</v>
      </c>
      <c r="F21" s="49">
        <v>300</v>
      </c>
      <c r="G21" s="49">
        <v>352</v>
      </c>
      <c r="H21" s="49">
        <v>22856</v>
      </c>
      <c r="I21" s="49">
        <v>21942</v>
      </c>
      <c r="J21" s="33" t="s">
        <v>57</v>
      </c>
      <c r="K21" s="49">
        <v>21848</v>
      </c>
      <c r="L21" s="150" t="s">
        <v>53</v>
      </c>
      <c r="M21" s="153">
        <f t="shared" si="0"/>
        <v>49.631999999999998</v>
      </c>
      <c r="N21" s="92" t="str">
        <f>VLOOKUP(C21,'Trips&amp;Operators'!$C$1:$E$99999,3,FALSE)</f>
        <v>STARKS</v>
      </c>
      <c r="O21" s="174" t="s">
        <v>86</v>
      </c>
      <c r="P21" s="10"/>
      <c r="Q21" s="33"/>
      <c r="R21" s="108" t="str">
        <f>VLOOKUP(C21,'Train Runs'!$A$13:$AE$10015,31,0)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S21" s="111" t="str">
        <f>VLOOKUP(C21,'Train Runs'!$A$13:$AE$10015,22,0)</f>
        <v>https://search-rtdc-monitor-bjffxe2xuh6vdkpspy63sjmuny.us-east-1.es.amazonaws.com/_plugin/kibana/#/discover/Steve-Slow-Train-Analysis-(2080s-and-2083s)?_g=(refreshInterval:(display:Off,section:0,value:0),time:(from:'2016-09-20 10:23:18-0600',mode:absolute,to:'2016-09-20 13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1" s="113" t="str">
        <f t="shared" si="1"/>
        <v>"C:\Program Files (x86)\AstroGrep\AstroGrep.exe" /spath="%USERPROFILE%\AppData\Local\Temp\OnboardLogs" /stypes="*4017*201609201*" /stext=" 17:.+((SYSTEM_STATE.+slice.+state.+changed )|(ment ac)|(system.+state.+changed )|(\|lc)|(penalty)|(\[timeout)|(PRM\|1\|D)|(kpr)|(kdp))" /e /r /s</v>
      </c>
      <c r="U21" s="9" t="str">
        <f t="shared" si="2"/>
        <v>4017</v>
      </c>
      <c r="V21" s="38">
        <f t="shared" si="3"/>
        <v>42633.749895833331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{"issue":{"subject":"","project_id":79,"tracker_id":40,"status_id":1,"priority_id":2,"assigned_to_id":23,"start_date":"2016-09-20","description":"","custom_fields":[{"id":1,"name":"Subdivision","value":"EC"},{"id":4,"name":"Milepost","value":"2.1848"},{"id":17,"name":"Train ID","value":"156-20"},{"id":16,"name":"Locomotive ID","value":"4017"},{"id":130,"name":"Impact","value":""},{"id":150,"name":"Time of Event (Mountain Time)","value":"11:59:51"},{"id":151,"name":"Denver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5" t="str">
        <f t="shared" si="7"/>
        <v>grep -hSE -A100 "Enforcement Action" "%USERPROFILE%\AppData\Local\Temp\OnboardLogs"\RTDC4017\*4017*201609201* | grep -SE "((Enforcement Ac)|(PRM))" -</v>
      </c>
    </row>
    <row r="22" spans="1:29" x14ac:dyDescent="0.25">
      <c r="A22" s="38">
        <v>42633.656018518515</v>
      </c>
      <c r="B22" s="33" t="s">
        <v>172</v>
      </c>
      <c r="C22" s="33" t="s">
        <v>506</v>
      </c>
      <c r="D22" s="33" t="s">
        <v>49</v>
      </c>
      <c r="E22" s="33" t="s">
        <v>56</v>
      </c>
      <c r="F22" s="49">
        <v>300</v>
      </c>
      <c r="G22" s="49">
        <v>382</v>
      </c>
      <c r="H22" s="49">
        <v>22812</v>
      </c>
      <c r="I22" s="49">
        <v>21709</v>
      </c>
      <c r="J22" s="33" t="s">
        <v>57</v>
      </c>
      <c r="K22" s="49">
        <v>21848</v>
      </c>
      <c r="L22" s="150" t="s">
        <v>53</v>
      </c>
      <c r="M22" s="153">
        <f t="shared" si="0"/>
        <v>-73.391999999999996</v>
      </c>
      <c r="N22" s="92" t="str">
        <f>VLOOKUP(C22,'Trips&amp;Operators'!$C$1:$E$99999,3,FALSE)</f>
        <v>STORY</v>
      </c>
      <c r="O22" s="174" t="s">
        <v>86</v>
      </c>
      <c r="P22" s="10"/>
      <c r="Q22" s="33"/>
      <c r="R22" s="108" t="str">
        <f>VLOOKUP(C22,'Train Runs'!$A$13:$AE$10015,31,0)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S22" s="111" t="str">
        <f>VLOOKUP(C22,'Train Runs'!$A$13:$AE$10015,22,0)</f>
        <v>https://search-rtdc-monitor-bjffxe2xuh6vdkpspy63sjmuny.us-east-1.es.amazonaws.com/_plugin/kibana/#/discover/Steve-Slow-Train-Analysis-(2080s-and-2083s)?_g=(refreshInterval:(display:Off,section:0,value:0),time:(from:'2016-09-20 13:58:49-0600',mode:absolute,to:'2016-09-20 16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2" s="113" t="str">
        <f t="shared" si="1"/>
        <v>"C:\Program Files (x86)\AstroGrep\AstroGrep.exe" /spath="%USERPROFILE%\AppData\Local\Temp\OnboardLogs" /stypes="*4026*201609202*" /stext=" 21:.+((SYSTEM_STATE.+slice.+state.+changed )|(ment ac)|(system.+state.+changed )|(\|lc)|(penalty)|(\[timeout)|(PRM\|1\|D)|(kpr)|(kdp))" /e /r /s</v>
      </c>
      <c r="U22" s="9" t="str">
        <f t="shared" si="2"/>
        <v>4026</v>
      </c>
      <c r="V22" s="38">
        <f t="shared" si="3"/>
        <v>42633.906018518515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{"issue":{"subject":"","project_id":79,"tracker_id":40,"status_id":1,"priority_id":2,"assigned_to_id":23,"start_date":"2016-09-20","description":"","custom_fields":[{"id":1,"name":"Subdivision","value":"EC"},{"id":4,"name":"Milepost","value":"2.1848"},{"id":17,"name":"Train ID","value":"186-20"},{"id":16,"name":"Locomotive ID","value":"4026"},{"id":130,"name":"Impact","value":""},{"id":150,"name":"Time of Event (Mountain Time)","value":"15:44:40"},{"id":151,"name":"Denver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5" t="str">
        <f t="shared" si="7"/>
        <v>grep -hSE -A100 "Enforcement Action" "%USERPROFILE%\AppData\Local\Temp\OnboardLogs"\RTDC4026\*4026*201609202* | grep -SE "((Enforcement Ac)|(PRM))" -</v>
      </c>
    </row>
    <row r="23" spans="1:29" x14ac:dyDescent="0.25">
      <c r="A23" s="38">
        <v>42633.488078703704</v>
      </c>
      <c r="B23" s="33" t="s">
        <v>172</v>
      </c>
      <c r="C23" s="33" t="s">
        <v>465</v>
      </c>
      <c r="D23" s="33" t="s">
        <v>49</v>
      </c>
      <c r="E23" s="33" t="s">
        <v>56</v>
      </c>
      <c r="F23" s="49">
        <v>150</v>
      </c>
      <c r="G23" s="49">
        <v>208</v>
      </c>
      <c r="H23" s="49">
        <v>229173</v>
      </c>
      <c r="I23" s="49">
        <v>228796</v>
      </c>
      <c r="J23" s="33" t="s">
        <v>57</v>
      </c>
      <c r="K23" s="49">
        <v>229055</v>
      </c>
      <c r="L23" s="150" t="s">
        <v>53</v>
      </c>
      <c r="M23" s="153">
        <f t="shared" si="0"/>
        <v>-136.75200000000001</v>
      </c>
      <c r="N23" s="92" t="str">
        <f>VLOOKUP(C23,'Trips&amp;Operators'!$C$1:$E$99999,3,FALSE)</f>
        <v>ROCHA</v>
      </c>
      <c r="O23" s="174" t="s">
        <v>86</v>
      </c>
      <c r="P23" s="10"/>
      <c r="Q23" s="33"/>
      <c r="R23" s="108" t="str">
        <f>VLOOKUP(C23,'Train Runs'!$A$13:$AE$10015,31,0)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S23" s="111" t="str">
        <f>VLOOKUP(C23,'Train Runs'!$A$13:$AE$10015,22,0)</f>
        <v>https://search-rtdc-monitor-bjffxe2xuh6vdkpspy63sjmuny.us-east-1.es.amazonaws.com/_plugin/kibana/#/discover/Steve-Slow-Train-Analysis-(2080s-and-2083s)?_g=(refreshInterval:(display:Off,section:0,value:0),time:(from:'2016-09-20 10:30:36-0600',mode:absolute,to:'2016-09-20 13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3" s="113" t="str">
        <f t="shared" si="1"/>
        <v>"C:\Program Files (x86)\AstroGrep\AstroGrep.exe" /spath="%USERPROFILE%\AppData\Local\Temp\OnboardLogs" /stypes="*4026*201609201*" /stext=" 17:.+((SYSTEM_STATE.+slice.+state.+changed )|(ment ac)|(system.+state.+changed )|(\|lc)|(penalty)|(\[timeout)|(PRM\|1\|D)|(kpr)|(kdp))" /e /r /s</v>
      </c>
      <c r="U23" s="9" t="str">
        <f t="shared" si="2"/>
        <v>4026</v>
      </c>
      <c r="V23" s="38">
        <f t="shared" si="3"/>
        <v>42633.738078703704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{"issue":{"subject":"","project_id":79,"tracker_id":40,"status_id":1,"priority_id":2,"assigned_to_id":23,"start_date":"2016-09-20","description":"","custom_fields":[{"id":1,"name":"Subdivision","value":"EC"},{"id":4,"name":"Milepost","value":"22.9055"},{"id":17,"name":"Train ID","value":"158-20"},{"id":16,"name":"Locomotive ID","value":"4026"},{"id":130,"name":"Impact","value":""},{"id":150,"name":"Time of Event (Mountain Time)","value":"11:42:50"},{"id":151,"name":"Denver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5" t="str">
        <f t="shared" si="7"/>
        <v>grep -hSE -A100 "Enforcement Action" "%USERPROFILE%\AppData\Local\Temp\OnboardLogs"\RTDC4026\*4026*201609201* | grep -SE "((Enforcement Ac)|(PRM))" -</v>
      </c>
    </row>
    <row r="24" spans="1:29" ht="15" customHeight="1" x14ac:dyDescent="0.25">
      <c r="A24" s="38">
        <v>42633.517835648148</v>
      </c>
      <c r="B24" s="33" t="s">
        <v>411</v>
      </c>
      <c r="C24" s="33" t="s">
        <v>473</v>
      </c>
      <c r="D24" s="33" t="s">
        <v>49</v>
      </c>
      <c r="E24" s="33" t="s">
        <v>54</v>
      </c>
      <c r="F24" s="49">
        <v>0</v>
      </c>
      <c r="G24" s="49">
        <v>102</v>
      </c>
      <c r="H24" s="49">
        <v>127948</v>
      </c>
      <c r="I24" s="49">
        <v>127855</v>
      </c>
      <c r="J24" s="33" t="s">
        <v>55</v>
      </c>
      <c r="K24" s="49">
        <v>127587</v>
      </c>
      <c r="L24" s="150" t="s">
        <v>53</v>
      </c>
      <c r="M24" s="153">
        <f t="shared" si="0"/>
        <v>141.50399999999999</v>
      </c>
      <c r="N24" s="92" t="str">
        <f>VLOOKUP(C24,'Trips&amp;Operators'!$C$1:$E$99999,3,FALSE)</f>
        <v>STEWART</v>
      </c>
      <c r="O24" s="174" t="s">
        <v>86</v>
      </c>
      <c r="P24" s="10" t="s">
        <v>764</v>
      </c>
      <c r="Q24" s="33"/>
      <c r="R24" s="108" t="str">
        <f>VLOOKUP(C24,'Train Runs'!$A$13:$AE$10015,31,0)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S24" s="111" t="str">
        <f>VLOOKUP(C24,'Train Runs'!$A$13:$AE$10015,22,0)</f>
        <v>https://search-rtdc-monitor-bjffxe2xuh6vdkpspy63sjmuny.us-east-1.es.amazonaws.com/_plugin/kibana/#/discover/Steve-Slow-Train-Analysis-(2080s-and-2083s)?_g=(refreshInterval:(display:Off,section:0,value:0),time:(from:'2016-09-20 11:07:24-0600',mode:absolute,to:'2016-09-20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4" s="113" t="str">
        <f t="shared" si="1"/>
        <v>"C:\Program Files (x86)\AstroGrep\AstroGrep.exe" /spath="%USERPROFILE%\AppData\Local\Temp\OnboardLogs" /stypes="*4013*201609201*" /stext=" 18:.+((SYSTEM_STATE.+slice.+state.+changed )|(ment ac)|(system.+state.+changed )|(\|lc)|(penalty)|(\[timeout)|(PRM\|1\|D)|(kpr)|(kdp))" /e /r /s</v>
      </c>
      <c r="U24" s="9" t="str">
        <f t="shared" si="2"/>
        <v>4013</v>
      </c>
      <c r="V24" s="38">
        <f t="shared" si="3"/>
        <v>42633.767835648148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{"issue":{"subject":"40th 4S STOP, cleared afterward","project_id":79,"tracker_id":40,"status_id":1,"priority_id":2,"assigned_to_id":23,"start_date":"2016-09-20","description":"","custom_fields":[{"id":1,"name":"Subdivision","value":"EC"},{"id":4,"name":"Milepost","value":"12.7587"},{"id":17,"name":"Train ID","value":"162-20"},{"id":16,"name":"Locomotive ID","value":"4013"},{"id":130,"name":"Impact","value":""},{"id":150,"name":"Time of Event (Mountain Time)","value":"12:25:41"},{"id":151,"name":"Denver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5" t="str">
        <f t="shared" si="7"/>
        <v>grep -hSE -A100 "Enforcement Action" "%USERPROFILE%\AppData\Local\Temp\OnboardLogs"\RTDC4013\*4013*201609201* | grep -SE "((Enforcement Ac)|(PRM))" -</v>
      </c>
    </row>
    <row r="25" spans="1:29" x14ac:dyDescent="0.25">
      <c r="A25" s="38">
        <v>42633.707731481481</v>
      </c>
      <c r="B25" s="33" t="s">
        <v>381</v>
      </c>
      <c r="C25" s="33" t="s">
        <v>523</v>
      </c>
      <c r="D25" s="33" t="s">
        <v>49</v>
      </c>
      <c r="E25" s="33" t="s">
        <v>54</v>
      </c>
      <c r="F25" s="49">
        <v>0</v>
      </c>
      <c r="G25" s="49">
        <v>689</v>
      </c>
      <c r="H25" s="49">
        <v>161269</v>
      </c>
      <c r="I25" s="49">
        <v>164599</v>
      </c>
      <c r="J25" s="33" t="s">
        <v>55</v>
      </c>
      <c r="K25" s="49">
        <v>162254</v>
      </c>
      <c r="L25" s="150" t="s">
        <v>52</v>
      </c>
      <c r="M25" s="153">
        <f t="shared" si="0"/>
        <v>-1238.1600000000001</v>
      </c>
      <c r="N25" s="92" t="str">
        <f>VLOOKUP(C25,'Trips&amp;Operators'!$C$1:$E$99999,3,FALSE)</f>
        <v>STEWART</v>
      </c>
      <c r="O25" s="174" t="s">
        <v>299</v>
      </c>
      <c r="P25" s="10" t="s">
        <v>376</v>
      </c>
      <c r="Q25" s="33"/>
      <c r="R25" s="108" t="str">
        <f>VLOOKUP(C25,'Train Runs'!$A$13:$AE$10015,31,0)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S25" s="111" t="str">
        <f>VLOOKUP(C25,'Train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15:26:23-0600',mode:absolute,to:'2016-09-20 18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5" s="113" t="str">
        <f t="shared" si="1"/>
        <v>"C:\Program Files (x86)\AstroGrep\AstroGrep.exe" /spath="%USERPROFILE%\AppData\Local\Temp\OnboardLogs" /stypes="*4014*201609202*" /stext=" 22:.+((SYSTEM_STATE.+slice.+state.+changed )|(ment ac)|(system.+state.+changed )|(\|lc)|(penalty)|(\[timeout)|(PRM\|1\|D)|(kpr)|(kdp))" /e /r /s</v>
      </c>
      <c r="U25" s="9" t="str">
        <f t="shared" si="2"/>
        <v>4014</v>
      </c>
      <c r="V25" s="38">
        <f t="shared" si="3"/>
        <v>42633.957731481481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{"issue":{"subject":"Wi-MAX outage","project_id":79,"tracker_id":40,"status_id":1,"priority_id":2,"assigned_to_id":23,"start_date":"2016-09-20","description":"http://stevetu21.github.io/eaglep3/load_kml.html?kml=http://rtdc.gmaps-snips.s3.amazonaws.com/6b785b66-c987-4f94-988d-dbd489cc3b45.kml","custom_fields":[{"id":1,"name":"Subdivision","value":"EC"},{"id":4,"name":"Milepost","value":"16.2254"},{"id":17,"name":"Train ID","value":"203-20"},{"id":16,"name":"Locomotive ID","value":"4014"},{"id":130,"name":"Impact","value":"Enforcement"},{"id":150,"name":"Time of Event (Mountain Time)","value":"16:59:08"},{"id":151,"name":"Denver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t="s">
        <v>765</v>
      </c>
      <c r="AA25" s="55" t="s">
        <v>138</v>
      </c>
      <c r="AB25" s="23" t="s">
        <v>151</v>
      </c>
      <c r="AC25" s="175" t="str">
        <f t="shared" si="7"/>
        <v>grep -hSE -A100 "Enforcement Action" "%USERPROFILE%\AppData\Local\Temp\OnboardLogs"\RTDC4014\*4014*201609202* | grep -SE "((Enforcement Ac)|(PRM))" -</v>
      </c>
    </row>
    <row r="26" spans="1:29" x14ac:dyDescent="0.25">
      <c r="A26" s="38">
        <v>42633.246631944443</v>
      </c>
      <c r="B26" s="33" t="s">
        <v>388</v>
      </c>
      <c r="C26" s="33" t="s">
        <v>389</v>
      </c>
      <c r="D26" s="33" t="s">
        <v>49</v>
      </c>
      <c r="E26" s="33" t="s">
        <v>50</v>
      </c>
      <c r="F26" s="49">
        <v>0</v>
      </c>
      <c r="G26" s="49">
        <v>82</v>
      </c>
      <c r="H26" s="49">
        <v>305</v>
      </c>
      <c r="I26" s="49">
        <v>198</v>
      </c>
      <c r="J26" s="33" t="s">
        <v>51</v>
      </c>
      <c r="K26" s="49">
        <v>1</v>
      </c>
      <c r="L26" s="150" t="s">
        <v>53</v>
      </c>
      <c r="M26" s="153">
        <f t="shared" si="0"/>
        <v>104.01600000000001</v>
      </c>
      <c r="N26" s="92" t="str">
        <f>VLOOKUP(C26,'Trips&amp;Operators'!$C$1:$E$99999,3,FALSE)</f>
        <v>BRANNON</v>
      </c>
      <c r="O26" s="174" t="s">
        <v>86</v>
      </c>
      <c r="P26" s="10"/>
      <c r="Q26" s="33"/>
      <c r="R26" s="108" t="str">
        <f>VLOOKUP(C26,'Train Runs'!$A$13:$AE$10015,31,0)</f>
        <v>aws s3 cp s3://rtdc.mdm.uploadarchive/RTDC4015/2016-09-20/ "%USERPROFILE%\AppData\Local\Temp\OnboardLogs"\RTDC4015\2016-09-20 --recursive &amp; "%USERPROFILE%\Documents\GitHub\mrs-test-scripts\Headless Mode &amp; Sideloading\WalkAndUnGZ.bat" "%USERPROFILE%\AppData\Local\Temp\OnboardLogs"\RTDC4015\2016-09-20 &amp; 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</v>
      </c>
      <c r="S26" s="111" t="str">
        <f>VLOOKUP(C26,'Train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04:03:16-0600',mode:absolute,to:'2016-09-20 06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6" s="113" t="str">
        <f t="shared" si="1"/>
        <v>"C:\Program Files (x86)\AstroGrep\AstroGrep.exe" /spath="%USERPROFILE%\AppData\Local\Temp\OnboardLogs" /stypes="*4015*201609201*" /stext=" 11:.+((SYSTEM_STATE.+slice.+state.+changed )|(ment ac)|(system.+state.+changed )|(\|lc)|(penalty)|(\[timeout)|(PRM\|1\|D)|(kpr)|(kdp))" /e /r /s</v>
      </c>
      <c r="U26" s="9" t="str">
        <f t="shared" si="2"/>
        <v>4015</v>
      </c>
      <c r="V26" s="38">
        <f t="shared" si="3"/>
        <v>42633.496631944443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ID","value":"106-20"},{"id":16,"name":"Locomotive ID","value":"4015"},{"id":130,"name":"Impact","value":""},{"id":150,"name":"Time of Event (Mountain Time)","value":"05:55:09"},{"id":151,"name":"Denver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5" t="str">
        <f t="shared" si="7"/>
        <v>grep -hSE -A100 "Enforcement Action" "%USERPROFILE%\AppData\Local\Temp\OnboardLogs"\RTDC4015\*4015*201609201* | grep -SE "((Enforcement Ac)|(PRM))" -</v>
      </c>
    </row>
    <row r="27" spans="1:29" x14ac:dyDescent="0.25">
      <c r="A27" s="38">
        <v>42633.267361111109</v>
      </c>
      <c r="B27" s="33" t="s">
        <v>176</v>
      </c>
      <c r="C27" s="33" t="s">
        <v>396</v>
      </c>
      <c r="D27" s="33" t="s">
        <v>49</v>
      </c>
      <c r="E27" s="33" t="s">
        <v>50</v>
      </c>
      <c r="F27" s="49">
        <v>0</v>
      </c>
      <c r="G27" s="49">
        <v>46</v>
      </c>
      <c r="H27" s="49">
        <v>147</v>
      </c>
      <c r="I27" s="49">
        <v>123</v>
      </c>
      <c r="J27" s="33" t="s">
        <v>51</v>
      </c>
      <c r="K27" s="49">
        <v>1</v>
      </c>
      <c r="L27" s="150" t="s">
        <v>53</v>
      </c>
      <c r="M27" s="153">
        <f t="shared" si="0"/>
        <v>64.415999999999997</v>
      </c>
      <c r="N27" s="92" t="str">
        <f>VLOOKUP(C27,'Trips&amp;Operators'!$C$1:$E$99999,3,FALSE)</f>
        <v>DAVIS</v>
      </c>
      <c r="O27" s="174" t="s">
        <v>86</v>
      </c>
      <c r="P27" s="10"/>
      <c r="Q27" s="33"/>
      <c r="R27" s="108" t="str">
        <f>VLOOKUP(C27,'Train Runs'!$A$13:$AE$10015,31,0)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S27" s="111" t="str">
        <f>VLOOKUP(C27,'Train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04:36:20-0600',mode:absolute,to:'2016-09-20 07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7" s="113" t="str">
        <f t="shared" si="1"/>
        <v>"C:\Program Files (x86)\AstroGrep\AstroGrep.exe" /spath="%USERPROFILE%\AppData\Local\Temp\OnboardLogs" /stypes="*4041*201609201*" /stext=" 12:.+((SYSTEM_STATE.+slice.+state.+changed )|(ment ac)|(system.+state.+changed )|(\|lc)|(penalty)|(\[timeout)|(PRM\|1\|D)|(kpr)|(kdp))" /e /r /s</v>
      </c>
      <c r="U27" s="9" t="str">
        <f t="shared" si="2"/>
        <v>4041</v>
      </c>
      <c r="V27" s="38">
        <f t="shared" si="3"/>
        <v>42633.517361111109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ID","value":"110-20"},{"id":16,"name":"Locomotive ID","value":"4041"},{"id":130,"name":"Impact","value":""},{"id":150,"name":"Time of Event (Mountain Time)","value":"06:25:00"},{"id":151,"name":"Denver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5" t="str">
        <f t="shared" si="7"/>
        <v>grep -hSE -A100 "Enforcement Action" "%USERPROFILE%\AppData\Local\Temp\OnboardLogs"\RTDC4041\*4041*201609201* | grep -SE "((Enforcement Ac)|(PRM))" -</v>
      </c>
    </row>
    <row r="28" spans="1:29" x14ac:dyDescent="0.25">
      <c r="A28" s="38">
        <v>42633.287372685183</v>
      </c>
      <c r="B28" s="33" t="s">
        <v>379</v>
      </c>
      <c r="C28" s="33" t="s">
        <v>402</v>
      </c>
      <c r="D28" s="33" t="s">
        <v>49</v>
      </c>
      <c r="E28" s="33" t="s">
        <v>50</v>
      </c>
      <c r="F28" s="49">
        <v>0</v>
      </c>
      <c r="G28" s="49">
        <v>89</v>
      </c>
      <c r="H28" s="49">
        <v>316</v>
      </c>
      <c r="I28" s="49">
        <v>229</v>
      </c>
      <c r="J28" s="33" t="s">
        <v>51</v>
      </c>
      <c r="K28" s="49">
        <v>1</v>
      </c>
      <c r="L28" s="150" t="s">
        <v>53</v>
      </c>
      <c r="M28" s="153">
        <f t="shared" si="0"/>
        <v>120.384</v>
      </c>
      <c r="N28" s="92" t="str">
        <f>VLOOKUP(C28,'Trips&amp;Operators'!$C$1:$E$99999,3,FALSE)</f>
        <v>KILLION</v>
      </c>
      <c r="O28" s="174" t="s">
        <v>86</v>
      </c>
      <c r="P28" s="10"/>
      <c r="Q28" s="33"/>
      <c r="R28" s="108" t="str">
        <f>VLOOKUP(C28,'Train Runs'!$A$13:$AE$10015,31,0)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S28" s="111" t="str">
        <f>VLOOKUP(C28,'Train Runs'!$A$13:$AE$10015,22,0)</f>
        <v>https://search-rtdc-monitor-bjffxe2xuh6vdkpspy63sjmuny.us-east-1.es.amazonaws.com/_plugin/kibana/#/discover/Steve-Slow-Train-Analysis-(2080s-and-2083s)?_g=(refreshInterval:(display:Off,section:0,value:0),time:(from:'2016-09-20 05:05:24-0600',mode:absolute,to:'2016-09-20 07:53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8" s="113" t="str">
        <f t="shared" si="1"/>
        <v>"C:\Program Files (x86)\AstroGrep\AstroGrep.exe" /spath="%USERPROFILE%\AppData\Local\Temp\OnboardLogs" /stypes="*4017*201609201*" /stext=" 12:.+((SYSTEM_STATE.+slice.+state.+changed )|(ment ac)|(system.+state.+changed )|(\|lc)|(penalty)|(\[timeout)|(PRM\|1\|D)|(kpr)|(kdp))" /e /r /s</v>
      </c>
      <c r="U28" s="9" t="str">
        <f t="shared" si="2"/>
        <v>4017</v>
      </c>
      <c r="V28" s="38">
        <f t="shared" si="3"/>
        <v>42633.537372685183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ID","value":"114-20"},{"id":16,"name":"Locomotive ID","value":"4017"},{"id":130,"name":"Impact","value":""},{"id":150,"name":"Time of Event (Mountain Time)","value":"06:53:49"},{"id":151,"name":"Denver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5" t="str">
        <f t="shared" si="7"/>
        <v>grep -hSE -A100 "Enforcement Action" "%USERPROFILE%\AppData\Local\Temp\OnboardLogs"\RTDC4017\*4017*201609201* | grep -SE "((Enforcement Ac)|(PRM))" -</v>
      </c>
    </row>
    <row r="29" spans="1:29" x14ac:dyDescent="0.25">
      <c r="A29" s="38">
        <v>42633.318854166668</v>
      </c>
      <c r="B29" s="33" t="s">
        <v>411</v>
      </c>
      <c r="C29" s="33" t="s">
        <v>412</v>
      </c>
      <c r="D29" s="33" t="s">
        <v>49</v>
      </c>
      <c r="E29" s="33" t="s">
        <v>50</v>
      </c>
      <c r="F29" s="49">
        <v>0</v>
      </c>
      <c r="G29" s="49">
        <v>60</v>
      </c>
      <c r="H29" s="49">
        <v>196</v>
      </c>
      <c r="I29" s="49">
        <v>129</v>
      </c>
      <c r="J29" s="33" t="s">
        <v>51</v>
      </c>
      <c r="K29" s="49">
        <v>1</v>
      </c>
      <c r="L29" s="150" t="s">
        <v>53</v>
      </c>
      <c r="M29" s="153">
        <f t="shared" si="0"/>
        <v>67.584000000000003</v>
      </c>
      <c r="N29" s="92" t="str">
        <f>VLOOKUP(C29,'Trips&amp;Operators'!$C$1:$E$99999,3,FALSE)</f>
        <v>BRANNON</v>
      </c>
      <c r="O29" s="174" t="s">
        <v>86</v>
      </c>
      <c r="P29" s="10"/>
      <c r="Q29" s="33"/>
      <c r="R29" s="108" t="str">
        <f>VLOOKUP(C29,'Train Runs'!$A$13:$AE$10015,31,0)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S29" s="111" t="str">
        <f>VLOOKUP(C29,'Train Runs'!$A$13:$AE$10015,22,0)</f>
        <v>https://search-rtdc-monitor-bjffxe2xuh6vdkpspy63sjmuny.us-east-1.es.amazonaws.com/_plugin/kibana/#/discover/Steve-Slow-Train-Analysis-(2080s-and-2083s)?_g=(refreshInterval:(display:Off,section:0,value:0),time:(from:'2016-09-20 05:53:57-0600',mode:absolute,to:'2016-09-20 08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9" s="113" t="str">
        <f t="shared" si="1"/>
        <v>"C:\Program Files (x86)\AstroGrep\AstroGrep.exe" /spath="%USERPROFILE%\AppData\Local\Temp\OnboardLogs" /stypes="*4013*201609201*" /stext=" 13:.+((SYSTEM_STATE.+slice.+state.+changed )|(ment ac)|(system.+state.+changed )|(\|lc)|(penalty)|(\[timeout)|(PRM\|1\|D)|(kpr)|(kdp))" /e /r /s</v>
      </c>
      <c r="U29" s="9" t="str">
        <f t="shared" si="2"/>
        <v>4013</v>
      </c>
      <c r="V29" s="38">
        <f t="shared" si="3"/>
        <v>42633.568854166668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ID","value":"120-20"},{"id":16,"name":"Locomotive ID","value":"4013"},{"id":130,"name":"Impact","value":""},{"id":150,"name":"Time of Event (Mountain Time)","value":"07:39:09"},{"id":151,"name":"Denver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5" t="str">
        <f t="shared" si="7"/>
        <v>grep -hSE -A100 "Enforcement Action" "%USERPROFILE%\AppData\Local\Temp\OnboardLogs"\RTDC4013\*4013*201609201* | grep -SE "((Enforcement Ac)|(PRM))" -</v>
      </c>
    </row>
    <row r="30" spans="1:29" x14ac:dyDescent="0.25">
      <c r="A30" s="38">
        <v>42633.410983796297</v>
      </c>
      <c r="B30" s="33" t="s">
        <v>176</v>
      </c>
      <c r="C30" s="33" t="s">
        <v>438</v>
      </c>
      <c r="D30" s="33" t="s">
        <v>49</v>
      </c>
      <c r="E30" s="33" t="s">
        <v>50</v>
      </c>
      <c r="F30" s="49">
        <v>0</v>
      </c>
      <c r="G30" s="49">
        <v>61</v>
      </c>
      <c r="H30" s="49">
        <v>209</v>
      </c>
      <c r="I30" s="49">
        <v>150</v>
      </c>
      <c r="J30" s="33" t="s">
        <v>51</v>
      </c>
      <c r="K30" s="49">
        <v>1</v>
      </c>
      <c r="L30" s="150" t="s">
        <v>53</v>
      </c>
      <c r="M30" s="153">
        <f t="shared" si="0"/>
        <v>78.671999999999997</v>
      </c>
      <c r="N30" s="92" t="str">
        <f>VLOOKUP(C30,'Trips&amp;Operators'!$C$1:$E$99999,3,FALSE)</f>
        <v>DAVIS</v>
      </c>
      <c r="O30" s="174" t="s">
        <v>86</v>
      </c>
      <c r="P30" s="10"/>
      <c r="Q30" s="33"/>
      <c r="R30" s="108" t="str">
        <f>VLOOKUP(C30,'Train Runs'!$A$13:$AE$10015,31,0)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S30" s="111" t="str">
        <f>VLOOKUP(C30,'Train Runs'!$A$13:$AE$10015,22,0)</f>
        <v>https://search-rtdc-monitor-bjffxe2xuh6vdkpspy63sjmuny.us-east-1.es.amazonaws.com/_plugin/kibana/#/discover/Steve-Slow-Train-Analysis-(2080s-and-2083s)?_g=(refreshInterval:(display:Off,section:0,value:0),time:(from:'2016-09-20 08:05:37-0600',mode:absolute,to:'2016-09-20 10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0" s="113" t="str">
        <f t="shared" si="1"/>
        <v>"C:\Program Files (x86)\AstroGrep\AstroGrep.exe" /spath="%USERPROFILE%\AppData\Local\Temp\OnboardLogs" /stypes="*4041*201609201*" /stext=" 15:.+((SYSTEM_STATE.+slice.+state.+changed )|(ment ac)|(system.+state.+changed )|(\|lc)|(penalty)|(\[timeout)|(PRM\|1\|D)|(kpr)|(kdp))" /e /r /s</v>
      </c>
      <c r="U30" s="9" t="str">
        <f t="shared" si="2"/>
        <v>4041</v>
      </c>
      <c r="V30" s="38">
        <f t="shared" si="3"/>
        <v>42633.660983796297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ID","value":"138-20"},{"id":16,"name":"Locomotive ID","value":"4041"},{"id":130,"name":"Impact","value":""},{"id":150,"name":"Time of Event (Mountain Time)","value":"09:51:49"},{"id":151,"name":"Denver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5" t="str">
        <f t="shared" si="7"/>
        <v>grep -hSE -A100 "Enforcement Action" "%USERPROFILE%\AppData\Local\Temp\OnboardLogs"\RTDC4041\*4041*201609201* | grep -SE "((Enforcement Ac)|(PRM))" -</v>
      </c>
    </row>
    <row r="31" spans="1:29" ht="15" customHeight="1" x14ac:dyDescent="0.25">
      <c r="A31" s="38">
        <v>42633.451562499999</v>
      </c>
      <c r="B31" s="33" t="s">
        <v>177</v>
      </c>
      <c r="C31" s="33" t="s">
        <v>448</v>
      </c>
      <c r="D31" s="33" t="s">
        <v>49</v>
      </c>
      <c r="E31" s="33" t="s">
        <v>50</v>
      </c>
      <c r="F31" s="49">
        <v>0</v>
      </c>
      <c r="G31" s="49">
        <v>54</v>
      </c>
      <c r="H31" s="49">
        <v>174</v>
      </c>
      <c r="I31" s="49">
        <v>121</v>
      </c>
      <c r="J31" s="33" t="s">
        <v>51</v>
      </c>
      <c r="K31" s="49">
        <v>1</v>
      </c>
      <c r="L31" s="150" t="s">
        <v>53</v>
      </c>
      <c r="M31" s="153">
        <f t="shared" si="0"/>
        <v>63.36</v>
      </c>
      <c r="N31" s="92" t="str">
        <f>VLOOKUP(C31,'Trips&amp;Operators'!$C$1:$E$99999,3,FALSE)</f>
        <v>ACKERMAN</v>
      </c>
      <c r="O31" s="174" t="s">
        <v>86</v>
      </c>
      <c r="P31" s="10"/>
      <c r="Q31" s="33"/>
      <c r="R31" s="108" t="str">
        <f>VLOOKUP(C31,'Train Runs'!$A$13:$AE$10015,31,0)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S31" s="111" t="str">
        <f>VLOOKUP(C31,'Train Runs'!$A$13:$AE$10015,22,0)</f>
        <v>https://search-rtdc-monitor-bjffxe2xuh6vdkpspy63sjmuny.us-east-1.es.amazonaws.com/_plugin/kibana/#/discover/Steve-Slow-Train-Analysis-(2080s-and-2083s)?_g=(refreshInterval:(display:Off,section:0,value:0),time:(from:'2016-09-20 09:00:57-0600',mode:absolute,to:'2016-09-20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1" s="113" t="str">
        <f t="shared" si="1"/>
        <v>"C:\Program Files (x86)\AstroGrep\AstroGrep.exe" /spath="%USERPROFILE%\AppData\Local\Temp\OnboardLogs" /stypes="*4010*201609201*" /stext=" 16:.+((SYSTEM_STATE.+slice.+state.+changed )|(ment ac)|(system.+state.+changed )|(\|lc)|(penalty)|(\[timeout)|(PRM\|1\|D)|(kpr)|(kdp))" /e /r /s</v>
      </c>
      <c r="U31" s="9" t="str">
        <f t="shared" si="2"/>
        <v>4010</v>
      </c>
      <c r="V31" s="38">
        <f t="shared" si="3"/>
        <v>42633.701562499999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ID","value":"146-20"},{"id":16,"name":"Locomotive ID","value":"4010"},{"id":130,"name":"Impact","value":""},{"id":150,"name":"Time of Event (Mountain Time)","value":"10:50:15"},{"id":151,"name":"Denver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5" t="str">
        <f t="shared" si="7"/>
        <v>grep -hSE -A100 "Enforcement Action" "%USERPROFILE%\AppData\Local\Temp\OnboardLogs"\RTDC4010\*4010*201609201* | grep -SE "((Enforcement Ac)|(PRM))" -</v>
      </c>
    </row>
    <row r="32" spans="1:29" x14ac:dyDescent="0.25">
      <c r="A32" s="38">
        <v>42633.535381944443</v>
      </c>
      <c r="B32" s="33" t="s">
        <v>411</v>
      </c>
      <c r="C32" s="33" t="s">
        <v>473</v>
      </c>
      <c r="D32" s="33" t="s">
        <v>49</v>
      </c>
      <c r="E32" s="33" t="s">
        <v>50</v>
      </c>
      <c r="F32" s="49">
        <v>0</v>
      </c>
      <c r="G32" s="49">
        <v>151</v>
      </c>
      <c r="H32" s="49">
        <v>613</v>
      </c>
      <c r="I32" s="49">
        <v>402</v>
      </c>
      <c r="J32" s="33" t="s">
        <v>51</v>
      </c>
      <c r="K32" s="49">
        <v>1</v>
      </c>
      <c r="L32" s="150" t="s">
        <v>53</v>
      </c>
      <c r="M32" s="153">
        <f t="shared" si="0"/>
        <v>211.72800000000001</v>
      </c>
      <c r="N32" s="92" t="str">
        <f>VLOOKUP(C32,'Trips&amp;Operators'!$C$1:$E$99999,3,FALSE)</f>
        <v>STEWART</v>
      </c>
      <c r="O32" s="174" t="s">
        <v>86</v>
      </c>
      <c r="P32" s="10"/>
      <c r="Q32" s="33"/>
      <c r="R32" s="108" t="str">
        <f>VLOOKUP(C32,'Train Runs'!$A$13:$AE$10015,31,0)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S32" s="111" t="str">
        <f>VLOOKUP(C32,'Train Runs'!$A$13:$AE$10015,22,0)</f>
        <v>https://search-rtdc-monitor-bjffxe2xuh6vdkpspy63sjmuny.us-east-1.es.amazonaws.com/_plugin/kibana/#/discover/Steve-Slow-Train-Analysis-(2080s-and-2083s)?_g=(refreshInterval:(display:Off,section:0,value:0),time:(from:'2016-09-20 11:07:24-0600',mode:absolute,to:'2016-09-20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2" s="113" t="str">
        <f t="shared" si="1"/>
        <v>"C:\Program Files (x86)\AstroGrep\AstroGrep.exe" /spath="%USERPROFILE%\AppData\Local\Temp\OnboardLogs" /stypes="*4013*201609201*" /stext=" 18:.+((SYSTEM_STATE.+slice.+state.+changed )|(ment ac)|(system.+state.+changed )|(\|lc)|(penalty)|(\[timeout)|(PRM\|1\|D)|(kpr)|(kdp))" /e /r /s</v>
      </c>
      <c r="U32" s="9" t="str">
        <f t="shared" si="2"/>
        <v>4013</v>
      </c>
      <c r="V32" s="38">
        <f t="shared" si="3"/>
        <v>42633.785381944443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ID","value":"162-20"},{"id":16,"name":"Locomotive ID","value":"4013"},{"id":130,"name":"Impact","value":""},{"id":150,"name":"Time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5" t="str">
        <f t="shared" si="7"/>
        <v>grep -hSE -A100 "Enforcement Action" "%USERPROFILE%\AppData\Local\Temp\OnboardLogs"\RTDC4013\*4013*201609201* | grep -SE "((Enforcement Ac)|(PRM))" -</v>
      </c>
    </row>
    <row r="33" spans="1:29" ht="15" customHeight="1" x14ac:dyDescent="0.25">
      <c r="A33" s="38">
        <v>42633.53597222222</v>
      </c>
      <c r="B33" s="33" t="s">
        <v>411</v>
      </c>
      <c r="C33" s="33" t="s">
        <v>473</v>
      </c>
      <c r="D33" s="33" t="s">
        <v>49</v>
      </c>
      <c r="E33" s="33" t="s">
        <v>50</v>
      </c>
      <c r="F33" s="49">
        <v>0</v>
      </c>
      <c r="G33" s="49">
        <v>59</v>
      </c>
      <c r="H33" s="49">
        <v>207</v>
      </c>
      <c r="I33" s="49">
        <v>147</v>
      </c>
      <c r="J33" s="33" t="s">
        <v>51</v>
      </c>
      <c r="K33" s="49">
        <v>1</v>
      </c>
      <c r="L33" s="150" t="s">
        <v>53</v>
      </c>
      <c r="M33" s="153">
        <f t="shared" si="0"/>
        <v>77.087999999999994</v>
      </c>
      <c r="N33" s="92" t="str">
        <f>VLOOKUP(C33,'Trips&amp;Operators'!$C$1:$E$99999,3,FALSE)</f>
        <v>STEWART</v>
      </c>
      <c r="O33" s="174" t="s">
        <v>86</v>
      </c>
      <c r="P33" s="10"/>
      <c r="Q33" s="33"/>
      <c r="R33" s="108" t="str">
        <f>VLOOKUP(C33,'Train Runs'!$A$13:$AE$10015,31,0)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S33" s="111" t="str">
        <f>VLOOKUP(C33,'Train Runs'!$A$13:$AE$10015,22,0)</f>
        <v>https://search-rtdc-monitor-bjffxe2xuh6vdkpspy63sjmuny.us-east-1.es.amazonaws.com/_plugin/kibana/#/discover/Steve-Slow-Train-Analysis-(2080s-and-2083s)?_g=(refreshInterval:(display:Off,section:0,value:0),time:(from:'2016-09-20 11:07:24-0600',mode:absolute,to:'2016-09-20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3" s="113" t="str">
        <f t="shared" si="1"/>
        <v>"C:\Program Files (x86)\AstroGrep\AstroGrep.exe" /spath="%USERPROFILE%\AppData\Local\Temp\OnboardLogs" /stypes="*4013*201609201*" /stext=" 18:.+((SYSTEM_STATE.+slice.+state.+changed )|(ment ac)|(system.+state.+changed )|(\|lc)|(penalty)|(\[timeout)|(PRM\|1\|D)|(kpr)|(kdp))" /e /r /s</v>
      </c>
      <c r="U33" s="9" t="str">
        <f t="shared" si="2"/>
        <v>4013</v>
      </c>
      <c r="V33" s="38">
        <f t="shared" si="3"/>
        <v>42633.78597222222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ID","value":"162-20"},{"id":16,"name":"Locomotive ID","value":"4013"},{"id":130,"name":"Impact","value":""},{"id":150,"name":"Time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5" t="str">
        <f t="shared" si="7"/>
        <v>grep -hSE -A100 "Enforcement Action" "%USERPROFILE%\AppData\Local\Temp\OnboardLogs"\RTDC4013\*4013*201609201* | grep -SE "((Enforcement Ac)|(PRM))" -</v>
      </c>
    </row>
    <row r="34" spans="1:29" x14ac:dyDescent="0.25">
      <c r="A34" s="38">
        <v>42633.702685185184</v>
      </c>
      <c r="B34" s="33" t="s">
        <v>176</v>
      </c>
      <c r="C34" s="33" t="s">
        <v>518</v>
      </c>
      <c r="D34" s="33" t="s">
        <v>49</v>
      </c>
      <c r="E34" s="33" t="s">
        <v>50</v>
      </c>
      <c r="F34" s="49">
        <v>0</v>
      </c>
      <c r="G34" s="49">
        <v>58</v>
      </c>
      <c r="H34" s="49">
        <v>209</v>
      </c>
      <c r="I34" s="49">
        <v>147</v>
      </c>
      <c r="J34" s="33" t="s">
        <v>51</v>
      </c>
      <c r="K34" s="49">
        <v>1</v>
      </c>
      <c r="L34" s="150" t="s">
        <v>53</v>
      </c>
      <c r="M34" s="153">
        <f t="shared" si="0"/>
        <v>77.087999999999994</v>
      </c>
      <c r="N34" s="92" t="str">
        <f>VLOOKUP(C34,'Trips&amp;Operators'!$C$1:$E$99999,3,FALSE)</f>
        <v>BONDS</v>
      </c>
      <c r="O34" s="174" t="s">
        <v>86</v>
      </c>
      <c r="P34" s="10"/>
      <c r="Q34" s="33"/>
      <c r="R34" s="108" t="str">
        <f>VLOOKUP(C34,'Train Runs'!$A$13:$AE$10015,31,0)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S34" s="111" t="str">
        <f>VLOOKUP(C34,'Train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15:02:46-0600',mode:absolute,to:'2016-09-20 17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4" s="113" t="str">
        <f t="shared" si="1"/>
        <v>"C:\Program Files (x86)\AstroGrep\AstroGrep.exe" /spath="%USERPROFILE%\AppData\Local\Temp\OnboardLogs" /stypes="*4041*201609202*" /stext=" 22:.+((SYSTEM_STATE.+slice.+state.+changed )|(ment ac)|(system.+state.+changed )|(\|lc)|(penalty)|(\[timeout)|(PRM\|1\|D)|(kpr)|(kdp))" /e /r /s</v>
      </c>
      <c r="U34" s="9" t="str">
        <f t="shared" si="2"/>
        <v>4041</v>
      </c>
      <c r="V34" s="38">
        <f t="shared" si="3"/>
        <v>42633.952685185184</v>
      </c>
      <c r="W34" s="52" t="str">
        <f t="shared" si="4"/>
        <v>EC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ID","value":"194-20"},{"id":16,"name":"Locomotive ID","value":"4041"},{"id":130,"name":"Impact","value":""},{"id":150,"name":"Time of Event (Mountain Time)","value":"16:51:52"},{"id":151,"name":"Denver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5" t="str">
        <f t="shared" si="7"/>
        <v>grep -hSE -A100 "Enforcement Action" "%USERPROFILE%\AppData\Local\Temp\OnboardLogs"\RTDC4041\*4041*201609202* | grep -SE "((Enforcement Ac)|(PRM))" -</v>
      </c>
    </row>
    <row r="35" spans="1:29" x14ac:dyDescent="0.25">
      <c r="A35" s="38">
        <v>42633.349722222221</v>
      </c>
      <c r="B35" s="33" t="s">
        <v>381</v>
      </c>
      <c r="C35" s="33" t="s">
        <v>422</v>
      </c>
      <c r="D35" s="33" t="s">
        <v>49</v>
      </c>
      <c r="E35" s="33" t="s">
        <v>50</v>
      </c>
      <c r="F35" s="49">
        <v>0</v>
      </c>
      <c r="G35" s="49">
        <v>89</v>
      </c>
      <c r="H35" s="49">
        <v>233167</v>
      </c>
      <c r="I35" s="49">
        <v>233257</v>
      </c>
      <c r="J35" s="33" t="s">
        <v>51</v>
      </c>
      <c r="K35" s="49">
        <v>233491</v>
      </c>
      <c r="L35" s="150" t="s">
        <v>52</v>
      </c>
      <c r="M35" s="153">
        <f t="shared" si="0"/>
        <v>123.55200000000001</v>
      </c>
      <c r="N35" s="92" t="str">
        <f>VLOOKUP(C35,'Trips&amp;Operators'!$C$1:$E$99999,3,FALSE)</f>
        <v>BRANNON</v>
      </c>
      <c r="O35" s="174" t="s">
        <v>86</v>
      </c>
      <c r="P35" s="10"/>
      <c r="Q35" s="33"/>
      <c r="R35" s="108" t="str">
        <f>VLOOKUP(C35,'Train Runs'!$A$13:$AE$10015,31,0)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S35" s="111" t="str">
        <f>VLOOKUP(C35,'Train Runs'!$A$13:$AE$10015,22,0)</f>
        <v>https://search-rtdc-monitor-bjffxe2xuh6vdkpspy63sjmuny.us-east-1.es.amazonaws.com/_plugin/kibana/#/discover/Steve-Slow-Train-Analysis-(2080s-and-2083s)?_g=(refreshInterval:(display:Off,section:0,value:0),time:(from:'2016-09-20 06:40:50-0600',mode:absolute,to:'2016-09-20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5" s="113" t="str">
        <f t="shared" si="1"/>
        <v>"C:\Program Files (x86)\AstroGrep\AstroGrep.exe" /spath="%USERPROFILE%\AppData\Local\Temp\OnboardLogs" /stypes="*4014*201609201*" /stext=" 14:.+((SYSTEM_STATE.+slice.+state.+changed )|(ment ac)|(system.+state.+changed )|(\|lc)|(penalty)|(\[timeout)|(PRM\|1\|D)|(kpr)|(kdp))" /e /r /s</v>
      </c>
      <c r="U35" s="9" t="str">
        <f t="shared" si="2"/>
        <v>4014</v>
      </c>
      <c r="V35" s="38">
        <f t="shared" si="3"/>
        <v>42633.599722222221</v>
      </c>
      <c r="W35" s="52" t="str">
        <f t="shared" si="4"/>
        <v>EC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{"issue":{"subject":"","project_id":79,"tracker_id":40,"status_id":1,"priority_id":2,"assigned_to_id":23,"start_date":"2016-09-20","description":"","custom_fields":[{"id":1,"name":"Subdivision","value":"EC"},{"id":4,"name":"Milepost","value":"23.3491"},{"id":17,"name":"Train ID","value":"133-20"},{"id":16,"name":"Locomotive ID","value":"4014"},{"id":130,"name":"Impact","value":""},{"id":150,"name":"Time of Event (Mountain Time)","value":"08:23:36"},{"id":151,"name":"Denver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5" t="str">
        <f t="shared" si="7"/>
        <v>grep -hSE -A100 "Enforcement Action" "%USERPROFILE%\AppData\Local\Temp\OnboardLogs"\RTDC4014\*4014*201609201* | grep -SE "((Enforcement Ac)|(PRM))" -</v>
      </c>
    </row>
    <row r="36" spans="1:29" x14ac:dyDescent="0.25">
      <c r="A36" s="38">
        <v>42633.515057870369</v>
      </c>
      <c r="B36" s="33" t="s">
        <v>178</v>
      </c>
      <c r="C36" s="33" t="s">
        <v>469</v>
      </c>
      <c r="D36" s="33" t="s">
        <v>49</v>
      </c>
      <c r="E36" s="33" t="s">
        <v>50</v>
      </c>
      <c r="F36" s="49">
        <v>0</v>
      </c>
      <c r="G36" s="49">
        <v>68</v>
      </c>
      <c r="H36" s="49">
        <v>233251</v>
      </c>
      <c r="I36" s="49">
        <v>233328</v>
      </c>
      <c r="J36" s="33" t="s">
        <v>51</v>
      </c>
      <c r="K36" s="49">
        <v>233491</v>
      </c>
      <c r="L36" s="150" t="s">
        <v>52</v>
      </c>
      <c r="M36" s="153">
        <f t="shared" si="0"/>
        <v>86.063999999999993</v>
      </c>
      <c r="N36" s="92" t="str">
        <f>VLOOKUP(C36,'Trips&amp;Operators'!$C$1:$E$99999,3,FALSE)</f>
        <v>LEVIN</v>
      </c>
      <c r="O36" s="174" t="s">
        <v>86</v>
      </c>
      <c r="P36" s="10"/>
      <c r="Q36" s="33"/>
      <c r="R36" s="108" t="str">
        <f>VLOOKUP(C36,'Train Runs'!$A$13:$AE$10015,31,0)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S36" s="111" t="str">
        <f>VLOOKUP(C36,'Train Runs'!$A$13:$AE$10015,22,0)</f>
        <v>https://search-rtdc-monitor-bjffxe2xuh6vdkpspy63sjmuny.us-east-1.es.amazonaws.com/_plugin/kibana/#/discover/Steve-Slow-Train-Analysis-(2080s-and-2083s)?_g=(refreshInterval:(display:Off,section:0,value:0),time:(from:'2016-09-20 10:41:18-0600',mode:absolute,to:'2016-09-20 13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36" s="113" t="str">
        <f t="shared" si="1"/>
        <v>"C:\Program Files (x86)\AstroGrep\AstroGrep.exe" /spath="%USERPROFILE%\AppData\Local\Temp\OnboardLogs" /stypes="*4042*201609201*" /stext=" 18:.+((SYSTEM_STATE.+slice.+state.+changed )|(ment ac)|(system.+state.+changed )|(\|lc)|(penalty)|(\[timeout)|(PRM\|1\|D)|(kpr)|(kdp))" /e /r /s</v>
      </c>
      <c r="U36" s="9" t="str">
        <f t="shared" si="2"/>
        <v>4042</v>
      </c>
      <c r="V36" s="38">
        <f t="shared" si="3"/>
        <v>42633.765057870369</v>
      </c>
      <c r="W36" s="52" t="str">
        <f t="shared" si="4"/>
        <v>EC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{"issue":{"subject":"","project_id":79,"tracker_id":40,"status_id":1,"priority_id":2,"assigned_to_id":23,"start_date":"2016-09-20","description":"","custom_fields":[{"id":1,"name":"Subdivision","value":"EC"},{"id":4,"name":"Milepost","value":"23.3491"},{"id":17,"name":"Train ID","value":"165-20"},{"id":16,"name":"Locomotive ID","value":"4042"},{"id":130,"name":"Impact","value":""},{"id":150,"name":"Time of Event (Mountain Time)","value":"12:21:41"},{"id":151,"name":"Denver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5" t="str">
        <f t="shared" si="7"/>
        <v>grep -hSE -A100 "Enforcement Action" "%USERPROFILE%\AppData\Local\Temp\OnboardLogs"\RTDC4042\*4042*201609201* | grep -SE "((Enforcement Ac)|(PRM))" -</v>
      </c>
    </row>
    <row r="37" spans="1:29" ht="15" customHeight="1" x14ac:dyDescent="0.25">
      <c r="A37" s="38">
        <v>42633.368333333332</v>
      </c>
      <c r="B37" s="33" t="s">
        <v>262</v>
      </c>
      <c r="C37" s="33" t="s">
        <v>433</v>
      </c>
      <c r="D37" s="33" t="s">
        <v>105</v>
      </c>
      <c r="E37" s="33" t="s">
        <v>169</v>
      </c>
      <c r="F37" s="49">
        <v>0</v>
      </c>
      <c r="G37" s="49">
        <v>215</v>
      </c>
      <c r="H37" s="49">
        <v>15718</v>
      </c>
      <c r="I37" s="49">
        <v>15455</v>
      </c>
      <c r="J37" s="33" t="s">
        <v>168</v>
      </c>
      <c r="K37" s="49">
        <v>15777</v>
      </c>
      <c r="L37" s="150" t="s">
        <v>53</v>
      </c>
      <c r="M37" s="153">
        <f t="shared" si="0"/>
        <v>-170.01599999999999</v>
      </c>
      <c r="N37" s="92" t="str">
        <f>VLOOKUP(C37,'Trips&amp;Operators'!$C$1:$E$99999,3,FALSE)</f>
        <v>LEVIN</v>
      </c>
      <c r="O37" s="174" t="s">
        <v>86</v>
      </c>
      <c r="P37" s="10" t="s">
        <v>375</v>
      </c>
      <c r="Q37" s="33"/>
      <c r="R37" s="108" t="str">
        <f>VLOOKUP(C37,'Train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37" s="111" t="str">
        <f>VLOOKUP(C37,'Train Runs'!$A$13:$AE$10015,22,0)</f>
        <v>https://search-rtdc-monitor-bjffxe2xuh6vdkpspy63sjmuny.us-east-1.es.amazonaws.com/_plugin/kibana/#/discover/Steve-Slow-Train-Analysis-(2080s-and-2083s)?_g=(refreshInterval:(display:Off,section:0,value:0),time:(from:'2016-09-20 07:35:42-0600',mode:absolute,to:'2016-09-20 09:58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7" s="113" t="str">
        <f t="shared" si="1"/>
        <v>"C:\Program Files (x86)\AstroGrep\AstroGrep.exe" /spath="%USERPROFILE%\AppData\Local\Temp\OnboardLogs" /stypes="*4045*201609201*" /stext=" 14:.+((SYSTEM_STATE.+slice.+state.+changed )|(ment ac)|(system.+state.+changed )|(\|lc)|(penalty)|(\[timeout)|(PRM\|1\|D)|(kpr)|(kdp))" /e /r /s</v>
      </c>
      <c r="U37" s="9" t="str">
        <f t="shared" si="2"/>
        <v>4045</v>
      </c>
      <c r="V37" s="38">
        <f t="shared" si="3"/>
        <v>42633.618333333332</v>
      </c>
      <c r="W37" s="52" t="str">
        <f t="shared" si="4"/>
        <v>NW</v>
      </c>
      <c r="X37" s="52" t="str">
        <f t="shared" si="5"/>
        <v>KEEP</v>
      </c>
      <c r="Y37" s="134" t="str">
        <f t="shared" si="6"/>
        <v>echo {"issue":{"subject":"Early arrival","project_id":79,"tracker_id":40,"status_id":1,"priority_id":2,"assigned_to_id":23,"start_date":"2016-09-20","description":"","custom_fields":[{"id":1,"name":"Subdivision","value":"NW"},{"id":4,"name":"Milepost","value":"1.5777"},{"id":17,"name":"Train ID","value":"812-20"},{"id":16,"name":"Locomotive ID","value":"4045"},{"id":130,"name":"Impact","value":""},{"id":150,"name":"Time of Event (Mountain Time)","value":"08:50:24"},{"id":151,"name":"Denver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5" t="str">
        <f t="shared" si="7"/>
        <v>grep -hSE -A100 "Enforcement Action" "%USERPROFILE%\AppData\Local\Temp\OnboardLogs"\RTDC4045\*4045*201609201* | grep -SE "((Enforcement Ac)|(PRM))" -</v>
      </c>
    </row>
    <row r="38" spans="1:29" x14ac:dyDescent="0.25">
      <c r="A38" s="38">
        <v>42633.325590277775</v>
      </c>
      <c r="B38" s="33" t="s">
        <v>262</v>
      </c>
      <c r="C38" s="33" t="s">
        <v>420</v>
      </c>
      <c r="D38" s="33" t="s">
        <v>105</v>
      </c>
      <c r="E38" s="33" t="s">
        <v>56</v>
      </c>
      <c r="F38" s="49">
        <v>300</v>
      </c>
      <c r="G38" s="49">
        <v>350</v>
      </c>
      <c r="H38" s="49">
        <v>21002</v>
      </c>
      <c r="I38" s="49">
        <v>20064</v>
      </c>
      <c r="J38" s="33" t="s">
        <v>57</v>
      </c>
      <c r="K38" s="49">
        <v>23561</v>
      </c>
      <c r="L38" s="150" t="s">
        <v>53</v>
      </c>
      <c r="M38" s="153">
        <f t="shared" si="0"/>
        <v>-1846.4159999999999</v>
      </c>
      <c r="N38" s="92" t="str">
        <f>VLOOKUP(C38,'Trips&amp;Operators'!$C$1:$E$99999,3,FALSE)</f>
        <v>LEVIN</v>
      </c>
      <c r="O38" s="174" t="s">
        <v>86</v>
      </c>
      <c r="P38" s="10"/>
      <c r="Q38" s="33"/>
      <c r="R38" s="108" t="str">
        <f>VLOOKUP(C38,'Train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38" s="111" t="str">
        <f>VLOOKUP(C38,'Train Runs'!$A$13:$AE$10015,22,0)</f>
        <v>https://search-rtdc-monitor-bjffxe2xuh6vdkpspy63sjmuny.us-east-1.es.amazonaws.com/_plugin/kibana/#/discover/Steve-Slow-Train-Analysis-(2080s-and-2083s)?_g=(refreshInterval:(display:Off,section:0,value:0),time:(from:'2016-09-20 06:36:01-0600',mode:absolute,to:'2016-09-20 08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8" s="113" t="str">
        <f t="shared" si="1"/>
        <v>"C:\Program Files (x86)\AstroGrep\AstroGrep.exe" /spath="%USERPROFILE%\AppData\Local\Temp\OnboardLogs" /stypes="*4045*201609201*" /stext=" 13:.+((SYSTEM_STATE.+slice.+state.+changed )|(ment ac)|(system.+state.+changed )|(\|lc)|(penalty)|(\[timeout)|(PRM\|1\|D)|(kpr)|(kdp))" /e /r /s</v>
      </c>
      <c r="U38" s="9" t="str">
        <f t="shared" si="2"/>
        <v>4045</v>
      </c>
      <c r="V38" s="38">
        <f t="shared" si="3"/>
        <v>42633.575590277775</v>
      </c>
      <c r="W38" s="52" t="str">
        <f t="shared" si="4"/>
        <v>NW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{"issue":{"subject":"","project_id":79,"tracker_id":40,"status_id":1,"priority_id":2,"assigned_to_id":23,"start_date":"2016-09-20","description":"","custom_fields":[{"id":1,"name":"Subdivision","value":"NW"},{"id":4,"name":"Milepost","value":"2.3561"},{"id":17,"name":"Train ID","value":"808-20"},{"id":16,"name":"Locomotive ID","value":"4045"},{"id":130,"name":"Impact","value":""},{"id":150,"name":"Time of Event (Mountain Time)","value":"07:48:51"},{"id":151,"name":"Denver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5" t="str">
        <f t="shared" si="7"/>
        <v>grep -hSE -A100 "Enforcement Action" "%USERPROFILE%\AppData\Local\Temp\OnboardLogs"\RTDC4045\*4045*201609201* | grep -SE "((Enforcement Ac)|(PRM))" -</v>
      </c>
    </row>
    <row r="39" spans="1:29" x14ac:dyDescent="0.25">
      <c r="A39" s="38">
        <v>42633.575879629629</v>
      </c>
      <c r="B39" s="33" t="s">
        <v>262</v>
      </c>
      <c r="C39" s="33" t="s">
        <v>493</v>
      </c>
      <c r="D39" s="33" t="s">
        <v>105</v>
      </c>
      <c r="E39" s="33" t="s">
        <v>56</v>
      </c>
      <c r="F39" s="49">
        <v>300</v>
      </c>
      <c r="G39" s="49">
        <v>352</v>
      </c>
      <c r="H39" s="49">
        <v>21095</v>
      </c>
      <c r="I39" s="49">
        <v>20303</v>
      </c>
      <c r="J39" s="33" t="s">
        <v>57</v>
      </c>
      <c r="K39" s="49">
        <v>23561</v>
      </c>
      <c r="L39" s="150" t="s">
        <v>53</v>
      </c>
      <c r="M39" s="153">
        <f t="shared" ref="M39:M55" si="8">CONVERT((I39-K39)/10000,"mi","ft")*IF(L39="Increasing Mileposts (1)",-1,1)</f>
        <v>-1720.2239999999999</v>
      </c>
      <c r="N39" s="92" t="str">
        <f>VLOOKUP(C39,'Trips&amp;Operators'!$C$1:$E$99999,3,FALSE)</f>
        <v>BRUDER</v>
      </c>
      <c r="O39" s="174" t="s">
        <v>86</v>
      </c>
      <c r="P39" s="10"/>
      <c r="Q39" s="33"/>
      <c r="R39" s="108" t="str">
        <f>VLOOKUP(C39,'Train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39" s="111" t="str">
        <f>VLOOKUP(C39,'Train Runs'!$A$13:$AE$10015,22,0)</f>
        <v>https://search-rtdc-monitor-bjffxe2xuh6vdkpspy63sjmuny.us-east-1.es.amazonaws.com/_plugin/kibana/#/discover/Steve-Slow-Train-Analysis-(2080s-and-2083s)?_g=(refreshInterval:(display:Off,section:0,value:0),time:(from:'2016-09-20 12:38:53-0600',mode:absolute,to:'2016-09-20 14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9" s="113" t="str">
        <f t="shared" ref="T39:T55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/stypes="*4045*201609201*" /stext=" 19:.+((SYSTEM_STATE.+slice.+state.+changed )|(ment ac)|(system.+state.+changed )|(\|lc)|(penalty)|(\[timeout)|(PRM\|1\|D)|(kpr)|(kdp))" /e /r /s</v>
      </c>
      <c r="U39" s="9" t="str">
        <f t="shared" ref="U39:U55" si="10">MID(B39,13,4)</f>
        <v>4045</v>
      </c>
      <c r="V39" s="38">
        <f t="shared" ref="V39:V55" si="11">A39+6/24</f>
        <v>42633.825879629629</v>
      </c>
      <c r="W39" s="52" t="str">
        <f t="shared" ref="W39:W55" si="12">IF(VALUE(LEFT(IF(LEN(C39)=6,"0"&amp;C39,C39),2))&lt;=2,"EC",IF(OR(VALUE(LEFT(IF(LEN(C39)=6,"0"&amp;C39,C39),2))=8,VALUE(LEFT(IF(LEN(C39)=6,"0"&amp;C39,C39),2))=18),"NW","Other"))</f>
        <v>NW</v>
      </c>
      <c r="X39" s="52" t="str">
        <f t="shared" ref="X39:X55" si="13">IF(AND(E39="TRACK WARRANT AUTHORITY",G39&lt;10),"OMIT","KEEP")</f>
        <v>KEEP</v>
      </c>
      <c r="Y39" s="134" t="str">
        <f t="shared" ref="Y39:Y55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{"issue":{"subject":"","project_id":79,"tracker_id":40,"status_id":1,"priority_id":2,"assigned_to_id":23,"start_date":"2016-09-20","description":"","custom_fields":[{"id":1,"name":"Subdivision","value":"NW"},{"id":4,"name":"Milepost","value":"2.3561"},{"id":17,"name":"Train ID","value":"822-20"},{"id":16,"name":"Locomotive ID","value":"4045"},{"id":130,"name":"Impact","value":""},{"id":150,"name":"Time of Event (Mountain Time)","value":"13:49:16"},{"id":151,"name":"Denver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5" t="str">
        <f t="shared" ref="AC39:AC55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"%USERPROFILE%\AppData\Local\Temp\OnboardLogs"\RTDC4045\*4045*201609201* | grep -SE "((Enforcement Ac)|(PRM))" -</v>
      </c>
    </row>
    <row r="40" spans="1:29" x14ac:dyDescent="0.25">
      <c r="A40" s="38">
        <v>42633.437824074077</v>
      </c>
      <c r="B40" s="33" t="s">
        <v>181</v>
      </c>
      <c r="C40" s="33" t="s">
        <v>451</v>
      </c>
      <c r="D40" s="33" t="s">
        <v>49</v>
      </c>
      <c r="E40" s="33" t="s">
        <v>56</v>
      </c>
      <c r="F40" s="49">
        <v>400</v>
      </c>
      <c r="G40" s="49">
        <v>481</v>
      </c>
      <c r="H40" s="49">
        <v>46653</v>
      </c>
      <c r="I40" s="49">
        <v>48051</v>
      </c>
      <c r="J40" s="33" t="s">
        <v>57</v>
      </c>
      <c r="K40" s="49">
        <v>47808</v>
      </c>
      <c r="L40" s="150" t="s">
        <v>52</v>
      </c>
      <c r="M40" s="153">
        <f t="shared" si="8"/>
        <v>-128.304</v>
      </c>
      <c r="N40" s="92" t="str">
        <f>VLOOKUP(C40,'Trips&amp;Operators'!$C$1:$E$99999,3,FALSE)</f>
        <v>LEVIN</v>
      </c>
      <c r="O40" s="174" t="s">
        <v>86</v>
      </c>
      <c r="P40" s="10"/>
      <c r="Q40" s="33"/>
      <c r="R40" s="108" t="str">
        <f>VLOOKUP(C40,'Train Runs'!$A$13:$AE$10015,31,0)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S40" s="111" t="str">
        <f>VLOOKUP(C40,'Train Runs'!$A$13:$AE$10015,22,0)</f>
        <v>https://search-rtdc-monitor-bjffxe2xuh6vdkpspy63sjmuny.us-east-1.es.amazonaws.com/_plugin/kibana/#/discover/Steve-Slow-Train-Analysis-(2080s-and-2083s)?_g=(refreshInterval:(display:Off,section:0,value:0),time:(from:'2016-09-20 09:18:12-0600',mode:absolute,to:'2016-09-20 11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40" s="113" t="str">
        <f t="shared" si="9"/>
        <v>"C:\Program Files (x86)\AstroGrep\AstroGrep.exe" /spath="%USERPROFILE%\AppData\Local\Temp\OnboardLogs" /stypes="*4046*201609201*" /stext=" 16:.+((SYSTEM_STATE.+slice.+state.+changed )|(ment ac)|(system.+state.+changed )|(\|lc)|(penalty)|(\[timeout)|(PRM\|1\|D)|(kpr)|(kdp))" /e /r /s</v>
      </c>
      <c r="U40" s="9" t="str">
        <f t="shared" si="10"/>
        <v>4046</v>
      </c>
      <c r="V40" s="38">
        <f t="shared" si="11"/>
        <v>42633.687824074077</v>
      </c>
      <c r="W40" s="52" t="str">
        <f t="shared" si="12"/>
        <v>NW</v>
      </c>
      <c r="X40" s="52" t="str">
        <f t="shared" si="13"/>
        <v>KEEP</v>
      </c>
      <c r="Y40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{"issue":{"subject":"","project_id":79,"tracker_id":40,"status_id":1,"priority_id":2,"assigned_to_id":23,"start_date":"2016-09-20","description":"","custom_fields":[{"id":1,"name":"Subdivision","value":"NW"},{"id":4,"name":"Milepost","value":"4.7808"},{"id":17,"name":"Train ID","value":"815-20"},{"id":16,"name":"Locomotive ID","value":"4046"},{"id":130,"name":"Impact","value":""},{"id":150,"name":"Time of Event (Mountain Time)","value":"10:30:28"},{"id":151,"name":"Denver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5" t="str">
        <f t="shared" si="15"/>
        <v>grep -hSE -A100 "Enforcement Action" "%USERPROFILE%\AppData\Local\Temp\OnboardLogs"\RTDC4046\*4046*201609201* | grep -SE "((Enforcement Ac)|(PRM))" -</v>
      </c>
    </row>
    <row r="41" spans="1:29" x14ac:dyDescent="0.25">
      <c r="A41" s="38">
        <v>42633.252384259256</v>
      </c>
      <c r="B41" s="33" t="s">
        <v>165</v>
      </c>
      <c r="C41" s="33" t="s">
        <v>398</v>
      </c>
      <c r="D41" s="33" t="s">
        <v>49</v>
      </c>
      <c r="E41" s="33" t="s">
        <v>56</v>
      </c>
      <c r="F41" s="49">
        <v>150</v>
      </c>
      <c r="G41" s="49">
        <v>554</v>
      </c>
      <c r="H41" s="49">
        <v>53485</v>
      </c>
      <c r="I41" s="49">
        <v>56819</v>
      </c>
      <c r="J41" s="33" t="s">
        <v>57</v>
      </c>
      <c r="K41" s="49">
        <v>57008</v>
      </c>
      <c r="L41" s="150" t="s">
        <v>52</v>
      </c>
      <c r="M41" s="153">
        <f t="shared" si="8"/>
        <v>99.792000000000002</v>
      </c>
      <c r="N41" s="92" t="str">
        <f>VLOOKUP(C41,'Trips&amp;Operators'!$C$1:$E$99999,3,FALSE)</f>
        <v>STARKS</v>
      </c>
      <c r="O41" s="174" t="s">
        <v>86</v>
      </c>
      <c r="P41" s="10"/>
      <c r="Q41" s="33"/>
      <c r="R41" s="108" t="str">
        <f>VLOOKUP(C41,'Train Runs'!$A$13:$AE$10015,31,0)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S41" s="111" t="str">
        <f>VLOOKUP(C41,'Train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04:47:37-0600',mode:absolute,to:'2016-09-20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1" s="113" t="str">
        <f t="shared" si="9"/>
        <v>"C:\Program Files (x86)\AstroGrep\AstroGrep.exe" /spath="%USERPROFILE%\AppData\Local\Temp\OnboardLogs" /stypes="*4020*201609201*" /stext=" 12:.+((SYSTEM_STATE.+slice.+state.+changed )|(ment ac)|(system.+state.+changed )|(\|lc)|(penalty)|(\[timeout)|(PRM\|1\|D)|(kpr)|(kdp))" /e /r /s</v>
      </c>
      <c r="U41" s="9" t="str">
        <f t="shared" si="10"/>
        <v>4020</v>
      </c>
      <c r="V41" s="38">
        <f t="shared" si="11"/>
        <v>42633.502384259256</v>
      </c>
      <c r="W41" s="52" t="str">
        <f t="shared" si="12"/>
        <v>NW</v>
      </c>
      <c r="X41" s="52" t="str">
        <f t="shared" si="13"/>
        <v>KEEP</v>
      </c>
      <c r="Y41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{"issue":{"subject":"","project_id":79,"tracker_id":40,"status_id":1,"priority_id":2,"assigned_to_id":23,"start_date":"2016-09-20","description":"","custom_fields":[{"id":1,"name":"Subdivision","value":"NW"},{"id":4,"name":"Milepost","value":"5.7008"},{"id":17,"name":"Train ID","value":"801-20"},{"id":16,"name":"Locomotive ID","value":"4020"},{"id":130,"name":"Impact","value":""},{"id":150,"name":"Time of Event (Mountain Time)","value":"06:03:26"},{"id":151,"name":"Denver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5" t="str">
        <f t="shared" si="15"/>
        <v>grep -hSE -A100 "Enforcement Action" "%USERPROFILE%\AppData\Local\Temp\OnboardLogs"\RTDC4020\*4020*201609201* | grep -SE "((Enforcement Ac)|(PRM))" -</v>
      </c>
    </row>
    <row r="42" spans="1:29" x14ac:dyDescent="0.25">
      <c r="A42" s="38">
        <v>42633.939780092594</v>
      </c>
      <c r="B42" s="33" t="s">
        <v>181</v>
      </c>
      <c r="C42" s="33" t="s">
        <v>581</v>
      </c>
      <c r="D42" s="33" t="s">
        <v>49</v>
      </c>
      <c r="E42" s="33" t="s">
        <v>56</v>
      </c>
      <c r="F42" s="49">
        <v>150</v>
      </c>
      <c r="G42" s="49">
        <v>331</v>
      </c>
      <c r="H42" s="49">
        <v>56076</v>
      </c>
      <c r="I42" s="49">
        <v>56792</v>
      </c>
      <c r="J42" s="33" t="s">
        <v>57</v>
      </c>
      <c r="K42" s="49">
        <v>57008</v>
      </c>
      <c r="L42" s="150" t="s">
        <v>52</v>
      </c>
      <c r="M42" s="153">
        <f t="shared" si="8"/>
        <v>114.048</v>
      </c>
      <c r="N42" s="92" t="str">
        <f>VLOOKUP(C42,'Trips&amp;Operators'!$C$1:$E$99999,3,FALSE)</f>
        <v>STURGEON</v>
      </c>
      <c r="O42" s="174" t="s">
        <v>86</v>
      </c>
      <c r="P42" s="10"/>
      <c r="Q42" s="33"/>
      <c r="R42" s="108" t="str">
        <f>VLOOKUP(C42,'Train Runs'!$A$13:$AE$10015,31,0)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S42" s="111" t="str">
        <f>VLOOKUP(C42,'Train Runs'!$A$13:$AE$10015,22,0)</f>
        <v>https://search-rtdc-monitor-bjffxe2xuh6vdkpspy63sjmuny.us-east-1.es.amazonaws.com/_plugin/kibana/#/discover/Steve-Slow-Train-Analysis-(2080s-and-2083s)?_g=(refreshInterval:(display:Off,section:0,value:0),time:(from:'2016-09-20 21:07:01-0600',mode:absolute,to:'2016-09-20 23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42" s="113" t="str">
        <f t="shared" si="9"/>
        <v>"C:\Program Files (x86)\AstroGrep\AstroGrep.exe" /spath="%USERPROFILE%\AppData\Local\Temp\OnboardLogs" /stypes="*4046*201609210*" /stext=" 04:.+((SYSTEM_STATE.+slice.+state.+changed )|(ment ac)|(system.+state.+changed )|(\|lc)|(penalty)|(\[timeout)|(PRM\|1\|D)|(kpr)|(kdp))" /e /r /s</v>
      </c>
      <c r="U42" s="9" t="str">
        <f t="shared" si="10"/>
        <v>4046</v>
      </c>
      <c r="V42" s="38">
        <f t="shared" si="11"/>
        <v>42634.189780092594</v>
      </c>
      <c r="W42" s="52" t="str">
        <f t="shared" si="12"/>
        <v>NW</v>
      </c>
      <c r="X42" s="52" t="str">
        <f t="shared" si="13"/>
        <v>KEEP</v>
      </c>
      <c r="Y42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{"issue":{"subject":"","project_id":79,"tracker_id":40,"status_id":1,"priority_id":2,"assigned_to_id":23,"start_date":"2016-09-20","description":"","custom_fields":[{"id":1,"name":"Subdivision","value":"NW"},{"id":4,"name":"Milepost","value":"5.7008"},{"id":17,"name":"Train ID","value":"847-20"},{"id":16,"name":"Locomotive ID","value":"4046"},{"id":130,"name":"Impact","value":""},{"id":150,"name":"Time of Event (Mountain Time)","value":"22:33:17"},{"id":151,"name":"Denver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5" t="str">
        <f t="shared" si="15"/>
        <v>grep -hSE -A100 "Enforcement Action" "%USERPROFILE%\AppData\Local\Temp\OnboardLogs"\RTDC4046\*4046*201609210* | grep -SE "((Enforcement Ac)|(PRM))" -</v>
      </c>
    </row>
    <row r="43" spans="1:29" x14ac:dyDescent="0.25">
      <c r="A43" s="38">
        <v>42633.30127314815</v>
      </c>
      <c r="B43" s="33" t="s">
        <v>164</v>
      </c>
      <c r="C43" s="33" t="s">
        <v>415</v>
      </c>
      <c r="D43" s="33" t="s">
        <v>105</v>
      </c>
      <c r="E43" s="33" t="s">
        <v>56</v>
      </c>
      <c r="F43" s="49">
        <v>150</v>
      </c>
      <c r="G43" s="49">
        <v>200</v>
      </c>
      <c r="H43" s="49">
        <v>56733</v>
      </c>
      <c r="I43" s="49">
        <v>56281</v>
      </c>
      <c r="J43" s="33" t="s">
        <v>57</v>
      </c>
      <c r="K43" s="49">
        <v>59050</v>
      </c>
      <c r="L43" s="150" t="s">
        <v>53</v>
      </c>
      <c r="M43" s="153">
        <f t="shared" si="8"/>
        <v>-1462.0319999999999</v>
      </c>
      <c r="N43" s="92" t="str">
        <f>VLOOKUP(C43,'Trips&amp;Operators'!$C$1:$E$99999,3,FALSE)</f>
        <v>STARKS</v>
      </c>
      <c r="O43" s="174" t="s">
        <v>86</v>
      </c>
      <c r="P43" s="10"/>
      <c r="Q43" s="33"/>
      <c r="R43" s="108" t="str">
        <f>VLOOKUP(C43,'Train Runs'!$A$13:$AE$10015,31,0)</f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S43" s="111" t="str">
        <f>VLOOKUP(C43,'Train Runs'!$A$13:$AE$10015,22,0)</f>
        <v>https://search-rtdc-monitor-bjffxe2xuh6vdkpspy63sjmuny.us-east-1.es.amazonaws.com/_plugin/kibana/#/discover/Steve-Slow-Train-Analysis-(2080s-and-2083s)?_g=(refreshInterval:(display:Off,section:0,value:0),time:(from:'2016-09-20 06:07:25-0600',mode:absolute,to:'2016-09-20 08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3" s="113" t="str">
        <f t="shared" si="9"/>
        <v>"C:\Program Files (x86)\AstroGrep\AstroGrep.exe" /spath="%USERPROFILE%\AppData\Local\Temp\OnboardLogs" /stypes="*4019*201609201*" /stext=" 13:.+((SYSTEM_STATE.+slice.+state.+changed )|(ment ac)|(system.+state.+changed )|(\|lc)|(penalty)|(\[timeout)|(PRM\|1\|D)|(kpr)|(kdp))" /e /r /s</v>
      </c>
      <c r="U43" s="9" t="str">
        <f t="shared" si="10"/>
        <v>4019</v>
      </c>
      <c r="V43" s="38">
        <f t="shared" si="11"/>
        <v>42633.55127314815</v>
      </c>
      <c r="W43" s="52" t="str">
        <f t="shared" si="12"/>
        <v>NW</v>
      </c>
      <c r="X43" s="52" t="str">
        <f t="shared" si="13"/>
        <v>KEEP</v>
      </c>
      <c r="Y43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{"issue":{"subject":"","project_id":79,"tracker_id":40,"status_id":1,"priority_id":2,"assigned_to_id":23,"start_date":"2016-09-20","description":"","custom_fields":[{"id":1,"name":"Subdivision","value":"NW"},{"id":4,"name":"Milepost","value":"5.905"},{"id":17,"name":"Train ID","value":"806-20"},{"id":16,"name":"Locomotive ID","value":"4019"},{"id":130,"name":"Impact","value":""},{"id":150,"name":"Time of Event (Mountain Time)","value":"07:13:50"},{"id":151,"name":"Denver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5" t="str">
        <f t="shared" si="15"/>
        <v>grep -hSE -A100 "Enforcement Action" "%USERPROFILE%\AppData\Local\Temp\OnboardLogs"\RTDC4019\*4019*201609201* | grep -SE "((Enforcement Ac)|(PRM))" -</v>
      </c>
    </row>
    <row r="44" spans="1:29" x14ac:dyDescent="0.25">
      <c r="A44" s="38">
        <v>42633.74322916667</v>
      </c>
      <c r="B44" s="33" t="s">
        <v>262</v>
      </c>
      <c r="C44" s="33" t="s">
        <v>540</v>
      </c>
      <c r="D44" s="33" t="s">
        <v>49</v>
      </c>
      <c r="E44" s="33" t="s">
        <v>54</v>
      </c>
      <c r="F44" s="49">
        <v>0</v>
      </c>
      <c r="G44" s="49">
        <v>442</v>
      </c>
      <c r="H44" s="49">
        <v>17073</v>
      </c>
      <c r="I44" s="49">
        <v>15503</v>
      </c>
      <c r="J44" s="33" t="s">
        <v>55</v>
      </c>
      <c r="K44" s="49">
        <v>14177</v>
      </c>
      <c r="L44" s="150" t="s">
        <v>53</v>
      </c>
      <c r="M44" s="153">
        <f t="shared" si="8"/>
        <v>700.12800000000004</v>
      </c>
      <c r="N44" s="92" t="str">
        <f>VLOOKUP(C44,'Trips&amp;Operators'!$C$1:$E$99999,3,FALSE)</f>
        <v>BRUDER</v>
      </c>
      <c r="O44" s="174" t="s">
        <v>86</v>
      </c>
      <c r="P44" s="10" t="s">
        <v>766</v>
      </c>
      <c r="Q44" s="33"/>
      <c r="R44" s="108" t="str">
        <f>VLOOKUP(C44,'Train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44" s="111" t="str">
        <f>VLOOKUP(C44,'Train Runs'!$A$13:$AE$10015,22,0)</f>
        <v>https://search-rtdc-monitor-bjffxe2xuh6vdkpspy63sjmuny.us-east-1.es.amazonaws.com/_plugin/kibana/#/discover/Steve-Slow-Train-Analysis-(2080s-and-2083s)?_g=(refreshInterval:(display:Off,section:0,value:0),time:(from:'2016-09-20 16:37:30-0600',mode:absolute,to:'2016-09-20 18:58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44" s="113" t="str">
        <f t="shared" si="9"/>
        <v>"C:\Program Files (x86)\AstroGrep\AstroGrep.exe" /spath="%USERPROFILE%\AppData\Local\Temp\OnboardLogs" /stypes="*4045*201609202*" /stext=" 23:.+((SYSTEM_STATE.+slice.+state.+changed )|(ment ac)|(system.+state.+changed )|(\|lc)|(penalty)|(\[timeout)|(PRM\|1\|D)|(kpr)|(kdp))" /e /r /s</v>
      </c>
      <c r="U44" s="9" t="str">
        <f t="shared" si="10"/>
        <v>4045</v>
      </c>
      <c r="V44" s="38">
        <f t="shared" si="11"/>
        <v>42633.99322916667</v>
      </c>
      <c r="W44" s="52" t="str">
        <f t="shared" si="12"/>
        <v>NW</v>
      </c>
      <c r="X44" s="52" t="str">
        <f t="shared" si="13"/>
        <v>KEEP</v>
      </c>
      <c r="Y44" s="134" t="str">
        <f t="shared" si="14"/>
        <v>echo {"issue":{"subject":"38TH &amp; 41ST 2S STOP, cleared afterward","project_id":79,"tracker_id":40,"status_id":1,"priority_id":2,"assigned_to_id":23,"start_date":"2016-09-20","description":"","custom_fields":[{"id":1,"name":"Subdivision","value":"NW"},{"id":4,"name":"Milepost","value":"1.4177"},{"id":17,"name":"Train ID","value":"834-20"},{"id":16,"name":"Locomotive ID","value":"4045"},{"id":130,"name":"Impact","value":""},{"id":150,"name":"Time of Event (Mountain Time)","value":"17:50:15"},{"id":151,"name":"Denver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5" t="str">
        <f t="shared" si="15"/>
        <v>grep -hSE -A100 "Enforcement Action" "%USERPROFILE%\AppData\Local\Temp\OnboardLogs"\RTDC4045\*4045*201609202* | grep -SE "((Enforcement Ac)|(PRM))" -</v>
      </c>
    </row>
    <row r="45" spans="1:29" x14ac:dyDescent="0.25">
      <c r="A45" s="38">
        <v>42633.366493055553</v>
      </c>
      <c r="B45" s="33" t="s">
        <v>262</v>
      </c>
      <c r="C45" s="33" t="s">
        <v>433</v>
      </c>
      <c r="D45" s="33" t="s">
        <v>49</v>
      </c>
      <c r="E45" s="33" t="s">
        <v>54</v>
      </c>
      <c r="F45" s="49">
        <v>0</v>
      </c>
      <c r="G45" s="49">
        <v>570</v>
      </c>
      <c r="H45" s="49">
        <v>28858</v>
      </c>
      <c r="I45" s="49">
        <v>26756</v>
      </c>
      <c r="J45" s="33" t="s">
        <v>55</v>
      </c>
      <c r="K45" s="49">
        <v>27253</v>
      </c>
      <c r="L45" s="150" t="s">
        <v>53</v>
      </c>
      <c r="M45" s="153">
        <f t="shared" si="8"/>
        <v>-262.416</v>
      </c>
      <c r="N45" s="92" t="str">
        <f>VLOOKUP(C45,'Trips&amp;Operators'!$C$1:$E$99999,3,FALSE)</f>
        <v>LEVIN</v>
      </c>
      <c r="O45" s="174" t="s">
        <v>299</v>
      </c>
      <c r="P45" s="10" t="s">
        <v>769</v>
      </c>
      <c r="Q45" s="33"/>
      <c r="R45" s="108" t="str">
        <f>VLOOKUP(C45,'Train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45" s="111" t="str">
        <f>VLOOKUP(C45,'Train Runs'!$A$13:$AE$10015,22,0)</f>
        <v>https://search-rtdc-monitor-bjffxe2xuh6vdkpspy63sjmuny.us-east-1.es.amazonaws.com/_plugin/kibana/#/discover/Steve-Slow-Train-Analysis-(2080s-and-2083s)?_g=(refreshInterval:(display:Off,section:0,value:0),time:(from:'2016-09-20 07:35:42-0600',mode:absolute,to:'2016-09-20 09:58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45" s="113" t="str">
        <f t="shared" si="9"/>
        <v>"C:\Program Files (x86)\AstroGrep\AstroGrep.exe" /spath="%USERPROFILE%\AppData\Local\Temp\OnboardLogs" /stypes="*4045*201609201*" /stext=" 14:.+((SYSTEM_STATE.+slice.+state.+changed )|(ment ac)|(system.+state.+changed )|(\|lc)|(penalty)|(\[timeout)|(PRM\|1\|D)|(kpr)|(kdp))" /e /r /s</v>
      </c>
      <c r="U45" s="9" t="str">
        <f t="shared" si="10"/>
        <v>4045</v>
      </c>
      <c r="V45" s="38">
        <f t="shared" si="11"/>
        <v>42633.616493055553</v>
      </c>
      <c r="W45" s="52" t="str">
        <f t="shared" si="12"/>
        <v>NW</v>
      </c>
      <c r="X45" s="52" t="str">
        <f t="shared" si="13"/>
        <v>KEEP</v>
      </c>
      <c r="Y45" s="134" t="str">
        <f t="shared" si="14"/>
        <v>echo {"issue":{"subject":"CRMFP 2S affected by 6S overlay drop","project_id":79,"tracker_id":40,"status_id":1,"priority_id":2,"assigned_to_id":23,"start_date":"2016-09-20","description":"At 2016-09-20 08:47:19, CRMFP 2S downgraded suddenly to STOP, any unexpected behaviors here?","custom_fields":[{"id":1,"name":"Subdivision","value":"NW"},{"id":4,"name":"Milepost","value":"2.7253"},{"id":17,"name":"Train ID","value":"812-20"},{"id":16,"name":"Locomotive ID","value":"4045"},{"id":130,"name":"Impact","value":"Enforcement"},{"id":150,"name":"Time of Event (Mountain Time)","value":"08:47:45"},{"id":151,"name":"Denver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45" s="55" t="s">
        <v>767</v>
      </c>
      <c r="AA45" s="55" t="s">
        <v>138</v>
      </c>
      <c r="AB45" s="23" t="s">
        <v>143</v>
      </c>
      <c r="AC45" s="175" t="str">
        <f t="shared" si="15"/>
        <v>grep -hSE -A100 "Enforcement Action" "%USERPROFILE%\AppData\Local\Temp\OnboardLogs"\RTDC4045\*4045*201609201* | grep -SE "((Enforcement Ac)|(PRM))" -</v>
      </c>
    </row>
    <row r="46" spans="1:29" x14ac:dyDescent="0.25">
      <c r="A46" s="38">
        <v>42633.408148148148</v>
      </c>
      <c r="B46" s="33" t="s">
        <v>262</v>
      </c>
      <c r="C46" s="33" t="s">
        <v>444</v>
      </c>
      <c r="D46" s="33" t="s">
        <v>49</v>
      </c>
      <c r="E46" s="33" t="s">
        <v>54</v>
      </c>
      <c r="F46" s="49">
        <v>0</v>
      </c>
      <c r="G46" s="49">
        <v>531</v>
      </c>
      <c r="H46" s="49">
        <v>30067</v>
      </c>
      <c r="I46" s="49">
        <v>27992</v>
      </c>
      <c r="J46" s="33" t="s">
        <v>55</v>
      </c>
      <c r="K46" s="49">
        <v>27253</v>
      </c>
      <c r="L46" s="150" t="s">
        <v>53</v>
      </c>
      <c r="M46" s="153">
        <f t="shared" si="8"/>
        <v>390.19200000000001</v>
      </c>
      <c r="N46" s="92" t="str">
        <f>VLOOKUP(C46,'Trips&amp;Operators'!$C$1:$E$99999,3,FALSE)</f>
        <v>LEVIN</v>
      </c>
      <c r="O46" s="174" t="s">
        <v>299</v>
      </c>
      <c r="P46" s="10" t="s">
        <v>769</v>
      </c>
      <c r="Q46" s="33"/>
      <c r="R46" s="108" t="str">
        <f>VLOOKUP(C46,'Train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46" s="111" t="str">
        <f>VLOOKUP(C46,'Train Runs'!$A$13:$AE$10015,22,0)</f>
        <v>https://search-rtdc-monitor-bjffxe2xuh6vdkpspy63sjmuny.us-east-1.es.amazonaws.com/_plugin/kibana/#/discover/Steve-Slow-Train-Analysis-(2080s-and-2083s)?_g=(refreshInterval:(display:Off,section:0,value:0),time:(from:'2016-09-20 08:35:33-0600',mode:absolute,to:'2016-09-20 10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46" s="113" t="str">
        <f t="shared" si="9"/>
        <v>"C:\Program Files (x86)\AstroGrep\AstroGrep.exe" /spath="%USERPROFILE%\AppData\Local\Temp\OnboardLogs" /stypes="*4045*201609201*" /stext=" 15:.+((SYSTEM_STATE.+slice.+state.+changed )|(ment ac)|(system.+state.+changed )|(\|lc)|(penalty)|(\[timeout)|(PRM\|1\|D)|(kpr)|(kdp))" /e /r /s</v>
      </c>
      <c r="U46" s="9" t="str">
        <f t="shared" si="10"/>
        <v>4045</v>
      </c>
      <c r="V46" s="38">
        <f t="shared" si="11"/>
        <v>42633.658148148148</v>
      </c>
      <c r="W46" s="52" t="str">
        <f t="shared" si="12"/>
        <v>NW</v>
      </c>
      <c r="X46" s="52" t="str">
        <f t="shared" si="13"/>
        <v>KEEP</v>
      </c>
      <c r="Y46" s="134" t="str">
        <f t="shared" si="14"/>
        <v>echo {"issue":{"subject":"CRMFP 2S affected by 6S overlay drop","project_id":79,"tracker_id":40,"status_id":1,"priority_id":2,"assigned_to_id":23,"start_date":"2016-09-20","description":"At 2016-09-20 15:47:17, CRMFP 2S downgraded suddenly to STOP, any unexpected behaviors here?","custom_fields":[{"id":1,"name":"Subdivision","value":"NW"},{"id":4,"name":"Milepost","value":"2.7253"},{"id":17,"name":"Train ID","value":"814-20"},{"id":16,"name":"Locomotive ID","value":"4045"},{"id":130,"name":"Impact","value":"Enforcement"},{"id":150,"name":"Time of Event (Mountain Time)","value":"09:47:44"},{"id":151,"name":"Denver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46" s="55" t="s">
        <v>768</v>
      </c>
      <c r="AA46" s="55" t="s">
        <v>138</v>
      </c>
      <c r="AB46" s="23" t="s">
        <v>143</v>
      </c>
      <c r="AC46" s="175" t="str">
        <f t="shared" si="15"/>
        <v>grep -hSE -A100 "Enforcement Action" "%USERPROFILE%\AppData\Local\Temp\OnboardLogs"\RTDC4045\*4045*201609201* | grep -SE "((Enforcement Ac)|(PRM))" -</v>
      </c>
    </row>
    <row r="47" spans="1:29" x14ac:dyDescent="0.25">
      <c r="A47" s="38">
        <v>42633.246145833335</v>
      </c>
      <c r="B47" s="33" t="s">
        <v>165</v>
      </c>
      <c r="C47" s="33" t="s">
        <v>398</v>
      </c>
      <c r="D47" s="33" t="s">
        <v>49</v>
      </c>
      <c r="E47" s="33" t="s">
        <v>599</v>
      </c>
      <c r="F47" s="49">
        <v>100</v>
      </c>
      <c r="G47" s="49">
        <v>326</v>
      </c>
      <c r="H47" s="49">
        <v>8662</v>
      </c>
      <c r="I47" s="49">
        <v>9493</v>
      </c>
      <c r="J47" s="33" t="s">
        <v>168</v>
      </c>
      <c r="K47" s="49">
        <v>10701</v>
      </c>
      <c r="L47" s="150" t="s">
        <v>52</v>
      </c>
      <c r="M47" s="153">
        <f t="shared" si="8"/>
        <v>637.82399999999996</v>
      </c>
      <c r="N47" s="92" t="str">
        <f>VLOOKUP(C47,'Trips&amp;Operators'!$C$1:$E$99999,3,FALSE)</f>
        <v>STARKS</v>
      </c>
      <c r="O47" s="174" t="s">
        <v>86</v>
      </c>
      <c r="P47" s="10"/>
      <c r="Q47" s="33"/>
      <c r="R47" s="108" t="str">
        <f>VLOOKUP(C47,'Train Runs'!$A$13:$AE$10015,31,0)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S47" s="111" t="str">
        <f>VLOOKUP(C47,'Train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04:47:37-0600',mode:absolute,to:'2016-09-20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7" s="113" t="str">
        <f t="shared" si="9"/>
        <v>"C:\Program Files (x86)\AstroGrep\AstroGrep.exe" /spath="%USERPROFILE%\AppData\Local\Temp\OnboardLogs" /stypes="*4020*201609201*" /stext=" 11:.+((SYSTEM_STATE.+slice.+state.+changed )|(ment ac)|(system.+state.+changed )|(\|lc)|(penalty)|(\[timeout)|(PRM\|1\|D)|(kpr)|(kdp))" /e /r /s</v>
      </c>
      <c r="U47" s="9" t="str">
        <f t="shared" si="10"/>
        <v>4020</v>
      </c>
      <c r="V47" s="38">
        <f t="shared" si="11"/>
        <v>42633.496145833335</v>
      </c>
      <c r="W47" s="52" t="str">
        <f t="shared" si="12"/>
        <v>NW</v>
      </c>
      <c r="X47" s="52" t="str">
        <f t="shared" si="13"/>
        <v>KEEP</v>
      </c>
      <c r="Y47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{"issue":{"subject":"","project_id":79,"tracker_id":40,"status_id":1,"priority_id":2,"assigned_to_id":23,"start_date":"2016-09-20","description":"","custom_fields":[{"id":1,"name":"Subdivision","value":"NW"},{"id":4,"name":"Milepost","value":"1.0701"},{"id":17,"name":"Train ID","value":"801-20"},{"id":16,"name":"Locomotive ID","value":"4020"},{"id":130,"name":"Impact","value":""},{"id":150,"name":"Time of Event (Mountain Time)","value":"05:54:27"},{"id":151,"name":"Denver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5" t="str">
        <f t="shared" si="15"/>
        <v>grep -hSE -A100 "Enforcement Action" "%USERPROFILE%\AppData\Local\Temp\OnboardLogs"\RTDC4020\*4020*201609201* | grep -SE "((Enforcement Ac)|(PRM))" -</v>
      </c>
    </row>
    <row r="48" spans="1:29" x14ac:dyDescent="0.25">
      <c r="A48" s="38">
        <v>42633.336909722224</v>
      </c>
      <c r="B48" s="33" t="s">
        <v>165</v>
      </c>
      <c r="C48" s="33" t="s">
        <v>423</v>
      </c>
      <c r="D48" s="33" t="s">
        <v>49</v>
      </c>
      <c r="E48" s="33" t="s">
        <v>50</v>
      </c>
      <c r="F48" s="49">
        <v>0</v>
      </c>
      <c r="G48" s="49">
        <v>64</v>
      </c>
      <c r="H48" s="49">
        <v>58792</v>
      </c>
      <c r="I48" s="49">
        <v>58886</v>
      </c>
      <c r="J48" s="33" t="s">
        <v>51</v>
      </c>
      <c r="K48" s="49">
        <v>59048</v>
      </c>
      <c r="L48" s="150" t="s">
        <v>52</v>
      </c>
      <c r="M48" s="153">
        <f t="shared" si="8"/>
        <v>85.536000000000001</v>
      </c>
      <c r="N48" s="92" t="str">
        <f>VLOOKUP(C48,'Trips&amp;Operators'!$C$1:$E$99999,3,FALSE)</f>
        <v>STARKS</v>
      </c>
      <c r="O48" s="174" t="s">
        <v>86</v>
      </c>
      <c r="P48" s="10"/>
      <c r="Q48" s="33"/>
      <c r="R48" s="108" t="str">
        <f>VLOOKUP(C48,'Train Runs'!$A$13:$AE$10015,31,0)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S48" s="111" t="str">
        <f>VLOOKUP(C48,'Train Runs'!$A$13:$AE$10015,22,0)</f>
        <v>https://search-rtdc-monitor-bjffxe2xuh6vdkpspy63sjmuny.us-east-1.es.amazonaws.com/_plugin/kibana/#/discover/Steve-Slow-Train-Analysis-(2080s-and-2083s)?_g=(refreshInterval:(display:Off,section:0,value:0),time:(from:'2016-09-20 06:44:33-0600',mode:absolute,to:'2016-09-20 09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8" s="113" t="str">
        <f t="shared" si="9"/>
        <v>"C:\Program Files (x86)\AstroGrep\AstroGrep.exe" /spath="%USERPROFILE%\AppData\Local\Temp\OnboardLogs" /stypes="*4020*201609201*" /stext=" 14:.+((SYSTEM_STATE.+slice.+state.+changed )|(ment ac)|(system.+state.+changed )|(\|lc)|(penalty)|(\[timeout)|(PRM\|1\|D)|(kpr)|(kdp))" /e /r /s</v>
      </c>
      <c r="U48" s="9" t="str">
        <f t="shared" si="10"/>
        <v>4020</v>
      </c>
      <c r="V48" s="38">
        <f t="shared" si="11"/>
        <v>42633.586909722224</v>
      </c>
      <c r="W48" s="52" t="str">
        <f t="shared" si="12"/>
        <v>NW</v>
      </c>
      <c r="X48" s="52" t="str">
        <f t="shared" si="13"/>
        <v>KEEP</v>
      </c>
      <c r="Y48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{"issue":{"subject":"","project_id":79,"tracker_id":40,"status_id":1,"priority_id":2,"assigned_to_id":23,"start_date":"2016-09-20","description":"","custom_fields":[{"id":1,"name":"Subdivision","value":"NW"},{"id":4,"name":"Milepost","value":"5.9048"},{"id":17,"name":"Train ID","value":"809-20"},{"id":16,"name":"Locomotive ID","value":"4020"},{"id":130,"name":"Impact","value":""},{"id":150,"name":"Time of Event (Mountain Time)","value":"08:05:09"},{"id":151,"name":"Denver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5" t="str">
        <f t="shared" si="15"/>
        <v>grep -hSE -A100 "Enforcement Action" "%USERPROFILE%\AppData\Local\Temp\OnboardLogs"\RTDC4020\*4020*201609201* | grep -SE "((Enforcement Ac)|(PRM))" -</v>
      </c>
    </row>
    <row r="49" spans="1:29" x14ac:dyDescent="0.25">
      <c r="A49" s="38">
        <v>42633.337337962963</v>
      </c>
      <c r="B49" s="33" t="s">
        <v>165</v>
      </c>
      <c r="C49" s="33" t="s">
        <v>423</v>
      </c>
      <c r="D49" s="33" t="s">
        <v>49</v>
      </c>
      <c r="E49" s="33" t="s">
        <v>50</v>
      </c>
      <c r="F49" s="49">
        <v>0</v>
      </c>
      <c r="G49" s="49">
        <v>24</v>
      </c>
      <c r="H49" s="49">
        <v>58960</v>
      </c>
      <c r="I49" s="49">
        <v>58969</v>
      </c>
      <c r="J49" s="33" t="s">
        <v>51</v>
      </c>
      <c r="K49" s="49">
        <v>59048</v>
      </c>
      <c r="L49" s="150" t="s">
        <v>52</v>
      </c>
      <c r="M49" s="153">
        <f t="shared" si="8"/>
        <v>41.712000000000003</v>
      </c>
      <c r="N49" s="92" t="str">
        <f>VLOOKUP(C49,'Trips&amp;Operators'!$C$1:$E$99999,3,FALSE)</f>
        <v>STARKS</v>
      </c>
      <c r="O49" s="174" t="s">
        <v>86</v>
      </c>
      <c r="P49" s="10"/>
      <c r="Q49" s="33"/>
      <c r="R49" s="108" t="str">
        <f>VLOOKUP(C49,'Train Runs'!$A$13:$AE$10015,31,0)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S49" s="111" t="str">
        <f>VLOOKUP(C49,'Train Runs'!$A$13:$AE$10015,22,0)</f>
        <v>https://search-rtdc-monitor-bjffxe2xuh6vdkpspy63sjmuny.us-east-1.es.amazonaws.com/_plugin/kibana/#/discover/Steve-Slow-Train-Analysis-(2080s-and-2083s)?_g=(refreshInterval:(display:Off,section:0,value:0),time:(from:'2016-09-20 06:44:33-0600',mode:absolute,to:'2016-09-20 09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9" s="113" t="str">
        <f t="shared" si="9"/>
        <v>"C:\Program Files (x86)\AstroGrep\AstroGrep.exe" /spath="%USERPROFILE%\AppData\Local\Temp\OnboardLogs" /stypes="*4020*201609201*" /stext=" 14:.+((SYSTEM_STATE.+slice.+state.+changed )|(ment ac)|(system.+state.+changed )|(\|lc)|(penalty)|(\[timeout)|(PRM\|1\|D)|(kpr)|(kdp))" /e /r /s</v>
      </c>
      <c r="U49" s="9" t="str">
        <f t="shared" si="10"/>
        <v>4020</v>
      </c>
      <c r="V49" s="38">
        <f t="shared" si="11"/>
        <v>42633.587337962963</v>
      </c>
      <c r="W49" s="52" t="str">
        <f t="shared" si="12"/>
        <v>NW</v>
      </c>
      <c r="X49" s="52" t="str">
        <f t="shared" si="13"/>
        <v>KEEP</v>
      </c>
      <c r="Y49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{"issue":{"subject":"","project_id":79,"tracker_id":40,"status_id":1,"priority_id":2,"assigned_to_id":23,"start_date":"2016-09-20","description":"","custom_fields":[{"id":1,"name":"Subdivision","value":"NW"},{"id":4,"name":"Milepost","value":"5.9048"},{"id":17,"name":"Train ID","value":"809-20"},{"id":16,"name":"Locomotive ID","value":"4020"},{"id":130,"name":"Impact","value":""},{"id":150,"name":"Time of Event (Mountain Time)","value":"08:05:46"},{"id":151,"name":"Denver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5" t="str">
        <f t="shared" si="15"/>
        <v>grep -hSE -A100 "Enforcement Action" "%USERPROFILE%\AppData\Local\Temp\OnboardLogs"\RTDC4020\*4020*201609201* | grep -SE "((Enforcement Ac)|(PRM))" -</v>
      </c>
    </row>
    <row r="50" spans="1:29" x14ac:dyDescent="0.25">
      <c r="A50" s="38">
        <v>42633.817523148151</v>
      </c>
      <c r="B50" s="33" t="s">
        <v>181</v>
      </c>
      <c r="C50" s="33" t="s">
        <v>562</v>
      </c>
      <c r="D50" s="33" t="s">
        <v>49</v>
      </c>
      <c r="E50" s="33" t="s">
        <v>50</v>
      </c>
      <c r="F50" s="49">
        <v>0</v>
      </c>
      <c r="G50" s="49">
        <v>55</v>
      </c>
      <c r="H50" s="49">
        <v>58880</v>
      </c>
      <c r="I50" s="49">
        <v>58933</v>
      </c>
      <c r="J50" s="33" t="s">
        <v>51</v>
      </c>
      <c r="K50" s="49">
        <v>59048</v>
      </c>
      <c r="L50" s="150" t="s">
        <v>52</v>
      </c>
      <c r="M50" s="153">
        <f t="shared" si="8"/>
        <v>60.72</v>
      </c>
      <c r="N50" s="92" t="str">
        <f>VLOOKUP(C50,'Trips&amp;Operators'!$C$1:$E$99999,3,FALSE)</f>
        <v>BRUDER</v>
      </c>
      <c r="O50" s="174" t="s">
        <v>86</v>
      </c>
      <c r="P50" s="10"/>
      <c r="Q50" s="33"/>
      <c r="R50" s="108" t="str">
        <f>VLOOKUP(C50,'Train Runs'!$A$13:$AE$10015,31,0)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S50" s="111" t="str">
        <f>VLOOKUP(C50,'Train Runs'!$A$13:$AE$10015,22,0)</f>
        <v>https://search-rtdc-monitor-bjffxe2xuh6vdkpspy63sjmuny.us-east-1.es.amazonaws.com/_plugin/kibana/#/discover/Steve-Slow-Train-Analysis-(2080s-and-2083s)?_g=(refreshInterval:(display:Off,section:0,value:0),time:(from:'2016-09-20 18:09:51-0600',mode:absolute,to:'2016-09-20 20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50" s="113" t="str">
        <f t="shared" si="9"/>
        <v>"C:\Program Files (x86)\AstroGrep\AstroGrep.exe" /spath="%USERPROFILE%\AppData\Local\Temp\OnboardLogs" /stypes="*4046*201609210*" /stext=" 01:.+((SYSTEM_STATE.+slice.+state.+changed )|(ment ac)|(system.+state.+changed )|(\|lc)|(penalty)|(\[timeout)|(PRM\|1\|D)|(kpr)|(kdp))" /e /r /s</v>
      </c>
      <c r="U50" s="9" t="str">
        <f t="shared" si="10"/>
        <v>4046</v>
      </c>
      <c r="V50" s="38">
        <f t="shared" si="11"/>
        <v>42634.067523148151</v>
      </c>
      <c r="W50" s="52" t="str">
        <f t="shared" si="12"/>
        <v>NW</v>
      </c>
      <c r="X50" s="52" t="str">
        <f t="shared" si="13"/>
        <v>KEEP</v>
      </c>
      <c r="Y50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{"issue":{"subject":"","project_id":79,"tracker_id":40,"status_id":1,"priority_id":2,"assigned_to_id":23,"start_date":"2016-09-20","description":"","custom_fields":[{"id":1,"name":"Subdivision","value":"NW"},{"id":4,"name":"Milepost","value":"5.9048"},{"id":17,"name":"Train ID","value":"841-20"},{"id":16,"name":"Locomotive ID","value":"4046"},{"id":130,"name":"Impact","value":""},{"id":150,"name":"Time of Event (Mountain Time)","value":"19:37:14"},{"id":151,"name":"Denver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5" t="str">
        <f t="shared" si="15"/>
        <v>grep -hSE -A100 "Enforcement Action" "%USERPROFILE%\AppData\Local\Temp\OnboardLogs"\RTDC4046\*4046*201609210* | grep -SE "((Enforcement Ac)|(PRM))" -</v>
      </c>
    </row>
    <row r="51" spans="1:29" x14ac:dyDescent="0.25">
      <c r="A51" s="38">
        <v>42633.817939814813</v>
      </c>
      <c r="B51" s="33" t="s">
        <v>181</v>
      </c>
      <c r="C51" s="33" t="s">
        <v>562</v>
      </c>
      <c r="D51" s="33" t="s">
        <v>49</v>
      </c>
      <c r="E51" s="33" t="s">
        <v>50</v>
      </c>
      <c r="F51" s="49">
        <v>0</v>
      </c>
      <c r="G51" s="49">
        <v>20</v>
      </c>
      <c r="H51" s="49">
        <v>58975</v>
      </c>
      <c r="I51" s="49">
        <v>58982</v>
      </c>
      <c r="J51" s="33" t="s">
        <v>51</v>
      </c>
      <c r="K51" s="49">
        <v>59048</v>
      </c>
      <c r="L51" s="150" t="s">
        <v>52</v>
      </c>
      <c r="M51" s="153">
        <f t="shared" si="8"/>
        <v>34.847999999999999</v>
      </c>
      <c r="N51" s="92" t="str">
        <f>VLOOKUP(C51,'Trips&amp;Operators'!$C$1:$E$99999,3,FALSE)</f>
        <v>BRUDER</v>
      </c>
      <c r="O51" s="174" t="s">
        <v>86</v>
      </c>
      <c r="P51" s="10"/>
      <c r="Q51" s="33"/>
      <c r="R51" s="108" t="str">
        <f>VLOOKUP(C51,'Train Runs'!$A$13:$AE$10015,31,0)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S51" s="111" t="str">
        <f>VLOOKUP(C51,'Train Runs'!$A$13:$AE$10015,22,0)</f>
        <v>https://search-rtdc-monitor-bjffxe2xuh6vdkpspy63sjmuny.us-east-1.es.amazonaws.com/_plugin/kibana/#/discover/Steve-Slow-Train-Analysis-(2080s-and-2083s)?_g=(refreshInterval:(display:Off,section:0,value:0),time:(from:'2016-09-20 18:09:51-0600',mode:absolute,to:'2016-09-20 20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51" s="113" t="str">
        <f t="shared" si="9"/>
        <v>"C:\Program Files (x86)\AstroGrep\AstroGrep.exe" /spath="%USERPROFILE%\AppData\Local\Temp\OnboardLogs" /stypes="*4046*201609210*" /stext=" 01:.+((SYSTEM_STATE.+slice.+state.+changed )|(ment ac)|(system.+state.+changed )|(\|lc)|(penalty)|(\[timeout)|(PRM\|1\|D)|(kpr)|(kdp))" /e /r /s</v>
      </c>
      <c r="U51" s="9" t="str">
        <f t="shared" si="10"/>
        <v>4046</v>
      </c>
      <c r="V51" s="38">
        <f t="shared" si="11"/>
        <v>42634.067939814813</v>
      </c>
      <c r="W51" s="52" t="str">
        <f t="shared" si="12"/>
        <v>NW</v>
      </c>
      <c r="X51" s="52" t="str">
        <f t="shared" si="13"/>
        <v>KEEP</v>
      </c>
      <c r="Y51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{"issue":{"subject":"","project_id":79,"tracker_id":40,"status_id":1,"priority_id":2,"assigned_to_id":23,"start_date":"2016-09-20","description":"","custom_fields":[{"id":1,"name":"Subdivision","value":"NW"},{"id":4,"name":"Milepost","value":"5.9048"},{"id":17,"name":"Train ID","value":"841-20"},{"id":16,"name":"Locomotive ID","value":"4046"},{"id":130,"name":"Impact","value":""},{"id":150,"name":"Time of Event (Mountain Time)","value":"19:37:50"},{"id":151,"name":"Denver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5" t="str">
        <f t="shared" si="15"/>
        <v>grep -hSE -A100 "Enforcement Action" "%USERPROFILE%\AppData\Local\Temp\OnboardLogs"\RTDC4046\*4046*201609210* | grep -SE "((Enforcement Ac)|(PRM))" -</v>
      </c>
    </row>
    <row r="52" spans="1:29" x14ac:dyDescent="0.25">
      <c r="A52" s="38">
        <v>42633.857060185182</v>
      </c>
      <c r="B52" s="33" t="s">
        <v>181</v>
      </c>
      <c r="C52" s="33" t="s">
        <v>569</v>
      </c>
      <c r="D52" s="33" t="s">
        <v>49</v>
      </c>
      <c r="E52" s="33" t="s">
        <v>50</v>
      </c>
      <c r="F52" s="49">
        <v>0</v>
      </c>
      <c r="G52" s="49">
        <v>39</v>
      </c>
      <c r="H52" s="49">
        <v>58965</v>
      </c>
      <c r="I52" s="49">
        <v>58992</v>
      </c>
      <c r="J52" s="33" t="s">
        <v>51</v>
      </c>
      <c r="K52" s="49">
        <v>59048</v>
      </c>
      <c r="L52" s="150" t="s">
        <v>52</v>
      </c>
      <c r="M52" s="153">
        <f t="shared" si="8"/>
        <v>29.568000000000001</v>
      </c>
      <c r="N52" s="92" t="str">
        <f>VLOOKUP(C52,'Trips&amp;Operators'!$C$1:$E$99999,3,FALSE)</f>
        <v>BRUDER</v>
      </c>
      <c r="O52" s="174" t="s">
        <v>86</v>
      </c>
      <c r="P52" s="10"/>
      <c r="Q52" s="33"/>
      <c r="R52" s="108" t="str">
        <f>VLOOKUP(C52,'Train Runs'!$A$13:$AE$10015,31,0)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S52" s="111" t="str">
        <f>VLOOKUP(C52,'Train Runs'!$A$13:$AE$10015,22,0)</f>
        <v>https://search-rtdc-monitor-bjffxe2xuh6vdkpspy63sjmuny.us-east-1.es.amazonaws.com/_plugin/kibana/#/discover/Steve-Slow-Train-Analysis-(2080s-and-2083s)?_g=(refreshInterval:(display:Off,section:0,value:0),time:(from:'2016-09-20 19:12:56-0600',mode:absolute,to:'2016-09-20 21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52" s="113" t="str">
        <f t="shared" si="9"/>
        <v>"C:\Program Files (x86)\AstroGrep\AstroGrep.exe" /spath="%USERPROFILE%\AppData\Local\Temp\OnboardLogs" /stypes="*4046*201609210*" /stext=" 02:.+((SYSTEM_STATE.+slice.+state.+changed )|(ment ac)|(system.+state.+changed )|(\|lc)|(penalty)|(\[timeout)|(PRM\|1\|D)|(kpr)|(kdp))" /e /r /s</v>
      </c>
      <c r="U52" s="9" t="str">
        <f t="shared" si="10"/>
        <v>4046</v>
      </c>
      <c r="V52" s="38">
        <f t="shared" si="11"/>
        <v>42634.107060185182</v>
      </c>
      <c r="W52" s="52" t="str">
        <f t="shared" si="12"/>
        <v>NW</v>
      </c>
      <c r="X52" s="52" t="str">
        <f t="shared" si="13"/>
        <v>KEEP</v>
      </c>
      <c r="Y52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{"issue":{"subject":"","project_id":79,"tracker_id":40,"status_id":1,"priority_id":2,"assigned_to_id":23,"start_date":"2016-09-20","description":"","custom_fields":[{"id":1,"name":"Subdivision","value":"NW"},{"id":4,"name":"Milepost","value":"5.9048"},{"id":17,"name":"Train ID","value":"843-20"},{"id":16,"name":"Locomotive ID","value":"4046"},{"id":130,"name":"Impact","value":""},{"id":150,"name":"Time of Event (Mountain Time)","value":"20:34:10"},{"id":151,"name":"Denver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5" t="str">
        <f t="shared" si="15"/>
        <v>grep -hSE -A100 "Enforcement Action" "%USERPROFILE%\AppData\Local\Temp\OnboardLogs"\RTDC4046\*4046*201609210* | grep -SE "((Enforcement Ac)|(PRM))" -</v>
      </c>
    </row>
    <row r="53" spans="1:29" x14ac:dyDescent="0.25">
      <c r="A53" s="38">
        <v>42633.253611111111</v>
      </c>
      <c r="B53" s="33" t="s">
        <v>165</v>
      </c>
      <c r="C53" s="33" t="s">
        <v>398</v>
      </c>
      <c r="D53" s="33" t="s">
        <v>49</v>
      </c>
      <c r="E53" s="33" t="s">
        <v>50</v>
      </c>
      <c r="F53" s="49">
        <v>0</v>
      </c>
      <c r="G53" s="49">
        <v>54</v>
      </c>
      <c r="H53" s="49">
        <v>58880</v>
      </c>
      <c r="I53" s="49">
        <v>58944</v>
      </c>
      <c r="J53" s="33" t="s">
        <v>51</v>
      </c>
      <c r="K53" s="49">
        <v>59058</v>
      </c>
      <c r="L53" s="150" t="s">
        <v>52</v>
      </c>
      <c r="M53" s="153">
        <f t="shared" si="8"/>
        <v>60.192</v>
      </c>
      <c r="N53" s="92" t="str">
        <f>VLOOKUP(C53,'Trips&amp;Operators'!$C$1:$E$99999,3,FALSE)</f>
        <v>STARKS</v>
      </c>
      <c r="O53" s="174" t="s">
        <v>86</v>
      </c>
      <c r="P53" s="10"/>
      <c r="Q53" s="33"/>
      <c r="R53" s="108" t="str">
        <f>VLOOKUP(C53,'Train Runs'!$A$13:$AE$10015,31,0)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S53" s="111" t="str">
        <f>VLOOKUP(C53,'Train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04:47:37-0600',mode:absolute,to:'2016-09-20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3" s="113" t="str">
        <f t="shared" si="9"/>
        <v>"C:\Program Files (x86)\AstroGrep\AstroGrep.exe" /spath="%USERPROFILE%\AppData\Local\Temp\OnboardLogs" /stypes="*4020*201609201*" /stext=" 12:.+((SYSTEM_STATE.+slice.+state.+changed )|(ment ac)|(system.+state.+changed )|(\|lc)|(penalty)|(\[timeout)|(PRM\|1\|D)|(kpr)|(kdp))" /e /r /s</v>
      </c>
      <c r="U53" s="9" t="str">
        <f t="shared" si="10"/>
        <v>4020</v>
      </c>
      <c r="V53" s="38">
        <f t="shared" si="11"/>
        <v>42633.503611111111</v>
      </c>
      <c r="W53" s="52" t="str">
        <f t="shared" si="12"/>
        <v>NW</v>
      </c>
      <c r="X53" s="52" t="str">
        <f t="shared" si="13"/>
        <v>KEEP</v>
      </c>
      <c r="Y53" s="134" t="str">
        <f t="shared" si="14"/>
        <v>echo {"issue":{"subject":"","project_id":79,"tracker_id":40,"status_id":1,"priority_id":2,"assigned_to_id":23,"start_date":"2016-09-20","description":"","custom_fields":[{"id":1,"name":"Subdivision","value":"NW"},{"id":4,"name":"Milepost","value":"5.9058"},{"id":17,"name":"Train ID","value":"801-20"},{"id":16,"name":"Locomotive ID","value":"4020"},{"id":130,"name":"Impact","value":""},{"id":150,"name":"Time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5" t="str">
        <f t="shared" si="15"/>
        <v>grep -hSE -A100 "Enforcement Action" "%USERPROFILE%\AppData\Local\Temp\OnboardLogs"\RTDC4020\*4020*201609201* | grep -SE "((Enforcement Ac)|(PRM))" -</v>
      </c>
    </row>
    <row r="54" spans="1:29" x14ac:dyDescent="0.25">
      <c r="A54" s="38">
        <v>42633.73940972222</v>
      </c>
      <c r="B54" s="33" t="s">
        <v>322</v>
      </c>
      <c r="C54" s="33" t="s">
        <v>537</v>
      </c>
      <c r="D54" s="33" t="s">
        <v>49</v>
      </c>
      <c r="E54" s="33" t="s">
        <v>50</v>
      </c>
      <c r="F54" s="49">
        <v>0</v>
      </c>
      <c r="G54" s="49">
        <v>38</v>
      </c>
      <c r="H54" s="49">
        <v>99</v>
      </c>
      <c r="I54" s="49">
        <v>53</v>
      </c>
      <c r="J54" s="33" t="s">
        <v>51</v>
      </c>
      <c r="K54" s="49">
        <v>1</v>
      </c>
      <c r="L54" s="150" t="s">
        <v>53</v>
      </c>
      <c r="M54" s="153">
        <f t="shared" si="8"/>
        <v>27.456</v>
      </c>
      <c r="N54" s="92" t="str">
        <f>VLOOKUP(C54,'Trips&amp;Operators'!$C$1:$E$99999,3,FALSE)</f>
        <v>YANAI</v>
      </c>
      <c r="O54" s="174" t="s">
        <v>86</v>
      </c>
      <c r="P54" s="10"/>
      <c r="Q54" s="33"/>
      <c r="R54" s="108" t="str">
        <f>VLOOKUP(C54,'Train Runs'!$A$13:$AE$10015,31,0)</f>
        <v>aws s3 cp s3://rtdc.mdm.uploadarchive/RTDC4021/2016-09-20/ "%USERPROFILE%\AppData\Local\Temp\OnboardLogs"\RTDC4021\2016-09-20 --recursive &amp; "%USERPROFILE%\Documents\GitHub\mrs-test-scripts\Headless Mode &amp; Sideloading\WalkAndUnGZ.bat" "%USERPROFILE%\AppData\Local\Temp\OnboardLogs"\RTDC4021\2016-09-20 &amp; aws s3 cp s3://rtdc.mdm.uploadarchive/RTDC4021/2016-09-21/ "%USERPROFILE%\AppData\Local\Temp\OnboardLogs"\RTDC4021\2016-09-21 --recursive &amp; "%USERPROFILE%\Documents\GitHub\mrs-test-scripts\Headless Mode &amp; Sideloading\WalkAndUnGZ.bat" "%USERPROFILE%\AppData\Local\Temp\OnboardLogs"\RTDC4021\2016-09-21</v>
      </c>
      <c r="S54" s="111" t="str">
        <f>VLOOKUP(C54,'Train Runs'!$A$13:$AE$10015,22,0)</f>
        <v>https://search-rtdc-monitor-bjffxe2xuh6vdkpspy63sjmuny.us-east-1.es.amazonaws.com/_plugin/kibana/#/discover/Steve-Slow-Train-Analysis-(2080s-and-2083s)?_g=(refreshInterval:(display:Off,section:0,value:0),time:(from:'2016-09-20 16:32:26-0600',mode:absolute,to:'2016-09-20 18:44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54" s="113" t="str">
        <f t="shared" si="9"/>
        <v>"C:\Program Files (x86)\AstroGrep\AstroGrep.exe" /spath="%USERPROFILE%\AppData\Local\Temp\OnboardLogs" /stypes="*4021*201609202*" /stext=" 23:.+((SYSTEM_STATE.+slice.+state.+changed )|(ment ac)|(system.+state.+changed )|(\|lc)|(penalty)|(\[timeout)|(PRM\|1\|D)|(kpr)|(kdp))" /e /r /s</v>
      </c>
      <c r="U54" s="9" t="str">
        <f t="shared" si="10"/>
        <v>4021</v>
      </c>
      <c r="V54" s="38">
        <f t="shared" si="11"/>
        <v>42633.98940972222</v>
      </c>
      <c r="W54" s="52" t="str">
        <f t="shared" si="12"/>
        <v>Other</v>
      </c>
      <c r="X54" s="52" t="str">
        <f t="shared" si="13"/>
        <v>KEEP</v>
      </c>
      <c r="Y54" s="134" t="str">
        <f t="shared" si="14"/>
        <v>echo {"issue":{"subject":"","project_id":79,"tracker_id":40,"status_id":1,"priority_id":2,"assigned_to_id":23,"start_date":"2016-09-20","description":"","custom_fields":[{"id":1,"name":"Subdivision","value":"Other"},{"id":4,"name":"Milepost","value":"0.0001"},{"id":17,"name":"Train ID","value":"66-20"},{"id":16,"name":"Locomotive ID","value":"4021"},{"id":130,"name":"Impact","value":""},{"id":150,"name":"Time of Event (Mountain Time)","value":"17:44:45"},{"id":151,"name":"Denver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5" t="str">
        <f t="shared" si="15"/>
        <v>grep -hSE -A100 "Enforcement Action" "%USERPROFILE%\AppData\Local\Temp\OnboardLogs"\RTDC4021\*4021*201609202* | grep -SE "((Enforcement Ac)|(PRM))" -</v>
      </c>
    </row>
    <row r="55" spans="1:29" x14ac:dyDescent="0.25">
      <c r="A55" s="38">
        <v>42633.746412037035</v>
      </c>
      <c r="B55" s="33" t="s">
        <v>321</v>
      </c>
      <c r="C55" s="33" t="s">
        <v>541</v>
      </c>
      <c r="D55" s="33" t="s">
        <v>105</v>
      </c>
      <c r="E55" s="33" t="s">
        <v>50</v>
      </c>
      <c r="F55" s="49">
        <v>0</v>
      </c>
      <c r="G55" s="49">
        <v>4</v>
      </c>
      <c r="H55" s="49">
        <v>826</v>
      </c>
      <c r="I55" s="49">
        <v>826</v>
      </c>
      <c r="J55" s="33" t="s">
        <v>51</v>
      </c>
      <c r="K55" s="49">
        <v>826</v>
      </c>
      <c r="L55" s="150" t="s">
        <v>53</v>
      </c>
      <c r="M55" s="153">
        <f t="shared" si="8"/>
        <v>0</v>
      </c>
      <c r="N55" s="92" t="str">
        <f>VLOOKUP(C55,'Trips&amp;Operators'!$C$1:$E$99999,3,FALSE)</f>
        <v>MAHAN</v>
      </c>
      <c r="O55" s="174" t="s">
        <v>86</v>
      </c>
      <c r="P55" s="10"/>
      <c r="Q55" s="33"/>
      <c r="R55" s="108" t="str">
        <f>VLOOKUP(C55,'Train Runs'!$A$13:$AE$10015,31,0)</f>
        <v>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 &amp; aws s3 cp s3://rtdc.mdm.uploadarchive/RTDC4054/2016-09-21/ "%USERPROFILE%\AppData\Local\Temp\OnboardLogs"\RTDC4054\2016-09-21 --recursive &amp; "%USERPROFILE%\Documents\GitHub\mrs-test-scripts\Headless Mode &amp; Sideloading\WalkAndUnGZ.bat" "%USERPROFILE%\AppData\Local\Temp\OnboardLogs"\RTDC4054\2016-09-21</v>
      </c>
      <c r="S55" s="111" t="str">
        <f>VLOOKUP(C55,'Train Runs'!$A$13:$AE$10015,22,0)</f>
        <v>https://search-rtdc-monitor-bjffxe2xuh6vdkpspy63sjmuny.us-east-1.es.amazonaws.com/_plugin/kibana/#/discover/Steve-Slow-Train-Analysis-(2080s-and-2083s)?_g=(refreshInterval:(display:Off,section:0,value:0),time:(from:'2016-09-20 16:39:01-0600',mode:absolute,to:'2016-09-20 18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55" s="113" t="str">
        <f t="shared" si="9"/>
        <v>"C:\Program Files (x86)\AstroGrep\AstroGrep.exe" /spath="%USERPROFILE%\AppData\Local\Temp\OnboardLogs" /stypes="*4054*201609202*" /stext=" 23:.+((SYSTEM_STATE.+slice.+state.+changed )|(ment ac)|(system.+state.+changed )|(\|lc)|(penalty)|(\[timeout)|(PRM\|1\|D)|(kpr)|(kdp))" /e /r /s</v>
      </c>
      <c r="U55" s="9" t="str">
        <f t="shared" si="10"/>
        <v>4054</v>
      </c>
      <c r="V55" s="38">
        <f t="shared" si="11"/>
        <v>42633.996412037035</v>
      </c>
      <c r="W55" s="52" t="str">
        <f t="shared" si="12"/>
        <v>Other</v>
      </c>
      <c r="X55" s="52" t="str">
        <f t="shared" si="13"/>
        <v>OMIT</v>
      </c>
      <c r="Y55" s="134" t="str">
        <f t="shared" si="14"/>
        <v>echo {"issue":{"subject":"","project_id":79,"tracker_id":40,"status_id":1,"priority_id":2,"assigned_to_id":23,"start_date":"2016-09-20","description":"","custom_fields":[{"id":1,"name":"Subdivision","value":"Other"},{"id":4,"name":"Milepost","value":"0.0826"},{"id":17,"name":"Train ID","value":"58-20"},{"id":16,"name":"Locomotive ID","value":"4054"},{"id":130,"name":"Impact","value":""},{"id":150,"name":"Time of Event (Mountain Time)","value":"17:54:50"},{"id":151,"name":"Denver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5" t="str">
        <f t="shared" si="15"/>
        <v>grep -hSE -A100 "Enforcement Action" "%USERPROFILE%\AppData\Local\Temp\OnboardLogs"\RTDC4054\*4054*201609202* | grep -SE "((Enforcement Ac)|(PRM))" -</v>
      </c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8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C7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5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0" t="str">
        <f>"Trips that did not appear in PTC Data "&amp;TEXT(Variables!$A$2,"YYYY-mm-dd")</f>
        <v>Trips that did not appear in PTC Data 2016-09-20</v>
      </c>
      <c r="C1" s="180"/>
      <c r="D1" s="180"/>
      <c r="E1" s="180"/>
      <c r="F1" s="180"/>
    </row>
    <row r="2" spans="1:11" s="26" customFormat="1" ht="45" x14ac:dyDescent="0.25">
      <c r="A2" s="170" t="s">
        <v>170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-20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-20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-20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-20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-20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42633.038055555553</v>
      </c>
      <c r="B1" s="23" t="s">
        <v>321</v>
      </c>
      <c r="C1" s="23" t="s">
        <v>328</v>
      </c>
      <c r="D1" s="23">
        <v>1800000</v>
      </c>
      <c r="E1" s="23" t="s">
        <v>271</v>
      </c>
      <c r="F1" s="23" t="str">
        <f>B1</f>
        <v>rtdc.l.rtdc.4054:itc</v>
      </c>
      <c r="G1" s="8">
        <f>A1</f>
        <v>42633.038055555553</v>
      </c>
    </row>
    <row r="2" spans="1:7" x14ac:dyDescent="0.25">
      <c r="A2" s="8">
        <v>42633.047013888892</v>
      </c>
      <c r="B2" s="23" t="s">
        <v>312</v>
      </c>
      <c r="C2" s="23" t="s">
        <v>329</v>
      </c>
      <c r="D2" s="23">
        <v>1810000</v>
      </c>
      <c r="E2" s="23" t="s">
        <v>263</v>
      </c>
      <c r="F2" s="23" t="str">
        <f t="shared" ref="F2:F65" si="0">B2</f>
        <v>rtdc.l.rtdc.4007:itc</v>
      </c>
      <c r="G2" s="8">
        <f t="shared" ref="G2:G65" si="1">A2</f>
        <v>42633.047013888892</v>
      </c>
    </row>
    <row r="3" spans="1:7" x14ac:dyDescent="0.25">
      <c r="A3" s="8">
        <v>42633.057974537034</v>
      </c>
      <c r="B3" s="23" t="s">
        <v>319</v>
      </c>
      <c r="C3" s="23" t="s">
        <v>330</v>
      </c>
      <c r="D3" s="23">
        <v>1230000</v>
      </c>
      <c r="E3" s="23" t="s">
        <v>270</v>
      </c>
      <c r="F3" s="23" t="str">
        <f t="shared" si="0"/>
        <v>rtdc.l.rtdc.4001:itc</v>
      </c>
      <c r="G3" s="8">
        <f t="shared" si="1"/>
        <v>42633.057974537034</v>
      </c>
    </row>
    <row r="4" spans="1:7" x14ac:dyDescent="0.25">
      <c r="A4" s="8">
        <v>42633.069930555554</v>
      </c>
      <c r="B4" s="23" t="s">
        <v>314</v>
      </c>
      <c r="C4" s="23" t="s">
        <v>331</v>
      </c>
      <c r="D4" s="23">
        <v>1800000</v>
      </c>
      <c r="E4" s="23" t="s">
        <v>271</v>
      </c>
      <c r="F4" s="23" t="str">
        <f t="shared" si="0"/>
        <v>rtdc.l.rtdc.4053:itc</v>
      </c>
      <c r="G4" s="8">
        <f t="shared" si="1"/>
        <v>42633.069930555554</v>
      </c>
    </row>
    <row r="5" spans="1:7" x14ac:dyDescent="0.25">
      <c r="A5" s="8">
        <v>42633.087962962964</v>
      </c>
      <c r="B5" s="23" t="s">
        <v>316</v>
      </c>
      <c r="C5" s="23" t="s">
        <v>332</v>
      </c>
      <c r="D5" s="23">
        <v>1230000</v>
      </c>
      <c r="E5" s="23" t="s">
        <v>270</v>
      </c>
      <c r="F5" s="23" t="str">
        <f t="shared" si="0"/>
        <v>rtdc.l.rtdc.4002:itc</v>
      </c>
      <c r="G5" s="8">
        <f t="shared" si="1"/>
        <v>42633.087962962964</v>
      </c>
    </row>
    <row r="6" spans="1:7" x14ac:dyDescent="0.25">
      <c r="A6" s="8">
        <v>42633.129166666666</v>
      </c>
      <c r="B6" s="23" t="s">
        <v>264</v>
      </c>
      <c r="C6" s="23" t="s">
        <v>377</v>
      </c>
      <c r="D6" s="23">
        <v>2030000</v>
      </c>
      <c r="E6" s="23" t="s">
        <v>287</v>
      </c>
      <c r="F6" s="23" t="str">
        <f t="shared" si="0"/>
        <v>rtdc.l.rtdc.4003:itc</v>
      </c>
      <c r="G6" s="8">
        <f t="shared" si="1"/>
        <v>42633.129166666666</v>
      </c>
    </row>
    <row r="7" spans="1:7" x14ac:dyDescent="0.25">
      <c r="A7" s="8">
        <v>42633.152824074074</v>
      </c>
      <c r="B7" s="23" t="s">
        <v>171</v>
      </c>
      <c r="C7" s="23" t="s">
        <v>378</v>
      </c>
      <c r="D7" s="23">
        <v>1260000</v>
      </c>
      <c r="E7" s="23" t="s">
        <v>313</v>
      </c>
      <c r="F7" s="23" t="str">
        <f t="shared" si="0"/>
        <v>rtdc.l.rtdc.4025:itc</v>
      </c>
      <c r="G7" s="8">
        <f t="shared" si="1"/>
        <v>42633.152824074074</v>
      </c>
    </row>
    <row r="8" spans="1:7" x14ac:dyDescent="0.25">
      <c r="A8" s="8">
        <v>42633.172268518516</v>
      </c>
      <c r="B8" s="23" t="s">
        <v>379</v>
      </c>
      <c r="C8" s="23" t="s">
        <v>380</v>
      </c>
      <c r="D8" s="23">
        <v>2030000</v>
      </c>
      <c r="E8" s="23" t="s">
        <v>287</v>
      </c>
      <c r="F8" s="23" t="str">
        <f t="shared" si="0"/>
        <v>rtdc.l.rtdc.4017:itc</v>
      </c>
      <c r="G8" s="8">
        <f t="shared" si="1"/>
        <v>42633.172268518516</v>
      </c>
    </row>
    <row r="9" spans="1:7" ht="15.75" thickBot="1" x14ac:dyDescent="0.3">
      <c r="A9" s="27">
        <v>42633.172407407408</v>
      </c>
      <c r="B9" s="23" t="s">
        <v>381</v>
      </c>
      <c r="C9" s="23" t="s">
        <v>382</v>
      </c>
      <c r="D9" s="23">
        <v>1190000</v>
      </c>
      <c r="E9" s="23" t="s">
        <v>315</v>
      </c>
      <c r="F9" s="23" t="str">
        <f t="shared" si="0"/>
        <v>rtdc.l.rtdc.4014:itc</v>
      </c>
      <c r="G9" s="8">
        <f t="shared" si="1"/>
        <v>42633.172407407408</v>
      </c>
    </row>
    <row r="10" spans="1:7" x14ac:dyDescent="0.25">
      <c r="A10" s="8">
        <v>42633.185983796298</v>
      </c>
      <c r="B10" s="23" t="s">
        <v>286</v>
      </c>
      <c r="C10" s="23" t="s">
        <v>383</v>
      </c>
      <c r="D10" s="23">
        <v>1090000</v>
      </c>
      <c r="E10" s="23" t="s">
        <v>317</v>
      </c>
      <c r="F10" s="23" t="str">
        <f t="shared" si="0"/>
        <v>rtdc.l.rtdc.4011:itc</v>
      </c>
      <c r="G10" s="8">
        <f t="shared" si="1"/>
        <v>42633.185983796298</v>
      </c>
    </row>
    <row r="11" spans="1:7" x14ac:dyDescent="0.25">
      <c r="A11" s="8">
        <v>42633.191388888888</v>
      </c>
      <c r="B11" s="23" t="s">
        <v>177</v>
      </c>
      <c r="C11" s="23" t="s">
        <v>384</v>
      </c>
      <c r="D11" s="23">
        <v>1260000</v>
      </c>
      <c r="E11" s="23" t="s">
        <v>313</v>
      </c>
      <c r="F11" s="23" t="str">
        <f t="shared" si="0"/>
        <v>rtdc.l.rtdc.4010:itc</v>
      </c>
      <c r="G11" s="8">
        <f t="shared" si="1"/>
        <v>42633.191388888888</v>
      </c>
    </row>
    <row r="12" spans="1:7" x14ac:dyDescent="0.25">
      <c r="A12" s="8">
        <v>42633.191458333335</v>
      </c>
      <c r="B12" s="23" t="s">
        <v>178</v>
      </c>
      <c r="C12" s="23" t="s">
        <v>385</v>
      </c>
      <c r="D12" s="23">
        <v>1990000</v>
      </c>
      <c r="E12" s="23" t="s">
        <v>266</v>
      </c>
      <c r="F12" s="23" t="str">
        <f t="shared" si="0"/>
        <v>rtdc.l.rtdc.4042:itc</v>
      </c>
      <c r="G12" s="8">
        <f t="shared" si="1"/>
        <v>42633.191458333335</v>
      </c>
    </row>
    <row r="13" spans="1:7" x14ac:dyDescent="0.25">
      <c r="A13" s="8">
        <v>42633.207511574074</v>
      </c>
      <c r="B13" s="23" t="s">
        <v>264</v>
      </c>
      <c r="C13" s="23" t="s">
        <v>386</v>
      </c>
      <c r="D13" s="23">
        <v>1100000</v>
      </c>
      <c r="E13" s="23" t="s">
        <v>387</v>
      </c>
      <c r="F13" s="23" t="str">
        <f t="shared" si="0"/>
        <v>rtdc.l.rtdc.4003:itc</v>
      </c>
      <c r="G13" s="8">
        <f t="shared" si="1"/>
        <v>42633.207511574074</v>
      </c>
    </row>
    <row r="14" spans="1:7" x14ac:dyDescent="0.25">
      <c r="A14" s="8">
        <v>42633.209837962961</v>
      </c>
      <c r="B14" s="23" t="s">
        <v>388</v>
      </c>
      <c r="C14" s="23" t="s">
        <v>389</v>
      </c>
      <c r="D14" s="23">
        <v>1190000</v>
      </c>
      <c r="E14" s="23" t="s">
        <v>315</v>
      </c>
      <c r="F14" s="23" t="str">
        <f t="shared" si="0"/>
        <v>rtdc.l.rtdc.4015:itc</v>
      </c>
      <c r="G14" s="8">
        <f t="shared" si="1"/>
        <v>42633.209837962961</v>
      </c>
    </row>
    <row r="15" spans="1:7" x14ac:dyDescent="0.25">
      <c r="A15" s="8">
        <v>42633.210115740738</v>
      </c>
      <c r="B15" s="23" t="s">
        <v>390</v>
      </c>
      <c r="C15" s="23" t="s">
        <v>391</v>
      </c>
      <c r="D15" s="23">
        <v>2030000</v>
      </c>
      <c r="E15" s="23" t="s">
        <v>287</v>
      </c>
      <c r="F15" s="23" t="str">
        <f t="shared" si="0"/>
        <v>rtdc.l.rtdc.4018:itc</v>
      </c>
      <c r="G15" s="8">
        <f t="shared" si="1"/>
        <v>42633.210115740738</v>
      </c>
    </row>
    <row r="16" spans="1:7" x14ac:dyDescent="0.25">
      <c r="A16" s="8">
        <v>42633.2109837963</v>
      </c>
      <c r="B16" s="23" t="s">
        <v>388</v>
      </c>
      <c r="C16" s="23" t="s">
        <v>389</v>
      </c>
      <c r="D16" s="23">
        <v>1190000</v>
      </c>
      <c r="E16" s="23" t="s">
        <v>315</v>
      </c>
      <c r="F16" s="23" t="str">
        <f t="shared" si="0"/>
        <v>rtdc.l.rtdc.4015:itc</v>
      </c>
      <c r="G16" s="8">
        <f t="shared" si="1"/>
        <v>42633.2109837963</v>
      </c>
    </row>
    <row r="17" spans="1:7" x14ac:dyDescent="0.25">
      <c r="A17" s="8">
        <v>42633.216261574074</v>
      </c>
      <c r="B17" s="23" t="s">
        <v>164</v>
      </c>
      <c r="C17" s="23" t="s">
        <v>392</v>
      </c>
      <c r="D17" s="23">
        <v>1110000</v>
      </c>
      <c r="E17" s="23" t="s">
        <v>300</v>
      </c>
      <c r="F17" s="23" t="str">
        <f t="shared" si="0"/>
        <v>rtdc.l.rtdc.4019:itc</v>
      </c>
      <c r="G17" s="8">
        <f t="shared" si="1"/>
        <v>42633.216261574074</v>
      </c>
    </row>
    <row r="18" spans="1:7" x14ac:dyDescent="0.25">
      <c r="A18" s="8">
        <v>42633.223414351851</v>
      </c>
      <c r="B18" s="23" t="s">
        <v>288</v>
      </c>
      <c r="C18" s="23" t="s">
        <v>393</v>
      </c>
      <c r="D18" s="23">
        <v>1090000</v>
      </c>
      <c r="E18" s="23" t="s">
        <v>317</v>
      </c>
      <c r="F18" s="23" t="str">
        <f t="shared" si="0"/>
        <v>rtdc.l.rtdc.4012:itc</v>
      </c>
      <c r="G18" s="8">
        <f t="shared" si="1"/>
        <v>42633.223414351851</v>
      </c>
    </row>
    <row r="19" spans="1:7" x14ac:dyDescent="0.25">
      <c r="A19" s="8">
        <v>42633.228703703702</v>
      </c>
      <c r="B19" s="23" t="s">
        <v>177</v>
      </c>
      <c r="C19" s="23" t="s">
        <v>384</v>
      </c>
      <c r="D19" s="23">
        <v>1260000</v>
      </c>
      <c r="E19" s="23" t="s">
        <v>313</v>
      </c>
      <c r="F19" s="23" t="str">
        <f t="shared" si="0"/>
        <v>rtdc.l.rtdc.4010:itc</v>
      </c>
      <c r="G19" s="8">
        <f t="shared" si="1"/>
        <v>42633.228703703702</v>
      </c>
    </row>
    <row r="20" spans="1:7" x14ac:dyDescent="0.25">
      <c r="A20" s="8">
        <v>42633.229583333334</v>
      </c>
      <c r="B20" s="23" t="s">
        <v>171</v>
      </c>
      <c r="C20" s="23" t="s">
        <v>394</v>
      </c>
      <c r="D20" s="23">
        <v>900000</v>
      </c>
      <c r="E20" s="23" t="s">
        <v>395</v>
      </c>
      <c r="F20" s="23" t="str">
        <f t="shared" si="0"/>
        <v>rtdc.l.rtdc.4025:itc</v>
      </c>
      <c r="G20" s="8">
        <f t="shared" si="1"/>
        <v>42633.229583333334</v>
      </c>
    </row>
    <row r="21" spans="1:7" x14ac:dyDescent="0.25">
      <c r="A21" s="8">
        <v>42633.234212962961</v>
      </c>
      <c r="B21" s="23" t="s">
        <v>176</v>
      </c>
      <c r="C21" s="23" t="s">
        <v>396</v>
      </c>
      <c r="D21" s="23">
        <v>1990000</v>
      </c>
      <c r="E21" s="23" t="s">
        <v>266</v>
      </c>
      <c r="F21" s="23" t="str">
        <f t="shared" si="0"/>
        <v>rtdc.l.rtdc.4041:itc</v>
      </c>
      <c r="G21" s="8">
        <f t="shared" si="1"/>
        <v>42633.234212962961</v>
      </c>
    </row>
    <row r="22" spans="1:7" x14ac:dyDescent="0.25">
      <c r="A22" s="29">
        <v>42633.234826388885</v>
      </c>
      <c r="B22" s="23" t="s">
        <v>128</v>
      </c>
      <c r="C22" s="23" t="s">
        <v>397</v>
      </c>
      <c r="D22" s="23">
        <v>1260000</v>
      </c>
      <c r="E22" s="23" t="s">
        <v>313</v>
      </c>
      <c r="F22" s="23" t="str">
        <f t="shared" si="0"/>
        <v>rtdc.l.rtdc.4009:itc</v>
      </c>
      <c r="G22" s="8">
        <f t="shared" si="1"/>
        <v>42633.234826388885</v>
      </c>
    </row>
    <row r="23" spans="1:7" x14ac:dyDescent="0.25">
      <c r="A23" s="8">
        <v>42633.242071759261</v>
      </c>
      <c r="B23" s="23" t="s">
        <v>165</v>
      </c>
      <c r="C23" s="23" t="s">
        <v>398</v>
      </c>
      <c r="D23" s="23">
        <v>1110000</v>
      </c>
      <c r="E23" s="23" t="s">
        <v>300</v>
      </c>
      <c r="F23" s="23" t="str">
        <f t="shared" si="0"/>
        <v>rtdc.l.rtdc.4020:itc</v>
      </c>
      <c r="G23" s="8">
        <f t="shared" si="1"/>
        <v>42633.242071759261</v>
      </c>
    </row>
    <row r="24" spans="1:7" x14ac:dyDescent="0.25">
      <c r="A24" s="8">
        <v>42633.245173611111</v>
      </c>
      <c r="B24" s="23" t="s">
        <v>267</v>
      </c>
      <c r="C24" s="23" t="s">
        <v>399</v>
      </c>
      <c r="D24" s="23">
        <v>1100000</v>
      </c>
      <c r="E24" s="23" t="s">
        <v>387</v>
      </c>
      <c r="F24" s="23" t="str">
        <f t="shared" si="0"/>
        <v>rtdc.l.rtdc.4004:itc</v>
      </c>
      <c r="G24" s="8">
        <f t="shared" si="1"/>
        <v>42633.245173611111</v>
      </c>
    </row>
    <row r="25" spans="1:7" x14ac:dyDescent="0.25">
      <c r="A25" s="8">
        <v>42633.249537037038</v>
      </c>
      <c r="B25" s="23" t="s">
        <v>381</v>
      </c>
      <c r="C25" s="23" t="s">
        <v>400</v>
      </c>
      <c r="D25" s="23">
        <v>1190000</v>
      </c>
      <c r="E25" s="23" t="s">
        <v>315</v>
      </c>
      <c r="F25" s="23" t="str">
        <f t="shared" si="0"/>
        <v>rtdc.l.rtdc.4014:itc</v>
      </c>
      <c r="G25" s="8">
        <f t="shared" si="1"/>
        <v>42633.249537037038</v>
      </c>
    </row>
    <row r="26" spans="1:7" x14ac:dyDescent="0.25">
      <c r="A26" s="8">
        <v>42633.25377314815</v>
      </c>
      <c r="B26" s="23" t="s">
        <v>181</v>
      </c>
      <c r="C26" s="23" t="s">
        <v>401</v>
      </c>
      <c r="D26" s="23">
        <v>1300000</v>
      </c>
      <c r="E26" s="23" t="s">
        <v>121</v>
      </c>
      <c r="F26" s="23" t="str">
        <f t="shared" si="0"/>
        <v>rtdc.l.rtdc.4046:itc</v>
      </c>
      <c r="G26" s="8">
        <f t="shared" si="1"/>
        <v>42633.25377314815</v>
      </c>
    </row>
    <row r="27" spans="1:7" x14ac:dyDescent="0.25">
      <c r="A27" s="8">
        <v>42633.254328703704</v>
      </c>
      <c r="B27" s="23" t="s">
        <v>379</v>
      </c>
      <c r="C27" s="23" t="s">
        <v>402</v>
      </c>
      <c r="D27" s="23">
        <v>2030000</v>
      </c>
      <c r="E27" s="23" t="s">
        <v>287</v>
      </c>
      <c r="F27" s="23" t="str">
        <f t="shared" si="0"/>
        <v>rtdc.l.rtdc.4017:itc</v>
      </c>
      <c r="G27" s="8">
        <f t="shared" si="1"/>
        <v>42633.254328703704</v>
      </c>
    </row>
    <row r="28" spans="1:7" x14ac:dyDescent="0.25">
      <c r="A28" s="8">
        <v>42633.254942129628</v>
      </c>
      <c r="B28" s="23" t="s">
        <v>164</v>
      </c>
      <c r="C28" s="23" t="s">
        <v>403</v>
      </c>
      <c r="D28" s="23">
        <v>1110000</v>
      </c>
      <c r="E28" s="23" t="s">
        <v>300</v>
      </c>
      <c r="F28" s="23" t="str">
        <f t="shared" si="0"/>
        <v>rtdc.l.rtdc.4019:itc</v>
      </c>
      <c r="G28" s="8">
        <f t="shared" si="1"/>
        <v>42633.254942129628</v>
      </c>
    </row>
    <row r="29" spans="1:7" x14ac:dyDescent="0.25">
      <c r="A29" s="8">
        <v>42633.258460648147</v>
      </c>
      <c r="B29" s="23" t="s">
        <v>286</v>
      </c>
      <c r="C29" s="23" t="s">
        <v>404</v>
      </c>
      <c r="D29" s="23">
        <v>1090000</v>
      </c>
      <c r="E29" s="23" t="s">
        <v>317</v>
      </c>
      <c r="F29" s="23" t="str">
        <f t="shared" si="0"/>
        <v>rtdc.l.rtdc.4011:itc</v>
      </c>
      <c r="G29" s="8">
        <f t="shared" si="1"/>
        <v>42633.258460648147</v>
      </c>
    </row>
    <row r="30" spans="1:7" x14ac:dyDescent="0.25">
      <c r="A30" s="8">
        <v>42633.26734953704</v>
      </c>
      <c r="B30" s="23" t="s">
        <v>172</v>
      </c>
      <c r="C30" s="23" t="s">
        <v>405</v>
      </c>
      <c r="D30" s="23">
        <v>900000</v>
      </c>
      <c r="E30" s="23" t="s">
        <v>395</v>
      </c>
      <c r="F30" s="23" t="str">
        <f t="shared" si="0"/>
        <v>rtdc.l.rtdc.4026:itc</v>
      </c>
      <c r="G30" s="8">
        <f t="shared" si="1"/>
        <v>42633.26734953704</v>
      </c>
    </row>
    <row r="31" spans="1:7" x14ac:dyDescent="0.25">
      <c r="A31" s="8">
        <v>42633.26898148148</v>
      </c>
      <c r="B31" s="23" t="s">
        <v>178</v>
      </c>
      <c r="C31" s="23" t="s">
        <v>406</v>
      </c>
      <c r="D31" s="23">
        <v>1990000</v>
      </c>
      <c r="E31" s="23" t="s">
        <v>266</v>
      </c>
      <c r="F31" s="23" t="str">
        <f t="shared" si="0"/>
        <v>rtdc.l.rtdc.4042:itc</v>
      </c>
      <c r="G31" s="8">
        <f t="shared" si="1"/>
        <v>42633.26898148148</v>
      </c>
    </row>
    <row r="32" spans="1:7" x14ac:dyDescent="0.25">
      <c r="A32" s="8">
        <v>42633.273136574076</v>
      </c>
      <c r="B32" s="23" t="s">
        <v>177</v>
      </c>
      <c r="C32" s="23" t="s">
        <v>407</v>
      </c>
      <c r="D32" s="23">
        <v>1260000</v>
      </c>
      <c r="E32" s="23" t="s">
        <v>313</v>
      </c>
      <c r="F32" s="23" t="str">
        <f t="shared" si="0"/>
        <v>rtdc.l.rtdc.4010:itc</v>
      </c>
      <c r="G32" s="8">
        <f t="shared" si="1"/>
        <v>42633.273136574076</v>
      </c>
    </row>
    <row r="33" spans="1:7" x14ac:dyDescent="0.25">
      <c r="A33" s="8">
        <v>42633.275879629633</v>
      </c>
      <c r="B33" s="23" t="s">
        <v>262</v>
      </c>
      <c r="C33" s="23" t="s">
        <v>408</v>
      </c>
      <c r="D33" s="23">
        <v>1300000</v>
      </c>
      <c r="E33" s="23" t="s">
        <v>121</v>
      </c>
      <c r="F33" s="23" t="str">
        <f t="shared" si="0"/>
        <v>rtdc.l.rtdc.4045:itc</v>
      </c>
      <c r="G33" s="8">
        <f t="shared" si="1"/>
        <v>42633.275879629633</v>
      </c>
    </row>
    <row r="34" spans="1:7" x14ac:dyDescent="0.25">
      <c r="A34" s="8">
        <v>42633.27815972222</v>
      </c>
      <c r="B34" s="23" t="s">
        <v>264</v>
      </c>
      <c r="C34" s="23" t="s">
        <v>409</v>
      </c>
      <c r="D34" s="23">
        <v>1100000</v>
      </c>
      <c r="E34" s="23" t="s">
        <v>387</v>
      </c>
      <c r="F34" s="23" t="str">
        <f t="shared" si="0"/>
        <v>rtdc.l.rtdc.4003:itc</v>
      </c>
      <c r="G34" s="8">
        <f t="shared" si="1"/>
        <v>42633.27815972222</v>
      </c>
    </row>
    <row r="35" spans="1:7" x14ac:dyDescent="0.25">
      <c r="A35" s="8">
        <v>42633.283067129632</v>
      </c>
      <c r="B35" s="23" t="s">
        <v>165</v>
      </c>
      <c r="C35" s="23" t="s">
        <v>410</v>
      </c>
      <c r="D35" s="23">
        <v>1110000</v>
      </c>
      <c r="E35" s="23" t="s">
        <v>300</v>
      </c>
      <c r="F35" s="23" t="str">
        <f t="shared" si="0"/>
        <v>rtdc.l.rtdc.4020:itc</v>
      </c>
      <c r="G35" s="8">
        <f t="shared" si="1"/>
        <v>42633.283067129632</v>
      </c>
    </row>
    <row r="36" spans="1:7" x14ac:dyDescent="0.25">
      <c r="A36" s="8">
        <v>42633.288101851853</v>
      </c>
      <c r="B36" s="23" t="s">
        <v>411</v>
      </c>
      <c r="C36" s="23" t="s">
        <v>412</v>
      </c>
      <c r="D36" s="23">
        <v>1190000</v>
      </c>
      <c r="E36" s="23" t="s">
        <v>315</v>
      </c>
      <c r="F36" s="23" t="str">
        <f t="shared" si="0"/>
        <v>rtdc.l.rtdc.4013:itc</v>
      </c>
      <c r="G36" s="8">
        <f t="shared" si="1"/>
        <v>42633.288101851853</v>
      </c>
    </row>
    <row r="37" spans="1:7" x14ac:dyDescent="0.25">
      <c r="A37" s="8">
        <v>42633.289351851854</v>
      </c>
      <c r="B37" s="23" t="s">
        <v>390</v>
      </c>
      <c r="C37" s="23" t="s">
        <v>413</v>
      </c>
      <c r="D37" s="23">
        <v>2030000</v>
      </c>
      <c r="E37" s="23" t="s">
        <v>287</v>
      </c>
      <c r="F37" s="23" t="str">
        <f t="shared" si="0"/>
        <v>rtdc.l.rtdc.4018:itc</v>
      </c>
      <c r="G37" s="8">
        <f t="shared" si="1"/>
        <v>42633.289351851854</v>
      </c>
    </row>
    <row r="38" spans="1:7" x14ac:dyDescent="0.25">
      <c r="A38" s="8">
        <v>42633.292962962965</v>
      </c>
      <c r="B38" s="23" t="s">
        <v>288</v>
      </c>
      <c r="C38" s="23" t="s">
        <v>414</v>
      </c>
      <c r="D38" s="23">
        <v>1090000</v>
      </c>
      <c r="E38" s="23" t="s">
        <v>317</v>
      </c>
      <c r="F38" s="23" t="str">
        <f t="shared" si="0"/>
        <v>rtdc.l.rtdc.4012:itc</v>
      </c>
      <c r="G38" s="8">
        <f t="shared" si="1"/>
        <v>42633.292962962965</v>
      </c>
    </row>
    <row r="39" spans="1:7" x14ac:dyDescent="0.25">
      <c r="A39" s="8">
        <v>42633.297152777777</v>
      </c>
      <c r="B39" s="23" t="s">
        <v>164</v>
      </c>
      <c r="C39" s="23" t="s">
        <v>415</v>
      </c>
      <c r="D39" s="23">
        <v>1110000</v>
      </c>
      <c r="E39" s="23" t="s">
        <v>300</v>
      </c>
      <c r="F39" s="23" t="str">
        <f t="shared" si="0"/>
        <v>rtdc.l.rtdc.4019:itc</v>
      </c>
      <c r="G39" s="8">
        <f t="shared" si="1"/>
        <v>42633.297152777777</v>
      </c>
    </row>
    <row r="40" spans="1:7" x14ac:dyDescent="0.25">
      <c r="A40" s="8">
        <v>42633.300173611111</v>
      </c>
      <c r="B40" s="28" t="s">
        <v>171</v>
      </c>
      <c r="C40" s="23" t="s">
        <v>416</v>
      </c>
      <c r="D40" s="23">
        <v>900000</v>
      </c>
      <c r="E40" s="23" t="s">
        <v>395</v>
      </c>
      <c r="F40" s="23" t="str">
        <f t="shared" si="0"/>
        <v>rtdc.l.rtdc.4025:itc</v>
      </c>
      <c r="G40" s="8">
        <f t="shared" si="1"/>
        <v>42633.300173611111</v>
      </c>
    </row>
    <row r="41" spans="1:7" x14ac:dyDescent="0.25">
      <c r="A41" s="8">
        <v>42633.303414351853</v>
      </c>
      <c r="B41" s="23" t="s">
        <v>181</v>
      </c>
      <c r="C41" s="23" t="s">
        <v>417</v>
      </c>
      <c r="D41" s="23">
        <v>1300000</v>
      </c>
      <c r="E41" s="23" t="s">
        <v>121</v>
      </c>
      <c r="F41" s="23" t="str">
        <f t="shared" si="0"/>
        <v>rtdc.l.rtdc.4046:itc</v>
      </c>
      <c r="G41" s="8">
        <f t="shared" si="1"/>
        <v>42633.303414351853</v>
      </c>
    </row>
    <row r="42" spans="1:7" x14ac:dyDescent="0.25">
      <c r="A42" s="8">
        <v>42633.306712962964</v>
      </c>
      <c r="B42" s="23" t="s">
        <v>176</v>
      </c>
      <c r="C42" s="23" t="s">
        <v>418</v>
      </c>
      <c r="D42" s="23">
        <v>1990000</v>
      </c>
      <c r="E42" s="23" t="s">
        <v>266</v>
      </c>
      <c r="F42" s="23" t="str">
        <f t="shared" si="0"/>
        <v>rtdc.l.rtdc.4041:itc</v>
      </c>
      <c r="G42" s="8">
        <f t="shared" si="1"/>
        <v>42633.306712962964</v>
      </c>
    </row>
    <row r="43" spans="1:7" x14ac:dyDescent="0.25">
      <c r="A43" s="8">
        <v>42633.308692129627</v>
      </c>
      <c r="B43" s="23" t="s">
        <v>128</v>
      </c>
      <c r="C43" s="23" t="s">
        <v>419</v>
      </c>
      <c r="D43" s="23">
        <v>1260000</v>
      </c>
      <c r="E43" s="23" t="s">
        <v>313</v>
      </c>
      <c r="F43" s="23" t="str">
        <f t="shared" si="0"/>
        <v>rtdc.l.rtdc.4009:itc</v>
      </c>
      <c r="G43" s="8">
        <f t="shared" si="1"/>
        <v>42633.308692129627</v>
      </c>
    </row>
    <row r="44" spans="1:7" x14ac:dyDescent="0.25">
      <c r="A44" s="8">
        <v>42633.316979166666</v>
      </c>
      <c r="B44" s="23" t="s">
        <v>262</v>
      </c>
      <c r="C44" s="23" t="s">
        <v>420</v>
      </c>
      <c r="D44" s="23">
        <v>1300000</v>
      </c>
      <c r="E44" s="23" t="s">
        <v>121</v>
      </c>
      <c r="F44" s="23" t="str">
        <f t="shared" si="0"/>
        <v>rtdc.l.rtdc.4045:itc</v>
      </c>
      <c r="G44" s="8">
        <f t="shared" si="1"/>
        <v>42633.316979166666</v>
      </c>
    </row>
    <row r="45" spans="1:7" x14ac:dyDescent="0.25">
      <c r="A45" s="8">
        <v>42633.317835648151</v>
      </c>
      <c r="B45" s="23" t="s">
        <v>267</v>
      </c>
      <c r="C45" s="23" t="s">
        <v>421</v>
      </c>
      <c r="D45" s="23">
        <v>1100000</v>
      </c>
      <c r="E45" s="23" t="s">
        <v>387</v>
      </c>
      <c r="F45" s="23" t="str">
        <f t="shared" si="0"/>
        <v>rtdc.l.rtdc.4004:itc</v>
      </c>
      <c r="G45" s="8">
        <f t="shared" si="1"/>
        <v>42633.317835648151</v>
      </c>
    </row>
    <row r="46" spans="1:7" x14ac:dyDescent="0.25">
      <c r="A46" s="8">
        <v>42633.320370370369</v>
      </c>
      <c r="B46" s="23" t="s">
        <v>381</v>
      </c>
      <c r="C46" s="23" t="s">
        <v>422</v>
      </c>
      <c r="D46" s="23">
        <v>1190000</v>
      </c>
      <c r="E46" s="23" t="s">
        <v>315</v>
      </c>
      <c r="F46" s="23" t="str">
        <f t="shared" si="0"/>
        <v>rtdc.l.rtdc.4014:itc</v>
      </c>
      <c r="G46" s="8">
        <f t="shared" si="1"/>
        <v>42633.320370370369</v>
      </c>
    </row>
    <row r="47" spans="1:7" x14ac:dyDescent="0.25">
      <c r="A47" s="8">
        <v>42633.323078703703</v>
      </c>
      <c r="B47" s="23" t="s">
        <v>165</v>
      </c>
      <c r="C47" s="23" t="s">
        <v>423</v>
      </c>
      <c r="D47" s="23">
        <v>1110000</v>
      </c>
      <c r="E47" s="23" t="s">
        <v>300</v>
      </c>
      <c r="F47" s="23" t="str">
        <f t="shared" si="0"/>
        <v>rtdc.l.rtdc.4020:itc</v>
      </c>
      <c r="G47" s="8">
        <f t="shared" si="1"/>
        <v>42633.323078703703</v>
      </c>
    </row>
    <row r="48" spans="1:7" x14ac:dyDescent="0.25">
      <c r="A48" s="8">
        <v>42633.325833333336</v>
      </c>
      <c r="B48" s="23" t="s">
        <v>379</v>
      </c>
      <c r="C48" s="23" t="s">
        <v>424</v>
      </c>
      <c r="D48" s="23">
        <v>2030000</v>
      </c>
      <c r="E48" s="23" t="s">
        <v>287</v>
      </c>
      <c r="F48" s="23" t="str">
        <f t="shared" si="0"/>
        <v>rtdc.l.rtdc.4017:itc</v>
      </c>
      <c r="G48" s="8">
        <f t="shared" si="1"/>
        <v>42633.325833333336</v>
      </c>
    </row>
    <row r="49" spans="1:7" x14ac:dyDescent="0.25">
      <c r="A49" s="8">
        <v>42633.329236111109</v>
      </c>
      <c r="B49" s="23" t="s">
        <v>286</v>
      </c>
      <c r="C49" s="23" t="s">
        <v>425</v>
      </c>
      <c r="D49" s="23">
        <v>1090000</v>
      </c>
      <c r="E49" s="23" t="s">
        <v>317</v>
      </c>
      <c r="F49" s="23" t="str">
        <f t="shared" si="0"/>
        <v>rtdc.l.rtdc.4011:itc</v>
      </c>
      <c r="G49" s="8">
        <f t="shared" si="1"/>
        <v>42633.329236111109</v>
      </c>
    </row>
    <row r="50" spans="1:7" x14ac:dyDescent="0.25">
      <c r="A50" s="8">
        <v>42633.334826388891</v>
      </c>
      <c r="B50" s="23" t="s">
        <v>172</v>
      </c>
      <c r="C50" s="23" t="s">
        <v>426</v>
      </c>
      <c r="D50" s="23">
        <v>900000</v>
      </c>
      <c r="E50" s="23" t="s">
        <v>395</v>
      </c>
      <c r="F50" s="23" t="str">
        <f t="shared" si="0"/>
        <v>rtdc.l.rtdc.4026:itc</v>
      </c>
      <c r="G50" s="8">
        <f t="shared" si="1"/>
        <v>42633.334826388891</v>
      </c>
    </row>
    <row r="51" spans="1:7" x14ac:dyDescent="0.25">
      <c r="A51" s="8">
        <v>42633.338622685187</v>
      </c>
      <c r="B51" s="23" t="s">
        <v>164</v>
      </c>
      <c r="C51" s="23" t="s">
        <v>427</v>
      </c>
      <c r="D51" s="23">
        <v>1110000</v>
      </c>
      <c r="E51" s="23" t="s">
        <v>300</v>
      </c>
      <c r="F51" s="23" t="str">
        <f t="shared" si="0"/>
        <v>rtdc.l.rtdc.4019:itc</v>
      </c>
      <c r="G51" s="8">
        <f t="shared" si="1"/>
        <v>42633.338622685187</v>
      </c>
    </row>
    <row r="52" spans="1:7" x14ac:dyDescent="0.25">
      <c r="A52" s="8">
        <v>42633.339594907404</v>
      </c>
      <c r="B52" s="23" t="s">
        <v>178</v>
      </c>
      <c r="C52" s="23" t="s">
        <v>428</v>
      </c>
      <c r="D52" s="23">
        <v>1990000</v>
      </c>
      <c r="E52" s="23" t="s">
        <v>266</v>
      </c>
      <c r="F52" s="23" t="str">
        <f t="shared" si="0"/>
        <v>rtdc.l.rtdc.4042:itc</v>
      </c>
      <c r="G52" s="8">
        <f t="shared" si="1"/>
        <v>42633.339594907404</v>
      </c>
    </row>
    <row r="53" spans="1:7" x14ac:dyDescent="0.25">
      <c r="A53" s="8">
        <v>42633.345671296294</v>
      </c>
      <c r="B53" s="23" t="s">
        <v>181</v>
      </c>
      <c r="C53" s="23" t="s">
        <v>429</v>
      </c>
      <c r="D53" s="23">
        <v>1300000</v>
      </c>
      <c r="E53" s="23" t="s">
        <v>121</v>
      </c>
      <c r="F53" s="23" t="str">
        <f t="shared" si="0"/>
        <v>rtdc.l.rtdc.4046:itc</v>
      </c>
      <c r="G53" s="8">
        <f t="shared" si="1"/>
        <v>42633.345671296294</v>
      </c>
    </row>
    <row r="54" spans="1:7" x14ac:dyDescent="0.25">
      <c r="A54" s="8">
        <v>42633.345706018517</v>
      </c>
      <c r="B54" s="23" t="s">
        <v>177</v>
      </c>
      <c r="C54" s="23" t="s">
        <v>430</v>
      </c>
      <c r="D54" s="23">
        <v>1260000</v>
      </c>
      <c r="E54" s="23" t="s">
        <v>313</v>
      </c>
      <c r="F54" s="23" t="str">
        <f t="shared" si="0"/>
        <v>rtdc.l.rtdc.4010:itc</v>
      </c>
      <c r="G54" s="8">
        <f t="shared" si="1"/>
        <v>42633.345706018517</v>
      </c>
    </row>
    <row r="55" spans="1:7" x14ac:dyDescent="0.25">
      <c r="A55" s="8">
        <v>42633.351967592593</v>
      </c>
      <c r="B55" s="23" t="s">
        <v>264</v>
      </c>
      <c r="C55" s="23" t="s">
        <v>431</v>
      </c>
      <c r="D55" s="23">
        <v>1100000</v>
      </c>
      <c r="E55" s="23" t="s">
        <v>387</v>
      </c>
      <c r="F55" s="23" t="str">
        <f t="shared" si="0"/>
        <v>rtdc.l.rtdc.4003:itc</v>
      </c>
      <c r="G55" s="8">
        <f t="shared" si="1"/>
        <v>42633.351967592593</v>
      </c>
    </row>
    <row r="56" spans="1:7" x14ac:dyDescent="0.25">
      <c r="A56" s="8">
        <v>42633.356400462966</v>
      </c>
      <c r="B56" s="23" t="s">
        <v>165</v>
      </c>
      <c r="C56" s="23" t="s">
        <v>432</v>
      </c>
      <c r="D56" s="23">
        <v>1110000</v>
      </c>
      <c r="E56" s="23" t="s">
        <v>300</v>
      </c>
      <c r="F56" s="23" t="str">
        <f t="shared" si="0"/>
        <v>rtdc.l.rtdc.4020:itc</v>
      </c>
      <c r="G56" s="8">
        <f t="shared" si="1"/>
        <v>42633.356400462966</v>
      </c>
    </row>
    <row r="57" spans="1:7" x14ac:dyDescent="0.25">
      <c r="A57" s="8">
        <v>42633.358460648145</v>
      </c>
      <c r="B57" s="23" t="s">
        <v>262</v>
      </c>
      <c r="C57" s="23" t="s">
        <v>433</v>
      </c>
      <c r="D57" s="23">
        <v>1300000</v>
      </c>
      <c r="E57" s="23" t="s">
        <v>121</v>
      </c>
      <c r="F57" s="23" t="str">
        <f t="shared" si="0"/>
        <v>rtdc.l.rtdc.4045:itc</v>
      </c>
      <c r="G57" s="8">
        <f t="shared" si="1"/>
        <v>42633.358460648145</v>
      </c>
    </row>
    <row r="58" spans="1:7" x14ac:dyDescent="0.25">
      <c r="A58" s="8">
        <v>42633.359131944446</v>
      </c>
      <c r="B58" s="23" t="s">
        <v>411</v>
      </c>
      <c r="C58" s="23" t="s">
        <v>434</v>
      </c>
      <c r="D58" s="23">
        <v>1190000</v>
      </c>
      <c r="E58" s="23" t="s">
        <v>315</v>
      </c>
      <c r="F58" s="23" t="str">
        <f t="shared" si="0"/>
        <v>rtdc.l.rtdc.4013:itc</v>
      </c>
      <c r="G58" s="8">
        <f t="shared" si="1"/>
        <v>42633.359131944446</v>
      </c>
    </row>
    <row r="59" spans="1:7" x14ac:dyDescent="0.25">
      <c r="A59" s="8">
        <v>42633.361516203702</v>
      </c>
      <c r="B59" s="23" t="s">
        <v>390</v>
      </c>
      <c r="C59" s="23" t="s">
        <v>435</v>
      </c>
      <c r="D59" s="23">
        <v>2030000</v>
      </c>
      <c r="E59" s="23" t="s">
        <v>287</v>
      </c>
      <c r="F59" s="23" t="str">
        <f t="shared" si="0"/>
        <v>rtdc.l.rtdc.4018:itc</v>
      </c>
      <c r="G59" s="8">
        <f t="shared" si="1"/>
        <v>42633.361516203702</v>
      </c>
    </row>
    <row r="60" spans="1:7" x14ac:dyDescent="0.25">
      <c r="A60" s="8">
        <v>42633.368969907409</v>
      </c>
      <c r="B60" s="23" t="s">
        <v>288</v>
      </c>
      <c r="C60" s="23" t="s">
        <v>436</v>
      </c>
      <c r="D60" s="23">
        <v>1090000</v>
      </c>
      <c r="E60" s="23" t="s">
        <v>317</v>
      </c>
      <c r="F60" s="23" t="str">
        <f t="shared" si="0"/>
        <v>rtdc.l.rtdc.4012:itc</v>
      </c>
      <c r="G60" s="8">
        <f t="shared" si="1"/>
        <v>42633.368969907409</v>
      </c>
    </row>
    <row r="61" spans="1:7" x14ac:dyDescent="0.25">
      <c r="A61" s="8">
        <v>42633.373738425929</v>
      </c>
      <c r="B61" s="23" t="s">
        <v>171</v>
      </c>
      <c r="C61" s="23" t="s">
        <v>437</v>
      </c>
      <c r="D61" s="23">
        <v>900000</v>
      </c>
      <c r="E61" s="23" t="s">
        <v>395</v>
      </c>
      <c r="F61" s="23" t="str">
        <f t="shared" si="0"/>
        <v>rtdc.l.rtdc.4025:itc</v>
      </c>
      <c r="G61" s="8">
        <f t="shared" si="1"/>
        <v>42633.373738425929</v>
      </c>
    </row>
    <row r="62" spans="1:7" x14ac:dyDescent="0.25">
      <c r="A62" s="8">
        <v>42633.379236111112</v>
      </c>
      <c r="B62" s="23" t="s">
        <v>176</v>
      </c>
      <c r="C62" s="23" t="s">
        <v>438</v>
      </c>
      <c r="D62" s="23">
        <v>1990000</v>
      </c>
      <c r="E62" s="23" t="s">
        <v>266</v>
      </c>
      <c r="F62" s="23" t="str">
        <f t="shared" si="0"/>
        <v>rtdc.l.rtdc.4041:itc</v>
      </c>
      <c r="G62" s="8">
        <f t="shared" si="1"/>
        <v>42633.379236111112</v>
      </c>
    </row>
    <row r="63" spans="1:7" x14ac:dyDescent="0.25">
      <c r="A63" s="8">
        <v>42633.382731481484</v>
      </c>
      <c r="B63" s="23" t="s">
        <v>128</v>
      </c>
      <c r="C63" s="23" t="s">
        <v>439</v>
      </c>
      <c r="D63" s="23">
        <v>1260000</v>
      </c>
      <c r="E63" s="23" t="s">
        <v>313</v>
      </c>
      <c r="F63" s="23" t="str">
        <f t="shared" si="0"/>
        <v>rtdc.l.rtdc.4009:itc</v>
      </c>
      <c r="G63" s="8">
        <f t="shared" si="1"/>
        <v>42633.382731481484</v>
      </c>
    </row>
    <row r="64" spans="1:7" x14ac:dyDescent="0.25">
      <c r="A64" s="29">
        <v>42633.386805555558</v>
      </c>
      <c r="B64" s="23" t="s">
        <v>181</v>
      </c>
      <c r="C64" s="23" t="s">
        <v>440</v>
      </c>
      <c r="D64" s="23">
        <v>1300000</v>
      </c>
      <c r="E64" s="23" t="s">
        <v>121</v>
      </c>
      <c r="F64" s="23" t="str">
        <f t="shared" si="0"/>
        <v>rtdc.l.rtdc.4046:itc</v>
      </c>
      <c r="G64" s="8">
        <f t="shared" si="1"/>
        <v>42633.386805555558</v>
      </c>
    </row>
    <row r="65" spans="1:7" x14ac:dyDescent="0.25">
      <c r="A65" s="8">
        <v>42633.389490740738</v>
      </c>
      <c r="B65" s="23" t="s">
        <v>267</v>
      </c>
      <c r="C65" s="23" t="s">
        <v>441</v>
      </c>
      <c r="D65" s="23">
        <v>1100000</v>
      </c>
      <c r="E65" s="23" t="s">
        <v>387</v>
      </c>
      <c r="F65" s="23" t="str">
        <f t="shared" si="0"/>
        <v>rtdc.l.rtdc.4004:itc</v>
      </c>
      <c r="G65" s="8">
        <f t="shared" si="1"/>
        <v>42633.389490740738</v>
      </c>
    </row>
    <row r="66" spans="1:7" x14ac:dyDescent="0.25">
      <c r="A66" s="8">
        <v>42633.392326388886</v>
      </c>
      <c r="B66" s="23" t="s">
        <v>381</v>
      </c>
      <c r="C66" s="23" t="s">
        <v>442</v>
      </c>
      <c r="D66" s="23">
        <v>1190000</v>
      </c>
      <c r="E66" s="23" t="s">
        <v>315</v>
      </c>
      <c r="F66" s="23" t="str">
        <f t="shared" ref="F66:F129" si="2">B66</f>
        <v>rtdc.l.rtdc.4014:itc</v>
      </c>
      <c r="G66" s="8">
        <f t="shared" ref="G66:G129" si="3">A66</f>
        <v>42633.392326388886</v>
      </c>
    </row>
    <row r="67" spans="1:7" x14ac:dyDescent="0.25">
      <c r="A67" s="8">
        <v>42633.39402777778</v>
      </c>
      <c r="B67" s="23" t="s">
        <v>379</v>
      </c>
      <c r="C67" s="23" t="s">
        <v>443</v>
      </c>
      <c r="D67" s="23">
        <v>2030000</v>
      </c>
      <c r="E67" s="23" t="s">
        <v>287</v>
      </c>
      <c r="F67" s="23" t="str">
        <f t="shared" si="2"/>
        <v>rtdc.l.rtdc.4017:itc</v>
      </c>
      <c r="G67" s="8">
        <f t="shared" si="3"/>
        <v>42633.39402777778</v>
      </c>
    </row>
    <row r="68" spans="1:7" x14ac:dyDescent="0.25">
      <c r="A68" s="8">
        <v>42633.400034722225</v>
      </c>
      <c r="B68" s="23" t="s">
        <v>262</v>
      </c>
      <c r="C68" s="23" t="s">
        <v>444</v>
      </c>
      <c r="D68" s="23">
        <v>1300000</v>
      </c>
      <c r="E68" s="23" t="s">
        <v>121</v>
      </c>
      <c r="F68" s="23" t="str">
        <f t="shared" si="2"/>
        <v>rtdc.l.rtdc.4045:itc</v>
      </c>
      <c r="G68" s="8">
        <f t="shared" si="3"/>
        <v>42633.400034722225</v>
      </c>
    </row>
    <row r="69" spans="1:7" x14ac:dyDescent="0.25">
      <c r="A69" s="8">
        <v>42633.402592592596</v>
      </c>
      <c r="B69" s="23" t="s">
        <v>286</v>
      </c>
      <c r="C69" s="23" t="s">
        <v>445</v>
      </c>
      <c r="D69" s="23">
        <v>1090000</v>
      </c>
      <c r="E69" s="23" t="s">
        <v>317</v>
      </c>
      <c r="F69" s="23" t="str">
        <f t="shared" si="2"/>
        <v>rtdc.l.rtdc.4011:itc</v>
      </c>
      <c r="G69" s="8">
        <f t="shared" si="3"/>
        <v>42633.402592592596</v>
      </c>
    </row>
    <row r="70" spans="1:7" x14ac:dyDescent="0.25">
      <c r="A70" s="8">
        <v>42633.412997685184</v>
      </c>
      <c r="B70" s="23" t="s">
        <v>172</v>
      </c>
      <c r="C70" s="23" t="s">
        <v>446</v>
      </c>
      <c r="D70" s="23">
        <v>900000</v>
      </c>
      <c r="E70" s="23" t="s">
        <v>395</v>
      </c>
      <c r="F70" s="23" t="str">
        <f t="shared" si="2"/>
        <v>rtdc.l.rtdc.4026:itc</v>
      </c>
      <c r="G70" s="8">
        <f t="shared" si="3"/>
        <v>42633.412997685184</v>
      </c>
    </row>
    <row r="71" spans="1:7" x14ac:dyDescent="0.25">
      <c r="A71" s="8">
        <v>42633.413043981483</v>
      </c>
      <c r="B71" s="23" t="s">
        <v>178</v>
      </c>
      <c r="C71" s="23" t="s">
        <v>447</v>
      </c>
      <c r="D71" s="23">
        <v>1990000</v>
      </c>
      <c r="E71" s="23" t="s">
        <v>266</v>
      </c>
      <c r="F71" s="23" t="str">
        <f t="shared" si="2"/>
        <v>rtdc.l.rtdc.4042:itc</v>
      </c>
      <c r="G71" s="8">
        <f t="shared" si="3"/>
        <v>42633.413043981483</v>
      </c>
    </row>
    <row r="72" spans="1:7" x14ac:dyDescent="0.25">
      <c r="A72" s="8">
        <v>42633.417881944442</v>
      </c>
      <c r="B72" s="23" t="s">
        <v>177</v>
      </c>
      <c r="C72" s="23" t="s">
        <v>448</v>
      </c>
      <c r="D72" s="23">
        <v>1260000</v>
      </c>
      <c r="E72" s="23" t="s">
        <v>313</v>
      </c>
      <c r="F72" s="23" t="str">
        <f t="shared" si="2"/>
        <v>rtdc.l.rtdc.4010:itc</v>
      </c>
      <c r="G72" s="8">
        <f t="shared" si="3"/>
        <v>42633.417881944442</v>
      </c>
    </row>
    <row r="73" spans="1:7" x14ac:dyDescent="0.25">
      <c r="A73" s="8">
        <v>42633.423807870371</v>
      </c>
      <c r="B73" s="23" t="s">
        <v>264</v>
      </c>
      <c r="C73" s="23" t="s">
        <v>449</v>
      </c>
      <c r="D73" s="23">
        <v>1100000</v>
      </c>
      <c r="E73" s="23" t="s">
        <v>387</v>
      </c>
      <c r="F73" s="23" t="str">
        <f t="shared" si="2"/>
        <v>rtdc.l.rtdc.4003:itc</v>
      </c>
      <c r="G73" s="8">
        <f t="shared" si="3"/>
        <v>42633.423807870371</v>
      </c>
    </row>
    <row r="74" spans="1:7" x14ac:dyDescent="0.25">
      <c r="A74" s="8">
        <v>42633.427708333336</v>
      </c>
      <c r="B74" s="23" t="s">
        <v>411</v>
      </c>
      <c r="C74" s="23" t="s">
        <v>450</v>
      </c>
      <c r="D74" s="23">
        <v>1190000</v>
      </c>
      <c r="E74" s="23" t="s">
        <v>315</v>
      </c>
      <c r="F74" s="23" t="str">
        <f t="shared" si="2"/>
        <v>rtdc.l.rtdc.4013:itc</v>
      </c>
      <c r="G74" s="8">
        <f t="shared" si="3"/>
        <v>42633.427708333336</v>
      </c>
    </row>
    <row r="75" spans="1:7" x14ac:dyDescent="0.25">
      <c r="A75" s="8">
        <v>42633.429837962962</v>
      </c>
      <c r="B75" s="23" t="s">
        <v>181</v>
      </c>
      <c r="C75" s="23" t="s">
        <v>451</v>
      </c>
      <c r="D75" s="23">
        <v>1300000</v>
      </c>
      <c r="E75" s="23" t="s">
        <v>121</v>
      </c>
      <c r="F75" s="23" t="str">
        <f t="shared" si="2"/>
        <v>rtdc.l.rtdc.4046:itc</v>
      </c>
      <c r="G75" s="8">
        <f t="shared" si="3"/>
        <v>42633.429837962962</v>
      </c>
    </row>
    <row r="76" spans="1:7" x14ac:dyDescent="0.25">
      <c r="A76" s="8">
        <v>42633.434317129628</v>
      </c>
      <c r="B76" s="23" t="s">
        <v>390</v>
      </c>
      <c r="C76" s="23" t="s">
        <v>452</v>
      </c>
      <c r="D76" s="23">
        <v>1110000</v>
      </c>
      <c r="E76" s="23" t="s">
        <v>300</v>
      </c>
      <c r="F76" s="23" t="str">
        <f t="shared" si="2"/>
        <v>rtdc.l.rtdc.4018:itc</v>
      </c>
      <c r="G76" s="8">
        <f t="shared" si="3"/>
        <v>42633.434317129628</v>
      </c>
    </row>
    <row r="77" spans="1:7" x14ac:dyDescent="0.25">
      <c r="A77" s="8">
        <v>42633.442511574074</v>
      </c>
      <c r="B77" s="23" t="s">
        <v>262</v>
      </c>
      <c r="C77" s="23" t="s">
        <v>453</v>
      </c>
      <c r="D77" s="23">
        <v>1300000</v>
      </c>
      <c r="E77" s="23" t="s">
        <v>121</v>
      </c>
      <c r="F77" s="23" t="str">
        <f t="shared" si="2"/>
        <v>rtdc.l.rtdc.4045:itc</v>
      </c>
      <c r="G77" s="8">
        <f t="shared" si="3"/>
        <v>42633.442511574074</v>
      </c>
    </row>
    <row r="78" spans="1:7" x14ac:dyDescent="0.25">
      <c r="A78" s="8">
        <v>42633.442893518521</v>
      </c>
      <c r="B78" s="23" t="s">
        <v>288</v>
      </c>
      <c r="C78" s="23" t="s">
        <v>454</v>
      </c>
      <c r="D78" s="23">
        <v>1090000</v>
      </c>
      <c r="E78" s="23" t="s">
        <v>317</v>
      </c>
      <c r="F78" s="23" t="str">
        <f t="shared" si="2"/>
        <v>rtdc.l.rtdc.4012:itc</v>
      </c>
      <c r="G78" s="8">
        <f t="shared" si="3"/>
        <v>42633.442893518521</v>
      </c>
    </row>
    <row r="79" spans="1:7" x14ac:dyDescent="0.25">
      <c r="A79" s="8">
        <v>42633.444351851853</v>
      </c>
      <c r="B79" s="23" t="s">
        <v>171</v>
      </c>
      <c r="C79" s="23" t="s">
        <v>455</v>
      </c>
      <c r="D79" s="23">
        <v>900000</v>
      </c>
      <c r="E79" s="23" t="s">
        <v>395</v>
      </c>
      <c r="F79" s="23" t="str">
        <f t="shared" si="2"/>
        <v>rtdc.l.rtdc.4025:itc</v>
      </c>
      <c r="G79" s="8">
        <f t="shared" si="3"/>
        <v>42633.444351851853</v>
      </c>
    </row>
    <row r="80" spans="1:7" x14ac:dyDescent="0.25">
      <c r="A80" s="8">
        <v>42633.448993055557</v>
      </c>
      <c r="B80" s="23" t="s">
        <v>176</v>
      </c>
      <c r="C80" s="23" t="s">
        <v>456</v>
      </c>
      <c r="D80" s="23">
        <v>1990000</v>
      </c>
      <c r="E80" s="23" t="s">
        <v>266</v>
      </c>
      <c r="F80" s="23" t="str">
        <f t="shared" si="2"/>
        <v>rtdc.l.rtdc.4041:itc</v>
      </c>
      <c r="G80" s="8">
        <f t="shared" si="3"/>
        <v>42633.448993055557</v>
      </c>
    </row>
    <row r="81" spans="1:7" x14ac:dyDescent="0.25">
      <c r="A81" s="8">
        <v>42633.454583333332</v>
      </c>
      <c r="B81" s="23" t="s">
        <v>128</v>
      </c>
      <c r="C81" s="23" t="s">
        <v>457</v>
      </c>
      <c r="D81" s="23">
        <v>1280000</v>
      </c>
      <c r="E81" s="23" t="s">
        <v>289</v>
      </c>
      <c r="F81" s="23" t="str">
        <f t="shared" si="2"/>
        <v>rtdc.l.rtdc.4009:itc</v>
      </c>
      <c r="G81" s="8">
        <f t="shared" si="3"/>
        <v>42633.454583333332</v>
      </c>
    </row>
    <row r="82" spans="1:7" x14ac:dyDescent="0.25">
      <c r="A82" s="8">
        <v>42633.462233796294</v>
      </c>
      <c r="B82" s="23" t="s">
        <v>267</v>
      </c>
      <c r="C82" s="23" t="s">
        <v>458</v>
      </c>
      <c r="D82" s="23">
        <v>1100000</v>
      </c>
      <c r="E82" s="23" t="s">
        <v>387</v>
      </c>
      <c r="F82" s="23" t="str">
        <f t="shared" si="2"/>
        <v>rtdc.l.rtdc.4004:itc</v>
      </c>
      <c r="G82" s="8">
        <f t="shared" si="3"/>
        <v>42633.462233796294</v>
      </c>
    </row>
    <row r="83" spans="1:7" x14ac:dyDescent="0.25">
      <c r="A83" s="8">
        <v>42633.467766203707</v>
      </c>
      <c r="B83" s="23" t="s">
        <v>381</v>
      </c>
      <c r="C83" s="23" t="s">
        <v>459</v>
      </c>
      <c r="D83" s="23">
        <v>880000</v>
      </c>
      <c r="E83" s="23" t="s">
        <v>268</v>
      </c>
      <c r="F83" s="23" t="str">
        <f t="shared" si="2"/>
        <v>rtdc.l.rtdc.4014:itc</v>
      </c>
      <c r="G83" s="8">
        <f t="shared" si="3"/>
        <v>42633.467766203707</v>
      </c>
    </row>
    <row r="84" spans="1:7" x14ac:dyDescent="0.25">
      <c r="A84" s="8">
        <v>42633.470902777779</v>
      </c>
      <c r="B84" s="23" t="s">
        <v>181</v>
      </c>
      <c r="C84" s="23" t="s">
        <v>460</v>
      </c>
      <c r="D84" s="23">
        <v>1300000</v>
      </c>
      <c r="E84" s="23" t="s">
        <v>121</v>
      </c>
      <c r="F84" s="23" t="str">
        <f t="shared" si="2"/>
        <v>rtdc.l.rtdc.4046:itc</v>
      </c>
      <c r="G84" s="8">
        <f t="shared" si="3"/>
        <v>42633.470902777779</v>
      </c>
    </row>
    <row r="85" spans="1:7" x14ac:dyDescent="0.25">
      <c r="A85" s="8">
        <v>42633.473356481481</v>
      </c>
      <c r="B85" s="23" t="s">
        <v>461</v>
      </c>
      <c r="C85" s="23" t="s">
        <v>462</v>
      </c>
      <c r="D85" s="23">
        <v>1240000</v>
      </c>
      <c r="E85" s="23" t="s">
        <v>318</v>
      </c>
      <c r="F85" s="23" t="str">
        <f t="shared" si="2"/>
        <v>rtdc.l.rtdc.4022:itc</v>
      </c>
      <c r="G85" s="8">
        <f t="shared" si="3"/>
        <v>42633.473356481481</v>
      </c>
    </row>
    <row r="86" spans="1:7" x14ac:dyDescent="0.25">
      <c r="A86" s="8">
        <v>42633.474953703706</v>
      </c>
      <c r="B86" s="23" t="s">
        <v>379</v>
      </c>
      <c r="C86" s="23" t="s">
        <v>463</v>
      </c>
      <c r="D86" s="23">
        <v>1110000</v>
      </c>
      <c r="E86" s="23" t="s">
        <v>300</v>
      </c>
      <c r="F86" s="23" t="str">
        <f t="shared" si="2"/>
        <v>rtdc.l.rtdc.4017:itc</v>
      </c>
      <c r="G86" s="8">
        <f t="shared" si="3"/>
        <v>42633.474953703706</v>
      </c>
    </row>
    <row r="87" spans="1:7" x14ac:dyDescent="0.25">
      <c r="A87" s="8">
        <v>42633.477881944447</v>
      </c>
      <c r="B87" s="23" t="s">
        <v>286</v>
      </c>
      <c r="C87" s="23" t="s">
        <v>464</v>
      </c>
      <c r="D87" s="23">
        <v>2370000</v>
      </c>
      <c r="E87" s="23" t="s">
        <v>325</v>
      </c>
      <c r="F87" s="23" t="str">
        <f t="shared" si="2"/>
        <v>rtdc.l.rtdc.4011:itc</v>
      </c>
      <c r="G87" s="8">
        <f t="shared" si="3"/>
        <v>42633.477881944447</v>
      </c>
    </row>
    <row r="88" spans="1:7" x14ac:dyDescent="0.25">
      <c r="A88" s="8">
        <v>42633.480069444442</v>
      </c>
      <c r="B88" s="23" t="s">
        <v>172</v>
      </c>
      <c r="C88" s="23" t="s">
        <v>465</v>
      </c>
      <c r="D88" s="23">
        <v>900000</v>
      </c>
      <c r="E88" s="23" t="s">
        <v>395</v>
      </c>
      <c r="F88" s="23" t="str">
        <f t="shared" si="2"/>
        <v>rtdc.l.rtdc.4026:itc</v>
      </c>
      <c r="G88" s="8">
        <f t="shared" si="3"/>
        <v>42633.480069444442</v>
      </c>
    </row>
    <row r="89" spans="1:7" x14ac:dyDescent="0.25">
      <c r="A89" s="8">
        <v>42633.480196759258</v>
      </c>
      <c r="B89" s="23" t="s">
        <v>286</v>
      </c>
      <c r="C89" s="23" t="s">
        <v>464</v>
      </c>
      <c r="D89" s="23">
        <v>1540000</v>
      </c>
      <c r="E89" s="23" t="s">
        <v>466</v>
      </c>
      <c r="F89" s="23" t="str">
        <f t="shared" si="2"/>
        <v>rtdc.l.rtdc.4011:itc</v>
      </c>
      <c r="G89" s="8">
        <f t="shared" si="3"/>
        <v>42633.480196759258</v>
      </c>
    </row>
    <row r="90" spans="1:7" x14ac:dyDescent="0.25">
      <c r="A90" s="8">
        <v>42633.483761574076</v>
      </c>
      <c r="B90" s="23" t="s">
        <v>262</v>
      </c>
      <c r="C90" s="23" t="s">
        <v>467</v>
      </c>
      <c r="D90" s="23">
        <v>1300000</v>
      </c>
      <c r="E90" s="23" t="s">
        <v>121</v>
      </c>
      <c r="F90" s="23" t="str">
        <f t="shared" si="2"/>
        <v>rtdc.l.rtdc.4045:itc</v>
      </c>
      <c r="G90" s="8">
        <f t="shared" si="3"/>
        <v>42633.483761574076</v>
      </c>
    </row>
    <row r="91" spans="1:7" x14ac:dyDescent="0.25">
      <c r="A91" s="8">
        <v>42633.487037037034</v>
      </c>
      <c r="B91" s="23" t="s">
        <v>177</v>
      </c>
      <c r="C91" s="23" t="s">
        <v>468</v>
      </c>
      <c r="D91" s="23">
        <v>1280000</v>
      </c>
      <c r="E91" s="23" t="s">
        <v>289</v>
      </c>
      <c r="F91" s="23" t="str">
        <f t="shared" si="2"/>
        <v>rtdc.l.rtdc.4010:itc</v>
      </c>
      <c r="G91" s="8">
        <f t="shared" si="3"/>
        <v>42633.487037037034</v>
      </c>
    </row>
    <row r="92" spans="1:7" x14ac:dyDescent="0.25">
      <c r="A92" s="8">
        <v>42633.48777777778</v>
      </c>
      <c r="B92" s="23" t="s">
        <v>178</v>
      </c>
      <c r="C92" s="23" t="s">
        <v>469</v>
      </c>
      <c r="D92" s="23">
        <v>1300000</v>
      </c>
      <c r="E92" s="23" t="s">
        <v>121</v>
      </c>
      <c r="F92" s="23" t="str">
        <f t="shared" si="2"/>
        <v>rtdc.l.rtdc.4042:itc</v>
      </c>
      <c r="G92" s="8">
        <f t="shared" si="3"/>
        <v>42633.48777777778</v>
      </c>
    </row>
    <row r="93" spans="1:7" x14ac:dyDescent="0.25">
      <c r="A93" s="8">
        <v>42633.494768518518</v>
      </c>
      <c r="B93" s="23" t="s">
        <v>470</v>
      </c>
      <c r="C93" s="23" t="s">
        <v>471</v>
      </c>
      <c r="D93" s="23">
        <v>1990000</v>
      </c>
      <c r="E93" s="23" t="s">
        <v>266</v>
      </c>
      <c r="F93" s="23" t="str">
        <f t="shared" si="2"/>
        <v>rtdc.l.rtdc.4006:itc</v>
      </c>
      <c r="G93" s="8">
        <f t="shared" si="3"/>
        <v>42633.494768518518</v>
      </c>
    </row>
    <row r="94" spans="1:7" x14ac:dyDescent="0.25">
      <c r="A94" s="8">
        <v>42633.498055555552</v>
      </c>
      <c r="B94" s="23" t="s">
        <v>264</v>
      </c>
      <c r="C94" s="23" t="s">
        <v>472</v>
      </c>
      <c r="D94" s="23">
        <v>1140000</v>
      </c>
      <c r="E94" s="23" t="s">
        <v>324</v>
      </c>
      <c r="F94" s="23" t="str">
        <f t="shared" si="2"/>
        <v>rtdc.l.rtdc.4003:itc</v>
      </c>
      <c r="G94" s="8">
        <f t="shared" si="3"/>
        <v>42633.498055555552</v>
      </c>
    </row>
    <row r="95" spans="1:7" x14ac:dyDescent="0.25">
      <c r="A95" s="8">
        <v>42633.505949074075</v>
      </c>
      <c r="B95" s="23" t="s">
        <v>411</v>
      </c>
      <c r="C95" s="23" t="s">
        <v>473</v>
      </c>
      <c r="D95" s="23">
        <v>880000</v>
      </c>
      <c r="E95" s="23" t="s">
        <v>268</v>
      </c>
      <c r="F95" s="23" t="str">
        <f t="shared" si="2"/>
        <v>rtdc.l.rtdc.4013:itc</v>
      </c>
      <c r="G95" s="8">
        <f t="shared" si="3"/>
        <v>42633.505949074075</v>
      </c>
    </row>
    <row r="96" spans="1:7" x14ac:dyDescent="0.25">
      <c r="A96" s="8">
        <v>42633.507754629631</v>
      </c>
      <c r="B96" s="23" t="s">
        <v>390</v>
      </c>
      <c r="C96" s="23" t="s">
        <v>474</v>
      </c>
      <c r="D96" s="23">
        <v>930000</v>
      </c>
      <c r="E96" s="23" t="s">
        <v>269</v>
      </c>
      <c r="F96" s="23" t="str">
        <f t="shared" si="2"/>
        <v>rtdc.l.rtdc.4018:itc</v>
      </c>
      <c r="G96" s="8">
        <f t="shared" si="3"/>
        <v>42633.507754629631</v>
      </c>
    </row>
    <row r="97" spans="1:7" x14ac:dyDescent="0.25">
      <c r="A97" s="8">
        <v>42633.513310185182</v>
      </c>
      <c r="B97" s="23" t="s">
        <v>181</v>
      </c>
      <c r="C97" s="23" t="s">
        <v>475</v>
      </c>
      <c r="D97" s="23">
        <v>1300000</v>
      </c>
      <c r="E97" s="23" t="s">
        <v>121</v>
      </c>
      <c r="F97" s="23" t="str">
        <f t="shared" si="2"/>
        <v>rtdc.l.rtdc.4046:itc</v>
      </c>
      <c r="G97" s="8">
        <f t="shared" si="3"/>
        <v>42633.513310185182</v>
      </c>
    </row>
    <row r="98" spans="1:7" x14ac:dyDescent="0.25">
      <c r="A98" s="8">
        <v>42633.514340277776</v>
      </c>
      <c r="B98" s="23" t="s">
        <v>288</v>
      </c>
      <c r="C98" s="23" t="s">
        <v>476</v>
      </c>
      <c r="D98" s="23">
        <v>1540000</v>
      </c>
      <c r="E98" s="23" t="s">
        <v>466</v>
      </c>
      <c r="F98" s="23" t="str">
        <f t="shared" si="2"/>
        <v>rtdc.l.rtdc.4012:itc</v>
      </c>
      <c r="G98" s="8">
        <f t="shared" si="3"/>
        <v>42633.514340277776</v>
      </c>
    </row>
    <row r="99" spans="1:7" x14ac:dyDescent="0.25">
      <c r="A99" s="8">
        <v>42633.518900462965</v>
      </c>
      <c r="B99" s="23" t="s">
        <v>171</v>
      </c>
      <c r="C99" s="23" t="s">
        <v>477</v>
      </c>
      <c r="D99" s="23">
        <v>1740000</v>
      </c>
      <c r="E99" s="23" t="s">
        <v>478</v>
      </c>
      <c r="F99" s="23" t="str">
        <f t="shared" si="2"/>
        <v>rtdc.l.rtdc.4025:itc</v>
      </c>
      <c r="G99" s="8">
        <f t="shared" si="3"/>
        <v>42633.518900462965</v>
      </c>
    </row>
    <row r="100" spans="1:7" x14ac:dyDescent="0.25">
      <c r="A100" s="8">
        <v>42633.521620370368</v>
      </c>
      <c r="B100" s="23" t="s">
        <v>176</v>
      </c>
      <c r="C100" s="23" t="s">
        <v>479</v>
      </c>
      <c r="D100" s="23">
        <v>1300000</v>
      </c>
      <c r="E100" s="23" t="s">
        <v>121</v>
      </c>
      <c r="F100" s="23" t="str">
        <f t="shared" si="2"/>
        <v>rtdc.l.rtdc.4041:itc</v>
      </c>
      <c r="G100" s="8">
        <f t="shared" si="3"/>
        <v>42633.521620370368</v>
      </c>
    </row>
    <row r="101" spans="1:7" x14ac:dyDescent="0.25">
      <c r="A101" s="8">
        <v>42633.525104166663</v>
      </c>
      <c r="B101" s="23" t="s">
        <v>262</v>
      </c>
      <c r="C101" s="23" t="s">
        <v>480</v>
      </c>
      <c r="D101" s="23">
        <v>1300000</v>
      </c>
      <c r="E101" s="23" t="s">
        <v>121</v>
      </c>
      <c r="F101" s="23" t="str">
        <f t="shared" si="2"/>
        <v>rtdc.l.rtdc.4045:itc</v>
      </c>
      <c r="G101" s="8">
        <f t="shared" si="3"/>
        <v>42633.525104166663</v>
      </c>
    </row>
    <row r="102" spans="1:7" x14ac:dyDescent="0.25">
      <c r="A102" s="8">
        <v>42633.530671296299</v>
      </c>
      <c r="B102" s="23" t="s">
        <v>128</v>
      </c>
      <c r="C102" s="23" t="s">
        <v>481</v>
      </c>
      <c r="D102" s="23">
        <v>1280000</v>
      </c>
      <c r="E102" s="23" t="s">
        <v>289</v>
      </c>
      <c r="F102" s="23" t="str">
        <f t="shared" si="2"/>
        <v>rtdc.l.rtdc.4009:itc</v>
      </c>
      <c r="G102" s="8">
        <f t="shared" si="3"/>
        <v>42633.530671296299</v>
      </c>
    </row>
    <row r="103" spans="1:7" x14ac:dyDescent="0.25">
      <c r="A103" s="8">
        <v>42633.532361111109</v>
      </c>
      <c r="B103" s="23" t="s">
        <v>267</v>
      </c>
      <c r="C103" s="23" t="s">
        <v>482</v>
      </c>
      <c r="D103" s="23">
        <v>1140000</v>
      </c>
      <c r="E103" s="23" t="s">
        <v>324</v>
      </c>
      <c r="F103" s="23" t="str">
        <f t="shared" si="2"/>
        <v>rtdc.l.rtdc.4004:itc</v>
      </c>
      <c r="G103" s="8">
        <f t="shared" si="3"/>
        <v>42633.532361111109</v>
      </c>
    </row>
    <row r="104" spans="1:7" x14ac:dyDescent="0.25">
      <c r="A104" s="8">
        <v>42633.535439814812</v>
      </c>
      <c r="B104" s="23" t="s">
        <v>483</v>
      </c>
      <c r="C104" s="23" t="s">
        <v>484</v>
      </c>
      <c r="D104" s="23">
        <v>1770000</v>
      </c>
      <c r="E104" s="23" t="s">
        <v>290</v>
      </c>
      <c r="F104" s="23" t="str">
        <f t="shared" si="2"/>
        <v>rtdc.l.rtdc.4005:itc</v>
      </c>
      <c r="G104" s="8">
        <f t="shared" si="3"/>
        <v>42633.535439814812</v>
      </c>
    </row>
    <row r="105" spans="1:7" x14ac:dyDescent="0.25">
      <c r="A105" s="8">
        <v>42633.539699074077</v>
      </c>
      <c r="B105" s="23" t="s">
        <v>381</v>
      </c>
      <c r="C105" s="23" t="s">
        <v>485</v>
      </c>
      <c r="D105" s="23">
        <v>880000</v>
      </c>
      <c r="E105" s="23" t="s">
        <v>268</v>
      </c>
      <c r="F105" s="23" t="str">
        <f t="shared" si="2"/>
        <v>rtdc.l.rtdc.4014:itc</v>
      </c>
      <c r="G105" s="8">
        <f t="shared" si="3"/>
        <v>42633.539699074077</v>
      </c>
    </row>
    <row r="106" spans="1:7" x14ac:dyDescent="0.25">
      <c r="A106" s="8">
        <v>42633.545972222222</v>
      </c>
      <c r="B106" s="23" t="s">
        <v>379</v>
      </c>
      <c r="C106" s="23" t="s">
        <v>486</v>
      </c>
      <c r="D106" s="23">
        <v>930000</v>
      </c>
      <c r="E106" s="23" t="s">
        <v>269</v>
      </c>
      <c r="F106" s="23" t="str">
        <f t="shared" si="2"/>
        <v>rtdc.l.rtdc.4017:itc</v>
      </c>
      <c r="G106" s="8">
        <f t="shared" si="3"/>
        <v>42633.545972222222</v>
      </c>
    </row>
    <row r="107" spans="1:7" x14ac:dyDescent="0.25">
      <c r="A107" s="8">
        <v>42633.552789351852</v>
      </c>
      <c r="B107" s="23" t="s">
        <v>286</v>
      </c>
      <c r="C107" s="23" t="s">
        <v>487</v>
      </c>
      <c r="D107" s="23">
        <v>1540000</v>
      </c>
      <c r="E107" s="23" t="s">
        <v>466</v>
      </c>
      <c r="F107" s="23" t="str">
        <f t="shared" si="2"/>
        <v>rtdc.l.rtdc.4011:itc</v>
      </c>
      <c r="G107" s="8">
        <f t="shared" si="3"/>
        <v>42633.552789351852</v>
      </c>
    </row>
    <row r="108" spans="1:7" x14ac:dyDescent="0.25">
      <c r="A108" s="8">
        <v>42633.552881944444</v>
      </c>
      <c r="B108" s="23" t="s">
        <v>181</v>
      </c>
      <c r="C108" s="23" t="s">
        <v>488</v>
      </c>
      <c r="D108" s="23">
        <v>1770000</v>
      </c>
      <c r="E108" s="23" t="s">
        <v>290</v>
      </c>
      <c r="F108" s="23" t="str">
        <f t="shared" si="2"/>
        <v>rtdc.l.rtdc.4046:itc</v>
      </c>
      <c r="G108" s="8">
        <f t="shared" si="3"/>
        <v>42633.552881944444</v>
      </c>
    </row>
    <row r="109" spans="1:7" x14ac:dyDescent="0.25">
      <c r="A109" s="8">
        <v>42633.557222222225</v>
      </c>
      <c r="B109" s="23" t="s">
        <v>172</v>
      </c>
      <c r="C109" s="23" t="s">
        <v>489</v>
      </c>
      <c r="D109" s="23">
        <v>1740000</v>
      </c>
      <c r="E109" s="23" t="s">
        <v>478</v>
      </c>
      <c r="F109" s="23" t="str">
        <f t="shared" si="2"/>
        <v>rtdc.l.rtdc.4026:itc</v>
      </c>
      <c r="G109" s="8">
        <f t="shared" si="3"/>
        <v>42633.557222222225</v>
      </c>
    </row>
    <row r="110" spans="1:7" x14ac:dyDescent="0.25">
      <c r="A110" s="8">
        <v>42633.559699074074</v>
      </c>
      <c r="B110" s="23" t="s">
        <v>177</v>
      </c>
      <c r="C110" s="23" t="s">
        <v>490</v>
      </c>
      <c r="D110" s="23">
        <v>1280000</v>
      </c>
      <c r="E110" s="23" t="s">
        <v>289</v>
      </c>
      <c r="F110" s="23" t="str">
        <f t="shared" si="2"/>
        <v>rtdc.l.rtdc.4010:itc</v>
      </c>
      <c r="G110" s="8">
        <f t="shared" si="3"/>
        <v>42633.559699074074</v>
      </c>
    </row>
    <row r="111" spans="1:7" x14ac:dyDescent="0.25">
      <c r="A111" s="8">
        <v>42633.56</v>
      </c>
      <c r="B111" s="23" t="s">
        <v>178</v>
      </c>
      <c r="C111" s="23" t="s">
        <v>491</v>
      </c>
      <c r="D111" s="23">
        <v>940000</v>
      </c>
      <c r="E111" s="23" t="s">
        <v>323</v>
      </c>
      <c r="F111" s="23" t="str">
        <f t="shared" si="2"/>
        <v>rtdc.l.rtdc.4042:itc</v>
      </c>
      <c r="G111" s="8">
        <f t="shared" si="3"/>
        <v>42633.56</v>
      </c>
    </row>
    <row r="112" spans="1:7" x14ac:dyDescent="0.25">
      <c r="A112" s="8">
        <v>42633.568807870368</v>
      </c>
      <c r="B112" s="23" t="s">
        <v>264</v>
      </c>
      <c r="C112" s="23" t="s">
        <v>492</v>
      </c>
      <c r="D112" s="23">
        <v>1140000</v>
      </c>
      <c r="E112" s="23" t="s">
        <v>324</v>
      </c>
      <c r="F112" s="23" t="str">
        <f t="shared" si="2"/>
        <v>rtdc.l.rtdc.4003:itc</v>
      </c>
      <c r="G112" s="8">
        <f t="shared" si="3"/>
        <v>42633.568807870368</v>
      </c>
    </row>
    <row r="113" spans="1:7" x14ac:dyDescent="0.25">
      <c r="A113" s="8">
        <v>42633.569247685184</v>
      </c>
      <c r="B113" s="23" t="s">
        <v>262</v>
      </c>
      <c r="C113" s="23" t="s">
        <v>493</v>
      </c>
      <c r="D113" s="23">
        <v>1770000</v>
      </c>
      <c r="E113" s="23" t="s">
        <v>290</v>
      </c>
      <c r="F113" s="23" t="str">
        <f t="shared" si="2"/>
        <v>rtdc.l.rtdc.4045:itc</v>
      </c>
      <c r="G113" s="8">
        <f t="shared" si="3"/>
        <v>42633.569247685184</v>
      </c>
    </row>
    <row r="114" spans="1:7" x14ac:dyDescent="0.25">
      <c r="A114" s="8">
        <v>42633.578599537039</v>
      </c>
      <c r="B114" s="23" t="s">
        <v>411</v>
      </c>
      <c r="C114" s="23" t="s">
        <v>494</v>
      </c>
      <c r="D114" s="23">
        <v>880000</v>
      </c>
      <c r="E114" s="23" t="s">
        <v>268</v>
      </c>
      <c r="F114" s="23" t="str">
        <f t="shared" si="2"/>
        <v>rtdc.l.rtdc.4013:itc</v>
      </c>
      <c r="G114" s="8">
        <f t="shared" si="3"/>
        <v>42633.578599537039</v>
      </c>
    </row>
    <row r="115" spans="1:7" x14ac:dyDescent="0.25">
      <c r="A115" s="8">
        <v>42633.579884259256</v>
      </c>
      <c r="B115" s="23" t="s">
        <v>390</v>
      </c>
      <c r="C115" s="23" t="s">
        <v>495</v>
      </c>
      <c r="D115" s="23">
        <v>930000</v>
      </c>
      <c r="E115" s="23" t="s">
        <v>269</v>
      </c>
      <c r="F115" s="23" t="str">
        <f t="shared" si="2"/>
        <v>rtdc.l.rtdc.4018:itc</v>
      </c>
      <c r="G115" s="8">
        <f t="shared" si="3"/>
        <v>42633.579884259256</v>
      </c>
    </row>
    <row r="116" spans="1:7" x14ac:dyDescent="0.25">
      <c r="A116" s="8">
        <v>42633.587650462963</v>
      </c>
      <c r="B116" s="23" t="s">
        <v>288</v>
      </c>
      <c r="C116" s="23" t="s">
        <v>496</v>
      </c>
      <c r="D116" s="23">
        <v>1540000</v>
      </c>
      <c r="E116" s="23" t="s">
        <v>466</v>
      </c>
      <c r="F116" s="23" t="str">
        <f t="shared" si="2"/>
        <v>rtdc.l.rtdc.4012:itc</v>
      </c>
      <c r="G116" s="8">
        <f t="shared" si="3"/>
        <v>42633.587650462963</v>
      </c>
    </row>
    <row r="117" spans="1:7" x14ac:dyDescent="0.25">
      <c r="A117" s="8">
        <v>42633.591793981483</v>
      </c>
      <c r="B117" s="23" t="s">
        <v>171</v>
      </c>
      <c r="C117" s="23" t="s">
        <v>497</v>
      </c>
      <c r="D117" s="23">
        <v>1740000</v>
      </c>
      <c r="E117" s="23" t="s">
        <v>478</v>
      </c>
      <c r="F117" s="23" t="str">
        <f t="shared" si="2"/>
        <v>rtdc.l.rtdc.4025:itc</v>
      </c>
      <c r="G117" s="8">
        <f t="shared" si="3"/>
        <v>42633.591793981483</v>
      </c>
    </row>
    <row r="118" spans="1:7" x14ac:dyDescent="0.25">
      <c r="A118" s="8">
        <v>42633.594363425924</v>
      </c>
      <c r="B118" s="23" t="s">
        <v>181</v>
      </c>
      <c r="C118" s="23" t="s">
        <v>498</v>
      </c>
      <c r="D118" s="23">
        <v>1770000</v>
      </c>
      <c r="E118" s="23" t="s">
        <v>290</v>
      </c>
      <c r="F118" s="23" t="str">
        <f t="shared" si="2"/>
        <v>rtdc.l.rtdc.4046:itc</v>
      </c>
      <c r="G118" s="8">
        <f t="shared" si="3"/>
        <v>42633.594363425924</v>
      </c>
    </row>
    <row r="119" spans="1:7" x14ac:dyDescent="0.25">
      <c r="A119" s="8">
        <v>42633.595555555556</v>
      </c>
      <c r="B119" s="23" t="s">
        <v>176</v>
      </c>
      <c r="C119" s="23" t="s">
        <v>499</v>
      </c>
      <c r="D119" s="23">
        <v>940000</v>
      </c>
      <c r="E119" s="23" t="s">
        <v>323</v>
      </c>
      <c r="F119" s="23" t="str">
        <f t="shared" si="2"/>
        <v>rtdc.l.rtdc.4041:itc</v>
      </c>
      <c r="G119" s="8">
        <f t="shared" si="3"/>
        <v>42633.595555555556</v>
      </c>
    </row>
    <row r="120" spans="1:7" x14ac:dyDescent="0.25">
      <c r="A120" s="8">
        <v>42633.600983796299</v>
      </c>
      <c r="B120" s="23" t="s">
        <v>128</v>
      </c>
      <c r="C120" s="23" t="s">
        <v>500</v>
      </c>
      <c r="D120" s="23">
        <v>1280000</v>
      </c>
      <c r="E120" s="23" t="s">
        <v>289</v>
      </c>
      <c r="F120" s="23" t="str">
        <f t="shared" si="2"/>
        <v>rtdc.l.rtdc.4009:itc</v>
      </c>
      <c r="G120" s="8">
        <f t="shared" si="3"/>
        <v>42633.600983796299</v>
      </c>
    </row>
    <row r="121" spans="1:7" x14ac:dyDescent="0.25">
      <c r="A121" s="8">
        <v>42633.606666666667</v>
      </c>
      <c r="B121" s="23" t="s">
        <v>267</v>
      </c>
      <c r="C121" s="23" t="s">
        <v>501</v>
      </c>
      <c r="D121" s="23">
        <v>1140000</v>
      </c>
      <c r="E121" s="23" t="s">
        <v>324</v>
      </c>
      <c r="F121" s="23" t="str">
        <f t="shared" si="2"/>
        <v>rtdc.l.rtdc.4004:itc</v>
      </c>
      <c r="G121" s="8">
        <f t="shared" si="3"/>
        <v>42633.606666666667</v>
      </c>
    </row>
    <row r="122" spans="1:7" x14ac:dyDescent="0.25">
      <c r="A122" s="8">
        <v>42633.609953703701</v>
      </c>
      <c r="B122" s="28" t="s">
        <v>262</v>
      </c>
      <c r="C122" s="23" t="s">
        <v>502</v>
      </c>
      <c r="D122" s="23">
        <v>1770000</v>
      </c>
      <c r="E122" s="23" t="s">
        <v>290</v>
      </c>
      <c r="F122" s="23" t="str">
        <f t="shared" si="2"/>
        <v>rtdc.l.rtdc.4045:itc</v>
      </c>
      <c r="G122" s="8">
        <f t="shared" si="3"/>
        <v>42633.609953703701</v>
      </c>
    </row>
    <row r="123" spans="1:7" x14ac:dyDescent="0.25">
      <c r="A123" s="8">
        <v>42633.612615740742</v>
      </c>
      <c r="B123" s="23" t="s">
        <v>381</v>
      </c>
      <c r="C123" s="23" t="s">
        <v>503</v>
      </c>
      <c r="D123" s="23">
        <v>880000</v>
      </c>
      <c r="E123" s="23" t="s">
        <v>268</v>
      </c>
      <c r="F123" s="23" t="str">
        <f t="shared" si="2"/>
        <v>rtdc.l.rtdc.4014:itc</v>
      </c>
      <c r="G123" s="8">
        <f t="shared" si="3"/>
        <v>42633.612615740742</v>
      </c>
    </row>
    <row r="124" spans="1:7" x14ac:dyDescent="0.25">
      <c r="A124" s="8">
        <v>42633.617407407408</v>
      </c>
      <c r="B124" s="23" t="s">
        <v>379</v>
      </c>
      <c r="C124" s="23" t="s">
        <v>504</v>
      </c>
      <c r="D124" s="23">
        <v>930000</v>
      </c>
      <c r="E124" s="23" t="s">
        <v>269</v>
      </c>
      <c r="F124" s="23" t="str">
        <f t="shared" si="2"/>
        <v>rtdc.l.rtdc.4017:itc</v>
      </c>
      <c r="G124" s="8">
        <f t="shared" si="3"/>
        <v>42633.617407407408</v>
      </c>
    </row>
    <row r="125" spans="1:7" x14ac:dyDescent="0.25">
      <c r="A125" s="8">
        <v>42633.621724537035</v>
      </c>
      <c r="B125" s="23" t="s">
        <v>286</v>
      </c>
      <c r="C125" s="23" t="s">
        <v>505</v>
      </c>
      <c r="D125" s="23">
        <v>1540000</v>
      </c>
      <c r="E125" s="23" t="s">
        <v>466</v>
      </c>
      <c r="F125" s="23" t="str">
        <f t="shared" si="2"/>
        <v>rtdc.l.rtdc.4011:itc</v>
      </c>
      <c r="G125" s="8">
        <f t="shared" si="3"/>
        <v>42633.621724537035</v>
      </c>
    </row>
    <row r="126" spans="1:7" x14ac:dyDescent="0.25">
      <c r="A126" s="8">
        <v>42633.622928240744</v>
      </c>
      <c r="B126" s="23" t="s">
        <v>286</v>
      </c>
      <c r="C126" s="23" t="s">
        <v>505</v>
      </c>
      <c r="D126" s="23">
        <v>1540000</v>
      </c>
      <c r="E126" s="23" t="s">
        <v>466</v>
      </c>
      <c r="F126" s="23" t="str">
        <f t="shared" si="2"/>
        <v>rtdc.l.rtdc.4011:itc</v>
      </c>
      <c r="G126" s="8">
        <f t="shared" si="3"/>
        <v>42633.622928240744</v>
      </c>
    </row>
    <row r="127" spans="1:7" x14ac:dyDescent="0.25">
      <c r="A127" s="8">
        <v>42633.624675925923</v>
      </c>
      <c r="B127" s="23" t="s">
        <v>172</v>
      </c>
      <c r="C127" s="23" t="s">
        <v>506</v>
      </c>
      <c r="D127" s="23">
        <v>1740000</v>
      </c>
      <c r="E127" s="23" t="s">
        <v>478</v>
      </c>
      <c r="F127" s="23" t="str">
        <f t="shared" si="2"/>
        <v>rtdc.l.rtdc.4026:itc</v>
      </c>
      <c r="G127" s="8">
        <f t="shared" si="3"/>
        <v>42633.624675925923</v>
      </c>
    </row>
    <row r="128" spans="1:7" x14ac:dyDescent="0.25">
      <c r="A128" s="8">
        <v>42633.631967592592</v>
      </c>
      <c r="B128" s="23" t="s">
        <v>177</v>
      </c>
      <c r="C128" s="23" t="s">
        <v>507</v>
      </c>
      <c r="D128" s="23">
        <v>1280000</v>
      </c>
      <c r="E128" s="23" t="s">
        <v>289</v>
      </c>
      <c r="F128" s="23" t="str">
        <f t="shared" si="2"/>
        <v>rtdc.l.rtdc.4010:itc</v>
      </c>
      <c r="G128" s="8">
        <f t="shared" si="3"/>
        <v>42633.631967592592</v>
      </c>
    </row>
    <row r="129" spans="1:7" x14ac:dyDescent="0.25">
      <c r="A129" s="8">
        <v>42633.632314814815</v>
      </c>
      <c r="B129" s="23" t="s">
        <v>178</v>
      </c>
      <c r="C129" s="23" t="s">
        <v>508</v>
      </c>
      <c r="D129" s="23">
        <v>940000</v>
      </c>
      <c r="E129" s="23" t="s">
        <v>323</v>
      </c>
      <c r="F129" s="23" t="str">
        <f t="shared" si="2"/>
        <v>rtdc.l.rtdc.4042:itc</v>
      </c>
      <c r="G129" s="8">
        <f t="shared" si="3"/>
        <v>42633.632314814815</v>
      </c>
    </row>
    <row r="130" spans="1:7" x14ac:dyDescent="0.25">
      <c r="A130" s="8">
        <v>42633.63726851852</v>
      </c>
      <c r="B130" s="23" t="s">
        <v>181</v>
      </c>
      <c r="C130" s="23" t="s">
        <v>509</v>
      </c>
      <c r="D130" s="23">
        <v>1770000</v>
      </c>
      <c r="E130" s="23" t="s">
        <v>290</v>
      </c>
      <c r="F130" s="23" t="str">
        <f t="shared" ref="F130:F193" si="4">B130</f>
        <v>rtdc.l.rtdc.4046:itc</v>
      </c>
      <c r="G130" s="8">
        <f t="shared" ref="G130:G193" si="5">A130</f>
        <v>42633.63726851852</v>
      </c>
    </row>
    <row r="131" spans="1:7" x14ac:dyDescent="0.25">
      <c r="A131" s="8">
        <v>42633.641041666669</v>
      </c>
      <c r="B131" s="23" t="s">
        <v>164</v>
      </c>
      <c r="C131" s="23" t="s">
        <v>510</v>
      </c>
      <c r="D131" s="23">
        <v>1480000</v>
      </c>
      <c r="E131" s="23" t="s">
        <v>249</v>
      </c>
      <c r="F131" s="23" t="str">
        <f t="shared" si="4"/>
        <v>rtdc.l.rtdc.4019:itc</v>
      </c>
      <c r="G131" s="8">
        <f t="shared" si="5"/>
        <v>42633.641041666669</v>
      </c>
    </row>
    <row r="132" spans="1:7" x14ac:dyDescent="0.25">
      <c r="A132" s="8">
        <v>42633.644606481481</v>
      </c>
      <c r="B132" s="23" t="s">
        <v>264</v>
      </c>
      <c r="C132" s="23" t="s">
        <v>511</v>
      </c>
      <c r="D132" s="23">
        <v>1140000</v>
      </c>
      <c r="E132" s="23" t="s">
        <v>324</v>
      </c>
      <c r="F132" s="23" t="str">
        <f t="shared" si="4"/>
        <v>rtdc.l.rtdc.4003:itc</v>
      </c>
      <c r="G132" s="8">
        <f t="shared" si="5"/>
        <v>42633.644606481481</v>
      </c>
    </row>
    <row r="133" spans="1:7" x14ac:dyDescent="0.25">
      <c r="A133" s="8">
        <v>42633.649953703702</v>
      </c>
      <c r="B133" s="23" t="s">
        <v>411</v>
      </c>
      <c r="C133" s="23" t="s">
        <v>512</v>
      </c>
      <c r="D133" s="23">
        <v>880000</v>
      </c>
      <c r="E133" s="23" t="s">
        <v>268</v>
      </c>
      <c r="F133" s="23" t="str">
        <f t="shared" si="4"/>
        <v>rtdc.l.rtdc.4013:itc</v>
      </c>
      <c r="G133" s="8">
        <f t="shared" si="5"/>
        <v>42633.649953703702</v>
      </c>
    </row>
    <row r="134" spans="1:7" x14ac:dyDescent="0.25">
      <c r="A134" s="8">
        <v>42633.653124999997</v>
      </c>
      <c r="B134" s="23" t="s">
        <v>262</v>
      </c>
      <c r="C134" s="23" t="s">
        <v>513</v>
      </c>
      <c r="D134" s="23">
        <v>1770000</v>
      </c>
      <c r="E134" s="23" t="s">
        <v>290</v>
      </c>
      <c r="F134" s="23" t="str">
        <f t="shared" si="4"/>
        <v>rtdc.l.rtdc.4045:itc</v>
      </c>
      <c r="G134" s="8">
        <f t="shared" si="5"/>
        <v>42633.653124999997</v>
      </c>
    </row>
    <row r="135" spans="1:7" x14ac:dyDescent="0.25">
      <c r="A135" s="8">
        <v>42633.65320601852</v>
      </c>
      <c r="B135" s="23" t="s">
        <v>390</v>
      </c>
      <c r="C135" s="23" t="s">
        <v>514</v>
      </c>
      <c r="D135" s="23">
        <v>930000</v>
      </c>
      <c r="E135" s="23" t="s">
        <v>269</v>
      </c>
      <c r="F135" s="23" t="str">
        <f t="shared" si="4"/>
        <v>rtdc.l.rtdc.4018:itc</v>
      </c>
      <c r="G135" s="8">
        <f t="shared" si="5"/>
        <v>42633.65320601852</v>
      </c>
    </row>
    <row r="136" spans="1:7" x14ac:dyDescent="0.25">
      <c r="A136" s="8">
        <v>42633.655185185184</v>
      </c>
      <c r="B136" s="23" t="s">
        <v>165</v>
      </c>
      <c r="C136" s="23" t="s">
        <v>515</v>
      </c>
      <c r="D136" s="23">
        <v>1480000</v>
      </c>
      <c r="E136" s="23" t="s">
        <v>249</v>
      </c>
      <c r="F136" s="23" t="str">
        <f t="shared" si="4"/>
        <v>rtdc.l.rtdc.4020:itc</v>
      </c>
      <c r="G136" s="8">
        <f t="shared" si="5"/>
        <v>42633.655185185184</v>
      </c>
    </row>
    <row r="137" spans="1:7" x14ac:dyDescent="0.25">
      <c r="A137" s="8">
        <v>42633.660439814812</v>
      </c>
      <c r="B137" s="23" t="s">
        <v>288</v>
      </c>
      <c r="C137" s="23" t="s">
        <v>516</v>
      </c>
      <c r="D137" s="23">
        <v>1540000</v>
      </c>
      <c r="E137" s="23" t="s">
        <v>466</v>
      </c>
      <c r="F137" s="23" t="str">
        <f t="shared" si="4"/>
        <v>rtdc.l.rtdc.4012:itc</v>
      </c>
      <c r="G137" s="8">
        <f t="shared" si="5"/>
        <v>42633.660439814812</v>
      </c>
    </row>
    <row r="138" spans="1:7" x14ac:dyDescent="0.25">
      <c r="A138" s="8">
        <v>42633.662673611114</v>
      </c>
      <c r="B138" s="23" t="s">
        <v>171</v>
      </c>
      <c r="C138" s="23" t="s">
        <v>517</v>
      </c>
      <c r="D138" s="23">
        <v>1740000</v>
      </c>
      <c r="E138" s="23" t="s">
        <v>478</v>
      </c>
      <c r="F138" s="23" t="str">
        <f t="shared" si="4"/>
        <v>rtdc.l.rtdc.4025:itc</v>
      </c>
      <c r="G138" s="8">
        <f t="shared" si="5"/>
        <v>42633.662673611114</v>
      </c>
    </row>
    <row r="139" spans="1:7" x14ac:dyDescent="0.25">
      <c r="A139" s="8">
        <v>42633.669085648151</v>
      </c>
      <c r="B139" s="23" t="s">
        <v>176</v>
      </c>
      <c r="C139" s="23" t="s">
        <v>518</v>
      </c>
      <c r="D139" s="23">
        <v>940000</v>
      </c>
      <c r="E139" s="23" t="s">
        <v>323</v>
      </c>
      <c r="F139" s="23" t="str">
        <f t="shared" si="4"/>
        <v>rtdc.l.rtdc.4041:itc</v>
      </c>
      <c r="G139" s="8">
        <f t="shared" si="5"/>
        <v>42633.669085648151</v>
      </c>
    </row>
    <row r="140" spans="1:7" x14ac:dyDescent="0.25">
      <c r="A140" s="8">
        <v>42633.672939814816</v>
      </c>
      <c r="B140" s="23" t="s">
        <v>164</v>
      </c>
      <c r="C140" s="23" t="s">
        <v>519</v>
      </c>
      <c r="D140" s="23">
        <v>1480000</v>
      </c>
      <c r="E140" s="23" t="s">
        <v>249</v>
      </c>
      <c r="F140" s="23" t="str">
        <f t="shared" si="4"/>
        <v>rtdc.l.rtdc.4019:itc</v>
      </c>
      <c r="G140" s="8">
        <f t="shared" si="5"/>
        <v>42633.672939814816</v>
      </c>
    </row>
    <row r="141" spans="1:7" x14ac:dyDescent="0.25">
      <c r="A141" s="8">
        <v>42633.673564814817</v>
      </c>
      <c r="B141" s="23" t="s">
        <v>128</v>
      </c>
      <c r="C141" s="23" t="s">
        <v>520</v>
      </c>
      <c r="D141" s="23">
        <v>1280000</v>
      </c>
      <c r="E141" s="23" t="s">
        <v>289</v>
      </c>
      <c r="F141" s="23" t="str">
        <f t="shared" si="4"/>
        <v>rtdc.l.rtdc.4009:itc</v>
      </c>
      <c r="G141" s="8">
        <f t="shared" si="5"/>
        <v>42633.673564814817</v>
      </c>
    </row>
    <row r="142" spans="1:7" x14ac:dyDescent="0.25">
      <c r="A142" s="8">
        <v>42633.677199074074</v>
      </c>
      <c r="B142" s="23" t="s">
        <v>181</v>
      </c>
      <c r="C142" s="23" t="s">
        <v>521</v>
      </c>
      <c r="D142" s="23">
        <v>1770000</v>
      </c>
      <c r="E142" s="23" t="s">
        <v>290</v>
      </c>
      <c r="F142" s="23" t="str">
        <f t="shared" si="4"/>
        <v>rtdc.l.rtdc.4046:itc</v>
      </c>
      <c r="G142" s="8">
        <f t="shared" si="5"/>
        <v>42633.677199074074</v>
      </c>
    </row>
    <row r="143" spans="1:7" x14ac:dyDescent="0.25">
      <c r="A143" s="8">
        <v>42633.677418981482</v>
      </c>
      <c r="B143" s="23" t="s">
        <v>267</v>
      </c>
      <c r="C143" s="23" t="s">
        <v>522</v>
      </c>
      <c r="D143" s="23">
        <v>1140000</v>
      </c>
      <c r="E143" s="23" t="s">
        <v>324</v>
      </c>
      <c r="F143" s="23" t="str">
        <f t="shared" si="4"/>
        <v>rtdc.l.rtdc.4004:itc</v>
      </c>
      <c r="G143" s="8">
        <f t="shared" si="5"/>
        <v>42633.677418981482</v>
      </c>
    </row>
    <row r="144" spans="1:7" x14ac:dyDescent="0.25">
      <c r="A144" s="8">
        <v>42633.685752314814</v>
      </c>
      <c r="B144" s="23" t="s">
        <v>381</v>
      </c>
      <c r="C144" s="23" t="s">
        <v>523</v>
      </c>
      <c r="D144" s="23">
        <v>880000</v>
      </c>
      <c r="E144" s="23" t="s">
        <v>268</v>
      </c>
      <c r="F144" s="23" t="str">
        <f t="shared" si="4"/>
        <v>rtdc.l.rtdc.4014:itc</v>
      </c>
      <c r="G144" s="8">
        <f t="shared" si="5"/>
        <v>42633.685752314814</v>
      </c>
    </row>
    <row r="145" spans="1:7" x14ac:dyDescent="0.25">
      <c r="A145" s="8">
        <v>42633.690393518518</v>
      </c>
      <c r="B145" s="23" t="s">
        <v>379</v>
      </c>
      <c r="C145" s="23" t="s">
        <v>524</v>
      </c>
      <c r="D145" s="23">
        <v>930000</v>
      </c>
      <c r="E145" s="23" t="s">
        <v>269</v>
      </c>
      <c r="F145" s="23" t="str">
        <f t="shared" si="4"/>
        <v>rtdc.l.rtdc.4017:itc</v>
      </c>
      <c r="G145" s="8">
        <f t="shared" si="5"/>
        <v>42633.690393518518</v>
      </c>
    </row>
    <row r="146" spans="1:7" x14ac:dyDescent="0.25">
      <c r="A146" s="8">
        <v>42633.693796296298</v>
      </c>
      <c r="B146" s="23" t="s">
        <v>262</v>
      </c>
      <c r="C146" s="23" t="s">
        <v>525</v>
      </c>
      <c r="D146" s="23">
        <v>1770000</v>
      </c>
      <c r="E146" s="23" t="s">
        <v>290</v>
      </c>
      <c r="F146" s="23" t="str">
        <f t="shared" si="4"/>
        <v>rtdc.l.rtdc.4045:itc</v>
      </c>
      <c r="G146" s="8">
        <f t="shared" si="5"/>
        <v>42633.693796296298</v>
      </c>
    </row>
    <row r="147" spans="1:7" x14ac:dyDescent="0.25">
      <c r="A147" s="8">
        <v>42633.694120370368</v>
      </c>
      <c r="B147" s="23" t="s">
        <v>286</v>
      </c>
      <c r="C147" s="23" t="s">
        <v>526</v>
      </c>
      <c r="D147" s="23">
        <v>1540000</v>
      </c>
      <c r="E147" s="23" t="s">
        <v>466</v>
      </c>
      <c r="F147" s="23" t="str">
        <f t="shared" si="4"/>
        <v>rtdc.l.rtdc.4011:itc</v>
      </c>
      <c r="G147" s="8">
        <f t="shared" si="5"/>
        <v>42633.694120370368</v>
      </c>
    </row>
    <row r="148" spans="1:7" x14ac:dyDescent="0.25">
      <c r="A148" s="8">
        <v>42633.69427083333</v>
      </c>
      <c r="B148" s="23" t="s">
        <v>483</v>
      </c>
      <c r="C148" s="23" t="s">
        <v>527</v>
      </c>
      <c r="D148" s="23">
        <v>1180000</v>
      </c>
      <c r="E148" s="23" t="s">
        <v>301</v>
      </c>
      <c r="F148" s="23" t="str">
        <f t="shared" si="4"/>
        <v>rtdc.l.rtdc.4005:itc</v>
      </c>
      <c r="G148" s="8">
        <f t="shared" si="5"/>
        <v>42633.69427083333</v>
      </c>
    </row>
    <row r="149" spans="1:7" x14ac:dyDescent="0.25">
      <c r="A149" s="8">
        <v>42633.697233796294</v>
      </c>
      <c r="B149" s="23" t="s">
        <v>483</v>
      </c>
      <c r="C149" s="23" t="s">
        <v>527</v>
      </c>
      <c r="D149" s="23">
        <v>1180000</v>
      </c>
      <c r="E149" s="23" t="s">
        <v>301</v>
      </c>
      <c r="F149" s="23" t="str">
        <f t="shared" si="4"/>
        <v>rtdc.l.rtdc.4005:itc</v>
      </c>
      <c r="G149" s="8">
        <f t="shared" si="5"/>
        <v>42633.697233796294</v>
      </c>
    </row>
    <row r="150" spans="1:7" x14ac:dyDescent="0.25">
      <c r="A150" s="8">
        <v>42633.698020833333</v>
      </c>
      <c r="B150" s="23" t="s">
        <v>165</v>
      </c>
      <c r="C150" s="23" t="s">
        <v>528</v>
      </c>
      <c r="D150" s="23">
        <v>1480000</v>
      </c>
      <c r="E150" s="23" t="s">
        <v>249</v>
      </c>
      <c r="F150" s="23" t="str">
        <f t="shared" si="4"/>
        <v>rtdc.l.rtdc.4020:itc</v>
      </c>
      <c r="G150" s="8">
        <f t="shared" si="5"/>
        <v>42633.698020833333</v>
      </c>
    </row>
    <row r="151" spans="1:7" x14ac:dyDescent="0.25">
      <c r="A151" s="8">
        <v>42633.702662037038</v>
      </c>
      <c r="B151" s="23" t="s">
        <v>172</v>
      </c>
      <c r="C151" s="23" t="s">
        <v>529</v>
      </c>
      <c r="D151" s="23">
        <v>1740000</v>
      </c>
      <c r="E151" s="23" t="s">
        <v>478</v>
      </c>
      <c r="F151" s="23" t="str">
        <f t="shared" si="4"/>
        <v>rtdc.l.rtdc.4026:itc</v>
      </c>
      <c r="G151" s="8">
        <f t="shared" si="5"/>
        <v>42633.702662037038</v>
      </c>
    </row>
    <row r="152" spans="1:7" x14ac:dyDescent="0.25">
      <c r="A152" s="8">
        <v>42633.704976851855</v>
      </c>
      <c r="B152" s="23" t="s">
        <v>178</v>
      </c>
      <c r="C152" s="23" t="s">
        <v>530</v>
      </c>
      <c r="D152" s="23">
        <v>940000</v>
      </c>
      <c r="E152" s="23" t="s">
        <v>323</v>
      </c>
      <c r="F152" s="23" t="str">
        <f t="shared" si="4"/>
        <v>rtdc.l.rtdc.4042:itc</v>
      </c>
      <c r="G152" s="8">
        <f t="shared" si="5"/>
        <v>42633.704976851855</v>
      </c>
    </row>
    <row r="153" spans="1:7" x14ac:dyDescent="0.25">
      <c r="A153" s="8">
        <v>42633.71261574074</v>
      </c>
      <c r="B153" s="23" t="s">
        <v>177</v>
      </c>
      <c r="C153" s="23" t="s">
        <v>531</v>
      </c>
      <c r="D153" s="23">
        <v>1280000</v>
      </c>
      <c r="E153" s="23" t="s">
        <v>289</v>
      </c>
      <c r="F153" s="23" t="str">
        <f t="shared" si="4"/>
        <v>rtdc.l.rtdc.4010:itc</v>
      </c>
      <c r="G153" s="8">
        <f t="shared" si="5"/>
        <v>42633.71261574074</v>
      </c>
    </row>
    <row r="154" spans="1:7" x14ac:dyDescent="0.25">
      <c r="A154" s="8">
        <v>42633.715196759258</v>
      </c>
      <c r="B154" s="23" t="s">
        <v>164</v>
      </c>
      <c r="C154" s="23" t="s">
        <v>532</v>
      </c>
      <c r="D154" s="23">
        <v>1480000</v>
      </c>
      <c r="E154" s="23" t="s">
        <v>249</v>
      </c>
      <c r="F154" s="23" t="str">
        <f t="shared" si="4"/>
        <v>rtdc.l.rtdc.4019:itc</v>
      </c>
      <c r="G154" s="8">
        <f t="shared" si="5"/>
        <v>42633.715196759258</v>
      </c>
    </row>
    <row r="155" spans="1:7" x14ac:dyDescent="0.25">
      <c r="A155" s="8">
        <v>42633.716504629629</v>
      </c>
      <c r="B155" s="23" t="s">
        <v>264</v>
      </c>
      <c r="C155" s="23" t="s">
        <v>533</v>
      </c>
      <c r="D155" s="23">
        <v>1180000</v>
      </c>
      <c r="E155" s="23" t="s">
        <v>301</v>
      </c>
      <c r="F155" s="23" t="str">
        <f t="shared" si="4"/>
        <v>rtdc.l.rtdc.4003:itc</v>
      </c>
      <c r="G155" s="8">
        <f t="shared" si="5"/>
        <v>42633.716504629629</v>
      </c>
    </row>
    <row r="156" spans="1:7" x14ac:dyDescent="0.25">
      <c r="A156" s="8">
        <v>42633.719293981485</v>
      </c>
      <c r="B156" s="23" t="s">
        <v>181</v>
      </c>
      <c r="C156" s="23" t="s">
        <v>534</v>
      </c>
      <c r="D156" s="23">
        <v>1770000</v>
      </c>
      <c r="E156" s="23" t="s">
        <v>290</v>
      </c>
      <c r="F156" s="23" t="str">
        <f t="shared" si="4"/>
        <v>rtdc.l.rtdc.4046:itc</v>
      </c>
      <c r="G156" s="8">
        <f t="shared" si="5"/>
        <v>42633.719293981485</v>
      </c>
    </row>
    <row r="157" spans="1:7" x14ac:dyDescent="0.25">
      <c r="A157" s="8">
        <v>42633.724120370367</v>
      </c>
      <c r="B157" s="23" t="s">
        <v>411</v>
      </c>
      <c r="C157" s="23" t="s">
        <v>535</v>
      </c>
      <c r="D157" s="23">
        <v>880000</v>
      </c>
      <c r="E157" s="23" t="s">
        <v>268</v>
      </c>
      <c r="F157" s="23" t="str">
        <f t="shared" si="4"/>
        <v>rtdc.l.rtdc.4013:itc</v>
      </c>
      <c r="G157" s="8">
        <f t="shared" si="5"/>
        <v>42633.724120370367</v>
      </c>
    </row>
    <row r="158" spans="1:7" x14ac:dyDescent="0.25">
      <c r="A158" s="8">
        <v>42633.728715277779</v>
      </c>
      <c r="B158" s="23" t="s">
        <v>390</v>
      </c>
      <c r="C158" s="23" t="s">
        <v>536</v>
      </c>
      <c r="D158" s="23">
        <v>1140000</v>
      </c>
      <c r="E158" s="23" t="s">
        <v>324</v>
      </c>
      <c r="F158" s="23" t="str">
        <f t="shared" si="4"/>
        <v>rtdc.l.rtdc.4018:itc</v>
      </c>
      <c r="G158" s="8">
        <f t="shared" si="5"/>
        <v>42633.728715277779</v>
      </c>
    </row>
    <row r="159" spans="1:7" x14ac:dyDescent="0.25">
      <c r="A159" s="8">
        <v>42633.731412037036</v>
      </c>
      <c r="B159" s="23" t="s">
        <v>322</v>
      </c>
      <c r="C159" s="23" t="s">
        <v>537</v>
      </c>
      <c r="D159" s="23">
        <v>1230000</v>
      </c>
      <c r="E159" s="23" t="s">
        <v>270</v>
      </c>
      <c r="F159" s="23" t="str">
        <f t="shared" si="4"/>
        <v>rtdc.l.rtdc.4021:itc</v>
      </c>
      <c r="G159" s="8">
        <f t="shared" si="5"/>
        <v>42633.731412037036</v>
      </c>
    </row>
    <row r="160" spans="1:7" x14ac:dyDescent="0.25">
      <c r="A160" s="8">
        <v>42633.733298611114</v>
      </c>
      <c r="B160" s="23" t="s">
        <v>288</v>
      </c>
      <c r="C160" s="23" t="s">
        <v>538</v>
      </c>
      <c r="D160" s="23">
        <v>1540000</v>
      </c>
      <c r="E160" s="23" t="s">
        <v>466</v>
      </c>
      <c r="F160" s="23" t="str">
        <f t="shared" si="4"/>
        <v>rtdc.l.rtdc.4012:itc</v>
      </c>
      <c r="G160" s="8">
        <f t="shared" si="5"/>
        <v>42633.733298611114</v>
      </c>
    </row>
    <row r="161" spans="1:7" x14ac:dyDescent="0.25">
      <c r="A161" s="8">
        <v>42633.735196759262</v>
      </c>
      <c r="B161" s="23" t="s">
        <v>470</v>
      </c>
      <c r="C161" s="23" t="s">
        <v>539</v>
      </c>
      <c r="D161" s="23">
        <v>930000</v>
      </c>
      <c r="E161" s="23" t="s">
        <v>269</v>
      </c>
      <c r="F161" s="23" t="str">
        <f t="shared" si="4"/>
        <v>rtdc.l.rtdc.4006:itc</v>
      </c>
      <c r="G161" s="8">
        <f t="shared" si="5"/>
        <v>42633.735196759262</v>
      </c>
    </row>
    <row r="162" spans="1:7" x14ac:dyDescent="0.25">
      <c r="A162" s="8">
        <v>42633.735300925924</v>
      </c>
      <c r="B162" s="23" t="s">
        <v>262</v>
      </c>
      <c r="C162" s="23" t="s">
        <v>540</v>
      </c>
      <c r="D162" s="23">
        <v>1770000</v>
      </c>
      <c r="E162" s="23" t="s">
        <v>290</v>
      </c>
      <c r="F162" s="23" t="str">
        <f t="shared" si="4"/>
        <v>rtdc.l.rtdc.4045:itc</v>
      </c>
      <c r="G162" s="8">
        <f t="shared" si="5"/>
        <v>42633.735300925924</v>
      </c>
    </row>
    <row r="163" spans="1:7" x14ac:dyDescent="0.25">
      <c r="A163" s="8">
        <v>42633.736192129632</v>
      </c>
      <c r="B163" s="23" t="s">
        <v>321</v>
      </c>
      <c r="C163" s="23" t="s">
        <v>541</v>
      </c>
      <c r="D163" s="23">
        <v>2280000</v>
      </c>
      <c r="E163" s="23" t="s">
        <v>542</v>
      </c>
      <c r="F163" s="23" t="str">
        <f t="shared" si="4"/>
        <v>rtdc.l.rtdc.4054:itc</v>
      </c>
      <c r="G163" s="8">
        <f t="shared" si="5"/>
        <v>42633.736192129632</v>
      </c>
    </row>
    <row r="164" spans="1:7" x14ac:dyDescent="0.25">
      <c r="A164" s="8">
        <v>42633.73778935185</v>
      </c>
      <c r="B164" s="23" t="s">
        <v>171</v>
      </c>
      <c r="C164" s="23" t="s">
        <v>543</v>
      </c>
      <c r="D164" s="23">
        <v>1290000</v>
      </c>
      <c r="E164" s="23" t="s">
        <v>173</v>
      </c>
      <c r="F164" s="23" t="str">
        <f t="shared" si="4"/>
        <v>rtdc.l.rtdc.4025:itc</v>
      </c>
      <c r="G164" s="8">
        <f t="shared" si="5"/>
        <v>42633.73778935185</v>
      </c>
    </row>
    <row r="165" spans="1:7" x14ac:dyDescent="0.25">
      <c r="A165" s="8">
        <v>42633.739398148151</v>
      </c>
      <c r="B165" s="23" t="s">
        <v>176</v>
      </c>
      <c r="C165" s="23" t="s">
        <v>544</v>
      </c>
      <c r="D165" s="23">
        <v>940000</v>
      </c>
      <c r="E165" s="23" t="s">
        <v>323</v>
      </c>
      <c r="F165" s="23" t="str">
        <f t="shared" si="4"/>
        <v>rtdc.l.rtdc.4041:itc</v>
      </c>
      <c r="G165" s="8">
        <f t="shared" si="5"/>
        <v>42633.739398148151</v>
      </c>
    </row>
    <row r="166" spans="1:7" x14ac:dyDescent="0.25">
      <c r="A166" s="8">
        <v>42633.740324074075</v>
      </c>
      <c r="B166" s="23" t="s">
        <v>165</v>
      </c>
      <c r="C166" s="23" t="s">
        <v>545</v>
      </c>
      <c r="D166" s="23">
        <v>1480000</v>
      </c>
      <c r="E166" s="23" t="s">
        <v>249</v>
      </c>
      <c r="F166" s="23" t="str">
        <f t="shared" si="4"/>
        <v>rtdc.l.rtdc.4020:itc</v>
      </c>
      <c r="G166" s="8">
        <f t="shared" si="5"/>
        <v>42633.740324074075</v>
      </c>
    </row>
    <row r="167" spans="1:7" x14ac:dyDescent="0.25">
      <c r="A167" s="8">
        <v>42633.746041666665</v>
      </c>
      <c r="B167" s="23" t="s">
        <v>128</v>
      </c>
      <c r="C167" s="23" t="s">
        <v>546</v>
      </c>
      <c r="D167" s="23">
        <v>1740000</v>
      </c>
      <c r="E167" s="23" t="s">
        <v>478</v>
      </c>
      <c r="F167" s="23" t="str">
        <f t="shared" si="4"/>
        <v>rtdc.l.rtdc.4009:itc</v>
      </c>
      <c r="G167" s="8">
        <f t="shared" si="5"/>
        <v>42633.746041666665</v>
      </c>
    </row>
    <row r="168" spans="1:7" x14ac:dyDescent="0.25">
      <c r="A168" s="8">
        <v>42633.752835648149</v>
      </c>
      <c r="B168" s="23" t="s">
        <v>267</v>
      </c>
      <c r="C168" s="23" t="s">
        <v>547</v>
      </c>
      <c r="D168" s="23">
        <v>1180000</v>
      </c>
      <c r="E168" s="23" t="s">
        <v>301</v>
      </c>
      <c r="F168" s="23" t="str">
        <f t="shared" si="4"/>
        <v>rtdc.l.rtdc.4004:itc</v>
      </c>
      <c r="G168" s="8">
        <f t="shared" si="5"/>
        <v>42633.752835648149</v>
      </c>
    </row>
    <row r="169" spans="1:7" x14ac:dyDescent="0.25">
      <c r="A169" s="8">
        <v>42633.756886574076</v>
      </c>
      <c r="B169" s="23" t="s">
        <v>164</v>
      </c>
      <c r="C169" s="23" t="s">
        <v>548</v>
      </c>
      <c r="D169" s="23">
        <v>1480000</v>
      </c>
      <c r="E169" s="23" t="s">
        <v>249</v>
      </c>
      <c r="F169" s="23" t="str">
        <f t="shared" si="4"/>
        <v>rtdc.l.rtdc.4019:itc</v>
      </c>
      <c r="G169" s="8">
        <f t="shared" si="5"/>
        <v>42633.756886574076</v>
      </c>
    </row>
    <row r="170" spans="1:7" x14ac:dyDescent="0.25">
      <c r="A170" s="8">
        <v>42633.757291666669</v>
      </c>
      <c r="B170" s="23" t="s">
        <v>381</v>
      </c>
      <c r="C170" s="23" t="s">
        <v>549</v>
      </c>
      <c r="D170" s="23">
        <v>1230000</v>
      </c>
      <c r="E170" s="23" t="s">
        <v>270</v>
      </c>
      <c r="F170" s="23" t="str">
        <f t="shared" si="4"/>
        <v>rtdc.l.rtdc.4014:itc</v>
      </c>
      <c r="G170" s="8">
        <f t="shared" si="5"/>
        <v>42633.757291666669</v>
      </c>
    </row>
    <row r="171" spans="1:7" x14ac:dyDescent="0.25">
      <c r="A171" s="8">
        <v>42633.760844907411</v>
      </c>
      <c r="B171" s="23" t="s">
        <v>181</v>
      </c>
      <c r="C171" s="23" t="s">
        <v>550</v>
      </c>
      <c r="D171" s="23">
        <v>1770000</v>
      </c>
      <c r="E171" s="23" t="s">
        <v>290</v>
      </c>
      <c r="F171" s="23" t="str">
        <f t="shared" si="4"/>
        <v>rtdc.l.rtdc.4046:itc</v>
      </c>
      <c r="G171" s="8">
        <f t="shared" si="5"/>
        <v>42633.760844907411</v>
      </c>
    </row>
    <row r="172" spans="1:7" x14ac:dyDescent="0.25">
      <c r="A172" s="8">
        <v>42633.762465277781</v>
      </c>
      <c r="B172" s="23" t="s">
        <v>379</v>
      </c>
      <c r="C172" s="23" t="s">
        <v>551</v>
      </c>
      <c r="D172" s="23">
        <v>1140000</v>
      </c>
      <c r="E172" s="23" t="s">
        <v>324</v>
      </c>
      <c r="F172" s="23" t="str">
        <f t="shared" si="4"/>
        <v>rtdc.l.rtdc.4017:itc</v>
      </c>
      <c r="G172" s="8">
        <f t="shared" si="5"/>
        <v>42633.762465277781</v>
      </c>
    </row>
    <row r="173" spans="1:7" x14ac:dyDescent="0.25">
      <c r="A173" s="8">
        <v>42633.762986111113</v>
      </c>
      <c r="B173" s="23" t="s">
        <v>461</v>
      </c>
      <c r="C173" s="23" t="s">
        <v>552</v>
      </c>
      <c r="D173" s="23">
        <v>880000</v>
      </c>
      <c r="E173" s="23" t="s">
        <v>268</v>
      </c>
      <c r="F173" s="23" t="str">
        <f t="shared" si="4"/>
        <v>rtdc.l.rtdc.4022:itc</v>
      </c>
      <c r="G173" s="8">
        <f t="shared" si="5"/>
        <v>42633.762986111113</v>
      </c>
    </row>
    <row r="174" spans="1:7" x14ac:dyDescent="0.25">
      <c r="A174" s="8">
        <v>42633.771377314813</v>
      </c>
      <c r="B174" s="23" t="s">
        <v>286</v>
      </c>
      <c r="C174" s="23" t="s">
        <v>553</v>
      </c>
      <c r="D174" s="23">
        <v>1800000</v>
      </c>
      <c r="E174" s="23" t="s">
        <v>271</v>
      </c>
      <c r="F174" s="23" t="str">
        <f t="shared" si="4"/>
        <v>rtdc.l.rtdc.4011:itc</v>
      </c>
      <c r="G174" s="8">
        <f t="shared" si="5"/>
        <v>42633.771377314813</v>
      </c>
    </row>
    <row r="175" spans="1:7" x14ac:dyDescent="0.25">
      <c r="A175" s="8">
        <v>42633.773726851854</v>
      </c>
      <c r="B175" s="23" t="s">
        <v>172</v>
      </c>
      <c r="C175" s="23" t="s">
        <v>554</v>
      </c>
      <c r="D175" s="23">
        <v>1290000</v>
      </c>
      <c r="E175" s="23" t="s">
        <v>173</v>
      </c>
      <c r="F175" s="23" t="str">
        <f t="shared" si="4"/>
        <v>rtdc.l.rtdc.4026:itc</v>
      </c>
      <c r="G175" s="8">
        <f t="shared" si="5"/>
        <v>42633.773726851854</v>
      </c>
    </row>
    <row r="176" spans="1:7" x14ac:dyDescent="0.25">
      <c r="A176" s="8">
        <v>42633.777615740742</v>
      </c>
      <c r="B176" s="23" t="s">
        <v>262</v>
      </c>
      <c r="C176" s="23" t="s">
        <v>555</v>
      </c>
      <c r="D176" s="23">
        <v>1770000</v>
      </c>
      <c r="E176" s="23" t="s">
        <v>290</v>
      </c>
      <c r="F176" s="23" t="str">
        <f t="shared" si="4"/>
        <v>rtdc.l.rtdc.4045:itc</v>
      </c>
      <c r="G176" s="8">
        <f t="shared" si="5"/>
        <v>42633.777615740742</v>
      </c>
    </row>
    <row r="177" spans="1:7" x14ac:dyDescent="0.25">
      <c r="A177" s="8">
        <v>42633.778414351851</v>
      </c>
      <c r="B177" s="23" t="s">
        <v>178</v>
      </c>
      <c r="C177" s="23" t="s">
        <v>556</v>
      </c>
      <c r="D177" s="23">
        <v>940000</v>
      </c>
      <c r="E177" s="23" t="s">
        <v>323</v>
      </c>
      <c r="F177" s="23" t="str">
        <f t="shared" si="4"/>
        <v>rtdc.l.rtdc.4042:itc</v>
      </c>
      <c r="G177" s="8">
        <f t="shared" si="5"/>
        <v>42633.778414351851</v>
      </c>
    </row>
    <row r="178" spans="1:7" x14ac:dyDescent="0.25">
      <c r="A178" s="8">
        <v>42633.779895833337</v>
      </c>
      <c r="B178" s="23" t="s">
        <v>165</v>
      </c>
      <c r="C178" s="23" t="s">
        <v>557</v>
      </c>
      <c r="D178" s="23">
        <v>1480000</v>
      </c>
      <c r="E178" s="23" t="s">
        <v>249</v>
      </c>
      <c r="F178" s="23" t="str">
        <f t="shared" si="4"/>
        <v>rtdc.l.rtdc.4020:itc</v>
      </c>
      <c r="G178" s="8">
        <f t="shared" si="5"/>
        <v>42633.779895833337</v>
      </c>
    </row>
    <row r="179" spans="1:7" x14ac:dyDescent="0.25">
      <c r="A179" s="8">
        <v>42633.782754629632</v>
      </c>
      <c r="B179" s="23" t="s">
        <v>177</v>
      </c>
      <c r="C179" s="23" t="s">
        <v>558</v>
      </c>
      <c r="D179" s="23">
        <v>1740000</v>
      </c>
      <c r="E179" s="23" t="s">
        <v>478</v>
      </c>
      <c r="F179" s="23" t="str">
        <f t="shared" si="4"/>
        <v>rtdc.l.rtdc.4010:itc</v>
      </c>
      <c r="G179" s="8">
        <f t="shared" si="5"/>
        <v>42633.782754629632</v>
      </c>
    </row>
    <row r="180" spans="1:7" x14ac:dyDescent="0.25">
      <c r="A180" s="8">
        <v>42633.787199074075</v>
      </c>
      <c r="B180" s="23" t="s">
        <v>264</v>
      </c>
      <c r="C180" s="23" t="s">
        <v>559</v>
      </c>
      <c r="D180" s="23">
        <v>1180000</v>
      </c>
      <c r="E180" s="23" t="s">
        <v>301</v>
      </c>
      <c r="F180" s="23" t="str">
        <f t="shared" si="4"/>
        <v>rtdc.l.rtdc.4003:itc</v>
      </c>
      <c r="G180" s="8">
        <f t="shared" si="5"/>
        <v>42633.787199074075</v>
      </c>
    </row>
    <row r="181" spans="1:7" x14ac:dyDescent="0.25">
      <c r="A181" s="8">
        <v>42633.794745370367</v>
      </c>
      <c r="B181" s="23" t="s">
        <v>411</v>
      </c>
      <c r="C181" s="23" t="s">
        <v>560</v>
      </c>
      <c r="D181" s="23">
        <v>1230000</v>
      </c>
      <c r="E181" s="23" t="s">
        <v>270</v>
      </c>
      <c r="F181" s="23" t="str">
        <f t="shared" si="4"/>
        <v>rtdc.l.rtdc.4013:itc</v>
      </c>
      <c r="G181" s="8">
        <f t="shared" si="5"/>
        <v>42633.794745370367</v>
      </c>
    </row>
    <row r="182" spans="1:7" x14ac:dyDescent="0.25">
      <c r="A182" s="8">
        <v>42633.79896990741</v>
      </c>
      <c r="B182" s="23" t="s">
        <v>164</v>
      </c>
      <c r="C182" s="23" t="s">
        <v>561</v>
      </c>
      <c r="D182" s="23">
        <v>1480000</v>
      </c>
      <c r="E182" s="23" t="s">
        <v>249</v>
      </c>
      <c r="F182" s="23" t="str">
        <f t="shared" si="4"/>
        <v>rtdc.l.rtdc.4019:itc</v>
      </c>
      <c r="G182" s="8">
        <f t="shared" si="5"/>
        <v>42633.79896990741</v>
      </c>
    </row>
    <row r="183" spans="1:7" x14ac:dyDescent="0.25">
      <c r="A183" s="8">
        <v>42633.799155092594</v>
      </c>
      <c r="B183" s="23" t="s">
        <v>181</v>
      </c>
      <c r="C183" s="23" t="s">
        <v>562</v>
      </c>
      <c r="D183" s="23">
        <v>1770000</v>
      </c>
      <c r="E183" s="23" t="s">
        <v>290</v>
      </c>
      <c r="F183" s="23" t="str">
        <f t="shared" si="4"/>
        <v>rtdc.l.rtdc.4046:itc</v>
      </c>
      <c r="G183" s="8">
        <f t="shared" si="5"/>
        <v>42633.799155092594</v>
      </c>
    </row>
    <row r="184" spans="1:7" x14ac:dyDescent="0.25">
      <c r="A184" s="8">
        <v>42633.808587962965</v>
      </c>
      <c r="B184" s="23" t="s">
        <v>288</v>
      </c>
      <c r="C184" s="23" t="s">
        <v>563</v>
      </c>
      <c r="D184" s="23">
        <v>1800000</v>
      </c>
      <c r="E184" s="23" t="s">
        <v>271</v>
      </c>
      <c r="F184" s="23" t="str">
        <f t="shared" si="4"/>
        <v>rtdc.l.rtdc.4012:itc</v>
      </c>
      <c r="G184" s="8">
        <f t="shared" si="5"/>
        <v>42633.808587962965</v>
      </c>
    </row>
    <row r="185" spans="1:7" x14ac:dyDescent="0.25">
      <c r="A185" s="8">
        <v>42633.809305555558</v>
      </c>
      <c r="B185" s="23" t="s">
        <v>171</v>
      </c>
      <c r="C185" s="23" t="s">
        <v>564</v>
      </c>
      <c r="D185" s="23">
        <v>1290000</v>
      </c>
      <c r="E185" s="23" t="s">
        <v>173</v>
      </c>
      <c r="F185" s="23" t="str">
        <f t="shared" si="4"/>
        <v>rtdc.l.rtdc.4025:itc</v>
      </c>
      <c r="G185" s="8">
        <f t="shared" si="5"/>
        <v>42633.809305555558</v>
      </c>
    </row>
    <row r="186" spans="1:7" x14ac:dyDescent="0.25">
      <c r="A186" s="8">
        <v>42633.819039351853</v>
      </c>
      <c r="B186" s="23" t="s">
        <v>128</v>
      </c>
      <c r="C186" s="23" t="s">
        <v>565</v>
      </c>
      <c r="D186" s="23">
        <v>1740000</v>
      </c>
      <c r="E186" s="23" t="s">
        <v>478</v>
      </c>
      <c r="F186" s="23" t="str">
        <f t="shared" si="4"/>
        <v>rtdc.l.rtdc.4009:itc</v>
      </c>
      <c r="G186" s="8">
        <f t="shared" si="5"/>
        <v>42633.819039351853</v>
      </c>
    </row>
    <row r="187" spans="1:7" x14ac:dyDescent="0.25">
      <c r="A187" s="8">
        <v>42633.819803240738</v>
      </c>
      <c r="B187" s="23" t="s">
        <v>262</v>
      </c>
      <c r="C187" s="23" t="s">
        <v>566</v>
      </c>
      <c r="D187" s="23">
        <v>1770000</v>
      </c>
      <c r="E187" s="23" t="s">
        <v>290</v>
      </c>
      <c r="F187" s="23" t="str">
        <f t="shared" si="4"/>
        <v>rtdc.l.rtdc.4045:itc</v>
      </c>
      <c r="G187" s="8">
        <f t="shared" si="5"/>
        <v>42633.819803240738</v>
      </c>
    </row>
    <row r="188" spans="1:7" x14ac:dyDescent="0.25">
      <c r="A188" s="8">
        <v>42633.824189814812</v>
      </c>
      <c r="B188" s="23" t="s">
        <v>267</v>
      </c>
      <c r="C188" s="23" t="s">
        <v>567</v>
      </c>
      <c r="D188" s="23">
        <v>1180000</v>
      </c>
      <c r="E188" s="23" t="s">
        <v>301</v>
      </c>
      <c r="F188" s="23" t="str">
        <f t="shared" si="4"/>
        <v>rtdc.l.rtdc.4004:itc</v>
      </c>
      <c r="G188" s="8">
        <f t="shared" si="5"/>
        <v>42633.824189814812</v>
      </c>
    </row>
    <row r="189" spans="1:7" x14ac:dyDescent="0.25">
      <c r="A189" s="8">
        <v>42633.828043981484</v>
      </c>
      <c r="B189" s="23" t="s">
        <v>381</v>
      </c>
      <c r="C189" s="23" t="s">
        <v>568</v>
      </c>
      <c r="D189" s="23">
        <v>1230000</v>
      </c>
      <c r="E189" s="23" t="s">
        <v>270</v>
      </c>
      <c r="F189" s="23" t="str">
        <f t="shared" si="4"/>
        <v>rtdc.l.rtdc.4014:itc</v>
      </c>
      <c r="G189" s="8">
        <f t="shared" si="5"/>
        <v>42633.828043981484</v>
      </c>
    </row>
    <row r="190" spans="1:7" x14ac:dyDescent="0.25">
      <c r="A190" s="8">
        <v>42633.842870370368</v>
      </c>
      <c r="B190" s="23" t="s">
        <v>181</v>
      </c>
      <c r="C190" s="23" t="s">
        <v>569</v>
      </c>
      <c r="D190" s="23">
        <v>1770000</v>
      </c>
      <c r="E190" s="23" t="s">
        <v>290</v>
      </c>
      <c r="F190" s="23" t="str">
        <f t="shared" si="4"/>
        <v>rtdc.l.rtdc.4046:itc</v>
      </c>
      <c r="G190" s="8">
        <f t="shared" si="5"/>
        <v>42633.842870370368</v>
      </c>
    </row>
    <row r="191" spans="1:7" x14ac:dyDescent="0.25">
      <c r="A191" s="8">
        <v>42633.848819444444</v>
      </c>
      <c r="B191" s="23" t="s">
        <v>172</v>
      </c>
      <c r="C191" s="23" t="s">
        <v>570</v>
      </c>
      <c r="D191" s="23">
        <v>1290000</v>
      </c>
      <c r="E191" s="23" t="s">
        <v>173</v>
      </c>
      <c r="F191" s="23" t="str">
        <f t="shared" si="4"/>
        <v>rtdc.l.rtdc.4026:itc</v>
      </c>
      <c r="G191" s="8">
        <f t="shared" si="5"/>
        <v>42633.848819444444</v>
      </c>
    </row>
    <row r="192" spans="1:7" x14ac:dyDescent="0.25">
      <c r="A192" s="8">
        <v>42633.852962962963</v>
      </c>
      <c r="B192" s="23" t="s">
        <v>286</v>
      </c>
      <c r="C192" s="23" t="s">
        <v>571</v>
      </c>
      <c r="D192" s="23">
        <v>1800000</v>
      </c>
      <c r="E192" s="23" t="s">
        <v>271</v>
      </c>
      <c r="F192" s="23" t="str">
        <f t="shared" si="4"/>
        <v>rtdc.l.rtdc.4011:itc</v>
      </c>
      <c r="G192" s="8">
        <f t="shared" si="5"/>
        <v>42633.852962962963</v>
      </c>
    </row>
    <row r="193" spans="1:7" x14ac:dyDescent="0.25">
      <c r="A193" s="8">
        <v>42633.858993055554</v>
      </c>
      <c r="B193" s="23" t="s">
        <v>262</v>
      </c>
      <c r="C193" s="23" t="s">
        <v>572</v>
      </c>
      <c r="D193" s="23">
        <v>1770000</v>
      </c>
      <c r="E193" s="23" t="s">
        <v>290</v>
      </c>
      <c r="F193" s="23" t="str">
        <f t="shared" si="4"/>
        <v>rtdc.l.rtdc.4045:itc</v>
      </c>
      <c r="G193" s="8">
        <f t="shared" si="5"/>
        <v>42633.858993055554</v>
      </c>
    </row>
    <row r="194" spans="1:7" x14ac:dyDescent="0.25">
      <c r="A194" s="8">
        <v>42633.870092592595</v>
      </c>
      <c r="B194" s="23" t="s">
        <v>411</v>
      </c>
      <c r="C194" s="23" t="s">
        <v>573</v>
      </c>
      <c r="D194" s="23">
        <v>1230000</v>
      </c>
      <c r="E194" s="23" t="s">
        <v>270</v>
      </c>
      <c r="F194" s="23" t="str">
        <f t="shared" ref="F194:F235" si="6">B194</f>
        <v>rtdc.l.rtdc.4013:itc</v>
      </c>
      <c r="G194" s="8">
        <f t="shared" ref="G194:G235" si="7">A194</f>
        <v>42633.870092592595</v>
      </c>
    </row>
    <row r="195" spans="1:7" x14ac:dyDescent="0.25">
      <c r="A195" s="8">
        <v>42633.872465277775</v>
      </c>
      <c r="B195" s="23" t="s">
        <v>264</v>
      </c>
      <c r="C195" s="23" t="s">
        <v>574</v>
      </c>
      <c r="D195" s="23">
        <v>1180000</v>
      </c>
      <c r="E195" s="23" t="s">
        <v>301</v>
      </c>
      <c r="F195" s="23" t="str">
        <f t="shared" si="6"/>
        <v>rtdc.l.rtdc.4003:itc</v>
      </c>
      <c r="G195" s="8">
        <f t="shared" si="7"/>
        <v>42633.872465277775</v>
      </c>
    </row>
    <row r="196" spans="1:7" x14ac:dyDescent="0.25">
      <c r="A196" s="8">
        <v>42633.876192129632</v>
      </c>
      <c r="B196" s="23" t="s">
        <v>181</v>
      </c>
      <c r="C196" s="23" t="s">
        <v>575</v>
      </c>
      <c r="D196" s="23">
        <v>1480000</v>
      </c>
      <c r="E196" s="23" t="s">
        <v>249</v>
      </c>
      <c r="F196" s="23" t="str">
        <f t="shared" si="6"/>
        <v>rtdc.l.rtdc.4046:itc</v>
      </c>
      <c r="G196" s="8">
        <f t="shared" si="7"/>
        <v>42633.876192129632</v>
      </c>
    </row>
    <row r="197" spans="1:7" x14ac:dyDescent="0.25">
      <c r="A197" s="8">
        <v>42633.892650462964</v>
      </c>
      <c r="B197" s="23" t="s">
        <v>171</v>
      </c>
      <c r="C197" s="23" t="s">
        <v>576</v>
      </c>
      <c r="D197" s="23">
        <v>1290000</v>
      </c>
      <c r="E197" s="23" t="s">
        <v>173</v>
      </c>
      <c r="F197" s="23" t="str">
        <f t="shared" si="6"/>
        <v>rtdc.l.rtdc.4025:itc</v>
      </c>
      <c r="G197" s="8">
        <f t="shared" si="7"/>
        <v>42633.892650462964</v>
      </c>
    </row>
    <row r="198" spans="1:7" x14ac:dyDescent="0.25">
      <c r="A198" s="8">
        <v>42633.892974537041</v>
      </c>
      <c r="B198" s="23" t="s">
        <v>288</v>
      </c>
      <c r="C198" s="23" t="s">
        <v>577</v>
      </c>
      <c r="D198" s="23">
        <v>1800000</v>
      </c>
      <c r="E198" s="23" t="s">
        <v>271</v>
      </c>
      <c r="F198" s="23" t="str">
        <f t="shared" si="6"/>
        <v>rtdc.l.rtdc.4012:itc</v>
      </c>
      <c r="G198" s="8">
        <f t="shared" si="7"/>
        <v>42633.892974537041</v>
      </c>
    </row>
    <row r="199" spans="1:7" x14ac:dyDescent="0.25">
      <c r="A199" s="8">
        <v>42633.900381944448</v>
      </c>
      <c r="B199" s="23" t="s">
        <v>381</v>
      </c>
      <c r="C199" s="23" t="s">
        <v>578</v>
      </c>
      <c r="D199" s="23">
        <v>1230000</v>
      </c>
      <c r="E199" s="23" t="s">
        <v>270</v>
      </c>
      <c r="F199" s="23" t="str">
        <f t="shared" si="6"/>
        <v>rtdc.l.rtdc.4014:itc</v>
      </c>
      <c r="G199" s="8">
        <f t="shared" si="7"/>
        <v>42633.900381944448</v>
      </c>
    </row>
    <row r="200" spans="1:7" x14ac:dyDescent="0.25">
      <c r="A200" s="8">
        <v>42633.903391203705</v>
      </c>
      <c r="B200" s="23" t="s">
        <v>262</v>
      </c>
      <c r="C200" s="23" t="s">
        <v>579</v>
      </c>
      <c r="D200" s="23">
        <v>1480000</v>
      </c>
      <c r="E200" s="23" t="s">
        <v>249</v>
      </c>
      <c r="F200" s="23" t="str">
        <f t="shared" si="6"/>
        <v>rtdc.l.rtdc.4045:itc</v>
      </c>
      <c r="G200" s="8">
        <f t="shared" si="7"/>
        <v>42633.903391203705</v>
      </c>
    </row>
    <row r="201" spans="1:7" x14ac:dyDescent="0.25">
      <c r="A201" s="8">
        <v>42633.910069444442</v>
      </c>
      <c r="B201" s="23" t="s">
        <v>267</v>
      </c>
      <c r="C201" s="23" t="s">
        <v>580</v>
      </c>
      <c r="D201" s="23">
        <v>1180000</v>
      </c>
      <c r="E201" s="23" t="s">
        <v>301</v>
      </c>
      <c r="F201" s="23" t="str">
        <f t="shared" si="6"/>
        <v>rtdc.l.rtdc.4004:itc</v>
      </c>
      <c r="G201" s="8">
        <f t="shared" si="7"/>
        <v>42633.910069444442</v>
      </c>
    </row>
    <row r="202" spans="1:7" x14ac:dyDescent="0.25">
      <c r="A202" s="29">
        <v>42633.922129629631</v>
      </c>
      <c r="B202" s="23" t="s">
        <v>181</v>
      </c>
      <c r="C202" s="23" t="s">
        <v>581</v>
      </c>
      <c r="D202" s="23">
        <v>1480000</v>
      </c>
      <c r="E202" s="23" t="s">
        <v>249</v>
      </c>
      <c r="F202" s="23" t="str">
        <f t="shared" si="6"/>
        <v>rtdc.l.rtdc.4046:itc</v>
      </c>
      <c r="G202" s="8">
        <f t="shared" si="7"/>
        <v>42633.922129629631</v>
      </c>
    </row>
    <row r="203" spans="1:7" x14ac:dyDescent="0.25">
      <c r="A203" s="8">
        <v>42633.930497685185</v>
      </c>
      <c r="B203" s="23" t="s">
        <v>172</v>
      </c>
      <c r="C203" s="23" t="s">
        <v>582</v>
      </c>
      <c r="D203" s="23">
        <v>1290000</v>
      </c>
      <c r="E203" s="23" t="s">
        <v>173</v>
      </c>
      <c r="F203" s="23" t="str">
        <f t="shared" si="6"/>
        <v>rtdc.l.rtdc.4026:itc</v>
      </c>
      <c r="G203" s="8">
        <f t="shared" si="7"/>
        <v>42633.930497685185</v>
      </c>
    </row>
    <row r="204" spans="1:7" x14ac:dyDescent="0.25">
      <c r="A204" s="8">
        <v>42633.936400462961</v>
      </c>
      <c r="B204" s="23" t="s">
        <v>286</v>
      </c>
      <c r="C204" s="23" t="s">
        <v>583</v>
      </c>
      <c r="D204" s="23">
        <v>1800000</v>
      </c>
      <c r="E204" s="23" t="s">
        <v>271</v>
      </c>
      <c r="F204" s="23" t="str">
        <f t="shared" si="6"/>
        <v>rtdc.l.rtdc.4011:itc</v>
      </c>
      <c r="G204" s="8">
        <f t="shared" si="7"/>
        <v>42633.936400462961</v>
      </c>
    </row>
    <row r="205" spans="1:7" x14ac:dyDescent="0.25">
      <c r="A205" s="8">
        <v>42633.943715277775</v>
      </c>
      <c r="B205" s="23" t="s">
        <v>262</v>
      </c>
      <c r="C205" s="23" t="s">
        <v>584</v>
      </c>
      <c r="D205" s="23">
        <v>1480000</v>
      </c>
      <c r="E205" s="23" t="s">
        <v>249</v>
      </c>
      <c r="F205" s="23" t="str">
        <f t="shared" si="6"/>
        <v>rtdc.l.rtdc.4045:itc</v>
      </c>
      <c r="G205" s="8">
        <f t="shared" si="7"/>
        <v>42633.943715277775</v>
      </c>
    </row>
    <row r="206" spans="1:7" x14ac:dyDescent="0.25">
      <c r="A206" s="8">
        <v>42633.952615740738</v>
      </c>
      <c r="B206" s="23" t="s">
        <v>411</v>
      </c>
      <c r="C206" s="23" t="s">
        <v>585</v>
      </c>
      <c r="D206" s="23">
        <v>1230000</v>
      </c>
      <c r="E206" s="23" t="s">
        <v>270</v>
      </c>
      <c r="F206" s="23" t="str">
        <f t="shared" si="6"/>
        <v>rtdc.l.rtdc.4013:itc</v>
      </c>
      <c r="G206" s="8">
        <f t="shared" si="7"/>
        <v>42633.952615740738</v>
      </c>
    </row>
    <row r="207" spans="1:7" x14ac:dyDescent="0.25">
      <c r="A207" s="8">
        <v>42633.955000000002</v>
      </c>
      <c r="B207" s="23" t="s">
        <v>264</v>
      </c>
      <c r="C207" s="23" t="s">
        <v>586</v>
      </c>
      <c r="D207" s="23">
        <v>1180000</v>
      </c>
      <c r="E207" s="23" t="s">
        <v>301</v>
      </c>
      <c r="F207" s="23" t="str">
        <f t="shared" si="6"/>
        <v>rtdc.l.rtdc.4003:itc</v>
      </c>
      <c r="G207" s="8">
        <f t="shared" si="7"/>
        <v>42633.955000000002</v>
      </c>
    </row>
    <row r="208" spans="1:7" x14ac:dyDescent="0.25">
      <c r="A208" s="8">
        <v>42633.975312499999</v>
      </c>
      <c r="B208" s="23" t="s">
        <v>288</v>
      </c>
      <c r="C208" s="23" t="s">
        <v>587</v>
      </c>
      <c r="D208" s="23">
        <v>1800000</v>
      </c>
      <c r="E208" s="23" t="s">
        <v>271</v>
      </c>
      <c r="F208" s="23" t="str">
        <f t="shared" si="6"/>
        <v>rtdc.l.rtdc.4012:itc</v>
      </c>
      <c r="G208" s="8">
        <f t="shared" si="7"/>
        <v>42633.975312499999</v>
      </c>
    </row>
    <row r="209" spans="1:7" x14ac:dyDescent="0.25">
      <c r="A209" s="8">
        <v>42633.977719907409</v>
      </c>
      <c r="B209" s="23" t="s">
        <v>171</v>
      </c>
      <c r="C209" s="23" t="s">
        <v>588</v>
      </c>
      <c r="D209" s="23">
        <v>1290000</v>
      </c>
      <c r="E209" s="23" t="s">
        <v>173</v>
      </c>
      <c r="F209" s="23" t="str">
        <f t="shared" si="6"/>
        <v>rtdc.l.rtdc.4025:itc</v>
      </c>
      <c r="G209" s="8">
        <f t="shared" si="7"/>
        <v>42633.977719907409</v>
      </c>
    </row>
    <row r="210" spans="1:7" x14ac:dyDescent="0.25">
      <c r="A210" s="8">
        <v>42633.983391203707</v>
      </c>
      <c r="B210" s="23" t="s">
        <v>381</v>
      </c>
      <c r="C210" s="23" t="s">
        <v>589</v>
      </c>
      <c r="D210" s="23">
        <v>1230000</v>
      </c>
      <c r="E210" s="23" t="s">
        <v>270</v>
      </c>
      <c r="F210" s="23" t="str">
        <f t="shared" si="6"/>
        <v>rtdc.l.rtdc.4014:itc</v>
      </c>
      <c r="G210" s="8">
        <f t="shared" si="7"/>
        <v>42633.983391203707</v>
      </c>
    </row>
    <row r="211" spans="1:7" x14ac:dyDescent="0.25">
      <c r="A211" s="8">
        <v>42633.993530092594</v>
      </c>
      <c r="B211" s="23" t="s">
        <v>267</v>
      </c>
      <c r="C211" s="23" t="s">
        <v>590</v>
      </c>
      <c r="D211" s="23">
        <v>1180000</v>
      </c>
      <c r="E211" s="23" t="s">
        <v>301</v>
      </c>
      <c r="F211" s="23" t="str">
        <f t="shared" si="6"/>
        <v>rtdc.l.rtdc.4004:itc</v>
      </c>
      <c r="G211" s="8">
        <f t="shared" si="7"/>
        <v>42633.993530092594</v>
      </c>
    </row>
    <row r="212" spans="1:7" x14ac:dyDescent="0.25">
      <c r="A212" s="8">
        <v>42634.016030092593</v>
      </c>
      <c r="B212" s="23" t="s">
        <v>172</v>
      </c>
      <c r="C212" s="23" t="s">
        <v>591</v>
      </c>
      <c r="D212" s="23">
        <v>1290000</v>
      </c>
      <c r="E212" s="23" t="s">
        <v>173</v>
      </c>
      <c r="F212" s="23" t="str">
        <f t="shared" si="6"/>
        <v>rtdc.l.rtdc.4026:itc</v>
      </c>
      <c r="G212" s="8">
        <f t="shared" si="7"/>
        <v>42634.016030092593</v>
      </c>
    </row>
    <row r="213" spans="1:7" x14ac:dyDescent="0.25">
      <c r="A213" s="8">
        <v>42634.020416666666</v>
      </c>
      <c r="B213" s="23" t="s">
        <v>286</v>
      </c>
      <c r="C213" s="23" t="s">
        <v>592</v>
      </c>
      <c r="D213" s="23">
        <v>1800000</v>
      </c>
      <c r="E213" s="23" t="s">
        <v>271</v>
      </c>
      <c r="F213" s="23" t="str">
        <f t="shared" si="6"/>
        <v>rtdc.l.rtdc.4011:itc</v>
      </c>
      <c r="G213" s="8">
        <f t="shared" si="7"/>
        <v>42634.020416666666</v>
      </c>
    </row>
    <row r="214" spans="1:7" x14ac:dyDescent="0.25">
      <c r="A214" s="8">
        <v>42634.027581018519</v>
      </c>
      <c r="B214" s="23" t="s">
        <v>264</v>
      </c>
      <c r="C214" s="23" t="s">
        <v>593</v>
      </c>
      <c r="D214" s="23">
        <v>1180000</v>
      </c>
      <c r="E214" s="23" t="s">
        <v>301</v>
      </c>
      <c r="F214" s="23" t="str">
        <f t="shared" si="6"/>
        <v>rtdc.l.rtdc.4003:itc</v>
      </c>
      <c r="G214" s="8">
        <f t="shared" si="7"/>
        <v>42634.027581018519</v>
      </c>
    </row>
    <row r="215" spans="1:7" x14ac:dyDescent="0.25">
      <c r="A215" s="8">
        <v>42634.029328703706</v>
      </c>
      <c r="B215" s="23" t="s">
        <v>264</v>
      </c>
      <c r="C215" s="23" t="s">
        <v>593</v>
      </c>
      <c r="D215" s="23">
        <v>1180000</v>
      </c>
      <c r="E215" s="23" t="s">
        <v>301</v>
      </c>
      <c r="F215" s="23" t="str">
        <f t="shared" si="6"/>
        <v>rtdc.l.rtdc.4003:itc</v>
      </c>
      <c r="G215" s="8">
        <f t="shared" si="7"/>
        <v>42634.029328703706</v>
      </c>
    </row>
    <row r="216" spans="1:7" x14ac:dyDescent="0.25">
      <c r="A216" s="8">
        <v>42634.036666666667</v>
      </c>
      <c r="B216" s="23" t="s">
        <v>411</v>
      </c>
      <c r="C216" s="23" t="s">
        <v>594</v>
      </c>
      <c r="D216" s="23">
        <v>1230000</v>
      </c>
      <c r="E216" s="23" t="s">
        <v>270</v>
      </c>
      <c r="F216" s="23" t="str">
        <f t="shared" si="6"/>
        <v>rtdc.l.rtdc.4013:itc</v>
      </c>
      <c r="G216" s="8">
        <f t="shared" si="7"/>
        <v>42634.036666666667</v>
      </c>
    </row>
    <row r="217" spans="1:7" x14ac:dyDescent="0.25">
      <c r="A217" s="8">
        <v>42634.047384259262</v>
      </c>
      <c r="B217" s="23" t="s">
        <v>171</v>
      </c>
      <c r="C217" s="23" t="s">
        <v>595</v>
      </c>
      <c r="D217" s="23">
        <v>1290000</v>
      </c>
      <c r="E217" s="23" t="s">
        <v>173</v>
      </c>
      <c r="F217" s="23" t="str">
        <f t="shared" si="6"/>
        <v>rtdc.l.rtdc.4025:itc</v>
      </c>
      <c r="G217" s="8">
        <f t="shared" si="7"/>
        <v>42634.047384259262</v>
      </c>
    </row>
    <row r="218" spans="1:7" x14ac:dyDescent="0.25">
      <c r="A218" s="8">
        <v>42634.058506944442</v>
      </c>
      <c r="B218" s="23" t="s">
        <v>288</v>
      </c>
      <c r="C218" s="23" t="s">
        <v>596</v>
      </c>
      <c r="D218" s="23">
        <v>1800000</v>
      </c>
      <c r="E218" s="23" t="s">
        <v>271</v>
      </c>
      <c r="F218" s="23" t="str">
        <f t="shared" si="6"/>
        <v>rtdc.l.rtdc.4012:itc</v>
      </c>
      <c r="G218" s="8">
        <f t="shared" si="7"/>
        <v>42634.058506944442</v>
      </c>
    </row>
    <row r="219" spans="1:7" x14ac:dyDescent="0.25">
      <c r="A219" s="8">
        <v>42634.066331018519</v>
      </c>
      <c r="B219" s="23" t="s">
        <v>381</v>
      </c>
      <c r="C219" s="23" t="s">
        <v>597</v>
      </c>
      <c r="D219" s="23">
        <v>1230000</v>
      </c>
      <c r="E219" s="23" t="s">
        <v>270</v>
      </c>
      <c r="F219" s="23" t="str">
        <f t="shared" si="6"/>
        <v>rtdc.l.rtdc.4014:itc</v>
      </c>
      <c r="G219" s="8">
        <f t="shared" si="7"/>
        <v>42634.066331018519</v>
      </c>
    </row>
    <row r="220" spans="1:7" x14ac:dyDescent="0.25">
      <c r="A220" s="8">
        <v>42634.092199074075</v>
      </c>
      <c r="B220" s="23" t="s">
        <v>286</v>
      </c>
      <c r="C220" s="23" t="s">
        <v>598</v>
      </c>
      <c r="D220" s="23">
        <v>1800000</v>
      </c>
      <c r="E220" s="23" t="s">
        <v>271</v>
      </c>
      <c r="F220" s="23" t="str">
        <f t="shared" si="6"/>
        <v>rtdc.l.rtdc.4011:itc</v>
      </c>
      <c r="G220" s="8">
        <f t="shared" si="7"/>
        <v>42634.092199074075</v>
      </c>
    </row>
    <row r="221" spans="1:7" x14ac:dyDescent="0.25">
      <c r="B221" s="23"/>
      <c r="C221" s="23"/>
      <c r="D221" s="23"/>
      <c r="E221" s="23"/>
      <c r="F221" s="23">
        <f t="shared" si="6"/>
        <v>0</v>
      </c>
      <c r="G221" s="8">
        <f t="shared" si="7"/>
        <v>0</v>
      </c>
    </row>
    <row r="222" spans="1:7" x14ac:dyDescent="0.25">
      <c r="A222" s="8">
        <v>42633.015185185184</v>
      </c>
      <c r="B222" s="23" t="s">
        <v>320</v>
      </c>
      <c r="C222" s="23" t="s">
        <v>326</v>
      </c>
      <c r="D222" s="23">
        <v>1810000</v>
      </c>
      <c r="E222" s="23" t="s">
        <v>263</v>
      </c>
      <c r="F222" s="23" t="str">
        <f t="shared" si="6"/>
        <v>rtdc.l.rtdc.4008:itc</v>
      </c>
      <c r="G222" s="8">
        <f t="shared" si="7"/>
        <v>42633.015185185184</v>
      </c>
    </row>
    <row r="223" spans="1:7" x14ac:dyDescent="0.25">
      <c r="A223" s="8">
        <v>42633.028043981481</v>
      </c>
      <c r="B223" s="23" t="s">
        <v>178</v>
      </c>
      <c r="C223" s="23" t="s">
        <v>327</v>
      </c>
      <c r="D223" s="23">
        <v>1180000</v>
      </c>
      <c r="E223" s="23" t="s">
        <v>301</v>
      </c>
      <c r="F223" s="23" t="str">
        <f t="shared" si="6"/>
        <v>rtdc.l.rtdc.4042:itc</v>
      </c>
      <c r="G223" s="8">
        <f t="shared" si="7"/>
        <v>42633.028043981481</v>
      </c>
    </row>
    <row r="224" spans="1:7" x14ac:dyDescent="0.25">
      <c r="A224" s="8">
        <v>42633.038055555553</v>
      </c>
      <c r="B224" t="s">
        <v>321</v>
      </c>
      <c r="C224" t="s">
        <v>328</v>
      </c>
      <c r="D224">
        <v>1800000</v>
      </c>
      <c r="E224" t="s">
        <v>271</v>
      </c>
      <c r="F224" s="23" t="str">
        <f t="shared" si="6"/>
        <v>rtdc.l.rtdc.4054:itc</v>
      </c>
      <c r="G224" s="8">
        <f t="shared" si="7"/>
        <v>42633.038055555553</v>
      </c>
    </row>
    <row r="225" spans="1:7" x14ac:dyDescent="0.25">
      <c r="A225" s="8">
        <v>42633.047013888892</v>
      </c>
      <c r="B225" t="s">
        <v>312</v>
      </c>
      <c r="C225" t="s">
        <v>329</v>
      </c>
      <c r="D225">
        <v>1810000</v>
      </c>
      <c r="E225" t="s">
        <v>263</v>
      </c>
      <c r="F225" s="23" t="str">
        <f t="shared" si="6"/>
        <v>rtdc.l.rtdc.4007:itc</v>
      </c>
      <c r="G225" s="8">
        <f t="shared" si="7"/>
        <v>42633.047013888892</v>
      </c>
    </row>
    <row r="226" spans="1:7" x14ac:dyDescent="0.25">
      <c r="A226" s="8">
        <v>42633.057974537034</v>
      </c>
      <c r="B226" t="s">
        <v>319</v>
      </c>
      <c r="C226" t="s">
        <v>330</v>
      </c>
      <c r="D226">
        <v>1230000</v>
      </c>
      <c r="E226" t="s">
        <v>270</v>
      </c>
      <c r="F226" s="23" t="str">
        <f t="shared" si="6"/>
        <v>rtdc.l.rtdc.4001:itc</v>
      </c>
      <c r="G226" s="8">
        <f t="shared" si="7"/>
        <v>42633.057974537034</v>
      </c>
    </row>
    <row r="227" spans="1:7" x14ac:dyDescent="0.25">
      <c r="A227" s="8">
        <v>42633.069930555554</v>
      </c>
      <c r="B227" t="s">
        <v>314</v>
      </c>
      <c r="C227" t="s">
        <v>331</v>
      </c>
      <c r="D227">
        <v>1800000</v>
      </c>
      <c r="E227" t="s">
        <v>271</v>
      </c>
      <c r="F227" s="23" t="str">
        <f t="shared" si="6"/>
        <v>rtdc.l.rtdc.4053:itc</v>
      </c>
      <c r="G227" s="8">
        <f t="shared" si="7"/>
        <v>42633.069930555554</v>
      </c>
    </row>
    <row r="228" spans="1:7" x14ac:dyDescent="0.25">
      <c r="A228" s="8">
        <v>42633.087962962964</v>
      </c>
      <c r="B228" t="s">
        <v>316</v>
      </c>
      <c r="C228" t="s">
        <v>332</v>
      </c>
      <c r="D228">
        <v>1230000</v>
      </c>
      <c r="E228" t="s">
        <v>270</v>
      </c>
      <c r="F228" s="23" t="str">
        <f t="shared" si="6"/>
        <v>rtdc.l.rtdc.4002:itc</v>
      </c>
      <c r="G228" s="8">
        <f t="shared" si="7"/>
        <v>42633.087962962964</v>
      </c>
    </row>
    <row r="229" spans="1:7" x14ac:dyDescent="0.25">
      <c r="F229" s="23">
        <f t="shared" si="6"/>
        <v>0</v>
      </c>
      <c r="G229" s="8">
        <f t="shared" si="7"/>
        <v>0</v>
      </c>
    </row>
    <row r="230" spans="1:7" x14ac:dyDescent="0.25">
      <c r="A230" s="8">
        <v>42630.014675925922</v>
      </c>
      <c r="B230" t="s">
        <v>128</v>
      </c>
      <c r="C230" t="s">
        <v>272</v>
      </c>
      <c r="D230">
        <v>1480000</v>
      </c>
      <c r="E230" t="s">
        <v>249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264</v>
      </c>
      <c r="C231" t="s">
        <v>273</v>
      </c>
      <c r="D231">
        <v>1300000</v>
      </c>
      <c r="E231" t="s">
        <v>121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248</v>
      </c>
      <c r="C232" t="s">
        <v>274</v>
      </c>
      <c r="D232">
        <v>1800000</v>
      </c>
      <c r="E232" t="s">
        <v>271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265</v>
      </c>
      <c r="C233" t="s">
        <v>275</v>
      </c>
      <c r="D233">
        <v>1230000</v>
      </c>
      <c r="E233" t="s">
        <v>270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177</v>
      </c>
      <c r="C234" t="s">
        <v>276</v>
      </c>
      <c r="D234">
        <v>1480000</v>
      </c>
      <c r="E234" t="s">
        <v>249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267</v>
      </c>
      <c r="C235" t="s">
        <v>277</v>
      </c>
      <c r="D235">
        <v>1300000</v>
      </c>
      <c r="E235" t="s">
        <v>121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247</v>
      </c>
      <c r="C236" t="s">
        <v>278</v>
      </c>
      <c r="D236">
        <v>1800000</v>
      </c>
      <c r="E236" t="s">
        <v>271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128</v>
      </c>
      <c r="C237" t="s">
        <v>279</v>
      </c>
      <c r="D237">
        <v>1480000</v>
      </c>
      <c r="E237" t="s">
        <v>249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264</v>
      </c>
      <c r="C238" t="s">
        <v>280</v>
      </c>
      <c r="D238">
        <v>1300000</v>
      </c>
      <c r="E238" t="s">
        <v>121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204</v>
      </c>
      <c r="B1" s="155" t="s">
        <v>207</v>
      </c>
      <c r="C1" s="155" t="s">
        <v>200</v>
      </c>
      <c r="D1" s="155" t="s">
        <v>233</v>
      </c>
      <c r="E1" s="155" t="s">
        <v>201</v>
      </c>
      <c r="F1" s="155" t="s">
        <v>199</v>
      </c>
      <c r="G1" s="155" t="s">
        <v>197</v>
      </c>
      <c r="H1" s="155" t="s">
        <v>210</v>
      </c>
      <c r="I1" s="155" t="s">
        <v>211</v>
      </c>
      <c r="J1" s="155" t="s">
        <v>370</v>
      </c>
      <c r="K1" s="155" t="s">
        <v>205</v>
      </c>
      <c r="L1" s="155" t="s">
        <v>203</v>
      </c>
      <c r="M1" s="155" t="s">
        <v>198</v>
      </c>
      <c r="N1" s="155" t="s">
        <v>208</v>
      </c>
      <c r="O1" s="155" t="s">
        <v>202</v>
      </c>
      <c r="P1" s="155" t="s">
        <v>209</v>
      </c>
      <c r="Q1" s="155" t="s">
        <v>206</v>
      </c>
    </row>
    <row r="2" spans="1:17" x14ac:dyDescent="0.25">
      <c r="A2" s="154">
        <v>65.849999999999994</v>
      </c>
      <c r="B2" s="154">
        <v>0.63</v>
      </c>
      <c r="C2" s="154">
        <v>33.04</v>
      </c>
      <c r="D2" s="169">
        <v>42633</v>
      </c>
      <c r="E2" s="154">
        <v>0.28999999999999998</v>
      </c>
      <c r="F2" s="154" t="s">
        <v>373</v>
      </c>
      <c r="G2" s="154">
        <v>269.62</v>
      </c>
      <c r="H2" s="154">
        <v>0</v>
      </c>
      <c r="I2" s="154">
        <v>0</v>
      </c>
      <c r="K2" s="154">
        <v>1015.68</v>
      </c>
      <c r="L2" s="154" t="s">
        <v>374</v>
      </c>
      <c r="M2" s="154">
        <v>65.849999999999994</v>
      </c>
      <c r="N2" s="154">
        <v>1474351200</v>
      </c>
      <c r="O2" s="154">
        <v>8.35</v>
      </c>
      <c r="P2" s="154">
        <v>191</v>
      </c>
      <c r="Q2" s="154">
        <v>5.51</v>
      </c>
    </row>
    <row r="3" spans="1:17" x14ac:dyDescent="0.25">
      <c r="A3" s="154">
        <v>62.95</v>
      </c>
      <c r="B3" s="154">
        <v>0.69</v>
      </c>
      <c r="C3" s="154">
        <v>32.08</v>
      </c>
      <c r="D3" s="169">
        <v>42633.041666666664</v>
      </c>
      <c r="E3" s="154">
        <v>0.31</v>
      </c>
      <c r="F3" s="154" t="s">
        <v>373</v>
      </c>
      <c r="G3" s="154">
        <v>269.25</v>
      </c>
      <c r="H3" s="154">
        <v>0</v>
      </c>
      <c r="I3" s="154">
        <v>0</v>
      </c>
      <c r="K3" s="154">
        <v>1016.06</v>
      </c>
      <c r="L3" s="154" t="s">
        <v>374</v>
      </c>
      <c r="M3" s="154">
        <v>62.95</v>
      </c>
      <c r="N3" s="154">
        <v>1474354800</v>
      </c>
      <c r="O3" s="154">
        <v>8.6300000000000008</v>
      </c>
      <c r="P3" s="154">
        <v>199</v>
      </c>
      <c r="Q3" s="154">
        <v>4.93</v>
      </c>
    </row>
    <row r="4" spans="1:17" x14ac:dyDescent="0.25">
      <c r="A4" s="154">
        <v>61.79</v>
      </c>
      <c r="B4" s="154">
        <v>0.74</v>
      </c>
      <c r="C4" s="154">
        <v>32.01</v>
      </c>
      <c r="D4" s="169">
        <v>42633.083333333336</v>
      </c>
      <c r="E4" s="154">
        <v>0.32</v>
      </c>
      <c r="F4" s="154" t="s">
        <v>373</v>
      </c>
      <c r="G4" s="154">
        <v>268.89</v>
      </c>
      <c r="H4" s="154">
        <v>0</v>
      </c>
      <c r="I4" s="154">
        <v>0</v>
      </c>
      <c r="K4" s="154">
        <v>1016.4</v>
      </c>
      <c r="L4" s="154" t="s">
        <v>374</v>
      </c>
      <c r="M4" s="154">
        <v>61.79</v>
      </c>
      <c r="N4" s="154">
        <v>1474358400</v>
      </c>
      <c r="O4" s="154">
        <v>8.67</v>
      </c>
      <c r="P4" s="154">
        <v>212</v>
      </c>
      <c r="Q4" s="154">
        <v>4.1399999999999997</v>
      </c>
    </row>
    <row r="5" spans="1:17" x14ac:dyDescent="0.25">
      <c r="A5" s="154">
        <v>60.1</v>
      </c>
      <c r="B5" s="154">
        <v>0.83</v>
      </c>
      <c r="C5" s="154">
        <v>31.22</v>
      </c>
      <c r="D5" s="169">
        <v>42633.125</v>
      </c>
      <c r="E5" s="154">
        <v>0.33</v>
      </c>
      <c r="F5" s="154" t="s">
        <v>373</v>
      </c>
      <c r="G5" s="154">
        <v>268.52</v>
      </c>
      <c r="H5" s="154">
        <v>0</v>
      </c>
      <c r="I5" s="154">
        <v>0</v>
      </c>
      <c r="K5" s="154">
        <v>1016.73</v>
      </c>
      <c r="L5" s="154" t="s">
        <v>374</v>
      </c>
      <c r="M5" s="154">
        <v>60.1</v>
      </c>
      <c r="N5" s="154">
        <v>1474362000</v>
      </c>
      <c r="O5" s="154">
        <v>8.5299999999999994</v>
      </c>
      <c r="P5" s="154">
        <v>239</v>
      </c>
      <c r="Q5" s="154">
        <v>3.88</v>
      </c>
    </row>
    <row r="6" spans="1:17" x14ac:dyDescent="0.25">
      <c r="A6" s="154">
        <v>59.13</v>
      </c>
      <c r="B6" s="154">
        <v>0.89</v>
      </c>
      <c r="C6" s="154">
        <v>31.62</v>
      </c>
      <c r="D6" s="169">
        <v>42633.166666666664</v>
      </c>
      <c r="E6" s="154">
        <v>0.35</v>
      </c>
      <c r="F6" s="154" t="s">
        <v>373</v>
      </c>
      <c r="G6" s="154">
        <v>268.35000000000002</v>
      </c>
      <c r="H6" s="154">
        <v>0</v>
      </c>
      <c r="I6" s="154">
        <v>0</v>
      </c>
      <c r="K6" s="154">
        <v>1016.82</v>
      </c>
      <c r="L6" s="154" t="s">
        <v>374</v>
      </c>
      <c r="M6" s="154">
        <v>59.13</v>
      </c>
      <c r="N6" s="154">
        <v>1474365600</v>
      </c>
      <c r="O6" s="154">
        <v>8.68</v>
      </c>
      <c r="P6" s="154">
        <v>248</v>
      </c>
      <c r="Q6" s="154">
        <v>2.39</v>
      </c>
    </row>
    <row r="7" spans="1:17" x14ac:dyDescent="0.25">
      <c r="A7" s="154">
        <v>59.72</v>
      </c>
      <c r="B7" s="154">
        <v>0.92</v>
      </c>
      <c r="C7" s="154">
        <v>34.380000000000003</v>
      </c>
      <c r="D7" s="169">
        <v>42633.208333333336</v>
      </c>
      <c r="E7" s="154">
        <v>0.38</v>
      </c>
      <c r="F7" s="154" t="s">
        <v>373</v>
      </c>
      <c r="G7" s="154">
        <v>268.25</v>
      </c>
      <c r="H7" s="154">
        <v>0</v>
      </c>
      <c r="I7" s="154">
        <v>0</v>
      </c>
      <c r="K7" s="154">
        <v>1016.79</v>
      </c>
      <c r="L7" s="154" t="s">
        <v>374</v>
      </c>
      <c r="M7" s="154">
        <v>59.72</v>
      </c>
      <c r="N7" s="154">
        <v>1474369200</v>
      </c>
      <c r="O7" s="154">
        <v>8.6300000000000008</v>
      </c>
      <c r="P7" s="154">
        <v>239</v>
      </c>
      <c r="Q7" s="154">
        <v>2.67</v>
      </c>
    </row>
    <row r="8" spans="1:17" x14ac:dyDescent="0.25">
      <c r="A8" s="154">
        <v>59.06</v>
      </c>
      <c r="B8" s="154">
        <v>0.96</v>
      </c>
      <c r="C8" s="154">
        <v>34.07</v>
      </c>
      <c r="D8" s="169">
        <v>42633.25</v>
      </c>
      <c r="E8" s="154">
        <v>0.39</v>
      </c>
      <c r="F8" s="154" t="s">
        <v>760</v>
      </c>
      <c r="G8" s="154">
        <v>268.11</v>
      </c>
      <c r="H8" s="154">
        <v>0</v>
      </c>
      <c r="I8" s="154">
        <v>0</v>
      </c>
      <c r="K8" s="154">
        <v>1016.63</v>
      </c>
      <c r="L8" s="154" t="s">
        <v>761</v>
      </c>
      <c r="M8" s="154">
        <v>59.06</v>
      </c>
      <c r="N8" s="154">
        <v>1474372800</v>
      </c>
      <c r="O8" s="154">
        <v>7.92</v>
      </c>
      <c r="P8" s="154">
        <v>236</v>
      </c>
      <c r="Q8" s="154">
        <v>2.6</v>
      </c>
    </row>
    <row r="9" spans="1:17" x14ac:dyDescent="0.25">
      <c r="A9" s="154">
        <v>59.25</v>
      </c>
      <c r="B9" s="154">
        <v>0.97</v>
      </c>
      <c r="C9" s="154">
        <v>34.81</v>
      </c>
      <c r="D9" s="169">
        <v>42633.291666666664</v>
      </c>
      <c r="E9" s="154">
        <v>0.4</v>
      </c>
      <c r="F9" s="154" t="s">
        <v>760</v>
      </c>
      <c r="G9" s="154">
        <v>267.85000000000002</v>
      </c>
      <c r="H9" s="154">
        <v>0</v>
      </c>
      <c r="I9" s="154">
        <v>0</v>
      </c>
      <c r="K9" s="154">
        <v>1016.23</v>
      </c>
      <c r="L9" s="154" t="s">
        <v>761</v>
      </c>
      <c r="M9" s="154">
        <v>59.25</v>
      </c>
      <c r="N9" s="154">
        <v>1474376400</v>
      </c>
      <c r="O9" s="154">
        <v>7.42</v>
      </c>
      <c r="P9" s="154">
        <v>235</v>
      </c>
      <c r="Q9" s="154">
        <v>2.93</v>
      </c>
    </row>
    <row r="10" spans="1:17" x14ac:dyDescent="0.25">
      <c r="A10" s="154">
        <v>62.21</v>
      </c>
      <c r="B10" s="154">
        <v>0.95</v>
      </c>
      <c r="C10" s="154">
        <v>36.33</v>
      </c>
      <c r="D10" s="169">
        <v>42633.333333333336</v>
      </c>
      <c r="E10" s="154">
        <v>0.38</v>
      </c>
      <c r="F10" s="154" t="s">
        <v>760</v>
      </c>
      <c r="G10" s="154">
        <v>267.55</v>
      </c>
      <c r="H10" s="154">
        <v>0</v>
      </c>
      <c r="I10" s="154">
        <v>0</v>
      </c>
      <c r="K10" s="154">
        <v>1015.86</v>
      </c>
      <c r="L10" s="154" t="s">
        <v>761</v>
      </c>
      <c r="M10" s="154">
        <v>62.21</v>
      </c>
      <c r="N10" s="154">
        <v>1474380000</v>
      </c>
      <c r="O10" s="154">
        <v>7.21</v>
      </c>
      <c r="P10" s="154">
        <v>246</v>
      </c>
      <c r="Q10" s="154">
        <v>2.57</v>
      </c>
    </row>
    <row r="11" spans="1:17" x14ac:dyDescent="0.25">
      <c r="A11" s="154">
        <v>67.03</v>
      </c>
      <c r="B11" s="154">
        <v>0.92</v>
      </c>
      <c r="C11" s="154">
        <v>37.24</v>
      </c>
      <c r="D11" s="169">
        <v>42633.375</v>
      </c>
      <c r="E11" s="154">
        <v>0.33</v>
      </c>
      <c r="F11" s="154" t="s">
        <v>371</v>
      </c>
      <c r="G11" s="154">
        <v>267.26</v>
      </c>
      <c r="H11" s="154">
        <v>0</v>
      </c>
      <c r="I11" s="154">
        <v>0</v>
      </c>
      <c r="K11" s="154">
        <v>1015.5</v>
      </c>
      <c r="L11" s="154" t="s">
        <v>374</v>
      </c>
      <c r="M11" s="154">
        <v>67.03</v>
      </c>
      <c r="N11" s="154">
        <v>1474383600</v>
      </c>
      <c r="O11" s="154">
        <v>7.12</v>
      </c>
      <c r="P11" s="154">
        <v>222</v>
      </c>
      <c r="Q11" s="154">
        <v>1.97</v>
      </c>
    </row>
    <row r="12" spans="1:17" x14ac:dyDescent="0.25">
      <c r="A12" s="154">
        <v>72.25</v>
      </c>
      <c r="B12" s="154">
        <v>0.91</v>
      </c>
      <c r="C12" s="154">
        <v>37.78</v>
      </c>
      <c r="D12" s="169">
        <v>42633.416666666664</v>
      </c>
      <c r="E12" s="154">
        <v>0.28999999999999998</v>
      </c>
      <c r="F12" s="154" t="s">
        <v>371</v>
      </c>
      <c r="G12" s="154">
        <v>267.04000000000002</v>
      </c>
      <c r="H12" s="154">
        <v>0</v>
      </c>
      <c r="I12" s="154">
        <v>0</v>
      </c>
      <c r="K12" s="154">
        <v>1015.2</v>
      </c>
      <c r="L12" s="154" t="s">
        <v>374</v>
      </c>
      <c r="M12" s="154">
        <v>72.25</v>
      </c>
      <c r="N12" s="154">
        <v>1474387200</v>
      </c>
      <c r="O12" s="154">
        <v>7.18</v>
      </c>
      <c r="P12" s="154">
        <v>198</v>
      </c>
      <c r="Q12" s="154">
        <v>1.41</v>
      </c>
    </row>
    <row r="13" spans="1:17" x14ac:dyDescent="0.25">
      <c r="A13" s="154">
        <v>78.16</v>
      </c>
      <c r="B13" s="154">
        <v>0.92</v>
      </c>
      <c r="C13" s="154">
        <v>38.049999999999997</v>
      </c>
      <c r="D13" s="169">
        <v>42633.458333333336</v>
      </c>
      <c r="E13" s="154">
        <v>0.24</v>
      </c>
      <c r="F13" s="154" t="s">
        <v>371</v>
      </c>
      <c r="G13" s="154">
        <v>266.83</v>
      </c>
      <c r="H13" s="154">
        <v>0</v>
      </c>
      <c r="I13" s="154">
        <v>0</v>
      </c>
      <c r="K13" s="154">
        <v>1014.87</v>
      </c>
      <c r="L13" s="154" t="s">
        <v>374</v>
      </c>
      <c r="M13" s="154">
        <v>78.16</v>
      </c>
      <c r="N13" s="154">
        <v>1474390800</v>
      </c>
      <c r="O13" s="154">
        <v>7.3</v>
      </c>
      <c r="P13" s="154">
        <v>140</v>
      </c>
      <c r="Q13" s="154">
        <v>0.44</v>
      </c>
    </row>
    <row r="14" spans="1:17" x14ac:dyDescent="0.25">
      <c r="A14" s="154">
        <v>79.430000000000007</v>
      </c>
      <c r="B14" s="154">
        <v>0.92</v>
      </c>
      <c r="C14" s="154">
        <v>36.299999999999997</v>
      </c>
      <c r="D14" s="169">
        <v>42633.5</v>
      </c>
      <c r="E14" s="154">
        <v>0.2</v>
      </c>
      <c r="F14" s="154" t="s">
        <v>371</v>
      </c>
      <c r="G14" s="154">
        <v>266.56</v>
      </c>
      <c r="H14" s="154">
        <v>0</v>
      </c>
      <c r="I14" s="154">
        <v>0</v>
      </c>
      <c r="K14" s="154">
        <v>1014.44</v>
      </c>
      <c r="L14" s="154" t="s">
        <v>374</v>
      </c>
      <c r="M14" s="154">
        <v>81.349999999999994</v>
      </c>
      <c r="N14" s="154">
        <v>1474394400</v>
      </c>
      <c r="O14" s="154">
        <v>7.44</v>
      </c>
      <c r="P14" s="154">
        <v>90</v>
      </c>
      <c r="Q14" s="154">
        <v>0.96</v>
      </c>
    </row>
    <row r="15" spans="1:17" x14ac:dyDescent="0.25">
      <c r="A15" s="154">
        <v>81.8</v>
      </c>
      <c r="B15" s="154">
        <v>0.91</v>
      </c>
      <c r="C15" s="154">
        <v>34.83</v>
      </c>
      <c r="D15" s="169">
        <v>42633.541666666664</v>
      </c>
      <c r="E15" s="154">
        <v>0.17</v>
      </c>
      <c r="F15" s="154" t="s">
        <v>371</v>
      </c>
      <c r="G15" s="154">
        <v>266.25</v>
      </c>
      <c r="H15" s="154">
        <v>0</v>
      </c>
      <c r="I15" s="154">
        <v>0</v>
      </c>
      <c r="K15" s="154">
        <v>1013.8</v>
      </c>
      <c r="L15" s="154" t="s">
        <v>374</v>
      </c>
      <c r="M15" s="154">
        <v>84.85</v>
      </c>
      <c r="N15" s="154">
        <v>1474398000</v>
      </c>
      <c r="O15" s="154">
        <v>7.51</v>
      </c>
      <c r="P15" s="154">
        <v>92</v>
      </c>
      <c r="Q15" s="154">
        <v>2.86</v>
      </c>
    </row>
    <row r="16" spans="1:17" x14ac:dyDescent="0.25">
      <c r="A16" s="154">
        <v>82.69</v>
      </c>
      <c r="B16" s="154">
        <v>0.9</v>
      </c>
      <c r="C16" s="154">
        <v>33.049999999999997</v>
      </c>
      <c r="D16" s="169">
        <v>42633.583333333336</v>
      </c>
      <c r="E16" s="154">
        <v>0.15</v>
      </c>
      <c r="F16" s="154" t="s">
        <v>371</v>
      </c>
      <c r="G16" s="154">
        <v>265.88</v>
      </c>
      <c r="H16" s="154">
        <v>0</v>
      </c>
      <c r="I16" s="154">
        <v>0</v>
      </c>
      <c r="K16" s="154">
        <v>1013.07</v>
      </c>
      <c r="L16" s="154" t="s">
        <v>374</v>
      </c>
      <c r="M16" s="154">
        <v>86.05</v>
      </c>
      <c r="N16" s="154">
        <v>1474401600</v>
      </c>
      <c r="O16" s="154">
        <v>7.52</v>
      </c>
      <c r="P16" s="154">
        <v>92</v>
      </c>
      <c r="Q16" s="154">
        <v>3</v>
      </c>
    </row>
    <row r="17" spans="1:17" x14ac:dyDescent="0.25">
      <c r="A17" s="154">
        <v>82.7</v>
      </c>
      <c r="B17" s="154">
        <v>0.72</v>
      </c>
      <c r="C17" s="154">
        <v>32.72</v>
      </c>
      <c r="D17" s="169">
        <v>42633.625</v>
      </c>
      <c r="E17" s="154">
        <v>0.15</v>
      </c>
      <c r="F17" s="154" t="s">
        <v>371</v>
      </c>
      <c r="G17" s="154">
        <v>265.31</v>
      </c>
      <c r="H17" s="154">
        <v>0</v>
      </c>
      <c r="I17" s="154">
        <v>0</v>
      </c>
      <c r="K17" s="154">
        <v>1012.44</v>
      </c>
      <c r="L17" s="154" t="s">
        <v>374</v>
      </c>
      <c r="M17" s="154">
        <v>86.07</v>
      </c>
      <c r="N17" s="154">
        <v>1474405200</v>
      </c>
      <c r="O17" s="154">
        <v>8.4700000000000006</v>
      </c>
      <c r="P17" s="154">
        <v>74</v>
      </c>
      <c r="Q17" s="154">
        <v>2.9</v>
      </c>
    </row>
    <row r="18" spans="1:17" x14ac:dyDescent="0.25">
      <c r="A18" s="154">
        <v>81.849999999999994</v>
      </c>
      <c r="B18" s="154">
        <v>0.77</v>
      </c>
      <c r="C18" s="154">
        <v>34.11</v>
      </c>
      <c r="D18" s="169">
        <v>42633.666666666664</v>
      </c>
      <c r="E18" s="154">
        <v>0.16</v>
      </c>
      <c r="F18" s="154" t="s">
        <v>371</v>
      </c>
      <c r="G18" s="154">
        <v>264.39999999999998</v>
      </c>
      <c r="H18" s="154">
        <v>0</v>
      </c>
      <c r="I18" s="154">
        <v>0</v>
      </c>
      <c r="K18" s="154">
        <v>1011.95</v>
      </c>
      <c r="L18" s="154" t="s">
        <v>374</v>
      </c>
      <c r="M18" s="154">
        <v>84.93</v>
      </c>
      <c r="N18" s="154">
        <v>1474408800</v>
      </c>
      <c r="O18" s="154">
        <v>8.25</v>
      </c>
      <c r="P18" s="154">
        <v>87</v>
      </c>
      <c r="Q18" s="154">
        <v>1.89</v>
      </c>
    </row>
    <row r="19" spans="1:17" x14ac:dyDescent="0.25">
      <c r="A19" s="154">
        <v>80.650000000000006</v>
      </c>
      <c r="B19" s="154">
        <v>0.83</v>
      </c>
      <c r="C19" s="154">
        <v>35.85</v>
      </c>
      <c r="D19" s="169">
        <v>42633.708333333336</v>
      </c>
      <c r="E19" s="154">
        <v>0.18</v>
      </c>
      <c r="F19" s="154" t="s">
        <v>371</v>
      </c>
      <c r="G19" s="154">
        <v>263.3</v>
      </c>
      <c r="H19" s="154">
        <v>0</v>
      </c>
      <c r="I19" s="154">
        <v>0</v>
      </c>
      <c r="K19" s="154">
        <v>1011.62</v>
      </c>
      <c r="L19" s="154" t="s">
        <v>374</v>
      </c>
      <c r="M19" s="154">
        <v>83.22</v>
      </c>
      <c r="N19" s="154">
        <v>1474412400</v>
      </c>
      <c r="O19" s="154">
        <v>8.44</v>
      </c>
      <c r="P19" s="154">
        <v>121</v>
      </c>
      <c r="Q19" s="154">
        <v>0.92</v>
      </c>
    </row>
    <row r="20" spans="1:17" x14ac:dyDescent="0.25">
      <c r="A20" s="154">
        <v>79.97</v>
      </c>
      <c r="B20" s="154">
        <v>0.87</v>
      </c>
      <c r="C20" s="154">
        <v>34.5</v>
      </c>
      <c r="D20" s="169">
        <v>42633.75</v>
      </c>
      <c r="E20" s="154">
        <v>0.19</v>
      </c>
      <c r="F20" s="154" t="s">
        <v>371</v>
      </c>
      <c r="G20" s="154">
        <v>262.27</v>
      </c>
      <c r="H20" s="154">
        <v>0</v>
      </c>
      <c r="I20" s="154">
        <v>0</v>
      </c>
      <c r="K20" s="154">
        <v>1011.55</v>
      </c>
      <c r="L20" s="154" t="s">
        <v>374</v>
      </c>
      <c r="M20" s="154">
        <v>79.97</v>
      </c>
      <c r="N20" s="154">
        <v>1474416000</v>
      </c>
      <c r="O20" s="154">
        <v>8.69</v>
      </c>
      <c r="P20" s="154">
        <v>219</v>
      </c>
      <c r="Q20" s="154">
        <v>1.51</v>
      </c>
    </row>
    <row r="21" spans="1:17" x14ac:dyDescent="0.25">
      <c r="A21" s="154">
        <v>77.61</v>
      </c>
      <c r="B21" s="154">
        <v>0.83</v>
      </c>
      <c r="C21" s="154">
        <v>33.31</v>
      </c>
      <c r="D21" s="169">
        <v>42633.791666666664</v>
      </c>
      <c r="E21" s="154">
        <v>0.2</v>
      </c>
      <c r="F21" s="154" t="s">
        <v>373</v>
      </c>
      <c r="G21" s="154">
        <v>261.45999999999998</v>
      </c>
      <c r="H21" s="154">
        <v>0</v>
      </c>
      <c r="I21" s="154">
        <v>0</v>
      </c>
      <c r="K21" s="154">
        <v>1011.64</v>
      </c>
      <c r="L21" s="154" t="s">
        <v>374</v>
      </c>
      <c r="M21" s="154">
        <v>77.61</v>
      </c>
      <c r="N21" s="154">
        <v>1474419600</v>
      </c>
      <c r="O21" s="154">
        <v>8.92</v>
      </c>
      <c r="P21" s="154">
        <v>235</v>
      </c>
      <c r="Q21" s="154">
        <v>1.24</v>
      </c>
    </row>
    <row r="22" spans="1:17" x14ac:dyDescent="0.25">
      <c r="A22" s="154">
        <v>75.05</v>
      </c>
      <c r="B22" s="154">
        <v>0.73</v>
      </c>
      <c r="C22" s="154">
        <v>32.380000000000003</v>
      </c>
      <c r="D22" s="169">
        <v>42633.833333333336</v>
      </c>
      <c r="E22" s="154">
        <v>0.21</v>
      </c>
      <c r="F22" s="154" t="s">
        <v>373</v>
      </c>
      <c r="G22" s="154">
        <v>260.73</v>
      </c>
      <c r="H22" s="154">
        <v>0</v>
      </c>
      <c r="I22" s="154">
        <v>0</v>
      </c>
      <c r="K22" s="154">
        <v>1012.14</v>
      </c>
      <c r="L22" s="154" t="s">
        <v>374</v>
      </c>
      <c r="M22" s="154">
        <v>75.05</v>
      </c>
      <c r="N22" s="154">
        <v>1474423200</v>
      </c>
      <c r="O22" s="154">
        <v>9.19</v>
      </c>
      <c r="P22" s="154">
        <v>312</v>
      </c>
      <c r="Q22" s="154">
        <v>0.81</v>
      </c>
    </row>
    <row r="23" spans="1:17" x14ac:dyDescent="0.25">
      <c r="A23" s="154">
        <v>73.03</v>
      </c>
      <c r="B23" s="154">
        <v>0.68</v>
      </c>
      <c r="C23" s="154">
        <v>32.92</v>
      </c>
      <c r="D23" s="169">
        <v>42633.875</v>
      </c>
      <c r="E23" s="154">
        <v>0.23</v>
      </c>
      <c r="F23" s="154" t="s">
        <v>373</v>
      </c>
      <c r="G23" s="154">
        <v>259.92</v>
      </c>
      <c r="H23" s="154">
        <v>0</v>
      </c>
      <c r="I23" s="154">
        <v>0</v>
      </c>
      <c r="K23" s="154">
        <v>1012.6</v>
      </c>
      <c r="L23" s="154" t="s">
        <v>374</v>
      </c>
      <c r="M23" s="154">
        <v>73.03</v>
      </c>
      <c r="N23" s="154">
        <v>1474426800</v>
      </c>
      <c r="O23" s="154">
        <v>9.4499999999999993</v>
      </c>
      <c r="P23" s="154">
        <v>251</v>
      </c>
      <c r="Q23" s="154">
        <v>2.7</v>
      </c>
    </row>
    <row r="24" spans="1:17" x14ac:dyDescent="0.25">
      <c r="A24" s="154">
        <v>71.150000000000006</v>
      </c>
      <c r="B24" s="154">
        <v>0.81</v>
      </c>
      <c r="C24" s="154">
        <v>32.369999999999997</v>
      </c>
      <c r="D24" s="169">
        <v>42633.916666666664</v>
      </c>
      <c r="E24" s="154">
        <v>0.24</v>
      </c>
      <c r="F24" s="154" t="s">
        <v>373</v>
      </c>
      <c r="G24" s="154">
        <v>258.91000000000003</v>
      </c>
      <c r="H24" s="154">
        <v>0</v>
      </c>
      <c r="I24" s="154">
        <v>0</v>
      </c>
      <c r="K24" s="154">
        <v>1012.82</v>
      </c>
      <c r="L24" s="154" t="s">
        <v>374</v>
      </c>
      <c r="M24" s="154">
        <v>71.150000000000006</v>
      </c>
      <c r="N24" s="154">
        <v>1474430400</v>
      </c>
      <c r="O24" s="154">
        <v>9.56</v>
      </c>
      <c r="P24" s="154">
        <v>239</v>
      </c>
      <c r="Q24" s="154">
        <v>3.25</v>
      </c>
    </row>
    <row r="25" spans="1:17" x14ac:dyDescent="0.25">
      <c r="A25" s="154">
        <v>69.92</v>
      </c>
      <c r="B25" s="154">
        <v>0.91</v>
      </c>
      <c r="C25" s="154">
        <v>32.770000000000003</v>
      </c>
      <c r="D25" s="169">
        <v>42633.958333333336</v>
      </c>
      <c r="E25" s="154">
        <v>0.25</v>
      </c>
      <c r="F25" s="154" t="s">
        <v>373</v>
      </c>
      <c r="G25" s="154">
        <v>257.83</v>
      </c>
      <c r="H25" s="154">
        <v>0</v>
      </c>
      <c r="I25" s="154">
        <v>0</v>
      </c>
      <c r="K25" s="154">
        <v>1012.93</v>
      </c>
      <c r="L25" s="154" t="s">
        <v>374</v>
      </c>
      <c r="M25" s="154">
        <v>69.92</v>
      </c>
      <c r="N25" s="154">
        <v>1474434000</v>
      </c>
      <c r="O25" s="154">
        <v>9.52</v>
      </c>
      <c r="P25" s="154">
        <v>214</v>
      </c>
      <c r="Q25" s="154">
        <v>2.88</v>
      </c>
    </row>
    <row r="26" spans="1:17" x14ac:dyDescent="0.25">
      <c r="A26" s="154">
        <v>68.760000000000005</v>
      </c>
      <c r="B26" s="154">
        <v>0.77</v>
      </c>
      <c r="C26" s="154">
        <v>32.619999999999997</v>
      </c>
      <c r="D26" s="169">
        <v>42634</v>
      </c>
      <c r="E26" s="154">
        <v>0.26</v>
      </c>
      <c r="F26" s="154" t="s">
        <v>373</v>
      </c>
      <c r="G26" s="154">
        <v>256.92</v>
      </c>
      <c r="H26" s="154">
        <v>0</v>
      </c>
      <c r="I26" s="154">
        <v>0</v>
      </c>
      <c r="K26" s="154">
        <v>1013.08</v>
      </c>
      <c r="L26" s="154" t="s">
        <v>374</v>
      </c>
      <c r="M26" s="154">
        <v>68.760000000000005</v>
      </c>
      <c r="N26" s="154">
        <v>1474437600</v>
      </c>
      <c r="O26" s="154">
        <v>9.5500000000000007</v>
      </c>
      <c r="P26" s="154">
        <v>217</v>
      </c>
      <c r="Q26" s="154">
        <v>4.7300000000000004</v>
      </c>
    </row>
    <row r="27" spans="1:17" x14ac:dyDescent="0.25">
      <c r="A27" s="154">
        <v>67.45</v>
      </c>
      <c r="B27" s="154">
        <v>0.89</v>
      </c>
      <c r="C27" s="154">
        <v>33.75</v>
      </c>
      <c r="D27" s="169">
        <v>42634.041666666664</v>
      </c>
      <c r="E27" s="154">
        <v>0.28999999999999998</v>
      </c>
      <c r="F27" s="154" t="s">
        <v>373</v>
      </c>
      <c r="G27" s="154">
        <v>256.41000000000003</v>
      </c>
      <c r="H27" s="154">
        <v>0</v>
      </c>
      <c r="I27" s="154">
        <v>0</v>
      </c>
      <c r="K27" s="154">
        <v>1013.43</v>
      </c>
      <c r="L27" s="154" t="s">
        <v>374</v>
      </c>
      <c r="M27" s="154">
        <v>67.45</v>
      </c>
      <c r="N27" s="154">
        <v>1474441200</v>
      </c>
      <c r="O27" s="154">
        <v>9.58</v>
      </c>
      <c r="P27" s="154">
        <v>229</v>
      </c>
      <c r="Q27" s="154">
        <v>6.07</v>
      </c>
    </row>
    <row r="28" spans="1:17" x14ac:dyDescent="0.25">
      <c r="A28" s="154">
        <v>67.12</v>
      </c>
      <c r="B28" s="154">
        <v>0.87</v>
      </c>
      <c r="C28" s="154">
        <v>34.9</v>
      </c>
      <c r="D28" s="169">
        <v>42634.083333333336</v>
      </c>
      <c r="E28" s="154">
        <v>0.3</v>
      </c>
      <c r="F28" s="154" t="s">
        <v>373</v>
      </c>
      <c r="G28" s="154">
        <v>255.91</v>
      </c>
      <c r="H28" s="154">
        <v>1.9E-3</v>
      </c>
      <c r="I28" s="154">
        <v>0.04</v>
      </c>
      <c r="J28" s="154" t="s">
        <v>372</v>
      </c>
      <c r="K28" s="154">
        <v>1013.74</v>
      </c>
      <c r="L28" s="154" t="s">
        <v>374</v>
      </c>
      <c r="M28" s="154">
        <v>67.12</v>
      </c>
      <c r="N28" s="154">
        <v>1474444800</v>
      </c>
      <c r="O28" s="154">
        <v>9.57</v>
      </c>
      <c r="P28" s="154">
        <v>213</v>
      </c>
      <c r="Q28" s="154">
        <v>5.51</v>
      </c>
    </row>
    <row r="29" spans="1:17" x14ac:dyDescent="0.25">
      <c r="A29" s="154">
        <v>66.69</v>
      </c>
      <c r="B29" s="154">
        <v>0.87</v>
      </c>
      <c r="C29" s="154">
        <v>37.69</v>
      </c>
      <c r="D29" s="169">
        <v>42634.125</v>
      </c>
      <c r="E29" s="154">
        <v>0.34</v>
      </c>
      <c r="F29" s="154" t="s">
        <v>372</v>
      </c>
      <c r="G29" s="154">
        <v>255.41</v>
      </c>
      <c r="H29" s="154">
        <v>1.5299999999999999E-2</v>
      </c>
      <c r="I29" s="154">
        <v>0.45</v>
      </c>
      <c r="J29" s="154" t="s">
        <v>372</v>
      </c>
      <c r="K29" s="154">
        <v>1014.08</v>
      </c>
      <c r="L29" s="154" t="s">
        <v>762</v>
      </c>
      <c r="M29" s="154">
        <v>66.69</v>
      </c>
      <c r="N29" s="154">
        <v>1474448400</v>
      </c>
      <c r="O29" s="154">
        <v>9.1300000000000008</v>
      </c>
      <c r="P29" s="154">
        <v>194</v>
      </c>
      <c r="Q29" s="154">
        <v>4.5999999999999996</v>
      </c>
    </row>
    <row r="31" spans="1:17" x14ac:dyDescent="0.25">
      <c r="A31" s="154" t="s">
        <v>763</v>
      </c>
    </row>
    <row r="33" spans="1:1" x14ac:dyDescent="0.25">
      <c r="A33" s="154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107</v>
      </c>
      <c r="D1" s="74" t="s">
        <v>108</v>
      </c>
      <c r="J1" s="34" t="s">
        <v>109</v>
      </c>
      <c r="K1" s="34" t="s">
        <v>72</v>
      </c>
      <c r="L1" s="34" t="s">
        <v>73</v>
      </c>
      <c r="O1" s="77" t="s">
        <v>110</v>
      </c>
    </row>
    <row r="2" spans="1:16" ht="15.75" thickBot="1" x14ac:dyDescent="0.3">
      <c r="A2" s="14">
        <v>42633</v>
      </c>
      <c r="B2" s="4"/>
      <c r="C2" s="75">
        <v>50</v>
      </c>
      <c r="D2" s="76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C:\Users\stu\Documents\GitHub\eaglep3-reporting\EC\2016-09-20-refined-times.txt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135</v>
      </c>
      <c r="B1" s="127" t="s">
        <v>136</v>
      </c>
      <c r="C1" s="128" t="s">
        <v>137</v>
      </c>
      <c r="H1" t="s">
        <v>131</v>
      </c>
      <c r="I1" s="129" t="s">
        <v>133</v>
      </c>
      <c r="J1"/>
    </row>
    <row r="2" spans="1:11" x14ac:dyDescent="0.25">
      <c r="A2" s="128" t="s">
        <v>138</v>
      </c>
      <c r="B2" s="128" t="s">
        <v>139</v>
      </c>
      <c r="C2" s="128" t="s">
        <v>140</v>
      </c>
      <c r="H2" t="s">
        <v>132</v>
      </c>
      <c r="I2" s="114" t="s">
        <v>134</v>
      </c>
      <c r="J2"/>
    </row>
    <row r="3" spans="1:11" x14ac:dyDescent="0.25">
      <c r="A3" s="128" t="s">
        <v>141</v>
      </c>
      <c r="B3" s="128" t="s">
        <v>142</v>
      </c>
      <c r="C3" s="128" t="s">
        <v>143</v>
      </c>
      <c r="H3" t="s">
        <v>157</v>
      </c>
      <c r="I3" s="114">
        <v>1</v>
      </c>
      <c r="J3"/>
      <c r="K3" s="70"/>
    </row>
    <row r="4" spans="1:11" x14ac:dyDescent="0.25">
      <c r="A4" s="128" t="s">
        <v>144</v>
      </c>
      <c r="C4" s="128" t="s">
        <v>145</v>
      </c>
      <c r="H4" t="s">
        <v>158</v>
      </c>
      <c r="I4" s="114">
        <v>2</v>
      </c>
      <c r="J4"/>
      <c r="K4" s="70"/>
    </row>
    <row r="5" spans="1:11" x14ac:dyDescent="0.25">
      <c r="A5" s="128" t="s">
        <v>146</v>
      </c>
      <c r="C5" s="128" t="s">
        <v>147</v>
      </c>
      <c r="H5" t="s">
        <v>159</v>
      </c>
      <c r="I5" s="114">
        <v>23</v>
      </c>
      <c r="J5"/>
      <c r="K5" s="70"/>
    </row>
    <row r="6" spans="1:11" x14ac:dyDescent="0.25">
      <c r="A6" s="128" t="s">
        <v>148</v>
      </c>
      <c r="C6" s="128" t="s">
        <v>149</v>
      </c>
      <c r="H6" s="131" t="s">
        <v>160</v>
      </c>
      <c r="I6" s="132" t="s">
        <v>139</v>
      </c>
    </row>
    <row r="7" spans="1:11" x14ac:dyDescent="0.25">
      <c r="A7" s="128" t="s">
        <v>150</v>
      </c>
      <c r="C7" s="128" t="s">
        <v>151</v>
      </c>
    </row>
    <row r="8" spans="1:11" x14ac:dyDescent="0.25">
      <c r="C8" s="128" t="s">
        <v>152</v>
      </c>
    </row>
    <row r="9" spans="1:11" x14ac:dyDescent="0.25">
      <c r="C9" s="131" t="s">
        <v>255</v>
      </c>
    </row>
    <row r="10" spans="1:11" x14ac:dyDescent="0.25">
      <c r="C10" s="128" t="s">
        <v>153</v>
      </c>
    </row>
    <row r="11" spans="1:11" x14ac:dyDescent="0.25">
      <c r="C11" s="128" t="s">
        <v>154</v>
      </c>
    </row>
    <row r="12" spans="1:11" x14ac:dyDescent="0.25">
      <c r="C12" s="128" t="s">
        <v>155</v>
      </c>
    </row>
    <row r="13" spans="1:11" x14ac:dyDescent="0.25">
      <c r="C13" s="128" t="s">
        <v>156</v>
      </c>
    </row>
    <row r="14" spans="1:11" x14ac:dyDescent="0.25">
      <c r="C14" s="131" t="s">
        <v>256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2016-09-21T15:48:04Z</dcterms:modified>
</cp:coreProperties>
</file>