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" i="1" l="1"/>
  <c r="X159" i="1" l="1"/>
  <c r="X160" i="1"/>
  <c r="AO158" i="1"/>
  <c r="AN158" i="1"/>
  <c r="AM158" i="1"/>
  <c r="AH158" i="1"/>
  <c r="AF158" i="1"/>
  <c r="AE158" i="1"/>
  <c r="AD158" i="1"/>
  <c r="AC158" i="1"/>
  <c r="AB158" i="1"/>
  <c r="AA158" i="1"/>
  <c r="V158" i="1"/>
  <c r="T158" i="1"/>
  <c r="N158" i="1"/>
  <c r="M158" i="1"/>
  <c r="L158" i="1"/>
  <c r="K158" i="1"/>
  <c r="AO157" i="1"/>
  <c r="AN157" i="1"/>
  <c r="AM157" i="1"/>
  <c r="AH157" i="1"/>
  <c r="AF157" i="1"/>
  <c r="AE157" i="1"/>
  <c r="AD157" i="1"/>
  <c r="X158" i="1" s="1"/>
  <c r="AC157" i="1"/>
  <c r="AB157" i="1"/>
  <c r="Z157" i="1"/>
  <c r="AA157" i="1" s="1"/>
  <c r="Y157" i="1"/>
  <c r="V157" i="1"/>
  <c r="N157" i="1"/>
  <c r="M157" i="1"/>
  <c r="L157" i="1"/>
  <c r="K157" i="1"/>
  <c r="AO156" i="1"/>
  <c r="AN156" i="1"/>
  <c r="AM156" i="1"/>
  <c r="AH156" i="1"/>
  <c r="AF156" i="1"/>
  <c r="AE156" i="1"/>
  <c r="AD156" i="1"/>
  <c r="X156" i="1" s="1"/>
  <c r="AC156" i="1"/>
  <c r="AB156" i="1"/>
  <c r="Z156" i="1"/>
  <c r="AA156" i="1" s="1"/>
  <c r="Y156" i="1"/>
  <c r="V156" i="1"/>
  <c r="N156" i="1"/>
  <c r="M156" i="1"/>
  <c r="L156" i="1"/>
  <c r="K156" i="1"/>
  <c r="AO155" i="1"/>
  <c r="AN155" i="1"/>
  <c r="AM155" i="1"/>
  <c r="AH155" i="1"/>
  <c r="AF155" i="1"/>
  <c r="AE155" i="1"/>
  <c r="AD155" i="1"/>
  <c r="X155" i="1" s="1"/>
  <c r="AC155" i="1"/>
  <c r="AB155" i="1"/>
  <c r="Z155" i="1"/>
  <c r="AA155" i="1" s="1"/>
  <c r="Y155" i="1"/>
  <c r="V155" i="1"/>
  <c r="N155" i="1"/>
  <c r="M155" i="1"/>
  <c r="L155" i="1"/>
  <c r="K155" i="1"/>
  <c r="AO154" i="1"/>
  <c r="AN154" i="1"/>
  <c r="AM154" i="1"/>
  <c r="AH154" i="1"/>
  <c r="AF154" i="1"/>
  <c r="AE154" i="1"/>
  <c r="AD154" i="1"/>
  <c r="X154" i="1" s="1"/>
  <c r="AC154" i="1"/>
  <c r="AB154" i="1"/>
  <c r="Z154" i="1"/>
  <c r="AA154" i="1" s="1"/>
  <c r="Y154" i="1"/>
  <c r="V154" i="1"/>
  <c r="N154" i="1"/>
  <c r="M154" i="1"/>
  <c r="L154" i="1"/>
  <c r="K154" i="1"/>
  <c r="AO153" i="1"/>
  <c r="AN153" i="1"/>
  <c r="AM153" i="1"/>
  <c r="AH153" i="1"/>
  <c r="AF153" i="1"/>
  <c r="AE153" i="1"/>
  <c r="AD153" i="1"/>
  <c r="X153" i="1" s="1"/>
  <c r="AC153" i="1"/>
  <c r="AB153" i="1"/>
  <c r="Z153" i="1"/>
  <c r="AA153" i="1" s="1"/>
  <c r="Y153" i="1"/>
  <c r="V153" i="1"/>
  <c r="N153" i="1"/>
  <c r="M153" i="1"/>
  <c r="L153" i="1"/>
  <c r="K153" i="1"/>
  <c r="AO152" i="1"/>
  <c r="AN152" i="1"/>
  <c r="AM152" i="1"/>
  <c r="AH152" i="1"/>
  <c r="AF152" i="1"/>
  <c r="AE152" i="1"/>
  <c r="AD152" i="1"/>
  <c r="X152" i="1" s="1"/>
  <c r="AC152" i="1"/>
  <c r="AB152" i="1"/>
  <c r="Z152" i="1"/>
  <c r="AA152" i="1" s="1"/>
  <c r="Y152" i="1"/>
  <c r="V152" i="1"/>
  <c r="N152" i="1"/>
  <c r="M152" i="1"/>
  <c r="L152" i="1"/>
  <c r="K152" i="1"/>
  <c r="AO151" i="1"/>
  <c r="AN151" i="1"/>
  <c r="AM151" i="1"/>
  <c r="AH151" i="1"/>
  <c r="AF151" i="1"/>
  <c r="AE151" i="1"/>
  <c r="AD151" i="1"/>
  <c r="X151" i="1" s="1"/>
  <c r="AC151" i="1"/>
  <c r="AB151" i="1"/>
  <c r="Z151" i="1"/>
  <c r="AA151" i="1" s="1"/>
  <c r="Y151" i="1"/>
  <c r="V151" i="1"/>
  <c r="N151" i="1"/>
  <c r="M151" i="1"/>
  <c r="L151" i="1"/>
  <c r="K151" i="1"/>
  <c r="AO150" i="1"/>
  <c r="AN150" i="1"/>
  <c r="AM150" i="1"/>
  <c r="AH150" i="1"/>
  <c r="AF150" i="1"/>
  <c r="AE150" i="1"/>
  <c r="AD150" i="1"/>
  <c r="X150" i="1" s="1"/>
  <c r="AC150" i="1"/>
  <c r="AB150" i="1"/>
  <c r="Z150" i="1"/>
  <c r="AA150" i="1" s="1"/>
  <c r="Y150" i="1"/>
  <c r="V150" i="1"/>
  <c r="N150" i="1"/>
  <c r="M150" i="1"/>
  <c r="L150" i="1"/>
  <c r="K150" i="1"/>
  <c r="AO149" i="1"/>
  <c r="AN149" i="1"/>
  <c r="AM149" i="1"/>
  <c r="AH149" i="1"/>
  <c r="AF149" i="1"/>
  <c r="AE149" i="1"/>
  <c r="AD149" i="1"/>
  <c r="AC149" i="1"/>
  <c r="AB149" i="1"/>
  <c r="AA149" i="1"/>
  <c r="X149" i="1"/>
  <c r="V149" i="1"/>
  <c r="T149" i="1"/>
  <c r="M149" i="1"/>
  <c r="N149" i="1" s="1"/>
  <c r="L149" i="1"/>
  <c r="K149" i="1"/>
  <c r="AO148" i="1"/>
  <c r="AN148" i="1"/>
  <c r="AM148" i="1"/>
  <c r="AH148" i="1"/>
  <c r="AF148" i="1"/>
  <c r="AE148" i="1"/>
  <c r="AD148" i="1"/>
  <c r="AC148" i="1"/>
  <c r="AB148" i="1"/>
  <c r="Z148" i="1"/>
  <c r="AA148" i="1" s="1"/>
  <c r="Y148" i="1"/>
  <c r="X148" i="1"/>
  <c r="V148" i="1"/>
  <c r="T148" i="1"/>
  <c r="M148" i="1"/>
  <c r="N148" i="1" s="1"/>
  <c r="L148" i="1"/>
  <c r="K148" i="1"/>
  <c r="AO147" i="1"/>
  <c r="AN147" i="1"/>
  <c r="AM147" i="1"/>
  <c r="AH147" i="1"/>
  <c r="AF147" i="1"/>
  <c r="AE147" i="1"/>
  <c r="AD147" i="1"/>
  <c r="AC147" i="1"/>
  <c r="AB147" i="1"/>
  <c r="AA147" i="1"/>
  <c r="V147" i="1"/>
  <c r="T147" i="1"/>
  <c r="N147" i="1"/>
  <c r="M147" i="1"/>
  <c r="L147" i="1"/>
  <c r="K147" i="1"/>
  <c r="AO146" i="1"/>
  <c r="AN146" i="1"/>
  <c r="AM146" i="1"/>
  <c r="AH146" i="1"/>
  <c r="AF146" i="1"/>
  <c r="AE146" i="1"/>
  <c r="AD146" i="1"/>
  <c r="X147" i="1" s="1"/>
  <c r="AC146" i="1"/>
  <c r="AB146" i="1"/>
  <c r="Z146" i="1"/>
  <c r="AA146" i="1" s="1"/>
  <c r="Y146" i="1"/>
  <c r="V146" i="1"/>
  <c r="N146" i="1"/>
  <c r="M146" i="1"/>
  <c r="L146" i="1"/>
  <c r="K146" i="1"/>
  <c r="AO145" i="1"/>
  <c r="AN145" i="1"/>
  <c r="AM145" i="1"/>
  <c r="AH145" i="1"/>
  <c r="AF145" i="1"/>
  <c r="AE145" i="1"/>
  <c r="AD145" i="1"/>
  <c r="AC145" i="1"/>
  <c r="AB145" i="1"/>
  <c r="AA145" i="1"/>
  <c r="X145" i="1"/>
  <c r="V145" i="1"/>
  <c r="T145" i="1"/>
  <c r="M145" i="1"/>
  <c r="N145" i="1" s="1"/>
  <c r="L145" i="1"/>
  <c r="K145" i="1"/>
  <c r="AO144" i="1"/>
  <c r="AN144" i="1"/>
  <c r="AM144" i="1"/>
  <c r="AH144" i="1"/>
  <c r="AF144" i="1"/>
  <c r="AE144" i="1"/>
  <c r="AD144" i="1"/>
  <c r="AC144" i="1"/>
  <c r="AB144" i="1"/>
  <c r="Z144" i="1"/>
  <c r="AA144" i="1" s="1"/>
  <c r="Y144" i="1"/>
  <c r="X144" i="1"/>
  <c r="V144" i="1"/>
  <c r="T144" i="1"/>
  <c r="M144" i="1"/>
  <c r="N144" i="1" s="1"/>
  <c r="L144" i="1"/>
  <c r="K144" i="1"/>
  <c r="AO143" i="1"/>
  <c r="AN143" i="1"/>
  <c r="AM143" i="1"/>
  <c r="AH143" i="1"/>
  <c r="AF143" i="1"/>
  <c r="AE143" i="1"/>
  <c r="AD143" i="1"/>
  <c r="AC143" i="1"/>
  <c r="AB143" i="1"/>
  <c r="Z143" i="1"/>
  <c r="AA143" i="1" s="1"/>
  <c r="Y143" i="1"/>
  <c r="X143" i="1"/>
  <c r="V143" i="1"/>
  <c r="T143" i="1"/>
  <c r="N143" i="1"/>
  <c r="M143" i="1"/>
  <c r="L143" i="1"/>
  <c r="K143" i="1"/>
  <c r="AO142" i="1"/>
  <c r="AN142" i="1"/>
  <c r="AM142" i="1"/>
  <c r="AH142" i="1"/>
  <c r="AF142" i="1"/>
  <c r="AE142" i="1"/>
  <c r="AD142" i="1"/>
  <c r="AC142" i="1"/>
  <c r="AB142" i="1"/>
  <c r="AA142" i="1"/>
  <c r="V142" i="1"/>
  <c r="T142" i="1"/>
  <c r="N142" i="1"/>
  <c r="M142" i="1"/>
  <c r="L142" i="1"/>
  <c r="K142" i="1"/>
  <c r="AO141" i="1"/>
  <c r="AN141" i="1"/>
  <c r="AM141" i="1"/>
  <c r="AH141" i="1"/>
  <c r="AF141" i="1"/>
  <c r="AE141" i="1"/>
  <c r="AD141" i="1"/>
  <c r="X142" i="1" s="1"/>
  <c r="AC141" i="1"/>
  <c r="AB141" i="1"/>
  <c r="Z141" i="1"/>
  <c r="AA141" i="1" s="1"/>
  <c r="Y141" i="1"/>
  <c r="V141" i="1"/>
  <c r="P141" i="1"/>
  <c r="M141" i="1"/>
  <c r="L141" i="1"/>
  <c r="K141" i="1"/>
  <c r="AO140" i="1"/>
  <c r="AN140" i="1"/>
  <c r="AM140" i="1"/>
  <c r="AH140" i="1"/>
  <c r="AF140" i="1"/>
  <c r="AE140" i="1"/>
  <c r="AD140" i="1"/>
  <c r="AC140" i="1"/>
  <c r="AB140" i="1"/>
  <c r="Z140" i="1"/>
  <c r="AA140" i="1" s="1"/>
  <c r="Y140" i="1"/>
  <c r="X140" i="1"/>
  <c r="V140" i="1"/>
  <c r="T140" i="1"/>
  <c r="N140" i="1"/>
  <c r="M140" i="1"/>
  <c r="L140" i="1"/>
  <c r="K140" i="1"/>
  <c r="AO139" i="1"/>
  <c r="AN139" i="1"/>
  <c r="AM139" i="1"/>
  <c r="AH139" i="1"/>
  <c r="AF139" i="1"/>
  <c r="AE139" i="1"/>
  <c r="AD139" i="1"/>
  <c r="AC139" i="1"/>
  <c r="AB139" i="1"/>
  <c r="Z139" i="1"/>
  <c r="AA139" i="1" s="1"/>
  <c r="Y139" i="1"/>
  <c r="X139" i="1"/>
  <c r="V139" i="1"/>
  <c r="T139" i="1"/>
  <c r="N139" i="1"/>
  <c r="M139" i="1"/>
  <c r="L139" i="1"/>
  <c r="K139" i="1"/>
  <c r="AO138" i="1"/>
  <c r="AN138" i="1"/>
  <c r="AM138" i="1"/>
  <c r="AH138" i="1"/>
  <c r="AF138" i="1"/>
  <c r="AE138" i="1"/>
  <c r="AD138" i="1"/>
  <c r="AC138" i="1"/>
  <c r="AB138" i="1"/>
  <c r="Z138" i="1"/>
  <c r="AA138" i="1" s="1"/>
  <c r="Y138" i="1"/>
  <c r="X138" i="1"/>
  <c r="V138" i="1"/>
  <c r="T138" i="1"/>
  <c r="N138" i="1"/>
  <c r="M138" i="1"/>
  <c r="L138" i="1"/>
  <c r="K138" i="1"/>
  <c r="AO137" i="1"/>
  <c r="AN137" i="1"/>
  <c r="AM137" i="1"/>
  <c r="AH137" i="1"/>
  <c r="AF137" i="1"/>
  <c r="AE137" i="1"/>
  <c r="AD137" i="1"/>
  <c r="AC137" i="1"/>
  <c r="AB137" i="1"/>
  <c r="Z137" i="1"/>
  <c r="AA137" i="1" s="1"/>
  <c r="Y137" i="1"/>
  <c r="X137" i="1"/>
  <c r="V137" i="1"/>
  <c r="T137" i="1"/>
  <c r="N137" i="1"/>
  <c r="M137" i="1"/>
  <c r="L137" i="1"/>
  <c r="K137" i="1"/>
  <c r="AO136" i="1"/>
  <c r="AN136" i="1"/>
  <c r="AM136" i="1"/>
  <c r="AH136" i="1"/>
  <c r="AF136" i="1"/>
  <c r="AE136" i="1"/>
  <c r="AD136" i="1"/>
  <c r="AC136" i="1"/>
  <c r="AB136" i="1"/>
  <c r="Z136" i="1"/>
  <c r="AA136" i="1" s="1"/>
  <c r="Y136" i="1"/>
  <c r="X136" i="1"/>
  <c r="V136" i="1"/>
  <c r="T136" i="1"/>
  <c r="N136" i="1"/>
  <c r="M136" i="1"/>
  <c r="L136" i="1"/>
  <c r="K136" i="1"/>
  <c r="AO135" i="1"/>
  <c r="AN135" i="1"/>
  <c r="AM135" i="1"/>
  <c r="AH135" i="1"/>
  <c r="AF135" i="1"/>
  <c r="AE135" i="1"/>
  <c r="AD135" i="1"/>
  <c r="AC135" i="1"/>
  <c r="AB135" i="1"/>
  <c r="Z135" i="1"/>
  <c r="AA135" i="1" s="1"/>
  <c r="Y135" i="1"/>
  <c r="X135" i="1"/>
  <c r="V135" i="1"/>
  <c r="T135" i="1"/>
  <c r="N135" i="1"/>
  <c r="M135" i="1"/>
  <c r="L135" i="1"/>
  <c r="K135" i="1"/>
  <c r="AO134" i="1"/>
  <c r="AN134" i="1"/>
  <c r="AM134" i="1"/>
  <c r="AH134" i="1"/>
  <c r="AF134" i="1"/>
  <c r="AE134" i="1"/>
  <c r="AD134" i="1"/>
  <c r="AC134" i="1"/>
  <c r="AB134" i="1"/>
  <c r="Z134" i="1"/>
  <c r="AA134" i="1" s="1"/>
  <c r="Y134" i="1"/>
  <c r="X134" i="1"/>
  <c r="V134" i="1"/>
  <c r="T134" i="1"/>
  <c r="N134" i="1"/>
  <c r="M134" i="1"/>
  <c r="L134" i="1"/>
  <c r="K134" i="1"/>
  <c r="AO133" i="1"/>
  <c r="AN133" i="1"/>
  <c r="AM133" i="1"/>
  <c r="AH133" i="1"/>
  <c r="AF133" i="1"/>
  <c r="AE133" i="1"/>
  <c r="AD133" i="1"/>
  <c r="AC133" i="1"/>
  <c r="AB133" i="1"/>
  <c r="Z133" i="1"/>
  <c r="AA133" i="1" s="1"/>
  <c r="Y133" i="1"/>
  <c r="V133" i="1"/>
  <c r="T133" i="1"/>
  <c r="N133" i="1"/>
  <c r="M133" i="1"/>
  <c r="L133" i="1"/>
  <c r="K133" i="1"/>
  <c r="AO132" i="1"/>
  <c r="AN132" i="1"/>
  <c r="AM132" i="1"/>
  <c r="AH132" i="1"/>
  <c r="AF132" i="1"/>
  <c r="AE132" i="1"/>
  <c r="AD132" i="1"/>
  <c r="X133" i="1" s="1"/>
  <c r="AC132" i="1"/>
  <c r="AB132" i="1"/>
  <c r="Z132" i="1"/>
  <c r="AA132" i="1" s="1"/>
  <c r="Y132" i="1"/>
  <c r="V132" i="1"/>
  <c r="N132" i="1"/>
  <c r="M132" i="1"/>
  <c r="L132" i="1"/>
  <c r="K132" i="1"/>
  <c r="AO131" i="1"/>
  <c r="AN131" i="1"/>
  <c r="AM131" i="1"/>
  <c r="AH131" i="1"/>
  <c r="AF131" i="1"/>
  <c r="AE131" i="1"/>
  <c r="AD131" i="1"/>
  <c r="AC131" i="1"/>
  <c r="AB131" i="1"/>
  <c r="AA131" i="1"/>
  <c r="X131" i="1"/>
  <c r="V131" i="1"/>
  <c r="T131" i="1"/>
  <c r="N131" i="1"/>
  <c r="M131" i="1"/>
  <c r="L131" i="1"/>
  <c r="K131" i="1"/>
  <c r="AO130" i="1"/>
  <c r="AN130" i="1"/>
  <c r="AM130" i="1"/>
  <c r="AH130" i="1"/>
  <c r="AF130" i="1"/>
  <c r="AE130" i="1"/>
  <c r="AD130" i="1"/>
  <c r="AC130" i="1"/>
  <c r="AB130" i="1"/>
  <c r="Z130" i="1"/>
  <c r="AA130" i="1" s="1"/>
  <c r="Y130" i="1"/>
  <c r="X130" i="1"/>
  <c r="V130" i="1"/>
  <c r="T130" i="1"/>
  <c r="N130" i="1"/>
  <c r="M130" i="1"/>
  <c r="L130" i="1"/>
  <c r="K130" i="1"/>
  <c r="AO129" i="1"/>
  <c r="AN129" i="1"/>
  <c r="AM129" i="1"/>
  <c r="AH129" i="1"/>
  <c r="AF129" i="1"/>
  <c r="AE129" i="1"/>
  <c r="AD129" i="1"/>
  <c r="AC129" i="1"/>
  <c r="AB129" i="1"/>
  <c r="Z129" i="1"/>
  <c r="AA129" i="1" s="1"/>
  <c r="Y129" i="1"/>
  <c r="V129" i="1"/>
  <c r="T129" i="1"/>
  <c r="N129" i="1"/>
  <c r="M129" i="1"/>
  <c r="L129" i="1"/>
  <c r="K129" i="1"/>
  <c r="AO128" i="1"/>
  <c r="AN128" i="1"/>
  <c r="AM128" i="1"/>
  <c r="AH128" i="1"/>
  <c r="AF128" i="1"/>
  <c r="AE128" i="1"/>
  <c r="AD128" i="1"/>
  <c r="X129" i="1" s="1"/>
  <c r="AC128" i="1"/>
  <c r="AB128" i="1"/>
  <c r="Z128" i="1"/>
  <c r="AA128" i="1" s="1"/>
  <c r="Y128" i="1"/>
  <c r="V128" i="1"/>
  <c r="N128" i="1"/>
  <c r="M128" i="1"/>
  <c r="L128" i="1"/>
  <c r="K128" i="1"/>
  <c r="AO127" i="1"/>
  <c r="AN127" i="1"/>
  <c r="AM127" i="1"/>
  <c r="AH127" i="1"/>
  <c r="AF127" i="1"/>
  <c r="AE127" i="1"/>
  <c r="AD127" i="1"/>
  <c r="AC127" i="1"/>
  <c r="AB127" i="1"/>
  <c r="AA127" i="1"/>
  <c r="V127" i="1"/>
  <c r="T127" i="1"/>
  <c r="N127" i="1"/>
  <c r="M127" i="1"/>
  <c r="L127" i="1"/>
  <c r="K127" i="1"/>
  <c r="AO126" i="1"/>
  <c r="AN126" i="1"/>
  <c r="AM126" i="1"/>
  <c r="AH126" i="1"/>
  <c r="AF126" i="1"/>
  <c r="AE126" i="1"/>
  <c r="AD126" i="1"/>
  <c r="X127" i="1" s="1"/>
  <c r="AC126" i="1"/>
  <c r="AB126" i="1"/>
  <c r="Z126" i="1"/>
  <c r="AA126" i="1" s="1"/>
  <c r="Y126" i="1"/>
  <c r="X126" i="1"/>
  <c r="V126" i="1"/>
  <c r="N126" i="1"/>
  <c r="M126" i="1"/>
  <c r="L126" i="1"/>
  <c r="K126" i="1"/>
  <c r="AO125" i="1"/>
  <c r="AN125" i="1"/>
  <c r="AM125" i="1"/>
  <c r="AH125" i="1"/>
  <c r="AF125" i="1"/>
  <c r="AE125" i="1"/>
  <c r="AD125" i="1"/>
  <c r="AC125" i="1"/>
  <c r="AB125" i="1"/>
  <c r="Z125" i="1"/>
  <c r="AA125" i="1" s="1"/>
  <c r="Y125" i="1"/>
  <c r="X125" i="1"/>
  <c r="V125" i="1"/>
  <c r="T125" i="1"/>
  <c r="N125" i="1"/>
  <c r="M125" i="1"/>
  <c r="L125" i="1"/>
  <c r="K125" i="1"/>
  <c r="AO124" i="1"/>
  <c r="AN124" i="1"/>
  <c r="AM124" i="1"/>
  <c r="AH124" i="1"/>
  <c r="AF124" i="1"/>
  <c r="AE124" i="1"/>
  <c r="AD124" i="1"/>
  <c r="AC124" i="1"/>
  <c r="AB124" i="1"/>
  <c r="Z124" i="1"/>
  <c r="AA124" i="1" s="1"/>
  <c r="Y124" i="1"/>
  <c r="X124" i="1"/>
  <c r="V124" i="1"/>
  <c r="T124" i="1"/>
  <c r="N124" i="1"/>
  <c r="M124" i="1"/>
  <c r="L124" i="1"/>
  <c r="K124" i="1"/>
  <c r="AO123" i="1"/>
  <c r="AN123" i="1"/>
  <c r="AM123" i="1"/>
  <c r="AH123" i="1"/>
  <c r="AF123" i="1"/>
  <c r="AE123" i="1"/>
  <c r="AD123" i="1"/>
  <c r="AC123" i="1"/>
  <c r="AB123" i="1"/>
  <c r="Z123" i="1"/>
  <c r="AA123" i="1" s="1"/>
  <c r="Y123" i="1"/>
  <c r="X123" i="1"/>
  <c r="V123" i="1"/>
  <c r="T123" i="1"/>
  <c r="N123" i="1"/>
  <c r="M123" i="1"/>
  <c r="L123" i="1"/>
  <c r="K123" i="1"/>
  <c r="AO122" i="1"/>
  <c r="AN122" i="1"/>
  <c r="AM122" i="1"/>
  <c r="AH122" i="1"/>
  <c r="AF122" i="1"/>
  <c r="AE122" i="1"/>
  <c r="AD122" i="1"/>
  <c r="AC122" i="1"/>
  <c r="AB122" i="1"/>
  <c r="Z122" i="1"/>
  <c r="AA122" i="1" s="1"/>
  <c r="Y122" i="1"/>
  <c r="X122" i="1"/>
  <c r="V122" i="1"/>
  <c r="T122" i="1"/>
  <c r="N122" i="1"/>
  <c r="M122" i="1"/>
  <c r="L122" i="1"/>
  <c r="K122" i="1"/>
  <c r="AO121" i="1"/>
  <c r="AN121" i="1"/>
  <c r="AM121" i="1"/>
  <c r="AH121" i="1"/>
  <c r="AF121" i="1"/>
  <c r="AE121" i="1"/>
  <c r="AD121" i="1"/>
  <c r="AC121" i="1"/>
  <c r="AB121" i="1"/>
  <c r="Z121" i="1"/>
  <c r="AA121" i="1" s="1"/>
  <c r="Y121" i="1"/>
  <c r="X121" i="1"/>
  <c r="V121" i="1"/>
  <c r="T121" i="1"/>
  <c r="N121" i="1"/>
  <c r="M121" i="1"/>
  <c r="L121" i="1"/>
  <c r="K121" i="1"/>
  <c r="AO120" i="1"/>
  <c r="AN120" i="1"/>
  <c r="AM120" i="1"/>
  <c r="AH120" i="1"/>
  <c r="AF120" i="1"/>
  <c r="AE120" i="1"/>
  <c r="AD120" i="1"/>
  <c r="AC120" i="1"/>
  <c r="AB120" i="1"/>
  <c r="Z120" i="1"/>
  <c r="AA120" i="1" s="1"/>
  <c r="Y120" i="1"/>
  <c r="X120" i="1"/>
  <c r="V120" i="1"/>
  <c r="T120" i="1"/>
  <c r="N120" i="1"/>
  <c r="M120" i="1"/>
  <c r="L120" i="1"/>
  <c r="K120" i="1"/>
  <c r="AO119" i="1"/>
  <c r="AN119" i="1"/>
  <c r="AM119" i="1"/>
  <c r="AH119" i="1"/>
  <c r="AF119" i="1"/>
  <c r="AE119" i="1"/>
  <c r="AD119" i="1"/>
  <c r="AC119" i="1"/>
  <c r="AB119" i="1"/>
  <c r="Z119" i="1"/>
  <c r="AA119" i="1" s="1"/>
  <c r="Y119" i="1"/>
  <c r="X119" i="1"/>
  <c r="V119" i="1"/>
  <c r="T119" i="1"/>
  <c r="N119" i="1"/>
  <c r="M119" i="1"/>
  <c r="L119" i="1"/>
  <c r="K119" i="1"/>
  <c r="AO118" i="1"/>
  <c r="AN118" i="1"/>
  <c r="AM118" i="1"/>
  <c r="AH118" i="1"/>
  <c r="AF118" i="1"/>
  <c r="AE118" i="1"/>
  <c r="AD118" i="1"/>
  <c r="AC118" i="1"/>
  <c r="AB118" i="1"/>
  <c r="Z118" i="1"/>
  <c r="AA118" i="1" s="1"/>
  <c r="Y118" i="1"/>
  <c r="X118" i="1"/>
  <c r="V118" i="1"/>
  <c r="T118" i="1"/>
  <c r="N118" i="1"/>
  <c r="M118" i="1"/>
  <c r="L118" i="1"/>
  <c r="K118" i="1"/>
  <c r="AO117" i="1"/>
  <c r="AN117" i="1"/>
  <c r="AM117" i="1"/>
  <c r="AH117" i="1"/>
  <c r="AF117" i="1"/>
  <c r="AE117" i="1"/>
  <c r="AD117" i="1"/>
  <c r="AC117" i="1"/>
  <c r="AB117" i="1"/>
  <c r="Z117" i="1"/>
  <c r="AA117" i="1" s="1"/>
  <c r="Y117" i="1"/>
  <c r="X117" i="1"/>
  <c r="V117" i="1"/>
  <c r="T117" i="1"/>
  <c r="N117" i="1"/>
  <c r="M117" i="1"/>
  <c r="L117" i="1"/>
  <c r="K117" i="1"/>
  <c r="AO116" i="1"/>
  <c r="AN116" i="1"/>
  <c r="AM116" i="1"/>
  <c r="AH116" i="1"/>
  <c r="AF116" i="1"/>
  <c r="AE116" i="1"/>
  <c r="AD116" i="1"/>
  <c r="AC116" i="1"/>
  <c r="AB116" i="1"/>
  <c r="AA116" i="1"/>
  <c r="Z116" i="1"/>
  <c r="Y116" i="1"/>
  <c r="V116" i="1"/>
  <c r="T116" i="1"/>
  <c r="N116" i="1"/>
  <c r="M116" i="1"/>
  <c r="L116" i="1"/>
  <c r="K116" i="1"/>
  <c r="AO115" i="1"/>
  <c r="AN115" i="1"/>
  <c r="AM115" i="1"/>
  <c r="AH115" i="1"/>
  <c r="AF115" i="1"/>
  <c r="AE115" i="1"/>
  <c r="AD115" i="1"/>
  <c r="X116" i="1" s="1"/>
  <c r="AC115" i="1"/>
  <c r="AB115" i="1"/>
  <c r="AA115" i="1"/>
  <c r="Z115" i="1"/>
  <c r="Y115" i="1"/>
  <c r="V115" i="1"/>
  <c r="T115" i="1"/>
  <c r="N115" i="1"/>
  <c r="M115" i="1"/>
  <c r="L115" i="1"/>
  <c r="K115" i="1"/>
  <c r="AO114" i="1"/>
  <c r="AN114" i="1"/>
  <c r="AM114" i="1"/>
  <c r="AH114" i="1"/>
  <c r="AF114" i="1"/>
  <c r="AE114" i="1"/>
  <c r="AD114" i="1"/>
  <c r="AC114" i="1"/>
  <c r="AB114" i="1"/>
  <c r="AA114" i="1"/>
  <c r="Z114" i="1"/>
  <c r="Y114" i="1"/>
  <c r="X114" i="1"/>
  <c r="V114" i="1"/>
  <c r="T114" i="1"/>
  <c r="N114" i="1"/>
  <c r="M114" i="1"/>
  <c r="L114" i="1"/>
  <c r="K114" i="1"/>
  <c r="AG158" i="1"/>
  <c r="AG148" i="1"/>
  <c r="AG147" i="1"/>
  <c r="AG144" i="1"/>
  <c r="AG143" i="1"/>
  <c r="AG142" i="1"/>
  <c r="AG157" i="1"/>
  <c r="AG156" i="1"/>
  <c r="AG155" i="1"/>
  <c r="AG154" i="1"/>
  <c r="AG153" i="1"/>
  <c r="AG152" i="1"/>
  <c r="AG151" i="1"/>
  <c r="AG150" i="1"/>
  <c r="AG149" i="1"/>
  <c r="AG146" i="1"/>
  <c r="AG145" i="1"/>
  <c r="AG141" i="1"/>
  <c r="AG140" i="1"/>
  <c r="AG139" i="1"/>
  <c r="AG138" i="1"/>
  <c r="AG137" i="1"/>
  <c r="AG136" i="1"/>
  <c r="AG135" i="1"/>
  <c r="AG134" i="1"/>
  <c r="AG133" i="1"/>
  <c r="AG132" i="1"/>
  <c r="AG131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30" i="1"/>
  <c r="AG129" i="1"/>
  <c r="AG128" i="1"/>
  <c r="AG127" i="1"/>
  <c r="AI141" i="1" l="1"/>
  <c r="AI145" i="1"/>
  <c r="U145" i="1"/>
  <c r="S145" i="1"/>
  <c r="AI146" i="1"/>
  <c r="U146" i="1"/>
  <c r="S146" i="1" s="1"/>
  <c r="AI149" i="1"/>
  <c r="U149" i="1"/>
  <c r="S149" i="1"/>
  <c r="AI150" i="1"/>
  <c r="AI151" i="1"/>
  <c r="AI152" i="1"/>
  <c r="U152" i="1"/>
  <c r="S152" i="1" s="1"/>
  <c r="AI153" i="1"/>
  <c r="AI154" i="1"/>
  <c r="AI155" i="1"/>
  <c r="AI156" i="1"/>
  <c r="U156" i="1"/>
  <c r="S156" i="1" s="1"/>
  <c r="AI157" i="1"/>
  <c r="W142" i="1"/>
  <c r="S142" i="1"/>
  <c r="AI142" i="1"/>
  <c r="U142" i="1"/>
  <c r="U143" i="1"/>
  <c r="S143" i="1" s="1"/>
  <c r="AI143" i="1"/>
  <c r="U144" i="1"/>
  <c r="AI144" i="1"/>
  <c r="S144" i="1"/>
  <c r="W147" i="1"/>
  <c r="AI147" i="1"/>
  <c r="U147" i="1"/>
  <c r="S147" i="1" s="1"/>
  <c r="U148" i="1"/>
  <c r="AI148" i="1"/>
  <c r="S148" i="1"/>
  <c r="S158" i="1"/>
  <c r="AI158" i="1"/>
  <c r="U158" i="1"/>
  <c r="W145" i="1"/>
  <c r="W143" i="1"/>
  <c r="W144" i="1"/>
  <c r="W146" i="1"/>
  <c r="W141" i="1"/>
  <c r="W148" i="1"/>
  <c r="W149" i="1"/>
  <c r="W150" i="1"/>
  <c r="W151" i="1"/>
  <c r="W152" i="1"/>
  <c r="W153" i="1"/>
  <c r="W154" i="1"/>
  <c r="W155" i="1"/>
  <c r="W156" i="1"/>
  <c r="W157" i="1"/>
  <c r="W158" i="1"/>
  <c r="T141" i="1"/>
  <c r="U141" i="1" s="1"/>
  <c r="S141" i="1" s="1"/>
  <c r="X141" i="1"/>
  <c r="T146" i="1"/>
  <c r="X146" i="1"/>
  <c r="T150" i="1"/>
  <c r="U150" i="1" s="1"/>
  <c r="S150" i="1" s="1"/>
  <c r="T151" i="1"/>
  <c r="U151" i="1" s="1"/>
  <c r="S151" i="1" s="1"/>
  <c r="T152" i="1"/>
  <c r="T153" i="1"/>
  <c r="U153" i="1" s="1"/>
  <c r="S153" i="1" s="1"/>
  <c r="T154" i="1"/>
  <c r="U154" i="1" s="1"/>
  <c r="S154" i="1" s="1"/>
  <c r="T155" i="1"/>
  <c r="U155" i="1" s="1"/>
  <c r="S155" i="1" s="1"/>
  <c r="T156" i="1"/>
  <c r="T157" i="1"/>
  <c r="U157" i="1" s="1"/>
  <c r="S157" i="1" s="1"/>
  <c r="X157" i="1"/>
  <c r="AI127" i="1"/>
  <c r="U127" i="1"/>
  <c r="S127" i="1" s="1"/>
  <c r="W127" i="1"/>
  <c r="AI128" i="1"/>
  <c r="U128" i="1"/>
  <c r="S128" i="1" s="1"/>
  <c r="AI129" i="1"/>
  <c r="S129" i="1"/>
  <c r="U129" i="1"/>
  <c r="AI130" i="1"/>
  <c r="U130" i="1"/>
  <c r="S130" i="1" s="1"/>
  <c r="U114" i="1"/>
  <c r="W114" i="1"/>
  <c r="S114" i="1"/>
  <c r="AI114" i="1"/>
  <c r="U115" i="1"/>
  <c r="AI115" i="1"/>
  <c r="S115" i="1"/>
  <c r="W115" i="1"/>
  <c r="U116" i="1"/>
  <c r="S116" i="1"/>
  <c r="W116" i="1"/>
  <c r="AI116" i="1"/>
  <c r="U117" i="1"/>
  <c r="AI117" i="1"/>
  <c r="S117" i="1"/>
  <c r="U118" i="1"/>
  <c r="AI118" i="1"/>
  <c r="S118" i="1"/>
  <c r="U119" i="1"/>
  <c r="AI119" i="1"/>
  <c r="S119" i="1"/>
  <c r="U120" i="1"/>
  <c r="S120" i="1" s="1"/>
  <c r="AI120" i="1"/>
  <c r="U121" i="1"/>
  <c r="S121" i="1" s="1"/>
  <c r="AI121" i="1"/>
  <c r="U122" i="1"/>
  <c r="AI122" i="1"/>
  <c r="S122" i="1"/>
  <c r="U123" i="1"/>
  <c r="AI123" i="1"/>
  <c r="S123" i="1"/>
  <c r="U124" i="1"/>
  <c r="S124" i="1" s="1"/>
  <c r="AI124" i="1"/>
  <c r="U125" i="1"/>
  <c r="S125" i="1" s="1"/>
  <c r="AI125" i="1"/>
  <c r="AI126" i="1"/>
  <c r="AI131" i="1"/>
  <c r="U131" i="1"/>
  <c r="S131" i="1" s="1"/>
  <c r="U132" i="1"/>
  <c r="S132" i="1" s="1"/>
  <c r="AI132" i="1"/>
  <c r="U133" i="1"/>
  <c r="S133" i="1" s="1"/>
  <c r="AI133" i="1"/>
  <c r="U134" i="1"/>
  <c r="AI134" i="1"/>
  <c r="S134" i="1"/>
  <c r="U135" i="1"/>
  <c r="AI135" i="1"/>
  <c r="S135" i="1"/>
  <c r="U136" i="1"/>
  <c r="S136" i="1" s="1"/>
  <c r="AI136" i="1"/>
  <c r="U137" i="1"/>
  <c r="S137" i="1" s="1"/>
  <c r="AI137" i="1"/>
  <c r="U138" i="1"/>
  <c r="AI138" i="1"/>
  <c r="S138" i="1"/>
  <c r="U139" i="1"/>
  <c r="AI139" i="1"/>
  <c r="S139" i="1"/>
  <c r="U140" i="1"/>
  <c r="S140" i="1" s="1"/>
  <c r="AI140" i="1"/>
  <c r="W119" i="1"/>
  <c r="W118" i="1"/>
  <c r="W120" i="1"/>
  <c r="W122" i="1"/>
  <c r="W124" i="1"/>
  <c r="X115" i="1"/>
  <c r="X128" i="1"/>
  <c r="W129" i="1"/>
  <c r="W133" i="1"/>
  <c r="W135" i="1"/>
  <c r="W137" i="1"/>
  <c r="W139" i="1"/>
  <c r="W117" i="1"/>
  <c r="W121" i="1"/>
  <c r="W123" i="1"/>
  <c r="W125" i="1"/>
  <c r="T128" i="1"/>
  <c r="W128" i="1"/>
  <c r="W130" i="1"/>
  <c r="W134" i="1"/>
  <c r="W136" i="1"/>
  <c r="W138" i="1"/>
  <c r="W140" i="1"/>
  <c r="T126" i="1"/>
  <c r="U126" i="1" s="1"/>
  <c r="S126" i="1" s="1"/>
  <c r="W126" i="1"/>
  <c r="W131" i="1"/>
  <c r="W132" i="1"/>
  <c r="T132" i="1"/>
  <c r="X132" i="1"/>
  <c r="M113" i="1"/>
  <c r="L113" i="1"/>
  <c r="K113" i="1"/>
  <c r="AO113" i="1" l="1"/>
  <c r="AN113" i="1"/>
  <c r="AM113" i="1"/>
  <c r="AH113" i="1"/>
  <c r="AF113" i="1"/>
  <c r="AE113" i="1"/>
  <c r="AD113" i="1"/>
  <c r="AC113" i="1"/>
  <c r="AB113" i="1"/>
  <c r="AA113" i="1"/>
  <c r="Z113" i="1"/>
  <c r="Y113" i="1"/>
  <c r="X113" i="1"/>
  <c r="V113" i="1"/>
  <c r="T113" i="1"/>
  <c r="AO112" i="1"/>
  <c r="AN112" i="1"/>
  <c r="AM112" i="1"/>
  <c r="AH112" i="1"/>
  <c r="AF112" i="1"/>
  <c r="AE112" i="1"/>
  <c r="AD112" i="1"/>
  <c r="AC112" i="1"/>
  <c r="AB112" i="1"/>
  <c r="AA112" i="1"/>
  <c r="Z112" i="1"/>
  <c r="Y112" i="1"/>
  <c r="X112" i="1"/>
  <c r="V112" i="1"/>
  <c r="T112" i="1"/>
  <c r="P112" i="1"/>
  <c r="M112" i="1"/>
  <c r="L112" i="1"/>
  <c r="K112" i="1"/>
  <c r="AO111" i="1"/>
  <c r="AN111" i="1"/>
  <c r="AM111" i="1"/>
  <c r="AH111" i="1"/>
  <c r="AF111" i="1"/>
  <c r="AE111" i="1"/>
  <c r="AD111" i="1"/>
  <c r="AC111" i="1"/>
  <c r="AB111" i="1"/>
  <c r="AA111" i="1"/>
  <c r="Z111" i="1"/>
  <c r="Y111" i="1"/>
  <c r="X111" i="1"/>
  <c r="V111" i="1"/>
  <c r="T111" i="1"/>
  <c r="N111" i="1"/>
  <c r="M111" i="1"/>
  <c r="L111" i="1"/>
  <c r="K111" i="1"/>
  <c r="AO110" i="1"/>
  <c r="AN110" i="1"/>
  <c r="AM110" i="1"/>
  <c r="AH110" i="1"/>
  <c r="AF110" i="1"/>
  <c r="AE110" i="1"/>
  <c r="AD110" i="1"/>
  <c r="AC110" i="1"/>
  <c r="AB110" i="1"/>
  <c r="AA110" i="1"/>
  <c r="Z110" i="1"/>
  <c r="Y110" i="1"/>
  <c r="X110" i="1"/>
  <c r="V110" i="1"/>
  <c r="T110" i="1"/>
  <c r="M110" i="1"/>
  <c r="L110" i="1"/>
  <c r="K110" i="1"/>
  <c r="AO109" i="1"/>
  <c r="AN109" i="1"/>
  <c r="AM109" i="1"/>
  <c r="AH109" i="1"/>
  <c r="AF109" i="1"/>
  <c r="AE109" i="1"/>
  <c r="AD109" i="1"/>
  <c r="AC109" i="1"/>
  <c r="AB109" i="1"/>
  <c r="AA109" i="1"/>
  <c r="Z109" i="1"/>
  <c r="Y109" i="1"/>
  <c r="X109" i="1"/>
  <c r="V109" i="1"/>
  <c r="T109" i="1"/>
  <c r="P109" i="1"/>
  <c r="M109" i="1"/>
  <c r="L109" i="1"/>
  <c r="K109" i="1"/>
  <c r="AO108" i="1"/>
  <c r="AN108" i="1"/>
  <c r="AM108" i="1"/>
  <c r="AH108" i="1"/>
  <c r="AF108" i="1"/>
  <c r="AE108" i="1"/>
  <c r="AD108" i="1"/>
  <c r="AC108" i="1"/>
  <c r="AB108" i="1"/>
  <c r="AA108" i="1"/>
  <c r="Z108" i="1"/>
  <c r="Y108" i="1"/>
  <c r="X108" i="1"/>
  <c r="V108" i="1"/>
  <c r="T108" i="1"/>
  <c r="N108" i="1"/>
  <c r="M108" i="1"/>
  <c r="L108" i="1"/>
  <c r="K108" i="1"/>
  <c r="AO107" i="1"/>
  <c r="AN107" i="1"/>
  <c r="AM107" i="1"/>
  <c r="AH107" i="1"/>
  <c r="AF107" i="1"/>
  <c r="AE107" i="1"/>
  <c r="AD107" i="1"/>
  <c r="AC107" i="1"/>
  <c r="AB107" i="1"/>
  <c r="AA107" i="1"/>
  <c r="Z107" i="1"/>
  <c r="Y107" i="1"/>
  <c r="X107" i="1"/>
  <c r="V107" i="1"/>
  <c r="T107" i="1"/>
  <c r="N107" i="1"/>
  <c r="M107" i="1"/>
  <c r="L107" i="1"/>
  <c r="K107" i="1"/>
  <c r="AO106" i="1"/>
  <c r="AN106" i="1"/>
  <c r="AM106" i="1"/>
  <c r="AH106" i="1"/>
  <c r="AF106" i="1"/>
  <c r="AE106" i="1"/>
  <c r="AD106" i="1"/>
  <c r="AC106" i="1"/>
  <c r="AB106" i="1"/>
  <c r="AA106" i="1"/>
  <c r="Z106" i="1"/>
  <c r="Y106" i="1"/>
  <c r="X106" i="1"/>
  <c r="V106" i="1"/>
  <c r="T106" i="1"/>
  <c r="N106" i="1"/>
  <c r="M106" i="1"/>
  <c r="L106" i="1"/>
  <c r="K106" i="1"/>
  <c r="AO105" i="1"/>
  <c r="AN105" i="1"/>
  <c r="AM105" i="1"/>
  <c r="AH105" i="1"/>
  <c r="AF105" i="1"/>
  <c r="AE105" i="1"/>
  <c r="AD105" i="1"/>
  <c r="AC105" i="1"/>
  <c r="AB105" i="1"/>
  <c r="AA105" i="1"/>
  <c r="Z105" i="1"/>
  <c r="Y105" i="1"/>
  <c r="V105" i="1"/>
  <c r="T105" i="1"/>
  <c r="N105" i="1"/>
  <c r="M105" i="1"/>
  <c r="L105" i="1"/>
  <c r="K105" i="1"/>
  <c r="AO104" i="1"/>
  <c r="AN104" i="1"/>
  <c r="AM104" i="1"/>
  <c r="AH104" i="1"/>
  <c r="AF104" i="1"/>
  <c r="AE104" i="1"/>
  <c r="AD104" i="1"/>
  <c r="AC104" i="1"/>
  <c r="AB104" i="1"/>
  <c r="Z104" i="1"/>
  <c r="AA104" i="1" s="1"/>
  <c r="Y104" i="1"/>
  <c r="V104" i="1"/>
  <c r="N104" i="1"/>
  <c r="M104" i="1"/>
  <c r="L104" i="1"/>
  <c r="K104" i="1"/>
  <c r="AO103" i="1"/>
  <c r="AN103" i="1"/>
  <c r="AM103" i="1"/>
  <c r="AH103" i="1"/>
  <c r="AF103" i="1"/>
  <c r="AE103" i="1"/>
  <c r="AD103" i="1"/>
  <c r="AC103" i="1"/>
  <c r="AB103" i="1"/>
  <c r="AA103" i="1"/>
  <c r="Z103" i="1"/>
  <c r="Y103" i="1"/>
  <c r="V103" i="1"/>
  <c r="N103" i="1"/>
  <c r="M103" i="1"/>
  <c r="L103" i="1"/>
  <c r="K103" i="1"/>
  <c r="AO102" i="1"/>
  <c r="AN102" i="1"/>
  <c r="AM102" i="1"/>
  <c r="AH102" i="1"/>
  <c r="AF102" i="1"/>
  <c r="AE102" i="1"/>
  <c r="AD102" i="1"/>
  <c r="AC102" i="1"/>
  <c r="AB102" i="1"/>
  <c r="AA102" i="1"/>
  <c r="Z102" i="1"/>
  <c r="Y102" i="1"/>
  <c r="V102" i="1"/>
  <c r="P102" i="1"/>
  <c r="M102" i="1"/>
  <c r="L102" i="1"/>
  <c r="K102" i="1"/>
  <c r="AO101" i="1"/>
  <c r="AN101" i="1"/>
  <c r="AM101" i="1"/>
  <c r="AH101" i="1"/>
  <c r="AF101" i="1"/>
  <c r="AE101" i="1"/>
  <c r="AD101" i="1"/>
  <c r="AC101" i="1"/>
  <c r="AB101" i="1"/>
  <c r="AA101" i="1"/>
  <c r="Z101" i="1"/>
  <c r="Y101" i="1"/>
  <c r="V101" i="1"/>
  <c r="N101" i="1"/>
  <c r="M101" i="1"/>
  <c r="L101" i="1"/>
  <c r="K101" i="1"/>
  <c r="AO100" i="1"/>
  <c r="AN100" i="1"/>
  <c r="AM100" i="1"/>
  <c r="AH100" i="1"/>
  <c r="AF100" i="1"/>
  <c r="AE100" i="1"/>
  <c r="AD100" i="1"/>
  <c r="AC100" i="1"/>
  <c r="AB100" i="1"/>
  <c r="AA100" i="1"/>
  <c r="Z100" i="1"/>
  <c r="Y100" i="1"/>
  <c r="V100" i="1"/>
  <c r="N100" i="1"/>
  <c r="M100" i="1"/>
  <c r="L100" i="1"/>
  <c r="K100" i="1"/>
  <c r="AO99" i="1"/>
  <c r="AN99" i="1"/>
  <c r="AM99" i="1"/>
  <c r="AH99" i="1"/>
  <c r="AF99" i="1"/>
  <c r="AE99" i="1"/>
  <c r="AD99" i="1"/>
  <c r="AC99" i="1"/>
  <c r="AB99" i="1"/>
  <c r="AA99" i="1"/>
  <c r="Z99" i="1"/>
  <c r="Y99" i="1"/>
  <c r="V99" i="1"/>
  <c r="N99" i="1"/>
  <c r="M99" i="1"/>
  <c r="L99" i="1"/>
  <c r="K99" i="1"/>
  <c r="AO98" i="1"/>
  <c r="AN98" i="1"/>
  <c r="AM98" i="1"/>
  <c r="AH98" i="1"/>
  <c r="AF98" i="1"/>
  <c r="AE98" i="1"/>
  <c r="AD98" i="1"/>
  <c r="AC98" i="1"/>
  <c r="AB98" i="1"/>
  <c r="AA98" i="1"/>
  <c r="Z98" i="1"/>
  <c r="Y98" i="1"/>
  <c r="V98" i="1"/>
  <c r="N98" i="1"/>
  <c r="M98" i="1"/>
  <c r="L98" i="1"/>
  <c r="K98" i="1"/>
  <c r="AO97" i="1"/>
  <c r="AN97" i="1"/>
  <c r="AM97" i="1"/>
  <c r="AH97" i="1"/>
  <c r="AF97" i="1"/>
  <c r="AE97" i="1"/>
  <c r="AD97" i="1"/>
  <c r="AC97" i="1"/>
  <c r="AB97" i="1"/>
  <c r="AA97" i="1"/>
  <c r="Z97" i="1"/>
  <c r="Y97" i="1"/>
  <c r="V97" i="1"/>
  <c r="N97" i="1"/>
  <c r="M97" i="1"/>
  <c r="L97" i="1"/>
  <c r="K97" i="1"/>
  <c r="AO96" i="1"/>
  <c r="AN96" i="1"/>
  <c r="AM96" i="1"/>
  <c r="AH96" i="1"/>
  <c r="AF96" i="1"/>
  <c r="AE96" i="1"/>
  <c r="AD96" i="1"/>
  <c r="AC96" i="1"/>
  <c r="AB96" i="1"/>
  <c r="AA96" i="1"/>
  <c r="Z96" i="1"/>
  <c r="Y96" i="1"/>
  <c r="V96" i="1"/>
  <c r="N96" i="1"/>
  <c r="M96" i="1"/>
  <c r="L96" i="1"/>
  <c r="K96" i="1"/>
  <c r="AO95" i="1"/>
  <c r="AN95" i="1"/>
  <c r="AM95" i="1"/>
  <c r="AH95" i="1"/>
  <c r="AF95" i="1"/>
  <c r="AE95" i="1"/>
  <c r="AD95" i="1"/>
  <c r="AC95" i="1"/>
  <c r="AB95" i="1"/>
  <c r="AA95" i="1"/>
  <c r="Z95" i="1"/>
  <c r="Y95" i="1"/>
  <c r="V95" i="1"/>
  <c r="N95" i="1"/>
  <c r="M95" i="1"/>
  <c r="L95" i="1"/>
  <c r="K95" i="1"/>
  <c r="AO94" i="1"/>
  <c r="AN94" i="1"/>
  <c r="AM94" i="1"/>
  <c r="AH94" i="1"/>
  <c r="AF94" i="1"/>
  <c r="AE94" i="1"/>
  <c r="AD94" i="1"/>
  <c r="AC94" i="1"/>
  <c r="AB94" i="1"/>
  <c r="AA94" i="1"/>
  <c r="Z94" i="1"/>
  <c r="Y94" i="1"/>
  <c r="V94" i="1"/>
  <c r="N94" i="1"/>
  <c r="M94" i="1"/>
  <c r="L94" i="1"/>
  <c r="K94" i="1"/>
  <c r="AO93" i="1"/>
  <c r="AN93" i="1"/>
  <c r="AM93" i="1"/>
  <c r="AH93" i="1"/>
  <c r="AF93" i="1"/>
  <c r="AE93" i="1"/>
  <c r="AD93" i="1"/>
  <c r="AC93" i="1"/>
  <c r="AB93" i="1"/>
  <c r="AA93" i="1"/>
  <c r="Z93" i="1"/>
  <c r="Y93" i="1"/>
  <c r="V93" i="1"/>
  <c r="N93" i="1"/>
  <c r="M93" i="1"/>
  <c r="L93" i="1"/>
  <c r="K93" i="1"/>
  <c r="AO92" i="1"/>
  <c r="AN92" i="1"/>
  <c r="AM92" i="1"/>
  <c r="AH92" i="1"/>
  <c r="AF92" i="1"/>
  <c r="AE92" i="1"/>
  <c r="AD92" i="1"/>
  <c r="AC92" i="1"/>
  <c r="AB92" i="1"/>
  <c r="AA92" i="1"/>
  <c r="Z92" i="1"/>
  <c r="Y92" i="1"/>
  <c r="V92" i="1"/>
  <c r="N92" i="1"/>
  <c r="M92" i="1"/>
  <c r="L92" i="1"/>
  <c r="K92" i="1"/>
  <c r="AO91" i="1"/>
  <c r="AN91" i="1"/>
  <c r="AM91" i="1"/>
  <c r="AH91" i="1"/>
  <c r="AF91" i="1"/>
  <c r="AE91" i="1"/>
  <c r="AD91" i="1"/>
  <c r="X91" i="1" s="1"/>
  <c r="AC91" i="1"/>
  <c r="AB91" i="1"/>
  <c r="AA91" i="1"/>
  <c r="Z91" i="1"/>
  <c r="Y91" i="1"/>
  <c r="V91" i="1"/>
  <c r="T91" i="1"/>
  <c r="N91" i="1"/>
  <c r="M91" i="1"/>
  <c r="L91" i="1"/>
  <c r="K91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112" i="1"/>
  <c r="AG111" i="1"/>
  <c r="AG110" i="1"/>
  <c r="AG113" i="1"/>
  <c r="AI110" i="1" l="1"/>
  <c r="W110" i="1"/>
  <c r="U110" i="1"/>
  <c r="AI111" i="1"/>
  <c r="W111" i="1"/>
  <c r="U111" i="1"/>
  <c r="S111" i="1" s="1"/>
  <c r="AI112" i="1"/>
  <c r="W112" i="1"/>
  <c r="U112" i="1"/>
  <c r="U91" i="1"/>
  <c r="S91" i="1" s="1"/>
  <c r="W91" i="1"/>
  <c r="AI91" i="1"/>
  <c r="AI92" i="1"/>
  <c r="U93" i="1"/>
  <c r="S93" i="1" s="1"/>
  <c r="AI93" i="1"/>
  <c r="AI94" i="1"/>
  <c r="AI95" i="1"/>
  <c r="AI96" i="1"/>
  <c r="U97" i="1"/>
  <c r="S97" i="1" s="1"/>
  <c r="AI97" i="1"/>
  <c r="AI98" i="1"/>
  <c r="AI99" i="1"/>
  <c r="AI100" i="1"/>
  <c r="U101" i="1"/>
  <c r="S101" i="1" s="1"/>
  <c r="AI101" i="1"/>
  <c r="AI102" i="1"/>
  <c r="AI103" i="1"/>
  <c r="AI104" i="1"/>
  <c r="U105" i="1"/>
  <c r="S105" i="1" s="1"/>
  <c r="AI105" i="1"/>
  <c r="W105" i="1"/>
  <c r="U106" i="1"/>
  <c r="S106" i="1" s="1"/>
  <c r="W106" i="1"/>
  <c r="AI106" i="1"/>
  <c r="U107" i="1"/>
  <c r="S107" i="1" s="1"/>
  <c r="AI107" i="1"/>
  <c r="W107" i="1"/>
  <c r="U108" i="1"/>
  <c r="S108" i="1" s="1"/>
  <c r="AI108" i="1"/>
  <c r="W108" i="1"/>
  <c r="U109" i="1"/>
  <c r="AI109" i="1"/>
  <c r="W109" i="1"/>
  <c r="U113" i="1"/>
  <c r="AI113" i="1"/>
  <c r="W113" i="1"/>
  <c r="W96" i="1"/>
  <c r="W95" i="1"/>
  <c r="W99" i="1"/>
  <c r="W103" i="1"/>
  <c r="W104" i="1"/>
  <c r="W92" i="1"/>
  <c r="W100" i="1"/>
  <c r="W93" i="1"/>
  <c r="W97" i="1"/>
  <c r="W101" i="1"/>
  <c r="W94" i="1"/>
  <c r="W98" i="1"/>
  <c r="W102" i="1"/>
  <c r="X92" i="1"/>
  <c r="T92" i="1"/>
  <c r="U92" i="1" s="1"/>
  <c r="S92" i="1" s="1"/>
  <c r="X93" i="1"/>
  <c r="T93" i="1"/>
  <c r="X94" i="1"/>
  <c r="T94" i="1"/>
  <c r="U94" i="1" s="1"/>
  <c r="S94" i="1" s="1"/>
  <c r="X95" i="1"/>
  <c r="T95" i="1"/>
  <c r="U95" i="1" s="1"/>
  <c r="S95" i="1" s="1"/>
  <c r="X96" i="1"/>
  <c r="T96" i="1"/>
  <c r="U96" i="1" s="1"/>
  <c r="S96" i="1" s="1"/>
  <c r="X97" i="1"/>
  <c r="T97" i="1"/>
  <c r="X98" i="1"/>
  <c r="T98" i="1"/>
  <c r="U98" i="1" s="1"/>
  <c r="S98" i="1" s="1"/>
  <c r="X99" i="1"/>
  <c r="T99" i="1"/>
  <c r="U99" i="1" s="1"/>
  <c r="S99" i="1" s="1"/>
  <c r="X100" i="1"/>
  <c r="T100" i="1"/>
  <c r="U100" i="1" s="1"/>
  <c r="S100" i="1" s="1"/>
  <c r="X101" i="1"/>
  <c r="T101" i="1"/>
  <c r="X102" i="1"/>
  <c r="T102" i="1"/>
  <c r="U102" i="1" s="1"/>
  <c r="S102" i="1" s="1"/>
  <c r="X103" i="1"/>
  <c r="T103" i="1"/>
  <c r="U103" i="1" s="1"/>
  <c r="S103" i="1" s="1"/>
  <c r="X105" i="1"/>
  <c r="X104" i="1"/>
  <c r="T104" i="1"/>
  <c r="U104" i="1" s="1"/>
  <c r="S104" i="1" s="1"/>
  <c r="AO90" i="1"/>
  <c r="AN90" i="1"/>
  <c r="AM90" i="1"/>
  <c r="AH90" i="1"/>
  <c r="AF90" i="1"/>
  <c r="AE90" i="1"/>
  <c r="AD90" i="1"/>
  <c r="AC90" i="1"/>
  <c r="AB90" i="1"/>
  <c r="AA90" i="1"/>
  <c r="Z90" i="1"/>
  <c r="Y90" i="1"/>
  <c r="X90" i="1"/>
  <c r="V90" i="1"/>
  <c r="T90" i="1"/>
  <c r="M90" i="1"/>
  <c r="N90" i="1" s="1"/>
  <c r="L90" i="1"/>
  <c r="K90" i="1"/>
  <c r="AO89" i="1"/>
  <c r="AN89" i="1"/>
  <c r="AM89" i="1"/>
  <c r="AH89" i="1"/>
  <c r="AF89" i="1"/>
  <c r="AE89" i="1"/>
  <c r="AD89" i="1"/>
  <c r="AC89" i="1"/>
  <c r="AB89" i="1"/>
  <c r="AA89" i="1"/>
  <c r="Z89" i="1"/>
  <c r="Y89" i="1"/>
  <c r="X89" i="1"/>
  <c r="V89" i="1"/>
  <c r="T89" i="1"/>
  <c r="M89" i="1"/>
  <c r="N89" i="1" s="1"/>
  <c r="L89" i="1"/>
  <c r="K89" i="1"/>
  <c r="AO88" i="1"/>
  <c r="AN88" i="1"/>
  <c r="AM88" i="1"/>
  <c r="AH88" i="1"/>
  <c r="AF88" i="1"/>
  <c r="AE88" i="1"/>
  <c r="AD88" i="1"/>
  <c r="AC88" i="1"/>
  <c r="AB88" i="1"/>
  <c r="AA88" i="1"/>
  <c r="Z88" i="1"/>
  <c r="Y88" i="1"/>
  <c r="X88" i="1"/>
  <c r="V88" i="1"/>
  <c r="T88" i="1"/>
  <c r="M88" i="1"/>
  <c r="P88" i="1" s="1"/>
  <c r="L88" i="1"/>
  <c r="K88" i="1"/>
  <c r="AO87" i="1"/>
  <c r="AN87" i="1"/>
  <c r="AM87" i="1"/>
  <c r="AH87" i="1"/>
  <c r="AF87" i="1"/>
  <c r="AE87" i="1"/>
  <c r="AD87" i="1"/>
  <c r="AC87" i="1"/>
  <c r="AB87" i="1"/>
  <c r="AA87" i="1"/>
  <c r="Z87" i="1"/>
  <c r="Y87" i="1"/>
  <c r="X87" i="1"/>
  <c r="V87" i="1"/>
  <c r="T87" i="1"/>
  <c r="M87" i="1"/>
  <c r="N87" i="1" s="1"/>
  <c r="L87" i="1"/>
  <c r="K87" i="1"/>
  <c r="AO86" i="1"/>
  <c r="AN86" i="1"/>
  <c r="AM86" i="1"/>
  <c r="AH86" i="1"/>
  <c r="AF86" i="1"/>
  <c r="AE86" i="1"/>
  <c r="AD86" i="1"/>
  <c r="AC86" i="1"/>
  <c r="AB86" i="1"/>
  <c r="AA86" i="1"/>
  <c r="Z86" i="1"/>
  <c r="Y86" i="1"/>
  <c r="X86" i="1"/>
  <c r="V86" i="1"/>
  <c r="T86" i="1"/>
  <c r="M86" i="1"/>
  <c r="N86" i="1" s="1"/>
  <c r="L86" i="1"/>
  <c r="K86" i="1"/>
  <c r="AO85" i="1"/>
  <c r="AN85" i="1"/>
  <c r="AM85" i="1"/>
  <c r="AH85" i="1"/>
  <c r="AF85" i="1"/>
  <c r="AE85" i="1"/>
  <c r="AD85" i="1"/>
  <c r="AC85" i="1"/>
  <c r="AB85" i="1"/>
  <c r="AA85" i="1"/>
  <c r="Z85" i="1"/>
  <c r="Y85" i="1"/>
  <c r="X85" i="1"/>
  <c r="V85" i="1"/>
  <c r="T85" i="1"/>
  <c r="M85" i="1"/>
  <c r="N85" i="1" s="1"/>
  <c r="L85" i="1"/>
  <c r="K85" i="1"/>
  <c r="AO84" i="1"/>
  <c r="AN84" i="1"/>
  <c r="AM84" i="1"/>
  <c r="AH84" i="1"/>
  <c r="AF84" i="1"/>
  <c r="AE84" i="1"/>
  <c r="AD84" i="1"/>
  <c r="AC84" i="1"/>
  <c r="AB84" i="1"/>
  <c r="AA84" i="1"/>
  <c r="Z84" i="1"/>
  <c r="Y84" i="1"/>
  <c r="X84" i="1"/>
  <c r="V84" i="1"/>
  <c r="T84" i="1"/>
  <c r="M84" i="1"/>
  <c r="N84" i="1" s="1"/>
  <c r="L84" i="1"/>
  <c r="K84" i="1"/>
  <c r="AO83" i="1"/>
  <c r="AN83" i="1"/>
  <c r="AM83" i="1"/>
  <c r="AH83" i="1"/>
  <c r="AF83" i="1"/>
  <c r="AE83" i="1"/>
  <c r="AD83" i="1"/>
  <c r="AC83" i="1"/>
  <c r="AB83" i="1"/>
  <c r="AA83" i="1"/>
  <c r="Z83" i="1"/>
  <c r="Y83" i="1"/>
  <c r="X83" i="1"/>
  <c r="V83" i="1"/>
  <c r="T83" i="1"/>
  <c r="M83" i="1"/>
  <c r="N83" i="1" s="1"/>
  <c r="L83" i="1"/>
  <c r="K83" i="1"/>
  <c r="AO82" i="1"/>
  <c r="AN82" i="1"/>
  <c r="AM82" i="1"/>
  <c r="AH82" i="1"/>
  <c r="AF82" i="1"/>
  <c r="AE82" i="1"/>
  <c r="AD82" i="1"/>
  <c r="AC82" i="1"/>
  <c r="AB82" i="1"/>
  <c r="AA82" i="1"/>
  <c r="Z82" i="1"/>
  <c r="Y82" i="1"/>
  <c r="X82" i="1"/>
  <c r="V82" i="1"/>
  <c r="T82" i="1"/>
  <c r="M82" i="1"/>
  <c r="N82" i="1" s="1"/>
  <c r="L82" i="1"/>
  <c r="K82" i="1"/>
  <c r="AO81" i="1"/>
  <c r="AN81" i="1"/>
  <c r="AM81" i="1"/>
  <c r="AH81" i="1"/>
  <c r="AF81" i="1"/>
  <c r="AE81" i="1"/>
  <c r="AD81" i="1"/>
  <c r="AC81" i="1"/>
  <c r="AB81" i="1"/>
  <c r="AA81" i="1"/>
  <c r="Z81" i="1"/>
  <c r="Y81" i="1"/>
  <c r="X81" i="1"/>
  <c r="V81" i="1"/>
  <c r="T81" i="1"/>
  <c r="M81" i="1"/>
  <c r="N81" i="1" s="1"/>
  <c r="L81" i="1"/>
  <c r="K81" i="1"/>
  <c r="AO80" i="1"/>
  <c r="AN80" i="1"/>
  <c r="AM80" i="1"/>
  <c r="AH80" i="1"/>
  <c r="AF80" i="1"/>
  <c r="AE80" i="1"/>
  <c r="AD80" i="1"/>
  <c r="AC80" i="1"/>
  <c r="AB80" i="1"/>
  <c r="AA80" i="1"/>
  <c r="Z80" i="1"/>
  <c r="Y80" i="1"/>
  <c r="X80" i="1"/>
  <c r="V80" i="1"/>
  <c r="T80" i="1"/>
  <c r="M80" i="1"/>
  <c r="N80" i="1" s="1"/>
  <c r="L80" i="1"/>
  <c r="K80" i="1"/>
  <c r="AO79" i="1"/>
  <c r="AN79" i="1"/>
  <c r="AM79" i="1"/>
  <c r="AH79" i="1"/>
  <c r="AF79" i="1"/>
  <c r="AE79" i="1"/>
  <c r="AD79" i="1"/>
  <c r="AC79" i="1"/>
  <c r="AB79" i="1"/>
  <c r="AA79" i="1"/>
  <c r="Z79" i="1"/>
  <c r="Y79" i="1"/>
  <c r="X79" i="1"/>
  <c r="V79" i="1"/>
  <c r="T79" i="1"/>
  <c r="M79" i="1"/>
  <c r="N79" i="1" s="1"/>
  <c r="L79" i="1"/>
  <c r="K79" i="1"/>
  <c r="AO78" i="1"/>
  <c r="AN78" i="1"/>
  <c r="AM78" i="1"/>
  <c r="AH78" i="1"/>
  <c r="AF78" i="1"/>
  <c r="AE78" i="1"/>
  <c r="AD78" i="1"/>
  <c r="AC78" i="1"/>
  <c r="AB78" i="1"/>
  <c r="AA78" i="1"/>
  <c r="Z78" i="1"/>
  <c r="Y78" i="1"/>
  <c r="X78" i="1"/>
  <c r="V78" i="1"/>
  <c r="T78" i="1"/>
  <c r="M78" i="1"/>
  <c r="N78" i="1" s="1"/>
  <c r="L78" i="1"/>
  <c r="K78" i="1"/>
  <c r="AO77" i="1"/>
  <c r="AN77" i="1"/>
  <c r="AM77" i="1"/>
  <c r="AH77" i="1"/>
  <c r="AF77" i="1"/>
  <c r="AE77" i="1"/>
  <c r="AD77" i="1"/>
  <c r="AC77" i="1"/>
  <c r="AB77" i="1"/>
  <c r="AA77" i="1"/>
  <c r="Z77" i="1"/>
  <c r="Y77" i="1"/>
  <c r="V77" i="1"/>
  <c r="T77" i="1"/>
  <c r="N77" i="1"/>
  <c r="M77" i="1"/>
  <c r="L77" i="1"/>
  <c r="K77" i="1"/>
  <c r="AO76" i="1"/>
  <c r="AN76" i="1"/>
  <c r="AM76" i="1"/>
  <c r="AH76" i="1"/>
  <c r="AF76" i="1"/>
  <c r="AE76" i="1"/>
  <c r="AD76" i="1"/>
  <c r="X77" i="1" s="1"/>
  <c r="AC76" i="1"/>
  <c r="AB76" i="1"/>
  <c r="AA76" i="1"/>
  <c r="Z76" i="1"/>
  <c r="Y76" i="1"/>
  <c r="V76" i="1"/>
  <c r="N76" i="1"/>
  <c r="M76" i="1"/>
  <c r="L76" i="1"/>
  <c r="K76" i="1"/>
  <c r="AO75" i="1"/>
  <c r="AN75" i="1"/>
  <c r="AM75" i="1"/>
  <c r="AH75" i="1"/>
  <c r="AF75" i="1"/>
  <c r="AE75" i="1"/>
  <c r="AD75" i="1"/>
  <c r="X75" i="1" s="1"/>
  <c r="AC75" i="1"/>
  <c r="AB75" i="1"/>
  <c r="AA75" i="1"/>
  <c r="Z75" i="1"/>
  <c r="Y75" i="1"/>
  <c r="V75" i="1"/>
  <c r="N75" i="1"/>
  <c r="M75" i="1"/>
  <c r="L75" i="1"/>
  <c r="K75" i="1"/>
  <c r="AO74" i="1"/>
  <c r="AN74" i="1"/>
  <c r="AM74" i="1"/>
  <c r="AH74" i="1"/>
  <c r="AF74" i="1"/>
  <c r="AE74" i="1"/>
  <c r="AD74" i="1"/>
  <c r="X74" i="1" s="1"/>
  <c r="AC74" i="1"/>
  <c r="AB74" i="1"/>
  <c r="AA74" i="1"/>
  <c r="Z74" i="1"/>
  <c r="Y74" i="1"/>
  <c r="V74" i="1"/>
  <c r="N74" i="1"/>
  <c r="M74" i="1"/>
  <c r="L74" i="1"/>
  <c r="K74" i="1"/>
  <c r="AO73" i="1"/>
  <c r="AN73" i="1"/>
  <c r="AM73" i="1"/>
  <c r="AH73" i="1"/>
  <c r="AF73" i="1"/>
  <c r="AE73" i="1"/>
  <c r="AD73" i="1"/>
  <c r="X73" i="1" s="1"/>
  <c r="AC73" i="1"/>
  <c r="AB73" i="1"/>
  <c r="AA73" i="1"/>
  <c r="Z73" i="1"/>
  <c r="Y73" i="1"/>
  <c r="V73" i="1"/>
  <c r="N73" i="1"/>
  <c r="M73" i="1"/>
  <c r="L73" i="1"/>
  <c r="K73" i="1"/>
  <c r="AO72" i="1"/>
  <c r="AN72" i="1"/>
  <c r="AM72" i="1"/>
  <c r="AH72" i="1"/>
  <c r="AF72" i="1"/>
  <c r="AE72" i="1"/>
  <c r="AD72" i="1"/>
  <c r="X72" i="1" s="1"/>
  <c r="AC72" i="1"/>
  <c r="AB72" i="1"/>
  <c r="AA72" i="1"/>
  <c r="Z72" i="1"/>
  <c r="Y72" i="1"/>
  <c r="V72" i="1"/>
  <c r="N72" i="1"/>
  <c r="M72" i="1"/>
  <c r="L72" i="1"/>
  <c r="K72" i="1"/>
  <c r="AO71" i="1"/>
  <c r="AN71" i="1"/>
  <c r="AM71" i="1"/>
  <c r="AH71" i="1"/>
  <c r="AF71" i="1"/>
  <c r="AE71" i="1"/>
  <c r="AD71" i="1"/>
  <c r="AC71" i="1"/>
  <c r="AB71" i="1"/>
  <c r="AA71" i="1"/>
  <c r="Z71" i="1"/>
  <c r="Y71" i="1"/>
  <c r="V71" i="1"/>
  <c r="N71" i="1"/>
  <c r="M71" i="1"/>
  <c r="L71" i="1"/>
  <c r="K71" i="1"/>
  <c r="AO70" i="1"/>
  <c r="AN70" i="1"/>
  <c r="AM70" i="1"/>
  <c r="AH70" i="1"/>
  <c r="AF70" i="1"/>
  <c r="AE70" i="1"/>
  <c r="AD70" i="1"/>
  <c r="AC70" i="1"/>
  <c r="AB70" i="1"/>
  <c r="Z70" i="1"/>
  <c r="AA70" i="1" s="1"/>
  <c r="Y70" i="1"/>
  <c r="V70" i="1"/>
  <c r="N70" i="1"/>
  <c r="M70" i="1"/>
  <c r="L70" i="1"/>
  <c r="K70" i="1"/>
  <c r="AO69" i="1"/>
  <c r="AN69" i="1"/>
  <c r="AM69" i="1"/>
  <c r="AH69" i="1"/>
  <c r="AF69" i="1"/>
  <c r="AE69" i="1"/>
  <c r="AD69" i="1"/>
  <c r="AC69" i="1"/>
  <c r="AB69" i="1"/>
  <c r="Z69" i="1"/>
  <c r="AA69" i="1" s="1"/>
  <c r="Y69" i="1"/>
  <c r="V69" i="1"/>
  <c r="N69" i="1"/>
  <c r="M69" i="1"/>
  <c r="L69" i="1"/>
  <c r="K69" i="1"/>
  <c r="AO68" i="1"/>
  <c r="AN68" i="1"/>
  <c r="AM68" i="1"/>
  <c r="AH68" i="1"/>
  <c r="AF68" i="1"/>
  <c r="AE68" i="1"/>
  <c r="AD68" i="1"/>
  <c r="AC68" i="1"/>
  <c r="AB68" i="1"/>
  <c r="Z68" i="1"/>
  <c r="AA68" i="1" s="1"/>
  <c r="Y68" i="1"/>
  <c r="V68" i="1"/>
  <c r="N68" i="1"/>
  <c r="M68" i="1"/>
  <c r="L68" i="1"/>
  <c r="K68" i="1"/>
  <c r="AO67" i="1"/>
  <c r="AN67" i="1"/>
  <c r="AM67" i="1"/>
  <c r="AH67" i="1"/>
  <c r="AF67" i="1"/>
  <c r="AE67" i="1"/>
  <c r="AD67" i="1"/>
  <c r="AC67" i="1"/>
  <c r="AB67" i="1"/>
  <c r="Z67" i="1"/>
  <c r="AA67" i="1" s="1"/>
  <c r="Y67" i="1"/>
  <c r="V67" i="1"/>
  <c r="N67" i="1"/>
  <c r="M67" i="1"/>
  <c r="L67" i="1"/>
  <c r="K67" i="1"/>
  <c r="AO66" i="1"/>
  <c r="AN66" i="1"/>
  <c r="AM66" i="1"/>
  <c r="AH66" i="1"/>
  <c r="AF66" i="1"/>
  <c r="AE66" i="1"/>
  <c r="AD66" i="1"/>
  <c r="AC66" i="1"/>
  <c r="AB66" i="1"/>
  <c r="Z66" i="1"/>
  <c r="AA66" i="1" s="1"/>
  <c r="Y66" i="1"/>
  <c r="V66" i="1"/>
  <c r="N66" i="1"/>
  <c r="M66" i="1"/>
  <c r="L66" i="1"/>
  <c r="K66" i="1"/>
  <c r="AO65" i="1"/>
  <c r="AN65" i="1"/>
  <c r="AM65" i="1"/>
  <c r="AH65" i="1"/>
  <c r="AF65" i="1"/>
  <c r="AE65" i="1"/>
  <c r="AD65" i="1"/>
  <c r="AC65" i="1"/>
  <c r="AB65" i="1"/>
  <c r="Z65" i="1"/>
  <c r="AA65" i="1" s="1"/>
  <c r="Y65" i="1"/>
  <c r="V65" i="1"/>
  <c r="N65" i="1"/>
  <c r="M65" i="1"/>
  <c r="L65" i="1"/>
  <c r="K65" i="1"/>
  <c r="AO64" i="1"/>
  <c r="AN64" i="1"/>
  <c r="AM64" i="1"/>
  <c r="AH64" i="1"/>
  <c r="AF64" i="1"/>
  <c r="AE64" i="1"/>
  <c r="AD64" i="1"/>
  <c r="AC64" i="1"/>
  <c r="AB64" i="1"/>
  <c r="Z64" i="1"/>
  <c r="AA64" i="1" s="1"/>
  <c r="Y64" i="1"/>
  <c r="V64" i="1"/>
  <c r="N64" i="1"/>
  <c r="M64" i="1"/>
  <c r="L64" i="1"/>
  <c r="K64" i="1"/>
  <c r="AO63" i="1"/>
  <c r="AN63" i="1"/>
  <c r="AM63" i="1"/>
  <c r="AH63" i="1"/>
  <c r="AF63" i="1"/>
  <c r="AE63" i="1"/>
  <c r="AD63" i="1"/>
  <c r="AC63" i="1"/>
  <c r="AB63" i="1"/>
  <c r="Z63" i="1"/>
  <c r="AA63" i="1" s="1"/>
  <c r="Y63" i="1"/>
  <c r="V63" i="1"/>
  <c r="N63" i="1"/>
  <c r="M63" i="1"/>
  <c r="L63" i="1"/>
  <c r="K63" i="1"/>
  <c r="AO62" i="1"/>
  <c r="AN62" i="1"/>
  <c r="AM62" i="1"/>
  <c r="AH62" i="1"/>
  <c r="AF62" i="1"/>
  <c r="AE62" i="1"/>
  <c r="AD62" i="1"/>
  <c r="AC62" i="1"/>
  <c r="AB62" i="1"/>
  <c r="Z62" i="1"/>
  <c r="AA62" i="1" s="1"/>
  <c r="Y62" i="1"/>
  <c r="V62" i="1"/>
  <c r="N62" i="1"/>
  <c r="M62" i="1"/>
  <c r="L62" i="1"/>
  <c r="K62" i="1"/>
  <c r="AO61" i="1"/>
  <c r="AN61" i="1"/>
  <c r="AM61" i="1"/>
  <c r="AH61" i="1"/>
  <c r="AF61" i="1"/>
  <c r="AE61" i="1"/>
  <c r="AD61" i="1"/>
  <c r="AC61" i="1"/>
  <c r="AB61" i="1"/>
  <c r="Z61" i="1"/>
  <c r="AA61" i="1" s="1"/>
  <c r="Y61" i="1"/>
  <c r="V61" i="1"/>
  <c r="N61" i="1"/>
  <c r="M61" i="1"/>
  <c r="L61" i="1"/>
  <c r="K61" i="1"/>
  <c r="AO60" i="1"/>
  <c r="AN60" i="1"/>
  <c r="AM60" i="1"/>
  <c r="AH60" i="1"/>
  <c r="AF60" i="1"/>
  <c r="AE60" i="1"/>
  <c r="AD60" i="1"/>
  <c r="AC60" i="1"/>
  <c r="AB60" i="1"/>
  <c r="Z60" i="1"/>
  <c r="AA60" i="1" s="1"/>
  <c r="Y60" i="1"/>
  <c r="V60" i="1"/>
  <c r="N60" i="1"/>
  <c r="M60" i="1"/>
  <c r="L60" i="1"/>
  <c r="K60" i="1"/>
  <c r="AO59" i="1"/>
  <c r="AN59" i="1"/>
  <c r="AM59" i="1"/>
  <c r="AH59" i="1"/>
  <c r="AF59" i="1"/>
  <c r="AE59" i="1"/>
  <c r="AD59" i="1"/>
  <c r="AC59" i="1"/>
  <c r="AB59" i="1"/>
  <c r="Z59" i="1"/>
  <c r="AA59" i="1" s="1"/>
  <c r="Y59" i="1"/>
  <c r="V59" i="1"/>
  <c r="N59" i="1"/>
  <c r="M59" i="1"/>
  <c r="L59" i="1"/>
  <c r="K59" i="1"/>
  <c r="AO58" i="1"/>
  <c r="AN58" i="1"/>
  <c r="AM58" i="1"/>
  <c r="AH58" i="1"/>
  <c r="AF58" i="1"/>
  <c r="AE58" i="1"/>
  <c r="AD58" i="1"/>
  <c r="AC58" i="1"/>
  <c r="AB58" i="1"/>
  <c r="Z58" i="1"/>
  <c r="AA58" i="1" s="1"/>
  <c r="Y58" i="1"/>
  <c r="V58" i="1"/>
  <c r="N58" i="1"/>
  <c r="M58" i="1"/>
  <c r="L58" i="1"/>
  <c r="K58" i="1"/>
  <c r="AO57" i="1"/>
  <c r="AN57" i="1"/>
  <c r="AM57" i="1"/>
  <c r="AH57" i="1"/>
  <c r="AF57" i="1"/>
  <c r="AE57" i="1"/>
  <c r="AD57" i="1"/>
  <c r="AC57" i="1"/>
  <c r="AB57" i="1"/>
  <c r="Z57" i="1"/>
  <c r="AA57" i="1" s="1"/>
  <c r="Y57" i="1"/>
  <c r="V57" i="1"/>
  <c r="N57" i="1"/>
  <c r="M57" i="1"/>
  <c r="L57" i="1"/>
  <c r="K57" i="1"/>
  <c r="AO56" i="1"/>
  <c r="AN56" i="1"/>
  <c r="AM56" i="1"/>
  <c r="AH56" i="1"/>
  <c r="AF56" i="1"/>
  <c r="AE56" i="1"/>
  <c r="AD56" i="1"/>
  <c r="AC56" i="1"/>
  <c r="AB56" i="1"/>
  <c r="Z56" i="1"/>
  <c r="AA56" i="1" s="1"/>
  <c r="Y56" i="1"/>
  <c r="V56" i="1"/>
  <c r="N56" i="1"/>
  <c r="M56" i="1"/>
  <c r="L56" i="1"/>
  <c r="K56" i="1"/>
  <c r="AO55" i="1"/>
  <c r="AN55" i="1"/>
  <c r="AM55" i="1"/>
  <c r="AH55" i="1"/>
  <c r="AF55" i="1"/>
  <c r="AE55" i="1"/>
  <c r="AD55" i="1"/>
  <c r="AC55" i="1"/>
  <c r="AB55" i="1"/>
  <c r="Z55" i="1"/>
  <c r="AA55" i="1" s="1"/>
  <c r="Y55" i="1"/>
  <c r="V55" i="1"/>
  <c r="N55" i="1"/>
  <c r="M55" i="1"/>
  <c r="L55" i="1"/>
  <c r="K55" i="1"/>
  <c r="AO54" i="1"/>
  <c r="AN54" i="1"/>
  <c r="AM54" i="1"/>
  <c r="AH54" i="1"/>
  <c r="AF54" i="1"/>
  <c r="AE54" i="1"/>
  <c r="AD54" i="1"/>
  <c r="AC54" i="1"/>
  <c r="AB54" i="1"/>
  <c r="Z54" i="1"/>
  <c r="AA54" i="1" s="1"/>
  <c r="Y54" i="1"/>
  <c r="V54" i="1"/>
  <c r="N54" i="1"/>
  <c r="M54" i="1"/>
  <c r="L54" i="1"/>
  <c r="K54" i="1"/>
  <c r="AO53" i="1"/>
  <c r="AN53" i="1"/>
  <c r="AM53" i="1"/>
  <c r="AH53" i="1"/>
  <c r="AF53" i="1"/>
  <c r="AE53" i="1"/>
  <c r="AD53" i="1"/>
  <c r="T53" i="1" s="1"/>
  <c r="AC53" i="1"/>
  <c r="AB53" i="1"/>
  <c r="AA53" i="1"/>
  <c r="V53" i="1"/>
  <c r="M53" i="1"/>
  <c r="N53" i="1" s="1"/>
  <c r="L53" i="1"/>
  <c r="K53" i="1"/>
  <c r="AO52" i="1"/>
  <c r="AN52" i="1"/>
  <c r="AM52" i="1"/>
  <c r="AH52" i="1"/>
  <c r="AF52" i="1"/>
  <c r="AE52" i="1"/>
  <c r="AD52" i="1"/>
  <c r="AC52" i="1"/>
  <c r="AB52" i="1"/>
  <c r="Z52" i="1"/>
  <c r="AA52" i="1" s="1"/>
  <c r="Y52" i="1"/>
  <c r="X52" i="1"/>
  <c r="V52" i="1"/>
  <c r="T52" i="1"/>
  <c r="M52" i="1"/>
  <c r="N52" i="1" s="1"/>
  <c r="L52" i="1"/>
  <c r="K52" i="1"/>
  <c r="AO51" i="1"/>
  <c r="AN51" i="1"/>
  <c r="AM51" i="1"/>
  <c r="AH51" i="1"/>
  <c r="AF51" i="1"/>
  <c r="AE51" i="1"/>
  <c r="AD51" i="1"/>
  <c r="AC51" i="1"/>
  <c r="AB51" i="1"/>
  <c r="Z51" i="1"/>
  <c r="Y51" i="1"/>
  <c r="X51" i="1"/>
  <c r="V51" i="1"/>
  <c r="T51" i="1"/>
  <c r="M51" i="1"/>
  <c r="N51" i="1" s="1"/>
  <c r="L51" i="1"/>
  <c r="K51" i="1"/>
  <c r="AO50" i="1"/>
  <c r="AN50" i="1"/>
  <c r="AM50" i="1"/>
  <c r="AH50" i="1"/>
  <c r="AF50" i="1"/>
  <c r="AE50" i="1"/>
  <c r="AD50" i="1"/>
  <c r="AC50" i="1"/>
  <c r="AB50" i="1"/>
  <c r="AA50" i="1"/>
  <c r="Z50" i="1"/>
  <c r="Y50" i="1"/>
  <c r="X50" i="1"/>
  <c r="V50" i="1"/>
  <c r="T50" i="1"/>
  <c r="N50" i="1"/>
  <c r="M50" i="1"/>
  <c r="L50" i="1"/>
  <c r="K50" i="1"/>
  <c r="AO49" i="1"/>
  <c r="AN49" i="1"/>
  <c r="AM49" i="1"/>
  <c r="AH49" i="1"/>
  <c r="AF49" i="1"/>
  <c r="AE49" i="1"/>
  <c r="AD49" i="1"/>
  <c r="AC49" i="1"/>
  <c r="AB49" i="1"/>
  <c r="AA49" i="1"/>
  <c r="Z49" i="1"/>
  <c r="Y49" i="1"/>
  <c r="X49" i="1"/>
  <c r="V49" i="1"/>
  <c r="T49" i="1"/>
  <c r="N49" i="1"/>
  <c r="M49" i="1"/>
  <c r="L49" i="1"/>
  <c r="K49" i="1"/>
  <c r="AO48" i="1"/>
  <c r="AN48" i="1"/>
  <c r="AM48" i="1"/>
  <c r="AH48" i="1"/>
  <c r="AF48" i="1"/>
  <c r="AE48" i="1"/>
  <c r="AD48" i="1"/>
  <c r="AC48" i="1"/>
  <c r="AB48" i="1"/>
  <c r="AA48" i="1"/>
  <c r="Z48" i="1"/>
  <c r="Y48" i="1"/>
  <c r="X48" i="1"/>
  <c r="V48" i="1"/>
  <c r="T48" i="1"/>
  <c r="N48" i="1"/>
  <c r="M48" i="1"/>
  <c r="L48" i="1"/>
  <c r="K48" i="1"/>
  <c r="AO47" i="1"/>
  <c r="AN47" i="1"/>
  <c r="AM47" i="1"/>
  <c r="AH47" i="1"/>
  <c r="AF47" i="1"/>
  <c r="AE47" i="1"/>
  <c r="AD47" i="1"/>
  <c r="AC47" i="1"/>
  <c r="AB47" i="1"/>
  <c r="AA47" i="1"/>
  <c r="Z47" i="1"/>
  <c r="Y47" i="1"/>
  <c r="X47" i="1"/>
  <c r="V47" i="1"/>
  <c r="T47" i="1"/>
  <c r="N47" i="1"/>
  <c r="M47" i="1"/>
  <c r="L47" i="1"/>
  <c r="K47" i="1"/>
  <c r="AO46" i="1"/>
  <c r="AN46" i="1"/>
  <c r="AM46" i="1"/>
  <c r="AH46" i="1"/>
  <c r="AF46" i="1"/>
  <c r="AE46" i="1"/>
  <c r="AD46" i="1"/>
  <c r="AC46" i="1"/>
  <c r="AB46" i="1"/>
  <c r="AA46" i="1"/>
  <c r="Z46" i="1"/>
  <c r="Y46" i="1"/>
  <c r="X46" i="1"/>
  <c r="V46" i="1"/>
  <c r="T46" i="1"/>
  <c r="N46" i="1"/>
  <c r="M46" i="1"/>
  <c r="L46" i="1"/>
  <c r="K46" i="1"/>
  <c r="AO45" i="1"/>
  <c r="AN45" i="1"/>
  <c r="AM45" i="1"/>
  <c r="AH45" i="1"/>
  <c r="AF45" i="1"/>
  <c r="AE45" i="1"/>
  <c r="AD45" i="1"/>
  <c r="AC45" i="1"/>
  <c r="AB45" i="1"/>
  <c r="AA45" i="1"/>
  <c r="Z45" i="1"/>
  <c r="Y45" i="1"/>
  <c r="X45" i="1"/>
  <c r="V45" i="1"/>
  <c r="T45" i="1"/>
  <c r="N45" i="1"/>
  <c r="M45" i="1"/>
  <c r="L45" i="1"/>
  <c r="K45" i="1"/>
  <c r="AO44" i="1"/>
  <c r="AN44" i="1"/>
  <c r="AM44" i="1"/>
  <c r="AH44" i="1"/>
  <c r="AF44" i="1"/>
  <c r="AE44" i="1"/>
  <c r="AD44" i="1"/>
  <c r="AC44" i="1"/>
  <c r="AB44" i="1"/>
  <c r="AA44" i="1"/>
  <c r="V44" i="1"/>
  <c r="T44" i="1"/>
  <c r="N44" i="1"/>
  <c r="M44" i="1"/>
  <c r="L44" i="1"/>
  <c r="K44" i="1"/>
  <c r="AO43" i="1"/>
  <c r="AN43" i="1"/>
  <c r="AM43" i="1"/>
  <c r="AH43" i="1"/>
  <c r="AF43" i="1"/>
  <c r="AE43" i="1"/>
  <c r="AD43" i="1"/>
  <c r="AC43" i="1"/>
  <c r="AB43" i="1"/>
  <c r="Z43" i="1"/>
  <c r="AA43" i="1" s="1"/>
  <c r="Y43" i="1"/>
  <c r="V43" i="1"/>
  <c r="N43" i="1"/>
  <c r="M43" i="1"/>
  <c r="L43" i="1"/>
  <c r="K43" i="1"/>
  <c r="AO42" i="1"/>
  <c r="AN42" i="1"/>
  <c r="AM42" i="1"/>
  <c r="AH42" i="1"/>
  <c r="AF42" i="1"/>
  <c r="AE42" i="1"/>
  <c r="AD42" i="1"/>
  <c r="AC42" i="1"/>
  <c r="AB42" i="1"/>
  <c r="Z42" i="1"/>
  <c r="AA42" i="1" s="1"/>
  <c r="Y42" i="1"/>
  <c r="V42" i="1"/>
  <c r="N42" i="1"/>
  <c r="M42" i="1"/>
  <c r="L42" i="1"/>
  <c r="K42" i="1"/>
  <c r="AO41" i="1"/>
  <c r="AN41" i="1"/>
  <c r="AM41" i="1"/>
  <c r="AH41" i="1"/>
  <c r="AF41" i="1"/>
  <c r="AE41" i="1"/>
  <c r="AD41" i="1"/>
  <c r="AC41" i="1"/>
  <c r="AB41" i="1"/>
  <c r="Z41" i="1"/>
  <c r="AA41" i="1" s="1"/>
  <c r="Y41" i="1"/>
  <c r="V41" i="1"/>
  <c r="N41" i="1"/>
  <c r="M41" i="1"/>
  <c r="L41" i="1"/>
  <c r="K41" i="1"/>
  <c r="AO40" i="1"/>
  <c r="AN40" i="1"/>
  <c r="AM40" i="1"/>
  <c r="AH40" i="1"/>
  <c r="AF40" i="1"/>
  <c r="AE40" i="1"/>
  <c r="AD40" i="1"/>
  <c r="AC40" i="1"/>
  <c r="AB40" i="1"/>
  <c r="Z40" i="1"/>
  <c r="AA40" i="1" s="1"/>
  <c r="Y40" i="1"/>
  <c r="V40" i="1"/>
  <c r="N40" i="1"/>
  <c r="M40" i="1"/>
  <c r="L40" i="1"/>
  <c r="K40" i="1"/>
  <c r="AO39" i="1"/>
  <c r="AN39" i="1"/>
  <c r="AM39" i="1"/>
  <c r="AH39" i="1"/>
  <c r="AF39" i="1"/>
  <c r="AE39" i="1"/>
  <c r="AD39" i="1"/>
  <c r="AC39" i="1"/>
  <c r="AB39" i="1"/>
  <c r="Z39" i="1"/>
  <c r="AA39" i="1" s="1"/>
  <c r="Y39" i="1"/>
  <c r="V39" i="1"/>
  <c r="N39" i="1"/>
  <c r="M39" i="1"/>
  <c r="L39" i="1"/>
  <c r="K39" i="1"/>
  <c r="AO38" i="1"/>
  <c r="AN38" i="1"/>
  <c r="AM38" i="1"/>
  <c r="AH38" i="1"/>
  <c r="AF38" i="1"/>
  <c r="AE38" i="1"/>
  <c r="AD38" i="1"/>
  <c r="AC38" i="1"/>
  <c r="AB38" i="1"/>
  <c r="Z38" i="1"/>
  <c r="AA38" i="1" s="1"/>
  <c r="Y38" i="1"/>
  <c r="V38" i="1"/>
  <c r="N38" i="1"/>
  <c r="M38" i="1"/>
  <c r="L38" i="1"/>
  <c r="K38" i="1"/>
  <c r="AO37" i="1"/>
  <c r="AN37" i="1"/>
  <c r="AM37" i="1"/>
  <c r="AH37" i="1"/>
  <c r="AF37" i="1"/>
  <c r="AE37" i="1"/>
  <c r="AD37" i="1"/>
  <c r="AC37" i="1"/>
  <c r="AB37" i="1"/>
  <c r="Z37" i="1"/>
  <c r="AA37" i="1" s="1"/>
  <c r="Y37" i="1"/>
  <c r="V37" i="1"/>
  <c r="N37" i="1"/>
  <c r="M37" i="1"/>
  <c r="L37" i="1"/>
  <c r="K37" i="1"/>
  <c r="AO36" i="1"/>
  <c r="AN36" i="1"/>
  <c r="AM36" i="1"/>
  <c r="AH36" i="1"/>
  <c r="AF36" i="1"/>
  <c r="AE36" i="1"/>
  <c r="AD36" i="1"/>
  <c r="AC36" i="1"/>
  <c r="AB36" i="1"/>
  <c r="Z36" i="1"/>
  <c r="AA36" i="1" s="1"/>
  <c r="Y36" i="1"/>
  <c r="V36" i="1"/>
  <c r="N36" i="1"/>
  <c r="M36" i="1"/>
  <c r="L36" i="1"/>
  <c r="K36" i="1"/>
  <c r="AO35" i="1"/>
  <c r="AN35" i="1"/>
  <c r="AM35" i="1"/>
  <c r="AH35" i="1"/>
  <c r="AF35" i="1"/>
  <c r="AE35" i="1"/>
  <c r="AD35" i="1"/>
  <c r="AC35" i="1"/>
  <c r="AB35" i="1"/>
  <c r="Z35" i="1"/>
  <c r="AA35" i="1" s="1"/>
  <c r="Y35" i="1"/>
  <c r="V35" i="1"/>
  <c r="N35" i="1"/>
  <c r="M35" i="1"/>
  <c r="L35" i="1"/>
  <c r="K35" i="1"/>
  <c r="AO34" i="1"/>
  <c r="AN34" i="1"/>
  <c r="AM34" i="1"/>
  <c r="AH34" i="1"/>
  <c r="AF34" i="1"/>
  <c r="AE34" i="1"/>
  <c r="AD34" i="1"/>
  <c r="AC34" i="1"/>
  <c r="AB34" i="1"/>
  <c r="Z34" i="1"/>
  <c r="AA34" i="1" s="1"/>
  <c r="Y34" i="1"/>
  <c r="V34" i="1"/>
  <c r="N34" i="1"/>
  <c r="M34" i="1"/>
  <c r="L34" i="1"/>
  <c r="K34" i="1"/>
  <c r="AO33" i="1"/>
  <c r="AN33" i="1"/>
  <c r="AM33" i="1"/>
  <c r="AH33" i="1"/>
  <c r="AF33" i="1"/>
  <c r="AE33" i="1"/>
  <c r="AD33" i="1"/>
  <c r="AC33" i="1"/>
  <c r="AB33" i="1"/>
  <c r="Z33" i="1"/>
  <c r="AA33" i="1" s="1"/>
  <c r="Y33" i="1"/>
  <c r="V33" i="1"/>
  <c r="N33" i="1"/>
  <c r="M33" i="1"/>
  <c r="L33" i="1"/>
  <c r="K33" i="1"/>
  <c r="AO32" i="1"/>
  <c r="AN32" i="1"/>
  <c r="AM32" i="1"/>
  <c r="AH32" i="1"/>
  <c r="AF32" i="1"/>
  <c r="AE32" i="1"/>
  <c r="AD32" i="1"/>
  <c r="AC32" i="1"/>
  <c r="AB32" i="1"/>
  <c r="Z32" i="1"/>
  <c r="AA32" i="1" s="1"/>
  <c r="Y32" i="1"/>
  <c r="V32" i="1"/>
  <c r="N32" i="1"/>
  <c r="M32" i="1"/>
  <c r="L32" i="1"/>
  <c r="K32" i="1"/>
  <c r="AO31" i="1"/>
  <c r="AN31" i="1"/>
  <c r="AM31" i="1"/>
  <c r="AH31" i="1"/>
  <c r="AF31" i="1"/>
  <c r="AE31" i="1"/>
  <c r="AD31" i="1"/>
  <c r="AC31" i="1"/>
  <c r="AB31" i="1"/>
  <c r="Z31" i="1"/>
  <c r="AA31" i="1" s="1"/>
  <c r="Y31" i="1"/>
  <c r="V31" i="1"/>
  <c r="N31" i="1"/>
  <c r="M31" i="1"/>
  <c r="L31" i="1"/>
  <c r="K31" i="1"/>
  <c r="AO30" i="1"/>
  <c r="AN30" i="1"/>
  <c r="AM30" i="1"/>
  <c r="AH30" i="1"/>
  <c r="AF30" i="1"/>
  <c r="AE30" i="1"/>
  <c r="AD30" i="1"/>
  <c r="AC30" i="1"/>
  <c r="AB30" i="1"/>
  <c r="Z30" i="1"/>
  <c r="AA30" i="1" s="1"/>
  <c r="Y30" i="1"/>
  <c r="V30" i="1"/>
  <c r="N30" i="1"/>
  <c r="M30" i="1"/>
  <c r="L30" i="1"/>
  <c r="K30" i="1"/>
  <c r="AO29" i="1"/>
  <c r="AN29" i="1"/>
  <c r="AM29" i="1"/>
  <c r="AH29" i="1"/>
  <c r="AF29" i="1"/>
  <c r="AE29" i="1"/>
  <c r="AD29" i="1"/>
  <c r="AC29" i="1"/>
  <c r="AB29" i="1"/>
  <c r="Z29" i="1"/>
  <c r="AA29" i="1" s="1"/>
  <c r="Y29" i="1"/>
  <c r="V29" i="1"/>
  <c r="N29" i="1"/>
  <c r="M29" i="1"/>
  <c r="L29" i="1"/>
  <c r="K29" i="1"/>
  <c r="AO28" i="1"/>
  <c r="AN28" i="1"/>
  <c r="AM28" i="1"/>
  <c r="AH28" i="1"/>
  <c r="AF28" i="1"/>
  <c r="AE28" i="1"/>
  <c r="AD28" i="1"/>
  <c r="AC28" i="1"/>
  <c r="AB28" i="1"/>
  <c r="Z28" i="1"/>
  <c r="AA28" i="1" s="1"/>
  <c r="Y28" i="1"/>
  <c r="V28" i="1"/>
  <c r="N28" i="1"/>
  <c r="M28" i="1"/>
  <c r="L28" i="1"/>
  <c r="K28" i="1"/>
  <c r="AO27" i="1"/>
  <c r="AN27" i="1"/>
  <c r="AM27" i="1"/>
  <c r="AH27" i="1"/>
  <c r="AF27" i="1"/>
  <c r="AE27" i="1"/>
  <c r="AD27" i="1"/>
  <c r="AC27" i="1"/>
  <c r="AB27" i="1"/>
  <c r="Z27" i="1"/>
  <c r="AA27" i="1" s="1"/>
  <c r="Y27" i="1"/>
  <c r="V27" i="1"/>
  <c r="N27" i="1"/>
  <c r="M27" i="1"/>
  <c r="L27" i="1"/>
  <c r="K27" i="1"/>
  <c r="AO26" i="1"/>
  <c r="AN26" i="1"/>
  <c r="AM26" i="1"/>
  <c r="AH26" i="1"/>
  <c r="AF26" i="1"/>
  <c r="AE26" i="1"/>
  <c r="AD26" i="1"/>
  <c r="AC26" i="1"/>
  <c r="AB26" i="1"/>
  <c r="Z26" i="1"/>
  <c r="AA26" i="1" s="1"/>
  <c r="Y26" i="1"/>
  <c r="V26" i="1"/>
  <c r="N26" i="1"/>
  <c r="M26" i="1"/>
  <c r="L26" i="1"/>
  <c r="K26" i="1"/>
  <c r="AO25" i="1"/>
  <c r="AN25" i="1"/>
  <c r="AM25" i="1"/>
  <c r="AH25" i="1"/>
  <c r="AF25" i="1"/>
  <c r="AE25" i="1"/>
  <c r="AD25" i="1"/>
  <c r="AC25" i="1"/>
  <c r="AB25" i="1"/>
  <c r="Z25" i="1"/>
  <c r="AA25" i="1" s="1"/>
  <c r="Y25" i="1"/>
  <c r="V25" i="1"/>
  <c r="N25" i="1"/>
  <c r="M25" i="1"/>
  <c r="L25" i="1"/>
  <c r="K25" i="1"/>
  <c r="AO24" i="1"/>
  <c r="AN24" i="1"/>
  <c r="AM24" i="1"/>
  <c r="AH24" i="1"/>
  <c r="AF24" i="1"/>
  <c r="AE24" i="1"/>
  <c r="AD24" i="1"/>
  <c r="AC24" i="1"/>
  <c r="AB24" i="1"/>
  <c r="Z24" i="1"/>
  <c r="AA24" i="1" s="1"/>
  <c r="Y24" i="1"/>
  <c r="V24" i="1"/>
  <c r="N24" i="1"/>
  <c r="M24" i="1"/>
  <c r="L24" i="1"/>
  <c r="K24" i="1"/>
  <c r="AO23" i="1"/>
  <c r="AN23" i="1"/>
  <c r="AM23" i="1"/>
  <c r="AH23" i="1"/>
  <c r="AF23" i="1"/>
  <c r="AE23" i="1"/>
  <c r="AD23" i="1"/>
  <c r="AC23" i="1"/>
  <c r="AB23" i="1"/>
  <c r="Z23" i="1"/>
  <c r="AA23" i="1" s="1"/>
  <c r="Y23" i="1"/>
  <c r="V23" i="1"/>
  <c r="N23" i="1"/>
  <c r="M23" i="1"/>
  <c r="L23" i="1"/>
  <c r="K23" i="1"/>
  <c r="AO22" i="1"/>
  <c r="AN22" i="1"/>
  <c r="AM22" i="1"/>
  <c r="AH22" i="1"/>
  <c r="AF22" i="1"/>
  <c r="AE22" i="1"/>
  <c r="AD22" i="1"/>
  <c r="AC22" i="1"/>
  <c r="AB22" i="1"/>
  <c r="Z22" i="1"/>
  <c r="AA22" i="1" s="1"/>
  <c r="Y22" i="1"/>
  <c r="V22" i="1"/>
  <c r="N22" i="1"/>
  <c r="M22" i="1"/>
  <c r="L22" i="1"/>
  <c r="K22" i="1"/>
  <c r="AO21" i="1"/>
  <c r="AN21" i="1"/>
  <c r="AM21" i="1"/>
  <c r="AH21" i="1"/>
  <c r="AF21" i="1"/>
  <c r="AE21" i="1"/>
  <c r="AD21" i="1"/>
  <c r="AC21" i="1"/>
  <c r="AB21" i="1"/>
  <c r="AA21" i="1"/>
  <c r="Z21" i="1"/>
  <c r="Y21" i="1"/>
  <c r="V21" i="1"/>
  <c r="N21" i="1"/>
  <c r="M21" i="1"/>
  <c r="L21" i="1"/>
  <c r="K21" i="1"/>
  <c r="AO20" i="1"/>
  <c r="AN20" i="1"/>
  <c r="AM20" i="1"/>
  <c r="AH20" i="1"/>
  <c r="AF20" i="1"/>
  <c r="AE20" i="1"/>
  <c r="AD20" i="1"/>
  <c r="AC20" i="1"/>
  <c r="AB20" i="1"/>
  <c r="Z20" i="1"/>
  <c r="AA20" i="1" s="1"/>
  <c r="Y20" i="1"/>
  <c r="V20" i="1"/>
  <c r="N20" i="1"/>
  <c r="M20" i="1"/>
  <c r="L20" i="1"/>
  <c r="K20" i="1"/>
  <c r="AO19" i="1"/>
  <c r="AN19" i="1"/>
  <c r="AM19" i="1"/>
  <c r="AH19" i="1"/>
  <c r="AF19" i="1"/>
  <c r="AE19" i="1"/>
  <c r="AD19" i="1"/>
  <c r="AC19" i="1"/>
  <c r="AB19" i="1"/>
  <c r="Z19" i="1"/>
  <c r="AA19" i="1" s="1"/>
  <c r="Y19" i="1"/>
  <c r="V19" i="1"/>
  <c r="N19" i="1"/>
  <c r="M19" i="1"/>
  <c r="L19" i="1"/>
  <c r="K19" i="1"/>
  <c r="AO18" i="1"/>
  <c r="AN18" i="1"/>
  <c r="AM18" i="1"/>
  <c r="AH18" i="1"/>
  <c r="AF18" i="1"/>
  <c r="AE18" i="1"/>
  <c r="AD18" i="1"/>
  <c r="AC18" i="1"/>
  <c r="AB18" i="1"/>
  <c r="Z18" i="1"/>
  <c r="AA18" i="1" s="1"/>
  <c r="Y18" i="1"/>
  <c r="V18" i="1"/>
  <c r="N18" i="1"/>
  <c r="M18" i="1"/>
  <c r="L18" i="1"/>
  <c r="K18" i="1"/>
  <c r="AO17" i="1"/>
  <c r="AN17" i="1"/>
  <c r="AM17" i="1"/>
  <c r="AH17" i="1"/>
  <c r="AF17" i="1"/>
  <c r="AE17" i="1"/>
  <c r="AD17" i="1"/>
  <c r="AC17" i="1"/>
  <c r="AB17" i="1"/>
  <c r="Z17" i="1"/>
  <c r="AA17" i="1" s="1"/>
  <c r="Y17" i="1"/>
  <c r="V17" i="1"/>
  <c r="N17" i="1"/>
  <c r="M17" i="1"/>
  <c r="L17" i="1"/>
  <c r="K17" i="1"/>
  <c r="AO16" i="1"/>
  <c r="AN16" i="1"/>
  <c r="AM16" i="1"/>
  <c r="AH16" i="1"/>
  <c r="AF16" i="1"/>
  <c r="AE16" i="1"/>
  <c r="AD16" i="1"/>
  <c r="AC16" i="1"/>
  <c r="AB16" i="1"/>
  <c r="Z16" i="1"/>
  <c r="AA16" i="1" s="1"/>
  <c r="Y16" i="1"/>
  <c r="V16" i="1"/>
  <c r="N16" i="1"/>
  <c r="M16" i="1"/>
  <c r="L16" i="1"/>
  <c r="K16" i="1"/>
  <c r="AO15" i="1"/>
  <c r="AN15" i="1"/>
  <c r="AM15" i="1"/>
  <c r="AH15" i="1"/>
  <c r="AF15" i="1"/>
  <c r="AE15" i="1"/>
  <c r="AD15" i="1"/>
  <c r="AC15" i="1"/>
  <c r="AB15" i="1"/>
  <c r="Z15" i="1"/>
  <c r="AA15" i="1" s="1"/>
  <c r="Y15" i="1"/>
  <c r="V15" i="1"/>
  <c r="N15" i="1"/>
  <c r="M15" i="1"/>
  <c r="L15" i="1"/>
  <c r="K15" i="1"/>
  <c r="AO14" i="1"/>
  <c r="AN14" i="1"/>
  <c r="AM14" i="1"/>
  <c r="AH14" i="1"/>
  <c r="AF14" i="1"/>
  <c r="AE14" i="1"/>
  <c r="AD14" i="1"/>
  <c r="AC14" i="1"/>
  <c r="AB14" i="1"/>
  <c r="Z14" i="1"/>
  <c r="AA14" i="1" s="1"/>
  <c r="Y14" i="1"/>
  <c r="V14" i="1"/>
  <c r="N14" i="1"/>
  <c r="M14" i="1"/>
  <c r="L14" i="1"/>
  <c r="K14" i="1"/>
  <c r="AO13" i="1"/>
  <c r="AN13" i="1"/>
  <c r="AM13" i="1"/>
  <c r="AH13" i="1"/>
  <c r="AF13" i="1"/>
  <c r="AE13" i="1"/>
  <c r="AD13" i="1"/>
  <c r="AC13" i="1"/>
  <c r="AB13" i="1"/>
  <c r="Z13" i="1"/>
  <c r="AA13" i="1" s="1"/>
  <c r="Y13" i="1"/>
  <c r="V13" i="1"/>
  <c r="M13" i="1"/>
  <c r="L13" i="1"/>
  <c r="K13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1" i="1"/>
  <c r="AG52" i="1"/>
  <c r="AG50" i="1"/>
  <c r="AG49" i="1"/>
  <c r="AG48" i="1"/>
  <c r="AG47" i="1"/>
  <c r="AG46" i="1"/>
  <c r="AG45" i="1"/>
  <c r="AG44" i="1"/>
  <c r="AG42" i="1"/>
  <c r="AG40" i="1"/>
  <c r="AG38" i="1"/>
  <c r="AG36" i="1"/>
  <c r="AG34" i="1"/>
  <c r="AG32" i="1"/>
  <c r="AG30" i="1"/>
  <c r="AG28" i="1"/>
  <c r="AG26" i="1"/>
  <c r="AG24" i="1"/>
  <c r="AG22" i="1"/>
  <c r="AG21" i="1"/>
  <c r="AG19" i="1"/>
  <c r="AG17" i="1"/>
  <c r="AG15" i="1"/>
  <c r="AG13" i="1"/>
  <c r="AG18" i="1"/>
  <c r="AG16" i="1"/>
  <c r="AG43" i="1"/>
  <c r="AG41" i="1"/>
  <c r="AG39" i="1"/>
  <c r="AG37" i="1"/>
  <c r="AG35" i="1"/>
  <c r="AG33" i="1"/>
  <c r="AG31" i="1"/>
  <c r="AG29" i="1"/>
  <c r="AG27" i="1"/>
  <c r="AG25" i="1"/>
  <c r="AG23" i="1"/>
  <c r="AG20" i="1"/>
  <c r="AG14" i="1"/>
  <c r="S109" i="1" l="1"/>
  <c r="S112" i="1"/>
  <c r="AI52" i="1"/>
  <c r="U52" i="1"/>
  <c r="S52" i="1" s="1"/>
  <c r="AI51" i="1"/>
  <c r="U51" i="1"/>
  <c r="S51" i="1" s="1"/>
  <c r="U53" i="1"/>
  <c r="S53" i="1" s="1"/>
  <c r="AI53" i="1"/>
  <c r="AI54" i="1"/>
  <c r="U55" i="1"/>
  <c r="S55" i="1" s="1"/>
  <c r="AI55" i="1"/>
  <c r="AI56" i="1"/>
  <c r="AI57" i="1"/>
  <c r="AI58" i="1"/>
  <c r="U59" i="1"/>
  <c r="S59" i="1" s="1"/>
  <c r="AI59" i="1"/>
  <c r="U60" i="1"/>
  <c r="S60" i="1" s="1"/>
  <c r="AI60" i="1"/>
  <c r="AI61" i="1"/>
  <c r="AI62" i="1"/>
  <c r="U63" i="1"/>
  <c r="S63" i="1" s="1"/>
  <c r="AI63" i="1"/>
  <c r="U64" i="1"/>
  <c r="S64" i="1" s="1"/>
  <c r="AI64" i="1"/>
  <c r="AI65" i="1"/>
  <c r="AI66" i="1"/>
  <c r="U67" i="1"/>
  <c r="S67" i="1" s="1"/>
  <c r="AI67" i="1"/>
  <c r="U68" i="1"/>
  <c r="S68" i="1" s="1"/>
  <c r="AI68" i="1"/>
  <c r="AI69" i="1"/>
  <c r="AI70" i="1"/>
  <c r="AI71" i="1"/>
  <c r="U72" i="1"/>
  <c r="S72" i="1"/>
  <c r="AI72" i="1"/>
  <c r="AI73" i="1"/>
  <c r="AI74" i="1"/>
  <c r="AI75" i="1"/>
  <c r="U76" i="1"/>
  <c r="S76" i="1" s="1"/>
  <c r="AI76" i="1"/>
  <c r="U77" i="1"/>
  <c r="S77" i="1"/>
  <c r="AI77" i="1"/>
  <c r="W77" i="1"/>
  <c r="U78" i="1"/>
  <c r="S78" i="1" s="1"/>
  <c r="AI78" i="1"/>
  <c r="W78" i="1"/>
  <c r="U79" i="1"/>
  <c r="S79" i="1" s="1"/>
  <c r="W79" i="1"/>
  <c r="AI79" i="1"/>
  <c r="U80" i="1"/>
  <c r="S80" i="1" s="1"/>
  <c r="W80" i="1"/>
  <c r="AI80" i="1"/>
  <c r="U81" i="1"/>
  <c r="S81" i="1" s="1"/>
  <c r="AI81" i="1"/>
  <c r="W81" i="1"/>
  <c r="U82" i="1"/>
  <c r="S82" i="1" s="1"/>
  <c r="W82" i="1"/>
  <c r="AI82" i="1"/>
  <c r="U83" i="1"/>
  <c r="S83" i="1" s="1"/>
  <c r="W83" i="1"/>
  <c r="AI83" i="1"/>
  <c r="U84" i="1"/>
  <c r="S84" i="1" s="1"/>
  <c r="W84" i="1"/>
  <c r="AI84" i="1"/>
  <c r="U85" i="1"/>
  <c r="S85" i="1" s="1"/>
  <c r="AI85" i="1"/>
  <c r="W85" i="1"/>
  <c r="U86" i="1"/>
  <c r="S86" i="1" s="1"/>
  <c r="AI86" i="1"/>
  <c r="W86" i="1"/>
  <c r="U87" i="1"/>
  <c r="S87" i="1" s="1"/>
  <c r="AI87" i="1"/>
  <c r="U88" i="1"/>
  <c r="S88" i="1" s="1"/>
  <c r="AI88" i="1"/>
  <c r="U89" i="1"/>
  <c r="S89" i="1" s="1"/>
  <c r="AI89" i="1"/>
  <c r="W89" i="1"/>
  <c r="U90" i="1"/>
  <c r="S90" i="1" s="1"/>
  <c r="AI90" i="1"/>
  <c r="W90" i="1"/>
  <c r="W55" i="1"/>
  <c r="W57" i="1"/>
  <c r="W58" i="1"/>
  <c r="W60" i="1"/>
  <c r="W63" i="1"/>
  <c r="W65" i="1"/>
  <c r="W67" i="1"/>
  <c r="W69" i="1"/>
  <c r="W74" i="1"/>
  <c r="W71" i="1"/>
  <c r="W75" i="1"/>
  <c r="W54" i="1"/>
  <c r="W56" i="1"/>
  <c r="W59" i="1"/>
  <c r="W61" i="1"/>
  <c r="W62" i="1"/>
  <c r="W64" i="1"/>
  <c r="W66" i="1"/>
  <c r="W68" i="1"/>
  <c r="W70" i="1"/>
  <c r="W72" i="1"/>
  <c r="W76" i="1"/>
  <c r="W73" i="1"/>
  <c r="X53" i="1"/>
  <c r="X55" i="1"/>
  <c r="T55" i="1"/>
  <c r="X56" i="1"/>
  <c r="T56" i="1"/>
  <c r="U56" i="1" s="1"/>
  <c r="S56" i="1" s="1"/>
  <c r="X58" i="1"/>
  <c r="T58" i="1"/>
  <c r="U58" i="1" s="1"/>
  <c r="S58" i="1" s="1"/>
  <c r="X59" i="1"/>
  <c r="T59" i="1"/>
  <c r="X61" i="1"/>
  <c r="T61" i="1"/>
  <c r="U61" i="1" s="1"/>
  <c r="S61" i="1" s="1"/>
  <c r="X63" i="1"/>
  <c r="T63" i="1"/>
  <c r="X65" i="1"/>
  <c r="T65" i="1"/>
  <c r="U65" i="1" s="1"/>
  <c r="S65" i="1" s="1"/>
  <c r="X67" i="1"/>
  <c r="T67" i="1"/>
  <c r="X69" i="1"/>
  <c r="T69" i="1"/>
  <c r="U69" i="1" s="1"/>
  <c r="S69" i="1" s="1"/>
  <c r="X70" i="1"/>
  <c r="T70" i="1"/>
  <c r="U70" i="1" s="1"/>
  <c r="S70" i="1" s="1"/>
  <c r="W87" i="1"/>
  <c r="W53" i="1"/>
  <c r="W52" i="1"/>
  <c r="AA51" i="1"/>
  <c r="W51" i="1" s="1"/>
  <c r="X54" i="1"/>
  <c r="T54" i="1"/>
  <c r="U54" i="1" s="1"/>
  <c r="S54" i="1" s="1"/>
  <c r="X57" i="1"/>
  <c r="T57" i="1"/>
  <c r="U57" i="1" s="1"/>
  <c r="S57" i="1" s="1"/>
  <c r="X60" i="1"/>
  <c r="T60" i="1"/>
  <c r="X62" i="1"/>
  <c r="T62" i="1"/>
  <c r="U62" i="1" s="1"/>
  <c r="S62" i="1" s="1"/>
  <c r="X64" i="1"/>
  <c r="T64" i="1"/>
  <c r="X66" i="1"/>
  <c r="T66" i="1"/>
  <c r="U66" i="1" s="1"/>
  <c r="S66" i="1" s="1"/>
  <c r="X68" i="1"/>
  <c r="T68" i="1"/>
  <c r="X71" i="1"/>
  <c r="W88" i="1"/>
  <c r="T71" i="1"/>
  <c r="U71" i="1" s="1"/>
  <c r="S71" i="1" s="1"/>
  <c r="T72" i="1"/>
  <c r="T73" i="1"/>
  <c r="U73" i="1" s="1"/>
  <c r="S73" i="1" s="1"/>
  <c r="T74" i="1"/>
  <c r="U74" i="1" s="1"/>
  <c r="S74" i="1" s="1"/>
  <c r="T75" i="1"/>
  <c r="U75" i="1" s="1"/>
  <c r="S75" i="1" s="1"/>
  <c r="T76" i="1"/>
  <c r="X76" i="1"/>
  <c r="AI14" i="1"/>
  <c r="U14" i="1"/>
  <c r="S14" i="1" s="1"/>
  <c r="AI20" i="1"/>
  <c r="AI23" i="1"/>
  <c r="AI25" i="1"/>
  <c r="AI27" i="1"/>
  <c r="AI29" i="1"/>
  <c r="U29" i="1"/>
  <c r="S29" i="1" s="1"/>
  <c r="AI31" i="1"/>
  <c r="AI33" i="1"/>
  <c r="AI35" i="1"/>
  <c r="AI37" i="1"/>
  <c r="U37" i="1"/>
  <c r="S37" i="1" s="1"/>
  <c r="AI39" i="1"/>
  <c r="AI41" i="1"/>
  <c r="AI43" i="1"/>
  <c r="AI16" i="1"/>
  <c r="U16" i="1"/>
  <c r="S16" i="1" s="1"/>
  <c r="AI18" i="1"/>
  <c r="AI13" i="1"/>
  <c r="AI15" i="1"/>
  <c r="AI17" i="1"/>
  <c r="AI19" i="1"/>
  <c r="U21" i="1"/>
  <c r="S21" i="1" s="1"/>
  <c r="AI21" i="1"/>
  <c r="AI22" i="1"/>
  <c r="W22" i="1"/>
  <c r="AI24" i="1"/>
  <c r="AI26" i="1"/>
  <c r="U26" i="1"/>
  <c r="S26" i="1" s="1"/>
  <c r="AI28" i="1"/>
  <c r="AI30" i="1"/>
  <c r="AI32" i="1"/>
  <c r="AI34" i="1"/>
  <c r="U34" i="1"/>
  <c r="S34" i="1" s="1"/>
  <c r="AI36" i="1"/>
  <c r="AI38" i="1"/>
  <c r="AI40" i="1"/>
  <c r="AI42" i="1"/>
  <c r="U42" i="1"/>
  <c r="S42" i="1" s="1"/>
  <c r="W44" i="1"/>
  <c r="U44" i="1"/>
  <c r="S44" i="1" s="1"/>
  <c r="AI44" i="1"/>
  <c r="U45" i="1"/>
  <c r="S45" i="1" s="1"/>
  <c r="W45" i="1"/>
  <c r="AI45" i="1"/>
  <c r="U46" i="1"/>
  <c r="S46" i="1" s="1"/>
  <c r="AI46" i="1"/>
  <c r="W46" i="1"/>
  <c r="U47" i="1"/>
  <c r="S47" i="1" s="1"/>
  <c r="W47" i="1"/>
  <c r="AI47" i="1"/>
  <c r="U48" i="1"/>
  <c r="S48" i="1" s="1"/>
  <c r="W48" i="1"/>
  <c r="AI48" i="1"/>
  <c r="U49" i="1"/>
  <c r="S49" i="1" s="1"/>
  <c r="W49" i="1"/>
  <c r="AI49" i="1"/>
  <c r="U50" i="1"/>
  <c r="S50" i="1" s="1"/>
  <c r="W50" i="1"/>
  <c r="AI50" i="1"/>
  <c r="W14" i="1"/>
  <c r="W16" i="1"/>
  <c r="W13" i="1"/>
  <c r="W21" i="1"/>
  <c r="W15" i="1"/>
  <c r="W17" i="1"/>
  <c r="W18" i="1"/>
  <c r="W19" i="1"/>
  <c r="W20" i="1"/>
  <c r="X22" i="1"/>
  <c r="T22" i="1"/>
  <c r="U22" i="1" s="1"/>
  <c r="S22" i="1" s="1"/>
  <c r="X26" i="1"/>
  <c r="T26" i="1"/>
  <c r="X30" i="1"/>
  <c r="T30" i="1"/>
  <c r="U30" i="1" s="1"/>
  <c r="S30" i="1" s="1"/>
  <c r="X38" i="1"/>
  <c r="T38" i="1"/>
  <c r="U38" i="1" s="1"/>
  <c r="S38" i="1" s="1"/>
  <c r="X42" i="1"/>
  <c r="T42" i="1"/>
  <c r="X14" i="1"/>
  <c r="T14" i="1"/>
  <c r="X16" i="1"/>
  <c r="T16" i="1"/>
  <c r="X18" i="1"/>
  <c r="T18" i="1"/>
  <c r="U18" i="1" s="1"/>
  <c r="S18" i="1" s="1"/>
  <c r="X20" i="1"/>
  <c r="T20" i="1"/>
  <c r="U20" i="1" s="1"/>
  <c r="S20" i="1" s="1"/>
  <c r="W24" i="1"/>
  <c r="W26" i="1"/>
  <c r="W28" i="1"/>
  <c r="W30" i="1"/>
  <c r="W32" i="1"/>
  <c r="W34" i="1"/>
  <c r="W36" i="1"/>
  <c r="W38" i="1"/>
  <c r="W40" i="1"/>
  <c r="W42" i="1"/>
  <c r="X13" i="1"/>
  <c r="T13" i="1"/>
  <c r="U13" i="1" s="1"/>
  <c r="S13" i="1" s="1"/>
  <c r="X15" i="1"/>
  <c r="T15" i="1"/>
  <c r="U15" i="1" s="1"/>
  <c r="S15" i="1" s="1"/>
  <c r="X24" i="1"/>
  <c r="T24" i="1"/>
  <c r="U24" i="1" s="1"/>
  <c r="S24" i="1" s="1"/>
  <c r="X28" i="1"/>
  <c r="T28" i="1"/>
  <c r="U28" i="1" s="1"/>
  <c r="S28" i="1" s="1"/>
  <c r="X32" i="1"/>
  <c r="T32" i="1"/>
  <c r="U32" i="1" s="1"/>
  <c r="S32" i="1" s="1"/>
  <c r="X34" i="1"/>
  <c r="T34" i="1"/>
  <c r="X36" i="1"/>
  <c r="T36" i="1"/>
  <c r="U36" i="1" s="1"/>
  <c r="S36" i="1" s="1"/>
  <c r="X40" i="1"/>
  <c r="T40" i="1"/>
  <c r="U40" i="1" s="1"/>
  <c r="S40" i="1" s="1"/>
  <c r="X23" i="1"/>
  <c r="T23" i="1"/>
  <c r="U23" i="1" s="1"/>
  <c r="S23" i="1" s="1"/>
  <c r="X25" i="1"/>
  <c r="T25" i="1"/>
  <c r="U25" i="1" s="1"/>
  <c r="S25" i="1" s="1"/>
  <c r="X27" i="1"/>
  <c r="T27" i="1"/>
  <c r="U27" i="1" s="1"/>
  <c r="S27" i="1" s="1"/>
  <c r="X29" i="1"/>
  <c r="T29" i="1"/>
  <c r="X31" i="1"/>
  <c r="T31" i="1"/>
  <c r="U31" i="1" s="1"/>
  <c r="S31" i="1" s="1"/>
  <c r="X33" i="1"/>
  <c r="T33" i="1"/>
  <c r="U33" i="1" s="1"/>
  <c r="S33" i="1" s="1"/>
  <c r="X35" i="1"/>
  <c r="T35" i="1"/>
  <c r="U35" i="1" s="1"/>
  <c r="S35" i="1" s="1"/>
  <c r="X37" i="1"/>
  <c r="T37" i="1"/>
  <c r="X39" i="1"/>
  <c r="T39" i="1"/>
  <c r="U39" i="1" s="1"/>
  <c r="S39" i="1" s="1"/>
  <c r="X41" i="1"/>
  <c r="T41" i="1"/>
  <c r="U41" i="1" s="1"/>
  <c r="S41" i="1" s="1"/>
  <c r="X44" i="1"/>
  <c r="X43" i="1"/>
  <c r="T43" i="1"/>
  <c r="U43" i="1" s="1"/>
  <c r="S43" i="1" s="1"/>
  <c r="X17" i="1"/>
  <c r="T17" i="1"/>
  <c r="U17" i="1" s="1"/>
  <c r="S17" i="1" s="1"/>
  <c r="X19" i="1"/>
  <c r="T19" i="1"/>
  <c r="U19" i="1" s="1"/>
  <c r="S19" i="1" s="1"/>
  <c r="X21" i="1"/>
  <c r="T21" i="1"/>
  <c r="W23" i="1"/>
  <c r="W25" i="1"/>
  <c r="W27" i="1"/>
  <c r="W29" i="1"/>
  <c r="W31" i="1"/>
  <c r="W33" i="1"/>
  <c r="W35" i="1"/>
  <c r="W37" i="1"/>
  <c r="W39" i="1"/>
  <c r="W41" i="1"/>
  <c r="W43" i="1"/>
  <c r="K209" i="1" l="1"/>
  <c r="L209" i="1"/>
  <c r="M209" i="1"/>
  <c r="N209" i="1" s="1"/>
  <c r="V209" i="1"/>
  <c r="Y209" i="1"/>
  <c r="Z209" i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 s="1"/>
  <c r="V212" i="1"/>
  <c r="X212" i="1"/>
  <c r="Y212" i="1"/>
  <c r="Z212" i="1"/>
  <c r="AA212" i="1" s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/>
  <c r="V213" i="1"/>
  <c r="Y213" i="1"/>
  <c r="Z213" i="1"/>
  <c r="AA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A215" i="1" s="1"/>
  <c r="AB215" i="1"/>
  <c r="AC215" i="1"/>
  <c r="AD215" i="1"/>
  <c r="X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AA217" i="1" s="1"/>
  <c r="Z217" i="1"/>
  <c r="AB217" i="1"/>
  <c r="AC217" i="1"/>
  <c r="AD217" i="1"/>
  <c r="X217" i="1" s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8" i="1"/>
  <c r="AM168" i="1"/>
  <c r="AN168" i="1"/>
  <c r="AO168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169" i="1"/>
  <c r="AM169" i="1"/>
  <c r="AN169" i="1"/>
  <c r="AO169" i="1"/>
  <c r="K226" i="1"/>
  <c r="L226" i="1"/>
  <c r="M226" i="1"/>
  <c r="N226" i="1" s="1"/>
  <c r="T226" i="1"/>
  <c r="V226" i="1"/>
  <c r="Y226" i="1"/>
  <c r="AA226" i="1" s="1"/>
  <c r="Z226" i="1"/>
  <c r="AB226" i="1"/>
  <c r="AC226" i="1"/>
  <c r="AD226" i="1"/>
  <c r="AE226" i="1"/>
  <c r="AF226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AO171" i="1"/>
  <c r="K228" i="1"/>
  <c r="L228" i="1"/>
  <c r="M228" i="1"/>
  <c r="N228" i="1"/>
  <c r="V228" i="1"/>
  <c r="Y228" i="1"/>
  <c r="Z228" i="1"/>
  <c r="AA228" i="1" s="1"/>
  <c r="AB228" i="1"/>
  <c r="AC228" i="1"/>
  <c r="AD228" i="1"/>
  <c r="X228" i="1" s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AA229" i="1" s="1"/>
  <c r="Z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AA231" i="1" s="1"/>
  <c r="Z231" i="1"/>
  <c r="AB231" i="1"/>
  <c r="AC231" i="1"/>
  <c r="AD231" i="1"/>
  <c r="X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AO176" i="1"/>
  <c r="K233" i="1"/>
  <c r="L233" i="1"/>
  <c r="M233" i="1"/>
  <c r="N233" i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AO177" i="1"/>
  <c r="K234" i="1"/>
  <c r="L234" i="1"/>
  <c r="M234" i="1"/>
  <c r="N234" i="1" s="1"/>
  <c r="T234" i="1"/>
  <c r="V234" i="1"/>
  <c r="Y234" i="1"/>
  <c r="AA234" i="1" s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AO179" i="1"/>
  <c r="K236" i="1"/>
  <c r="L236" i="1"/>
  <c r="M236" i="1"/>
  <c r="N236" i="1"/>
  <c r="V236" i="1"/>
  <c r="Y236" i="1"/>
  <c r="Z236" i="1"/>
  <c r="AA236" i="1" s="1"/>
  <c r="AB236" i="1"/>
  <c r="AC236" i="1"/>
  <c r="AD236" i="1"/>
  <c r="X236" i="1" s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AA237" i="1" s="1"/>
  <c r="Z237" i="1"/>
  <c r="AB237" i="1"/>
  <c r="AC237" i="1"/>
  <c r="AD237" i="1"/>
  <c r="T237" i="1" s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3" i="1"/>
  <c r="AM183" i="1"/>
  <c r="AN183" i="1"/>
  <c r="AO18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4" i="1"/>
  <c r="AM184" i="1"/>
  <c r="AN184" i="1"/>
  <c r="AO184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185" i="1"/>
  <c r="AM185" i="1"/>
  <c r="AN185" i="1"/>
  <c r="AO185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6" i="1"/>
  <c r="AM186" i="1"/>
  <c r="AN186" i="1"/>
  <c r="AO18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7" i="1"/>
  <c r="AM187" i="1"/>
  <c r="AN187" i="1"/>
  <c r="AO187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88" i="1"/>
  <c r="AM188" i="1"/>
  <c r="AN188" i="1"/>
  <c r="AO188" i="1"/>
  <c r="K164" i="1"/>
  <c r="L164" i="1"/>
  <c r="M164" i="1"/>
  <c r="N164" i="1" s="1"/>
  <c r="V164" i="1"/>
  <c r="Y164" i="1"/>
  <c r="Z164" i="1"/>
  <c r="AA164" i="1"/>
  <c r="AB164" i="1"/>
  <c r="AC164" i="1"/>
  <c r="AD164" i="1"/>
  <c r="T164" i="1" s="1"/>
  <c r="AE164" i="1"/>
  <c r="AF164" i="1"/>
  <c r="AH189" i="1"/>
  <c r="AM189" i="1"/>
  <c r="AN189" i="1"/>
  <c r="AO18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AO19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93" i="1"/>
  <c r="AM193" i="1"/>
  <c r="AN193" i="1"/>
  <c r="AO19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4" i="1"/>
  <c r="AM194" i="1"/>
  <c r="AN194" i="1"/>
  <c r="AO194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95" i="1"/>
  <c r="AM195" i="1"/>
  <c r="AN195" i="1"/>
  <c r="AO195" i="1"/>
  <c r="K171" i="1"/>
  <c r="L171" i="1"/>
  <c r="M171" i="1"/>
  <c r="V171" i="1"/>
  <c r="Y171" i="1"/>
  <c r="Z171" i="1"/>
  <c r="AB171" i="1"/>
  <c r="AC171" i="1"/>
  <c r="AD171" i="1"/>
  <c r="X171" i="1" s="1"/>
  <c r="AE171" i="1"/>
  <c r="AF171" i="1"/>
  <c r="AH196" i="1"/>
  <c r="AM196" i="1"/>
  <c r="AN196" i="1"/>
  <c r="AO196" i="1"/>
  <c r="K172" i="1"/>
  <c r="L172" i="1"/>
  <c r="M172" i="1"/>
  <c r="N172" i="1" s="1"/>
  <c r="V172" i="1"/>
  <c r="X172" i="1"/>
  <c r="Y172" i="1"/>
  <c r="Z172" i="1"/>
  <c r="AB172" i="1"/>
  <c r="AC172" i="1"/>
  <c r="AD172" i="1"/>
  <c r="T172" i="1" s="1"/>
  <c r="AE172" i="1"/>
  <c r="AF172" i="1"/>
  <c r="AH197" i="1"/>
  <c r="AM197" i="1"/>
  <c r="AN197" i="1"/>
  <c r="AO197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R35" i="3" s="1"/>
  <c r="AF173" i="1"/>
  <c r="AH198" i="1"/>
  <c r="AM198" i="1"/>
  <c r="AN198" i="1"/>
  <c r="AO198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9" i="1"/>
  <c r="AM199" i="1"/>
  <c r="AN199" i="1"/>
  <c r="AO19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0" i="1"/>
  <c r="AM200" i="1"/>
  <c r="AN200" i="1"/>
  <c r="AO200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201" i="1"/>
  <c r="AM201" i="1"/>
  <c r="AN201" i="1"/>
  <c r="AO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AO202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03" i="1"/>
  <c r="AM203" i="1"/>
  <c r="AN203" i="1"/>
  <c r="AO20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4" i="1"/>
  <c r="AM204" i="1"/>
  <c r="AN204" i="1"/>
  <c r="AO204" i="1"/>
  <c r="K180" i="1"/>
  <c r="L180" i="1"/>
  <c r="M180" i="1"/>
  <c r="N180" i="1" s="1"/>
  <c r="V180" i="1"/>
  <c r="X180" i="1"/>
  <c r="Y180" i="1"/>
  <c r="Z180" i="1"/>
  <c r="AB180" i="1"/>
  <c r="AC180" i="1"/>
  <c r="AD180" i="1"/>
  <c r="T180" i="1" s="1"/>
  <c r="AE180" i="1"/>
  <c r="AF180" i="1"/>
  <c r="AH205" i="1"/>
  <c r="AM205" i="1"/>
  <c r="AN205" i="1"/>
  <c r="AO205" i="1"/>
  <c r="K181" i="1"/>
  <c r="L181" i="1"/>
  <c r="M181" i="1"/>
  <c r="N181" i="1" s="1"/>
  <c r="T181" i="1"/>
  <c r="V181" i="1"/>
  <c r="Y181" i="1"/>
  <c r="AA181" i="1" s="1"/>
  <c r="Z181" i="1"/>
  <c r="AB181" i="1"/>
  <c r="AC181" i="1"/>
  <c r="AD181" i="1"/>
  <c r="X181" i="1" s="1"/>
  <c r="AE181" i="1"/>
  <c r="AF181" i="1"/>
  <c r="AH206" i="1"/>
  <c r="AM206" i="1"/>
  <c r="AN206" i="1"/>
  <c r="AO206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7" i="1"/>
  <c r="AM207" i="1"/>
  <c r="AN207" i="1"/>
  <c r="AO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AM208" i="1"/>
  <c r="AN208" i="1"/>
  <c r="AO208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11" i="1"/>
  <c r="AM211" i="1"/>
  <c r="AN211" i="1"/>
  <c r="AO211" i="1"/>
  <c r="K187" i="1"/>
  <c r="L187" i="1"/>
  <c r="M187" i="1"/>
  <c r="N187" i="1" s="1"/>
  <c r="V187" i="1"/>
  <c r="S36" i="3" s="1"/>
  <c r="Y187" i="1"/>
  <c r="Z187" i="1"/>
  <c r="AB187" i="1"/>
  <c r="AC187" i="1"/>
  <c r="AD187" i="1"/>
  <c r="T187" i="1" s="1"/>
  <c r="AE187" i="1"/>
  <c r="R36" i="3" s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R31" i="3" s="1"/>
  <c r="AF188" i="1"/>
  <c r="AH213" i="1"/>
  <c r="AM213" i="1"/>
  <c r="AN213" i="1"/>
  <c r="AO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AO214" i="1"/>
  <c r="K190" i="1"/>
  <c r="L190" i="1"/>
  <c r="M190" i="1"/>
  <c r="N190" i="1" s="1"/>
  <c r="V190" i="1"/>
  <c r="S32" i="3" s="1"/>
  <c r="Y190" i="1"/>
  <c r="Z190" i="1"/>
  <c r="AB190" i="1"/>
  <c r="AC190" i="1"/>
  <c r="AD190" i="1"/>
  <c r="T190" i="1" s="1"/>
  <c r="AE190" i="1"/>
  <c r="R32" i="3" s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AO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AO218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19" i="1"/>
  <c r="AM219" i="1"/>
  <c r="AN219" i="1"/>
  <c r="AO21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0" i="1"/>
  <c r="AM220" i="1"/>
  <c r="AN220" i="1"/>
  <c r="AO220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21" i="1"/>
  <c r="AM221" i="1"/>
  <c r="AN221" i="1"/>
  <c r="AO22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2" i="1"/>
  <c r="AM222" i="1"/>
  <c r="AN222" i="1"/>
  <c r="AO22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3" i="1"/>
  <c r="AM223" i="1"/>
  <c r="AN223" i="1"/>
  <c r="AO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AO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AO225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6" i="1"/>
  <c r="AM226" i="1"/>
  <c r="AN226" i="1"/>
  <c r="AO22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7" i="1"/>
  <c r="AM227" i="1"/>
  <c r="AN227" i="1"/>
  <c r="AO227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28" i="1"/>
  <c r="AM228" i="1"/>
  <c r="AN228" i="1"/>
  <c r="AO228" i="1"/>
  <c r="K204" i="1"/>
  <c r="L204" i="1"/>
  <c r="M204" i="1"/>
  <c r="N204" i="1"/>
  <c r="V204" i="1"/>
  <c r="S29" i="3" s="1"/>
  <c r="Y204" i="1"/>
  <c r="Z204" i="1"/>
  <c r="AB204" i="1"/>
  <c r="AC204" i="1"/>
  <c r="AD204" i="1"/>
  <c r="T204" i="1" s="1"/>
  <c r="AE204" i="1"/>
  <c r="AF204" i="1"/>
  <c r="AH229" i="1"/>
  <c r="AM229" i="1"/>
  <c r="AN229" i="1"/>
  <c r="AO229" i="1"/>
  <c r="K205" i="1"/>
  <c r="L205" i="1"/>
  <c r="M205" i="1"/>
  <c r="N205" i="1"/>
  <c r="V205" i="1"/>
  <c r="S34" i="3" s="1"/>
  <c r="Y205" i="1"/>
  <c r="Z205" i="1"/>
  <c r="AB205" i="1"/>
  <c r="AC205" i="1"/>
  <c r="AD205" i="1"/>
  <c r="T205" i="1" s="1"/>
  <c r="AE205" i="1"/>
  <c r="R34" i="3" s="1"/>
  <c r="AF205" i="1"/>
  <c r="AH230" i="1"/>
  <c r="AM230" i="1"/>
  <c r="AN230" i="1"/>
  <c r="AO230" i="1"/>
  <c r="K206" i="1"/>
  <c r="L206" i="1"/>
  <c r="M206" i="1"/>
  <c r="N206" i="1"/>
  <c r="V206" i="1"/>
  <c r="Y206" i="1"/>
  <c r="Z206" i="1"/>
  <c r="AA206" i="1" s="1"/>
  <c r="AB206" i="1"/>
  <c r="AC206" i="1"/>
  <c r="AD206" i="1"/>
  <c r="T206" i="1" s="1"/>
  <c r="AE206" i="1"/>
  <c r="AF206" i="1"/>
  <c r="AH231" i="1"/>
  <c r="AM231" i="1"/>
  <c r="AN231" i="1"/>
  <c r="AO231" i="1"/>
  <c r="K207" i="1"/>
  <c r="L207" i="1"/>
  <c r="M207" i="1"/>
  <c r="N207" i="1"/>
  <c r="V207" i="1"/>
  <c r="Y207" i="1"/>
  <c r="Z207" i="1"/>
  <c r="AA207" i="1" s="1"/>
  <c r="AB207" i="1"/>
  <c r="AC207" i="1"/>
  <c r="AD207" i="1"/>
  <c r="T207" i="1" s="1"/>
  <c r="AE207" i="1"/>
  <c r="AF207" i="1"/>
  <c r="AH232" i="1"/>
  <c r="AM232" i="1"/>
  <c r="AN232" i="1"/>
  <c r="AO232" i="1"/>
  <c r="K208" i="1"/>
  <c r="L208" i="1"/>
  <c r="M208" i="1"/>
  <c r="N208" i="1"/>
  <c r="V208" i="1"/>
  <c r="Y208" i="1"/>
  <c r="Z208" i="1"/>
  <c r="AA208" i="1" s="1"/>
  <c r="AB208" i="1"/>
  <c r="AC208" i="1"/>
  <c r="AD208" i="1"/>
  <c r="T208" i="1" s="1"/>
  <c r="AE208" i="1"/>
  <c r="AF208" i="1"/>
  <c r="AH233" i="1"/>
  <c r="AM233" i="1"/>
  <c r="AN233" i="1"/>
  <c r="AO233" i="1"/>
  <c r="K219" i="1"/>
  <c r="L219" i="1"/>
  <c r="M219" i="1"/>
  <c r="N219" i="1"/>
  <c r="V219" i="1"/>
  <c r="Y219" i="1"/>
  <c r="Z219" i="1"/>
  <c r="AA219" i="1" s="1"/>
  <c r="AB219" i="1"/>
  <c r="AC219" i="1"/>
  <c r="AD219" i="1"/>
  <c r="T219" i="1" s="1"/>
  <c r="AE219" i="1"/>
  <c r="AF219" i="1"/>
  <c r="AH234" i="1"/>
  <c r="AM234" i="1"/>
  <c r="AN234" i="1"/>
  <c r="AO234" i="1"/>
  <c r="K220" i="1"/>
  <c r="L220" i="1"/>
  <c r="M220" i="1"/>
  <c r="N220" i="1"/>
  <c r="V220" i="1"/>
  <c r="S37" i="3" s="1"/>
  <c r="Y220" i="1"/>
  <c r="Z220" i="1"/>
  <c r="AA220" i="1" s="1"/>
  <c r="AB220" i="1"/>
  <c r="AC220" i="1"/>
  <c r="AD220" i="1"/>
  <c r="T220" i="1" s="1"/>
  <c r="AE220" i="1"/>
  <c r="R37" i="3" s="1"/>
  <c r="AF220" i="1"/>
  <c r="AH235" i="1"/>
  <c r="AM235" i="1"/>
  <c r="AN235" i="1"/>
  <c r="AO235" i="1"/>
  <c r="K221" i="1"/>
  <c r="L221" i="1"/>
  <c r="M221" i="1"/>
  <c r="N221" i="1"/>
  <c r="V221" i="1"/>
  <c r="Y221" i="1"/>
  <c r="Z221" i="1"/>
  <c r="AA221" i="1" s="1"/>
  <c r="AB221" i="1"/>
  <c r="AC221" i="1"/>
  <c r="AD221" i="1"/>
  <c r="T221" i="1" s="1"/>
  <c r="AE221" i="1"/>
  <c r="AF221" i="1"/>
  <c r="AH236" i="1"/>
  <c r="AM236" i="1"/>
  <c r="AN236" i="1"/>
  <c r="AO236" i="1"/>
  <c r="K222" i="1"/>
  <c r="L222" i="1"/>
  <c r="M222" i="1"/>
  <c r="N222" i="1"/>
  <c r="V222" i="1"/>
  <c r="Y222" i="1"/>
  <c r="Z222" i="1"/>
  <c r="AA222" i="1" s="1"/>
  <c r="AB222" i="1"/>
  <c r="AC222" i="1"/>
  <c r="AD222" i="1"/>
  <c r="T222" i="1" s="1"/>
  <c r="AE222" i="1"/>
  <c r="AF222" i="1"/>
  <c r="AH237" i="1"/>
  <c r="AM237" i="1"/>
  <c r="AN237" i="1"/>
  <c r="AO237" i="1"/>
  <c r="K223" i="1"/>
  <c r="L223" i="1"/>
  <c r="M223" i="1"/>
  <c r="N223" i="1"/>
  <c r="V223" i="1"/>
  <c r="S38" i="3" s="1"/>
  <c r="Y223" i="1"/>
  <c r="Z223" i="1"/>
  <c r="AA223" i="1" s="1"/>
  <c r="AB223" i="1"/>
  <c r="AC223" i="1"/>
  <c r="AD223" i="1"/>
  <c r="T223" i="1" s="1"/>
  <c r="AE223" i="1"/>
  <c r="R38" i="3" s="1"/>
  <c r="AF223" i="1"/>
  <c r="AH238" i="1"/>
  <c r="AM238" i="1"/>
  <c r="AN238" i="1"/>
  <c r="AO238" i="1"/>
  <c r="K224" i="1"/>
  <c r="L224" i="1"/>
  <c r="M224" i="1"/>
  <c r="N224" i="1"/>
  <c r="V224" i="1"/>
  <c r="Y224" i="1"/>
  <c r="Z224" i="1"/>
  <c r="AA224" i="1" s="1"/>
  <c r="AB224" i="1"/>
  <c r="AC224" i="1"/>
  <c r="AD224" i="1"/>
  <c r="T224" i="1" s="1"/>
  <c r="AE224" i="1"/>
  <c r="AF224" i="1"/>
  <c r="AH239" i="1"/>
  <c r="AM239" i="1"/>
  <c r="AN239" i="1"/>
  <c r="AO239" i="1"/>
  <c r="M37" i="3"/>
  <c r="U37" i="3"/>
  <c r="T37" i="3" s="1"/>
  <c r="V37" i="3"/>
  <c r="X37" i="3"/>
  <c r="M19" i="3"/>
  <c r="R19" i="3"/>
  <c r="S19" i="3"/>
  <c r="U19" i="3"/>
  <c r="T19" i="3" s="1"/>
  <c r="V19" i="3"/>
  <c r="X19" i="3"/>
  <c r="M30" i="3"/>
  <c r="R30" i="3"/>
  <c r="S30" i="3"/>
  <c r="U30" i="3"/>
  <c r="V30" i="3"/>
  <c r="X30" i="3"/>
  <c r="AC30" i="3"/>
  <c r="M10" i="3"/>
  <c r="R10" i="3"/>
  <c r="S10" i="3"/>
  <c r="U10" i="3"/>
  <c r="AC10" i="3" s="1"/>
  <c r="V10" i="3"/>
  <c r="X10" i="3"/>
  <c r="M12" i="3"/>
  <c r="R12" i="3"/>
  <c r="S12" i="3"/>
  <c r="U12" i="3"/>
  <c r="V12" i="3"/>
  <c r="X12" i="3"/>
  <c r="AD12" i="3"/>
  <c r="M13" i="3"/>
  <c r="R13" i="3"/>
  <c r="S13" i="3"/>
  <c r="U13" i="3"/>
  <c r="T13" i="3" s="1"/>
  <c r="V13" i="3"/>
  <c r="X13" i="3"/>
  <c r="M26" i="3"/>
  <c r="R26" i="3"/>
  <c r="S26" i="3"/>
  <c r="U26" i="3"/>
  <c r="V26" i="3"/>
  <c r="X26" i="3"/>
  <c r="M35" i="3"/>
  <c r="S35" i="3"/>
  <c r="U35" i="3"/>
  <c r="AC35" i="3" s="1"/>
  <c r="V35" i="3"/>
  <c r="AE35" i="3" s="1"/>
  <c r="X35" i="3"/>
  <c r="M17" i="3"/>
  <c r="R17" i="3"/>
  <c r="S17" i="3"/>
  <c r="U17" i="3"/>
  <c r="V17" i="3"/>
  <c r="X17" i="3"/>
  <c r="M14" i="3"/>
  <c r="R14" i="3"/>
  <c r="S14" i="3"/>
  <c r="U14" i="3"/>
  <c r="T14" i="3" s="1"/>
  <c r="V14" i="3"/>
  <c r="X14" i="3"/>
  <c r="AD17" i="3"/>
  <c r="M7" i="3"/>
  <c r="R7" i="3"/>
  <c r="S7" i="3"/>
  <c r="U7" i="3"/>
  <c r="V7" i="3"/>
  <c r="X7" i="3"/>
  <c r="M22" i="3"/>
  <c r="R22" i="3"/>
  <c r="S22" i="3"/>
  <c r="U22" i="3"/>
  <c r="AC22" i="3" s="1"/>
  <c r="V22" i="3"/>
  <c r="X22" i="3"/>
  <c r="M9" i="3"/>
  <c r="R9" i="3"/>
  <c r="S9" i="3"/>
  <c r="U9" i="3"/>
  <c r="T9" i="3" s="1"/>
  <c r="V9" i="3"/>
  <c r="X9" i="3"/>
  <c r="M28" i="3"/>
  <c r="R28" i="3"/>
  <c r="S28" i="3"/>
  <c r="U28" i="3"/>
  <c r="T28" i="3" s="1"/>
  <c r="V28" i="3"/>
  <c r="X28" i="3"/>
  <c r="M23" i="3"/>
  <c r="R23" i="3"/>
  <c r="S23" i="3"/>
  <c r="U23" i="3"/>
  <c r="V23" i="3"/>
  <c r="X23" i="3"/>
  <c r="M36" i="3"/>
  <c r="U36" i="3"/>
  <c r="AC36" i="3" s="1"/>
  <c r="V36" i="3"/>
  <c r="X36" i="3"/>
  <c r="M24" i="3"/>
  <c r="R24" i="3"/>
  <c r="S24" i="3"/>
  <c r="U24" i="3"/>
  <c r="AD24" i="3" s="1"/>
  <c r="V24" i="3"/>
  <c r="X24" i="3"/>
  <c r="AD23" i="3"/>
  <c r="M21" i="3"/>
  <c r="R21" i="3"/>
  <c r="S21" i="3"/>
  <c r="U21" i="3"/>
  <c r="T21" i="3" s="1"/>
  <c r="V21" i="3"/>
  <c r="X21" i="3"/>
  <c r="M31" i="3"/>
  <c r="S31" i="3"/>
  <c r="U31" i="3"/>
  <c r="AD31" i="3" s="1"/>
  <c r="V31" i="3"/>
  <c r="X31" i="3"/>
  <c r="M11" i="3"/>
  <c r="R11" i="3"/>
  <c r="S11" i="3"/>
  <c r="U11" i="3"/>
  <c r="AC11" i="3" s="1"/>
  <c r="V11" i="3"/>
  <c r="X11" i="3"/>
  <c r="M32" i="3"/>
  <c r="U32" i="3"/>
  <c r="V32" i="3"/>
  <c r="X32" i="3"/>
  <c r="M27" i="3"/>
  <c r="R27" i="3"/>
  <c r="S27" i="3"/>
  <c r="U27" i="3"/>
  <c r="T27" i="3" s="1"/>
  <c r="V27" i="3"/>
  <c r="X27" i="3"/>
  <c r="M25" i="3"/>
  <c r="R25" i="3"/>
  <c r="S25" i="3"/>
  <c r="U25" i="3"/>
  <c r="V25" i="3"/>
  <c r="X25" i="3"/>
  <c r="M39" i="3"/>
  <c r="R39" i="3"/>
  <c r="S39" i="3"/>
  <c r="U39" i="3"/>
  <c r="AC39" i="3" s="1"/>
  <c r="V39" i="3"/>
  <c r="X39" i="3"/>
  <c r="M38" i="3"/>
  <c r="U38" i="3"/>
  <c r="V38" i="3"/>
  <c r="X38" i="3"/>
  <c r="M16" i="3"/>
  <c r="R16" i="3"/>
  <c r="S16" i="3"/>
  <c r="U16" i="3"/>
  <c r="T16" i="3" s="1"/>
  <c r="V16" i="3"/>
  <c r="X16" i="3"/>
  <c r="AD32" i="3"/>
  <c r="M20" i="3"/>
  <c r="R20" i="3"/>
  <c r="S20" i="3"/>
  <c r="U20" i="3"/>
  <c r="AD20" i="3" s="1"/>
  <c r="V20" i="3"/>
  <c r="X20" i="3"/>
  <c r="M34" i="3"/>
  <c r="U34" i="3"/>
  <c r="T34" i="3" s="1"/>
  <c r="V34" i="3"/>
  <c r="X34" i="3"/>
  <c r="M29" i="3"/>
  <c r="R29" i="3"/>
  <c r="U29" i="3"/>
  <c r="T29" i="3" s="1"/>
  <c r="V29" i="3"/>
  <c r="X29" i="3"/>
  <c r="M33" i="3"/>
  <c r="R33" i="3"/>
  <c r="U33" i="3"/>
  <c r="V33" i="3"/>
  <c r="X33" i="3"/>
  <c r="AC33" i="3"/>
  <c r="M8" i="3"/>
  <c r="R8" i="3"/>
  <c r="S8" i="3"/>
  <c r="U8" i="3"/>
  <c r="AC8" i="3" s="1"/>
  <c r="V8" i="3"/>
  <c r="X8" i="3"/>
  <c r="M15" i="3"/>
  <c r="R15" i="3"/>
  <c r="S15" i="3"/>
  <c r="U15" i="3"/>
  <c r="T15" i="3" s="1"/>
  <c r="V15" i="3"/>
  <c r="X15" i="3"/>
  <c r="AE39" i="3"/>
  <c r="R18" i="3"/>
  <c r="M18" i="3"/>
  <c r="S18" i="3"/>
  <c r="U18" i="3"/>
  <c r="AC18" i="3" s="1"/>
  <c r="V18" i="3"/>
  <c r="X18" i="3"/>
  <c r="M30" i="5"/>
  <c r="M29" i="5"/>
  <c r="M28" i="5"/>
  <c r="M27" i="5"/>
  <c r="M26" i="5"/>
  <c r="AG227" i="1"/>
  <c r="AG239" i="1"/>
  <c r="AG214" i="1"/>
  <c r="AG218" i="1"/>
  <c r="AG228" i="1"/>
  <c r="AG232" i="1"/>
  <c r="AG236" i="1"/>
  <c r="AG221" i="1"/>
  <c r="AG215" i="1"/>
  <c r="AG225" i="1"/>
  <c r="AG233" i="1"/>
  <c r="AG222" i="1"/>
  <c r="AG212" i="1"/>
  <c r="AG230" i="1"/>
  <c r="AG223" i="1"/>
  <c r="AG213" i="1"/>
  <c r="AG231" i="1"/>
  <c r="AG224" i="1"/>
  <c r="AG211" i="1"/>
  <c r="AG229" i="1"/>
  <c r="AG237" i="1"/>
  <c r="AG216" i="1"/>
  <c r="AG234" i="1"/>
  <c r="AG219" i="1"/>
  <c r="AG226" i="1"/>
  <c r="AG238" i="1"/>
  <c r="AG217" i="1"/>
  <c r="AG235" i="1"/>
  <c r="AG220" i="1"/>
  <c r="AG183" i="1"/>
  <c r="AG172" i="1"/>
  <c r="AG202" i="1"/>
  <c r="AG196" i="1"/>
  <c r="AG197" i="1"/>
  <c r="AG181" i="1"/>
  <c r="AG209" i="1"/>
  <c r="AG186" i="1"/>
  <c r="AG163" i="1"/>
  <c r="AG179" i="1"/>
  <c r="AG195" i="1"/>
  <c r="AG168" i="1"/>
  <c r="AG192" i="1"/>
  <c r="AG201" i="1"/>
  <c r="AG190" i="1"/>
  <c r="AG184" i="1"/>
  <c r="AG185" i="1"/>
  <c r="AG169" i="1"/>
  <c r="AG178" i="1"/>
  <c r="AG198" i="1"/>
  <c r="AG210" i="1"/>
  <c r="AG167" i="1"/>
  <c r="AG199" i="1"/>
  <c r="AG200" i="1"/>
  <c r="AG165" i="1"/>
  <c r="AG162" i="1"/>
  <c r="AG205" i="1"/>
  <c r="AG187" i="1"/>
  <c r="AG160" i="1"/>
  <c r="AG177" i="1"/>
  <c r="AG170" i="1"/>
  <c r="AG164" i="1"/>
  <c r="AG161" i="1"/>
  <c r="AG166" i="1"/>
  <c r="AG175" i="1"/>
  <c r="AG207" i="1"/>
  <c r="AG208" i="1"/>
  <c r="AG174" i="1"/>
  <c r="AG159" i="1"/>
  <c r="AG191" i="1"/>
  <c r="AG180" i="1"/>
  <c r="AG189" i="1"/>
  <c r="AG182" i="1"/>
  <c r="AG176" i="1"/>
  <c r="AG173" i="1"/>
  <c r="AG194" i="1"/>
  <c r="AG206" i="1"/>
  <c r="AG171" i="1"/>
  <c r="AG203" i="1"/>
  <c r="AG188" i="1"/>
  <c r="AG204" i="1"/>
  <c r="AG193" i="1"/>
  <c r="W30" i="3"/>
  <c r="W15" i="3"/>
  <c r="W21" i="3"/>
  <c r="W27" i="3"/>
  <c r="W25" i="3"/>
  <c r="W37" i="3"/>
  <c r="W33" i="3"/>
  <c r="W12" i="3"/>
  <c r="W10" i="3"/>
  <c r="W7" i="3"/>
  <c r="W34" i="3"/>
  <c r="W14" i="3"/>
  <c r="W35" i="3"/>
  <c r="W8" i="3"/>
  <c r="W16" i="3"/>
  <c r="W17" i="3"/>
  <c r="W13" i="3"/>
  <c r="W11" i="3"/>
  <c r="W20" i="3"/>
  <c r="W23" i="3"/>
  <c r="W26" i="3"/>
  <c r="W39" i="3"/>
  <c r="W29" i="3"/>
  <c r="W28" i="3"/>
  <c r="W18" i="3"/>
  <c r="W31" i="3"/>
  <c r="W9" i="3"/>
  <c r="W22" i="3"/>
  <c r="W38" i="3"/>
  <c r="W32" i="3"/>
  <c r="W24" i="3"/>
  <c r="W36" i="3"/>
  <c r="W19" i="3"/>
  <c r="AD39" i="3" l="1"/>
  <c r="AD21" i="3"/>
  <c r="AE12" i="3"/>
  <c r="AC37" i="3"/>
  <c r="AD35" i="3"/>
  <c r="AD29" i="3"/>
  <c r="AC24" i="3"/>
  <c r="T24" i="3"/>
  <c r="AC23" i="3"/>
  <c r="AD37" i="3"/>
  <c r="AC29" i="3"/>
  <c r="AC15" i="3"/>
  <c r="AD36" i="3"/>
  <c r="AC16" i="3"/>
  <c r="AD13" i="3"/>
  <c r="AC12" i="3"/>
  <c r="T12" i="3"/>
  <c r="X194" i="1"/>
  <c r="T194" i="1"/>
  <c r="X188" i="1"/>
  <c r="AA200" i="1"/>
  <c r="W200" i="1" s="1"/>
  <c r="AA196" i="1"/>
  <c r="AA189" i="1"/>
  <c r="AA191" i="1"/>
  <c r="X186" i="1"/>
  <c r="AA185" i="1"/>
  <c r="AA182" i="1"/>
  <c r="AA172" i="1"/>
  <c r="AA166" i="1"/>
  <c r="W166" i="1" s="1"/>
  <c r="AA183" i="1"/>
  <c r="AA175" i="1"/>
  <c r="AA167" i="1"/>
  <c r="AA205" i="1"/>
  <c r="AA204" i="1"/>
  <c r="W204" i="1" s="1"/>
  <c r="AA203" i="1"/>
  <c r="AA202" i="1"/>
  <c r="AA198" i="1"/>
  <c r="AA192" i="1"/>
  <c r="W192" i="1" s="1"/>
  <c r="X184" i="1"/>
  <c r="AA180" i="1"/>
  <c r="X176" i="1"/>
  <c r="X168" i="1"/>
  <c r="AA165" i="1"/>
  <c r="AA210" i="1"/>
  <c r="AA190" i="1"/>
  <c r="T196" i="1"/>
  <c r="T191" i="1"/>
  <c r="X190" i="1"/>
  <c r="AA179" i="1"/>
  <c r="AA178" i="1"/>
  <c r="X174" i="1"/>
  <c r="AA171" i="1"/>
  <c r="AA170" i="1"/>
  <c r="T166" i="1"/>
  <c r="U166" i="1" s="1"/>
  <c r="S166" i="1" s="1"/>
  <c r="X164" i="1"/>
  <c r="AA162" i="1"/>
  <c r="W162" i="1" s="1"/>
  <c r="T236" i="1"/>
  <c r="X235" i="1"/>
  <c r="AA233" i="1"/>
  <c r="AA232" i="1"/>
  <c r="T228" i="1"/>
  <c r="X227" i="1"/>
  <c r="AA225" i="1"/>
  <c r="AA218" i="1"/>
  <c r="X216" i="1"/>
  <c r="X211" i="1"/>
  <c r="X192" i="1"/>
  <c r="AA187" i="1"/>
  <c r="AA177" i="1"/>
  <c r="AA173" i="1"/>
  <c r="AA169" i="1"/>
  <c r="X162" i="1"/>
  <c r="AA160" i="1"/>
  <c r="X237" i="1"/>
  <c r="AA235" i="1"/>
  <c r="X229" i="1"/>
  <c r="AA227" i="1"/>
  <c r="X213" i="1"/>
  <c r="T178" i="1"/>
  <c r="U178" i="1" s="1"/>
  <c r="S178" i="1" s="1"/>
  <c r="T170" i="1"/>
  <c r="X163" i="1"/>
  <c r="T188" i="1"/>
  <c r="X238" i="1"/>
  <c r="T238" i="1"/>
  <c r="X199" i="1"/>
  <c r="X197" i="1"/>
  <c r="X195" i="1"/>
  <c r="X193" i="1"/>
  <c r="T186" i="1"/>
  <c r="X183" i="1"/>
  <c r="T183" i="1"/>
  <c r="T182" i="1"/>
  <c r="X189" i="1"/>
  <c r="X175" i="1"/>
  <c r="T175" i="1"/>
  <c r="U175" i="1" s="1"/>
  <c r="S175" i="1" s="1"/>
  <c r="X165" i="1"/>
  <c r="T165" i="1"/>
  <c r="X200" i="1"/>
  <c r="AA199" i="1"/>
  <c r="X198" i="1"/>
  <c r="AA197" i="1"/>
  <c r="AA195" i="1"/>
  <c r="AA193" i="1"/>
  <c r="X187" i="1"/>
  <c r="T185" i="1"/>
  <c r="X179" i="1"/>
  <c r="T176" i="1"/>
  <c r="U176" i="1" s="1"/>
  <c r="S176" i="1" s="1"/>
  <c r="T173" i="1"/>
  <c r="T171" i="1"/>
  <c r="U171" i="1" s="1"/>
  <c r="T168" i="1"/>
  <c r="AA159" i="1"/>
  <c r="X239" i="1"/>
  <c r="AA238" i="1"/>
  <c r="T231" i="1"/>
  <c r="T217" i="1"/>
  <c r="T215" i="1"/>
  <c r="T210" i="1"/>
  <c r="X177" i="1"/>
  <c r="X169" i="1"/>
  <c r="X161" i="1"/>
  <c r="T159" i="1"/>
  <c r="X234" i="1"/>
  <c r="X233" i="1"/>
  <c r="X226" i="1"/>
  <c r="X225" i="1"/>
  <c r="T216" i="1"/>
  <c r="T214" i="1"/>
  <c r="X167" i="1"/>
  <c r="X232" i="1"/>
  <c r="T230" i="1"/>
  <c r="X218" i="1"/>
  <c r="AA216" i="1"/>
  <c r="AA214" i="1"/>
  <c r="AA209" i="1"/>
  <c r="X209" i="1"/>
  <c r="AI239" i="1"/>
  <c r="U224" i="1"/>
  <c r="S224" i="1" s="1"/>
  <c r="AI238" i="1"/>
  <c r="U223" i="1"/>
  <c r="S223" i="1" s="1"/>
  <c r="AI237" i="1"/>
  <c r="U222" i="1"/>
  <c r="S222" i="1" s="1"/>
  <c r="AI236" i="1"/>
  <c r="U221" i="1"/>
  <c r="S221" i="1" s="1"/>
  <c r="AI235" i="1"/>
  <c r="U220" i="1"/>
  <c r="S220" i="1" s="1"/>
  <c r="AI234" i="1"/>
  <c r="U219" i="1"/>
  <c r="S219" i="1" s="1"/>
  <c r="AI233" i="1"/>
  <c r="U208" i="1"/>
  <c r="S208" i="1" s="1"/>
  <c r="AI232" i="1"/>
  <c r="U207" i="1"/>
  <c r="S207" i="1" s="1"/>
  <c r="AI231" i="1"/>
  <c r="U206" i="1"/>
  <c r="S206" i="1" s="1"/>
  <c r="AI230" i="1"/>
  <c r="U205" i="1"/>
  <c r="S205" i="1" s="1"/>
  <c r="AI229" i="1"/>
  <c r="U204" i="1"/>
  <c r="S204" i="1" s="1"/>
  <c r="AI228" i="1"/>
  <c r="U203" i="1"/>
  <c r="S203" i="1" s="1"/>
  <c r="AI227" i="1"/>
  <c r="U202" i="1"/>
  <c r="S202" i="1" s="1"/>
  <c r="AI226" i="1"/>
  <c r="U201" i="1"/>
  <c r="S201" i="1" s="1"/>
  <c r="AI225" i="1"/>
  <c r="U200" i="1"/>
  <c r="S200" i="1" s="1"/>
  <c r="AI224" i="1"/>
  <c r="U199" i="1"/>
  <c r="S199" i="1" s="1"/>
  <c r="AI223" i="1"/>
  <c r="U198" i="1"/>
  <c r="S198" i="1" s="1"/>
  <c r="AI222" i="1"/>
  <c r="U197" i="1"/>
  <c r="S197" i="1" s="1"/>
  <c r="AI221" i="1"/>
  <c r="U196" i="1"/>
  <c r="S196" i="1" s="1"/>
  <c r="AI220" i="1"/>
  <c r="U195" i="1"/>
  <c r="S195" i="1" s="1"/>
  <c r="AI219" i="1"/>
  <c r="U194" i="1"/>
  <c r="S194" i="1" s="1"/>
  <c r="AI218" i="1"/>
  <c r="U193" i="1"/>
  <c r="S193" i="1" s="1"/>
  <c r="U192" i="1"/>
  <c r="S192" i="1" s="1"/>
  <c r="AI217" i="1"/>
  <c r="U191" i="1"/>
  <c r="S191" i="1" s="1"/>
  <c r="AI216" i="1"/>
  <c r="U190" i="1"/>
  <c r="S190" i="1" s="1"/>
  <c r="AI215" i="1"/>
  <c r="U189" i="1"/>
  <c r="S189" i="1"/>
  <c r="AI214" i="1"/>
  <c r="U188" i="1"/>
  <c r="S188" i="1" s="1"/>
  <c r="AI213" i="1"/>
  <c r="U187" i="1"/>
  <c r="S187" i="1" s="1"/>
  <c r="AI212" i="1"/>
  <c r="U186" i="1"/>
  <c r="S186" i="1" s="1"/>
  <c r="AI211" i="1"/>
  <c r="U185" i="1"/>
  <c r="S185" i="1" s="1"/>
  <c r="AI210" i="1"/>
  <c r="U184" i="1"/>
  <c r="S184" i="1" s="1"/>
  <c r="AI209" i="1"/>
  <c r="U183" i="1"/>
  <c r="S183" i="1" s="1"/>
  <c r="AI208" i="1"/>
  <c r="U182" i="1"/>
  <c r="S182" i="1" s="1"/>
  <c r="AI207" i="1"/>
  <c r="U181" i="1"/>
  <c r="S181" i="1" s="1"/>
  <c r="AI206" i="1"/>
  <c r="U180" i="1"/>
  <c r="AI205" i="1"/>
  <c r="S180" i="1"/>
  <c r="U179" i="1"/>
  <c r="S179" i="1" s="1"/>
  <c r="AI204" i="1"/>
  <c r="AI203" i="1"/>
  <c r="U177" i="1"/>
  <c r="S177" i="1" s="1"/>
  <c r="AI202" i="1"/>
  <c r="AI201" i="1"/>
  <c r="AI200" i="1"/>
  <c r="U174" i="1"/>
  <c r="S174" i="1" s="1"/>
  <c r="AI199" i="1"/>
  <c r="U173" i="1"/>
  <c r="S173" i="1" s="1"/>
  <c r="AI198" i="1"/>
  <c r="U172" i="1"/>
  <c r="S172" i="1" s="1"/>
  <c r="AI197" i="1"/>
  <c r="AI196" i="1"/>
  <c r="U170" i="1"/>
  <c r="S170" i="1" s="1"/>
  <c r="AI195" i="1"/>
  <c r="U169" i="1"/>
  <c r="S169" i="1" s="1"/>
  <c r="AI194" i="1"/>
  <c r="U168" i="1"/>
  <c r="S168" i="1" s="1"/>
  <c r="AI193" i="1"/>
  <c r="U167" i="1"/>
  <c r="S167" i="1" s="1"/>
  <c r="AI192" i="1"/>
  <c r="AI191" i="1"/>
  <c r="U165" i="1"/>
  <c r="S165" i="1" s="1"/>
  <c r="AI190" i="1"/>
  <c r="U164" i="1"/>
  <c r="S164" i="1" s="1"/>
  <c r="AI189" i="1"/>
  <c r="U163" i="1"/>
  <c r="S163" i="1" s="1"/>
  <c r="AI188" i="1"/>
  <c r="U162" i="1"/>
  <c r="S162" i="1" s="1"/>
  <c r="AI187" i="1"/>
  <c r="U161" i="1"/>
  <c r="S161" i="1" s="1"/>
  <c r="AI186" i="1"/>
  <c r="U160" i="1"/>
  <c r="S160" i="1" s="1"/>
  <c r="AI185" i="1"/>
  <c r="U159" i="1"/>
  <c r="S159" i="1" s="1"/>
  <c r="AI184" i="1"/>
  <c r="U239" i="1"/>
  <c r="S239" i="1" s="1"/>
  <c r="AI183" i="1"/>
  <c r="U238" i="1"/>
  <c r="S238" i="1" s="1"/>
  <c r="AI182" i="1"/>
  <c r="U237" i="1"/>
  <c r="S237" i="1" s="1"/>
  <c r="AI181" i="1"/>
  <c r="U236" i="1"/>
  <c r="S236" i="1" s="1"/>
  <c r="AI180" i="1"/>
  <c r="U235" i="1"/>
  <c r="S235" i="1" s="1"/>
  <c r="AI179" i="1"/>
  <c r="U234" i="1"/>
  <c r="S234" i="1" s="1"/>
  <c r="AI178" i="1"/>
  <c r="U233" i="1"/>
  <c r="S233" i="1" s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7" i="1"/>
  <c r="S227" i="1" s="1"/>
  <c r="AI171" i="1"/>
  <c r="U226" i="1"/>
  <c r="S226" i="1" s="1"/>
  <c r="AI170" i="1"/>
  <c r="U225" i="1"/>
  <c r="S225" i="1" s="1"/>
  <c r="AI169" i="1"/>
  <c r="U218" i="1"/>
  <c r="S218" i="1" s="1"/>
  <c r="AI168" i="1"/>
  <c r="U217" i="1"/>
  <c r="S217" i="1" s="1"/>
  <c r="AI167" i="1"/>
  <c r="U216" i="1"/>
  <c r="S216" i="1" s="1"/>
  <c r="AI166" i="1"/>
  <c r="U215" i="1"/>
  <c r="S215" i="1" s="1"/>
  <c r="AI165" i="1"/>
  <c r="U214" i="1"/>
  <c r="S214" i="1" s="1"/>
  <c r="AI164" i="1"/>
  <c r="AI163" i="1"/>
  <c r="W213" i="1"/>
  <c r="U212" i="1"/>
  <c r="S212" i="1" s="1"/>
  <c r="AI162" i="1"/>
  <c r="AI161" i="1"/>
  <c r="U210" i="1"/>
  <c r="S210" i="1" s="1"/>
  <c r="AI160" i="1"/>
  <c r="AI159" i="1"/>
  <c r="W197" i="1"/>
  <c r="W177" i="1"/>
  <c r="W169" i="1"/>
  <c r="W164" i="1"/>
  <c r="W237" i="1"/>
  <c r="W234" i="1"/>
  <c r="W229" i="1"/>
  <c r="W226" i="1"/>
  <c r="W212" i="1"/>
  <c r="W199" i="1"/>
  <c r="W195" i="1"/>
  <c r="W193" i="1"/>
  <c r="W188" i="1"/>
  <c r="W172" i="1"/>
  <c r="W161" i="1"/>
  <c r="W191" i="1"/>
  <c r="W186" i="1"/>
  <c r="W183" i="1"/>
  <c r="W178" i="1"/>
  <c r="W175" i="1"/>
  <c r="W170" i="1"/>
  <c r="W167" i="1"/>
  <c r="W159" i="1"/>
  <c r="W235" i="1"/>
  <c r="W232" i="1"/>
  <c r="W227" i="1"/>
  <c r="W218" i="1"/>
  <c r="W223" i="1"/>
  <c r="W222" i="1"/>
  <c r="W221" i="1"/>
  <c r="W220" i="1"/>
  <c r="W219" i="1"/>
  <c r="W208" i="1"/>
  <c r="W207" i="1"/>
  <c r="W206" i="1"/>
  <c r="W205" i="1"/>
  <c r="W203" i="1"/>
  <c r="W202" i="1"/>
  <c r="W201" i="1"/>
  <c r="W198" i="1"/>
  <c r="W196" i="1"/>
  <c r="W194" i="1"/>
  <c r="W189" i="1"/>
  <c r="W184" i="1"/>
  <c r="W181" i="1"/>
  <c r="W176" i="1"/>
  <c r="W173" i="1"/>
  <c r="W168" i="1"/>
  <c r="W165" i="1"/>
  <c r="W160" i="1"/>
  <c r="W238" i="1"/>
  <c r="W233" i="1"/>
  <c r="W230" i="1"/>
  <c r="W225" i="1"/>
  <c r="W216" i="1"/>
  <c r="W214" i="1"/>
  <c r="W209" i="1"/>
  <c r="W185" i="1"/>
  <c r="W180" i="1"/>
  <c r="W224" i="1"/>
  <c r="W190" i="1"/>
  <c r="W187" i="1"/>
  <c r="W182" i="1"/>
  <c r="W179" i="1"/>
  <c r="W174" i="1"/>
  <c r="W171" i="1"/>
  <c r="W163" i="1"/>
  <c r="W239" i="1"/>
  <c r="W236" i="1"/>
  <c r="W231" i="1"/>
  <c r="W228" i="1"/>
  <c r="W217" i="1"/>
  <c r="W215" i="1"/>
  <c r="W211" i="1"/>
  <c r="W210" i="1"/>
  <c r="S33" i="3"/>
  <c r="T209" i="1"/>
  <c r="U209" i="1" s="1"/>
  <c r="S209" i="1" s="1"/>
  <c r="X222" i="1"/>
  <c r="X221" i="1"/>
  <c r="X208" i="1"/>
  <c r="X206" i="1"/>
  <c r="X224" i="1"/>
  <c r="X223" i="1"/>
  <c r="X220" i="1"/>
  <c r="X219" i="1"/>
  <c r="X207" i="1"/>
  <c r="X205" i="1"/>
  <c r="X204" i="1"/>
  <c r="X203" i="1"/>
  <c r="X202" i="1"/>
  <c r="X201" i="1"/>
  <c r="T213" i="1"/>
  <c r="U213" i="1" s="1"/>
  <c r="S213" i="1" s="1"/>
  <c r="T211" i="1"/>
  <c r="U211" i="1" s="1"/>
  <c r="S211" i="1" s="1"/>
  <c r="AD18" i="3"/>
  <c r="AD10" i="3"/>
  <c r="AE16" i="3"/>
  <c r="AD9" i="3"/>
  <c r="AD33" i="3"/>
  <c r="AD28" i="3"/>
  <c r="AD27" i="3"/>
  <c r="AE27" i="3"/>
  <c r="AD25" i="3"/>
  <c r="AC28" i="3"/>
  <c r="AC14" i="3"/>
  <c r="AD16" i="3"/>
  <c r="AC19" i="3"/>
  <c r="AE8" i="3"/>
  <c r="AE31" i="3"/>
  <c r="AC32" i="3"/>
  <c r="T32" i="3"/>
  <c r="AC31" i="3"/>
  <c r="AE23" i="3"/>
  <c r="AD14" i="3"/>
  <c r="AD8" i="3"/>
  <c r="AC38" i="3"/>
  <c r="T38" i="3"/>
  <c r="AC25" i="3"/>
  <c r="AC21" i="3"/>
  <c r="AC17" i="3"/>
  <c r="T17" i="3"/>
  <c r="AC26" i="3"/>
  <c r="AC34" i="3"/>
  <c r="AC20" i="3"/>
  <c r="AC27" i="3"/>
  <c r="AC9" i="3"/>
  <c r="AC7" i="3"/>
  <c r="AC13" i="3"/>
  <c r="Y16" i="3"/>
  <c r="Y34" i="3"/>
  <c r="Y24" i="3"/>
  <c r="Y9" i="3"/>
  <c r="Y17" i="3"/>
  <c r="Y12" i="3"/>
  <c r="Y37" i="3"/>
  <c r="Y15" i="3"/>
  <c r="Y38" i="3"/>
  <c r="Y8" i="3"/>
  <c r="Y39" i="3"/>
  <c r="Y11" i="3"/>
  <c r="Y36" i="3"/>
  <c r="Y22" i="3"/>
  <c r="Y35" i="3"/>
  <c r="Y10" i="3"/>
  <c r="Y27" i="3"/>
  <c r="Y21" i="3"/>
  <c r="Y32" i="3"/>
  <c r="Y33" i="3"/>
  <c r="Y20" i="3"/>
  <c r="Y25" i="3"/>
  <c r="Y31" i="3"/>
  <c r="Y23" i="3"/>
  <c r="Y7" i="3"/>
  <c r="Y26" i="3"/>
  <c r="Y30" i="3"/>
  <c r="Y29" i="3"/>
  <c r="Y28" i="3"/>
  <c r="Y14" i="3"/>
  <c r="Y13" i="3"/>
  <c r="Y19" i="3"/>
  <c r="AE30" i="3"/>
  <c r="T39" i="3"/>
  <c r="AE22" i="3"/>
  <c r="T36" i="3"/>
  <c r="AE19" i="3"/>
  <c r="T22" i="3"/>
  <c r="AE15" i="3"/>
  <c r="T35" i="3"/>
  <c r="AE11" i="3"/>
  <c r="T10" i="3"/>
  <c r="AE26" i="3"/>
  <c r="T11" i="3"/>
  <c r="AD38" i="3"/>
  <c r="AE33" i="3"/>
  <c r="T20" i="3"/>
  <c r="AD30" i="3"/>
  <c r="AE29" i="3"/>
  <c r="T25" i="3"/>
  <c r="AD26" i="3"/>
  <c r="AE25" i="3"/>
  <c r="T31" i="3"/>
  <c r="AD22" i="3"/>
  <c r="AE21" i="3"/>
  <c r="T23" i="3"/>
  <c r="AD19" i="3"/>
  <c r="AE18" i="3"/>
  <c r="T7" i="3"/>
  <c r="AD15" i="3"/>
  <c r="AE14" i="3"/>
  <c r="T26" i="3"/>
  <c r="AD11" i="3"/>
  <c r="AE10" i="3"/>
  <c r="T30" i="3"/>
  <c r="AE38" i="3"/>
  <c r="T8" i="3"/>
  <c r="AE34" i="3"/>
  <c r="AE37" i="3"/>
  <c r="T33" i="3"/>
  <c r="AD34" i="3"/>
  <c r="AE36" i="3"/>
  <c r="AE32" i="3"/>
  <c r="AE28" i="3"/>
  <c r="AE24" i="3"/>
  <c r="AE20" i="3"/>
  <c r="AE17" i="3"/>
  <c r="AE13" i="3"/>
  <c r="AE9" i="3"/>
  <c r="Y18" i="3"/>
  <c r="T18" i="3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N15" i="3" s="1"/>
  <c r="G246" i="4"/>
  <c r="G247" i="4"/>
  <c r="G248" i="4"/>
  <c r="G249" i="4"/>
  <c r="N8" i="3" l="1"/>
  <c r="N29" i="3"/>
  <c r="N33" i="3"/>
  <c r="O2" i="3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0" i="3" l="1"/>
  <c r="N34" i="3"/>
  <c r="N31" i="3"/>
  <c r="N22" i="3"/>
  <c r="N7" i="3"/>
  <c r="N17" i="3"/>
  <c r="N38" i="3"/>
  <c r="N35" i="3"/>
  <c r="N19" i="3"/>
  <c r="N16" i="3"/>
  <c r="N25" i="3"/>
  <c r="N11" i="3"/>
  <c r="N21" i="3"/>
  <c r="N23" i="3"/>
  <c r="N24" i="3"/>
  <c r="N14" i="3"/>
  <c r="N13" i="3"/>
  <c r="N12" i="3"/>
  <c r="N37" i="3"/>
  <c r="N32" i="3"/>
  <c r="N27" i="3"/>
  <c r="N36" i="3"/>
  <c r="N28" i="3"/>
  <c r="N9" i="3"/>
  <c r="N10" i="3"/>
  <c r="N26" i="3"/>
  <c r="N30" i="3"/>
  <c r="N39" i="3"/>
  <c r="N18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<sst xmlns="http://schemas.openxmlformats.org/spreadsheetml/2006/main" count="2731" uniqueCount="1020">
  <si>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</si>
  <si>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</si>
  <si>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</si>
  <si>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</si>
  <si>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</si>
  <si>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</si>
  <si>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</si>
  <si>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</si>
  <si>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</si>
  <si>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</si>
  <si>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</si>
  <si>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</si>
  <si>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</si>
  <si>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</si>
  <si>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</si>
  <si>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</si>
  <si>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</si>
  <si>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</si>
  <si>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</si>
  <si>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</si>
  <si>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</si>
  <si>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</si>
  <si>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</si>
  <si>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</si>
  <si>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</si>
  <si>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</si>
  <si>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</si>
  <si>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</si>
  <si>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</si>
  <si>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</si>
  <si>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</si>
  <si>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</si>
  <si>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</si>
  <si>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</si>
  <si>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</si>
  <si>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</si>
  <si>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</si>
  <si>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</si>
  <si>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</si>
  <si>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</si>
  <si>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</si>
  <si>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</si>
  <si>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</si>
  <si>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</si>
  <si>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</si>
  <si>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</si>
  <si>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</si>
  <si>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</si>
  <si>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</si>
  <si>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</si>
  <si>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</si>
  <si>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</si>
  <si>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</si>
  <si>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</si>
  <si>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</si>
  <si>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</si>
  <si>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</si>
  <si>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</si>
  <si>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</si>
  <si>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</si>
  <si>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</si>
  <si>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</si>
  <si>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</si>
  <si>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</si>
  <si>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</si>
  <si>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</si>
  <si>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</si>
  <si>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</si>
  <si>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</si>
  <si>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</si>
  <si>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</si>
  <si>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</si>
  <si>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</si>
  <si>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</si>
  <si>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</si>
  <si>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</si>
  <si>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</si>
  <si>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</si>
  <si>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</si>
  <si>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</si>
  <si>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</si>
  <si>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</si>
  <si>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</si>
  <si>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</si>
  <si>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</si>
  <si>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</si>
  <si>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</si>
  <si>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</si>
  <si>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</si>
  <si>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</si>
  <si>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</si>
  <si>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</si>
  <si>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</si>
  <si>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</si>
  <si>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</si>
  <si>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</si>
  <si>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</si>
  <si>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</si>
  <si>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</si>
  <si>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</si>
  <si>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</si>
  <si>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</si>
  <si>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</si>
  <si>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</si>
  <si>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</si>
  <si>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</si>
  <si>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</si>
  <si>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</si>
  <si>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</si>
  <si>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</si>
  <si>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</si>
  <si>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</si>
  <si>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</si>
  <si>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</si>
  <si>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</si>
  <si>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</si>
  <si>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</si>
  <si>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</si>
  <si>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</si>
  <si>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</si>
  <si>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</si>
  <si>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</si>
  <si>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</si>
  <si>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</si>
  <si>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</si>
  <si>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</si>
  <si>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</si>
  <si>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</si>
  <si>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</si>
  <si>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</si>
  <si>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</si>
  <si>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</si>
  <si>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</si>
  <si>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</si>
  <si>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</si>
  <si>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</si>
  <si>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</si>
  <si>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</si>
  <si>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</si>
  <si>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</si>
  <si>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</si>
  <si>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</si>
  <si>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</si>
  <si>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</si>
  <si>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</si>
  <si>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</si>
  <si>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</si>
  <si>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</si>
  <si>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</si>
  <si>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</si>
  <si>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</si>
  <si>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</si>
  <si>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</si>
  <si>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</si>
  <si>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</si>
  <si>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</si>
  <si>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</si>
  <si>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</si>
  <si>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</si>
  <si>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</si>
  <si>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</si>
  <si>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</si>
  <si>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</si>
  <si>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</si>
  <si>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</si>
  <si>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</si>
  <si>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</si>
  <si>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</si>
  <si>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</si>
  <si>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</si>
  <si>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</si>
  <si>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</si>
  <si>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</si>
  <si>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</si>
  <si>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</si>
  <si>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</si>
  <si>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</si>
  <si>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</si>
  <si>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</si>
  <si>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</si>
  <si>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</si>
  <si>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</si>
  <si>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</si>
  <si>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</si>
  <si>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</si>
  <si>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</si>
  <si>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</si>
  <si>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</si>
  <si>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</si>
  <si>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</si>
  <si>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</si>
  <si>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</si>
  <si>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</si>
  <si>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</si>
  <si>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</si>
  <si>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</si>
  <si>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</si>
  <si>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</si>
  <si>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</si>
  <si>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</si>
  <si>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</si>
  <si>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</si>
  <si>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</si>
  <si>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</si>
  <si>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</si>
  <si>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</si>
  <si>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</si>
  <si>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</si>
  <si>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</si>
  <si>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</si>
  <si>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</si>
  <si>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</si>
  <si>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</si>
  <si>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</si>
  <si>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</si>
  <si>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</si>
  <si>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</si>
  <si>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</si>
  <si>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</si>
  <si>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</si>
  <si>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</si>
  <si>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</si>
  <si>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</si>
  <si>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</si>
  <si>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</si>
  <si>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</si>
  <si>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</si>
  <si>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</si>
  <si>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</si>
  <si>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</si>
  <si>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</si>
  <si>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</si>
  <si>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</si>
  <si>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</si>
  <si>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</si>
  <si>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</si>
  <si>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</si>
  <si>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</si>
  <si>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</si>
  <si>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</si>
  <si>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</si>
  <si>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</si>
  <si>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</si>
  <si>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</si>
  <si>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</si>
  <si>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</si>
  <si>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</si>
  <si>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</si>
  <si>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</si>
  <si>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</si>
  <si>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</si>
  <si>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</si>
  <si>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</si>
  <si>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</si>
  <si>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</si>
  <si>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</si>
  <si>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</si>
  <si>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</si>
  <si>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</si>
  <si>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</si>
  <si>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</si>
  <si>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</si>
  <si>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</si>
  <si>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</si>
  <si>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</si>
  <si>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</si>
  <si>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</si>
  <si>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</si>
  <si>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</si>
  <si>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</si>
  <si>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</si>
  <si>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</si>
  <si>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</si>
  <si>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</si>
  <si>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</si>
  <si>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</si>
  <si>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</si>
  <si>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</si>
  <si>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</si>
  <si>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</si>
  <si>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</si>
  <si>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</si>
  <si>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</si>
  <si>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</si>
  <si>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</si>
  <si>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</si>
  <si>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</si>
  <si>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</si>
  <si>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</si>
  <si>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</si>
  <si>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</si>
  <si>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</si>
  <si>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</si>
  <si>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</si>
  <si>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</si>
  <si>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</si>
  <si>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</si>
  <si>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</si>
  <si>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</si>
  <si>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</si>
  <si>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</si>
  <si>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</si>
  <si>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</si>
  <si>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</si>
  <si>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</si>
  <si>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</si>
  <si>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</si>
  <si>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</si>
  <si>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</si>
  <si>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</si>
  <si>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</si>
  <si>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</si>
  <si>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</si>
  <si>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</si>
  <si>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</si>
  <si>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</si>
  <si>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</si>
  <si>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</si>
  <si>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</si>
  <si>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</si>
  <si>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</si>
  <si>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</si>
  <si>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</si>
  <si>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</si>
  <si>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</si>
  <si>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</si>
  <si>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</si>
  <si>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</si>
  <si>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</si>
  <si>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</si>
  <si>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</si>
  <si>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</si>
  <si>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</si>
  <si>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</si>
  <si>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</si>
  <si>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</si>
  <si>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</si>
  <si>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</si>
  <si>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</si>
  <si>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</si>
  <si>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</si>
  <si>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</si>
  <si>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</si>
  <si>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</si>
  <si>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</si>
  <si>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</si>
  <si>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</si>
  <si>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</si>
  <si>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</si>
  <si>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</si>
  <si>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</si>
  <si>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</si>
  <si>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</si>
  <si>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</si>
  <si>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</si>
  <si>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</si>
  <si>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</si>
  <si>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</si>
  <si>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</si>
  <si>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</si>
  <si>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</si>
  <si>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</si>
  <si>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</si>
  <si>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</si>
  <si>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</si>
  <si>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</si>
  <si>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</si>
  <si>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</si>
  <si>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</si>
  <si>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</si>
  <si>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</si>
  <si>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</si>
  <si>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</si>
  <si>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</si>
  <si>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</si>
  <si>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</si>
  <si>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</si>
  <si>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</si>
  <si>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</si>
  <si>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</si>
  <si>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</si>
  <si>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</si>
  <si>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</si>
  <si>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</si>
  <si>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</si>
  <si>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</si>
  <si>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204:462</t>
  </si>
  <si>
    <t>204:232996</t>
  </si>
  <si>
    <t>204:451</t>
  </si>
  <si>
    <t>rtdc.l.rtdc.4029:itc</t>
  </si>
  <si>
    <t>204:233312</t>
  </si>
  <si>
    <t>204:471</t>
  </si>
  <si>
    <t>STAMBAUGH</t>
  </si>
  <si>
    <t>204:233013</t>
  </si>
  <si>
    <t>rtdc.l.rtdc.4058:itc</t>
  </si>
  <si>
    <t>204:154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</si>
  <si>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</si>
  <si>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</si>
  <si>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</si>
  <si>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</si>
  <si>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</si>
  <si>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</si>
  <si>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</si>
  <si>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204:685</t>
  </si>
  <si>
    <t>rtdc.l.rtdc.4043:itc</t>
  </si>
  <si>
    <t>YORK</t>
  </si>
  <si>
    <t>EDGAR</t>
  </si>
  <si>
    <t>rtdc.l.rtdc.4057:itc</t>
  </si>
  <si>
    <t>Y</t>
  </si>
  <si>
    <t>204:232982</t>
  </si>
  <si>
    <t>204:232985</t>
  </si>
  <si>
    <t>204:233332</t>
  </si>
  <si>
    <t>204:233325</t>
  </si>
  <si>
    <t>rtdc.l.rtdc.4023:itc</t>
  </si>
  <si>
    <t>rtdc.l.rtdc.4024:itc</t>
  </si>
  <si>
    <t>rtdc.l.rtdc.4005:itc</t>
  </si>
  <si>
    <t>204:233310</t>
  </si>
  <si>
    <t>204:233019</t>
  </si>
  <si>
    <t>204:457</t>
  </si>
  <si>
    <t>204:233023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</si>
  <si>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</si>
  <si>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</si>
  <si>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</si>
  <si>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</si>
  <si>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</si>
  <si>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</si>
  <si>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</si>
  <si>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204:232986</t>
  </si>
  <si>
    <t>rtdc.l.rtdc.4044:itc</t>
  </si>
  <si>
    <t>FRANK</t>
  </si>
  <si>
    <t>BIRKHOLZ</t>
  </si>
  <si>
    <t>NADINE</t>
  </si>
  <si>
    <t>204:232973</t>
  </si>
  <si>
    <t>300:23306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</si>
  <si>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</si>
  <si>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</si>
  <si>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</si>
  <si>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</si>
  <si>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</si>
  <si>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</si>
  <si>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</si>
  <si>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</si>
  <si>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</si>
  <si>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</si>
  <si>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</si>
  <si>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</si>
  <si>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</si>
  <si>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</si>
  <si>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</si>
  <si>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</si>
  <si>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</si>
  <si>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204:233308</t>
  </si>
  <si>
    <t>204:233002</t>
  </si>
  <si>
    <t>204:233280</t>
  </si>
  <si>
    <t>204:233011</t>
  </si>
  <si>
    <t>204:233316</t>
  </si>
  <si>
    <t>rtdc.l.rtdc.4009:itc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</si>
  <si>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</si>
  <si>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</si>
  <si>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</si>
  <si>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</si>
  <si>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</si>
  <si>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</si>
  <si>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</si>
  <si>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ELBAUM</t>
  </si>
  <si>
    <t>MIKE</t>
  </si>
  <si>
    <t>LOPES</t>
  </si>
  <si>
    <t>KIMBERLY</t>
  </si>
  <si>
    <t>55-21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</si>
  <si>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</si>
  <si>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</si>
  <si>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</si>
  <si>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</si>
  <si>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</si>
  <si>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</si>
  <si>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</si>
  <si>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</si>
  <si>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</si>
  <si>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</si>
  <si>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</si>
  <si>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204:232980</t>
  </si>
  <si>
    <t>204:233021</t>
  </si>
  <si>
    <t>204:671</t>
  </si>
  <si>
    <t>204:974</t>
  </si>
  <si>
    <t>300:58924</t>
  </si>
  <si>
    <t>204:233331</t>
  </si>
  <si>
    <t>rtdc.l.rtdc.4049:itc</t>
  </si>
  <si>
    <t>rtdc.l.rtdc.4050:itc</t>
  </si>
  <si>
    <t>rtdc.l.rtdc.4025:itc</t>
  </si>
  <si>
    <t>rtdc.l.rtdc.4026:itc</t>
  </si>
  <si>
    <t>THOMPSON</t>
  </si>
  <si>
    <t>LESTER</t>
  </si>
  <si>
    <t>rtdc.l.rtdc.4046:itc</t>
  </si>
  <si>
    <t>rtdc.l.rtdc.4059:itc</t>
  </si>
  <si>
    <t>rtdc.l.rtdc.4061:itc</t>
  </si>
  <si>
    <t>rtdc.l.rtdc.4060:itc</t>
  </si>
  <si>
    <t>MACDONALD</t>
  </si>
  <si>
    <t>THOMAS</t>
  </si>
  <si>
    <t>LAMAR</t>
  </si>
  <si>
    <t>NEKESHA</t>
  </si>
  <si>
    <t>SAFIEF</t>
  </si>
  <si>
    <t>AEIMEN</t>
  </si>
  <si>
    <t>GUZMAN</t>
  </si>
  <si>
    <t>DANNY</t>
  </si>
  <si>
    <t>SMITH</t>
  </si>
  <si>
    <t>precipType</t>
  </si>
  <si>
    <t>rain</t>
  </si>
  <si>
    <t>partly-cloudy-night</t>
  </si>
  <si>
    <t>Mostly Cloudy</t>
  </si>
  <si>
    <t>partly-cloudy-day</t>
  </si>
  <si>
    <t>204:232971</t>
  </si>
  <si>
    <t>204:233314</t>
  </si>
  <si>
    <t>204:233304</t>
  </si>
  <si>
    <t>204:232967</t>
  </si>
  <si>
    <t>204:232959</t>
  </si>
  <si>
    <t>204:477</t>
  </si>
  <si>
    <t>204:232983</t>
  </si>
  <si>
    <t>204:484</t>
  </si>
  <si>
    <t>204:170</t>
  </si>
  <si>
    <t>204:444</t>
  </si>
  <si>
    <t>204:233010</t>
  </si>
  <si>
    <t>204:233009</t>
  </si>
  <si>
    <t>204:233027</t>
  </si>
  <si>
    <t>204:993</t>
  </si>
  <si>
    <t>204:957</t>
  </si>
  <si>
    <t>204:233291</t>
  </si>
  <si>
    <t>204:233353</t>
  </si>
  <si>
    <t>204:129</t>
  </si>
  <si>
    <t>204:233007</t>
  </si>
  <si>
    <t>204:431</t>
  </si>
  <si>
    <t>204:233340</t>
  </si>
  <si>
    <t>204:233328</t>
  </si>
  <si>
    <t>204:233025</t>
  </si>
  <si>
    <t>SWITCH UNKNOWN</t>
  </si>
  <si>
    <t>Track device (7)</t>
  </si>
  <si>
    <t>SPECTOR</t>
  </si>
  <si>
    <t>LALONDE</t>
  </si>
  <si>
    <t>GREGORY</t>
  </si>
  <si>
    <t>YANG</t>
  </si>
  <si>
    <t>JAN</t>
  </si>
  <si>
    <t>BARRON</t>
  </si>
  <si>
    <t>PERLA</t>
  </si>
  <si>
    <t>ROMERO</t>
  </si>
  <si>
    <t>CHAD</t>
  </si>
  <si>
    <t>LEVERE</t>
  </si>
  <si>
    <t>CRAIG</t>
  </si>
  <si>
    <t>LEVIN</t>
  </si>
  <si>
    <t>SCOTT</t>
  </si>
  <si>
    <t>SWANSON</t>
  </si>
  <si>
    <t>BRYCE</t>
  </si>
  <si>
    <t>313-25</t>
  </si>
  <si>
    <t>307-25</t>
  </si>
  <si>
    <t>244-25</t>
  </si>
  <si>
    <t>309-25</t>
  </si>
  <si>
    <t>311-25</t>
  </si>
  <si>
    <t>300-26</t>
  </si>
  <si>
    <t>Partly Cloudy</t>
  </si>
  <si>
    <t>204:435</t>
  </si>
  <si>
    <t>204:233320</t>
  </si>
  <si>
    <t>204:232970</t>
  </si>
  <si>
    <t>204:233305</t>
  </si>
  <si>
    <t>204:438</t>
  </si>
  <si>
    <t>204:233303</t>
  </si>
  <si>
    <t>204:233318</t>
  </si>
  <si>
    <t>204:232989</t>
  </si>
  <si>
    <t>204:233311</t>
  </si>
  <si>
    <t>204:233321</t>
  </si>
  <si>
    <t>204:233006</t>
  </si>
  <si>
    <t>204:233282</t>
  </si>
  <si>
    <t>204:467</t>
  </si>
  <si>
    <t>204:233004</t>
  </si>
  <si>
    <t>204:233284</t>
  </si>
  <si>
    <t>204:233302</t>
  </si>
  <si>
    <t>204:232974</t>
  </si>
  <si>
    <t>204:232994</t>
  </si>
  <si>
    <t>204:233359</t>
  </si>
  <si>
    <t>204:169</t>
  </si>
  <si>
    <t>204:480</t>
  </si>
  <si>
    <t>204:958</t>
  </si>
  <si>
    <t>300:58926</t>
  </si>
  <si>
    <t>204:1013</t>
  </si>
  <si>
    <t>300:58971</t>
  </si>
  <si>
    <t>204:678</t>
  </si>
  <si>
    <t>300:58643</t>
  </si>
  <si>
    <t>300:58946</t>
  </si>
  <si>
    <t>300:58653</t>
  </si>
  <si>
    <t>204:691</t>
  </si>
  <si>
    <t>300:58933</t>
  </si>
  <si>
    <t>300:58621</t>
  </si>
  <si>
    <t>204:668</t>
  </si>
  <si>
    <t>204:965</t>
  </si>
  <si>
    <t>300:58941</t>
  </si>
  <si>
    <t>204:677</t>
  </si>
  <si>
    <t>300:58952</t>
  </si>
  <si>
    <t>300:58641</t>
  </si>
  <si>
    <t>300:58617</t>
  </si>
  <si>
    <t>300:58655</t>
  </si>
  <si>
    <t>300:58995</t>
  </si>
  <si>
    <t>300:58619</t>
  </si>
  <si>
    <t>204:995</t>
  </si>
  <si>
    <t>300:58615</t>
  </si>
  <si>
    <t>204:687</t>
  </si>
  <si>
    <t>300:28789</t>
  </si>
  <si>
    <t>start /low /b %USERPROFILE%\Documents\GitHub\eaglep3\Utilities\DownloadLogsFromS3.py --loco 4010 --day 2017-09-26</t>
  </si>
  <si>
    <t>c:\users\stu\Documents\GitHub\mrs-test-scripts\Headless Mode &amp; Sideloading\WalkAndUnGZ.bat</t>
  </si>
  <si>
    <t>106-26</t>
  </si>
  <si>
    <t>rtdc.l.rtdc.4065:itc</t>
  </si>
  <si>
    <t>902-26</t>
  </si>
  <si>
    <t>118-26</t>
  </si>
  <si>
    <t>808-26</t>
  </si>
  <si>
    <t>132-26</t>
  </si>
  <si>
    <t>143-26</t>
  </si>
  <si>
    <t>rtdc.l.rtdc.4066:itc</t>
  </si>
  <si>
    <t>813-26</t>
  </si>
  <si>
    <t>150-26</t>
  </si>
  <si>
    <t>161-26</t>
  </si>
  <si>
    <t>rtdc.l.rtdc.4053:itc</t>
  </si>
  <si>
    <t>166-26</t>
  </si>
  <si>
    <t>172-26</t>
  </si>
  <si>
    <t>176-26</t>
  </si>
  <si>
    <t>185-26</t>
  </si>
  <si>
    <t>186-26</t>
  </si>
  <si>
    <t>827-26</t>
  </si>
  <si>
    <t>rtdc.l.rtdc.4062:itc</t>
  </si>
  <si>
    <t>197-26</t>
  </si>
  <si>
    <t>828-26</t>
  </si>
  <si>
    <t>201-26</t>
  </si>
  <si>
    <t>830-26</t>
  </si>
  <si>
    <t>194-26</t>
  </si>
  <si>
    <t>200-26</t>
  </si>
  <si>
    <t>68-26</t>
  </si>
  <si>
    <t>906-26</t>
  </si>
  <si>
    <t>218-26</t>
  </si>
  <si>
    <t>227-26</t>
  </si>
  <si>
    <t>845-26</t>
  </si>
  <si>
    <t>844-26</t>
  </si>
  <si>
    <t>234-26</t>
  </si>
  <si>
    <t>244-26</t>
  </si>
  <si>
    <t>rtdc.l.rtdc.4056:itc</t>
  </si>
  <si>
    <t>101-26</t>
  </si>
  <si>
    <t>rtdc.l.rtdc.4018:itc</t>
  </si>
  <si>
    <t>67-26</t>
  </si>
  <si>
    <t>rtdc.l.rtdc.4045:itc</t>
  </si>
  <si>
    <t>302-26</t>
  </si>
  <si>
    <t>BONDS</t>
  </si>
  <si>
    <t>REYNALDO</t>
  </si>
  <si>
    <t>103-26</t>
  </si>
  <si>
    <t>rtdc.l.rtdc.4055:itc</t>
  </si>
  <si>
    <t>102-26</t>
  </si>
  <si>
    <t>304-26</t>
  </si>
  <si>
    <t>306-26</t>
  </si>
  <si>
    <t>105-26</t>
  </si>
  <si>
    <t>107-26</t>
  </si>
  <si>
    <t>308-26</t>
  </si>
  <si>
    <t>104-26</t>
  </si>
  <si>
    <t>rtdc.l.rtdc.4054:itc</t>
  </si>
  <si>
    <t>109-26</t>
  </si>
  <si>
    <t>310-26</t>
  </si>
  <si>
    <t>111-26</t>
  </si>
  <si>
    <t>901-26</t>
  </si>
  <si>
    <t>108-26</t>
  </si>
  <si>
    <t>800-26</t>
  </si>
  <si>
    <t>113-26</t>
  </si>
  <si>
    <t>312-26</t>
  </si>
  <si>
    <t>115-26</t>
  </si>
  <si>
    <t>801-26</t>
  </si>
  <si>
    <t>117-26</t>
  </si>
  <si>
    <t>110-26</t>
  </si>
  <si>
    <t>71-26</t>
  </si>
  <si>
    <t>FORTUNATO</t>
  </si>
  <si>
    <t>112-26</t>
  </si>
  <si>
    <t>114-26</t>
  </si>
  <si>
    <t>72-26</t>
  </si>
  <si>
    <t>119-26</t>
  </si>
  <si>
    <t>802-26</t>
  </si>
  <si>
    <t>803-26</t>
  </si>
  <si>
    <t>121-26</t>
  </si>
  <si>
    <t>116-26</t>
  </si>
  <si>
    <t>123-26</t>
  </si>
  <si>
    <t>804-26</t>
  </si>
  <si>
    <t>805-26</t>
  </si>
  <si>
    <t>125-26</t>
  </si>
  <si>
    <t>127-26</t>
  </si>
  <si>
    <t>120-26</t>
  </si>
  <si>
    <t>122-26</t>
  </si>
  <si>
    <t>807-26</t>
  </si>
  <si>
    <t>806-26</t>
  </si>
  <si>
    <t>129-26</t>
  </si>
  <si>
    <t>126-26</t>
  </si>
  <si>
    <t>124-26</t>
  </si>
  <si>
    <t>131-26</t>
  </si>
  <si>
    <t>809-26</t>
  </si>
  <si>
    <t>128-26</t>
  </si>
  <si>
    <t>133-26</t>
  </si>
  <si>
    <t>135-26</t>
  </si>
  <si>
    <t>811-26</t>
  </si>
  <si>
    <t>LANGERAK</t>
  </si>
  <si>
    <t>WILLIAM</t>
  </si>
  <si>
    <t>810-26</t>
  </si>
  <si>
    <t>130-26</t>
  </si>
  <si>
    <t>137-26</t>
  </si>
  <si>
    <t>54-26</t>
  </si>
  <si>
    <t>903-26</t>
  </si>
  <si>
    <t>139-26</t>
  </si>
  <si>
    <t>812-26</t>
  </si>
  <si>
    <t>141-26</t>
  </si>
  <si>
    <t>134-26</t>
  </si>
  <si>
    <t>136-26</t>
  </si>
  <si>
    <t>138-26</t>
  </si>
  <si>
    <t>145-26</t>
  </si>
  <si>
    <t>140-26</t>
  </si>
  <si>
    <t>814-26</t>
  </si>
  <si>
    <t>147-26</t>
  </si>
  <si>
    <t>142-26</t>
  </si>
  <si>
    <t>149-26</t>
  </si>
  <si>
    <t>144-26</t>
  </si>
  <si>
    <t>151-26</t>
  </si>
  <si>
    <t>815-26</t>
  </si>
  <si>
    <t>146-26</t>
  </si>
  <si>
    <t>153-26</t>
  </si>
  <si>
    <t>148-26</t>
  </si>
  <si>
    <t>155-26</t>
  </si>
  <si>
    <t>816-26</t>
  </si>
  <si>
    <t>157-26</t>
  </si>
  <si>
    <t>159-26</t>
  </si>
  <si>
    <t>152-26</t>
  </si>
  <si>
    <t>817-26</t>
  </si>
  <si>
    <t>154-26</t>
  </si>
  <si>
    <t>156-26</t>
  </si>
  <si>
    <t>NEWELL</t>
  </si>
  <si>
    <t>163-26</t>
  </si>
  <si>
    <t>818-26</t>
  </si>
  <si>
    <t>56-26</t>
  </si>
  <si>
    <t>165-26</t>
  </si>
  <si>
    <t>158-26</t>
  </si>
  <si>
    <t>167-26</t>
  </si>
  <si>
    <t>160-26</t>
  </si>
  <si>
    <t>57-26</t>
  </si>
  <si>
    <t>162-26</t>
  </si>
  <si>
    <t>819-26</t>
  </si>
  <si>
    <t>DE LA ROSA</t>
  </si>
  <si>
    <t>ALEX</t>
  </si>
  <si>
    <t>169-26</t>
  </si>
  <si>
    <t>164-26</t>
  </si>
  <si>
    <t>171-26</t>
  </si>
  <si>
    <t>820-26</t>
  </si>
  <si>
    <t>173-26</t>
  </si>
  <si>
    <t>168-26</t>
  </si>
  <si>
    <t>175-26</t>
  </si>
  <si>
    <t>170-26</t>
  </si>
  <si>
    <t>821-26</t>
  </si>
  <si>
    <t>177-26</t>
  </si>
  <si>
    <t>NELSON</t>
  </si>
  <si>
    <t>ARIANE</t>
  </si>
  <si>
    <t>179-26</t>
  </si>
  <si>
    <t>822-26</t>
  </si>
  <si>
    <t>174-26</t>
  </si>
  <si>
    <t>181-26</t>
  </si>
  <si>
    <t>183-26</t>
  </si>
  <si>
    <t>823-26</t>
  </si>
  <si>
    <t>178-26</t>
  </si>
  <si>
    <t>180-26</t>
  </si>
  <si>
    <t>187-26</t>
  </si>
  <si>
    <t>824-26</t>
  </si>
  <si>
    <t>182-26</t>
  </si>
  <si>
    <t>189-26</t>
  </si>
  <si>
    <t>184-26</t>
  </si>
  <si>
    <t>191-26</t>
  </si>
  <si>
    <t>825-26</t>
  </si>
  <si>
    <t>193-26</t>
  </si>
  <si>
    <t>904-26</t>
  </si>
  <si>
    <t>190-26</t>
  </si>
  <si>
    <t>188-26</t>
  </si>
  <si>
    <t>826-26</t>
  </si>
  <si>
    <t>195-26</t>
  </si>
  <si>
    <t>192-26</t>
  </si>
  <si>
    <t>199-26</t>
  </si>
  <si>
    <t>829-26</t>
  </si>
  <si>
    <t>75-26</t>
  </si>
  <si>
    <t>MOSES</t>
  </si>
  <si>
    <t>BRADLEY</t>
  </si>
  <si>
    <t>196-26</t>
  </si>
  <si>
    <t>77-26</t>
  </si>
  <si>
    <t>ZEWDU</t>
  </si>
  <si>
    <t>DEREJE</t>
  </si>
  <si>
    <t>203-26</t>
  </si>
  <si>
    <t>831-26</t>
  </si>
  <si>
    <t>205-26</t>
  </si>
  <si>
    <t>198-26</t>
  </si>
  <si>
    <t>832-26</t>
  </si>
  <si>
    <t>202-26</t>
  </si>
  <si>
    <t>833-26</t>
  </si>
  <si>
    <t>207-26</t>
  </si>
  <si>
    <t>70-26</t>
  </si>
  <si>
    <t>209-26</t>
  </si>
  <si>
    <t>204-26</t>
  </si>
  <si>
    <t>834-26</t>
  </si>
  <si>
    <t>211-26</t>
  </si>
  <si>
    <t>79-26</t>
  </si>
  <si>
    <t>835-26</t>
  </si>
  <si>
    <t>206-26</t>
  </si>
  <si>
    <t>213-26</t>
  </si>
  <si>
    <t>208-26</t>
  </si>
  <si>
    <t>836-26</t>
  </si>
  <si>
    <t>215-26</t>
  </si>
  <si>
    <t>837-26</t>
  </si>
  <si>
    <t>210-26</t>
  </si>
  <si>
    <t>217-26</t>
  </si>
  <si>
    <t>212-26</t>
  </si>
  <si>
    <t>219-26</t>
  </si>
  <si>
    <t>838-26</t>
  </si>
  <si>
    <t>839-26</t>
  </si>
  <si>
    <t>214-26</t>
  </si>
  <si>
    <t>301-26</t>
  </si>
  <si>
    <t>216-26</t>
  </si>
  <si>
    <t>221-26</t>
  </si>
  <si>
    <t>841-26</t>
  </si>
  <si>
    <t>303-26</t>
  </si>
  <si>
    <t>220-26</t>
  </si>
  <si>
    <t>840-26</t>
  </si>
  <si>
    <t>223-26</t>
  </si>
  <si>
    <t>305-26</t>
  </si>
  <si>
    <t>222-26</t>
  </si>
  <si>
    <t>225-26</t>
  </si>
  <si>
    <t>843-26</t>
  </si>
  <si>
    <t>224-26</t>
  </si>
  <si>
    <t>842-26</t>
  </si>
  <si>
    <t>226-26</t>
  </si>
  <si>
    <t>229-26</t>
  </si>
  <si>
    <t>231-26</t>
  </si>
  <si>
    <t>228-26</t>
  </si>
  <si>
    <t>233-26</t>
  </si>
  <si>
    <t>230-26</t>
  </si>
  <si>
    <t>847-26</t>
  </si>
  <si>
    <t>232-26</t>
  </si>
  <si>
    <t>846-26</t>
  </si>
  <si>
    <t>235-26</t>
  </si>
  <si>
    <t>237-26</t>
  </si>
  <si>
    <t>849-26</t>
  </si>
  <si>
    <t>239-26</t>
  </si>
  <si>
    <t>236-26</t>
  </si>
  <si>
    <t>908-26</t>
  </si>
  <si>
    <t>241-26</t>
  </si>
  <si>
    <t>238-26</t>
  </si>
  <si>
    <t>240-26</t>
  </si>
  <si>
    <t>243-26</t>
  </si>
  <si>
    <t>313-26</t>
  </si>
  <si>
    <t>242-26</t>
  </si>
  <si>
    <t>307-26</t>
  </si>
  <si>
    <t>309-26</t>
  </si>
  <si>
    <t>300-27</t>
  </si>
  <si>
    <t>204:757</t>
  </si>
  <si>
    <t>204:233288</t>
  </si>
  <si>
    <t>204:232963</t>
  </si>
  <si>
    <t>204:233397</t>
  </si>
  <si>
    <t>204:233347</t>
  </si>
  <si>
    <t>204:233030</t>
  </si>
  <si>
    <t>204:885</t>
  </si>
  <si>
    <t>204:233001</t>
  </si>
  <si>
    <t>204:232969</t>
  </si>
  <si>
    <t>204:167</t>
  </si>
  <si>
    <t>204:233326</t>
  </si>
  <si>
    <t>204:233300</t>
  </si>
  <si>
    <t>204:232952</t>
  </si>
  <si>
    <t>204:232991</t>
  </si>
  <si>
    <t>204:233005</t>
  </si>
  <si>
    <t>204:233344</t>
  </si>
  <si>
    <t>204:233043</t>
  </si>
  <si>
    <t>204:233295</t>
  </si>
  <si>
    <t>204:232984</t>
  </si>
  <si>
    <t>204:473</t>
  </si>
  <si>
    <t>204:233247</t>
  </si>
  <si>
    <t>204:622</t>
  </si>
  <si>
    <t>204:233339</t>
  </si>
  <si>
    <t>204:233317</t>
  </si>
  <si>
    <t>204:233378</t>
  </si>
  <si>
    <t>204:233040</t>
  </si>
  <si>
    <t>204:233327</t>
  </si>
  <si>
    <t>204:232965</t>
  </si>
  <si>
    <t>204:176</t>
  </si>
  <si>
    <t>204:233370</t>
  </si>
  <si>
    <t>204:233017</t>
  </si>
  <si>
    <t>204:39929</t>
  </si>
  <si>
    <t>204:482</t>
  </si>
  <si>
    <t>204:233266</t>
  </si>
  <si>
    <t>204:232955</t>
  </si>
  <si>
    <t>204:191</t>
  </si>
  <si>
    <t>204:232993</t>
  </si>
  <si>
    <t>204:232116</t>
  </si>
  <si>
    <t>204:943</t>
  </si>
  <si>
    <t>204:64708</t>
  </si>
  <si>
    <t>204:488</t>
  </si>
  <si>
    <t>204:59723</t>
  </si>
  <si>
    <t>204:1399</t>
  </si>
  <si>
    <t>204:19117</t>
  </si>
  <si>
    <t>204:449</t>
  </si>
  <si>
    <t>204:233306</t>
  </si>
  <si>
    <t>204:233257</t>
  </si>
  <si>
    <t>204:178</t>
  </si>
  <si>
    <t>204:233345</t>
  </si>
  <si>
    <t>204:233008</t>
  </si>
  <si>
    <t>204:19137</t>
  </si>
  <si>
    <t>204:233032</t>
  </si>
  <si>
    <t>204:130</t>
  </si>
  <si>
    <t>204:233042</t>
  </si>
  <si>
    <t>204:127</t>
  </si>
  <si>
    <t>300:23428</t>
  </si>
  <si>
    <t>300:23310</t>
  </si>
  <si>
    <t>300:23464</t>
  </si>
  <si>
    <t>300:23508</t>
  </si>
  <si>
    <t>300:22855</t>
  </si>
  <si>
    <t>300:23550</t>
  </si>
  <si>
    <t>300:25772</t>
  </si>
  <si>
    <t>204:1158</t>
  </si>
  <si>
    <t>204:3568</t>
  </si>
  <si>
    <t>204:3229</t>
  </si>
  <si>
    <t>300:23446</t>
  </si>
  <si>
    <t>204:99</t>
  </si>
  <si>
    <t>204:406</t>
  </si>
  <si>
    <t>300:24210</t>
  </si>
  <si>
    <t>204:3616</t>
  </si>
  <si>
    <t>204:3296</t>
  </si>
  <si>
    <t>204:1171</t>
  </si>
  <si>
    <t>300:23614</t>
  </si>
  <si>
    <t>204:888</t>
  </si>
  <si>
    <t>204:1214</t>
  </si>
  <si>
    <t>300:23314</t>
  </si>
  <si>
    <t>204:1481</t>
  </si>
  <si>
    <t>204:3564</t>
  </si>
  <si>
    <t>204:3219</t>
  </si>
  <si>
    <t>204:3199</t>
  </si>
  <si>
    <t>204:1177</t>
  </si>
  <si>
    <t>204:3528</t>
  </si>
  <si>
    <t>204:1201</t>
  </si>
  <si>
    <t>300:5574</t>
  </si>
  <si>
    <t>300:5334</t>
  </si>
  <si>
    <t>204:1266</t>
  </si>
  <si>
    <t>204:983</t>
  </si>
  <si>
    <t>300:58950</t>
  </si>
  <si>
    <t>300:58636</t>
  </si>
  <si>
    <t>300:58961</t>
  </si>
  <si>
    <t>300:58645</t>
  </si>
  <si>
    <t>300:58628</t>
  </si>
  <si>
    <t>204:684</t>
  </si>
  <si>
    <t>204:976</t>
  </si>
  <si>
    <t>300:58681</t>
  </si>
  <si>
    <t>300:58969</t>
  </si>
  <si>
    <t>300:58651</t>
  </si>
  <si>
    <t>204:990</t>
  </si>
  <si>
    <t>300:58630</t>
  </si>
  <si>
    <t>300:57339</t>
  </si>
  <si>
    <t>204:720</t>
  </si>
  <si>
    <t>300:58935</t>
  </si>
  <si>
    <t>300:58624</t>
  </si>
  <si>
    <t>204:747</t>
  </si>
  <si>
    <t>204:729</t>
  </si>
  <si>
    <t>204:1009</t>
  </si>
  <si>
    <t>300:58937</t>
  </si>
  <si>
    <t>204:955</t>
  </si>
  <si>
    <t>300:58958</t>
  </si>
  <si>
    <t>204:712</t>
  </si>
  <si>
    <t>204:988</t>
  </si>
  <si>
    <t>300:58931</t>
  </si>
  <si>
    <t>300:58914</t>
  </si>
  <si>
    <t>204:696</t>
  </si>
  <si>
    <t>300:58903</t>
  </si>
  <si>
    <t>300:58585</t>
  </si>
  <si>
    <t>204:4636</t>
  </si>
  <si>
    <t>204:979</t>
  </si>
  <si>
    <t>204:4595</t>
  </si>
  <si>
    <t>204:894</t>
  </si>
  <si>
    <t>204:930</t>
  </si>
  <si>
    <t>300:58611</t>
  </si>
  <si>
    <t>204:689</t>
  </si>
  <si>
    <t>300:58634</t>
  </si>
  <si>
    <t>300:58922</t>
  </si>
  <si>
    <t>204:713</t>
  </si>
  <si>
    <t>204:997</t>
  </si>
  <si>
    <t>300:58928</t>
  </si>
  <si>
    <t>300:58967</t>
  </si>
  <si>
    <t>204:4634</t>
  </si>
  <si>
    <t>204:962</t>
  </si>
  <si>
    <t>300:58954</t>
  </si>
  <si>
    <t>300:29653</t>
  </si>
  <si>
    <t>300:23754</t>
  </si>
  <si>
    <t>300:23408</t>
  </si>
  <si>
    <t>300:24226</t>
  </si>
  <si>
    <t>300:23584</t>
  </si>
  <si>
    <t>204:661</t>
  </si>
  <si>
    <t>300:28782</t>
  </si>
  <si>
    <t>start /low /b %USERPROFILE%\Documents\GitHub\eaglep3\Utilities\DownloadLogsFromS3.py --loco 4059 --day 2017-09-26</t>
  </si>
  <si>
    <t>start /low /b %USERPROFILE%\Documents\GitHub\eaglep3\Utilities\DownloadLogsFromS3.py --loco 4062 --day 2017-09-26</t>
  </si>
  <si>
    <t>start /low /b %USERPROFILE%\Documents\GitHub\eaglep3\Utilities\DownloadLogsFromS3.py --loco 4026 --day 2017-09-26</t>
  </si>
  <si>
    <t>start /low /b %USERPROFILE%\Documents\GitHub\eaglep3\Utilities\DownloadLogsFromS3.py --loco 4023 --day 2017-09-26</t>
  </si>
  <si>
    <t>start /low /b %USERPROFILE%\Documents\GitHub\eaglep3\Utilities\DownloadLogsFromS3.py --loco 4065 --day 2017-09-26</t>
  </si>
  <si>
    <t>start /low /b %USERPROFILE%\Documents\GitHub\eaglep3\Utilities\DownloadLogsFromS3.py --loco 4063 --day 2017-09-26</t>
  </si>
  <si>
    <t>start /low /b %USERPROFILE%\Documents\GitHub\eaglep3\Utilities\DownloadLogsFromS3.py --loco 4053 --day 2017-09-26</t>
  </si>
  <si>
    <t>start /low /b %USERPROFILE%\Documents\GitHub\eaglep3\Utilities\DownloadLogsFromS3.py --loco 4023 --day 2017-09-27</t>
  </si>
  <si>
    <t>start /low /b %USERPROFILE%\Documents\GitHub\eaglep3\Utilities\DownloadLogsFromS3.py --loco 4046 --day 2017-09-26</t>
  </si>
  <si>
    <t>start /low /b %USERPROFILE%\Documents\GitHub\eaglep3\Utilities\DownloadLogsFromS3.py --loco 4060 --day 2017-09-26</t>
  </si>
  <si>
    <t>start /low /b %USERPROFILE%\Documents\GitHub\eaglep3\Utilities\DownloadLogsFromS3.py --loco 4009 --day 2017-09-27</t>
  </si>
  <si>
    <t>start /low /b %USERPROFILE%\Documents\GitHub\eaglep3\Utilities\DownloadLogsFromS3.py --loco 4017 --day 2017-09-26</t>
  </si>
  <si>
    <t>start /low /b %USERPROFILE%\Documents\GitHub\eaglep3\Utilities\DownloadLogsFromS3.py --loco 4010 --day 2017-09-27</t>
  </si>
  <si>
    <t>start /low /b %USERPROFILE%\Documents\GitHub\eaglep3\Utilities\DownloadLogsFromS3.py --loco 4025 --day 2017-09-26</t>
  </si>
  <si>
    <t>start /low /b %USERPROFILE%\Documents\GitHub\eaglep3\Utilities\DownloadLogsFromS3.py --loco 4065 --day 2017-09-27</t>
  </si>
  <si>
    <t>start /low /b %USERPROFILE%\Documents\GitHub\eaglep3\Utilities\DownloadLogsFromS3.py --loco 4066 --day 2017-09-27</t>
  </si>
  <si>
    <t>start /low /b %USERPROFILE%\Documents\GitHub\eaglep3\Utilities\DownloadLogsFromS3.py --loco 4066 --day 2017-09-26</t>
  </si>
  <si>
    <t>start /low /b %USERPROFILE%\Documents\GitHub\eaglep3\Utilities\DownloadLogsFromS3.py --loco 4064 --day 2017-09-26</t>
  </si>
  <si>
    <t>Poor GPS under bridge</t>
  </si>
  <si>
    <t>Early Arrival exacerbated by Wi-MAX data drop</t>
  </si>
  <si>
    <t>Delayed by TPSS testing</t>
  </si>
  <si>
    <t>Wi-MAX data drop</t>
  </si>
  <si>
    <t>204:233324</t>
  </si>
  <si>
    <t>ATC fault</t>
  </si>
  <si>
    <t>Delay due to cascade from Trip 190</t>
  </si>
  <si>
    <t>Onboard en route failure</t>
  </si>
  <si>
    <t>Onboard in-route failure</t>
  </si>
  <si>
    <t>Went active too close to signal</t>
  </si>
  <si>
    <t>Brief Wi-MAX data drop caused unhealthy banners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</si>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</sst>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52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esktop\Train%20Runs%20and%20Enforcements%202017-09-26%20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 refreshError="1"/>
      <sheetData sheetId="1">
        <row r="7">
          <cell r="C7" t="str">
            <v>166-26</v>
          </cell>
          <cell r="D7" t="str">
            <v>Predictive Enforcement (2)</v>
          </cell>
          <cell r="E7" t="str">
            <v>GRADE CROSSING</v>
          </cell>
          <cell r="F7">
            <v>0</v>
          </cell>
          <cell r="G7">
            <v>208</v>
          </cell>
          <cell r="H7">
            <v>31150</v>
          </cell>
          <cell r="I7">
            <v>30856</v>
          </cell>
          <cell r="J7" t="str">
            <v>Bulletin (2)</v>
          </cell>
          <cell r="K7">
            <v>30970</v>
          </cell>
        </row>
        <row r="8">
          <cell r="C8" t="str">
            <v>234-26</v>
          </cell>
          <cell r="D8" t="str">
            <v>Predictive Enforcement (2)</v>
          </cell>
          <cell r="E8" t="str">
            <v>GRADE CROSSING</v>
          </cell>
          <cell r="F8">
            <v>0</v>
          </cell>
          <cell r="G8">
            <v>210</v>
          </cell>
          <cell r="H8">
            <v>33371</v>
          </cell>
          <cell r="I8">
            <v>33137</v>
          </cell>
          <cell r="J8" t="str">
            <v>Bulletin (2)</v>
          </cell>
          <cell r="K8">
            <v>33257</v>
          </cell>
        </row>
        <row r="9">
          <cell r="C9" t="str">
            <v>176-26</v>
          </cell>
          <cell r="D9" t="str">
            <v>Reactive Enforcement (3)</v>
          </cell>
          <cell r="E9" t="str">
            <v>GRADE CROSSING</v>
          </cell>
          <cell r="F9">
            <v>0</v>
          </cell>
          <cell r="G9">
            <v>664</v>
          </cell>
          <cell r="H9">
            <v>42941</v>
          </cell>
          <cell r="I9">
            <v>39896</v>
          </cell>
          <cell r="J9" t="str">
            <v>Bulletin (2)</v>
          </cell>
          <cell r="K9">
            <v>42961</v>
          </cell>
        </row>
        <row r="10">
          <cell r="C10" t="str">
            <v>132-26</v>
          </cell>
          <cell r="D10" t="str">
            <v>Predictive Enforcement (2)</v>
          </cell>
          <cell r="E10" t="str">
            <v>GRADE CROSSING</v>
          </cell>
          <cell r="F10">
            <v>360</v>
          </cell>
          <cell r="G10">
            <v>411</v>
          </cell>
          <cell r="H10">
            <v>58407</v>
          </cell>
          <cell r="I10">
            <v>57365</v>
          </cell>
          <cell r="J10" t="str">
            <v>Bulletin (2)</v>
          </cell>
          <cell r="K10">
            <v>58301</v>
          </cell>
        </row>
        <row r="11">
          <cell r="C11" t="str">
            <v>201-26</v>
          </cell>
          <cell r="D11" t="str">
            <v>Predictive Enforcement (2)</v>
          </cell>
          <cell r="E11" t="str">
            <v>GRADE CROSSING</v>
          </cell>
          <cell r="F11">
            <v>0</v>
          </cell>
          <cell r="G11">
            <v>496</v>
          </cell>
          <cell r="H11">
            <v>58275</v>
          </cell>
          <cell r="I11">
            <v>60151</v>
          </cell>
          <cell r="J11" t="str">
            <v>Bulletin (2)</v>
          </cell>
          <cell r="K11">
            <v>58783</v>
          </cell>
        </row>
      </sheetData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  <cell r="F1" t="str">
            <v>Employee First Name</v>
          </cell>
          <cell r="G1" t="str">
            <v>Last + First</v>
          </cell>
        </row>
        <row r="2">
          <cell r="C2" t="str">
            <v>313-25</v>
          </cell>
          <cell r="D2">
            <v>3340000</v>
          </cell>
          <cell r="E2" t="str">
            <v>ELBAUM</v>
          </cell>
          <cell r="F2" t="str">
            <v>MIKE</v>
          </cell>
          <cell r="G2" t="str">
            <v>ELBAUM MIKE</v>
          </cell>
        </row>
        <row r="3">
          <cell r="C3" t="str">
            <v>307-25</v>
          </cell>
          <cell r="D3">
            <v>890000</v>
          </cell>
          <cell r="E3" t="str">
            <v>LOZA</v>
          </cell>
          <cell r="F3" t="str">
            <v>FIDEL</v>
          </cell>
          <cell r="G3" t="str">
            <v>LOZA FIDEL</v>
          </cell>
        </row>
        <row r="4">
          <cell r="C4" t="str">
            <v>244-25</v>
          </cell>
          <cell r="D4">
            <v>3040000</v>
          </cell>
          <cell r="E4" t="str">
            <v>WILLIAMS</v>
          </cell>
          <cell r="F4" t="str">
            <v>DONTE</v>
          </cell>
          <cell r="G4" t="str">
            <v>WILLIAMS DONTE</v>
          </cell>
        </row>
        <row r="5">
          <cell r="C5" t="str">
            <v>309-25</v>
          </cell>
          <cell r="D5">
            <v>2680000</v>
          </cell>
          <cell r="E5" t="str">
            <v>DUNCAN</v>
          </cell>
          <cell r="F5" t="str">
            <v>SHEILA</v>
          </cell>
          <cell r="G5" t="str">
            <v>DUNCAN SHEILA</v>
          </cell>
        </row>
        <row r="6">
          <cell r="C6" t="str">
            <v>311-25</v>
          </cell>
          <cell r="D6">
            <v>3040000</v>
          </cell>
          <cell r="E6" t="str">
            <v>WILLIAMS</v>
          </cell>
          <cell r="F6" t="str">
            <v>DONTE</v>
          </cell>
          <cell r="G6" t="str">
            <v>WILLIAMS DONTE</v>
          </cell>
        </row>
        <row r="7">
          <cell r="C7" t="str">
            <v>300-26</v>
          </cell>
          <cell r="D7">
            <v>1830000</v>
          </cell>
          <cell r="E7" t="str">
            <v>YORK</v>
          </cell>
          <cell r="F7" t="str">
            <v>EDGAR</v>
          </cell>
          <cell r="G7" t="str">
            <v>YORK EDGAR</v>
          </cell>
        </row>
        <row r="8">
          <cell r="C8" t="str">
            <v>101-26</v>
          </cell>
          <cell r="D8">
            <v>1830000</v>
          </cell>
          <cell r="E8" t="str">
            <v>YORK</v>
          </cell>
          <cell r="F8" t="str">
            <v>EDGAR</v>
          </cell>
          <cell r="G8" t="str">
            <v>YORK EDGAR</v>
          </cell>
        </row>
        <row r="9">
          <cell r="C9" t="str">
            <v>67-26</v>
          </cell>
          <cell r="D9">
            <v>1090000</v>
          </cell>
          <cell r="E9" t="str">
            <v>SPECTOR</v>
          </cell>
          <cell r="F9" t="str">
            <v>MICHAEL</v>
          </cell>
          <cell r="G9" t="str">
            <v>SPECTOR MICHAEL</v>
          </cell>
        </row>
        <row r="10">
          <cell r="C10" t="str">
            <v>302-26</v>
          </cell>
          <cell r="D10">
            <v>940000</v>
          </cell>
          <cell r="E10" t="str">
            <v>BONDS</v>
          </cell>
          <cell r="F10" t="str">
            <v>REYNALDO</v>
          </cell>
          <cell r="G10" t="str">
            <v>BONDS REYNALDO</v>
          </cell>
        </row>
        <row r="11">
          <cell r="C11" t="str">
            <v>68-26</v>
          </cell>
          <cell r="D11">
            <v>1090000</v>
          </cell>
          <cell r="E11" t="str">
            <v>SPECTOR</v>
          </cell>
          <cell r="F11" t="str">
            <v>MICHAEL</v>
          </cell>
          <cell r="G11" t="str">
            <v>SPECTOR MICHAEL</v>
          </cell>
        </row>
        <row r="12">
          <cell r="C12" t="str">
            <v>103-26</v>
          </cell>
          <cell r="D12">
            <v>940000</v>
          </cell>
          <cell r="E12" t="str">
            <v>BONDS</v>
          </cell>
          <cell r="F12" t="str">
            <v>REYNALDO</v>
          </cell>
          <cell r="G12" t="str">
            <v>BONDS REYNALDO</v>
          </cell>
        </row>
        <row r="13">
          <cell r="C13" t="str">
            <v>102-26</v>
          </cell>
          <cell r="D13">
            <v>1830000</v>
          </cell>
          <cell r="E13" t="str">
            <v>YORK</v>
          </cell>
          <cell r="F13" t="str">
            <v>EDGAR</v>
          </cell>
          <cell r="G13" t="str">
            <v>YORK EDGAR</v>
          </cell>
        </row>
        <row r="14">
          <cell r="C14" t="str">
            <v>304-26</v>
          </cell>
          <cell r="D14">
            <v>3120000</v>
          </cell>
          <cell r="E14" t="str">
            <v>THOMPSON</v>
          </cell>
          <cell r="F14" t="str">
            <v>LESTER</v>
          </cell>
          <cell r="G14" t="str">
            <v>THOMPSON LESTER</v>
          </cell>
        </row>
        <row r="15">
          <cell r="C15" t="str">
            <v>306-26</v>
          </cell>
          <cell r="D15">
            <v>2530000</v>
          </cell>
          <cell r="E15" t="str">
            <v>LALONDE</v>
          </cell>
          <cell r="F15" t="str">
            <v>GREGORY</v>
          </cell>
          <cell r="G15" t="str">
            <v>LALONDE GREGORY</v>
          </cell>
        </row>
        <row r="16">
          <cell r="C16" t="str">
            <v>105-26</v>
          </cell>
          <cell r="D16">
            <v>3120000</v>
          </cell>
          <cell r="E16" t="str">
            <v>THOMPSON</v>
          </cell>
          <cell r="F16" t="str">
            <v>LESTER</v>
          </cell>
          <cell r="G16" t="str">
            <v>THOMPSON LESTER</v>
          </cell>
        </row>
        <row r="17">
          <cell r="C17" t="str">
            <v>107-26</v>
          </cell>
          <cell r="D17">
            <v>2530000</v>
          </cell>
          <cell r="E17" t="str">
            <v>LALONDE</v>
          </cell>
          <cell r="F17" t="str">
            <v>GREGORY</v>
          </cell>
          <cell r="G17" t="str">
            <v>LALONDE GREGORY</v>
          </cell>
        </row>
        <row r="18">
          <cell r="C18" t="str">
            <v>308-26</v>
          </cell>
          <cell r="D18">
            <v>3090000</v>
          </cell>
          <cell r="E18" t="str">
            <v>LAMAR</v>
          </cell>
          <cell r="F18" t="str">
            <v>NEKESHA</v>
          </cell>
          <cell r="G18" t="str">
            <v>LAMAR NEKESHA</v>
          </cell>
        </row>
        <row r="19">
          <cell r="C19" t="str">
            <v>104-26</v>
          </cell>
          <cell r="D19">
            <v>940000</v>
          </cell>
          <cell r="E19" t="str">
            <v>BONDS</v>
          </cell>
          <cell r="F19" t="str">
            <v>REYNALDO</v>
          </cell>
          <cell r="G19" t="str">
            <v>BONDS REYNALDO</v>
          </cell>
        </row>
        <row r="20">
          <cell r="C20" t="str">
            <v>109-26</v>
          </cell>
          <cell r="D20">
            <v>3090000</v>
          </cell>
          <cell r="E20" t="str">
            <v>LAMAR</v>
          </cell>
          <cell r="F20" t="str">
            <v>NEKESHA</v>
          </cell>
          <cell r="G20" t="str">
            <v>LAMAR NEKESHA</v>
          </cell>
        </row>
        <row r="21">
          <cell r="C21" t="str">
            <v>310-26</v>
          </cell>
          <cell r="D21">
            <v>3510000</v>
          </cell>
          <cell r="E21" t="str">
            <v>BARRON</v>
          </cell>
          <cell r="F21" t="str">
            <v>PERLA</v>
          </cell>
          <cell r="G21" t="str">
            <v>BARRON PERLA</v>
          </cell>
        </row>
        <row r="22">
          <cell r="C22" t="str">
            <v>111-26</v>
          </cell>
          <cell r="D22">
            <v>1830000</v>
          </cell>
          <cell r="E22" t="str">
            <v>YORK</v>
          </cell>
          <cell r="F22" t="str">
            <v>EDGAR</v>
          </cell>
          <cell r="G22" t="str">
            <v>YORK EDGAR</v>
          </cell>
        </row>
        <row r="23">
          <cell r="C23" t="str">
            <v>901-26</v>
          </cell>
          <cell r="D23">
            <v>2730000</v>
          </cell>
          <cell r="E23" t="str">
            <v>YANG</v>
          </cell>
          <cell r="F23" t="str">
            <v>JAN</v>
          </cell>
          <cell r="G23" t="str">
            <v>YANG JAN</v>
          </cell>
        </row>
        <row r="24">
          <cell r="C24" t="str">
            <v>901-26</v>
          </cell>
          <cell r="D24">
            <v>2730000</v>
          </cell>
          <cell r="E24" t="str">
            <v>YANG</v>
          </cell>
          <cell r="F24" t="str">
            <v>JAN</v>
          </cell>
          <cell r="G24" t="str">
            <v>YANG JAN</v>
          </cell>
        </row>
        <row r="25">
          <cell r="C25" t="str">
            <v>901-26</v>
          </cell>
          <cell r="D25">
            <v>2730000</v>
          </cell>
          <cell r="E25" t="str">
            <v>YANG</v>
          </cell>
          <cell r="F25" t="str">
            <v>JAN</v>
          </cell>
          <cell r="G25" t="str">
            <v>YANG JAN</v>
          </cell>
        </row>
        <row r="26">
          <cell r="C26" t="str">
            <v>108-26</v>
          </cell>
          <cell r="D26">
            <v>2530000</v>
          </cell>
          <cell r="E26" t="str">
            <v>LALONDE</v>
          </cell>
          <cell r="F26" t="str">
            <v>GREGORY</v>
          </cell>
          <cell r="G26" t="str">
            <v>LALONDE GREGORY</v>
          </cell>
        </row>
        <row r="27">
          <cell r="C27" t="str">
            <v>106-26</v>
          </cell>
          <cell r="D27">
            <v>3120000</v>
          </cell>
          <cell r="E27" t="str">
            <v>THOMPSON</v>
          </cell>
          <cell r="F27" t="str">
            <v>LESTER</v>
          </cell>
          <cell r="G27" t="str">
            <v>THOMPSON LESTER</v>
          </cell>
        </row>
        <row r="28">
          <cell r="C28" t="str">
            <v>800-26</v>
          </cell>
          <cell r="D28">
            <v>2730000</v>
          </cell>
          <cell r="E28" t="str">
            <v>YANG</v>
          </cell>
          <cell r="F28" t="str">
            <v>JAN</v>
          </cell>
          <cell r="G28" t="str">
            <v>YANG JAN</v>
          </cell>
        </row>
        <row r="29">
          <cell r="C29" t="str">
            <v>113-26</v>
          </cell>
          <cell r="D29">
            <v>3510000</v>
          </cell>
          <cell r="E29" t="str">
            <v>BARRON</v>
          </cell>
          <cell r="F29" t="str">
            <v>PERLA</v>
          </cell>
          <cell r="G29" t="str">
            <v>BARRON PERLA</v>
          </cell>
        </row>
        <row r="30">
          <cell r="C30" t="str">
            <v>312-26</v>
          </cell>
          <cell r="D30">
            <v>2560000</v>
          </cell>
          <cell r="E30" t="str">
            <v>MACDONALD</v>
          </cell>
          <cell r="F30" t="str">
            <v>THOMAS</v>
          </cell>
          <cell r="G30" t="str">
            <v>MACDONALD THOMAS</v>
          </cell>
        </row>
        <row r="31">
          <cell r="C31" t="str">
            <v>115-26</v>
          </cell>
          <cell r="D31">
            <v>940000</v>
          </cell>
          <cell r="E31" t="str">
            <v>BONDS</v>
          </cell>
          <cell r="F31" t="str">
            <v>REYNALDO</v>
          </cell>
          <cell r="G31" t="str">
            <v>BONDS REYNALDO</v>
          </cell>
        </row>
        <row r="32">
          <cell r="C32" t="str">
            <v>801-26</v>
          </cell>
          <cell r="D32">
            <v>2730000</v>
          </cell>
          <cell r="E32" t="str">
            <v>YANG</v>
          </cell>
          <cell r="F32" t="str">
            <v>JAN</v>
          </cell>
          <cell r="G32" t="str">
            <v>YANG JAN</v>
          </cell>
        </row>
        <row r="33">
          <cell r="C33" t="str">
            <v>117-26</v>
          </cell>
          <cell r="D33">
            <v>2560000</v>
          </cell>
          <cell r="E33" t="str">
            <v>MACDONALD</v>
          </cell>
          <cell r="F33" t="str">
            <v>THOMAS</v>
          </cell>
          <cell r="G33" t="str">
            <v>MACDONALD THOMAS</v>
          </cell>
        </row>
        <row r="34">
          <cell r="C34" t="str">
            <v>110-26</v>
          </cell>
          <cell r="D34">
            <v>3090000</v>
          </cell>
          <cell r="E34" t="str">
            <v>LAMAR</v>
          </cell>
          <cell r="F34" t="str">
            <v>NEKESHA</v>
          </cell>
          <cell r="G34" t="str">
            <v>LAMAR NEKESHA</v>
          </cell>
        </row>
        <row r="35">
          <cell r="C35" t="str">
            <v>71-26</v>
          </cell>
          <cell r="D35">
            <v>1090000</v>
          </cell>
          <cell r="E35" t="str">
            <v>SPECTOR</v>
          </cell>
          <cell r="F35" t="str">
            <v>MICHAEL</v>
          </cell>
          <cell r="G35" t="str">
            <v>SPECTOR MICHAEL</v>
          </cell>
        </row>
        <row r="36">
          <cell r="C36" t="str">
            <v>902-26</v>
          </cell>
          <cell r="D36">
            <v>3000000</v>
          </cell>
          <cell r="E36" t="str">
            <v>FORTUNATO</v>
          </cell>
          <cell r="F36" t="str">
            <v>FRANK</v>
          </cell>
          <cell r="G36" t="str">
            <v>FORTUNATO FRANK</v>
          </cell>
        </row>
        <row r="37">
          <cell r="C37" t="str">
            <v>112-26</v>
          </cell>
          <cell r="D37">
            <v>1830000</v>
          </cell>
          <cell r="E37" t="str">
            <v>YORK</v>
          </cell>
          <cell r="F37" t="str">
            <v>EDGAR</v>
          </cell>
          <cell r="G37" t="str">
            <v>YORK EDGAR</v>
          </cell>
        </row>
        <row r="38">
          <cell r="C38" t="str">
            <v>114-26</v>
          </cell>
          <cell r="D38">
            <v>3510000</v>
          </cell>
          <cell r="E38" t="str">
            <v>BARRON</v>
          </cell>
          <cell r="F38" t="str">
            <v>PERLA</v>
          </cell>
          <cell r="G38" t="str">
            <v>BARRON PERLA</v>
          </cell>
        </row>
        <row r="39">
          <cell r="C39" t="str">
            <v>72-26</v>
          </cell>
          <cell r="D39">
            <v>1090000</v>
          </cell>
          <cell r="E39" t="str">
            <v>SPECTOR</v>
          </cell>
          <cell r="F39" t="str">
            <v>MICHAEL</v>
          </cell>
          <cell r="G39" t="str">
            <v>SPECTOR MICHAEL</v>
          </cell>
        </row>
        <row r="40">
          <cell r="C40" t="str">
            <v>119-26</v>
          </cell>
          <cell r="D40">
            <v>3120000</v>
          </cell>
          <cell r="E40" t="str">
            <v>THOMPSON</v>
          </cell>
          <cell r="F40" t="str">
            <v>LESTER</v>
          </cell>
          <cell r="G40" t="str">
            <v>THOMPSON LESTER</v>
          </cell>
        </row>
        <row r="41">
          <cell r="C41" t="str">
            <v>802-26</v>
          </cell>
          <cell r="D41">
            <v>2730000</v>
          </cell>
          <cell r="E41" t="str">
            <v>YANG</v>
          </cell>
          <cell r="F41" t="str">
            <v>JAN</v>
          </cell>
          <cell r="G41" t="str">
            <v>YANG JAN</v>
          </cell>
        </row>
        <row r="42">
          <cell r="C42" t="str">
            <v>803-26</v>
          </cell>
          <cell r="D42">
            <v>3000000</v>
          </cell>
          <cell r="E42" t="str">
            <v>FORTUNATO</v>
          </cell>
          <cell r="F42" t="str">
            <v>FRANK</v>
          </cell>
          <cell r="G42" t="str">
            <v>FORTUNATO FRANK</v>
          </cell>
        </row>
        <row r="43">
          <cell r="C43" t="str">
            <v>121-26</v>
          </cell>
          <cell r="D43">
            <v>2530000</v>
          </cell>
          <cell r="E43" t="str">
            <v>LALONDE</v>
          </cell>
          <cell r="F43" t="str">
            <v>GREGORY</v>
          </cell>
          <cell r="G43" t="str">
            <v>LALONDE GREGORY</v>
          </cell>
        </row>
        <row r="44">
          <cell r="C44" t="str">
            <v>116-26</v>
          </cell>
          <cell r="D44">
            <v>940000</v>
          </cell>
          <cell r="E44" t="str">
            <v>BONDS</v>
          </cell>
          <cell r="F44" t="str">
            <v>REYNALDO</v>
          </cell>
          <cell r="G44" t="str">
            <v>BONDS REYNALDO</v>
          </cell>
        </row>
        <row r="45">
          <cell r="C45" t="str">
            <v>123-26</v>
          </cell>
          <cell r="D45">
            <v>3090000</v>
          </cell>
          <cell r="E45" t="str">
            <v>LAMAR</v>
          </cell>
          <cell r="F45" t="str">
            <v>NEKESHA</v>
          </cell>
          <cell r="G45" t="str">
            <v>LAMAR NEKESHA</v>
          </cell>
        </row>
        <row r="46">
          <cell r="C46" t="str">
            <v>804-26</v>
          </cell>
          <cell r="D46">
            <v>3000000</v>
          </cell>
          <cell r="E46" t="str">
            <v>FORTUNATO</v>
          </cell>
          <cell r="F46" t="str">
            <v>FRANK</v>
          </cell>
          <cell r="G46" t="str">
            <v>FORTUNATO FRANK</v>
          </cell>
        </row>
        <row r="47">
          <cell r="C47" t="str">
            <v>805-26</v>
          </cell>
          <cell r="D47">
            <v>2730000</v>
          </cell>
          <cell r="E47" t="str">
            <v>YANG</v>
          </cell>
          <cell r="F47" t="str">
            <v>JAN</v>
          </cell>
          <cell r="G47" t="str">
            <v>YANG JAN</v>
          </cell>
        </row>
        <row r="48">
          <cell r="C48" t="str">
            <v>125-26</v>
          </cell>
          <cell r="D48">
            <v>1830000</v>
          </cell>
          <cell r="E48" t="str">
            <v>YORK</v>
          </cell>
          <cell r="F48" t="str">
            <v>EDGAR</v>
          </cell>
          <cell r="G48" t="str">
            <v>YORK EDGAR</v>
          </cell>
        </row>
        <row r="49">
          <cell r="C49" t="str">
            <v>118-26</v>
          </cell>
          <cell r="D49">
            <v>2560000</v>
          </cell>
          <cell r="E49" t="str">
            <v>MACDONALD</v>
          </cell>
          <cell r="F49" t="str">
            <v>THOMAS</v>
          </cell>
          <cell r="G49" t="str">
            <v>MACDONALD THOMAS</v>
          </cell>
        </row>
        <row r="50">
          <cell r="C50" t="str">
            <v>127-26</v>
          </cell>
          <cell r="D50">
            <v>3510000</v>
          </cell>
          <cell r="E50" t="str">
            <v>BARRON</v>
          </cell>
          <cell r="F50" t="str">
            <v>PERLA</v>
          </cell>
          <cell r="G50" t="str">
            <v>BARRON PERLA</v>
          </cell>
        </row>
        <row r="51">
          <cell r="C51" t="str">
            <v>120-26</v>
          </cell>
          <cell r="D51">
            <v>3120000</v>
          </cell>
          <cell r="E51" t="str">
            <v>THOMPSON</v>
          </cell>
          <cell r="F51" t="str">
            <v>LESTER</v>
          </cell>
          <cell r="G51" t="str">
            <v>THOMPSON LESTER</v>
          </cell>
        </row>
        <row r="52">
          <cell r="C52" t="str">
            <v>122-26</v>
          </cell>
          <cell r="D52">
            <v>2470000</v>
          </cell>
          <cell r="E52" t="str">
            <v>ROMERO</v>
          </cell>
          <cell r="F52" t="str">
            <v>CHAD</v>
          </cell>
          <cell r="G52" t="str">
            <v>ROMERO CHAD</v>
          </cell>
        </row>
        <row r="53">
          <cell r="C53" t="str">
            <v>807-26</v>
          </cell>
          <cell r="D53">
            <v>3000000</v>
          </cell>
          <cell r="E53" t="str">
            <v>FORTUNATO</v>
          </cell>
          <cell r="F53" t="str">
            <v>FRANK</v>
          </cell>
          <cell r="G53" t="str">
            <v>FORTUNATO FRANK</v>
          </cell>
        </row>
        <row r="54">
          <cell r="C54" t="str">
            <v>806-26</v>
          </cell>
          <cell r="D54">
            <v>2730000</v>
          </cell>
          <cell r="E54" t="str">
            <v>YANG</v>
          </cell>
          <cell r="F54" t="str">
            <v>JAN</v>
          </cell>
          <cell r="G54" t="str">
            <v>YANG JAN</v>
          </cell>
        </row>
        <row r="55">
          <cell r="C55" t="str">
            <v>129-26</v>
          </cell>
          <cell r="D55">
            <v>940000</v>
          </cell>
          <cell r="E55" t="str">
            <v>BONDS</v>
          </cell>
          <cell r="F55" t="str">
            <v>REYNALDO</v>
          </cell>
          <cell r="G55" t="str">
            <v>BONDS REYNALDO</v>
          </cell>
        </row>
        <row r="56">
          <cell r="C56" t="str">
            <v>126-26</v>
          </cell>
          <cell r="D56">
            <v>1830000</v>
          </cell>
          <cell r="E56" t="str">
            <v>YORK</v>
          </cell>
          <cell r="F56" t="str">
            <v>EDGAR</v>
          </cell>
          <cell r="G56" t="str">
            <v>YORK EDGAR</v>
          </cell>
        </row>
        <row r="57">
          <cell r="C57" t="str">
            <v>124-26</v>
          </cell>
          <cell r="D57">
            <v>3090000</v>
          </cell>
          <cell r="E57" t="str">
            <v>LAMAR</v>
          </cell>
          <cell r="F57" t="str">
            <v>NEKESHA</v>
          </cell>
          <cell r="G57" t="str">
            <v>LAMAR NEKESHA</v>
          </cell>
        </row>
        <row r="58">
          <cell r="C58" t="str">
            <v>131-26</v>
          </cell>
          <cell r="D58">
            <v>2560000</v>
          </cell>
          <cell r="E58" t="str">
            <v>MACDONALD</v>
          </cell>
          <cell r="F58" t="str">
            <v>THOMAS</v>
          </cell>
          <cell r="G58" t="str">
            <v>MACDONALD THOMAS</v>
          </cell>
        </row>
        <row r="59">
          <cell r="C59" t="str">
            <v>808-26</v>
          </cell>
          <cell r="D59">
            <v>3000000</v>
          </cell>
          <cell r="E59" t="str">
            <v>FORTUNATO</v>
          </cell>
          <cell r="F59" t="str">
            <v>FRANK</v>
          </cell>
          <cell r="G59" t="str">
            <v>FORTUNATO FRANK</v>
          </cell>
        </row>
        <row r="60">
          <cell r="C60" t="str">
            <v>809-26</v>
          </cell>
          <cell r="D60">
            <v>2730000</v>
          </cell>
          <cell r="E60" t="str">
            <v>YANG</v>
          </cell>
          <cell r="F60" t="str">
            <v>JAN</v>
          </cell>
          <cell r="G60" t="str">
            <v>YANG JAN</v>
          </cell>
        </row>
        <row r="61">
          <cell r="C61" t="str">
            <v>128-26</v>
          </cell>
          <cell r="D61">
            <v>3510000</v>
          </cell>
          <cell r="E61" t="str">
            <v>BARRON</v>
          </cell>
          <cell r="F61" t="str">
            <v>PERLA</v>
          </cell>
          <cell r="G61" t="str">
            <v>BARRON PERLA</v>
          </cell>
        </row>
        <row r="62">
          <cell r="C62" t="str">
            <v>133-26</v>
          </cell>
          <cell r="D62">
            <v>3120000</v>
          </cell>
          <cell r="E62" t="str">
            <v>THOMPSON</v>
          </cell>
          <cell r="F62" t="str">
            <v>LESTER</v>
          </cell>
          <cell r="G62" t="str">
            <v>THOMPSON LESTER</v>
          </cell>
        </row>
        <row r="63">
          <cell r="C63" t="str">
            <v>135-26</v>
          </cell>
          <cell r="D63">
            <v>2530000</v>
          </cell>
          <cell r="E63" t="str">
            <v>LALONDE</v>
          </cell>
          <cell r="F63" t="str">
            <v>GREGORY</v>
          </cell>
          <cell r="G63" t="str">
            <v>LALONDE GREGORY</v>
          </cell>
        </row>
        <row r="64">
          <cell r="C64" t="str">
            <v>811-26</v>
          </cell>
          <cell r="D64">
            <v>3300000</v>
          </cell>
          <cell r="E64" t="str">
            <v>LANGERAK</v>
          </cell>
          <cell r="F64" t="str">
            <v>WILLIAM</v>
          </cell>
          <cell r="G64" t="str">
            <v>LANGERAK WILLIAM</v>
          </cell>
        </row>
        <row r="65">
          <cell r="C65" t="str">
            <v>810-26</v>
          </cell>
          <cell r="D65">
            <v>2730000</v>
          </cell>
          <cell r="E65" t="str">
            <v>YANG</v>
          </cell>
          <cell r="F65" t="str">
            <v>JAN</v>
          </cell>
          <cell r="G65" t="str">
            <v>YANG JAN</v>
          </cell>
        </row>
        <row r="66">
          <cell r="C66" t="str">
            <v>130-26</v>
          </cell>
          <cell r="D66">
            <v>940000</v>
          </cell>
          <cell r="E66" t="str">
            <v>BONDS</v>
          </cell>
          <cell r="F66" t="str">
            <v>REYNALDO</v>
          </cell>
          <cell r="G66" t="str">
            <v>BONDS REYNALDO</v>
          </cell>
        </row>
        <row r="67">
          <cell r="C67" t="str">
            <v>137-26</v>
          </cell>
          <cell r="D67">
            <v>3090000</v>
          </cell>
          <cell r="E67" t="str">
            <v>LAMAR</v>
          </cell>
          <cell r="F67" t="str">
            <v>NEKESHA</v>
          </cell>
          <cell r="G67" t="str">
            <v>LAMAR NEKESHA</v>
          </cell>
        </row>
        <row r="68">
          <cell r="C68" t="str">
            <v>54-26</v>
          </cell>
          <cell r="D68">
            <v>1090000</v>
          </cell>
          <cell r="E68" t="str">
            <v>SPECTOR</v>
          </cell>
          <cell r="F68" t="str">
            <v>MICHAEL</v>
          </cell>
          <cell r="G68" t="str">
            <v>SPECTOR MICHAEL</v>
          </cell>
        </row>
        <row r="69">
          <cell r="C69" t="str">
            <v>54-26</v>
          </cell>
          <cell r="D69">
            <v>1090000</v>
          </cell>
          <cell r="E69" t="str">
            <v>SPECTOR</v>
          </cell>
          <cell r="F69" t="str">
            <v>MICHAEL</v>
          </cell>
          <cell r="G69" t="str">
            <v>SPECTOR MICHAEL</v>
          </cell>
        </row>
        <row r="70">
          <cell r="C70" t="str">
            <v>54-26</v>
          </cell>
          <cell r="D70">
            <v>1090000</v>
          </cell>
          <cell r="E70" t="str">
            <v>SPECTOR</v>
          </cell>
          <cell r="F70" t="str">
            <v>MICHAEL</v>
          </cell>
          <cell r="G70" t="str">
            <v>SPECTOR MICHAEL</v>
          </cell>
        </row>
        <row r="71">
          <cell r="C71" t="str">
            <v>132-26</v>
          </cell>
          <cell r="D71">
            <v>2560000</v>
          </cell>
          <cell r="E71" t="str">
            <v>MACDONALD</v>
          </cell>
          <cell r="F71" t="str">
            <v>THOMAS</v>
          </cell>
          <cell r="G71" t="str">
            <v>MACDONALD THOMAS</v>
          </cell>
        </row>
        <row r="72">
          <cell r="C72" t="str">
            <v>54-26</v>
          </cell>
          <cell r="D72">
            <v>1090000</v>
          </cell>
          <cell r="E72" t="str">
            <v>SPECTOR</v>
          </cell>
          <cell r="F72" t="str">
            <v>MICHAEL</v>
          </cell>
          <cell r="G72" t="str">
            <v>SPECTOR MICHAEL</v>
          </cell>
        </row>
        <row r="73">
          <cell r="C73" t="str">
            <v>903-26</v>
          </cell>
          <cell r="D73">
            <v>2730000</v>
          </cell>
          <cell r="E73" t="str">
            <v>YANG</v>
          </cell>
          <cell r="F73" t="str">
            <v>JAN</v>
          </cell>
          <cell r="G73" t="str">
            <v>YANG JAN</v>
          </cell>
        </row>
        <row r="74">
          <cell r="C74" t="str">
            <v>139-26</v>
          </cell>
          <cell r="D74">
            <v>1830000</v>
          </cell>
          <cell r="E74" t="str">
            <v>YORK</v>
          </cell>
          <cell r="F74" t="str">
            <v>EDGAR</v>
          </cell>
          <cell r="G74" t="str">
            <v>YORK EDGAR</v>
          </cell>
        </row>
        <row r="75">
          <cell r="C75" t="str">
            <v>812-26</v>
          </cell>
          <cell r="D75">
            <v>3300000</v>
          </cell>
          <cell r="E75" t="str">
            <v>LANGERAK</v>
          </cell>
          <cell r="F75" t="str">
            <v>WILLIAM</v>
          </cell>
          <cell r="G75" t="str">
            <v>LANGERAK WILLIAM</v>
          </cell>
        </row>
        <row r="76">
          <cell r="C76" t="str">
            <v>141-26</v>
          </cell>
          <cell r="D76">
            <v>1090000</v>
          </cell>
          <cell r="E76" t="str">
            <v>SPECTOR</v>
          </cell>
          <cell r="F76" t="str">
            <v>MICHAEL</v>
          </cell>
          <cell r="G76" t="str">
            <v>SPECTOR MICHAEL</v>
          </cell>
        </row>
        <row r="77">
          <cell r="C77" t="str">
            <v>812-26</v>
          </cell>
          <cell r="D77">
            <v>3300000</v>
          </cell>
          <cell r="E77" t="str">
            <v>LANGERAK</v>
          </cell>
          <cell r="F77" t="str">
            <v>WILLIAM</v>
          </cell>
          <cell r="G77" t="str">
            <v>LANGERAK WILLIAM</v>
          </cell>
        </row>
        <row r="78">
          <cell r="C78" t="str">
            <v>134-26</v>
          </cell>
          <cell r="D78">
            <v>3120000</v>
          </cell>
          <cell r="E78" t="str">
            <v>THOMPSON</v>
          </cell>
          <cell r="F78" t="str">
            <v>LESTER</v>
          </cell>
          <cell r="G78" t="str">
            <v>THOMPSON LESTER</v>
          </cell>
        </row>
        <row r="79">
          <cell r="C79" t="str">
            <v>136-26</v>
          </cell>
          <cell r="D79">
            <v>2530000</v>
          </cell>
          <cell r="E79" t="str">
            <v>LALONDE</v>
          </cell>
          <cell r="F79" t="str">
            <v>GREGORY</v>
          </cell>
          <cell r="G79" t="str">
            <v>LALONDE GREGORY</v>
          </cell>
        </row>
        <row r="80">
          <cell r="C80" t="str">
            <v>143-26</v>
          </cell>
          <cell r="D80">
            <v>3510000</v>
          </cell>
          <cell r="E80" t="str">
            <v>BARRON</v>
          </cell>
          <cell r="F80" t="str">
            <v>PERLA</v>
          </cell>
          <cell r="G80" t="str">
            <v>BARRON PERLA</v>
          </cell>
        </row>
        <row r="81">
          <cell r="C81" t="str">
            <v>813-26</v>
          </cell>
          <cell r="D81">
            <v>3300000</v>
          </cell>
          <cell r="E81" t="str">
            <v>LANGERAK</v>
          </cell>
          <cell r="F81" t="str">
            <v>WILLIAM</v>
          </cell>
          <cell r="G81" t="str">
            <v>LANGERAK WILLIAM</v>
          </cell>
        </row>
        <row r="82">
          <cell r="C82" t="str">
            <v>138-26</v>
          </cell>
          <cell r="D82">
            <v>3090000</v>
          </cell>
          <cell r="E82" t="str">
            <v>LAMAR</v>
          </cell>
          <cell r="F82" t="str">
            <v>NEKESHA</v>
          </cell>
          <cell r="G82" t="str">
            <v>LAMAR NEKESHA</v>
          </cell>
        </row>
        <row r="83">
          <cell r="C83" t="str">
            <v>145-26</v>
          </cell>
          <cell r="D83">
            <v>940000</v>
          </cell>
          <cell r="E83" t="str">
            <v>BONDS</v>
          </cell>
          <cell r="F83" t="str">
            <v>REYNALDO</v>
          </cell>
          <cell r="G83" t="str">
            <v>BONDS REYNALDO</v>
          </cell>
        </row>
        <row r="84">
          <cell r="C84" t="str">
            <v>140-26</v>
          </cell>
          <cell r="D84">
            <v>1830000</v>
          </cell>
          <cell r="E84" t="str">
            <v>YORK</v>
          </cell>
          <cell r="F84" t="str">
            <v>EDGAR</v>
          </cell>
          <cell r="G84" t="str">
            <v>YORK EDGAR</v>
          </cell>
        </row>
        <row r="85">
          <cell r="C85" t="str">
            <v>814-26</v>
          </cell>
          <cell r="D85">
            <v>3300000</v>
          </cell>
          <cell r="E85" t="str">
            <v>LANGERAK</v>
          </cell>
          <cell r="F85" t="str">
            <v>WILLIAM</v>
          </cell>
          <cell r="G85" t="str">
            <v>LANGERAK WILLIAM</v>
          </cell>
        </row>
        <row r="86">
          <cell r="C86" t="str">
            <v>147-26</v>
          </cell>
          <cell r="D86">
            <v>3120000</v>
          </cell>
          <cell r="E86" t="str">
            <v>THOMPSON</v>
          </cell>
          <cell r="F86" t="str">
            <v>LESTER</v>
          </cell>
          <cell r="G86" t="str">
            <v>THOMPSON LESTER</v>
          </cell>
        </row>
        <row r="87">
          <cell r="C87" t="str">
            <v>142-26</v>
          </cell>
          <cell r="D87">
            <v>1090000</v>
          </cell>
          <cell r="E87" t="str">
            <v>SPECTOR</v>
          </cell>
          <cell r="F87" t="str">
            <v>MICHAEL</v>
          </cell>
          <cell r="G87" t="str">
            <v>SPECTOR MICHAEL</v>
          </cell>
        </row>
        <row r="88">
          <cell r="C88" t="str">
            <v>149-26</v>
          </cell>
          <cell r="D88">
            <v>2530000</v>
          </cell>
          <cell r="E88" t="str">
            <v>LALONDE</v>
          </cell>
          <cell r="F88" t="str">
            <v>GREGORY</v>
          </cell>
          <cell r="G88" t="str">
            <v>LALONDE GREGORY</v>
          </cell>
        </row>
        <row r="89">
          <cell r="C89" t="str">
            <v>144-26</v>
          </cell>
          <cell r="D89">
            <v>3510000</v>
          </cell>
          <cell r="E89" t="str">
            <v>BARRON</v>
          </cell>
          <cell r="F89" t="str">
            <v>PERLA</v>
          </cell>
          <cell r="G89" t="str">
            <v>BARRON PERLA</v>
          </cell>
        </row>
        <row r="90">
          <cell r="C90" t="str">
            <v>151-26</v>
          </cell>
          <cell r="D90">
            <v>3090000</v>
          </cell>
          <cell r="E90" t="str">
            <v>LAMAR</v>
          </cell>
          <cell r="F90" t="str">
            <v>NEKESHA</v>
          </cell>
          <cell r="G90" t="str">
            <v>LAMAR NEKESHA</v>
          </cell>
        </row>
        <row r="91">
          <cell r="C91" t="str">
            <v>815-26</v>
          </cell>
          <cell r="D91">
            <v>3300000</v>
          </cell>
          <cell r="E91" t="str">
            <v>LANGERAK</v>
          </cell>
          <cell r="F91" t="str">
            <v>WILLIAM</v>
          </cell>
          <cell r="G91" t="str">
            <v>LANGERAK WILLIAM</v>
          </cell>
        </row>
        <row r="92">
          <cell r="C92" t="str">
            <v>146-26</v>
          </cell>
          <cell r="D92">
            <v>940000</v>
          </cell>
          <cell r="E92" t="str">
            <v>BONDS</v>
          </cell>
          <cell r="F92" t="str">
            <v>REYNALDO</v>
          </cell>
          <cell r="G92" t="str">
            <v>BONDS REYNALDO</v>
          </cell>
        </row>
        <row r="93">
          <cell r="C93" t="str">
            <v>153-26</v>
          </cell>
          <cell r="D93">
            <v>2730000</v>
          </cell>
          <cell r="E93" t="str">
            <v>YANG</v>
          </cell>
          <cell r="F93" t="str">
            <v>JAN</v>
          </cell>
          <cell r="G93" t="str">
            <v>YANG JAN</v>
          </cell>
        </row>
        <row r="94">
          <cell r="C94" t="str">
            <v>150-26</v>
          </cell>
          <cell r="D94">
            <v>2530000</v>
          </cell>
          <cell r="E94" t="str">
            <v>LALONDE</v>
          </cell>
          <cell r="F94" t="str">
            <v>GREGORY</v>
          </cell>
          <cell r="G94" t="str">
            <v>LALONDE GREGORY</v>
          </cell>
        </row>
        <row r="95">
          <cell r="C95" t="str">
            <v>148-26</v>
          </cell>
          <cell r="D95">
            <v>3120000</v>
          </cell>
          <cell r="E95" t="str">
            <v>THOMPSON</v>
          </cell>
          <cell r="F95" t="str">
            <v>LESTER</v>
          </cell>
          <cell r="G95" t="str">
            <v>THOMPSON LESTER</v>
          </cell>
        </row>
        <row r="96">
          <cell r="C96" t="str">
            <v>155-26</v>
          </cell>
          <cell r="D96">
            <v>2470000</v>
          </cell>
          <cell r="E96" t="str">
            <v>ROMERO</v>
          </cell>
          <cell r="F96" t="str">
            <v>CHAD</v>
          </cell>
          <cell r="G96" t="str">
            <v>ROMERO CHAD</v>
          </cell>
        </row>
        <row r="97">
          <cell r="C97" t="str">
            <v>816-26</v>
          </cell>
          <cell r="D97">
            <v>3300000</v>
          </cell>
          <cell r="E97" t="str">
            <v>LANGERAK</v>
          </cell>
          <cell r="F97" t="str">
            <v>WILLIAM</v>
          </cell>
          <cell r="G97" t="str">
            <v>LANGERAK WILLIAM</v>
          </cell>
        </row>
        <row r="98">
          <cell r="C98" t="str">
            <v>157-26</v>
          </cell>
          <cell r="D98">
            <v>920000</v>
          </cell>
          <cell r="E98" t="str">
            <v>DAVIS</v>
          </cell>
          <cell r="F98" t="str">
            <v>MICHAEL</v>
          </cell>
          <cell r="G98" t="str">
            <v>DAVIS MICHAEL</v>
          </cell>
        </row>
        <row r="99">
          <cell r="C99" t="str">
            <v>159-26</v>
          </cell>
          <cell r="D99">
            <v>2560000</v>
          </cell>
          <cell r="E99" t="str">
            <v>MACDONALD</v>
          </cell>
          <cell r="F99" t="str">
            <v>THOMAS</v>
          </cell>
          <cell r="G99" t="str">
            <v>MACDONALD THOMAS</v>
          </cell>
        </row>
        <row r="100">
          <cell r="C100" t="str">
            <v>152-26</v>
          </cell>
          <cell r="D100">
            <v>3090000</v>
          </cell>
          <cell r="E100" t="str">
            <v>LAMAR</v>
          </cell>
          <cell r="F100" t="str">
            <v>NEKESHA</v>
          </cell>
          <cell r="G100" t="str">
            <v>LAMAR NEKESHA</v>
          </cell>
        </row>
        <row r="101">
          <cell r="C101" t="str">
            <v>817-26</v>
          </cell>
          <cell r="D101">
            <v>3510000</v>
          </cell>
          <cell r="E101" t="str">
            <v>BARRON</v>
          </cell>
          <cell r="F101" t="str">
            <v>PERLA</v>
          </cell>
          <cell r="G101" t="str">
            <v>BARRON PERLA</v>
          </cell>
        </row>
        <row r="102">
          <cell r="C102" t="str">
            <v>154-26</v>
          </cell>
          <cell r="D102">
            <v>2730000</v>
          </cell>
          <cell r="E102" t="str">
            <v>YANG</v>
          </cell>
          <cell r="F102" t="str">
            <v>JAN</v>
          </cell>
          <cell r="G102" t="str">
            <v>YANG JAN</v>
          </cell>
        </row>
        <row r="103">
          <cell r="C103" t="str">
            <v>156-26</v>
          </cell>
          <cell r="D103">
            <v>2470000</v>
          </cell>
          <cell r="E103" t="str">
            <v>ROMERO</v>
          </cell>
          <cell r="F103" t="str">
            <v>CHAD</v>
          </cell>
          <cell r="G103" t="str">
            <v>ROMERO CHAD</v>
          </cell>
        </row>
        <row r="104">
          <cell r="C104" t="str">
            <v>161-26</v>
          </cell>
          <cell r="D104">
            <v>1810000</v>
          </cell>
          <cell r="E104" t="str">
            <v>NEWELL</v>
          </cell>
          <cell r="F104" t="str">
            <v>JAMES</v>
          </cell>
          <cell r="G104" t="str">
            <v>NEWELL JAMES</v>
          </cell>
        </row>
        <row r="105">
          <cell r="C105" t="str">
            <v>163-26</v>
          </cell>
          <cell r="D105">
            <v>2150000</v>
          </cell>
          <cell r="E105" t="str">
            <v>SWANSON</v>
          </cell>
          <cell r="F105" t="str">
            <v>BRYCE</v>
          </cell>
          <cell r="G105" t="str">
            <v>SWANSON BRYCE</v>
          </cell>
        </row>
        <row r="106">
          <cell r="C106" t="str">
            <v>818-26</v>
          </cell>
          <cell r="D106">
            <v>3510000</v>
          </cell>
          <cell r="E106" t="str">
            <v>BARRON</v>
          </cell>
          <cell r="F106" t="str">
            <v>PERLA</v>
          </cell>
          <cell r="G106" t="str">
            <v>BARRON PERLA</v>
          </cell>
        </row>
        <row r="107">
          <cell r="C107" t="str">
            <v>56-26</v>
          </cell>
          <cell r="D107">
            <v>1180000</v>
          </cell>
          <cell r="E107" t="str">
            <v>LEVERE</v>
          </cell>
          <cell r="F107" t="str">
            <v>CRAIG</v>
          </cell>
          <cell r="G107" t="str">
            <v>LEVERE CRAIG</v>
          </cell>
        </row>
        <row r="108">
          <cell r="C108" t="str">
            <v>165-26</v>
          </cell>
          <cell r="D108">
            <v>1300000</v>
          </cell>
          <cell r="E108" t="str">
            <v>LEVIN</v>
          </cell>
          <cell r="F108" t="str">
            <v>SCOTT</v>
          </cell>
          <cell r="G108" t="str">
            <v>LEVIN SCOTT</v>
          </cell>
        </row>
        <row r="109">
          <cell r="C109" t="str">
            <v>158-26</v>
          </cell>
          <cell r="D109">
            <v>920000</v>
          </cell>
          <cell r="E109" t="str">
            <v>DAVIS</v>
          </cell>
          <cell r="F109" t="str">
            <v>MICHAEL</v>
          </cell>
          <cell r="G109" t="str">
            <v>DAVIS MICHAEL</v>
          </cell>
        </row>
        <row r="110">
          <cell r="C110" t="str">
            <v>167-26</v>
          </cell>
          <cell r="D110">
            <v>1180000</v>
          </cell>
          <cell r="E110" t="str">
            <v>LEVERE</v>
          </cell>
          <cell r="F110" t="str">
            <v>CRAIG</v>
          </cell>
          <cell r="G110" t="str">
            <v>LEVERE CRAIG</v>
          </cell>
        </row>
        <row r="111">
          <cell r="C111" t="str">
            <v>160-26</v>
          </cell>
          <cell r="D111">
            <v>2560000</v>
          </cell>
          <cell r="E111" t="str">
            <v>MACDONALD</v>
          </cell>
          <cell r="F111" t="str">
            <v>THOMAS</v>
          </cell>
          <cell r="G111" t="str">
            <v>MACDONALD THOMAS</v>
          </cell>
        </row>
        <row r="112">
          <cell r="C112" t="str">
            <v>57-26</v>
          </cell>
          <cell r="D112">
            <v>2730000</v>
          </cell>
          <cell r="E112" t="str">
            <v>YANG</v>
          </cell>
          <cell r="F112" t="str">
            <v>JAN</v>
          </cell>
          <cell r="G112" t="str">
            <v>YANG JAN</v>
          </cell>
        </row>
        <row r="113">
          <cell r="C113" t="str">
            <v>162-26</v>
          </cell>
          <cell r="D113">
            <v>1810000</v>
          </cell>
          <cell r="E113" t="str">
            <v>NEWELL</v>
          </cell>
          <cell r="F113" t="str">
            <v>JAMES</v>
          </cell>
          <cell r="G113" t="str">
            <v>NEWELL JAMES</v>
          </cell>
        </row>
        <row r="114">
          <cell r="C114" t="str">
            <v>819-26</v>
          </cell>
          <cell r="D114">
            <v>1780000</v>
          </cell>
          <cell r="E114" t="str">
            <v>DE LA ROSA</v>
          </cell>
          <cell r="F114" t="str">
            <v>ALEX</v>
          </cell>
          <cell r="G114" t="str">
            <v>DE LA ROSA ALEX</v>
          </cell>
        </row>
        <row r="115">
          <cell r="C115" t="str">
            <v>169-26</v>
          </cell>
          <cell r="D115">
            <v>2630000</v>
          </cell>
          <cell r="E115" t="str">
            <v>SAFIEF</v>
          </cell>
          <cell r="F115" t="str">
            <v>AEIMEN</v>
          </cell>
          <cell r="G115" t="str">
            <v>SAFIEF AEIMEN</v>
          </cell>
        </row>
        <row r="116">
          <cell r="C116" t="str">
            <v>164-26</v>
          </cell>
          <cell r="D116">
            <v>2150000</v>
          </cell>
          <cell r="E116" t="str">
            <v>SWANSON</v>
          </cell>
          <cell r="F116" t="str">
            <v>BRYCE</v>
          </cell>
          <cell r="G116" t="str">
            <v>SWANSON BRYCE</v>
          </cell>
        </row>
        <row r="117">
          <cell r="C117" t="str">
            <v>171-26</v>
          </cell>
          <cell r="D117">
            <v>920000</v>
          </cell>
          <cell r="E117" t="str">
            <v>DAVIS</v>
          </cell>
          <cell r="F117" t="str">
            <v>MICHAEL</v>
          </cell>
          <cell r="G117" t="str">
            <v>DAVIS MICHAEL</v>
          </cell>
        </row>
        <row r="118">
          <cell r="C118" t="str">
            <v>166-26</v>
          </cell>
          <cell r="D118">
            <v>1300000</v>
          </cell>
          <cell r="E118" t="str">
            <v>LEVIN</v>
          </cell>
          <cell r="F118" t="str">
            <v>SCOTT</v>
          </cell>
          <cell r="G118" t="str">
            <v>LEVIN SCOTT</v>
          </cell>
        </row>
        <row r="119">
          <cell r="C119" t="str">
            <v>820-26</v>
          </cell>
          <cell r="D119">
            <v>1780000</v>
          </cell>
          <cell r="E119" t="str">
            <v>DE LA ROSA</v>
          </cell>
          <cell r="F119" t="str">
            <v>ALEX</v>
          </cell>
          <cell r="G119" t="str">
            <v>DE LA ROSA ALEX</v>
          </cell>
        </row>
        <row r="120">
          <cell r="C120" t="str">
            <v>173-26</v>
          </cell>
          <cell r="D120">
            <v>2230000</v>
          </cell>
          <cell r="E120" t="str">
            <v>SMITH</v>
          </cell>
          <cell r="F120" t="str">
            <v>MICHAEL</v>
          </cell>
          <cell r="G120" t="str">
            <v>SMITH MICHAEL</v>
          </cell>
        </row>
        <row r="121">
          <cell r="C121" t="str">
            <v>168-26</v>
          </cell>
          <cell r="D121">
            <v>1180000</v>
          </cell>
          <cell r="E121" t="str">
            <v>LEVERE</v>
          </cell>
          <cell r="F121" t="str">
            <v>CRAIG</v>
          </cell>
          <cell r="G121" t="str">
            <v>LEVERE CRAIG</v>
          </cell>
        </row>
        <row r="122">
          <cell r="C122" t="str">
            <v>175-26</v>
          </cell>
          <cell r="D122">
            <v>1810000</v>
          </cell>
          <cell r="E122" t="str">
            <v>NEWELL</v>
          </cell>
          <cell r="F122" t="str">
            <v>JAMES</v>
          </cell>
          <cell r="G122" t="str">
            <v>NEWELL JAMES</v>
          </cell>
        </row>
        <row r="123">
          <cell r="C123" t="str">
            <v>170-26</v>
          </cell>
          <cell r="D123">
            <v>2630000</v>
          </cell>
          <cell r="E123" t="str">
            <v>SAFIEF</v>
          </cell>
          <cell r="F123" t="str">
            <v>AEIMEN</v>
          </cell>
          <cell r="G123" t="str">
            <v>SAFIEF AEIMEN</v>
          </cell>
        </row>
        <row r="124">
          <cell r="C124" t="str">
            <v>821-26</v>
          </cell>
          <cell r="D124">
            <v>2970000</v>
          </cell>
          <cell r="E124" t="str">
            <v>GUZMAN</v>
          </cell>
          <cell r="F124" t="str">
            <v>DANNY</v>
          </cell>
          <cell r="G124" t="str">
            <v>GUZMAN DANNY</v>
          </cell>
        </row>
        <row r="125">
          <cell r="C125" t="str">
            <v>177-26</v>
          </cell>
          <cell r="D125">
            <v>2450000</v>
          </cell>
          <cell r="E125" t="str">
            <v>NELSON</v>
          </cell>
          <cell r="F125" t="str">
            <v>ARIANE</v>
          </cell>
          <cell r="G125" t="str">
            <v>NELSON ARIANE</v>
          </cell>
        </row>
        <row r="126">
          <cell r="C126" t="str">
            <v>172-26</v>
          </cell>
          <cell r="D126">
            <v>920000</v>
          </cell>
          <cell r="E126" t="str">
            <v>DAVIS</v>
          </cell>
          <cell r="F126" t="str">
            <v>MICHAEL</v>
          </cell>
          <cell r="G126" t="str">
            <v>DAVIS MICHAEL</v>
          </cell>
        </row>
        <row r="127">
          <cell r="C127" t="str">
            <v>179-26</v>
          </cell>
          <cell r="D127">
            <v>1300000</v>
          </cell>
          <cell r="E127" t="str">
            <v>LEVIN</v>
          </cell>
          <cell r="F127" t="str">
            <v>SCOTT</v>
          </cell>
          <cell r="G127" t="str">
            <v>LEVIN SCOTT</v>
          </cell>
        </row>
        <row r="128">
          <cell r="C128" t="str">
            <v>822-26</v>
          </cell>
          <cell r="D128">
            <v>2970000</v>
          </cell>
          <cell r="E128" t="str">
            <v>GUZMAN</v>
          </cell>
          <cell r="F128" t="str">
            <v>DANNY</v>
          </cell>
          <cell r="G128" t="str">
            <v>GUZMAN DANNY</v>
          </cell>
        </row>
        <row r="129">
          <cell r="C129" t="str">
            <v>174-26</v>
          </cell>
          <cell r="D129">
            <v>2230000</v>
          </cell>
          <cell r="E129" t="str">
            <v>SMITH</v>
          </cell>
          <cell r="F129" t="str">
            <v>MICHAEL</v>
          </cell>
          <cell r="G129" t="str">
            <v>SMITH MICHAEL</v>
          </cell>
        </row>
        <row r="130">
          <cell r="C130" t="str">
            <v>181-26</v>
          </cell>
          <cell r="D130">
            <v>1180000</v>
          </cell>
          <cell r="E130" t="str">
            <v>LEVERE</v>
          </cell>
          <cell r="F130" t="str">
            <v>CRAIG</v>
          </cell>
          <cell r="G130" t="str">
            <v>LEVERE CRAIG</v>
          </cell>
        </row>
        <row r="131">
          <cell r="C131" t="str">
            <v>176-26</v>
          </cell>
          <cell r="D131">
            <v>1810000</v>
          </cell>
          <cell r="E131" t="str">
            <v>NEWELL</v>
          </cell>
          <cell r="F131" t="str">
            <v>JAMES</v>
          </cell>
          <cell r="G131" t="str">
            <v>NEWELL JAMES</v>
          </cell>
        </row>
        <row r="132">
          <cell r="C132" t="str">
            <v>183-26</v>
          </cell>
          <cell r="D132">
            <v>2630000</v>
          </cell>
          <cell r="E132" t="str">
            <v>SAFIEF</v>
          </cell>
          <cell r="F132" t="str">
            <v>AEIMEN</v>
          </cell>
          <cell r="G132" t="str">
            <v>SAFIEF AEIMEN</v>
          </cell>
        </row>
        <row r="133">
          <cell r="C133" t="str">
            <v>823-26</v>
          </cell>
          <cell r="D133">
            <v>2970000</v>
          </cell>
          <cell r="E133" t="str">
            <v>GUZMAN</v>
          </cell>
          <cell r="F133" t="str">
            <v>DANNY</v>
          </cell>
          <cell r="G133" t="str">
            <v>GUZMAN DANNY</v>
          </cell>
        </row>
        <row r="134">
          <cell r="C134" t="str">
            <v>178-26</v>
          </cell>
          <cell r="D134">
            <v>2450000</v>
          </cell>
          <cell r="E134" t="str">
            <v>NELSON</v>
          </cell>
          <cell r="F134" t="str">
            <v>ARIANE</v>
          </cell>
          <cell r="G134" t="str">
            <v>NELSON ARIANE</v>
          </cell>
        </row>
        <row r="135">
          <cell r="C135" t="str">
            <v>185-26</v>
          </cell>
          <cell r="D135">
            <v>920000</v>
          </cell>
          <cell r="E135" t="str">
            <v>DAVIS</v>
          </cell>
          <cell r="F135" t="str">
            <v>MICHAEL</v>
          </cell>
          <cell r="G135" t="str">
            <v>DAVIS MICHAEL</v>
          </cell>
        </row>
        <row r="136">
          <cell r="C136" t="str">
            <v>180-26</v>
          </cell>
          <cell r="D136">
            <v>1300000</v>
          </cell>
          <cell r="E136" t="str">
            <v>LEVIN</v>
          </cell>
          <cell r="F136" t="str">
            <v>SCOTT</v>
          </cell>
          <cell r="G136" t="str">
            <v>LEVIN SCOTT</v>
          </cell>
        </row>
        <row r="137">
          <cell r="C137" t="str">
            <v>187-26</v>
          </cell>
          <cell r="D137">
            <v>2230000</v>
          </cell>
          <cell r="E137" t="str">
            <v>SMITH</v>
          </cell>
          <cell r="F137" t="str">
            <v>MICHAEL</v>
          </cell>
          <cell r="G137" t="str">
            <v>SMITH MICHAEL</v>
          </cell>
        </row>
        <row r="138">
          <cell r="C138" t="str">
            <v>824-26</v>
          </cell>
          <cell r="D138">
            <v>2970000</v>
          </cell>
          <cell r="E138" t="str">
            <v>GUZMAN</v>
          </cell>
          <cell r="F138" t="str">
            <v>DANNY</v>
          </cell>
          <cell r="G138" t="str">
            <v>GUZMAN DANNY</v>
          </cell>
        </row>
        <row r="139">
          <cell r="C139" t="str">
            <v>182-26</v>
          </cell>
          <cell r="D139">
            <v>1180000</v>
          </cell>
          <cell r="E139" t="str">
            <v>LEVERE</v>
          </cell>
          <cell r="F139" t="str">
            <v>CRAIG</v>
          </cell>
          <cell r="G139" t="str">
            <v>LEVERE CRAIG</v>
          </cell>
        </row>
        <row r="140">
          <cell r="C140" t="str">
            <v>189-26</v>
          </cell>
          <cell r="D140">
            <v>1810000</v>
          </cell>
          <cell r="E140" t="str">
            <v>NEWELL</v>
          </cell>
          <cell r="F140" t="str">
            <v>JAMES</v>
          </cell>
          <cell r="G140" t="str">
            <v>NEWELL JAMES</v>
          </cell>
        </row>
        <row r="141">
          <cell r="C141" t="str">
            <v>184-26</v>
          </cell>
          <cell r="D141">
            <v>2630000</v>
          </cell>
          <cell r="E141" t="str">
            <v>SAFIEF</v>
          </cell>
          <cell r="F141" t="str">
            <v>AEIMEN</v>
          </cell>
          <cell r="G141" t="str">
            <v>SAFIEF AEIMEN</v>
          </cell>
        </row>
        <row r="142">
          <cell r="C142" t="str">
            <v>191-26</v>
          </cell>
          <cell r="D142">
            <v>2450000</v>
          </cell>
          <cell r="E142" t="str">
            <v>NELSON</v>
          </cell>
          <cell r="F142" t="str">
            <v>ARIANE</v>
          </cell>
          <cell r="G142" t="str">
            <v>NELSON ARIANE</v>
          </cell>
        </row>
        <row r="143">
          <cell r="C143" t="str">
            <v>825-26</v>
          </cell>
          <cell r="D143">
            <v>2970000</v>
          </cell>
          <cell r="E143" t="str">
            <v>GUZMAN</v>
          </cell>
          <cell r="F143" t="str">
            <v>DANNY</v>
          </cell>
          <cell r="G143" t="str">
            <v>GUZMAN DANNY</v>
          </cell>
        </row>
        <row r="144">
          <cell r="C144" t="str">
            <v>186-26</v>
          </cell>
          <cell r="D144">
            <v>920000</v>
          </cell>
          <cell r="E144" t="str">
            <v>DAVIS</v>
          </cell>
          <cell r="F144" t="str">
            <v>MICHAEL</v>
          </cell>
          <cell r="G144" t="str">
            <v>DAVIS MICHAEL</v>
          </cell>
        </row>
        <row r="145">
          <cell r="C145" t="str">
            <v>193-26</v>
          </cell>
          <cell r="D145">
            <v>1300000</v>
          </cell>
          <cell r="E145" t="str">
            <v>LEVIN</v>
          </cell>
          <cell r="F145" t="str">
            <v>SCOTT</v>
          </cell>
          <cell r="G145" t="str">
            <v>LEVIN SCOTT</v>
          </cell>
        </row>
        <row r="146">
          <cell r="C146" t="str">
            <v>904-26</v>
          </cell>
          <cell r="D146">
            <v>2000000</v>
          </cell>
          <cell r="E146" t="str">
            <v>STAMBAUGH</v>
          </cell>
          <cell r="F146" t="str">
            <v>JAMES</v>
          </cell>
          <cell r="G146" t="str">
            <v>STAMBAUGH JAMES</v>
          </cell>
        </row>
        <row r="147">
          <cell r="C147" t="str">
            <v>190-26</v>
          </cell>
          <cell r="D147">
            <v>1810000</v>
          </cell>
          <cell r="E147" t="str">
            <v>NEWELL</v>
          </cell>
          <cell r="F147" t="str">
            <v>JAMES</v>
          </cell>
          <cell r="G147" t="str">
            <v>NEWELL JAMES</v>
          </cell>
        </row>
        <row r="148">
          <cell r="C148" t="str">
            <v>188-26</v>
          </cell>
          <cell r="D148">
            <v>2230000</v>
          </cell>
          <cell r="E148" t="str">
            <v>SMITH</v>
          </cell>
          <cell r="F148" t="str">
            <v>MICHAEL</v>
          </cell>
          <cell r="G148" t="str">
            <v>SMITH MICHAEL</v>
          </cell>
        </row>
        <row r="149">
          <cell r="C149" t="str">
            <v>826-26</v>
          </cell>
          <cell r="D149">
            <v>2970000</v>
          </cell>
          <cell r="E149" t="str">
            <v>GUZMAN</v>
          </cell>
          <cell r="F149" t="str">
            <v>DANNY</v>
          </cell>
          <cell r="G149" t="str">
            <v>GUZMAN DANNY</v>
          </cell>
        </row>
        <row r="150">
          <cell r="C150" t="str">
            <v>195-26</v>
          </cell>
          <cell r="D150">
            <v>1180000</v>
          </cell>
          <cell r="E150" t="str">
            <v>LEVERE</v>
          </cell>
          <cell r="F150" t="str">
            <v>CRAIG</v>
          </cell>
          <cell r="G150" t="str">
            <v>LEVERE CRAIG</v>
          </cell>
        </row>
        <row r="151">
          <cell r="C151" t="str">
            <v>827-26</v>
          </cell>
          <cell r="D151">
            <v>2000000</v>
          </cell>
          <cell r="E151" t="str">
            <v>STAMBAUGH</v>
          </cell>
          <cell r="F151" t="str">
            <v>JAMES</v>
          </cell>
          <cell r="G151" t="str">
            <v>STAMBAUGH JAMES</v>
          </cell>
        </row>
        <row r="152">
          <cell r="C152" t="str">
            <v>197-26</v>
          </cell>
          <cell r="D152">
            <v>2630000</v>
          </cell>
          <cell r="E152" t="str">
            <v>SAFIEF</v>
          </cell>
          <cell r="F152" t="str">
            <v>AEIMEN</v>
          </cell>
          <cell r="G152" t="str">
            <v>SAFIEF AEIMEN</v>
          </cell>
        </row>
        <row r="153">
          <cell r="C153" t="str">
            <v>192-26</v>
          </cell>
          <cell r="D153">
            <v>2450000</v>
          </cell>
          <cell r="E153" t="str">
            <v>NELSON</v>
          </cell>
          <cell r="F153" t="str">
            <v>ARIANE</v>
          </cell>
          <cell r="G153" t="str">
            <v>NELSON ARIANE</v>
          </cell>
        </row>
        <row r="154">
          <cell r="C154" t="str">
            <v>828-26</v>
          </cell>
          <cell r="D154">
            <v>2000000</v>
          </cell>
          <cell r="E154" t="str">
            <v>STAMBAUGH</v>
          </cell>
          <cell r="F154" t="str">
            <v>JAMES</v>
          </cell>
          <cell r="G154" t="str">
            <v>STAMBAUGH JAMES</v>
          </cell>
        </row>
        <row r="155">
          <cell r="C155" t="str">
            <v>199-26</v>
          </cell>
          <cell r="D155">
            <v>920000</v>
          </cell>
          <cell r="E155" t="str">
            <v>DAVIS</v>
          </cell>
          <cell r="F155" t="str">
            <v>MICHAEL</v>
          </cell>
          <cell r="G155" t="str">
            <v>DAVIS MICHAEL</v>
          </cell>
        </row>
        <row r="156">
          <cell r="C156" t="str">
            <v>829-26</v>
          </cell>
          <cell r="D156">
            <v>2970000</v>
          </cell>
          <cell r="E156" t="str">
            <v>GUZMAN</v>
          </cell>
          <cell r="F156" t="str">
            <v>DANNY</v>
          </cell>
          <cell r="G156" t="str">
            <v>GUZMAN DANNY</v>
          </cell>
        </row>
        <row r="157">
          <cell r="C157" t="str">
            <v>197-26</v>
          </cell>
          <cell r="D157">
            <v>2630000</v>
          </cell>
          <cell r="E157" t="str">
            <v>SAFIEF</v>
          </cell>
          <cell r="F157" t="str">
            <v>AEIMEN</v>
          </cell>
          <cell r="G157" t="str">
            <v>SAFIEF AEIMEN</v>
          </cell>
        </row>
        <row r="158">
          <cell r="C158" t="str">
            <v>75-26</v>
          </cell>
          <cell r="D158">
            <v>2040000</v>
          </cell>
          <cell r="E158" t="str">
            <v>MOSES</v>
          </cell>
          <cell r="F158" t="str">
            <v>BRADLEY</v>
          </cell>
          <cell r="G158" t="str">
            <v>MOSES BRADLEY</v>
          </cell>
        </row>
        <row r="159">
          <cell r="C159" t="str">
            <v>194-26</v>
          </cell>
          <cell r="D159">
            <v>1300000</v>
          </cell>
          <cell r="E159" t="str">
            <v>LEVIN</v>
          </cell>
          <cell r="F159" t="str">
            <v>SCOTT</v>
          </cell>
          <cell r="G159" t="str">
            <v>LEVIN SCOTT</v>
          </cell>
        </row>
        <row r="160">
          <cell r="C160" t="str">
            <v>201-26</v>
          </cell>
          <cell r="D160">
            <v>2230000</v>
          </cell>
          <cell r="E160" t="str">
            <v>SMITH</v>
          </cell>
          <cell r="F160" t="str">
            <v>MICHAEL</v>
          </cell>
          <cell r="G160" t="str">
            <v>SMITH MICHAEL</v>
          </cell>
        </row>
        <row r="161">
          <cell r="C161" t="str">
            <v>75-26</v>
          </cell>
          <cell r="D161">
            <v>2040000</v>
          </cell>
          <cell r="E161" t="str">
            <v>MOSES</v>
          </cell>
          <cell r="F161" t="str">
            <v>BRADLEY</v>
          </cell>
          <cell r="G161" t="str">
            <v>MOSES BRADLEY</v>
          </cell>
        </row>
        <row r="162">
          <cell r="C162" t="str">
            <v>199-26</v>
          </cell>
          <cell r="D162">
            <v>920000</v>
          </cell>
          <cell r="E162" t="str">
            <v>DAVIS</v>
          </cell>
          <cell r="F162" t="str">
            <v>MICHAEL</v>
          </cell>
          <cell r="G162" t="str">
            <v>DAVIS MICHAEL</v>
          </cell>
        </row>
        <row r="163">
          <cell r="C163" t="str">
            <v>196-26</v>
          </cell>
          <cell r="D163">
            <v>1180000</v>
          </cell>
          <cell r="E163" t="str">
            <v>LEVERE</v>
          </cell>
          <cell r="F163" t="str">
            <v>CRAIG</v>
          </cell>
          <cell r="G163" t="str">
            <v>LEVERE CRAIG</v>
          </cell>
        </row>
        <row r="164">
          <cell r="C164" t="str">
            <v>77-26</v>
          </cell>
          <cell r="D164">
            <v>3130000</v>
          </cell>
          <cell r="E164" t="str">
            <v>ZEWDU</v>
          </cell>
          <cell r="F164" t="str">
            <v>DEREJE</v>
          </cell>
          <cell r="G164" t="str">
            <v>ZEWDU DEREJE</v>
          </cell>
        </row>
        <row r="165">
          <cell r="C165" t="str">
            <v>203-26</v>
          </cell>
          <cell r="D165">
            <v>2040000</v>
          </cell>
          <cell r="E165" t="str">
            <v>MOSES</v>
          </cell>
          <cell r="F165" t="str">
            <v>BRADLEY</v>
          </cell>
          <cell r="G165" t="str">
            <v>MOSES BRADLEY</v>
          </cell>
        </row>
        <row r="166">
          <cell r="C166" t="str">
            <v>203-26</v>
          </cell>
          <cell r="D166">
            <v>2040000</v>
          </cell>
          <cell r="E166" t="str">
            <v>MOSES</v>
          </cell>
          <cell r="F166" t="str">
            <v>BRADLEY</v>
          </cell>
          <cell r="G166" t="str">
            <v>MOSES BRADLEY</v>
          </cell>
        </row>
        <row r="167">
          <cell r="C167" t="str">
            <v>830-26</v>
          </cell>
          <cell r="D167">
            <v>2970000</v>
          </cell>
          <cell r="E167" t="str">
            <v>GUZMAN</v>
          </cell>
          <cell r="F167" t="str">
            <v>DANNY</v>
          </cell>
          <cell r="G167" t="str">
            <v>GUZMAN DANNY</v>
          </cell>
        </row>
        <row r="168">
          <cell r="C168" t="str">
            <v>77-26</v>
          </cell>
          <cell r="D168">
            <v>3130000</v>
          </cell>
          <cell r="E168" t="str">
            <v>ZEWDU</v>
          </cell>
          <cell r="F168" t="str">
            <v>DEREJE</v>
          </cell>
          <cell r="G168" t="str">
            <v>ZEWDU DEREJE</v>
          </cell>
        </row>
        <row r="169">
          <cell r="C169" t="str">
            <v>831-26</v>
          </cell>
          <cell r="D169">
            <v>2000000</v>
          </cell>
          <cell r="E169" t="str">
            <v>STAMBAUGH</v>
          </cell>
          <cell r="F169" t="str">
            <v>JAMES</v>
          </cell>
          <cell r="G169" t="str">
            <v>STAMBAUGH JAMES</v>
          </cell>
        </row>
        <row r="170">
          <cell r="C170" t="str">
            <v>205-26</v>
          </cell>
          <cell r="D170">
            <v>3130000</v>
          </cell>
          <cell r="E170" t="str">
            <v>ZEWDU</v>
          </cell>
          <cell r="F170" t="str">
            <v>DEREJE</v>
          </cell>
          <cell r="G170" t="str">
            <v>ZEWDU DEREJE</v>
          </cell>
        </row>
        <row r="171">
          <cell r="C171" t="str">
            <v>198-26</v>
          </cell>
          <cell r="D171">
            <v>2630000</v>
          </cell>
          <cell r="E171" t="str">
            <v>SAFIEF</v>
          </cell>
          <cell r="F171" t="str">
            <v>AEIMEN</v>
          </cell>
          <cell r="G171" t="str">
            <v>SAFIEF AEIMEN</v>
          </cell>
        </row>
        <row r="172">
          <cell r="C172" t="str">
            <v>200-26</v>
          </cell>
          <cell r="D172">
            <v>920000</v>
          </cell>
          <cell r="E172" t="str">
            <v>DAVIS</v>
          </cell>
          <cell r="F172" t="str">
            <v>MICHAEL</v>
          </cell>
          <cell r="G172" t="str">
            <v>DAVIS MICHAEL</v>
          </cell>
        </row>
        <row r="173">
          <cell r="C173" t="str">
            <v>832-26</v>
          </cell>
          <cell r="D173">
            <v>2000000</v>
          </cell>
          <cell r="E173" t="str">
            <v>STAMBAUGH</v>
          </cell>
          <cell r="F173" t="str">
            <v>JAMES</v>
          </cell>
          <cell r="G173" t="str">
            <v>STAMBAUGH JAMES</v>
          </cell>
        </row>
        <row r="174">
          <cell r="C174" t="str">
            <v>202-26</v>
          </cell>
          <cell r="D174">
            <v>2230000</v>
          </cell>
          <cell r="E174" t="str">
            <v>SMITH</v>
          </cell>
          <cell r="F174" t="str">
            <v>MICHAEL</v>
          </cell>
          <cell r="G174" t="str">
            <v>SMITH MICHAEL</v>
          </cell>
        </row>
        <row r="175">
          <cell r="C175" t="str">
            <v>833-26</v>
          </cell>
          <cell r="D175">
            <v>2970000</v>
          </cell>
          <cell r="E175" t="str">
            <v>GUZMAN</v>
          </cell>
          <cell r="F175" t="str">
            <v>DANNY</v>
          </cell>
          <cell r="G175" t="str">
            <v>GUZMAN DANNY</v>
          </cell>
        </row>
        <row r="176">
          <cell r="C176" t="str">
            <v>207-26</v>
          </cell>
          <cell r="D176">
            <v>2150000</v>
          </cell>
          <cell r="E176" t="str">
            <v>SWANSON</v>
          </cell>
          <cell r="F176" t="str">
            <v>BRYCE</v>
          </cell>
          <cell r="G176" t="str">
            <v>SWANSON BRYCE</v>
          </cell>
        </row>
        <row r="177">
          <cell r="C177" t="str">
            <v>70-26</v>
          </cell>
          <cell r="D177">
            <v>1810000</v>
          </cell>
          <cell r="E177" t="str">
            <v>NEWELL</v>
          </cell>
          <cell r="F177" t="str">
            <v>JAMES</v>
          </cell>
          <cell r="G177" t="str">
            <v>NEWELL JAMES</v>
          </cell>
        </row>
        <row r="178">
          <cell r="C178" t="str">
            <v>209-26</v>
          </cell>
          <cell r="D178">
            <v>1180000</v>
          </cell>
          <cell r="E178" t="str">
            <v>LEVERE</v>
          </cell>
          <cell r="F178" t="str">
            <v>CRAIG</v>
          </cell>
          <cell r="G178" t="str">
            <v>LEVERE CRAIG</v>
          </cell>
        </row>
        <row r="179">
          <cell r="C179" t="str">
            <v>204-26</v>
          </cell>
          <cell r="D179">
            <v>2040000</v>
          </cell>
          <cell r="E179" t="str">
            <v>MOSES</v>
          </cell>
          <cell r="F179" t="str">
            <v>BRADLEY</v>
          </cell>
          <cell r="G179" t="str">
            <v>MOSES BRADLEY</v>
          </cell>
        </row>
        <row r="180">
          <cell r="C180" t="str">
            <v>834-26</v>
          </cell>
          <cell r="D180">
            <v>2970000</v>
          </cell>
          <cell r="E180" t="str">
            <v>GUZMAN</v>
          </cell>
          <cell r="F180" t="str">
            <v>DANNY</v>
          </cell>
          <cell r="G180" t="str">
            <v>GUZMAN DANNY</v>
          </cell>
        </row>
        <row r="181">
          <cell r="C181" t="str">
            <v>211-26</v>
          </cell>
          <cell r="D181">
            <v>2630000</v>
          </cell>
          <cell r="E181" t="str">
            <v>SAFIEF</v>
          </cell>
          <cell r="F181" t="str">
            <v>AEIMEN</v>
          </cell>
          <cell r="G181" t="str">
            <v>SAFIEF AEIMEN</v>
          </cell>
        </row>
        <row r="182">
          <cell r="C182" t="str">
            <v>79-26</v>
          </cell>
          <cell r="D182">
            <v>1300000</v>
          </cell>
          <cell r="E182" t="str">
            <v>LEVIN</v>
          </cell>
          <cell r="F182" t="str">
            <v>SCOTT</v>
          </cell>
          <cell r="G182" t="str">
            <v>LEVIN SCOTT</v>
          </cell>
        </row>
        <row r="183">
          <cell r="C183" t="str">
            <v>79-26</v>
          </cell>
          <cell r="D183">
            <v>1300000</v>
          </cell>
          <cell r="E183" t="str">
            <v>LEVIN</v>
          </cell>
          <cell r="F183" t="str">
            <v>SCOTT</v>
          </cell>
          <cell r="G183" t="str">
            <v>LEVIN SCOTT</v>
          </cell>
        </row>
        <row r="184">
          <cell r="C184" t="str">
            <v>835-26</v>
          </cell>
          <cell r="D184">
            <v>2000000</v>
          </cell>
          <cell r="E184" t="str">
            <v>STAMBAUGH</v>
          </cell>
          <cell r="F184" t="str">
            <v>JAMES</v>
          </cell>
          <cell r="G184" t="str">
            <v>STAMBAUGH JAMES</v>
          </cell>
        </row>
        <row r="185">
          <cell r="C185" t="str">
            <v>79-26</v>
          </cell>
          <cell r="D185">
            <v>1300000</v>
          </cell>
          <cell r="E185" t="str">
            <v>LEVIN</v>
          </cell>
          <cell r="F185" t="str">
            <v>SCOTT</v>
          </cell>
          <cell r="G185" t="str">
            <v>LEVIN SCOTT</v>
          </cell>
        </row>
        <row r="186">
          <cell r="C186" t="str">
            <v>68-26</v>
          </cell>
          <cell r="D186">
            <v>3310000</v>
          </cell>
          <cell r="E186" t="str">
            <v>ANDERS</v>
          </cell>
          <cell r="F186" t="str">
            <v>STEVEN</v>
          </cell>
          <cell r="G186" t="str">
            <v>ANDERS STEVEN</v>
          </cell>
        </row>
        <row r="187">
          <cell r="C187" t="str">
            <v>206-26</v>
          </cell>
          <cell r="D187">
            <v>3130000</v>
          </cell>
          <cell r="E187" t="str">
            <v>ZEWDU</v>
          </cell>
          <cell r="F187" t="str">
            <v>DEREJE</v>
          </cell>
          <cell r="G187" t="str">
            <v>ZEWDU DEREJE</v>
          </cell>
        </row>
        <row r="188">
          <cell r="C188" t="str">
            <v>79-26</v>
          </cell>
          <cell r="D188">
            <v>1300000</v>
          </cell>
          <cell r="E188" t="str">
            <v>LEVIN</v>
          </cell>
          <cell r="F188" t="str">
            <v>SCOTT</v>
          </cell>
          <cell r="G188" t="str">
            <v>LEVIN SCOTT</v>
          </cell>
        </row>
        <row r="189">
          <cell r="C189" t="str">
            <v>213-26</v>
          </cell>
          <cell r="D189">
            <v>890000</v>
          </cell>
          <cell r="E189" t="str">
            <v>LOZA</v>
          </cell>
          <cell r="F189" t="str">
            <v>FIDEL</v>
          </cell>
          <cell r="G189" t="str">
            <v>LOZA FIDEL</v>
          </cell>
        </row>
        <row r="190">
          <cell r="C190" t="str">
            <v>208-26</v>
          </cell>
          <cell r="D190">
            <v>2150000</v>
          </cell>
          <cell r="E190" t="str">
            <v>SWANSON</v>
          </cell>
          <cell r="F190" t="str">
            <v>BRYCE</v>
          </cell>
          <cell r="G190" t="str">
            <v>SWANSON BRYCE</v>
          </cell>
        </row>
        <row r="191">
          <cell r="C191" t="str">
            <v>836-26</v>
          </cell>
          <cell r="D191">
            <v>2000000</v>
          </cell>
          <cell r="E191" t="str">
            <v>STAMBAUGH</v>
          </cell>
          <cell r="F191" t="str">
            <v>JAMES</v>
          </cell>
          <cell r="G191" t="str">
            <v>STAMBAUGH JAMES</v>
          </cell>
        </row>
        <row r="192">
          <cell r="C192" t="str">
            <v>215-26</v>
          </cell>
          <cell r="D192">
            <v>2230000</v>
          </cell>
          <cell r="E192" t="str">
            <v>SMITH</v>
          </cell>
          <cell r="F192" t="str">
            <v>MICHAEL</v>
          </cell>
          <cell r="G192" t="str">
            <v>SMITH MICHAEL</v>
          </cell>
        </row>
        <row r="193">
          <cell r="C193" t="str">
            <v>837-26</v>
          </cell>
          <cell r="D193">
            <v>2970000</v>
          </cell>
          <cell r="E193" t="str">
            <v>GUZMAN</v>
          </cell>
          <cell r="F193" t="str">
            <v>DANNY</v>
          </cell>
          <cell r="G193" t="str">
            <v>GUZMAN DANNY</v>
          </cell>
        </row>
        <row r="194">
          <cell r="C194" t="str">
            <v>210-26</v>
          </cell>
          <cell r="D194">
            <v>1180000</v>
          </cell>
          <cell r="E194" t="str">
            <v>LEVERE</v>
          </cell>
          <cell r="F194" t="str">
            <v>CRAIG</v>
          </cell>
          <cell r="G194" t="str">
            <v>LEVERE CRAIG</v>
          </cell>
        </row>
        <row r="195">
          <cell r="C195" t="str">
            <v>217-26</v>
          </cell>
          <cell r="D195">
            <v>2620000</v>
          </cell>
          <cell r="E195" t="str">
            <v>PERKINS</v>
          </cell>
          <cell r="F195" t="str">
            <v>DARREN</v>
          </cell>
          <cell r="G195" t="str">
            <v>PERKINS DARREN</v>
          </cell>
        </row>
        <row r="196">
          <cell r="C196" t="str">
            <v>212-26</v>
          </cell>
          <cell r="D196">
            <v>2630000</v>
          </cell>
          <cell r="E196" t="str">
            <v>SAFIEF</v>
          </cell>
          <cell r="F196" t="str">
            <v>AEIMEN</v>
          </cell>
          <cell r="G196" t="str">
            <v>SAFIEF AEIMEN</v>
          </cell>
        </row>
        <row r="197">
          <cell r="C197" t="str">
            <v>219-26</v>
          </cell>
          <cell r="D197">
            <v>3190000</v>
          </cell>
          <cell r="E197" t="str">
            <v>HART</v>
          </cell>
          <cell r="F197" t="str">
            <v>KEVIN</v>
          </cell>
          <cell r="G197" t="str">
            <v>HART KEVIN</v>
          </cell>
        </row>
        <row r="198">
          <cell r="C198" t="str">
            <v>838-26</v>
          </cell>
          <cell r="D198">
            <v>2970000</v>
          </cell>
          <cell r="E198" t="str">
            <v>GUZMAN</v>
          </cell>
          <cell r="F198" t="str">
            <v>DANNY</v>
          </cell>
          <cell r="G198" t="str">
            <v>GUZMAN DANNY</v>
          </cell>
        </row>
        <row r="199">
          <cell r="C199" t="str">
            <v>839-26</v>
          </cell>
          <cell r="D199">
            <v>2000000</v>
          </cell>
          <cell r="E199" t="str">
            <v>STAMBAUGH</v>
          </cell>
          <cell r="F199" t="str">
            <v>JAMES</v>
          </cell>
          <cell r="G199" t="str">
            <v>STAMBAUGH JAMES</v>
          </cell>
        </row>
        <row r="200">
          <cell r="C200" t="str">
            <v>214-26</v>
          </cell>
          <cell r="D200">
            <v>890000</v>
          </cell>
          <cell r="E200" t="str">
            <v>LOZA</v>
          </cell>
          <cell r="F200" t="str">
            <v>FIDEL</v>
          </cell>
          <cell r="G200" t="str">
            <v>LOZA FIDEL</v>
          </cell>
        </row>
        <row r="201">
          <cell r="C201" t="str">
            <v>301-26</v>
          </cell>
          <cell r="D201">
            <v>2150000</v>
          </cell>
          <cell r="E201" t="str">
            <v>SWANSON</v>
          </cell>
          <cell r="F201" t="str">
            <v>BRYCE</v>
          </cell>
          <cell r="G201" t="str">
            <v>SWANSON BRYCE</v>
          </cell>
        </row>
        <row r="202">
          <cell r="C202" t="str">
            <v>216-26</v>
          </cell>
          <cell r="D202">
            <v>2230000</v>
          </cell>
          <cell r="E202" t="str">
            <v>SMITH</v>
          </cell>
          <cell r="F202" t="str">
            <v>MICHAEL</v>
          </cell>
          <cell r="G202" t="str">
            <v>SMITH MICHAEL</v>
          </cell>
        </row>
        <row r="203">
          <cell r="C203" t="str">
            <v>221-26</v>
          </cell>
          <cell r="D203">
            <v>2680000</v>
          </cell>
          <cell r="E203" t="str">
            <v>DUNCAN</v>
          </cell>
          <cell r="F203" t="str">
            <v>SHEILA</v>
          </cell>
          <cell r="G203" t="str">
            <v>DUNCAN SHEILA</v>
          </cell>
        </row>
        <row r="204">
          <cell r="C204" t="str">
            <v>218-26</v>
          </cell>
          <cell r="D204">
            <v>2620000</v>
          </cell>
          <cell r="E204" t="str">
            <v>PERKINS</v>
          </cell>
          <cell r="F204" t="str">
            <v>DARREN</v>
          </cell>
          <cell r="G204" t="str">
            <v>PERKINS DARREN</v>
          </cell>
        </row>
        <row r="205">
          <cell r="C205" t="str">
            <v>906-26</v>
          </cell>
          <cell r="D205">
            <v>2000000</v>
          </cell>
          <cell r="E205" t="str">
            <v>STAMBAUGH</v>
          </cell>
          <cell r="F205" t="str">
            <v>JAMES</v>
          </cell>
          <cell r="G205" t="str">
            <v>STAMBAUGH JAMES</v>
          </cell>
        </row>
        <row r="206">
          <cell r="C206" t="str">
            <v>841-26</v>
          </cell>
          <cell r="D206">
            <v>2970000</v>
          </cell>
          <cell r="E206" t="str">
            <v>GUZMAN</v>
          </cell>
          <cell r="F206" t="str">
            <v>DANNY</v>
          </cell>
          <cell r="G206" t="str">
            <v>GUZMAN DANNY</v>
          </cell>
        </row>
        <row r="207">
          <cell r="C207" t="str">
            <v>218-26</v>
          </cell>
          <cell r="D207">
            <v>2620000</v>
          </cell>
          <cell r="E207" t="str">
            <v>PERKINS</v>
          </cell>
          <cell r="F207" t="str">
            <v>DARREN</v>
          </cell>
          <cell r="G207" t="str">
            <v>PERKINS DARREN</v>
          </cell>
        </row>
        <row r="208">
          <cell r="C208" t="str">
            <v>303-26</v>
          </cell>
          <cell r="D208">
            <v>2630000</v>
          </cell>
          <cell r="E208" t="str">
            <v>SAFIEF</v>
          </cell>
          <cell r="F208" t="str">
            <v>AEIMEN</v>
          </cell>
          <cell r="G208" t="str">
            <v>SAFIEF AEIMEN</v>
          </cell>
        </row>
        <row r="209">
          <cell r="C209" t="str">
            <v>220-26</v>
          </cell>
          <cell r="D209">
            <v>3190000</v>
          </cell>
          <cell r="E209" t="str">
            <v>HART</v>
          </cell>
          <cell r="F209" t="str">
            <v>KEVIN</v>
          </cell>
          <cell r="G209" t="str">
            <v>HART KEVIN</v>
          </cell>
        </row>
        <row r="210">
          <cell r="C210" t="str">
            <v>840-26</v>
          </cell>
          <cell r="D210">
            <v>2970000</v>
          </cell>
          <cell r="E210" t="str">
            <v>GUZMAN</v>
          </cell>
          <cell r="F210" t="str">
            <v>DANNY</v>
          </cell>
          <cell r="G210" t="str">
            <v>GUZMAN DANNY</v>
          </cell>
        </row>
        <row r="211">
          <cell r="C211" t="str">
            <v>223-26</v>
          </cell>
          <cell r="D211">
            <v>890000</v>
          </cell>
          <cell r="E211" t="str">
            <v>LOZA</v>
          </cell>
          <cell r="F211" t="str">
            <v>FIDEL</v>
          </cell>
          <cell r="G211" t="str">
            <v>LOZA FIDEL</v>
          </cell>
        </row>
        <row r="212">
          <cell r="C212" t="str">
            <v>305-26</v>
          </cell>
          <cell r="D212">
            <v>2230000</v>
          </cell>
          <cell r="E212" t="str">
            <v>SMITH</v>
          </cell>
          <cell r="F212" t="str">
            <v>MICHAEL</v>
          </cell>
          <cell r="G212" t="str">
            <v>SMITH MICHAEL</v>
          </cell>
        </row>
        <row r="213">
          <cell r="C213" t="str">
            <v>222-26</v>
          </cell>
          <cell r="D213">
            <v>2680000</v>
          </cell>
          <cell r="E213" t="str">
            <v>DUNCAN</v>
          </cell>
          <cell r="F213" t="str">
            <v>SHEILA</v>
          </cell>
          <cell r="G213" t="str">
            <v>DUNCAN SHEILA</v>
          </cell>
        </row>
        <row r="214">
          <cell r="C214" t="str">
            <v>225-26</v>
          </cell>
          <cell r="D214">
            <v>2620000</v>
          </cell>
          <cell r="E214" t="str">
            <v>PERKINS</v>
          </cell>
          <cell r="F214" t="str">
            <v>DARREN</v>
          </cell>
          <cell r="G214" t="str">
            <v>PERKINS DARREN</v>
          </cell>
        </row>
        <row r="215">
          <cell r="C215" t="str">
            <v>843-26</v>
          </cell>
          <cell r="D215">
            <v>3130000</v>
          </cell>
          <cell r="E215" t="str">
            <v>ZEWDU</v>
          </cell>
          <cell r="F215" t="str">
            <v>DEREJE</v>
          </cell>
          <cell r="G215" t="str">
            <v>ZEWDU DEREJE</v>
          </cell>
        </row>
        <row r="216">
          <cell r="C216" t="str">
            <v>224-26</v>
          </cell>
          <cell r="D216">
            <v>890000</v>
          </cell>
          <cell r="E216" t="str">
            <v>LOZA</v>
          </cell>
          <cell r="F216" t="str">
            <v>FIDEL</v>
          </cell>
          <cell r="G216" t="str">
            <v>LOZA FIDEL</v>
          </cell>
        </row>
        <row r="217">
          <cell r="C217" t="str">
            <v>227-26</v>
          </cell>
          <cell r="D217">
            <v>3190000</v>
          </cell>
          <cell r="E217" t="str">
            <v>HART</v>
          </cell>
          <cell r="F217" t="str">
            <v>KEVIN</v>
          </cell>
          <cell r="G217" t="str">
            <v>HART KEVIN</v>
          </cell>
        </row>
        <row r="218">
          <cell r="C218" t="str">
            <v>842-26</v>
          </cell>
          <cell r="D218">
            <v>3130000</v>
          </cell>
          <cell r="E218" t="str">
            <v>ZEWDU</v>
          </cell>
          <cell r="F218" t="str">
            <v>DEREJE</v>
          </cell>
          <cell r="G218" t="str">
            <v>ZEWDU DEREJE</v>
          </cell>
        </row>
        <row r="219">
          <cell r="C219" t="str">
            <v>227-26</v>
          </cell>
          <cell r="D219">
            <v>3190000</v>
          </cell>
          <cell r="E219" t="str">
            <v>HART</v>
          </cell>
          <cell r="F219" t="str">
            <v>KEVIN</v>
          </cell>
          <cell r="G219" t="str">
            <v>HART KEVIN</v>
          </cell>
        </row>
        <row r="220">
          <cell r="C220" t="str">
            <v>226-26</v>
          </cell>
          <cell r="D220">
            <v>2620000</v>
          </cell>
          <cell r="E220" t="str">
            <v>PERKINS</v>
          </cell>
          <cell r="F220" t="str">
            <v>DARREN</v>
          </cell>
          <cell r="G220" t="str">
            <v>PERKINS DARREN</v>
          </cell>
        </row>
        <row r="221">
          <cell r="C221" t="str">
            <v>229-26</v>
          </cell>
          <cell r="D221">
            <v>3280000</v>
          </cell>
          <cell r="E221" t="str">
            <v>BIRKHOLZ</v>
          </cell>
          <cell r="F221" t="str">
            <v>NADINE</v>
          </cell>
          <cell r="G221" t="str">
            <v>BIRKHOLZ NADINE</v>
          </cell>
        </row>
        <row r="222">
          <cell r="C222" t="str">
            <v>845-26</v>
          </cell>
          <cell r="D222">
            <v>2000000</v>
          </cell>
          <cell r="E222" t="str">
            <v>STAMBAUGH</v>
          </cell>
          <cell r="F222" t="str">
            <v>JAMES</v>
          </cell>
          <cell r="G222" t="str">
            <v>STAMBAUGH JAMES</v>
          </cell>
        </row>
        <row r="223">
          <cell r="C223" t="str">
            <v>231-26</v>
          </cell>
          <cell r="D223">
            <v>890000</v>
          </cell>
          <cell r="E223" t="str">
            <v>LOZA</v>
          </cell>
          <cell r="F223" t="str">
            <v>FIDEL</v>
          </cell>
          <cell r="G223" t="str">
            <v>LOZA FIDEL</v>
          </cell>
        </row>
        <row r="224">
          <cell r="C224" t="str">
            <v>228-26</v>
          </cell>
          <cell r="D224">
            <v>3190000</v>
          </cell>
          <cell r="E224" t="str">
            <v>HART</v>
          </cell>
          <cell r="F224" t="str">
            <v>KEVIN</v>
          </cell>
          <cell r="G224" t="str">
            <v>HART KEVIN</v>
          </cell>
        </row>
        <row r="225">
          <cell r="C225" t="str">
            <v>844-26</v>
          </cell>
          <cell r="D225">
            <v>2000000</v>
          </cell>
          <cell r="E225" t="str">
            <v>STAMBAUGH</v>
          </cell>
          <cell r="F225" t="str">
            <v>JAMES</v>
          </cell>
          <cell r="G225" t="str">
            <v>STAMBAUGH JAMES</v>
          </cell>
        </row>
        <row r="226">
          <cell r="C226" t="str">
            <v>233-26</v>
          </cell>
          <cell r="D226">
            <v>2620000</v>
          </cell>
          <cell r="E226" t="str">
            <v>PERKINS</v>
          </cell>
          <cell r="F226" t="str">
            <v>DARREN</v>
          </cell>
          <cell r="G226" t="str">
            <v>PERKINS DARREN</v>
          </cell>
        </row>
        <row r="227">
          <cell r="C227" t="str">
            <v>230-26</v>
          </cell>
          <cell r="D227">
            <v>3280000</v>
          </cell>
          <cell r="E227" t="str">
            <v>BIRKHOLZ</v>
          </cell>
          <cell r="F227" t="str">
            <v>NADINE</v>
          </cell>
          <cell r="G227" t="str">
            <v>BIRKHOLZ NADINE</v>
          </cell>
        </row>
        <row r="228">
          <cell r="C228" t="str">
            <v>847-26</v>
          </cell>
          <cell r="D228">
            <v>2000000</v>
          </cell>
          <cell r="E228" t="str">
            <v>STAMBAUGH</v>
          </cell>
          <cell r="F228" t="str">
            <v>JAMES</v>
          </cell>
          <cell r="G228" t="str">
            <v>STAMBAUGH JAMES</v>
          </cell>
        </row>
        <row r="229">
          <cell r="C229" t="str">
            <v>232-26</v>
          </cell>
          <cell r="D229">
            <v>890000</v>
          </cell>
          <cell r="E229" t="str">
            <v>LOZA</v>
          </cell>
          <cell r="F229" t="str">
            <v>FIDEL</v>
          </cell>
          <cell r="G229" t="str">
            <v>LOZA FIDEL</v>
          </cell>
        </row>
        <row r="230">
          <cell r="C230" t="str">
            <v>846-26</v>
          </cell>
          <cell r="D230">
            <v>2000000</v>
          </cell>
          <cell r="E230" t="str">
            <v>STAMBAUGH</v>
          </cell>
          <cell r="F230" t="str">
            <v>JAMES</v>
          </cell>
          <cell r="G230" t="str">
            <v>STAMBAUGH JAMES</v>
          </cell>
        </row>
        <row r="231">
          <cell r="C231" t="str">
            <v>235-26</v>
          </cell>
          <cell r="D231">
            <v>3190000</v>
          </cell>
          <cell r="E231" t="str">
            <v>HART</v>
          </cell>
          <cell r="F231" t="str">
            <v>KEVIN</v>
          </cell>
          <cell r="G231" t="str">
            <v>HART KEVIN</v>
          </cell>
        </row>
        <row r="232">
          <cell r="C232" t="str">
            <v>237-26</v>
          </cell>
          <cell r="D232">
            <v>2680000</v>
          </cell>
          <cell r="E232" t="str">
            <v>DUNCAN</v>
          </cell>
          <cell r="F232" t="str">
            <v>SHEILA</v>
          </cell>
          <cell r="G232" t="str">
            <v>DUNCAN SHEILA</v>
          </cell>
        </row>
        <row r="233">
          <cell r="C233" t="str">
            <v>234-26</v>
          </cell>
          <cell r="D233">
            <v>2620000</v>
          </cell>
          <cell r="E233" t="str">
            <v>PERKINS</v>
          </cell>
          <cell r="F233" t="str">
            <v>DARREN</v>
          </cell>
          <cell r="G233" t="str">
            <v>PERKINS DARREN</v>
          </cell>
        </row>
        <row r="234">
          <cell r="C234" t="str">
            <v>849-26</v>
          </cell>
          <cell r="D234">
            <v>2000000</v>
          </cell>
          <cell r="E234" t="str">
            <v>STAMBAUGH</v>
          </cell>
          <cell r="F234" t="str">
            <v>JAMES</v>
          </cell>
          <cell r="G234" t="str">
            <v>STAMBAUGH JAMES</v>
          </cell>
        </row>
        <row r="235">
          <cell r="C235" t="str">
            <v>239-26</v>
          </cell>
          <cell r="D235">
            <v>890000</v>
          </cell>
          <cell r="E235" t="str">
            <v>LOZA</v>
          </cell>
          <cell r="F235" t="str">
            <v>FIDEL</v>
          </cell>
          <cell r="G235" t="str">
            <v>LOZA FIDEL</v>
          </cell>
        </row>
        <row r="236">
          <cell r="C236" t="str">
            <v>236-26</v>
          </cell>
          <cell r="D236">
            <v>3190000</v>
          </cell>
          <cell r="E236" t="str">
            <v>HART</v>
          </cell>
          <cell r="F236" t="str">
            <v>KEVIN</v>
          </cell>
          <cell r="G236" t="str">
            <v>HART KEVIN</v>
          </cell>
        </row>
        <row r="237">
          <cell r="C237" t="str">
            <v>908-26</v>
          </cell>
          <cell r="D237">
            <v>2000000</v>
          </cell>
          <cell r="E237" t="str">
            <v>STAMBAUGH</v>
          </cell>
          <cell r="F237" t="str">
            <v>JAMES</v>
          </cell>
          <cell r="G237" t="str">
            <v>STAMBAUGH JAMES</v>
          </cell>
        </row>
        <row r="238">
          <cell r="C238" t="str">
            <v>241-26</v>
          </cell>
          <cell r="D238">
            <v>2620000</v>
          </cell>
          <cell r="E238" t="str">
            <v>PERKINS</v>
          </cell>
          <cell r="F238" t="str">
            <v>DARREN</v>
          </cell>
          <cell r="G238" t="str">
            <v>PERKINS DARREN</v>
          </cell>
        </row>
        <row r="239">
          <cell r="C239" t="str">
            <v>238-26</v>
          </cell>
          <cell r="D239">
            <v>2680000</v>
          </cell>
          <cell r="E239" t="str">
            <v>DUNCAN</v>
          </cell>
          <cell r="F239" t="str">
            <v>SHEILA</v>
          </cell>
          <cell r="G239" t="str">
            <v>DUNCAN SHEILA</v>
          </cell>
        </row>
        <row r="240">
          <cell r="C240" t="str">
            <v>240-26</v>
          </cell>
          <cell r="D240">
            <v>890000</v>
          </cell>
          <cell r="E240" t="str">
            <v>LOZA</v>
          </cell>
          <cell r="F240" t="str">
            <v>FIDEL</v>
          </cell>
          <cell r="G240" t="str">
            <v>LOZA FIDEL</v>
          </cell>
        </row>
        <row r="241">
          <cell r="C241" t="str">
            <v>243-26</v>
          </cell>
          <cell r="D241">
            <v>3190000</v>
          </cell>
          <cell r="E241" t="str">
            <v>HART</v>
          </cell>
          <cell r="F241" t="str">
            <v>KEVIN</v>
          </cell>
          <cell r="G241" t="str">
            <v>HART KEVIN</v>
          </cell>
        </row>
        <row r="242">
          <cell r="C242" t="str">
            <v>313-26</v>
          </cell>
          <cell r="D242">
            <v>2680000</v>
          </cell>
          <cell r="E242" t="str">
            <v>DUNCAN</v>
          </cell>
          <cell r="F242" t="str">
            <v>SHEILA</v>
          </cell>
          <cell r="G242" t="str">
            <v>DUNCAN SHEILA</v>
          </cell>
        </row>
        <row r="243">
          <cell r="C243" t="str">
            <v>242-26</v>
          </cell>
          <cell r="D243">
            <v>2620000</v>
          </cell>
          <cell r="E243" t="str">
            <v>PERKINS</v>
          </cell>
          <cell r="F243" t="str">
            <v>DARREN</v>
          </cell>
          <cell r="G243" t="str">
            <v>PERKINS DARREN</v>
          </cell>
        </row>
        <row r="244">
          <cell r="C244" t="str">
            <v>307-26</v>
          </cell>
          <cell r="D244">
            <v>890000</v>
          </cell>
          <cell r="E244" t="str">
            <v>LOZA</v>
          </cell>
          <cell r="F244" t="str">
            <v>FIDEL</v>
          </cell>
          <cell r="G244" t="str">
            <v>LOZA FIDEL</v>
          </cell>
        </row>
        <row r="245">
          <cell r="C245" t="str">
            <v>244-26</v>
          </cell>
          <cell r="D245">
            <v>3190000</v>
          </cell>
          <cell r="E245" t="str">
            <v>HART</v>
          </cell>
          <cell r="F245" t="str">
            <v>KEVIN</v>
          </cell>
          <cell r="G245" t="str">
            <v>HART KEVIN</v>
          </cell>
        </row>
        <row r="246">
          <cell r="C246" t="str">
            <v>309-26</v>
          </cell>
          <cell r="D246">
            <v>2620000</v>
          </cell>
          <cell r="E246" t="str">
            <v>PERKINS</v>
          </cell>
          <cell r="F246" t="str">
            <v>DARREN</v>
          </cell>
          <cell r="G246" t="str">
            <v>PERKINS DARREN</v>
          </cell>
        </row>
        <row r="247">
          <cell r="C247" t="str">
            <v>300-27</v>
          </cell>
          <cell r="D247">
            <v>1090000</v>
          </cell>
          <cell r="E247" t="str">
            <v>SPECTOR</v>
          </cell>
          <cell r="F247" t="str">
            <v>MICHAEL</v>
          </cell>
          <cell r="G247" t="str">
            <v>SPECTOR MICHAEL</v>
          </cell>
        </row>
        <row r="248">
          <cell r="C248" t="str">
            <v>241-21</v>
          </cell>
          <cell r="D248">
            <v>3340000</v>
          </cell>
          <cell r="E248" t="str">
            <v>ELBAUM</v>
          </cell>
          <cell r="F248" t="str">
            <v>MIKE</v>
          </cell>
          <cell r="G248" t="str">
            <v>ELBAUM MIKE</v>
          </cell>
        </row>
        <row r="249">
          <cell r="C249" t="str">
            <v>238-21</v>
          </cell>
          <cell r="D249">
            <v>3190000</v>
          </cell>
          <cell r="E249" t="str">
            <v>HART</v>
          </cell>
          <cell r="F249" t="str">
            <v>KEVIN</v>
          </cell>
          <cell r="G249" t="str">
            <v>HART KEVIN</v>
          </cell>
        </row>
        <row r="250">
          <cell r="C250" t="str">
            <v>243-21</v>
          </cell>
          <cell r="D250">
            <v>2620000</v>
          </cell>
          <cell r="E250" t="str">
            <v>PERKINS</v>
          </cell>
          <cell r="F250" t="str">
            <v>DARREN</v>
          </cell>
          <cell r="G250" t="str">
            <v>PERKINS DARREN</v>
          </cell>
        </row>
        <row r="251">
          <cell r="C251" t="str">
            <v>240-21</v>
          </cell>
          <cell r="D251">
            <v>890000</v>
          </cell>
          <cell r="E251" t="str">
            <v>LOZA</v>
          </cell>
          <cell r="F251" t="str">
            <v>FIDEL</v>
          </cell>
          <cell r="G251" t="str">
            <v>LOZA FIDEL</v>
          </cell>
        </row>
        <row r="252">
          <cell r="C252" t="str">
            <v>242-21</v>
          </cell>
          <cell r="D252">
            <v>3340000</v>
          </cell>
          <cell r="E252" t="str">
            <v>ELBAUM</v>
          </cell>
          <cell r="F252" t="str">
            <v>MIKE</v>
          </cell>
          <cell r="G252" t="str">
            <v>ELBAUM MIKE</v>
          </cell>
        </row>
        <row r="253">
          <cell r="C253" t="str">
            <v>313-21</v>
          </cell>
          <cell r="D253">
            <v>3190000</v>
          </cell>
          <cell r="E253" t="str">
            <v>HART</v>
          </cell>
          <cell r="F253" t="str">
            <v>KEVIN</v>
          </cell>
          <cell r="G253" t="str">
            <v>HART KEVIN</v>
          </cell>
        </row>
        <row r="254">
          <cell r="C254" t="str">
            <v>55-21</v>
          </cell>
          <cell r="D254">
            <v>2440000</v>
          </cell>
          <cell r="E254" t="str">
            <v>LOPES</v>
          </cell>
          <cell r="F254" t="str">
            <v>KIMBERLY</v>
          </cell>
          <cell r="G254" t="str">
            <v>LOPES KIMBERLY</v>
          </cell>
        </row>
        <row r="255">
          <cell r="C255" t="str">
            <v>307-21</v>
          </cell>
          <cell r="D255">
            <v>890000</v>
          </cell>
          <cell r="E255" t="str">
            <v>LOZA</v>
          </cell>
          <cell r="F255" t="str">
            <v>FIDEL</v>
          </cell>
          <cell r="G255" t="str">
            <v>LOZA FIDEL</v>
          </cell>
        </row>
        <row r="256">
          <cell r="C256" t="str">
            <v>244-21</v>
          </cell>
          <cell r="D256">
            <v>2620000</v>
          </cell>
          <cell r="E256" t="str">
            <v>PERKINS</v>
          </cell>
          <cell r="F256" t="str">
            <v>DARREN</v>
          </cell>
          <cell r="G256" t="str">
            <v>PERKINS DARREN</v>
          </cell>
        </row>
        <row r="257">
          <cell r="C257" t="str">
            <v>309-21</v>
          </cell>
          <cell r="D257">
            <v>3340000</v>
          </cell>
          <cell r="E257" t="str">
            <v>ELBAUM</v>
          </cell>
          <cell r="F257" t="str">
            <v>MIKE</v>
          </cell>
          <cell r="G257" t="str">
            <v>ELBAUM MIKE</v>
          </cell>
        </row>
        <row r="258">
          <cell r="C258" t="str">
            <v>706-21</v>
          </cell>
          <cell r="D258">
            <v>3320000</v>
          </cell>
          <cell r="E258" t="str">
            <v>NICHOLSON</v>
          </cell>
          <cell r="F258" t="str">
            <v>WESLEY</v>
          </cell>
          <cell r="G258" t="str">
            <v>NICHOLSON WESLEY</v>
          </cell>
        </row>
        <row r="259">
          <cell r="C259" t="str">
            <v>311-21</v>
          </cell>
          <cell r="D259">
            <v>2620000</v>
          </cell>
          <cell r="E259" t="str">
            <v>PERKINS</v>
          </cell>
          <cell r="F259" t="str">
            <v>DARREN</v>
          </cell>
          <cell r="G259" t="str">
            <v>PERKINS DARREN</v>
          </cell>
        </row>
        <row r="260">
          <cell r="C260" t="str">
            <v>300-22</v>
          </cell>
          <cell r="D260">
            <v>1830000</v>
          </cell>
          <cell r="E260" t="str">
            <v>YORK</v>
          </cell>
          <cell r="F260" t="str">
            <v>EDGAR</v>
          </cell>
          <cell r="G260" t="str">
            <v>YORK EDGAR</v>
          </cell>
        </row>
        <row r="261">
          <cell r="C261" t="str">
            <v>50-22</v>
          </cell>
          <cell r="D261">
            <v>900000</v>
          </cell>
          <cell r="E261" t="str">
            <v>ROCHA</v>
          </cell>
          <cell r="F261" t="str">
            <v>YAOTL</v>
          </cell>
          <cell r="G261" t="str">
            <v>ROCHA YAOTL</v>
          </cell>
        </row>
        <row r="262">
          <cell r="C262" t="str">
            <v>313-20</v>
          </cell>
          <cell r="D262">
            <v>2620000</v>
          </cell>
          <cell r="E262" t="str">
            <v>PERKINS</v>
          </cell>
          <cell r="F262" t="str">
            <v>DARREN</v>
          </cell>
          <cell r="G262" t="str">
            <v>PERKINS DARREN</v>
          </cell>
        </row>
        <row r="263">
          <cell r="C263" t="str">
            <v>51-20</v>
          </cell>
          <cell r="D263">
            <v>3310000</v>
          </cell>
          <cell r="E263" t="str">
            <v>ANDERS</v>
          </cell>
          <cell r="F263" t="str">
            <v>STEVEN</v>
          </cell>
          <cell r="G263" t="str">
            <v>ANDERS STEVEN</v>
          </cell>
        </row>
        <row r="264">
          <cell r="C264" t="str">
            <v>51-20</v>
          </cell>
          <cell r="D264">
            <v>3310000</v>
          </cell>
          <cell r="E264" t="str">
            <v>ANDERS</v>
          </cell>
          <cell r="F264" t="str">
            <v>STEVEN</v>
          </cell>
          <cell r="G264" t="str">
            <v>ANDERS STEVEN</v>
          </cell>
        </row>
        <row r="265">
          <cell r="C265" t="str">
            <v>242-20</v>
          </cell>
          <cell r="D265">
            <v>890000</v>
          </cell>
          <cell r="E265" t="str">
            <v>LOZA</v>
          </cell>
          <cell r="F265" t="str">
            <v>FIDEL</v>
          </cell>
          <cell r="G265" t="str">
            <v>LOZA FIDEL</v>
          </cell>
        </row>
        <row r="266">
          <cell r="C266" t="str">
            <v>307-20</v>
          </cell>
          <cell r="D266">
            <v>2680000</v>
          </cell>
          <cell r="E266" t="str">
            <v>DUNCAN</v>
          </cell>
          <cell r="F266" t="str">
            <v>SHEILA</v>
          </cell>
          <cell r="G266" t="str">
            <v>DUNCAN SHEILA</v>
          </cell>
        </row>
        <row r="267">
          <cell r="C267" t="str">
            <v>307-20</v>
          </cell>
          <cell r="D267">
            <v>2680000</v>
          </cell>
          <cell r="E267" t="str">
            <v>DUNCAN</v>
          </cell>
          <cell r="F267" t="str">
            <v>SHEILA</v>
          </cell>
          <cell r="G267" t="str">
            <v>DUNCAN SHEILA</v>
          </cell>
        </row>
        <row r="268">
          <cell r="C268" t="str">
            <v>244-20</v>
          </cell>
          <cell r="D268">
            <v>3190000</v>
          </cell>
          <cell r="E268" t="str">
            <v>HART</v>
          </cell>
          <cell r="F268" t="str">
            <v>KEVIN</v>
          </cell>
          <cell r="G268" t="str">
            <v>HART KEVIN</v>
          </cell>
        </row>
        <row r="269">
          <cell r="C269" t="str">
            <v>309-20</v>
          </cell>
          <cell r="D269">
            <v>890000</v>
          </cell>
          <cell r="E269" t="str">
            <v>LOZA</v>
          </cell>
          <cell r="F269" t="str">
            <v>FIDEL</v>
          </cell>
          <cell r="G269" t="str">
            <v>LOZA FIDEL</v>
          </cell>
        </row>
        <row r="270">
          <cell r="C270" t="str">
            <v>307-20</v>
          </cell>
          <cell r="D270">
            <v>2680000</v>
          </cell>
          <cell r="E270" t="str">
            <v>DUNCAN</v>
          </cell>
          <cell r="F270" t="str">
            <v>SHEILA</v>
          </cell>
          <cell r="G270" t="str">
            <v>DUNCAN SHEILA</v>
          </cell>
        </row>
        <row r="271">
          <cell r="C271" t="str">
            <v>244-20</v>
          </cell>
          <cell r="D271">
            <v>3190000</v>
          </cell>
          <cell r="E271" t="str">
            <v>HART</v>
          </cell>
          <cell r="F271" t="str">
            <v>KEVIN</v>
          </cell>
          <cell r="G271" t="str">
            <v>HART KEVIN</v>
          </cell>
        </row>
        <row r="272">
          <cell r="C272" t="str">
            <v>311-20</v>
          </cell>
          <cell r="D272">
            <v>3190000</v>
          </cell>
          <cell r="E272" t="str">
            <v>HART</v>
          </cell>
          <cell r="F272" t="str">
            <v>KEVIN</v>
          </cell>
          <cell r="G272" t="str">
            <v>HART KEVIN</v>
          </cell>
        </row>
        <row r="273">
          <cell r="C273" t="str">
            <v>300-21</v>
          </cell>
          <cell r="D273">
            <v>1830000</v>
          </cell>
          <cell r="E273" t="str">
            <v>YORK</v>
          </cell>
          <cell r="F273" t="str">
            <v>EDGAR</v>
          </cell>
          <cell r="G273" t="str">
            <v>YORK EDGAR</v>
          </cell>
        </row>
      </sheetData>
      <sheetData sheetId="4" refreshError="1"/>
      <sheetData sheetId="5">
        <row r="3">
          <cell r="M3">
            <v>2.7201</v>
          </cell>
          <cell r="P3">
            <v>1.0865</v>
          </cell>
          <cell r="AC3" t="str">
            <v>EC</v>
          </cell>
          <cell r="AD3">
            <v>23</v>
          </cell>
        </row>
        <row r="4">
          <cell r="M4">
            <v>3.09</v>
          </cell>
          <cell r="AC4" t="str">
            <v>NW</v>
          </cell>
          <cell r="AD4">
            <v>5.65</v>
          </cell>
        </row>
        <row r="5">
          <cell r="M5">
            <v>3.3196500000000002</v>
          </cell>
          <cell r="AC5" t="str">
            <v>GL</v>
          </cell>
          <cell r="AD5">
            <v>11.15</v>
          </cell>
        </row>
        <row r="6">
          <cell r="M6">
            <v>4.2869999999999999</v>
          </cell>
          <cell r="AC6" t="str">
            <v>NW</v>
          </cell>
          <cell r="AD6">
            <v>5.65</v>
          </cell>
        </row>
        <row r="7">
          <cell r="M7">
            <v>4.7956500000000002</v>
          </cell>
          <cell r="AC7" t="str">
            <v>Shuttle/Test</v>
          </cell>
          <cell r="AD7">
            <v>99</v>
          </cell>
        </row>
        <row r="8">
          <cell r="M8">
            <v>5.3216000000000001</v>
          </cell>
          <cell r="AC8" t="str">
            <v>Other</v>
          </cell>
          <cell r="AD8">
            <v>9999</v>
          </cell>
        </row>
        <row r="9">
          <cell r="M9">
            <v>5.8209</v>
          </cell>
        </row>
        <row r="10">
          <cell r="M10">
            <v>5.8843499999999995</v>
          </cell>
        </row>
        <row r="11">
          <cell r="M11">
            <v>6.3188499999999994</v>
          </cell>
        </row>
        <row r="12">
          <cell r="M12">
            <v>7.8408999999999995</v>
          </cell>
        </row>
        <row r="13">
          <cell r="M13">
            <v>10.376899999999999</v>
          </cell>
        </row>
        <row r="14">
          <cell r="M14">
            <v>10.904450000000001</v>
          </cell>
        </row>
        <row r="18">
          <cell r="M18" t="str">
            <v>"C:\Program Files (x86)\AstroGrep\AstroGrep.exe"</v>
          </cell>
        </row>
        <row r="19">
          <cell r="M19" t="str">
            <v>"%USERPROFILE%\AppData\Local\Temp\OnboardLogs"</v>
          </cell>
        </row>
      </sheetData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8"/>
  <sheetViews>
    <sheetView zoomScaleNormal="100" workbookViewId="0">
      <selection activeCell="N13" sqref="N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60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2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43004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43004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2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2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2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COUNTIFS($N$13:$N$9371,"&gt;0",$AG$13:$AG$9371,I1)</f>
        <v>139</v>
      </c>
      <c r="K5" s="39"/>
      <c r="L5" s="171"/>
      <c r="M5" s="40">
        <f>AVERAGEIFS($N$13:$N$9371,$AG$13:$AG$9371,I1)</f>
        <v>38.654556355837784</v>
      </c>
      <c r="N5" s="38">
        <f t="array" ref="N5">MIN(IF($AG$13:$AG$9371=I1,IF(ISNUMBER($N$13:$N$9371),IF($N$13:$N$9371&gt;0,$N$13:$N$9371))))</f>
        <v>34.149999999208376</v>
      </c>
      <c r="O5" s="3">
        <f t="array" ref="O5">MAX(IF($AG$13:$AG$9371=I1,IF(ISNUMBER($N$13:$N$9371),IF($N$13:$N$9371&gt;0,$N$13:$N$9371))))</f>
        <v>66.316666672937572</v>
      </c>
      <c r="P5" s="2"/>
      <c r="R5" s="163" t="s">
        <v>17</v>
      </c>
      <c r="S5" s="206">
        <f>COUNTIFS($N$13:$N$9371,"&gt;0",$AG$13:$AG$9371,R1)</f>
        <v>49</v>
      </c>
      <c r="T5" s="171"/>
      <c r="U5" s="194"/>
      <c r="V5" s="210">
        <f>AVERAGEIFS($N$13:$N$9371,$AG$13:$AG$9371,R1)</f>
        <v>15.710544217572718</v>
      </c>
      <c r="W5" s="211">
        <f t="array" ref="W5">MIN(IF($AG$13:$AG$9371=R1,IF(ISNUMBER($N$13:$N$9371),IF($N$13:$N$9371&gt;0,$N$13:$N$9371))))</f>
        <v>11.733333331067115</v>
      </c>
      <c r="X5" s="199">
        <f t="array" ref="X5">MAX(IF($AG$13:$AG$9371=R1,IF(ISNUMBER($N$13:$N$9371),IF($N$13:$N$9371&gt;0,$N$13:$N$9371))))</f>
        <v>22.800000007264316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2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COUNT($O$13:$O$150)</f>
        <v>0</v>
      </c>
      <c r="K6" s="39"/>
      <c r="L6" s="171"/>
      <c r="M6" s="40">
        <f>IFERROR(AVERAGE($O$13:$O$150),0)</f>
        <v>0</v>
      </c>
      <c r="N6" s="38">
        <f>MIN($O$13:$O$150)</f>
        <v>0</v>
      </c>
      <c r="O6" s="3">
        <f>MAX($O$13:$O$150)</f>
        <v>0</v>
      </c>
      <c r="P6" s="2"/>
      <c r="R6" s="164" t="s">
        <v>43</v>
      </c>
      <c r="S6" s="206">
        <f>COUNT($O$13:$O$150)</f>
        <v>0</v>
      </c>
      <c r="T6" s="171"/>
      <c r="U6" s="194"/>
      <c r="V6" s="210">
        <f>IFERROR(AVERAGE($O$13:$O$150),0)</f>
        <v>0</v>
      </c>
      <c r="W6" s="211">
        <f>MIN($O$13:$O$150)</f>
        <v>0</v>
      </c>
      <c r="X6" s="199">
        <f>MAX($O$13:$O$150)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2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COUNTIFS($P$13:$P$9371,"&gt;0",$AG$13:$AG$9371,I1)</f>
        <v>5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6">
        <f>COUNTIFS($P$13:$P$9371,"&gt;0",$AG$13:$AG$9371,R1)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2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1"/>
      <c r="M8" s="40">
        <f>M5</f>
        <v>38.654556355837784</v>
      </c>
      <c r="N8" s="38">
        <f>N5</f>
        <v>34.149999999208376</v>
      </c>
      <c r="O8" s="3">
        <f>O5</f>
        <v>66.316666672937572</v>
      </c>
      <c r="P8" s="2"/>
      <c r="R8" s="163" t="s">
        <v>16</v>
      </c>
      <c r="S8" s="206">
        <f>S5</f>
        <v>49</v>
      </c>
      <c r="T8" s="171"/>
      <c r="U8" s="194"/>
      <c r="V8" s="210">
        <f>V5</f>
        <v>15.710544217572718</v>
      </c>
      <c r="W8" s="211">
        <f>W5</f>
        <v>11.733333331067115</v>
      </c>
      <c r="X8" s="199">
        <f>X5</f>
        <v>22.800000007264316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2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8"/>
      <c r="M9" s="69"/>
      <c r="N9" s="36"/>
      <c r="O9" s="70"/>
      <c r="P9" s="2"/>
      <c r="R9" s="163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2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1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2"/>
      <c r="AO10" s="167"/>
    </row>
    <row r="11" spans="1:91" ht="16.5" thickBot="1" x14ac:dyDescent="0.3">
      <c r="A11" s="224" t="str">
        <f>"Eagle P3 System Performance - "&amp;TEXT(Variables!A2,"yyyy-mm-dd")</f>
        <v>Eagle P3 System Performance - 2017-09-26</v>
      </c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S11" s="218">
        <f>AVERAGE(S13:S111)</f>
        <v>0.98639455782312935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6" t="s">
        <v>421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639</v>
      </c>
      <c r="B13" s="7">
        <v>4056</v>
      </c>
      <c r="C13" s="21" t="s">
        <v>196</v>
      </c>
      <c r="D13" s="21" t="s">
        <v>851</v>
      </c>
      <c r="E13" s="13">
        <v>43004.121574074074</v>
      </c>
      <c r="F13" s="13">
        <v>43004.136087962965</v>
      </c>
      <c r="G13" s="7">
        <v>61</v>
      </c>
      <c r="H13" s="21" t="s">
        <v>852</v>
      </c>
      <c r="I13" s="13">
        <v>43004.16002314815</v>
      </c>
      <c r="J13" s="7">
        <v>0</v>
      </c>
      <c r="K13" s="89" t="str">
        <f t="shared" ref="K13:K76" si="0">IF(ISEVEN(B13),(B13-1)&amp;"/"&amp;B13,B13&amp;"/"&amp;(B13+1))</f>
        <v>4055/4056</v>
      </c>
      <c r="L13" s="184" t="str">
        <f>VLOOKUP(A13,'[1]Trips&amp;Operators'!$C$1:$G$99911,5,FALSE)</f>
        <v>YORK EDGAR</v>
      </c>
      <c r="M13" s="6">
        <f t="shared" ref="M13:M76" si="1">I13-F13</f>
        <v>2.3935185185109731E-2</v>
      </c>
      <c r="N13" s="7">
        <f t="shared" ref="N13:N76" si="2">24*60*SUM($M13:$M13)</f>
        <v>34.466666666558012</v>
      </c>
      <c r="O13" s="7"/>
      <c r="P13" s="7"/>
      <c r="Q13" s="22"/>
      <c r="R13" s="173"/>
      <c r="S13" s="220">
        <f t="shared" ref="S13:S76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[1]Variables!$M$2:$M$19,IF(T13="NorthBound","&gt;=","&lt;=")&amp;Y13,[1]Variables!$M$2:$M$19,IF(T13="NorthBound","&lt;=","&gt;=")&amp;Z13),COUNTIFS([1]Variables!$P$2:$P$19,IF(T13="NorthBound","&gt;=","&lt;=")&amp;Y13,[1]Variables!$P$2:$P$19,IF(T13="NorthBound","&lt;=","&gt;=")&amp;Z13))</f>
        <v>12</v>
      </c>
      <c r="V13" s="215" t="str">
        <f t="shared" ref="V13:V50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-26T01:55:04-0600',mode:absolute,to:'2017-09-26T04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203" t="str">
        <f>IF(AA13&lt;VLOOKUP(AG13,[1]Variables!$AC$3:$AD$8,2,FALSE),"Y","N")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43" si="7">RIGHT(D13,LEN(D13)-4)/10000</f>
        <v>7.5700000000000003E-2</v>
      </c>
      <c r="Z13" s="203">
        <f t="shared" ref="Z13:Z43" si="8">RIGHT(H13,LEN(H13)-4)/10000</f>
        <v>23.328800000000001</v>
      </c>
      <c r="AA13" s="203">
        <f t="shared" ref="AA13:AA76" si="9">ABS(Z13-Y13)</f>
        <v>23.2531</v>
      </c>
      <c r="AB13" s="54" t="e">
        <f>VLOOKUP(A13,[1]Enforcements!$C$7:$K$11,8,0)</f>
        <v>#N/A</v>
      </c>
      <c r="AC13" s="51" t="e">
        <f>VLOOKUP(A13,[1]Enforcements!$C$7:$E$11,3,0)</f>
        <v>#N/A</v>
      </c>
      <c r="AD13" s="178">
        <f t="shared" ref="AD13:AD76" si="10">VALUE(LEFT(A13,LEN(A13)-3))</f>
        <v>101</v>
      </c>
      <c r="AE13" s="77" t="str">
        <f t="shared" ref="AE13:AE50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3" s="74" t="str">
        <f t="shared" ref="AF13:AF50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/stypes="app*4056*20170926*" /stext=" 09:.+((SYSTEM_STATE.+slice.+state.+changed )|(ment ac)|(multiple cpu faults)|(system.+state.+changed )|(\[timeout)|(PRM\|1\|D)|(kpr)|(kdp)|(train st.+moving)|(\|lc)|(penalty))"</v>
      </c>
      <c r="AG13" s="181" t="str">
        <f t="shared" ref="AG13:AG50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4056 --swversion DE.1.0.9.0 --startMP 204:757 --initTime 2017-09-26T02:55:04 --startdatetime 2017-09-26T03:15:58 --delay 61 --endMP 204:233288 --enddatetime 2017-09-26T03:50:26 --enforcementcount 0 &gt;&gt;c:\users\stu\Documents\GitHub\eaglep3-reporting\EC\2017-09-26-refined-times.txt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{"issue":{"subject":"","project_id":79,"tracker_id":40,"status_id":1,"priority_id":2,"assigned_to_id":338,"start_date":"2017-09-26","description":"","custom_fields":[{"id":1,"name":"Subdivision","value":"EC"},{"id":4,"name":"Milepost","value":"23.3288"},{"id":17,"name":"Train ID","value":"101-26"},{"id":16,"name":"Locomotive ID","value":"4056"},{"id":130,"name":"Impact","value":""},{"id":150,"name":"Time of Event (Mountain Time)","value":"03:50:26"},{"id":151,"name":"Denver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4056 --day 2017-09-26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09:50:26"},{"id":29,"name":"Sharepoint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-26T01:55:04-0600',mode:absolute,to:'2017-09-26T04:50:26-0600'))&amp;_a=(columns:!('Message%20ID',Summary),filters:!(),index:'emp_*',interval:auto,query:(query_string:(analyze_wildcard:!t,query:'%22rtdc.l.rtdc.4056%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648</v>
      </c>
      <c r="B14" s="7">
        <v>4055</v>
      </c>
      <c r="C14" s="21" t="s">
        <v>196</v>
      </c>
      <c r="D14" s="21" t="s">
        <v>853</v>
      </c>
      <c r="E14" s="13">
        <v>43004.160810185182</v>
      </c>
      <c r="F14" s="13">
        <v>43004.175416666665</v>
      </c>
      <c r="G14" s="7">
        <v>64</v>
      </c>
      <c r="H14" s="21" t="s">
        <v>365</v>
      </c>
      <c r="I14" s="13">
        <v>43004.200949074075</v>
      </c>
      <c r="J14" s="7">
        <v>0</v>
      </c>
      <c r="K14" s="89" t="str">
        <f t="shared" si="0"/>
        <v>4055/4056</v>
      </c>
      <c r="L14" s="184" t="str">
        <f>VLOOKUP(A14,'[1]Trips&amp;Operators'!$C$1:$G$99911,5,FALSE)</f>
        <v>YORK EDGAR</v>
      </c>
      <c r="M14" s="6">
        <f t="shared" si="1"/>
        <v>2.5532407409627922E-2</v>
      </c>
      <c r="N14" s="7">
        <f t="shared" si="2"/>
        <v>36.766666669864208</v>
      </c>
      <c r="O14" s="7"/>
      <c r="P14" s="7"/>
      <c r="Q14" s="22"/>
      <c r="R14" s="173"/>
      <c r="S14" s="220">
        <f t="shared" si="3"/>
        <v>1</v>
      </c>
      <c r="T14" s="173" t="str">
        <f t="shared" si="4"/>
        <v>Southbound</v>
      </c>
      <c r="U14" s="197">
        <f>IF(AG14="EC",COUNTIFS([1]Variables!$M$2:$M$19,IF(T14="NorthBound","&gt;=","&lt;=")&amp;Y14,[1]Variables!$M$2:$M$19,IF(T14="NorthBound","&lt;=","&gt;=")&amp;Z14),COUNTIFS([1]Variables!$P$2:$P$19,IF(T14="NorthBound","&gt;=","&lt;=")&amp;Y14,[1]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-09-26T02:51:34-0600',mode:absolute,to:'2017-09-26T05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203" t="str">
        <f>IF(AA14&lt;VLOOKUP(AG14,[1]Variables!$AC$3:$AD$8,2,FALSE),"Y","N")</f>
        <v>N</v>
      </c>
      <c r="X14" s="203">
        <f t="shared" si="6"/>
        <v>1</v>
      </c>
      <c r="Y14" s="203">
        <f t="shared" si="7"/>
        <v>23.296299999999999</v>
      </c>
      <c r="Z14" s="203">
        <f t="shared" si="8"/>
        <v>1.5599999999999999E-2</v>
      </c>
      <c r="AA14" s="203">
        <f t="shared" si="9"/>
        <v>23.2807</v>
      </c>
      <c r="AB14" s="54" t="e">
        <f>VLOOKUP(A14,[1]Enforcements!$C$7:$K$11,8,0)</f>
        <v>#N/A</v>
      </c>
      <c r="AC14" s="51" t="e">
        <f>VLOOKUP(A14,[1]Enforcements!$C$7:$E$11,3,0)</f>
        <v>#N/A</v>
      </c>
      <c r="AD14" s="178">
        <f t="shared" si="10"/>
        <v>102</v>
      </c>
      <c r="AE14" s="77" t="str">
        <f t="shared" si="11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4" s="74" t="str">
        <f t="shared" si="12"/>
        <v>"C:\Program Files (x86)\AstroGrep\AstroGrep.exe" /e /r /s /spath="%USERPROFILE%\AppData\Local\Temp\OnboardLogs" /stypes="app*4055*20170926*" /stext=" 10:.+((SYSTEM_STATE.+slice.+state.+changed )|(ment ac)|(multiple cpu faults)|(system.+state.+changed )|(\[timeout)|(PRM\|1\|D)|(kpr)|(kdp)|(train st.+moving)|(\|lc)|(penalty))"</v>
      </c>
      <c r="AG14" s="181" t="str">
        <f t="shared" si="13"/>
        <v>EC</v>
      </c>
      <c r="AH14" s="78" t="str">
        <f t="shared" ref="AH14:AH50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4055 --swversion DE.1.0.9.0 --startMP 204:232963 --initTime 2017-09-26T03:51:34 --startdatetime 2017-09-26T04:12:36 --delay 64 --endMP 204:156 --enddatetime 2017-09-26T04:49:22 --enforcementcount 0 &gt;&gt;c:\users\stu\Documents\GitHub\eaglep3-reporting\EC\2017-09-26-refined-times.txt</v>
      </c>
      <c r="AI14" s="96" t="str">
        <f t="shared" ref="AI14:AI50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{"issue":{"subject":"","project_id":79,"tracker_id":40,"status_id":1,"priority_id":2,"assigned_to_id":338,"start_date":"2017-09-26","description":"","custom_fields":[{"id":1,"name":"Subdivision","value":"EC"},{"id":4,"name":"Milepost","value":"0.0156"},{"id":17,"name":"Train ID","value":"102-26"},{"id":16,"name":"Locomotive ID","value":"4055"},{"id":130,"name":"Impact","value":""},{"id":150,"name":"Time of Event (Mountain Time)","value":"04:49:22"},{"id":151,"name":"Denver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50" si="21">"start /low /b "&amp;dls3logs&amp;" --loco "&amp;B14&amp;" --day "&amp;TEXT(F14,"YYYY-MM-DD")</f>
        <v>start /low /b %USERPROFILE%\Documents\GitHub\eaglep3\Utilities\DownloadLogsFromS3.py --loco 4055 --day 2017-09-26</v>
      </c>
      <c r="AN14" s="151" t="str">
        <f t="shared" ref="AN14:AN50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7" t="str">
        <f t="shared" ref="AO14:AO50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-26T02:51:34-0600',mode:absolute,to:'2017-09-26T05:49:22-0600'))&amp;_a=(columns:!('Message%20ID',Summary),filters:!(),index:'emp_*',interval:auto,query:(query_string:(analyze_wildcard:!t,query:'%22rtdc.l.rtdc.4055%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646</v>
      </c>
      <c r="B15" s="7">
        <v>4046</v>
      </c>
      <c r="C15" s="21" t="s">
        <v>196</v>
      </c>
      <c r="D15" s="21" t="s">
        <v>361</v>
      </c>
      <c r="E15" s="13">
        <v>43004.152083333334</v>
      </c>
      <c r="F15" s="13">
        <v>43004.156412037039</v>
      </c>
      <c r="G15" s="7">
        <v>75</v>
      </c>
      <c r="H15" s="21" t="s">
        <v>566</v>
      </c>
      <c r="I15" s="13">
        <v>43004.182002314818</v>
      </c>
      <c r="J15" s="7">
        <v>0</v>
      </c>
      <c r="K15" s="89" t="str">
        <f t="shared" si="0"/>
        <v>4045/4046</v>
      </c>
      <c r="L15" s="184" t="str">
        <f>VLOOKUP(A15,'[1]Trips&amp;Operators'!$C$1:$G$99911,5,FALSE)</f>
        <v>BONDS REYNALDO</v>
      </c>
      <c r="M15" s="6">
        <f t="shared" si="1"/>
        <v>2.5590277778974269E-2</v>
      </c>
      <c r="N15" s="7">
        <f t="shared" si="2"/>
        <v>36.850000001722947</v>
      </c>
      <c r="O15" s="7"/>
      <c r="P15" s="7"/>
      <c r="Q15" s="22"/>
      <c r="R15" s="173"/>
      <c r="S15" s="220">
        <f t="shared" si="3"/>
        <v>1</v>
      </c>
      <c r="T15" s="173" t="str">
        <f t="shared" si="4"/>
        <v>NorthBound</v>
      </c>
      <c r="U15" s="197">
        <f>IF(AG15="EC",COUNTIFS([1]Variables!$M$2:$M$19,IF(T15="NorthBound","&gt;=","&lt;=")&amp;Y15,[1]Variables!$M$2:$M$19,IF(T15="NorthBound","&lt;=","&gt;=")&amp;Z15),COUNTIFS([1]Variables!$P$2:$P$19,IF(T15="NorthBound","&gt;=","&lt;=")&amp;Y15,[1]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-09-26T02:39:00-0600',mode:absolute,to:'2017-09-26T05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203" t="str">
        <f>IF(AA15&lt;VLOOKUP(AG15,[1]Variables!$AC$3:$AD$8,2,FALSE),"Y","N")</f>
        <v>N</v>
      </c>
      <c r="X15" s="203">
        <f t="shared" si="6"/>
        <v>1</v>
      </c>
      <c r="Y15" s="203">
        <f t="shared" si="7"/>
        <v>4.6399999999999997E-2</v>
      </c>
      <c r="Z15" s="203">
        <f t="shared" si="8"/>
        <v>23.332100000000001</v>
      </c>
      <c r="AA15" s="203">
        <f t="shared" si="9"/>
        <v>23.285700000000002</v>
      </c>
      <c r="AB15" s="54" t="e">
        <f>VLOOKUP(A15,[1]Enforcements!$C$7:$K$11,8,0)</f>
        <v>#N/A</v>
      </c>
      <c r="AC15" s="51" t="e">
        <f>VLOOKUP(A15,[1]Enforcements!$C$7:$E$11,3,0)</f>
        <v>#N/A</v>
      </c>
      <c r="AD15" s="178">
        <f t="shared" si="10"/>
        <v>103</v>
      </c>
      <c r="AE15" s="77" t="str">
        <f t="shared" si="11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15" s="74" t="str">
        <f t="shared" si="12"/>
        <v>"C:\Program Files (x86)\AstroGrep\AstroGrep.exe" /e /r /s /spath="%USERPROFILE%\AppData\Local\Temp\OnboardLogs" /stypes="app*4046*20170926*" /stext=" 10:.+((SYSTEM_STATE.+slice.+state.+changed )|(ment ac)|(multiple cpu faults)|(system.+state.+changed )|(\[timeout)|(PRM\|1\|D)|(kpr)|(kdp)|(train st.+moving)|(\|lc)|(penalty))"</v>
      </c>
      <c r="AG15" s="181" t="str">
        <f t="shared" si="13"/>
        <v>EC</v>
      </c>
      <c r="AH15" s="78" t="str">
        <f t="shared" si="19"/>
        <v>"%USERPROFILE%\Documents\GitHub\eaglep3\Utilities\RefineRTDCRunTimes.py" --tripid 103-26 --locoid 4046 --swversion DE.1.0.9.0 --startMP 204:464 --initTime 2017-09-26T03:39:00 --startdatetime 2017-09-26T03:45:14 --delay 75 --endMP 204:233321 --enddatetime 2017-09-26T04:22:05 --enforcementcount 0 &gt;&gt;c:\users\stu\Documents\GitHub\eaglep3-reporting\EC\2017-09-26-refined-times.txt</v>
      </c>
      <c r="AI15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{"issue":{"subject":"","project_id":79,"tracker_id":40,"status_id":1,"priority_id":2,"assigned_to_id":338,"start_date":"2017-09-26","description":"","custom_fields":[{"id":1,"name":"Subdivision","value":"EC"},{"id":4,"name":"Milepost","value":"23.3321"},{"id":17,"name":"Train ID","value":"103-26"},{"id":16,"name":"Locomotive ID","value":"4046"},{"id":130,"name":"Impact","value":""},{"id":150,"name":"Time of Event (Mountain Time)","value":"04:22:05"},{"id":151,"name":"Denver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4046 --day 2017-09-26</v>
      </c>
      <c r="AN15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7" t="str">
        <f t="shared" si="23"/>
        <v>https://d0f6bd738d7f1b3e5a7ca70fe4ff75f0.us-east-1.aws.found.io/app/kibana#/discover/Steve-Slow-Train-Analysis-(2080s-and-2083s)?_g=(refreshInterval:(display:Off,pause:!f,section:0,value:0),time:(from:'2017-09-26T02:39:00-0600',mode:absolute,to:'2017-09-26T05:22:05-0600'))&amp;_a=(columns:!('Message%20ID',Summary),filters:!(),index:'emp_*',interval:auto,query:(query_string:(analyze_wildcard:!t,query:'%22rtdc.l.rtdc.4046%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654</v>
      </c>
      <c r="B16" s="7">
        <v>4045</v>
      </c>
      <c r="C16" s="21" t="s">
        <v>196</v>
      </c>
      <c r="D16" s="21" t="s">
        <v>454</v>
      </c>
      <c r="E16" s="13">
        <v>43004.192164351851</v>
      </c>
      <c r="F16" s="13">
        <v>43004.196192129632</v>
      </c>
      <c r="G16" s="7">
        <v>50</v>
      </c>
      <c r="H16" s="21" t="s">
        <v>339</v>
      </c>
      <c r="I16" s="13">
        <v>43004.222604166665</v>
      </c>
      <c r="J16" s="7">
        <v>0</v>
      </c>
      <c r="K16" s="89" t="str">
        <f t="shared" si="0"/>
        <v>4045/4046</v>
      </c>
      <c r="L16" s="184" t="str">
        <f>VLOOKUP(A16,'[1]Trips&amp;Operators'!$C$1:$G$99911,5,FALSE)</f>
        <v>BONDS REYNALDO</v>
      </c>
      <c r="M16" s="6">
        <f t="shared" si="1"/>
        <v>2.6412037033878732E-2</v>
      </c>
      <c r="N16" s="7">
        <f t="shared" si="2"/>
        <v>38.033333328785375</v>
      </c>
      <c r="O16" s="7"/>
      <c r="P16" s="7"/>
      <c r="Q16" s="22"/>
      <c r="R16" s="173"/>
      <c r="S16" s="220">
        <f t="shared" si="3"/>
        <v>1</v>
      </c>
      <c r="T16" s="173" t="str">
        <f t="shared" si="4"/>
        <v>Southbound</v>
      </c>
      <c r="U16" s="197">
        <f>IF(AG16="EC",COUNTIFS([1]Variables!$M$2:$M$19,IF(T16="NorthBound","&gt;=","&lt;=")&amp;Y16,[1]Variables!$M$2:$M$19,IF(T16="NorthBound","&lt;=","&gt;=")&amp;Z16),COUNTIFS([1]Variables!$P$2:$P$19,IF(T16="NorthBound","&gt;=","&lt;=")&amp;Y16,[1]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-09-26T03:36:43-0600',mode:absolute,to:'2017-09-26T06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203" t="str">
        <f>IF(AA16&lt;VLOOKUP(AG16,[1]Variables!$AC$3:$AD$8,2,FALSE),"Y","N")</f>
        <v>N</v>
      </c>
      <c r="X16" s="203">
        <f t="shared" si="6"/>
        <v>1</v>
      </c>
      <c r="Y16" s="203">
        <f t="shared" si="7"/>
        <v>23.301100000000002</v>
      </c>
      <c r="Z16" s="203">
        <f t="shared" si="8"/>
        <v>1.43E-2</v>
      </c>
      <c r="AA16" s="203">
        <f t="shared" si="9"/>
        <v>23.286800000000003</v>
      </c>
      <c r="AB16" s="54" t="e">
        <f>VLOOKUP(A16,[1]Enforcements!$C$7:$K$11,8,0)</f>
        <v>#N/A</v>
      </c>
      <c r="AC16" s="51" t="e">
        <f>VLOOKUP(A16,[1]Enforcements!$C$7:$E$11,3,0)</f>
        <v>#N/A</v>
      </c>
      <c r="AD16" s="178">
        <f t="shared" si="10"/>
        <v>104</v>
      </c>
      <c r="AE16" s="77" t="str">
        <f t="shared" si="11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16" s="74" t="str">
        <f t="shared" si="12"/>
        <v>"C:\Program Files (x86)\AstroGrep\AstroGrep.exe" /e /r /s /spath="%USERPROFILE%\AppData\Local\Temp\OnboardLogs" /stypes="app*4045*20170926*" /stext=" 11:.+((SYSTEM_STATE.+slice.+state.+changed )|(ment ac)|(multiple cpu faults)|(system.+state.+changed )|(\[timeout)|(PRM\|1\|D)|(kpr)|(kdp)|(train st.+moving)|(\|lc)|(penalty))"</v>
      </c>
      <c r="AG16" s="181" t="str">
        <f t="shared" si="13"/>
        <v>EC</v>
      </c>
      <c r="AH16" s="78" t="str">
        <f t="shared" si="19"/>
        <v>"%USERPROFILE%\Documents\GitHub\eaglep3\Utilities\RefineRTDCRunTimes.py" --tripid 104-26 --locoid 4045 --swversion DE.1.0.9.0 --startMP 204:233011 --initTime 2017-09-26T04:36:43 --startdatetime 2017-09-26T04:42:31 --delay 50 --endMP 204:143 --enddatetime 2017-09-26T05:20:33 --enforcementcount 0 &gt;&gt;c:\users\stu\Documents\GitHub\eaglep3-reporting\EC\2017-09-26-refined-times.txt</v>
      </c>
      <c r="AI16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{"issue":{"subject":"","project_id":79,"tracker_id":40,"status_id":1,"priority_id":2,"assigned_to_id":338,"start_date":"2017-09-26","description":"","custom_fields":[{"id":1,"name":"Subdivision","value":"EC"},{"id":4,"name":"Milepost","value":"0.0143"},{"id":17,"name":"Train ID","value":"104-26"},{"id":16,"name":"Locomotive ID","value":"4045"},{"id":130,"name":"Impact","value":""},{"id":150,"name":"Time of Event (Mountain Time)","value":"05:20:33"},{"id":151,"name":"Denver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4045 --day 2017-09-26</v>
      </c>
      <c r="AN16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7" t="str">
        <f t="shared" si="23"/>
        <v>https://d0f6bd738d7f1b3e5a7ca70fe4ff75f0.us-east-1.aws.found.io/app/kibana#/discover/Steve-Slow-Train-Analysis-(2080s-and-2083s)?_g=(refreshInterval:(display:Off,pause:!f,section:0,value:0),time:(from:'2017-09-26T03:36:43-0600',mode:absolute,to:'2017-09-26T06:20:33-0600'))&amp;_a=(columns:!('Message%20ID',Summary),filters:!(),index:'emp_*',interval:auto,query:(query_string:(analyze_wildcard:!t,query:'%22rtdc.l.rtdc.4045%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651</v>
      </c>
      <c r="B17" s="7">
        <v>4060</v>
      </c>
      <c r="C17" s="21" t="s">
        <v>196</v>
      </c>
      <c r="D17" s="21" t="s">
        <v>361</v>
      </c>
      <c r="E17" s="13">
        <v>43004.174537037034</v>
      </c>
      <c r="F17" s="13">
        <v>43004.177384259259</v>
      </c>
      <c r="G17" s="7">
        <v>69</v>
      </c>
      <c r="H17" s="21" t="s">
        <v>854</v>
      </c>
      <c r="I17" s="13">
        <v>43004.202268518522</v>
      </c>
      <c r="J17" s="7">
        <v>0</v>
      </c>
      <c r="K17" s="89" t="str">
        <f t="shared" si="0"/>
        <v>4059/4060</v>
      </c>
      <c r="L17" s="184" t="str">
        <f>VLOOKUP(A17,'[1]Trips&amp;Operators'!$C$1:$G$99911,5,FALSE)</f>
        <v>THOMPSON LESTER</v>
      </c>
      <c r="M17" s="6">
        <f t="shared" si="1"/>
        <v>2.4884259262762498E-2</v>
      </c>
      <c r="N17" s="7">
        <f t="shared" si="2"/>
        <v>35.833333338377997</v>
      </c>
      <c r="O17" s="7"/>
      <c r="P17" s="7"/>
      <c r="Q17" s="22"/>
      <c r="R17" s="173"/>
      <c r="S17" s="220">
        <f t="shared" si="3"/>
        <v>1</v>
      </c>
      <c r="T17" s="173" t="str">
        <f t="shared" si="4"/>
        <v>NorthBound</v>
      </c>
      <c r="U17" s="197">
        <f>IF(AG17="EC",COUNTIFS([1]Variables!$M$2:$M$19,IF(T17="NorthBound","&gt;=","&lt;=")&amp;Y17,[1]Variables!$M$2:$M$19,IF(T17="NorthBound","&lt;=","&gt;=")&amp;Z17),COUNTIFS([1]Variables!$P$2:$P$19,IF(T17="NorthBound","&gt;=","&lt;=")&amp;Y17,[1]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-09-26T03:11:20-0600',mode:absolute,to:'2017-09-26T05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03" t="str">
        <f>IF(AA17&lt;VLOOKUP(AG17,[1]Variables!$AC$3:$AD$8,2,FALSE),"Y","N")</f>
        <v>N</v>
      </c>
      <c r="X17" s="203">
        <f t="shared" si="6"/>
        <v>1</v>
      </c>
      <c r="Y17" s="203">
        <f t="shared" si="7"/>
        <v>4.6399999999999997E-2</v>
      </c>
      <c r="Z17" s="203">
        <f t="shared" si="8"/>
        <v>23.339700000000001</v>
      </c>
      <c r="AA17" s="203">
        <f t="shared" si="9"/>
        <v>23.293300000000002</v>
      </c>
      <c r="AB17" s="54" t="e">
        <f>VLOOKUP(A17,[1]Enforcements!$C$7:$K$11,8,0)</f>
        <v>#N/A</v>
      </c>
      <c r="AC17" s="51" t="e">
        <f>VLOOKUP(A17,[1]Enforcements!$C$7:$E$11,3,0)</f>
        <v>#N/A</v>
      </c>
      <c r="AD17" s="178">
        <f t="shared" si="10"/>
        <v>105</v>
      </c>
      <c r="AE17" s="77" t="str">
        <f t="shared" si="11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17" s="74" t="str">
        <f t="shared" si="12"/>
        <v>"C:\Program Files (x86)\AstroGrep\AstroGrep.exe" /e /r /s /spath="%USERPROFILE%\AppData\Local\Temp\OnboardLogs" /stypes="app*4060*20170926*" /stext=" 10:.+((SYSTEM_STATE.+slice.+state.+changed )|(ment ac)|(multiple cpu faults)|(system.+state.+changed )|(\[timeout)|(PRM\|1\|D)|(kpr)|(kdp)|(train st.+moving)|(\|lc)|(penalty))"</v>
      </c>
      <c r="AG17" s="181" t="str">
        <f t="shared" si="13"/>
        <v>EC</v>
      </c>
      <c r="AH17" s="78" t="str">
        <f t="shared" si="19"/>
        <v>"%USERPROFILE%\Documents\GitHub\eaglep3\Utilities\RefineRTDCRunTimes.py" --tripid 105-26 --locoid 4060 --swversion DE.1.0.9.0 --startMP 204:464 --initTime 2017-09-26T04:11:20 --startdatetime 2017-09-26T04:15:26 --delay 69 --endMP 204:233397 --enddatetime 2017-09-26T04:51:16 --enforcementcount 0 &gt;&gt;c:\users\stu\Documents\GitHub\eaglep3-reporting\EC\2017-09-26-refined-times.txt</v>
      </c>
      <c r="AI17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{"issue":{"subject":"","project_id":79,"tracker_id":40,"status_id":1,"priority_id":2,"assigned_to_id":338,"start_date":"2017-09-26","description":"","custom_fields":[{"id":1,"name":"Subdivision","value":"EC"},{"id":4,"name":"Milepost","value":"23.3397"},{"id":17,"name":"Train ID","value":"105-26"},{"id":16,"name":"Locomotive ID","value":"4060"},{"id":130,"name":"Impact","value":""},{"id":150,"name":"Time of Event (Mountain Time)","value":"04:51:16"},{"id":151,"name":"Denver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4060 --day 2017-09-26</v>
      </c>
      <c r="AN17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7" t="str">
        <f t="shared" si="23"/>
        <v>https://d0f6bd738d7f1b3e5a7ca70fe4ff75f0.us-east-1.aws.found.io/app/kibana#/discover/Steve-Slow-Train-Analysis-(2080s-and-2083s)?_g=(refreshInterval:(display:Off,pause:!f,section:0,value:0),time:(from:'2017-09-26T03:11:20-0600',mode:absolute,to:'2017-09-26T05:51:16-0600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605</v>
      </c>
      <c r="B18" s="7">
        <v>4059</v>
      </c>
      <c r="C18" s="21" t="s">
        <v>196</v>
      </c>
      <c r="D18" s="21" t="s">
        <v>481</v>
      </c>
      <c r="E18" s="13">
        <v>43004.214398148149</v>
      </c>
      <c r="F18" s="13">
        <v>43004.216898148145</v>
      </c>
      <c r="G18" s="7">
        <v>60</v>
      </c>
      <c r="H18" s="21" t="s">
        <v>342</v>
      </c>
      <c r="I18" s="13">
        <v>43004.244293981479</v>
      </c>
      <c r="J18" s="7">
        <v>0</v>
      </c>
      <c r="K18" s="89" t="str">
        <f t="shared" si="0"/>
        <v>4059/4060</v>
      </c>
      <c r="L18" s="184" t="str">
        <f>VLOOKUP(A18,'[1]Trips&amp;Operators'!$C$1:$G$99911,5,FALSE)</f>
        <v>THOMPSON LESTER</v>
      </c>
      <c r="M18" s="6">
        <f t="shared" si="1"/>
        <v>2.7395833334594499E-2</v>
      </c>
      <c r="N18" s="7">
        <f t="shared" si="2"/>
        <v>39.450000001816079</v>
      </c>
      <c r="O18" s="7"/>
      <c r="P18" s="7"/>
      <c r="Q18" s="22"/>
      <c r="R18" s="173"/>
      <c r="S18" s="220">
        <f t="shared" si="3"/>
        <v>1</v>
      </c>
      <c r="T18" s="173" t="str">
        <f t="shared" si="4"/>
        <v>Southbound</v>
      </c>
      <c r="U18" s="197">
        <f>IF(AG18="EC",COUNTIFS([1]Variables!$M$2:$M$19,IF(T18="NorthBound","&gt;=","&lt;=")&amp;Y18,[1]Variables!$M$2:$M$19,IF(T18="NorthBound","&lt;=","&gt;=")&amp;Z18),COUNTIFS([1]Variables!$P$2:$P$19,IF(T18="NorthBound","&gt;=","&lt;=")&amp;Y18,[1]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-09-26T04:08:44-0600',mode:absolute,to:'2017-09-26T06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03" t="str">
        <f>IF(AA18&lt;VLOOKUP(AG18,[1]Variables!$AC$3:$AD$8,2,FALSE),"Y","N")</f>
        <v>N</v>
      </c>
      <c r="X18" s="203">
        <f t="shared" si="6"/>
        <v>1</v>
      </c>
      <c r="Y18" s="203">
        <f t="shared" si="7"/>
        <v>23.302099999999999</v>
      </c>
      <c r="Z18" s="203">
        <f t="shared" si="8"/>
        <v>1.47E-2</v>
      </c>
      <c r="AA18" s="203">
        <f t="shared" si="9"/>
        <v>23.287399999999998</v>
      </c>
      <c r="AB18" s="54" t="e">
        <f>VLOOKUP(A18,[1]Enforcements!$C$7:$K$11,8,0)</f>
        <v>#N/A</v>
      </c>
      <c r="AC18" s="51" t="e">
        <f>VLOOKUP(A18,[1]Enforcements!$C$7:$E$11,3,0)</f>
        <v>#N/A</v>
      </c>
      <c r="AD18" s="178">
        <f t="shared" si="10"/>
        <v>106</v>
      </c>
      <c r="AE18" s="77" t="str">
        <f t="shared" si="11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18" s="74" t="str">
        <f t="shared" si="12"/>
        <v>"C:\Program Files (x86)\AstroGrep\AstroGrep.exe" /e /r /s /spath="%USERPROFILE%\AppData\Local\Temp\OnboardLogs" /stypes="app*4059*20170926*" /stext=" 11:.+((SYSTEM_STATE.+slice.+state.+changed )|(ment ac)|(multiple cpu faults)|(system.+state.+changed )|(\[timeout)|(PRM\|1\|D)|(kpr)|(kdp)|(train st.+moving)|(\|lc)|(penalty))"</v>
      </c>
      <c r="AG18" s="181" t="str">
        <f t="shared" si="13"/>
        <v>EC</v>
      </c>
      <c r="AH18" s="78" t="str">
        <f t="shared" si="19"/>
        <v>"%USERPROFILE%\Documents\GitHub\eaglep3\Utilities\RefineRTDCRunTimes.py" --tripid 106-26 --locoid 4059 --swversion DE.1.0.9.0 --startMP 204:233021 --initTime 2017-09-26T05:08:44 --startdatetime 2017-09-26T05:12:20 --delay 60 --endMP 204:147 --enddatetime 2017-09-26T05:51:47 --enforcementcount 0 &gt;&gt;c:\users\stu\Documents\GitHub\eaglep3-reporting\EC\2017-09-26-refined-times.txt</v>
      </c>
      <c r="AI18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ID","value":"106-26"},{"id":16,"name":"Locomotive ID","value":"4059"},{"id":130,"name":"Impact","value":""},{"id":150,"name":"Time of Event (Mountain Time)","value":"05:51:47"},{"id":151,"name":"Denver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4059 --day 2017-09-26</v>
      </c>
      <c r="AN18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7" t="str">
        <f t="shared" si="23"/>
        <v>https://d0f6bd738d7f1b3e5a7ca70fe4ff75f0.us-east-1.aws.found.io/app/kibana#/discover/Steve-Slow-Train-Analysis-(2080s-and-2083s)?_g=(refreshInterval:(display:Off,pause:!f,section:0,value:0),time:(from:'2017-09-26T04:08:44-0600',mode:absolute,to:'2017-09-26T06:51:47-0600'))&amp;_a=(columns:!('Message%20ID',Summary),filters:!(),index:'emp_*',interval:auto,query:(query_string:(analyze_wildcard:!t,query:'%22rtdc.l.rtdc.4059%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652</v>
      </c>
      <c r="B19" s="7">
        <v>4010</v>
      </c>
      <c r="C19" s="21" t="s">
        <v>196</v>
      </c>
      <c r="D19" s="21" t="s">
        <v>557</v>
      </c>
      <c r="E19" s="13">
        <v>43004.181921296295</v>
      </c>
      <c r="F19" s="13">
        <v>43004.187673611108</v>
      </c>
      <c r="G19" s="7">
        <v>87</v>
      </c>
      <c r="H19" s="21" t="s">
        <v>855</v>
      </c>
      <c r="I19" s="13">
        <v>43004.211655092593</v>
      </c>
      <c r="J19" s="7">
        <v>0</v>
      </c>
      <c r="K19" s="89" t="str">
        <f t="shared" si="0"/>
        <v>4009/4010</v>
      </c>
      <c r="L19" s="184" t="str">
        <f>VLOOKUP(A19,'[1]Trips&amp;Operators'!$C$1:$G$99911,5,FALSE)</f>
        <v>LALONDE GREGORY</v>
      </c>
      <c r="M19" s="6">
        <f t="shared" si="1"/>
        <v>2.3981481484952383E-2</v>
      </c>
      <c r="N19" s="7">
        <f t="shared" si="2"/>
        <v>34.533333338331431</v>
      </c>
      <c r="O19" s="7"/>
      <c r="P19" s="7"/>
      <c r="Q19" s="22"/>
      <c r="R19" s="173"/>
      <c r="S19" s="220">
        <f t="shared" si="3"/>
        <v>1</v>
      </c>
      <c r="T19" s="173" t="str">
        <f t="shared" si="4"/>
        <v>NorthBound</v>
      </c>
      <c r="U19" s="197">
        <f>IF(AG19="EC",COUNTIFS([1]Variables!$M$2:$M$19,IF(T19="NorthBound","&gt;=","&lt;=")&amp;Y19,[1]Variables!$M$2:$M$19,IF(T19="NorthBound","&lt;=","&gt;=")&amp;Z19),COUNTIFS([1]Variables!$P$2:$P$19,IF(T19="NorthBound","&gt;=","&lt;=")&amp;Y19,[1]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-09-26T03:21:58-0600',mode:absolute,to:'2017-09-26T06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203" t="str">
        <f>IF(AA19&lt;VLOOKUP(AG19,[1]Variables!$AC$3:$AD$8,2,FALSE),"Y","N")</f>
        <v>N</v>
      </c>
      <c r="X19" s="203">
        <f t="shared" si="6"/>
        <v>1</v>
      </c>
      <c r="Y19" s="203">
        <f t="shared" si="7"/>
        <v>4.3499999999999997E-2</v>
      </c>
      <c r="Z19" s="203">
        <f t="shared" si="8"/>
        <v>23.334700000000002</v>
      </c>
      <c r="AA19" s="203">
        <f t="shared" si="9"/>
        <v>23.2912</v>
      </c>
      <c r="AB19" s="54" t="e">
        <f>VLOOKUP(A19,[1]Enforcements!$C$7:$K$11,8,0)</f>
        <v>#N/A</v>
      </c>
      <c r="AC19" s="51" t="e">
        <f>VLOOKUP(A19,[1]Enforcements!$C$7:$E$11,3,0)</f>
        <v>#N/A</v>
      </c>
      <c r="AD19" s="178">
        <f t="shared" si="10"/>
        <v>107</v>
      </c>
      <c r="AE19" s="77" t="str">
        <f t="shared" si="11"/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19" s="74" t="str">
        <f t="shared" si="12"/>
        <v>"C:\Program Files (x86)\AstroGrep\AstroGrep.exe" /e /r /s /spath="%USERPROFILE%\AppData\Local\Temp\OnboardLogs" /stypes="app*4010*20170926*" /stext=" 11:.+((SYSTEM_STATE.+slice.+state.+changed )|(ment ac)|(multiple cpu faults)|(system.+state.+changed )|(\[timeout)|(PRM\|1\|D)|(kpr)|(kdp)|(train st.+moving)|(\|lc)|(penalty))"</v>
      </c>
      <c r="AG19" s="181" t="str">
        <f t="shared" si="13"/>
        <v>EC</v>
      </c>
      <c r="AH19" s="78" t="str">
        <f t="shared" si="19"/>
        <v>"%USERPROFILE%\Documents\GitHub\eaglep3\Utilities\RefineRTDCRunTimes.py" --tripid 107-26 --locoid 4010 --swversion DE.1.0.9.0 --startMP 204:435 --initTime 2017-09-26T04:21:58 --startdatetime 2017-09-26T04:30:15 --delay 87 --endMP 204:233347 --enddatetime 2017-09-26T05:04:47 --enforcementcount 0 &gt;&gt;c:\users\stu\Documents\GitHub\eaglep3-reporting\EC\2017-09-26-refined-times.txt</v>
      </c>
      <c r="AI19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{"issue":{"subject":"","project_id":79,"tracker_id":40,"status_id":1,"priority_id":2,"assigned_to_id":338,"start_date":"2017-09-26","description":"","custom_fields":[{"id":1,"name":"Subdivision","value":"EC"},{"id":4,"name":"Milepost","value":"23.3347"},{"id":17,"name":"Train ID","value":"107-26"},{"id":16,"name":"Locomotive ID","value":"4010"},{"id":130,"name":"Impact","value":""},{"id":150,"name":"Time of Event (Mountain Time)","value":"05:04:47"},{"id":151,"name":"Denver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4010 --day 2017-09-26</v>
      </c>
      <c r="AN19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7" t="str">
        <f t="shared" si="23"/>
        <v>https://d0f6bd738d7f1b3e5a7ca70fe4ff75f0.us-east-1.aws.found.io/app/kibana#/discover/Steve-Slow-Train-Analysis-(2080s-and-2083s)?_g=(refreshInterval:(display:Off,pause:!f,section:0,value:0),time:(from:'2017-09-26T03:21:58-0600',mode:absolute,to:'2017-09-26T06:04:47-0600'))&amp;_a=(columns:!('Message%20ID',Summary),filters:!(),index:'emp_*',interval:auto,query:(query_string:(analyze_wildcard:!t,query:'%22rtdc.l.rtdc.4010%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660</v>
      </c>
      <c r="B20" s="7">
        <v>4009</v>
      </c>
      <c r="C20" s="21" t="s">
        <v>196</v>
      </c>
      <c r="D20" s="21" t="s">
        <v>856</v>
      </c>
      <c r="E20" s="13">
        <v>43004.213263888887</v>
      </c>
      <c r="F20" s="13">
        <v>43004.227233796293</v>
      </c>
      <c r="G20" s="7">
        <v>64</v>
      </c>
      <c r="H20" s="21" t="s">
        <v>857</v>
      </c>
      <c r="I20" s="13">
        <v>43004.254189814812</v>
      </c>
      <c r="J20" s="7">
        <v>0</v>
      </c>
      <c r="K20" s="89" t="str">
        <f t="shared" si="0"/>
        <v>4009/4010</v>
      </c>
      <c r="L20" s="184" t="str">
        <f>VLOOKUP(A20,'[1]Trips&amp;Operators'!$C$1:$G$99911,5,FALSE)</f>
        <v>LALONDE GREGORY</v>
      </c>
      <c r="M20" s="6">
        <f t="shared" si="1"/>
        <v>2.6956018518831115E-2</v>
      </c>
      <c r="N20" s="7">
        <f t="shared" si="2"/>
        <v>38.816666667116806</v>
      </c>
      <c r="O20" s="7"/>
      <c r="P20" s="7"/>
      <c r="Q20" s="22"/>
      <c r="R20" s="173"/>
      <c r="S20" s="220">
        <f t="shared" si="3"/>
        <v>1</v>
      </c>
      <c r="T20" s="173" t="str">
        <f t="shared" si="4"/>
        <v>Southbound</v>
      </c>
      <c r="U20" s="197">
        <f>IF(AG20="EC",COUNTIFS([1]Variables!$M$2:$M$19,IF(T20="NorthBound","&gt;=","&lt;=")&amp;Y20,[1]Variables!$M$2:$M$19,IF(T20="NorthBound","&lt;=","&gt;=")&amp;Z20),COUNTIFS([1]Variables!$P$2:$P$19,IF(T20="NorthBound","&gt;=","&lt;=")&amp;Y20,[1]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-09-26T04:07:06-0600',mode:absolute,to:'2017-09-26T07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203" t="str">
        <f>IF(AA20&lt;VLOOKUP(AG20,[1]Variables!$AC$3:$AD$8,2,FALSE),"Y","N")</f>
        <v>N</v>
      </c>
      <c r="X20" s="203">
        <f t="shared" si="6"/>
        <v>1</v>
      </c>
      <c r="Y20" s="203">
        <f t="shared" si="7"/>
        <v>23.303000000000001</v>
      </c>
      <c r="Z20" s="203">
        <f t="shared" si="8"/>
        <v>8.8499999999999995E-2</v>
      </c>
      <c r="AA20" s="203">
        <f t="shared" si="9"/>
        <v>23.214500000000001</v>
      </c>
      <c r="AB20" s="54" t="e">
        <f>VLOOKUP(A20,[1]Enforcements!$C$7:$K$11,8,0)</f>
        <v>#N/A</v>
      </c>
      <c r="AC20" s="51" t="e">
        <f>VLOOKUP(A20,[1]Enforcements!$C$7:$E$11,3,0)</f>
        <v>#N/A</v>
      </c>
      <c r="AD20" s="178">
        <f t="shared" si="10"/>
        <v>108</v>
      </c>
      <c r="AE20" s="77" t="str">
        <f t="shared" si="11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20" s="74" t="str">
        <f t="shared" si="12"/>
        <v>"C:\Program Files (x86)\AstroGrep\AstroGrep.exe" /e /r /s /spath="%USERPROFILE%\AppData\Local\Temp\OnboardLogs" /stypes="app*4009*20170926*" /stext=" 12:.+((SYSTEM_STATE.+slice.+state.+changed )|(ment ac)|(multiple cpu faults)|(system.+state.+changed )|(\[timeout)|(PRM\|1\|D)|(kpr)|(kdp)|(train st.+moving)|(\|lc)|(penalty))"</v>
      </c>
      <c r="AG20" s="181" t="str">
        <f t="shared" si="13"/>
        <v>EC</v>
      </c>
      <c r="AH20" s="78" t="str">
        <f t="shared" si="19"/>
        <v>"%USERPROFILE%\Documents\GitHub\eaglep3\Utilities\RefineRTDCRunTimes.py" --tripid 108-26 --locoid 4009 --swversion DE.1.0.9.0 --startMP 204:233030 --initTime 2017-09-26T05:07:06 --startdatetime 2017-09-26T05:27:13 --delay 64 --endMP 204:885 --enddatetime 2017-09-26T06:06:02 --enforcementcount 0 &gt;&gt;c:\users\stu\Documents\GitHub\eaglep3-reporting\EC\2017-09-26-refined-times.txt</v>
      </c>
      <c r="AI20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{"issue":{"subject":"","project_id":79,"tracker_id":40,"status_id":1,"priority_id":2,"assigned_to_id":338,"start_date":"2017-09-26","description":"","custom_fields":[{"id":1,"name":"Subdivision","value":"EC"},{"id":4,"name":"Milepost","value":"0.0885"},{"id":17,"name":"Train ID","value":"108-26"},{"id":16,"name":"Locomotive ID","value":"4009"},{"id":130,"name":"Impact","value":""},{"id":150,"name":"Time of Event (Mountain Time)","value":"06:06:02"},{"id":151,"name":"Denver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4009 --day 2017-09-26</v>
      </c>
      <c r="AN20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7" t="str">
        <f t="shared" si="23"/>
        <v>https://d0f6bd738d7f1b3e5a7ca70fe4ff75f0.us-east-1.aws.found.io/app/kibana#/discover/Steve-Slow-Train-Analysis-(2080s-and-2083s)?_g=(refreshInterval:(display:Off,pause:!f,section:0,value:0),time:(from:'2017-09-26T04:07:06-0600',mode:absolute,to:'2017-09-26T07:06:02-0600'))&amp;_a=(columns:!('Message%20ID',Summary),filters:!(),index:'emp_*',interval:auto,query:(query_string:(analyze_wildcard:!t,query:'%22rtdc.l.rtdc.4009%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656</v>
      </c>
      <c r="B21" s="7">
        <v>4054</v>
      </c>
      <c r="C21" s="21" t="s">
        <v>196</v>
      </c>
      <c r="D21" s="21" t="s">
        <v>348</v>
      </c>
      <c r="E21" s="13">
        <v>43004.195636574077</v>
      </c>
      <c r="F21" s="13">
        <v>43004.198101851849</v>
      </c>
      <c r="G21" s="7">
        <v>86</v>
      </c>
      <c r="H21" s="21" t="s">
        <v>411</v>
      </c>
      <c r="I21" s="13">
        <v>43004.222500000003</v>
      </c>
      <c r="J21" s="7">
        <v>0</v>
      </c>
      <c r="K21" s="89" t="str">
        <f t="shared" si="0"/>
        <v>4053/4054</v>
      </c>
      <c r="L21" s="184" t="str">
        <f>VLOOKUP(A21,'[1]Trips&amp;Operators'!$C$1:$G$99911,5,FALSE)</f>
        <v>LAMAR NEKESHA</v>
      </c>
      <c r="M21" s="6">
        <f t="shared" si="1"/>
        <v>2.439814815443242E-2</v>
      </c>
      <c r="N21" s="7">
        <f t="shared" si="2"/>
        <v>35.133333342382684</v>
      </c>
      <c r="O21" s="7"/>
      <c r="P21" s="7"/>
      <c r="Q21" s="22"/>
      <c r="R21" s="173"/>
      <c r="S21" s="220">
        <f t="shared" si="3"/>
        <v>1</v>
      </c>
      <c r="T21" s="173" t="str">
        <f t="shared" si="4"/>
        <v>NorthBound</v>
      </c>
      <c r="U21" s="197">
        <f>IF(AG21="EC",COUNTIFS([1]Variables!$M$2:$M$19,IF(T21="NorthBound","&gt;=","&lt;=")&amp;Y21,[1]Variables!$M$2:$M$19,IF(T21="NorthBound","&lt;=","&gt;=")&amp;Z21),COUNTIFS([1]Variables!$P$2:$P$19,IF(T21="NorthBound","&gt;=","&lt;=")&amp;Y21,[1]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-09-26T03:41:43-0600',mode:absolute,to:'2017-09-26T06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203" t="str">
        <f>IF(AA21&lt;VLOOKUP(AG21,[1]Variables!$AC$3:$AD$8,2,FALSE),"Y","N")</f>
        <v>N</v>
      </c>
      <c r="X21" s="203">
        <f t="shared" si="6"/>
        <v>1</v>
      </c>
      <c r="Y21" s="203">
        <f t="shared" si="7"/>
        <v>4.5499999999999999E-2</v>
      </c>
      <c r="Z21" s="203">
        <f t="shared" si="8"/>
        <v>23.333200000000001</v>
      </c>
      <c r="AA21" s="203">
        <f t="shared" si="9"/>
        <v>23.287700000000001</v>
      </c>
      <c r="AB21" s="54" t="e">
        <f>VLOOKUP(A21,[1]Enforcements!$C$7:$K$11,8,0)</f>
        <v>#N/A</v>
      </c>
      <c r="AC21" s="51" t="e">
        <f>VLOOKUP(A21,[1]Enforcements!$C$7:$E$11,3,0)</f>
        <v>#N/A</v>
      </c>
      <c r="AD21" s="178">
        <f t="shared" si="10"/>
        <v>109</v>
      </c>
      <c r="AE21" s="77" t="str">
        <f t="shared" si="11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21" s="74" t="str">
        <f t="shared" si="12"/>
        <v>"C:\Program Files (x86)\AstroGrep\AstroGrep.exe" /e /r /s /spath="%USERPROFILE%\AppData\Local\Temp\OnboardLogs" /stypes="app*4054*20170926*" /stext=" 11:.+((SYSTEM_STATE.+slice.+state.+changed )|(ment ac)|(multiple cpu faults)|(system.+state.+changed )|(\[timeout)|(PRM\|1\|D)|(kpr)|(kdp)|(train st.+moving)|(\|lc)|(penalty))"</v>
      </c>
      <c r="AG21" s="181" t="str">
        <f t="shared" si="13"/>
        <v>EC</v>
      </c>
      <c r="AH21" s="78" t="str">
        <f t="shared" si="19"/>
        <v>"%USERPROFILE%\Documents\GitHub\eaglep3\Utilities\RefineRTDCRunTimes.py" --tripid 109-26 --locoid 4054 --swversion DE.1.0.9.0 --startMP 204:455 --initTime 2017-09-26T04:41:43 --startdatetime 2017-09-26T04:45:16 --delay 86 --endMP 204:233332 --enddatetime 2017-09-26T05:20:24 --enforcementcount 0 &gt;&gt;c:\users\stu\Documents\GitHub\eaglep3-reporting\EC\2017-09-26-refined-times.txt</v>
      </c>
      <c r="AI21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{"issue":{"subject":"","project_id":79,"tracker_id":40,"status_id":1,"priority_id":2,"assigned_to_id":338,"start_date":"2017-09-26","description":"","custom_fields":[{"id":1,"name":"Subdivision","value":"EC"},{"id":4,"name":"Milepost","value":"23.3332"},{"id":17,"name":"Train ID","value":"109-26"},{"id":16,"name":"Locomotive ID","value":"4054"},{"id":130,"name":"Impact","value":""},{"id":150,"name":"Time of Event (Mountain Time)","value":"05:20:24"},{"id":151,"name":"Denver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4054 --day 2017-09-26</v>
      </c>
      <c r="AN21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7" t="str">
        <f t="shared" si="23"/>
        <v>https://d0f6bd738d7f1b3e5a7ca70fe4ff75f0.us-east-1.aws.found.io/app/kibana#/discover/Steve-Slow-Train-Analysis-(2080s-and-2083s)?_g=(refreshInterval:(display:Off,pause:!f,section:0,value:0),time:(from:'2017-09-26T03:41:43-0600',mode:absolute,to:'2017-09-26T06:20:24-0600'))&amp;_a=(columns:!('Message%20ID',Summary),filters:!(),index:'emp_*',interval:auto,query:(query_string:(analyze_wildcard:!t,query:'%22rtdc.l.rtdc.4054%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667</v>
      </c>
      <c r="B22" s="7">
        <v>4053</v>
      </c>
      <c r="C22" s="21" t="s">
        <v>196</v>
      </c>
      <c r="D22" s="21" t="s">
        <v>858</v>
      </c>
      <c r="E22" s="13">
        <v>43004.235706018517</v>
      </c>
      <c r="F22" s="13">
        <v>43004.237673611111</v>
      </c>
      <c r="G22" s="7">
        <v>68</v>
      </c>
      <c r="H22" s="21" t="s">
        <v>385</v>
      </c>
      <c r="I22" s="13">
        <v>43004.263738425929</v>
      </c>
      <c r="J22" s="7">
        <v>0</v>
      </c>
      <c r="K22" s="89" t="str">
        <f t="shared" si="0"/>
        <v>4053/4054</v>
      </c>
      <c r="L22" s="184" t="str">
        <f>VLOOKUP(A22,'[1]Trips&amp;Operators'!$C$1:$G$99911,5,FALSE)</f>
        <v>LAMAR NEKESHA</v>
      </c>
      <c r="M22" s="6">
        <f t="shared" si="1"/>
        <v>2.6064814817800652E-2</v>
      </c>
      <c r="N22" s="7">
        <f t="shared" si="2"/>
        <v>37.533333337632939</v>
      </c>
      <c r="O22" s="7"/>
      <c r="P22" s="7"/>
      <c r="Q22" s="22"/>
      <c r="R22" s="173"/>
      <c r="S22" s="220">
        <f t="shared" si="3"/>
        <v>1</v>
      </c>
      <c r="T22" s="173" t="str">
        <f t="shared" si="4"/>
        <v>Southbound</v>
      </c>
      <c r="U22" s="197">
        <f>IF(AG22="EC",COUNTIFS([1]Variables!$M$2:$M$19,IF(T22="NorthBound","&gt;=","&lt;=")&amp;Y22,[1]Variables!$M$2:$M$19,IF(T22="NorthBound","&lt;=","&gt;=")&amp;Z22),COUNTIFS([1]Variables!$P$2:$P$19,IF(T22="NorthBound","&gt;=","&lt;=")&amp;Y22,[1]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-09-26T04:39:25-0600',mode:absolute,to:'2017-09-26T07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203" t="str">
        <f>IF(AA22&lt;VLOOKUP(AG22,[1]Variables!$AC$3:$AD$8,2,FALSE),"Y","N")</f>
        <v>N</v>
      </c>
      <c r="X22" s="203">
        <f t="shared" si="6"/>
        <v>1</v>
      </c>
      <c r="Y22" s="203">
        <f t="shared" si="7"/>
        <v>23.3001</v>
      </c>
      <c r="Z22" s="203">
        <f t="shared" si="8"/>
        <v>1.6299999999999999E-2</v>
      </c>
      <c r="AA22" s="203">
        <f t="shared" si="9"/>
        <v>23.283799999999999</v>
      </c>
      <c r="AB22" s="54" t="e">
        <f>VLOOKUP(A22,[1]Enforcements!$C$7:$K$11,8,0)</f>
        <v>#N/A</v>
      </c>
      <c r="AC22" s="51" t="e">
        <f>VLOOKUP(A22,[1]Enforcements!$C$7:$E$11,3,0)</f>
        <v>#N/A</v>
      </c>
      <c r="AD22" s="178">
        <f t="shared" si="10"/>
        <v>110</v>
      </c>
      <c r="AE22" s="77" t="str">
        <f t="shared" si="11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22" s="74" t="str">
        <f t="shared" si="12"/>
        <v>"C:\Program Files (x86)\AstroGrep\AstroGrep.exe" /e /r /s /spath="%USERPROFILE%\AppData\Local\Temp\OnboardLogs" /stypes="app*4053*20170926*" /stext=" 12:.+((SYSTEM_STATE.+slice.+state.+changed )|(ment ac)|(multiple cpu faults)|(system.+state.+changed )|(\[timeout)|(PRM\|1\|D)|(kpr)|(kdp)|(train st.+moving)|(\|lc)|(penalty))"</v>
      </c>
      <c r="AG22" s="181" t="str">
        <f t="shared" si="13"/>
        <v>EC</v>
      </c>
      <c r="AH22" s="78" t="str">
        <f t="shared" si="19"/>
        <v>"%USERPROFILE%\Documents\GitHub\eaglep3\Utilities\RefineRTDCRunTimes.py" --tripid 110-26 --locoid 4053 --swversion DE.1.0.9.0 --startMP 204:233001 --initTime 2017-09-26T05:39:25 --startdatetime 2017-09-26T05:42:15 --delay 68 --endMP 204:163 --enddatetime 2017-09-26T06:19:47 --enforcementcount 0 &gt;&gt;c:\users\stu\Documents\GitHub\eaglep3-reporting\EC\2017-09-26-refined-times.txt</v>
      </c>
      <c r="AI22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{"issue":{"subject":"","project_id":79,"tracker_id":40,"status_id":1,"priority_id":2,"assigned_to_id":338,"start_date":"2017-09-26","description":"","custom_fields":[{"id":1,"name":"Subdivision","value":"EC"},{"id":4,"name":"Milepost","value":"0.0163"},{"id":17,"name":"Train ID","value":"110-26"},{"id":16,"name":"Locomotive ID","value":"4053"},{"id":130,"name":"Impact","value":""},{"id":150,"name":"Time of Event (Mountain Time)","value":"06:19:47"},{"id":151,"name":"Denver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4053 --day 2017-09-26</v>
      </c>
      <c r="AN22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7" t="str">
        <f t="shared" si="23"/>
        <v>https://d0f6bd738d7f1b3e5a7ca70fe4ff75f0.us-east-1.aws.found.io/app/kibana#/discover/Steve-Slow-Train-Analysis-(2080s-and-2083s)?_g=(refreshInterval:(display:Off,pause:!f,section:0,value:0),time:(from:'2017-09-26T04:39:25-0600',mode:absolute,to:'2017-09-26T07:19:47-0600'))&amp;_a=(columns:!('Message%20ID',Summary),filters:!(),index:'emp_*',interval:auto,query:(query_string:(analyze_wildcard:!t,query:'%22rtdc.l.rtdc.4053%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658</v>
      </c>
      <c r="B23" s="7">
        <v>4056</v>
      </c>
      <c r="C23" s="21" t="s">
        <v>196</v>
      </c>
      <c r="D23" s="21" t="s">
        <v>357</v>
      </c>
      <c r="E23" s="13">
        <v>43004.202118055553</v>
      </c>
      <c r="F23" s="13">
        <v>43004.208506944444</v>
      </c>
      <c r="G23" s="7">
        <v>52</v>
      </c>
      <c r="H23" s="21" t="s">
        <v>512</v>
      </c>
      <c r="I23" s="13">
        <v>43004.233020833337</v>
      </c>
      <c r="J23" s="7">
        <v>0</v>
      </c>
      <c r="K23" s="89" t="str">
        <f t="shared" si="0"/>
        <v>4055/4056</v>
      </c>
      <c r="L23" s="184" t="str">
        <f>VLOOKUP(A23,'[1]Trips&amp;Operators'!$C$1:$G$99911,5,FALSE)</f>
        <v>YORK EDGAR</v>
      </c>
      <c r="M23" s="6">
        <f t="shared" si="1"/>
        <v>2.4513888893125113E-2</v>
      </c>
      <c r="N23" s="7">
        <f t="shared" si="2"/>
        <v>35.300000006100163</v>
      </c>
      <c r="O23" s="7"/>
      <c r="P23" s="7"/>
      <c r="Q23" s="22"/>
      <c r="R23" s="173"/>
      <c r="S23" s="220">
        <f t="shared" si="3"/>
        <v>1</v>
      </c>
      <c r="T23" s="173" t="str">
        <f t="shared" si="4"/>
        <v>NorthBound</v>
      </c>
      <c r="U23" s="197">
        <f>IF(AG23="EC",COUNTIFS([1]Variables!$M$2:$M$19,IF(T23="NorthBound","&gt;=","&lt;=")&amp;Y23,[1]Variables!$M$2:$M$19,IF(T23="NorthBound","&lt;=","&gt;=")&amp;Z23),COUNTIFS([1]Variables!$P$2:$P$19,IF(T23="NorthBound","&gt;=","&lt;=")&amp;Y23,[1]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-09-26T03:51:03-0600',mode:absolute,to:'2017-09-26T06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203" t="str">
        <f>IF(AA23&lt;VLOOKUP(AG23,[1]Variables!$AC$3:$AD$8,2,FALSE),"Y","N")</f>
        <v>N</v>
      </c>
      <c r="X23" s="203">
        <f t="shared" si="6"/>
        <v>1</v>
      </c>
      <c r="Y23" s="203">
        <f t="shared" si="7"/>
        <v>4.58E-2</v>
      </c>
      <c r="Z23" s="203">
        <f t="shared" si="8"/>
        <v>23.330400000000001</v>
      </c>
      <c r="AA23" s="203">
        <f t="shared" si="9"/>
        <v>23.284600000000001</v>
      </c>
      <c r="AB23" s="54" t="e">
        <f>VLOOKUP(A23,[1]Enforcements!$C$7:$K$11,8,0)</f>
        <v>#N/A</v>
      </c>
      <c r="AC23" s="51" t="e">
        <f>VLOOKUP(A23,[1]Enforcements!$C$7:$E$11,3,0)</f>
        <v>#N/A</v>
      </c>
      <c r="AD23" s="178">
        <f t="shared" si="10"/>
        <v>111</v>
      </c>
      <c r="AE23" s="77" t="str">
        <f t="shared" si="11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23" s="74" t="str">
        <f t="shared" si="12"/>
        <v>"C:\Program Files (x86)\AstroGrep\AstroGrep.exe" /e /r /s /spath="%USERPROFILE%\AppData\Local\Temp\OnboardLogs" /stypes="app*4056*20170926*" /stext=" 11:.+((SYSTEM_STATE.+slice.+state.+changed )|(ment ac)|(multiple cpu faults)|(system.+state.+changed )|(\[timeout)|(PRM\|1\|D)|(kpr)|(kdp)|(train st.+moving)|(\|lc)|(penalty))"</v>
      </c>
      <c r="AG23" s="181" t="str">
        <f t="shared" si="13"/>
        <v>EC</v>
      </c>
      <c r="AH23" s="78" t="str">
        <f t="shared" si="19"/>
        <v>"%USERPROFILE%\Documents\GitHub\eaglep3\Utilities\RefineRTDCRunTimes.py" --tripid 111-26 --locoid 4056 --swversion DE.1.0.9.0 --startMP 204:458 --initTime 2017-09-26T04:51:03 --startdatetime 2017-09-26T05:00:15 --delay 52 --endMP 204:233304 --enddatetime 2017-09-26T05:35:33 --enforcementcount 0 &gt;&gt;c:\users\stu\Documents\GitHub\eaglep3-reporting\EC\2017-09-26-refined-times.txt</v>
      </c>
      <c r="AI23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{"issue":{"subject":"","project_id":79,"tracker_id":40,"status_id":1,"priority_id":2,"assigned_to_id":338,"start_date":"2017-09-26","description":"","custom_fields":[{"id":1,"name":"Subdivision","value":"EC"},{"id":4,"name":"Milepost","value":"23.3304"},{"id":17,"name":"Train ID","value":"111-26"},{"id":16,"name":"Locomotive ID","value":"4056"},{"id":130,"name":"Impact","value":""},{"id":150,"name":"Time of Event (Mountain Time)","value":"05:35:33"},{"id":151,"name":"Denver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4056 --day 2017-09-26</v>
      </c>
      <c r="AN23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7" t="str">
        <f t="shared" si="23"/>
        <v>https://d0f6bd738d7f1b3e5a7ca70fe4ff75f0.us-east-1.aws.found.io/app/kibana#/discover/Steve-Slow-Train-Analysis-(2080s-and-2083s)?_g=(refreshInterval:(display:Off,pause:!f,section:0,value:0),time:(from:'2017-09-26T03:51:03-0600',mode:absolute,to:'2017-09-26T06:35:33-0600'))&amp;_a=(columns:!('Message%20ID',Summary),filters:!(),index:'emp_*',interval:auto,query:(query_string:(analyze_wildcard:!t,query:'%22rtdc.l.rtdc.4056%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670</v>
      </c>
      <c r="B24" s="7">
        <v>4055</v>
      </c>
      <c r="C24" s="21" t="s">
        <v>196</v>
      </c>
      <c r="D24" s="21" t="s">
        <v>426</v>
      </c>
      <c r="E24" s="13">
        <v>43004.240185185183</v>
      </c>
      <c r="F24" s="13">
        <v>43004.24827546296</v>
      </c>
      <c r="G24" s="7">
        <v>46</v>
      </c>
      <c r="H24" s="21" t="s">
        <v>337</v>
      </c>
      <c r="I24" s="13">
        <v>43004.273831018516</v>
      </c>
      <c r="J24" s="7">
        <v>0</v>
      </c>
      <c r="K24" s="89" t="str">
        <f t="shared" si="0"/>
        <v>4055/4056</v>
      </c>
      <c r="L24" s="184" t="str">
        <f>VLOOKUP(A24,'[1]Trips&amp;Operators'!$C$1:$G$99911,5,FALSE)</f>
        <v>YORK EDGAR</v>
      </c>
      <c r="M24" s="6">
        <f t="shared" si="1"/>
        <v>2.5555555555911269E-2</v>
      </c>
      <c r="N24" s="7">
        <f t="shared" si="2"/>
        <v>36.800000000512227</v>
      </c>
      <c r="O24" s="7"/>
      <c r="P24" s="7"/>
      <c r="Q24" s="22"/>
      <c r="R24" s="173"/>
      <c r="S24" s="220">
        <f t="shared" si="3"/>
        <v>1</v>
      </c>
      <c r="T24" s="173" t="str">
        <f t="shared" si="4"/>
        <v>Southbound</v>
      </c>
      <c r="U24" s="197">
        <f>IF(AG24="EC",COUNTIFS([1]Variables!$M$2:$M$19,IF(T24="NorthBound","&gt;=","&lt;=")&amp;Y24,[1]Variables!$M$2:$M$19,IF(T24="NorthBound","&lt;=","&gt;=")&amp;Z24),COUNTIFS([1]Variables!$P$2:$P$19,IF(T24="NorthBound","&gt;=","&lt;=")&amp;Y24,[1]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-09-26T04:45:52-0600',mode:absolute,to:'2017-09-26T07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203" t="str">
        <f>IF(AA24&lt;VLOOKUP(AG24,[1]Variables!$AC$3:$AD$8,2,FALSE),"Y","N")</f>
        <v>N</v>
      </c>
      <c r="X24" s="203">
        <f t="shared" si="6"/>
        <v>1</v>
      </c>
      <c r="Y24" s="203">
        <f t="shared" si="7"/>
        <v>23.2987</v>
      </c>
      <c r="Z24" s="203">
        <f t="shared" si="8"/>
        <v>1.4999999999999999E-2</v>
      </c>
      <c r="AA24" s="203">
        <f t="shared" si="9"/>
        <v>23.2837</v>
      </c>
      <c r="AB24" s="54" t="e">
        <f>VLOOKUP(A24,[1]Enforcements!$C$7:$K$11,8,0)</f>
        <v>#N/A</v>
      </c>
      <c r="AC24" s="51" t="e">
        <f>VLOOKUP(A24,[1]Enforcements!$C$7:$E$11,3,0)</f>
        <v>#N/A</v>
      </c>
      <c r="AD24" s="178">
        <f t="shared" si="10"/>
        <v>112</v>
      </c>
      <c r="AE24" s="77" t="str">
        <f t="shared" si="11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24" s="74" t="str">
        <f t="shared" si="12"/>
        <v>"C:\Program Files (x86)\AstroGrep\AstroGrep.exe" /e /r /s /spath="%USERPROFILE%\AppData\Local\Temp\OnboardLogs" /stypes="app*4055*20170926*" /stext=" 12:.+((SYSTEM_STATE.+slice.+state.+changed )|(ment ac)|(multiple cpu faults)|(system.+state.+changed )|(\[timeout)|(PRM\|1\|D)|(kpr)|(kdp)|(train st.+moving)|(\|lc)|(penalty))"</v>
      </c>
      <c r="AG24" s="181" t="str">
        <f t="shared" si="13"/>
        <v>EC</v>
      </c>
      <c r="AH24" s="78" t="str">
        <f t="shared" si="19"/>
        <v>"%USERPROFILE%\Documents\GitHub\eaglep3\Utilities\RefineRTDCRunTimes.py" --tripid 112-26 --locoid 4055 --swversion DE.1.0.9.0 --startMP 204:232987 --initTime 2017-09-26T05:45:52 --startdatetime 2017-09-26T05:57:31 --delay 46 --endMP 204:150 --enddatetime 2017-09-26T06:34:19 --enforcementcount 0 &gt;&gt;c:\users\stu\Documents\GitHub\eaglep3-reporting\EC\2017-09-26-refined-times.txt</v>
      </c>
      <c r="AI24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ID","value":"112-26"},{"id":16,"name":"Locomotive ID","value":"4055"},{"id":130,"name":"Impact","value":""},{"id":150,"name":"Time of Event (Mountain Time)","value":"06:34:19"},{"id":151,"name":"Denver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4055 --day 2017-09-26</v>
      </c>
      <c r="AN24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7" t="str">
        <f t="shared" si="23"/>
        <v>https://d0f6bd738d7f1b3e5a7ca70fe4ff75f0.us-east-1.aws.found.io/app/kibana#/discover/Steve-Slow-Train-Analysis-(2080s-and-2083s)?_g=(refreshInterval:(display:Off,pause:!f,section:0,value:0),time:(from:'2017-09-26T04:45:52-0600',mode:absolute,to:'2017-09-26T07:34:19-0600'))&amp;_a=(columns:!('Message%20ID',Summary),filters:!(),index:'emp_*',interval:auto,query:(query_string:(analyze_wildcard:!t,query:'%22rtdc.l.rtdc.4055%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662</v>
      </c>
      <c r="B25" s="7">
        <v>4026</v>
      </c>
      <c r="C25" s="21" t="s">
        <v>196</v>
      </c>
      <c r="D25" s="21" t="s">
        <v>388</v>
      </c>
      <c r="E25" s="13">
        <v>43004.215254629627</v>
      </c>
      <c r="F25" s="13">
        <v>43004.218935185185</v>
      </c>
      <c r="G25" s="7">
        <v>135</v>
      </c>
      <c r="H25" s="21" t="s">
        <v>560</v>
      </c>
      <c r="I25" s="13">
        <v>43004.244050925925</v>
      </c>
      <c r="J25" s="7">
        <v>0</v>
      </c>
      <c r="K25" s="89" t="str">
        <f t="shared" si="0"/>
        <v>4025/4026</v>
      </c>
      <c r="L25" s="184" t="str">
        <f>VLOOKUP(A25,'[1]Trips&amp;Operators'!$C$1:$G$99911,5,FALSE)</f>
        <v>BARRON PERLA</v>
      </c>
      <c r="M25" s="6">
        <f t="shared" si="1"/>
        <v>2.5115740740147885E-2</v>
      </c>
      <c r="N25" s="7">
        <f t="shared" si="2"/>
        <v>36.166666665812954</v>
      </c>
      <c r="O25" s="7"/>
      <c r="P25" s="7"/>
      <c r="Q25" s="22"/>
      <c r="R25" s="173"/>
      <c r="S25" s="220">
        <f t="shared" si="3"/>
        <v>1</v>
      </c>
      <c r="T25" s="173" t="str">
        <f t="shared" si="4"/>
        <v>NorthBound</v>
      </c>
      <c r="U25" s="197">
        <f>IF(AG25="EC",COUNTIFS([1]Variables!$M$2:$M$19,IF(T25="NorthBound","&gt;=","&lt;=")&amp;Y25,[1]Variables!$M$2:$M$19,IF(T25="NorthBound","&lt;=","&gt;=")&amp;Z25),COUNTIFS([1]Variables!$P$2:$P$19,IF(T25="NorthBound","&gt;=","&lt;=")&amp;Y25,[1]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-09-26T04:09:58-0600',mode:absolute,to:'2017-09-26T06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203" t="str">
        <f>IF(AA25&lt;VLOOKUP(AG25,[1]Variables!$AC$3:$AD$8,2,FALSE),"Y","N")</f>
        <v>N</v>
      </c>
      <c r="X25" s="203">
        <f t="shared" si="6"/>
        <v>1</v>
      </c>
      <c r="Y25" s="203">
        <f t="shared" si="7"/>
        <v>4.5100000000000001E-2</v>
      </c>
      <c r="Z25" s="203">
        <f t="shared" si="8"/>
        <v>23.330500000000001</v>
      </c>
      <c r="AA25" s="203">
        <f t="shared" si="9"/>
        <v>23.285399999999999</v>
      </c>
      <c r="AB25" s="54" t="e">
        <f>VLOOKUP(A25,[1]Enforcements!$C$7:$K$11,8,0)</f>
        <v>#N/A</v>
      </c>
      <c r="AC25" s="51" t="e">
        <f>VLOOKUP(A25,[1]Enforcements!$C$7:$E$11,3,0)</f>
        <v>#N/A</v>
      </c>
      <c r="AD25" s="178">
        <f t="shared" si="10"/>
        <v>113</v>
      </c>
      <c r="AE25" s="77" t="str">
        <f t="shared" si="11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25" s="74" t="str">
        <f t="shared" si="12"/>
        <v>"C:\Program Files (x86)\AstroGrep\AstroGrep.exe" /e /r /s /spath="%USERPROFILE%\AppData\Local\Temp\OnboardLogs" /stypes="app*4026*20170926*" /stext=" 11:.+((SYSTEM_STATE.+slice.+state.+changed )|(ment ac)|(multiple cpu faults)|(system.+state.+changed )|(\[timeout)|(PRM\|1\|D)|(kpr)|(kdp)|(train st.+moving)|(\|lc)|(penalty))"</v>
      </c>
      <c r="AG25" s="181" t="str">
        <f t="shared" si="13"/>
        <v>EC</v>
      </c>
      <c r="AH25" s="78" t="str">
        <f t="shared" si="19"/>
        <v>"%USERPROFILE%\Documents\GitHub\eaglep3\Utilities\RefineRTDCRunTimes.py" --tripid 113-26 --locoid 4026 --swversion DE.1.0.9.0 --startMP 204:451 --initTime 2017-09-26T05:09:58 --startdatetime 2017-09-26T05:15:16 --delay 135 --endMP 204:233305 --enddatetime 2017-09-26T05:51:26 --enforcementcount 0 &gt;&gt;c:\users\stu\Documents\GitHub\eaglep3-reporting\EC\2017-09-26-refined-times.txt</v>
      </c>
      <c r="AI25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{"issue":{"subject":"","project_id":79,"tracker_id":40,"status_id":1,"priority_id":2,"assigned_to_id":338,"start_date":"2017-09-26","description":"","custom_fields":[{"id":1,"name":"Subdivision","value":"EC"},{"id":4,"name":"Milepost","value":"23.3305"},{"id":17,"name":"Train ID","value":"113-26"},{"id":16,"name":"Locomotive ID","value":"4026"},{"id":130,"name":"Impact","value":""},{"id":150,"name":"Time of Event (Mountain Time)","value":"05:51:26"},{"id":151,"name":"Denver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4026 --day 2017-09-26</v>
      </c>
      <c r="AN25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7" t="str">
        <f t="shared" si="23"/>
        <v>https://d0f6bd738d7f1b3e5a7ca70fe4ff75f0.us-east-1.aws.found.io/app/kibana#/discover/Steve-Slow-Train-Analysis-(2080s-and-2083s)?_g=(refreshInterval:(display:Off,pause:!f,section:0,value:0),time:(from:'2017-09-26T04:09:58-0600',mode:absolute,to:'2017-09-26T06:51:26-0600'))&amp;_a=(columns:!('Message%20ID',Summary),filters:!(),index:'emp_*',interval:auto,query:(query_string:(analyze_wildcard:!t,query:'%22rtdc.l.rtdc.4026%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671</v>
      </c>
      <c r="B26" s="7">
        <v>4025</v>
      </c>
      <c r="C26" s="21" t="s">
        <v>196</v>
      </c>
      <c r="D26" s="21" t="s">
        <v>859</v>
      </c>
      <c r="E26" s="13">
        <v>43004.245370370372</v>
      </c>
      <c r="F26" s="13">
        <v>43004.258518518516</v>
      </c>
      <c r="G26" s="7">
        <v>102</v>
      </c>
      <c r="H26" s="21" t="s">
        <v>860</v>
      </c>
      <c r="I26" s="13">
        <v>43004.285034722219</v>
      </c>
      <c r="J26" s="7">
        <v>0</v>
      </c>
      <c r="K26" s="89" t="str">
        <f t="shared" si="0"/>
        <v>4025/4026</v>
      </c>
      <c r="L26" s="184" t="str">
        <f>VLOOKUP(A26,'[1]Trips&amp;Operators'!$C$1:$G$99911,5,FALSE)</f>
        <v>BARRON PERLA</v>
      </c>
      <c r="M26" s="6">
        <f t="shared" si="1"/>
        <v>2.6516203703067731E-2</v>
      </c>
      <c r="N26" s="7">
        <f t="shared" si="2"/>
        <v>38.183333332417533</v>
      </c>
      <c r="O26" s="7"/>
      <c r="P26" s="7"/>
      <c r="Q26" s="22"/>
      <c r="R26" s="173"/>
      <c r="S26" s="220">
        <f t="shared" si="3"/>
        <v>1</v>
      </c>
      <c r="T26" s="173" t="str">
        <f t="shared" si="4"/>
        <v>Southbound</v>
      </c>
      <c r="U26" s="197">
        <f>IF(AG26="EC",COUNTIFS([1]Variables!$M$2:$M$19,IF(T26="NorthBound","&gt;=","&lt;=")&amp;Y26,[1]Variables!$M$2:$M$19,IF(T26="NorthBound","&lt;=","&gt;=")&amp;Z26),COUNTIFS([1]Variables!$P$2:$P$19,IF(T26="NorthBound","&gt;=","&lt;=")&amp;Y26,[1]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-09-26T04:53:20-0600',mode:absolute,to:'2017-09-26T07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203" t="str">
        <f>IF(AA26&lt;VLOOKUP(AG26,[1]Variables!$AC$3:$AD$8,2,FALSE),"Y","N")</f>
        <v>N</v>
      </c>
      <c r="X26" s="203">
        <f t="shared" si="6"/>
        <v>1</v>
      </c>
      <c r="Y26" s="203">
        <f t="shared" si="7"/>
        <v>23.296900000000001</v>
      </c>
      <c r="Z26" s="203">
        <f t="shared" si="8"/>
        <v>1.67E-2</v>
      </c>
      <c r="AA26" s="203">
        <f t="shared" si="9"/>
        <v>23.280200000000001</v>
      </c>
      <c r="AB26" s="54" t="e">
        <f>VLOOKUP(A26,[1]Enforcements!$C$7:$K$11,8,0)</f>
        <v>#N/A</v>
      </c>
      <c r="AC26" s="51" t="e">
        <f>VLOOKUP(A26,[1]Enforcements!$C$7:$E$11,3,0)</f>
        <v>#N/A</v>
      </c>
      <c r="AD26" s="178">
        <f t="shared" si="10"/>
        <v>114</v>
      </c>
      <c r="AE26" s="77" t="str">
        <f t="shared" si="11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26" s="74" t="str">
        <f t="shared" si="12"/>
        <v>"C:\Program Files (x86)\AstroGrep\AstroGrep.exe" /e /r /s /spath="%USERPROFILE%\AppData\Local\Temp\OnboardLogs" /stypes="app*4025*20170926*" /stext=" 12:.+((SYSTEM_STATE.+slice.+state.+changed )|(ment ac)|(multiple cpu faults)|(system.+state.+changed )|(\[timeout)|(PRM\|1\|D)|(kpr)|(kdp)|(train st.+moving)|(\|lc)|(penalty))"</v>
      </c>
      <c r="AG26" s="181" t="str">
        <f t="shared" si="13"/>
        <v>EC</v>
      </c>
      <c r="AH26" s="78" t="str">
        <f t="shared" si="19"/>
        <v>"%USERPROFILE%\Documents\GitHub\eaglep3\Utilities\RefineRTDCRunTimes.py" --tripid 114-26 --locoid 4025 --swversion DE.1.0.9.0 --startMP 204:232969 --initTime 2017-09-26T05:53:20 --startdatetime 2017-09-26T06:12:16 --delay 102 --endMP 204:167 --enddatetime 2017-09-26T06:50:27 --enforcementcount 0 &gt;&gt;c:\users\stu\Documents\GitHub\eaglep3-reporting\EC\2017-09-26-refined-times.txt</v>
      </c>
      <c r="AI26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{"issue":{"subject":"","project_id":79,"tracker_id":40,"status_id":1,"priority_id":2,"assigned_to_id":338,"start_date":"2017-09-26","description":"","custom_fields":[{"id":1,"name":"Subdivision","value":"EC"},{"id":4,"name":"Milepost","value":"0.0167"},{"id":17,"name":"Train ID","value":"114-26"},{"id":16,"name":"Locomotive ID","value":"4025"},{"id":130,"name":"Impact","value":""},{"id":150,"name":"Time of Event (Mountain Time)","value":"06:50:27"},{"id":151,"name":"Denver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4025 --day 2017-09-26</v>
      </c>
      <c r="AN26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7" t="str">
        <f t="shared" si="23"/>
        <v>https://d0f6bd738d7f1b3e5a7ca70fe4ff75f0.us-east-1.aws.found.io/app/kibana#/discover/Steve-Slow-Train-Analysis-(2080s-and-2083s)?_g=(refreshInterval:(display:Off,pause:!f,section:0,value:0),time:(from:'2017-09-26T04:53:20-0600',mode:absolute,to:'2017-09-26T07:50:27-0600'))&amp;_a=(columns:!('Message%20ID',Summary),filters:!(),index:'emp_*',interval:auto,query:(query_string:(analyze_wildcard:!t,query:'%22rtdc.l.rtdc.4025%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664</v>
      </c>
      <c r="B27" s="7">
        <v>4046</v>
      </c>
      <c r="C27" s="21" t="s">
        <v>196</v>
      </c>
      <c r="D27" s="21" t="s">
        <v>348</v>
      </c>
      <c r="E27" s="13">
        <v>43004.226643518516</v>
      </c>
      <c r="F27" s="13">
        <v>43004.229409722226</v>
      </c>
      <c r="G27" s="7">
        <v>65</v>
      </c>
      <c r="H27" s="21" t="s">
        <v>512</v>
      </c>
      <c r="I27" s="13">
        <v>43004.254548611112</v>
      </c>
      <c r="J27" s="7">
        <v>0</v>
      </c>
      <c r="K27" s="89" t="str">
        <f t="shared" si="0"/>
        <v>4045/4046</v>
      </c>
      <c r="L27" s="184" t="str">
        <f>VLOOKUP(A27,'[1]Trips&amp;Operators'!$C$1:$G$99911,5,FALSE)</f>
        <v>BONDS REYNALDO</v>
      </c>
      <c r="M27" s="6">
        <f t="shared" si="1"/>
        <v>2.5138888886431232E-2</v>
      </c>
      <c r="N27" s="7">
        <f t="shared" si="2"/>
        <v>36.199999996460974</v>
      </c>
      <c r="O27" s="7"/>
      <c r="P27" s="7"/>
      <c r="Q27" s="22"/>
      <c r="R27" s="173"/>
      <c r="S27" s="220">
        <f t="shared" si="3"/>
        <v>1</v>
      </c>
      <c r="T27" s="173" t="str">
        <f t="shared" si="4"/>
        <v>NorthBound</v>
      </c>
      <c r="U27" s="197">
        <f>IF(AG27="EC",COUNTIFS([1]Variables!$M$2:$M$19,IF(T27="NorthBound","&gt;=","&lt;=")&amp;Y27,[1]Variables!$M$2:$M$19,IF(T27="NorthBound","&lt;=","&gt;=")&amp;Z27),COUNTIFS([1]Variables!$P$2:$P$19,IF(T27="NorthBound","&gt;=","&lt;=")&amp;Y27,[1]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-09-26T04:26:22-0600',mode:absolute,to:'2017-09-26T07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203" t="str">
        <f>IF(AA27&lt;VLOOKUP(AG27,[1]Variables!$AC$3:$AD$8,2,FALSE),"Y","N")</f>
        <v>N</v>
      </c>
      <c r="X27" s="203">
        <f t="shared" si="6"/>
        <v>1</v>
      </c>
      <c r="Y27" s="203">
        <f t="shared" si="7"/>
        <v>4.5499999999999999E-2</v>
      </c>
      <c r="Z27" s="203">
        <f t="shared" si="8"/>
        <v>23.330400000000001</v>
      </c>
      <c r="AA27" s="203">
        <f t="shared" si="9"/>
        <v>23.2849</v>
      </c>
      <c r="AB27" s="54" t="e">
        <f>VLOOKUP(A27,[1]Enforcements!$C$7:$K$11,8,0)</f>
        <v>#N/A</v>
      </c>
      <c r="AC27" s="51" t="e">
        <f>VLOOKUP(A27,[1]Enforcements!$C$7:$E$11,3,0)</f>
        <v>#N/A</v>
      </c>
      <c r="AD27" s="178">
        <f t="shared" si="10"/>
        <v>115</v>
      </c>
      <c r="AE27" s="77" t="str">
        <f t="shared" si="11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27" s="74" t="str">
        <f t="shared" si="12"/>
        <v>"C:\Program Files (x86)\AstroGrep\AstroGrep.exe" /e /r /s /spath="%USERPROFILE%\AppData\Local\Temp\OnboardLogs" /stypes="app*4046*20170926*" /stext=" 12:.+((SYSTEM_STATE.+slice.+state.+changed )|(ment ac)|(multiple cpu faults)|(system.+state.+changed )|(\[timeout)|(PRM\|1\|D)|(kpr)|(kdp)|(train st.+moving)|(\|lc)|(penalty))"</v>
      </c>
      <c r="AG27" s="181" t="str">
        <f t="shared" si="13"/>
        <v>EC</v>
      </c>
      <c r="AH27" s="78" t="str">
        <f t="shared" si="19"/>
        <v>"%USERPROFILE%\Documents\GitHub\eaglep3\Utilities\RefineRTDCRunTimes.py" --tripid 115-26 --locoid 4046 --swversion DE.1.0.9.0 --startMP 204:455 --initTime 2017-09-26T05:26:22 --startdatetime 2017-09-26T05:30:21 --delay 65 --endMP 204:233304 --enddatetime 2017-09-26T06:06:33 --enforcementcount 0 &gt;&gt;c:\users\stu\Documents\GitHub\eaglep3-reporting\EC\2017-09-26-refined-times.txt</v>
      </c>
      <c r="AI27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{"issue":{"subject":"","project_id":79,"tracker_id":40,"status_id":1,"priority_id":2,"assigned_to_id":338,"start_date":"2017-09-26","description":"","custom_fields":[{"id":1,"name":"Subdivision","value":"EC"},{"id":4,"name":"Milepost","value":"23.3304"},{"id":17,"name":"Train ID","value":"115-26"},{"id":16,"name":"Locomotive ID","value":"4046"},{"id":130,"name":"Impact","value":""},{"id":150,"name":"Time of Event (Mountain Time)","value":"06:06:33"},{"id":151,"name":"Denver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4046 --day 2017-09-26</v>
      </c>
      <c r="AN27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7" t="str">
        <f t="shared" si="23"/>
        <v>https://d0f6bd738d7f1b3e5a7ca70fe4ff75f0.us-east-1.aws.found.io/app/kibana#/discover/Steve-Slow-Train-Analysis-(2080s-and-2083s)?_g=(refreshInterval:(display:Off,pause:!f,section:0,value:0),time:(from:'2017-09-26T04:26:22-0600',mode:absolute,to:'2017-09-26T07:06:33-0600'))&amp;_a=(columns:!('Message%20ID',Summary),filters:!(),index:'emp_*',interval:auto,query:(query_string:(analyze_wildcard:!t,query:'%22rtdc.l.rtdc.4046%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677</v>
      </c>
      <c r="B28" s="7">
        <v>4045</v>
      </c>
      <c r="C28" s="21" t="s">
        <v>196</v>
      </c>
      <c r="D28" s="21" t="s">
        <v>570</v>
      </c>
      <c r="E28" s="13">
        <v>43004.2658912037</v>
      </c>
      <c r="F28" s="13">
        <v>43004.268935185188</v>
      </c>
      <c r="G28" s="7">
        <v>48</v>
      </c>
      <c r="H28" s="21" t="s">
        <v>363</v>
      </c>
      <c r="I28" s="13">
        <v>43004.295231481483</v>
      </c>
      <c r="J28" s="7">
        <v>0</v>
      </c>
      <c r="K28" s="89" t="str">
        <f t="shared" si="0"/>
        <v>4045/4046</v>
      </c>
      <c r="L28" s="184" t="str">
        <f>VLOOKUP(A28,'[1]Trips&amp;Operators'!$C$1:$G$99911,5,FALSE)</f>
        <v>BONDS REYNALDO</v>
      </c>
      <c r="M28" s="6">
        <f t="shared" si="1"/>
        <v>2.6296296295186039E-2</v>
      </c>
      <c r="N28" s="7">
        <f t="shared" si="2"/>
        <v>37.866666665067896</v>
      </c>
      <c r="O28" s="7"/>
      <c r="P28" s="7"/>
      <c r="Q28" s="22"/>
      <c r="R28" s="173"/>
      <c r="S28" s="220">
        <f t="shared" si="3"/>
        <v>1</v>
      </c>
      <c r="T28" s="173" t="str">
        <f t="shared" si="4"/>
        <v>Southbound</v>
      </c>
      <c r="U28" s="197">
        <f>IF(AG28="EC",COUNTIFS([1]Variables!$M$2:$M$19,IF(T28="NorthBound","&gt;=","&lt;=")&amp;Y28,[1]Variables!$M$2:$M$19,IF(T28="NorthBound","&lt;=","&gt;=")&amp;Z28),COUNTIFS([1]Variables!$P$2:$P$19,IF(T28="NorthBound","&gt;=","&lt;=")&amp;Y28,[1]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-09-26T05:22:53-0600',mode:absolute,to:'2017-09-26T08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203" t="str">
        <f>IF(AA28&lt;VLOOKUP(AG28,[1]Variables!$AC$3:$AD$8,2,FALSE),"Y","N")</f>
        <v>N</v>
      </c>
      <c r="X28" s="203">
        <f t="shared" si="6"/>
        <v>1</v>
      </c>
      <c r="Y28" s="203">
        <f t="shared" si="7"/>
        <v>23.3004</v>
      </c>
      <c r="Z28" s="203">
        <f t="shared" si="8"/>
        <v>1.38E-2</v>
      </c>
      <c r="AA28" s="203">
        <f t="shared" si="9"/>
        <v>23.2866</v>
      </c>
      <c r="AB28" s="54" t="e">
        <f>VLOOKUP(A28,[1]Enforcements!$C$7:$K$11,8,0)</f>
        <v>#N/A</v>
      </c>
      <c r="AC28" s="51" t="e">
        <f>VLOOKUP(A28,[1]Enforcements!$C$7:$E$11,3,0)</f>
        <v>#N/A</v>
      </c>
      <c r="AD28" s="178">
        <f t="shared" si="10"/>
        <v>116</v>
      </c>
      <c r="AE28" s="77" t="str">
        <f t="shared" si="11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28" s="74" t="str">
        <f t="shared" si="12"/>
        <v>"C:\Program Files (x86)\AstroGrep\AstroGrep.exe" /e /r /s /spath="%USERPROFILE%\AppData\Local\Temp\OnboardLogs" /stypes="app*4045*20170926*" /stext=" 13:.+((SYSTEM_STATE.+slice.+state.+changed )|(ment ac)|(multiple cpu faults)|(system.+state.+changed )|(\[timeout)|(PRM\|1\|D)|(kpr)|(kdp)|(train st.+moving)|(\|lc)|(penalty))"</v>
      </c>
      <c r="AG28" s="181" t="str">
        <f t="shared" si="13"/>
        <v>EC</v>
      </c>
      <c r="AH28" s="78" t="str">
        <f t="shared" si="19"/>
        <v>"%USERPROFILE%\Documents\GitHub\eaglep3\Utilities\RefineRTDCRunTimes.py" --tripid 116-26 --locoid 4045 --swversion DE.1.0.9.0 --startMP 204:233004 --initTime 2017-09-26T06:22:53 --startdatetime 2017-09-26T06:27:16 --delay 48 --endMP 204:138 --enddatetime 2017-09-26T07:05:08 --enforcementcount 0 &gt;&gt;c:\users\stu\Documents\GitHub\eaglep3-reporting\EC\2017-09-26-refined-times.txt</v>
      </c>
      <c r="AI28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{"issue":{"subject":"","project_id":79,"tracker_id":40,"status_id":1,"priority_id":2,"assigned_to_id":338,"start_date":"2017-09-26","description":"","custom_fields":[{"id":1,"name":"Subdivision","value":"EC"},{"id":4,"name":"Milepost","value":"0.0138"},{"id":17,"name":"Train ID","value":"116-26"},{"id":16,"name":"Locomotive ID","value":"4045"},{"id":130,"name":"Impact","value":""},{"id":150,"name":"Time of Event (Mountain Time)","value":"07:05:08"},{"id":151,"name":"Denver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4045 --day 2017-09-26</v>
      </c>
      <c r="AN28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7" t="str">
        <f t="shared" si="23"/>
        <v>https://d0f6bd738d7f1b3e5a7ca70fe4ff75f0.us-east-1.aws.found.io/app/kibana#/discover/Steve-Slow-Train-Analysis-(2080s-and-2083s)?_g=(refreshInterval:(display:Off,pause:!f,section:0,value:0),time:(from:'2017-09-26T05:22:53-0600',mode:absolute,to:'2017-09-26T08:05:08-0600'))&amp;_a=(columns:!('Message%20ID',Summary),filters:!(),index:'emp_*',interval:auto,query:(query_string:(analyze_wildcard:!t,query:'%22rtdc.l.rtdc.4045%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666</v>
      </c>
      <c r="B29" s="7">
        <v>4024</v>
      </c>
      <c r="C29" s="21" t="s">
        <v>196</v>
      </c>
      <c r="D29" s="21" t="s">
        <v>369</v>
      </c>
      <c r="E29" s="13">
        <v>43004.234293981484</v>
      </c>
      <c r="F29" s="13">
        <v>43004.239988425928</v>
      </c>
      <c r="G29" s="7">
        <v>79</v>
      </c>
      <c r="H29" s="21" t="s">
        <v>525</v>
      </c>
      <c r="I29" s="13">
        <v>43004.265046296299</v>
      </c>
      <c r="J29" s="7">
        <v>0</v>
      </c>
      <c r="K29" s="89" t="str">
        <f t="shared" si="0"/>
        <v>4023/4024</v>
      </c>
      <c r="L29" s="184" t="str">
        <f>VLOOKUP(A29,'[1]Trips&amp;Operators'!$C$1:$G$99911,5,FALSE)</f>
        <v>MACDONALD THOMAS</v>
      </c>
      <c r="M29" s="6">
        <f t="shared" si="1"/>
        <v>2.5057870370801538E-2</v>
      </c>
      <c r="N29" s="7">
        <f t="shared" si="2"/>
        <v>36.083333333954215</v>
      </c>
      <c r="O29" s="7"/>
      <c r="P29" s="7"/>
      <c r="Q29" s="22"/>
      <c r="R29" s="173"/>
      <c r="S29" s="220">
        <f t="shared" si="3"/>
        <v>1</v>
      </c>
      <c r="T29" s="173" t="str">
        <f t="shared" si="4"/>
        <v>NorthBound</v>
      </c>
      <c r="U29" s="197">
        <f>IF(AG29="EC",COUNTIFS([1]Variables!$M$2:$M$19,IF(T29="NorthBound","&gt;=","&lt;=")&amp;Y29,[1]Variables!$M$2:$M$19,IF(T29="NorthBound","&lt;=","&gt;=")&amp;Z29),COUNTIFS([1]Variables!$P$2:$P$19,IF(T29="NorthBound","&gt;=","&lt;=")&amp;Y29,[1]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-09-26T04:37:23-0600',mode:absolute,to:'2017-09-26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203" t="str">
        <f>IF(AA29&lt;VLOOKUP(AG29,[1]Variables!$AC$3:$AD$8,2,FALSE),"Y","N")</f>
        <v>N</v>
      </c>
      <c r="X29" s="203">
        <f t="shared" si="6"/>
        <v>1</v>
      </c>
      <c r="Y29" s="203">
        <f t="shared" si="7"/>
        <v>4.6899999999999997E-2</v>
      </c>
      <c r="Z29" s="203">
        <f t="shared" si="8"/>
        <v>23.3291</v>
      </c>
      <c r="AA29" s="203">
        <f t="shared" si="9"/>
        <v>23.2822</v>
      </c>
      <c r="AB29" s="54" t="e">
        <f>VLOOKUP(A29,[1]Enforcements!$C$7:$K$11,8,0)</f>
        <v>#N/A</v>
      </c>
      <c r="AC29" s="51" t="e">
        <f>VLOOKUP(A29,[1]Enforcements!$C$7:$E$11,3,0)</f>
        <v>#N/A</v>
      </c>
      <c r="AD29" s="178">
        <f t="shared" si="10"/>
        <v>117</v>
      </c>
      <c r="AE29" s="77" t="str">
        <f t="shared" si="11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29" s="74" t="str">
        <f t="shared" si="12"/>
        <v>"C:\Program Files (x86)\AstroGrep\AstroGrep.exe" /e /r /s /spath="%USERPROFILE%\AppData\Local\Temp\OnboardLogs" /stypes="app*4024*20170926*" /stext=" 12:.+((SYSTEM_STATE.+slice.+state.+changed )|(ment ac)|(multiple cpu faults)|(system.+state.+changed )|(\[timeout)|(PRM\|1\|D)|(kpr)|(kdp)|(train st.+moving)|(\|lc)|(penalty))"</v>
      </c>
      <c r="AG29" s="181" t="str">
        <f t="shared" si="13"/>
        <v>EC</v>
      </c>
      <c r="AH29" s="78" t="str">
        <f t="shared" si="19"/>
        <v>"%USERPROFILE%\Documents\GitHub\eaglep3\Utilities\RefineRTDCRunTimes.py" --tripid 117-26 --locoid 4024 --swversion DE.1.0.9.0 --startMP 204:469 --initTime 2017-09-26T05:37:23 --startdatetime 2017-09-26T05:45:35 --delay 79 --endMP 204:233291 --enddatetime 2017-09-26T06:21:40 --enforcementcount 0 &gt;&gt;c:\users\stu\Documents\GitHub\eaglep3-reporting\EC\2017-09-26-refined-times.txt</v>
      </c>
      <c r="AI29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{"issue":{"subject":"","project_id":79,"tracker_id":40,"status_id":1,"priority_id":2,"assigned_to_id":338,"start_date":"2017-09-26","description":"","custom_fields":[{"id":1,"name":"Subdivision","value":"EC"},{"id":4,"name":"Milepost","value":"23.3291"},{"id":17,"name":"Train ID","value":"117-26"},{"id":16,"name":"Locomotive ID","value":"4024"},{"id":130,"name":"Impact","value":""},{"id":150,"name":"Time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4024 --day 2017-09-26</v>
      </c>
      <c r="AN29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7" t="str">
        <f t="shared" si="23"/>
        <v>https://d0f6bd738d7f1b3e5a7ca70fe4ff75f0.us-east-1.aws.found.io/app/kibana#/discover/Steve-Slow-Train-Analysis-(2080s-and-2083s)?_g=(refreshInterval:(display:Off,pause:!f,section:0,value:0),time:(from:'2017-09-26T04:37:23-0600',mode:absolute,to:'2017-09-26T07:21:40-0600'))&amp;_a=(columns:!('Message%20ID',Summary),filters:!(),index:'emp_*',interval:auto,query:(query_string:(analyze_wildcard:!t,query:'%22rtdc.l.rtdc.4024%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608</v>
      </c>
      <c r="B30" s="7">
        <v>4023</v>
      </c>
      <c r="C30" s="21" t="s">
        <v>196</v>
      </c>
      <c r="D30" s="21" t="s">
        <v>513</v>
      </c>
      <c r="E30" s="13">
        <v>43004.266030092593</v>
      </c>
      <c r="F30" s="13">
        <v>43004.27952546296</v>
      </c>
      <c r="G30" s="7">
        <v>1000</v>
      </c>
      <c r="H30" s="21" t="s">
        <v>518</v>
      </c>
      <c r="I30" s="13">
        <v>43004.306064814817</v>
      </c>
      <c r="J30" s="7">
        <v>0</v>
      </c>
      <c r="K30" s="89" t="str">
        <f t="shared" si="0"/>
        <v>4023/4024</v>
      </c>
      <c r="L30" s="184" t="str">
        <f>VLOOKUP(A30,'[1]Trips&amp;Operators'!$C$1:$G$99911,5,FALSE)</f>
        <v>MACDONALD THOMAS</v>
      </c>
      <c r="M30" s="6">
        <f t="shared" si="1"/>
        <v>2.6539351856627036E-2</v>
      </c>
      <c r="N30" s="7">
        <f t="shared" si="2"/>
        <v>38.216666673542932</v>
      </c>
      <c r="O30" s="7"/>
      <c r="P30" s="7"/>
      <c r="Q30" s="22"/>
      <c r="R30" s="173"/>
      <c r="S30" s="220">
        <f t="shared" si="3"/>
        <v>1</v>
      </c>
      <c r="T30" s="173" t="str">
        <f t="shared" si="4"/>
        <v>Southbound</v>
      </c>
      <c r="U30" s="197">
        <f>IF(AG30="EC",COUNTIFS([1]Variables!$M$2:$M$19,IF(T30="NorthBound","&gt;=","&lt;=")&amp;Y30,[1]Variables!$M$2:$M$19,IF(T30="NorthBound","&lt;=","&gt;=")&amp;Z30),COUNTIFS([1]Variables!$P$2:$P$19,IF(T30="NorthBound","&gt;=","&lt;=")&amp;Y30,[1]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-09-26T05:23:05-0600',mode:absolute,to:'2017-09-26T08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203" t="str">
        <f>IF(AA30&lt;VLOOKUP(AG30,[1]Variables!$AC$3:$AD$8,2,FALSE),"Y","N")</f>
        <v>N</v>
      </c>
      <c r="X30" s="203">
        <f t="shared" si="6"/>
        <v>1</v>
      </c>
      <c r="Y30" s="203">
        <f t="shared" si="7"/>
        <v>23.296700000000001</v>
      </c>
      <c r="Z30" s="203">
        <f t="shared" si="8"/>
        <v>1.7000000000000001E-2</v>
      </c>
      <c r="AA30" s="203">
        <f t="shared" si="9"/>
        <v>23.279700000000002</v>
      </c>
      <c r="AB30" s="54" t="e">
        <f>VLOOKUP(A30,[1]Enforcements!$C$7:$K$11,8,0)</f>
        <v>#N/A</v>
      </c>
      <c r="AC30" s="51" t="e">
        <f>VLOOKUP(A30,[1]Enforcements!$C$7:$E$11,3,0)</f>
        <v>#N/A</v>
      </c>
      <c r="AD30" s="178">
        <f t="shared" si="10"/>
        <v>118</v>
      </c>
      <c r="AE30" s="77" t="str">
        <f t="shared" si="11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30" s="74" t="str">
        <f t="shared" si="12"/>
        <v>"C:\Program Files (x86)\AstroGrep\AstroGrep.exe" /e /r /s /spath="%USERPROFILE%\AppData\Local\Temp\OnboardLogs" /stypes="app*4023*20170926*" /stext=" 13:.+((SYSTEM_STATE.+slice.+state.+changed )|(ment ac)|(multiple cpu faults)|(system.+state.+changed )|(\[timeout)|(PRM\|1\|D)|(kpr)|(kdp)|(train st.+moving)|(\|lc)|(penalty))"</v>
      </c>
      <c r="AG30" s="181" t="str">
        <f t="shared" si="13"/>
        <v>EC</v>
      </c>
      <c r="AH30" s="78" t="str">
        <f t="shared" si="19"/>
        <v>"%USERPROFILE%\Documents\GitHub\eaglep3\Utilities\RefineRTDCRunTimes.py" --tripid 118-26 --locoid 4023 --swversion DE.1.0.9.0 --startMP 204:232967 --initTime 2017-09-26T06:23:05 --startdatetime 2017-09-26T06:42:31 --delay 1000 --endMP 204:170 --enddatetime 2017-09-26T07:20:44 --enforcementcount 0 &gt;&gt;c:\users\stu\Documents\GitHub\eaglep3-reporting\EC\2017-09-26-refined-times.txt</v>
      </c>
      <c r="AI30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{"issue":{"subject":"","project_id":79,"tracker_id":40,"status_id":1,"priority_id":2,"assigned_to_id":338,"start_date":"2017-09-26","description":"","custom_fields":[{"id":1,"name":"Subdivision","value":"EC"},{"id":4,"name":"Milepost","value":"0.017"},{"id":17,"name":"Train ID","value":"118-26"},{"id":16,"name":"Locomotive ID","value":"4023"},{"id":130,"name":"Impact","value":""},{"id":150,"name":"Time of Event (Mountain Time)","value":"07:20:44"},{"id":151,"name":"Denver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4023 --day 2017-09-26</v>
      </c>
      <c r="AN30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7" t="str">
        <f t="shared" si="23"/>
        <v>https://d0f6bd738d7f1b3e5a7ca70fe4ff75f0.us-east-1.aws.found.io/app/kibana#/discover/Steve-Slow-Train-Analysis-(2080s-and-2083s)?_g=(refreshInterval:(display:Off,pause:!f,section:0,value:0),time:(from:'2017-09-26T05:23:05-0600',mode:absolute,to:'2017-09-26T08:20:44-0600'))&amp;_a=(columns:!('Message%20ID',Summary),filters:!(),index:'emp_*',interval:auto,query:(query_string:(analyze_wildcard:!t,query:'%22rtdc.l.rtdc.4023%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673</v>
      </c>
      <c r="B31" s="7">
        <v>4060</v>
      </c>
      <c r="C31" s="21" t="s">
        <v>196</v>
      </c>
      <c r="D31" s="21" t="s">
        <v>369</v>
      </c>
      <c r="E31" s="13">
        <v>43004.248564814814</v>
      </c>
      <c r="F31" s="13">
        <v>43004.2503125</v>
      </c>
      <c r="G31" s="7">
        <v>62</v>
      </c>
      <c r="H31" s="21" t="s">
        <v>530</v>
      </c>
      <c r="I31" s="13">
        <v>43004.275300925925</v>
      </c>
      <c r="J31" s="7">
        <v>0</v>
      </c>
      <c r="K31" s="89" t="str">
        <f t="shared" si="0"/>
        <v>4059/4060</v>
      </c>
      <c r="L31" s="184" t="str">
        <f>VLOOKUP(A31,'[1]Trips&amp;Operators'!$C$1:$G$99911,5,FALSE)</f>
        <v>THOMPSON LESTER</v>
      </c>
      <c r="M31" s="6">
        <f t="shared" si="1"/>
        <v>2.4988425924675539E-2</v>
      </c>
      <c r="N31" s="7">
        <f t="shared" si="2"/>
        <v>35.983333331532776</v>
      </c>
      <c r="O31" s="7"/>
      <c r="P31" s="7"/>
      <c r="Q31" s="22"/>
      <c r="R31" s="173"/>
      <c r="S31" s="220">
        <f t="shared" si="3"/>
        <v>1</v>
      </c>
      <c r="T31" s="173" t="str">
        <f t="shared" si="4"/>
        <v>NorthBound</v>
      </c>
      <c r="U31" s="197">
        <f>IF(AG31="EC",COUNTIFS([1]Variables!$M$2:$M$19,IF(T31="NorthBound","&gt;=","&lt;=")&amp;Y31,[1]Variables!$M$2:$M$19,IF(T31="NorthBound","&lt;=","&gt;=")&amp;Z31),COUNTIFS([1]Variables!$P$2:$P$19,IF(T31="NorthBound","&gt;=","&lt;=")&amp;Y31,[1]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-09-26T04:57:56-0600',mode:absolute,to:'2017-09-26T07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03" t="str">
        <f>IF(AA31&lt;VLOOKUP(AG31,[1]Variables!$AC$3:$AD$8,2,FALSE),"Y","N")</f>
        <v>N</v>
      </c>
      <c r="X31" s="203">
        <f t="shared" si="6"/>
        <v>1</v>
      </c>
      <c r="Y31" s="203">
        <f t="shared" si="7"/>
        <v>4.6899999999999997E-2</v>
      </c>
      <c r="Z31" s="203">
        <f t="shared" si="8"/>
        <v>23.334</v>
      </c>
      <c r="AA31" s="203">
        <f t="shared" si="9"/>
        <v>23.287099999999999</v>
      </c>
      <c r="AB31" s="54" t="e">
        <f>VLOOKUP(A31,[1]Enforcements!$C$7:$K$11,8,0)</f>
        <v>#N/A</v>
      </c>
      <c r="AC31" s="51" t="e">
        <f>VLOOKUP(A31,[1]Enforcements!$C$7:$E$11,3,0)</f>
        <v>#N/A</v>
      </c>
      <c r="AD31" s="178">
        <f t="shared" si="10"/>
        <v>119</v>
      </c>
      <c r="AE31" s="77" t="str">
        <f t="shared" si="11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31" s="74" t="str">
        <f t="shared" si="12"/>
        <v>"C:\Program Files (x86)\AstroGrep\AstroGrep.exe" /e /r /s /spath="%USERPROFILE%\AppData\Local\Temp\OnboardLogs" /stypes="app*4060*20170926*" /stext=" 12:.+((SYSTEM_STATE.+slice.+state.+changed )|(ment ac)|(multiple cpu faults)|(system.+state.+changed )|(\[timeout)|(PRM\|1\|D)|(kpr)|(kdp)|(train st.+moving)|(\|lc)|(penalty))"</v>
      </c>
      <c r="AG31" s="181" t="str">
        <f t="shared" si="13"/>
        <v>EC</v>
      </c>
      <c r="AH31" s="78" t="str">
        <f t="shared" si="19"/>
        <v>"%USERPROFILE%\Documents\GitHub\eaglep3\Utilities\RefineRTDCRunTimes.py" --tripid 119-26 --locoid 4060 --swversion DE.1.0.9.0 --startMP 204:469 --initTime 2017-09-26T05:57:56 --startdatetime 2017-09-26T06:00:27 --delay 62 --endMP 204:233340 --enddatetime 2017-09-26T06:36:26 --enforcementcount 0 &gt;&gt;c:\users\stu\Documents\GitHub\eaglep3-reporting\EC\2017-09-26-refined-times.txt</v>
      </c>
      <c r="AI31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{"issue":{"subject":"","project_id":79,"tracker_id":40,"status_id":1,"priority_id":2,"assigned_to_id":338,"start_date":"2017-09-26","description":"","custom_fields":[{"id":1,"name":"Subdivision","value":"EC"},{"id":4,"name":"Milepost","value":"23.334"},{"id":17,"name":"Train ID","value":"119-26"},{"id":16,"name":"Locomotive ID","value":"4060"},{"id":130,"name":"Impact","value":""},{"id":150,"name":"Time of Event (Mountain Time)","value":"06:36:26"},{"id":151,"name":"Denver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4060 --day 2017-09-26</v>
      </c>
      <c r="AN31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7" t="str">
        <f t="shared" si="23"/>
        <v>https://d0f6bd738d7f1b3e5a7ca70fe4ff75f0.us-east-1.aws.found.io/app/kibana#/discover/Steve-Slow-Train-Analysis-(2080s-and-2083s)?_g=(refreshInterval:(display:Off,pause:!f,section:0,value:0),time:(from:'2017-09-26T04:57:56-0600',mode:absolute,to:'2017-09-26T07:36:26-0600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683</v>
      </c>
      <c r="B32" s="7">
        <v>4059</v>
      </c>
      <c r="C32" s="21" t="s">
        <v>196</v>
      </c>
      <c r="D32" s="21" t="s">
        <v>532</v>
      </c>
      <c r="E32" s="13">
        <v>43004.287673611114</v>
      </c>
      <c r="F32" s="13">
        <v>43004.289826388886</v>
      </c>
      <c r="G32" s="7">
        <v>61</v>
      </c>
      <c r="H32" s="21" t="s">
        <v>342</v>
      </c>
      <c r="I32" s="13">
        <v>43004.31821759259</v>
      </c>
      <c r="J32" s="7">
        <v>0</v>
      </c>
      <c r="K32" s="89" t="str">
        <f t="shared" si="0"/>
        <v>4059/4060</v>
      </c>
      <c r="L32" s="184" t="str">
        <f>VLOOKUP(A32,'[1]Trips&amp;Operators'!$C$1:$G$99911,5,FALSE)</f>
        <v>THOMPSON LESTER</v>
      </c>
      <c r="M32" s="6">
        <f t="shared" si="1"/>
        <v>2.8391203704813961E-2</v>
      </c>
      <c r="N32" s="7">
        <f t="shared" si="2"/>
        <v>40.883333334932104</v>
      </c>
      <c r="O32" s="7"/>
      <c r="P32" s="7"/>
      <c r="Q32" s="22"/>
      <c r="R32" s="173"/>
      <c r="S32" s="220">
        <f t="shared" si="3"/>
        <v>1</v>
      </c>
      <c r="T32" s="173" t="str">
        <f t="shared" si="4"/>
        <v>Southbound</v>
      </c>
      <c r="U32" s="197">
        <f>IF(AG32="EC",COUNTIFS([1]Variables!$M$2:$M$19,IF(T32="NorthBound","&gt;=","&lt;=")&amp;Y32,[1]Variables!$M$2:$M$19,IF(T32="NorthBound","&lt;=","&gt;=")&amp;Z32),COUNTIFS([1]Variables!$P$2:$P$19,IF(T32="NorthBound","&gt;=","&lt;=")&amp;Y32,[1]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-09-26T05:54:15-0600',mode:absolute,to:'2017-09-26T08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03" t="str">
        <f>IF(AA32&lt;VLOOKUP(AG32,[1]Variables!$AC$3:$AD$8,2,FALSE),"Y","N")</f>
        <v>N</v>
      </c>
      <c r="X32" s="203">
        <f t="shared" si="6"/>
        <v>1</v>
      </c>
      <c r="Y32" s="203">
        <f t="shared" si="7"/>
        <v>23.302499999999998</v>
      </c>
      <c r="Z32" s="203">
        <f t="shared" si="8"/>
        <v>1.47E-2</v>
      </c>
      <c r="AA32" s="203">
        <f t="shared" si="9"/>
        <v>23.287799999999997</v>
      </c>
      <c r="AB32" s="54" t="e">
        <f>VLOOKUP(A32,[1]Enforcements!$C$7:$K$11,8,0)</f>
        <v>#N/A</v>
      </c>
      <c r="AC32" s="51" t="e">
        <f>VLOOKUP(A32,[1]Enforcements!$C$7:$E$11,3,0)</f>
        <v>#N/A</v>
      </c>
      <c r="AD32" s="178">
        <f t="shared" si="10"/>
        <v>120</v>
      </c>
      <c r="AE32" s="77" t="str">
        <f t="shared" si="11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32" s="74" t="str">
        <f t="shared" si="12"/>
        <v>"C:\Program Files (x86)\AstroGrep\AstroGrep.exe" /e /r /s /spath="%USERPROFILE%\AppData\Local\Temp\OnboardLogs" /stypes="app*4059*20170926*" /stext=" 13:.+((SYSTEM_STATE.+slice.+state.+changed )|(ment ac)|(multiple cpu faults)|(system.+state.+changed )|(\[timeout)|(PRM\|1\|D)|(kpr)|(kdp)|(train st.+moving)|(\|lc)|(penalty))"</v>
      </c>
      <c r="AG32" s="181" t="str">
        <f t="shared" si="13"/>
        <v>EC</v>
      </c>
      <c r="AH32" s="78" t="str">
        <f t="shared" si="19"/>
        <v>"%USERPROFILE%\Documents\GitHub\eaglep3\Utilities\RefineRTDCRunTimes.py" --tripid 120-26 --locoid 4059 --swversion DE.1.0.9.0 --startMP 204:233025 --initTime 2017-09-26T06:54:15 --startdatetime 2017-09-26T06:57:21 --delay 61 --endMP 204:147 --enddatetime 2017-09-26T07:38:14 --enforcementcount 0 &gt;&gt;c:\users\stu\Documents\GitHub\eaglep3-reporting\EC\2017-09-26-refined-times.txt</v>
      </c>
      <c r="AI32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ID","value":"120-26"},{"id":16,"name":"Locomotive ID","value":"4059"},{"id":130,"name":"Impact","value":""},{"id":150,"name":"Time of Event (Mountain Time)","value":"07:38:14"},{"id":151,"name":"Denver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4059 --day 2017-09-26</v>
      </c>
      <c r="AN32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7" t="str">
        <f t="shared" si="23"/>
        <v>https://d0f6bd738d7f1b3e5a7ca70fe4ff75f0.us-east-1.aws.found.io/app/kibana#/discover/Steve-Slow-Train-Analysis-(2080s-and-2083s)?_g=(refreshInterval:(display:Off,pause:!f,section:0,value:0),time:(from:'2017-09-26T05:54:15-0600',mode:absolute,to:'2017-09-26T08:38:14-0600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676</v>
      </c>
      <c r="B33" s="7">
        <v>4018</v>
      </c>
      <c r="C33" s="21" t="s">
        <v>196</v>
      </c>
      <c r="D33" s="21" t="s">
        <v>357</v>
      </c>
      <c r="E33" s="13">
        <v>43004.257337962961</v>
      </c>
      <c r="F33" s="13">
        <v>43004.260972222219</v>
      </c>
      <c r="G33" s="7">
        <v>118</v>
      </c>
      <c r="H33" s="21" t="s">
        <v>861</v>
      </c>
      <c r="I33" s="13">
        <v>43004.285011574073</v>
      </c>
      <c r="J33" s="7">
        <v>0</v>
      </c>
      <c r="K33" s="89" t="str">
        <f t="shared" si="0"/>
        <v>4017/4018</v>
      </c>
      <c r="L33" s="184" t="str">
        <f>VLOOKUP(A33,'[1]Trips&amp;Operators'!$C$1:$G$99911,5,FALSE)</f>
        <v>LALONDE GREGORY</v>
      </c>
      <c r="M33" s="6">
        <f t="shared" si="1"/>
        <v>2.4039351854298729E-2</v>
      </c>
      <c r="N33" s="7">
        <f t="shared" si="2"/>
        <v>34.61666667019017</v>
      </c>
      <c r="O33" s="7"/>
      <c r="P33" s="7"/>
      <c r="Q33" s="22"/>
      <c r="R33" s="173"/>
      <c r="S33" s="220">
        <f t="shared" si="3"/>
        <v>1</v>
      </c>
      <c r="T33" s="173" t="str">
        <f t="shared" si="4"/>
        <v>NorthBound</v>
      </c>
      <c r="U33" s="197">
        <f>IF(AG33="EC",COUNTIFS([1]Variables!$M$2:$M$19,IF(T33="NorthBound","&gt;=","&lt;=")&amp;Y33,[1]Variables!$M$2:$M$19,IF(T33="NorthBound","&lt;=","&gt;=")&amp;Z33),COUNTIFS([1]Variables!$P$2:$P$19,IF(T33="NorthBound","&gt;=","&lt;=")&amp;Y33,[1]Variables!$P$2:$P$19,IF(T33="NorthBound","&lt;=","&gt;=")&amp;Z33))</f>
        <v>12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-09-26T05:10:34-0600',mode:absolute,to:'2017-09-26T07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03" t="str">
        <f>IF(AA33&lt;VLOOKUP(AG33,[1]Variables!$AC$3:$AD$8,2,FALSE),"Y","N")</f>
        <v>N</v>
      </c>
      <c r="X33" s="203">
        <f t="shared" si="6"/>
        <v>1</v>
      </c>
      <c r="Y33" s="203">
        <f t="shared" si="7"/>
        <v>4.58E-2</v>
      </c>
      <c r="Z33" s="203">
        <f t="shared" si="8"/>
        <v>23.332599999999999</v>
      </c>
      <c r="AA33" s="203">
        <f t="shared" si="9"/>
        <v>23.286799999999999</v>
      </c>
      <c r="AB33" s="54" t="e">
        <f>VLOOKUP(A33,[1]Enforcements!$C$7:$K$11,8,0)</f>
        <v>#N/A</v>
      </c>
      <c r="AC33" s="51" t="e">
        <f>VLOOKUP(A33,[1]Enforcements!$C$7:$E$11,3,0)</f>
        <v>#N/A</v>
      </c>
      <c r="AD33" s="178">
        <f t="shared" si="10"/>
        <v>121</v>
      </c>
      <c r="AE33" s="77" t="str">
        <f t="shared" si="11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33" s="74" t="str">
        <f t="shared" si="12"/>
        <v>"C:\Program Files (x86)\AstroGrep\AstroGrep.exe" /e /r /s /spath="%USERPROFILE%\AppData\Local\Temp\OnboardLogs" /stypes="app*4018*20170926*" /stext=" 12:.+((SYSTEM_STATE.+slice.+state.+changed )|(ment ac)|(multiple cpu faults)|(system.+state.+changed )|(\[timeout)|(PRM\|1\|D)|(kpr)|(kdp)|(train st.+moving)|(\|lc)|(penalty))"</v>
      </c>
      <c r="AG33" s="181" t="str">
        <f t="shared" si="13"/>
        <v>EC</v>
      </c>
      <c r="AH33" s="78" t="str">
        <f t="shared" si="19"/>
        <v>"%USERPROFILE%\Documents\GitHub\eaglep3\Utilities\RefineRTDCRunTimes.py" --tripid 121-26 --locoid 4018 --swversion DE.1.0.9.0 --startMP 204:458 --initTime 2017-09-26T06:10:34 --startdatetime 2017-09-26T06:15:48 --delay 118 --endMP 204:233326 --enddatetime 2017-09-26T06:50:25 --enforcementcount 0 &gt;&gt;c:\users\stu\Documents\GitHub\eaglep3-reporting\EC\2017-09-26-refined-times.txt</v>
      </c>
      <c r="AI33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{"issue":{"subject":"","project_id":79,"tracker_id":40,"status_id":1,"priority_id":2,"assigned_to_id":338,"start_date":"2017-09-26","description":"","custom_fields":[{"id":1,"name":"Subdivision","value":"EC"},{"id":4,"name":"Milepost","value":"23.3326"},{"id":17,"name":"Train ID","value":"121-26"},{"id":16,"name":"Locomotive ID","value":"4018"},{"id":130,"name":"Impact","value":""},{"id":150,"name":"Time of Event (Mountain Time)","value":"06:50:25"},{"id":151,"name":"Denver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4018 --day 2017-09-26</v>
      </c>
      <c r="AN33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7" t="str">
        <f t="shared" si="23"/>
        <v>https://d0f6bd738d7f1b3e5a7ca70fe4ff75f0.us-east-1.aws.found.io/app/kibana#/discover/Steve-Slow-Train-Analysis-(2080s-and-2083s)?_g=(refreshInterval:(display:Off,pause:!f,section:0,value:0),time:(from:'2017-09-26T05:10:34-0600',mode:absolute,to:'2017-09-26T07:50:25-0600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684</v>
      </c>
      <c r="B34" s="7">
        <v>4017</v>
      </c>
      <c r="C34" s="21" t="s">
        <v>196</v>
      </c>
      <c r="D34" s="21" t="s">
        <v>454</v>
      </c>
      <c r="E34" s="13">
        <v>43004.288900462961</v>
      </c>
      <c r="F34" s="13">
        <v>43004.300300925926</v>
      </c>
      <c r="G34" s="7">
        <v>97</v>
      </c>
      <c r="H34" s="21" t="s">
        <v>341</v>
      </c>
      <c r="I34" s="13">
        <v>43004.327291666668</v>
      </c>
      <c r="J34" s="7">
        <v>0</v>
      </c>
      <c r="K34" s="89" t="str">
        <f t="shared" si="0"/>
        <v>4017/4018</v>
      </c>
      <c r="L34" s="184" t="str">
        <f>VLOOKUP(A34,'[1]Trips&amp;Operators'!$C$1:$G$99911,5,FALSE)</f>
        <v>ROMERO CHAD</v>
      </c>
      <c r="M34" s="6">
        <f t="shared" si="1"/>
        <v>2.6990740741894115E-2</v>
      </c>
      <c r="N34" s="7">
        <f t="shared" si="2"/>
        <v>38.866666668327525</v>
      </c>
      <c r="O34" s="7"/>
      <c r="P34" s="7"/>
      <c r="Q34" s="22"/>
      <c r="R34" s="173"/>
      <c r="S34" s="220">
        <f t="shared" si="3"/>
        <v>1</v>
      </c>
      <c r="T34" s="173" t="str">
        <f t="shared" si="4"/>
        <v>Southbound</v>
      </c>
      <c r="U34" s="197">
        <f>IF(AG34="EC",COUNTIFS([1]Variables!$M$2:$M$19,IF(T34="NorthBound","&gt;=","&lt;=")&amp;Y34,[1]Variables!$M$2:$M$19,IF(T34="NorthBound","&lt;=","&gt;=")&amp;Z34),COUNTIFS([1]Variables!$P$2:$P$19,IF(T34="NorthBound","&gt;=","&lt;=")&amp;Y34,[1]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-09-26T05:56:01-0600',mode:absolute,to:'2017-09-26T08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03" t="str">
        <f>IF(AA34&lt;VLOOKUP(AG34,[1]Variables!$AC$3:$AD$8,2,FALSE),"Y","N")</f>
        <v>N</v>
      </c>
      <c r="X34" s="203">
        <f t="shared" si="6"/>
        <v>1</v>
      </c>
      <c r="Y34" s="203">
        <f t="shared" si="7"/>
        <v>23.301100000000002</v>
      </c>
      <c r="Z34" s="203">
        <f t="shared" si="8"/>
        <v>1.41E-2</v>
      </c>
      <c r="AA34" s="203">
        <f t="shared" si="9"/>
        <v>23.287000000000003</v>
      </c>
      <c r="AB34" s="54" t="e">
        <f>VLOOKUP(A34,[1]Enforcements!$C$7:$K$11,8,0)</f>
        <v>#N/A</v>
      </c>
      <c r="AC34" s="51" t="e">
        <f>VLOOKUP(A34,[1]Enforcements!$C$7:$E$11,3,0)</f>
        <v>#N/A</v>
      </c>
      <c r="AD34" s="178">
        <f t="shared" si="10"/>
        <v>122</v>
      </c>
      <c r="AE34" s="77" t="str">
        <f t="shared" si="11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34" s="74" t="str">
        <f t="shared" si="12"/>
        <v>"C:\Program Files (x86)\AstroGrep\AstroGrep.exe" /e /r /s /spath="%USERPROFILE%\AppData\Local\Temp\OnboardLogs" /stypes="app*4017*20170926*" /stext=" 13:.+((SYSTEM_STATE.+slice.+state.+changed )|(ment ac)|(multiple cpu faults)|(system.+state.+changed )|(\[timeout)|(PRM\|1\|D)|(kpr)|(kdp)|(train st.+moving)|(\|lc)|(penalty))"</v>
      </c>
      <c r="AG34" s="181" t="str">
        <f t="shared" si="13"/>
        <v>EC</v>
      </c>
      <c r="AH34" s="78" t="str">
        <f t="shared" si="19"/>
        <v>"%USERPROFILE%\Documents\GitHub\eaglep3\Utilities\RefineRTDCRunTimes.py" --tripid 122-26 --locoid 4017 --swversion DE.1.0.9.0 --startMP 204:233011 --initTime 2017-09-26T06:56:01 --startdatetime 2017-09-26T07:12:26 --delay 97 --endMP 204:141 --enddatetime 2017-09-26T07:51:18 --enforcementcount 0 &gt;&gt;c:\users\stu\Documents\GitHub\eaglep3-reporting\EC\2017-09-26-refined-times.txt</v>
      </c>
      <c r="AI34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{"issue":{"subject":"","project_id":79,"tracker_id":40,"status_id":1,"priority_id":2,"assigned_to_id":338,"start_date":"2017-09-26","description":"","custom_fields":[{"id":1,"name":"Subdivision","value":"EC"},{"id":4,"name":"Milepost","value":"0.0141"},{"id":17,"name":"Train ID","value":"122-26"},{"id":16,"name":"Locomotive ID","value":"4017"},{"id":130,"name":"Impact","value":""},{"id":150,"name":"Time of Event (Mountain Time)","value":"07:51:18"},{"id":151,"name":"Denver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4017 --day 2017-09-26</v>
      </c>
      <c r="AN34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7" t="str">
        <f t="shared" si="23"/>
        <v>https://d0f6bd738d7f1b3e5a7ca70fe4ff75f0.us-east-1.aws.found.io/app/kibana#/discover/Steve-Slow-Train-Analysis-(2080s-and-2083s)?_g=(refreshInterval:(display:Off,pause:!f,section:0,value:0),time:(from:'2017-09-26T05:56:01-0600',mode:absolute,to:'2017-09-26T08:51:18-0600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678</v>
      </c>
      <c r="B35" s="7">
        <v>4054</v>
      </c>
      <c r="C35" s="21" t="s">
        <v>196</v>
      </c>
      <c r="D35" s="21" t="s">
        <v>569</v>
      </c>
      <c r="E35" s="13">
        <v>43004.26667824074</v>
      </c>
      <c r="F35" s="13">
        <v>43004.270995370367</v>
      </c>
      <c r="G35" s="7">
        <v>76</v>
      </c>
      <c r="H35" s="21" t="s">
        <v>862</v>
      </c>
      <c r="I35" s="13">
        <v>43004.295474537037</v>
      </c>
      <c r="J35" s="7">
        <v>0</v>
      </c>
      <c r="K35" s="89" t="str">
        <f t="shared" si="0"/>
        <v>4053/4054</v>
      </c>
      <c r="L35" s="184" t="str">
        <f>VLOOKUP(A35,'[1]Trips&amp;Operators'!$C$1:$G$99911,5,FALSE)</f>
        <v>LAMAR NEKESHA</v>
      </c>
      <c r="M35" s="6">
        <f t="shared" si="1"/>
        <v>2.4479166670062114E-2</v>
      </c>
      <c r="N35" s="7">
        <f t="shared" si="2"/>
        <v>35.250000004889444</v>
      </c>
      <c r="O35" s="7"/>
      <c r="P35" s="7"/>
      <c r="Q35" s="22"/>
      <c r="R35" s="173"/>
      <c r="S35" s="220">
        <f t="shared" si="3"/>
        <v>1</v>
      </c>
      <c r="T35" s="173" t="str">
        <f t="shared" si="4"/>
        <v>NorthBound</v>
      </c>
      <c r="U35" s="197">
        <f>IF(AG35="EC",COUNTIFS([1]Variables!$M$2:$M$19,IF(T35="NorthBound","&gt;=","&lt;=")&amp;Y35,[1]Variables!$M$2:$M$19,IF(T35="NorthBound","&lt;=","&gt;=")&amp;Z35),COUNTIFS([1]Variables!$P$2:$P$19,IF(T35="NorthBound","&gt;=","&lt;=")&amp;Y35,[1]Variables!$P$2:$P$19,IF(T35="NorthBound","&lt;=","&gt;=")&amp;Z35))</f>
        <v>12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-09-26T05:24:01-0600',mode:absolute,to:'2017-09-26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203" t="str">
        <f>IF(AA35&lt;VLOOKUP(AG35,[1]Variables!$AC$3:$AD$8,2,FALSE),"Y","N")</f>
        <v>N</v>
      </c>
      <c r="X35" s="203">
        <f t="shared" si="6"/>
        <v>1</v>
      </c>
      <c r="Y35" s="203">
        <f t="shared" si="7"/>
        <v>4.6699999999999998E-2</v>
      </c>
      <c r="Z35" s="203">
        <f t="shared" si="8"/>
        <v>23.33</v>
      </c>
      <c r="AA35" s="203">
        <f t="shared" si="9"/>
        <v>23.283299999999997</v>
      </c>
      <c r="AB35" s="54" t="e">
        <f>VLOOKUP(A35,[1]Enforcements!$C$7:$K$11,8,0)</f>
        <v>#N/A</v>
      </c>
      <c r="AC35" s="51" t="e">
        <f>VLOOKUP(A35,[1]Enforcements!$C$7:$E$11,3,0)</f>
        <v>#N/A</v>
      </c>
      <c r="AD35" s="178">
        <f t="shared" si="10"/>
        <v>123</v>
      </c>
      <c r="AE35" s="77" t="str">
        <f t="shared" si="11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35" s="74" t="str">
        <f t="shared" si="12"/>
        <v>"C:\Program Files (x86)\AstroGrep\AstroGrep.exe" /e /r /s /spath="%USERPROFILE%\AppData\Local\Temp\OnboardLogs" /stypes="app*4054*20170926*" /stext=" 13:.+((SYSTEM_STATE.+slice.+state.+changed )|(ment ac)|(multiple cpu faults)|(system.+state.+changed )|(\[timeout)|(PRM\|1\|D)|(kpr)|(kdp)|(train st.+moving)|(\|lc)|(penalty))"</v>
      </c>
      <c r="AG35" s="181" t="str">
        <f t="shared" si="13"/>
        <v>EC</v>
      </c>
      <c r="AH35" s="78" t="str">
        <f t="shared" si="19"/>
        <v>"%USERPROFILE%\Documents\GitHub\eaglep3\Utilities\RefineRTDCRunTimes.py" --tripid 123-26 --locoid 4054 --swversion DE.1.0.9.0 --startMP 204:467 --initTime 2017-09-26T06:24:01 --startdatetime 2017-09-26T06:30:14 --delay 76 --endMP 204:233300 --enddatetime 2017-09-26T07:05:29 --enforcementcount 0 &gt;&gt;c:\users\stu\Documents\GitHub\eaglep3-reporting\EC\2017-09-26-refined-times.txt</v>
      </c>
      <c r="AI35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{"issue":{"subject":"","project_id":79,"tracker_id":40,"status_id":1,"priority_id":2,"assigned_to_id":338,"start_date":"2017-09-26","description":"","custom_fields":[{"id":1,"name":"Subdivision","value":"EC"},{"id":4,"name":"Milepost","value":"23.33"},{"id":17,"name":"Train ID","value":"123-26"},{"id":16,"name":"Locomotive ID","value":"4054"},{"id":130,"name":"Impact","value":""},{"id":150,"name":"Time of Event (Mountain Time)","value":"07:05:29"},{"id":151,"name":"Denver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4054 --day 2017-09-26</v>
      </c>
      <c r="AN35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7" t="str">
        <f t="shared" si="23"/>
        <v>https://d0f6bd738d7f1b3e5a7ca70fe4ff75f0.us-east-1.aws.found.io/app/kibana#/discover/Steve-Slow-Train-Analysis-(2080s-and-2083s)?_g=(refreshInterval:(display:Off,pause:!f,section:0,value:0),time:(from:'2017-09-26T05:24:01-0600',mode:absolute,to:'2017-09-26T08:05:29-0600'))&amp;_a=(columns:!('Message%20ID',Summary),filters:!(),index:'emp_*',interval:auto,query:(query_string:(analyze_wildcard:!t,query:'%22rtdc.l.rtdc.4054%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689</v>
      </c>
      <c r="B36" s="7">
        <v>4053</v>
      </c>
      <c r="C36" s="21" t="s">
        <v>196</v>
      </c>
      <c r="D36" s="21" t="s">
        <v>574</v>
      </c>
      <c r="E36" s="13">
        <v>43004.307870370372</v>
      </c>
      <c r="F36" s="13">
        <v>43004.310590277775</v>
      </c>
      <c r="G36" s="7">
        <v>68</v>
      </c>
      <c r="H36" s="21" t="s">
        <v>375</v>
      </c>
      <c r="I36" s="13">
        <v>43004.337800925925</v>
      </c>
      <c r="J36" s="7">
        <v>0</v>
      </c>
      <c r="K36" s="89" t="str">
        <f t="shared" si="0"/>
        <v>4053/4054</v>
      </c>
      <c r="L36" s="184" t="str">
        <f>VLOOKUP(A36,'[1]Trips&amp;Operators'!$C$1:$G$99911,5,FALSE)</f>
        <v>LAMAR NEKESHA</v>
      </c>
      <c r="M36" s="6">
        <f t="shared" si="1"/>
        <v>2.7210648149775807E-2</v>
      </c>
      <c r="N36" s="7">
        <f t="shared" si="2"/>
        <v>39.183333335677162</v>
      </c>
      <c r="O36" s="7"/>
      <c r="P36" s="7"/>
      <c r="Q36" s="22"/>
      <c r="R36" s="173"/>
      <c r="S36" s="220">
        <f t="shared" si="3"/>
        <v>1</v>
      </c>
      <c r="T36" s="173" t="str">
        <f t="shared" si="4"/>
        <v>Southbound</v>
      </c>
      <c r="U36" s="197">
        <f>IF(AG36="EC",COUNTIFS([1]Variables!$M$2:$M$19,IF(T36="NorthBound","&gt;=","&lt;=")&amp;Y36,[1]Variables!$M$2:$M$19,IF(T36="NorthBound","&lt;=","&gt;=")&amp;Z36),COUNTIFS([1]Variables!$P$2:$P$19,IF(T36="NorthBound","&gt;=","&lt;=")&amp;Y36,[1]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-09-26T06:23:20-0600',mode:absolute,to:'2017-09-26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203" t="str">
        <f>IF(AA36&lt;VLOOKUP(AG36,[1]Variables!$AC$3:$AD$8,2,FALSE),"Y","N")</f>
        <v>N</v>
      </c>
      <c r="X36" s="203">
        <f t="shared" si="6"/>
        <v>1</v>
      </c>
      <c r="Y36" s="203">
        <f t="shared" si="7"/>
        <v>23.299399999999999</v>
      </c>
      <c r="Z36" s="203">
        <f t="shared" si="8"/>
        <v>1.5800000000000002E-2</v>
      </c>
      <c r="AA36" s="203">
        <f t="shared" si="9"/>
        <v>23.2836</v>
      </c>
      <c r="AB36" s="54" t="e">
        <f>VLOOKUP(A36,[1]Enforcements!$C$7:$K$11,8,0)</f>
        <v>#N/A</v>
      </c>
      <c r="AC36" s="51" t="e">
        <f>VLOOKUP(A36,[1]Enforcements!$C$7:$E$11,3,0)</f>
        <v>#N/A</v>
      </c>
      <c r="AD36" s="178">
        <f t="shared" si="10"/>
        <v>124</v>
      </c>
      <c r="AE36" s="77" t="str">
        <f t="shared" si="11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36" s="74" t="str">
        <f t="shared" si="12"/>
        <v>"C:\Program Files (x86)\AstroGrep\AstroGrep.exe" /e /r /s /spath="%USERPROFILE%\AppData\Local\Temp\OnboardLogs" /stypes="app*4053*20170926*" /stext=" 14:.+((SYSTEM_STATE.+slice.+state.+changed )|(ment ac)|(multiple cpu faults)|(system.+state.+changed )|(\[timeout)|(PRM\|1\|D)|(kpr)|(kdp)|(train st.+moving)|(\|lc)|(penalty))"</v>
      </c>
      <c r="AG36" s="181" t="str">
        <f t="shared" si="13"/>
        <v>EC</v>
      </c>
      <c r="AH36" s="78" t="str">
        <f t="shared" si="19"/>
        <v>"%USERPROFILE%\Documents\GitHub\eaglep3\Utilities\RefineRTDCRunTimes.py" --tripid 124-26 --locoid 4053 --swversion DE.1.0.9.0 --startMP 204:232994 --initTime 2017-09-26T07:23:20 --startdatetime 2017-09-26T07:27:15 --delay 68 --endMP 204:158 --enddatetime 2017-09-26T08:06:26 --enforcementcount 0 &gt;&gt;c:\users\stu\Documents\GitHub\eaglep3-reporting\EC\2017-09-26-refined-times.txt</v>
      </c>
      <c r="AI36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{"issue":{"subject":"","project_id":79,"tracker_id":40,"status_id":1,"priority_id":2,"assigned_to_id":338,"start_date":"2017-09-26","description":"","custom_fields":[{"id":1,"name":"Subdivision","value":"EC"},{"id":4,"name":"Milepost","value":"0.0158"},{"id":17,"name":"Train ID","value":"124-26"},{"id":16,"name":"Locomotive ID","value":"4053"},{"id":130,"name":"Impact","value":""},{"id":150,"name":"Time of Event (Mountain Time)","value":"08:06:26"},{"id":151,"name":"Denver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4053 --day 2017-09-26</v>
      </c>
      <c r="AN36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7" t="str">
        <f t="shared" si="23"/>
        <v>https://d0f6bd738d7f1b3e5a7ca70fe4ff75f0.us-east-1.aws.found.io/app/kibana#/discover/Steve-Slow-Train-Analysis-(2080s-and-2083s)?_g=(refreshInterval:(display:Off,pause:!f,section:0,value:0),time:(from:'2017-09-26T06:23:20-0600',mode:absolute,to:'2017-09-26T09:06:26-0600'))&amp;_a=(columns:!('Message%20ID',Summary),filters:!(),index:'emp_*',interval:auto,query:(query_string:(analyze_wildcard:!t,query:'%22rtdc.l.rtdc.4053%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4056</v>
      </c>
      <c r="C37" s="21" t="s">
        <v>196</v>
      </c>
      <c r="D37" s="21" t="s">
        <v>397</v>
      </c>
      <c r="E37" s="13">
        <v>43004.27480324074</v>
      </c>
      <c r="F37" s="13">
        <v>43004.281504629631</v>
      </c>
      <c r="G37" s="7">
        <v>44</v>
      </c>
      <c r="H37" s="21" t="s">
        <v>571</v>
      </c>
      <c r="I37" s="13">
        <v>43004.306446759256</v>
      </c>
      <c r="J37" s="7">
        <v>0</v>
      </c>
      <c r="K37" s="89" t="str">
        <f t="shared" si="0"/>
        <v>4055/4056</v>
      </c>
      <c r="L37" s="184" t="str">
        <f>VLOOKUP(A37,'[1]Trips&amp;Operators'!$C$1:$G$99911,5,FALSE)</f>
        <v>YORK EDGAR</v>
      </c>
      <c r="M37" s="6">
        <f t="shared" si="1"/>
        <v>2.4942129624832887E-2</v>
      </c>
      <c r="N37" s="7">
        <f t="shared" si="2"/>
        <v>35.916666659759358</v>
      </c>
      <c r="O37" s="7"/>
      <c r="P37" s="7"/>
      <c r="Q37" s="22"/>
      <c r="R37" s="173"/>
      <c r="S37" s="220">
        <f t="shared" si="3"/>
        <v>1</v>
      </c>
      <c r="T37" s="173" t="str">
        <f t="shared" si="4"/>
        <v>NorthBound</v>
      </c>
      <c r="U37" s="197">
        <f>IF(AG37="EC",COUNTIFS([1]Variables!$M$2:$M$19,IF(T37="NorthBound","&gt;=","&lt;=")&amp;Y37,[1]Variables!$M$2:$M$19,IF(T37="NorthBound","&lt;=","&gt;=")&amp;Z37),COUNTIFS([1]Variables!$P$2:$P$19,IF(T37="NorthBound","&gt;=","&lt;=")&amp;Y37,[1]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-09-26T05:35:43-0600',mode:absolute,to:'2017-09-26T08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203" t="str">
        <f>IF(AA37&lt;VLOOKUP(AG37,[1]Variables!$AC$3:$AD$8,2,FALSE),"Y","N")</f>
        <v>N</v>
      </c>
      <c r="X37" s="203">
        <f t="shared" si="6"/>
        <v>1</v>
      </c>
      <c r="Y37" s="203">
        <f t="shared" si="7"/>
        <v>4.6600000000000003E-2</v>
      </c>
      <c r="Z37" s="203">
        <f t="shared" si="8"/>
        <v>23.328399999999998</v>
      </c>
      <c r="AA37" s="203">
        <f t="shared" si="9"/>
        <v>23.281799999999997</v>
      </c>
      <c r="AB37" s="54" t="e">
        <f>VLOOKUP(A37,[1]Enforcements!$C$7:$K$11,8,0)</f>
        <v>#N/A</v>
      </c>
      <c r="AC37" s="51" t="e">
        <f>VLOOKUP(A37,[1]Enforcements!$C$7:$E$11,3,0)</f>
        <v>#N/A</v>
      </c>
      <c r="AD37" s="178">
        <f t="shared" si="10"/>
        <v>125</v>
      </c>
      <c r="AE37" s="77" t="str">
        <f t="shared" si="11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37" s="74" t="str">
        <f t="shared" si="12"/>
        <v>"C:\Program Files (x86)\AstroGrep\AstroGrep.exe" /e /r /s /spath="%USERPROFILE%\AppData\Local\Temp\OnboardLogs" /stypes="app*4056*20170926*" /stext=" 13:.+((SYSTEM_STATE.+slice.+state.+changed )|(ment ac)|(multiple cpu faults)|(system.+state.+changed )|(\[timeout)|(PRM\|1\|D)|(kpr)|(kdp)|(train st.+moving)|(\|lc)|(penalty))"</v>
      </c>
      <c r="AG37" s="181" t="str">
        <f t="shared" si="13"/>
        <v>EC</v>
      </c>
      <c r="AH37" s="78" t="str">
        <f t="shared" si="19"/>
        <v>"%USERPROFILE%\Documents\GitHub\eaglep3\Utilities\RefineRTDCRunTimes.py" --tripid 125-26 --locoid 4056 --swversion DE.1.0.9.0 --startMP 204:466 --initTime 2017-09-26T06:35:43 --startdatetime 2017-09-26T06:45:22 --delay 44 --endMP 204:233284 --enddatetime 2017-09-26T07:21:17 --enforcementcount 0 &gt;&gt;c:\users\stu\Documents\GitHub\eaglep3-reporting\EC\2017-09-26-refined-times.txt</v>
      </c>
      <c r="AI37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{"issue":{"subject":"","project_id":79,"tracker_id":40,"status_id":1,"priority_id":2,"assigned_to_id":338,"start_date":"2017-09-26","description":"","custom_fields":[{"id":1,"name":"Subdivision","value":"EC"},{"id":4,"name":"Milepost","value":"23.3284"},{"id":17,"name":"Train ID","value":"125-26"},{"id":16,"name":"Locomotive ID","value":"4056"},{"id":130,"name":"Impact","value":""},{"id":150,"name":"Time of Event (Mountain Time)","value":"07:21:17"},{"id":151,"name":"Denver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4056 --day 2017-09-26</v>
      </c>
      <c r="AN37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7" t="str">
        <f t="shared" si="23"/>
        <v>https://d0f6bd738d7f1b3e5a7ca70fe4ff75f0.us-east-1.aws.found.io/app/kibana#/discover/Steve-Slow-Train-Analysis-(2080s-and-2083s)?_g=(refreshInterval:(display:Off,pause:!f,section:0,value:0),time:(from:'2017-09-26T05:35:43-0600',mode:absolute,to:'2017-09-26T08:21:17-0600'))&amp;_a=(columns:!('Message%20ID',Summary),filters:!(),index:'emp_*',interval:auto,query:(query_string:(analyze_wildcard:!t,query:'%22rtdc.l.rtdc.4056%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688</v>
      </c>
      <c r="B38" s="7">
        <v>4055</v>
      </c>
      <c r="C38" s="21" t="s">
        <v>196</v>
      </c>
      <c r="D38" s="21" t="s">
        <v>863</v>
      </c>
      <c r="E38" s="13">
        <v>43004.307280092595</v>
      </c>
      <c r="F38" s="13">
        <v>43004.321319444447</v>
      </c>
      <c r="G38" s="7">
        <v>46</v>
      </c>
      <c r="H38" s="21" t="s">
        <v>358</v>
      </c>
      <c r="I38" s="13">
        <v>43004.346747685187</v>
      </c>
      <c r="J38" s="7">
        <v>0</v>
      </c>
      <c r="K38" s="89" t="str">
        <f t="shared" si="0"/>
        <v>4055/4056</v>
      </c>
      <c r="L38" s="184" t="str">
        <f>VLOOKUP(A38,'[1]Trips&amp;Operators'!$C$1:$G$99911,5,FALSE)</f>
        <v>YORK EDGAR</v>
      </c>
      <c r="M38" s="6">
        <f t="shared" si="1"/>
        <v>2.5428240740438923E-2</v>
      </c>
      <c r="N38" s="7">
        <f t="shared" si="2"/>
        <v>36.616666666232049</v>
      </c>
      <c r="O38" s="7"/>
      <c r="P38" s="7"/>
      <c r="Q38" s="22"/>
      <c r="R38" s="173"/>
      <c r="S38" s="220">
        <f t="shared" si="3"/>
        <v>1</v>
      </c>
      <c r="T38" s="173" t="str">
        <f t="shared" si="4"/>
        <v>Southbound</v>
      </c>
      <c r="U38" s="197">
        <f>IF(AG38="EC",COUNTIFS([1]Variables!$M$2:$M$19,IF(T38="NorthBound","&gt;=","&lt;=")&amp;Y38,[1]Variables!$M$2:$M$19,IF(T38="NorthBound","&lt;=","&gt;=")&amp;Z38),COUNTIFS([1]Variables!$P$2:$P$19,IF(T38="NorthBound","&gt;=","&lt;=")&amp;Y38,[1]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-09-26T06:22:29-0600',mode:absolute,to:'2017-09-26T09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203" t="str">
        <f>IF(AA38&lt;VLOOKUP(AG38,[1]Variables!$AC$3:$AD$8,2,FALSE),"Y","N")</f>
        <v>N</v>
      </c>
      <c r="X38" s="203">
        <f t="shared" si="6"/>
        <v>1</v>
      </c>
      <c r="Y38" s="203">
        <f t="shared" si="7"/>
        <v>23.295200000000001</v>
      </c>
      <c r="Z38" s="203">
        <f t="shared" si="8"/>
        <v>1.52E-2</v>
      </c>
      <c r="AA38" s="203">
        <f t="shared" si="9"/>
        <v>23.28</v>
      </c>
      <c r="AB38" s="54" t="e">
        <f>VLOOKUP(A38,[1]Enforcements!$C$7:$K$11,8,0)</f>
        <v>#N/A</v>
      </c>
      <c r="AC38" s="51" t="e">
        <f>VLOOKUP(A38,[1]Enforcements!$C$7:$E$11,3,0)</f>
        <v>#N/A</v>
      </c>
      <c r="AD38" s="178">
        <f t="shared" si="10"/>
        <v>126</v>
      </c>
      <c r="AE38" s="77" t="str">
        <f t="shared" si="11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38" s="74" t="str">
        <f t="shared" si="12"/>
        <v>"C:\Program Files (x86)\AstroGrep\AstroGrep.exe" /e /r /s /spath="%USERPROFILE%\AppData\Local\Temp\OnboardLogs" /stypes="app*4055*20170926*" /stext=" 14:.+((SYSTEM_STATE.+slice.+state.+changed )|(ment ac)|(multiple cpu faults)|(system.+state.+changed )|(\[timeout)|(PRM\|1\|D)|(kpr)|(kdp)|(train st.+moving)|(\|lc)|(penalty))"</v>
      </c>
      <c r="AG38" s="181" t="str">
        <f t="shared" si="13"/>
        <v>EC</v>
      </c>
      <c r="AH38" s="78" t="str">
        <f t="shared" si="19"/>
        <v>"%USERPROFILE%\Documents\GitHub\eaglep3\Utilities\RefineRTDCRunTimes.py" --tripid 126-26 --locoid 4055 --swversion DE.1.0.9.0 --startMP 204:232952 --initTime 2017-09-26T07:22:29 --startdatetime 2017-09-26T07:42:42 --delay 46 --endMP 204:152 --enddatetime 2017-09-26T08:19:19 --enforcementcount 0 &gt;&gt;c:\users\stu\Documents\GitHub\eaglep3-reporting\EC\2017-09-26-refined-times.txt</v>
      </c>
      <c r="AI38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{"issue":{"subject":"","project_id":79,"tracker_id":40,"status_id":1,"priority_id":2,"assigned_to_id":338,"start_date":"2017-09-26","description":"","custom_fields":[{"id":1,"name":"Subdivision","value":"EC"},{"id":4,"name":"Milepost","value":"0.0152"},{"id":17,"name":"Train ID","value":"126-26"},{"id":16,"name":"Locomotive ID","value":"4055"},{"id":130,"name":"Impact","value":""},{"id":150,"name":"Time of Event (Mountain Time)","value":"08:19:19"},{"id":151,"name":"Denver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4055 --day 2017-09-26</v>
      </c>
      <c r="AN38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7" t="str">
        <f t="shared" si="23"/>
        <v>https://d0f6bd738d7f1b3e5a7ca70fe4ff75f0.us-east-1.aws.found.io/app/kibana#/discover/Steve-Slow-Train-Analysis-(2080s-and-2083s)?_g=(refreshInterval:(display:Off,pause:!f,section:0,value:0),time:(from:'2017-09-26T06:22:29-0600',mode:absolute,to:'2017-09-26T09:19:19-0600'))&amp;_a=(columns:!('Message%20ID',Summary),filters:!(),index:'emp_*',interval:auto,query:(query_string:(analyze_wildcard:!t,query:'%22rtdc.l.rtdc.4055%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682</v>
      </c>
      <c r="B39" s="7">
        <v>4026</v>
      </c>
      <c r="C39" s="21" t="s">
        <v>196</v>
      </c>
      <c r="D39" s="21" t="s">
        <v>391</v>
      </c>
      <c r="E39" s="13">
        <v>43004.286504629628</v>
      </c>
      <c r="F39" s="13">
        <v>43004.291828703703</v>
      </c>
      <c r="G39" s="7">
        <v>62</v>
      </c>
      <c r="H39" s="21" t="s">
        <v>572</v>
      </c>
      <c r="I39" s="13">
        <v>43004.319143518522</v>
      </c>
      <c r="J39" s="7">
        <v>0</v>
      </c>
      <c r="K39" s="89" t="str">
        <f t="shared" si="0"/>
        <v>4025/4026</v>
      </c>
      <c r="L39" s="184" t="str">
        <f>VLOOKUP(A39,'[1]Trips&amp;Operators'!$C$1:$G$99911,5,FALSE)</f>
        <v>BARRON PERLA</v>
      </c>
      <c r="M39" s="6">
        <f t="shared" si="1"/>
        <v>2.7314814818964805E-2</v>
      </c>
      <c r="N39" s="7">
        <f t="shared" si="2"/>
        <v>39.33333333930932</v>
      </c>
      <c r="O39" s="7"/>
      <c r="P39" s="7"/>
      <c r="Q39" s="22"/>
      <c r="R39" s="173"/>
      <c r="S39" s="220">
        <f t="shared" si="3"/>
        <v>1</v>
      </c>
      <c r="T39" s="173" t="str">
        <f t="shared" si="4"/>
        <v>NorthBound</v>
      </c>
      <c r="U39" s="197">
        <f>IF(AG39="EC",COUNTIFS([1]Variables!$M$2:$M$19,IF(T39="NorthBound","&gt;=","&lt;=")&amp;Y39,[1]Variables!$M$2:$M$19,IF(T39="NorthBound","&lt;=","&gt;=")&amp;Z39),COUNTIFS([1]Variables!$P$2:$P$19,IF(T39="NorthBound","&gt;=","&lt;=")&amp;Y39,[1]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-09-26T05:52:34-0600',mode:absolute,to:'2017-09-26T08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203" t="str">
        <f>IF(AA39&lt;VLOOKUP(AG39,[1]Variables!$AC$3:$AD$8,2,FALSE),"Y","N")</f>
        <v>N</v>
      </c>
      <c r="X39" s="203">
        <f t="shared" si="6"/>
        <v>1</v>
      </c>
      <c r="Y39" s="203">
        <f t="shared" si="7"/>
        <v>4.7100000000000003E-2</v>
      </c>
      <c r="Z39" s="203">
        <f t="shared" si="8"/>
        <v>23.330200000000001</v>
      </c>
      <c r="AA39" s="203">
        <f t="shared" si="9"/>
        <v>23.283100000000001</v>
      </c>
      <c r="AB39" s="54" t="e">
        <f>VLOOKUP(A39,[1]Enforcements!$C$7:$K$11,8,0)</f>
        <v>#N/A</v>
      </c>
      <c r="AC39" s="51" t="e">
        <f>VLOOKUP(A39,[1]Enforcements!$C$7:$E$11,3,0)</f>
        <v>#N/A</v>
      </c>
      <c r="AD39" s="178">
        <f t="shared" si="10"/>
        <v>127</v>
      </c>
      <c r="AE39" s="77" t="str">
        <f t="shared" si="11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39" s="74" t="str">
        <f t="shared" si="12"/>
        <v>"C:\Program Files (x86)\AstroGrep\AstroGrep.exe" /e /r /s /spath="%USERPROFILE%\AppData\Local\Temp\OnboardLogs" /stypes="app*4026*20170926*" /stext=" 13:.+((SYSTEM_STATE.+slice.+state.+changed )|(ment ac)|(multiple cpu faults)|(system.+state.+changed )|(\[timeout)|(PRM\|1\|D)|(kpr)|(kdp)|(train st.+moving)|(\|lc)|(penalty))"</v>
      </c>
      <c r="AG39" s="181" t="str">
        <f t="shared" si="13"/>
        <v>EC</v>
      </c>
      <c r="AH39" s="78" t="str">
        <f t="shared" si="19"/>
        <v>"%USERPROFILE%\Documents\GitHub\eaglep3\Utilities\RefineRTDCRunTimes.py" --tripid 127-26 --locoid 4026 --swversion DE.1.0.9.0 --startMP 204:471 --initTime 2017-09-26T06:52:34 --startdatetime 2017-09-26T07:00:14 --delay 62 --endMP 204:233302 --enddatetime 2017-09-26T07:39:34 --enforcementcount 0 &gt;&gt;c:\users\stu\Documents\GitHub\eaglep3-reporting\EC\2017-09-26-refined-times.txt</v>
      </c>
      <c r="AI39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{"issue":{"subject":"","project_id":79,"tracker_id":40,"status_id":1,"priority_id":2,"assigned_to_id":338,"start_date":"2017-09-26","description":"","custom_fields":[{"id":1,"name":"Subdivision","value":"EC"},{"id":4,"name":"Milepost","value":"23.3302"},{"id":17,"name":"Train ID","value":"127-26"},{"id":16,"name":"Locomotive ID","value":"4026"},{"id":130,"name":"Impact","value":""},{"id":150,"name":"Time of Event (Mountain Time)","value":"07:39:34"},{"id":151,"name":"Denver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4026 --day 2017-09-26</v>
      </c>
      <c r="AN39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7" t="str">
        <f t="shared" si="23"/>
        <v>https://d0f6bd738d7f1b3e5a7ca70fe4ff75f0.us-east-1.aws.found.io/app/kibana#/discover/Steve-Slow-Train-Analysis-(2080s-and-2083s)?_g=(refreshInterval:(display:Off,pause:!f,section:0,value:0),time:(from:'2017-09-26T05:52:34-0600',mode:absolute,to:'2017-09-26T08:39:34-0600'))&amp;_a=(columns:!('Message%20ID',Summary),filters:!(),index:'emp_*',interval:auto,query:(query_string:(analyze_wildcard:!t,query:'%22rtdc.l.rtdc.4026%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692</v>
      </c>
      <c r="B40" s="7">
        <v>4025</v>
      </c>
      <c r="C40" s="21" t="s">
        <v>196</v>
      </c>
      <c r="D40" s="21" t="s">
        <v>559</v>
      </c>
      <c r="E40" s="13">
        <v>43004.320208333331</v>
      </c>
      <c r="F40" s="13">
        <v>43004.331400462965</v>
      </c>
      <c r="G40" s="7">
        <v>56</v>
      </c>
      <c r="H40" s="21" t="s">
        <v>341</v>
      </c>
      <c r="I40" s="13">
        <v>43004.368402777778</v>
      </c>
      <c r="J40" s="7">
        <v>0</v>
      </c>
      <c r="K40" s="89" t="str">
        <f t="shared" si="0"/>
        <v>4025/4026</v>
      </c>
      <c r="L40" s="184" t="str">
        <f>VLOOKUP(A40,'[1]Trips&amp;Operators'!$C$1:$G$99911,5,FALSE)</f>
        <v>BARRON PERLA</v>
      </c>
      <c r="M40" s="6">
        <f t="shared" si="1"/>
        <v>3.7002314813435078E-2</v>
      </c>
      <c r="N40" s="7">
        <f t="shared" si="2"/>
        <v>53.283333331346512</v>
      </c>
      <c r="O40" s="7"/>
      <c r="P40" s="7"/>
      <c r="Q40" s="22"/>
      <c r="R40" s="173" t="s">
        <v>1010</v>
      </c>
      <c r="S40" s="220">
        <f t="shared" si="3"/>
        <v>1</v>
      </c>
      <c r="T40" s="173" t="str">
        <f t="shared" si="4"/>
        <v>Southbound</v>
      </c>
      <c r="U40" s="197">
        <f>IF(AG40="EC",COUNTIFS([1]Variables!$M$2:$M$19,IF(T40="NorthBound","&gt;=","&lt;=")&amp;Y40,[1]Variables!$M$2:$M$19,IF(T40="NorthBound","&lt;=","&gt;=")&amp;Z40),COUNTIFS([1]Variables!$P$2:$P$19,IF(T40="NorthBound","&gt;=","&lt;=")&amp;Y40,[1]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-09-26T06:41:06-0600',mode:absolute,to:'2017-09-26T09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203" t="str">
        <f>IF(AA40&lt;VLOOKUP(AG40,[1]Variables!$AC$3:$AD$8,2,FALSE),"Y","N")</f>
        <v>N</v>
      </c>
      <c r="X40" s="203">
        <f t="shared" si="6"/>
        <v>1</v>
      </c>
      <c r="Y40" s="203">
        <f t="shared" si="7"/>
        <v>23.297000000000001</v>
      </c>
      <c r="Z40" s="203">
        <f t="shared" si="8"/>
        <v>1.41E-2</v>
      </c>
      <c r="AA40" s="203">
        <f t="shared" si="9"/>
        <v>23.282900000000001</v>
      </c>
      <c r="AB40" s="54" t="e">
        <f>VLOOKUP(A40,[1]Enforcements!$C$7:$K$11,8,0)</f>
        <v>#N/A</v>
      </c>
      <c r="AC40" s="51" t="e">
        <f>VLOOKUP(A40,[1]Enforcements!$C$7:$E$11,3,0)</f>
        <v>#N/A</v>
      </c>
      <c r="AD40" s="178">
        <f t="shared" si="10"/>
        <v>128</v>
      </c>
      <c r="AE40" s="77" t="str">
        <f t="shared" si="11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40" s="74" t="str">
        <f t="shared" si="12"/>
        <v>"C:\Program Files (x86)\AstroGrep\AstroGrep.exe" /e /r /s /spath="%USERPROFILE%\AppData\Local\Temp\OnboardLogs" /stypes="app*4025*20170926*" /stext=" 14:.+((SYSTEM_STATE.+slice.+state.+changed )|(ment ac)|(multiple cpu faults)|(system.+state.+changed )|(\[timeout)|(PRM\|1\|D)|(kpr)|(kdp)|(train st.+moving)|(\|lc)|(penalty))"</v>
      </c>
      <c r="AG40" s="181" t="str">
        <f t="shared" si="13"/>
        <v>EC</v>
      </c>
      <c r="AH40" s="78" t="str">
        <f t="shared" si="19"/>
        <v>"%USERPROFILE%\Documents\GitHub\eaglep3\Utilities\RefineRTDCRunTimes.py" --tripid 128-26 --locoid 4025 --swversion DE.1.0.9.0 --startMP 204:232970 --initTime 2017-09-26T07:41:06 --startdatetime 2017-09-26T07:57:13 --delay 56 --endMP 204:141 --enddatetime 2017-09-26T08:50:30 --enforcementcount 0 &gt;&gt;c:\users\stu\Documents\GitHub\eaglep3-reporting\EC\2017-09-26-refined-times.txt</v>
      </c>
      <c r="AI40" s="96" t="str">
        <f t="shared" si="20"/>
        <v>echo {"issue":{"subject":"Delayed by TPSS testing","project_id":79,"tracker_id":40,"status_id":1,"priority_id":2,"assigned_to_id":338,"start_date":"2017-09-26","description":"","custom_fields":[{"id":1,"name":"Subdivision","value":"EC"},{"id":4,"name":"Milepost","value":"0.0141"},{"id":17,"name":"Train ID","value":"128-26"},{"id":16,"name":"Locomotive ID","value":"4025"},{"id":130,"name":"Impact","value":""},{"id":150,"name":"Time of Event (Mountain Time)","value":"08:50:30"},{"id":151,"name":"Denver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4025 --day 2017-09-26</v>
      </c>
      <c r="AN40" s="151" t="str">
        <f t="shared" si="22"/>
        <v>echo {"issue":{"subject":"Delayed by TPSS testing","project_id":30,"tracker_id":4,"status_id":1,"priority_id":1,"assigned_to_id":10,"start_date":"2017-09-26","description":"","custom_fields":[{"id":30,"name":"Category","value":"Issue"},{"id":3,"name":"Functional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7" t="str">
        <f t="shared" si="23"/>
        <v>https://d0f6bd738d7f1b3e5a7ca70fe4ff75f0.us-east-1.aws.found.io/app/kibana#/discover/Steve-Slow-Train-Analysis-(2080s-and-2083s)?_g=(refreshInterval:(display:Off,pause:!f,section:0,value:0),time:(from:'2017-09-26T06:41:06-0600',mode:absolute,to:'2017-09-26T09:50:30-0600'))&amp;_a=(columns:!('Message%20ID',Summary),filters:!(),index:'emp_*',interval:auto,query:(query_string:(analyze_wildcard:!t,query:'%22rtdc.l.rtdc.4025%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687</v>
      </c>
      <c r="B41" s="7">
        <v>4046</v>
      </c>
      <c r="C41" s="21" t="s">
        <v>196</v>
      </c>
      <c r="D41" s="21" t="s">
        <v>577</v>
      </c>
      <c r="E41" s="13">
        <v>43004.298506944448</v>
      </c>
      <c r="F41" s="13">
        <v>43004.302303240744</v>
      </c>
      <c r="G41" s="7">
        <v>55</v>
      </c>
      <c r="H41" s="21" t="s">
        <v>390</v>
      </c>
      <c r="I41" s="13">
        <v>43004.327800925923</v>
      </c>
      <c r="J41" s="7">
        <v>0</v>
      </c>
      <c r="K41" s="89" t="str">
        <f t="shared" si="0"/>
        <v>4045/4046</v>
      </c>
      <c r="L41" s="184" t="str">
        <f>VLOOKUP(A41,'[1]Trips&amp;Operators'!$C$1:$G$99911,5,FALSE)</f>
        <v>BONDS REYNALDO</v>
      </c>
      <c r="M41" s="6">
        <f t="shared" si="1"/>
        <v>2.5497685179288965E-2</v>
      </c>
      <c r="N41" s="7">
        <f t="shared" si="2"/>
        <v>36.716666658176109</v>
      </c>
      <c r="O41" s="7"/>
      <c r="P41" s="7"/>
      <c r="Q41" s="22"/>
      <c r="R41" s="173"/>
      <c r="S41" s="220">
        <f t="shared" si="3"/>
        <v>1</v>
      </c>
      <c r="T41" s="173" t="str">
        <f t="shared" si="4"/>
        <v>NorthBound</v>
      </c>
      <c r="U41" s="197">
        <f>IF(AG41="EC",COUNTIFS([1]Variables!$M$2:$M$19,IF(T41="NorthBound","&gt;=","&lt;=")&amp;Y41,[1]Variables!$M$2:$M$19,IF(T41="NorthBound","&lt;=","&gt;=")&amp;Z41),COUNTIFS([1]Variables!$P$2:$P$19,IF(T41="NorthBound","&gt;=","&lt;=")&amp;Y41,[1]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-09-26T06:09:51-0600',mode:absolute,to:'2017-09-26T08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203" t="str">
        <f>IF(AA41&lt;VLOOKUP(AG41,[1]Variables!$AC$3:$AD$8,2,FALSE),"Y","N")</f>
        <v>N</v>
      </c>
      <c r="X41" s="203">
        <f t="shared" si="6"/>
        <v>1</v>
      </c>
      <c r="Y41" s="203">
        <f t="shared" si="7"/>
        <v>4.8000000000000001E-2</v>
      </c>
      <c r="Z41" s="203">
        <f t="shared" si="8"/>
        <v>23.331199999999999</v>
      </c>
      <c r="AA41" s="203">
        <f t="shared" si="9"/>
        <v>23.283200000000001</v>
      </c>
      <c r="AB41" s="54" t="e">
        <f>VLOOKUP(A41,[1]Enforcements!$C$7:$K$11,8,0)</f>
        <v>#N/A</v>
      </c>
      <c r="AC41" s="51" t="e">
        <f>VLOOKUP(A41,[1]Enforcements!$C$7:$E$11,3,0)</f>
        <v>#N/A</v>
      </c>
      <c r="AD41" s="178">
        <f t="shared" si="10"/>
        <v>129</v>
      </c>
      <c r="AE41" s="77" t="str">
        <f t="shared" si="11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41" s="74" t="str">
        <f t="shared" si="12"/>
        <v>"C:\Program Files (x86)\AstroGrep\AstroGrep.exe" /e /r /s /spath="%USERPROFILE%\AppData\Local\Temp\OnboardLogs" /stypes="app*4046*20170926*" /stext=" 13:.+((SYSTEM_STATE.+slice.+state.+changed )|(ment ac)|(multiple cpu faults)|(system.+state.+changed )|(\[timeout)|(PRM\|1\|D)|(kpr)|(kdp)|(train st.+moving)|(\|lc)|(penalty))"</v>
      </c>
      <c r="AG41" s="181" t="str">
        <f t="shared" si="13"/>
        <v>EC</v>
      </c>
      <c r="AH41" s="78" t="str">
        <f t="shared" si="19"/>
        <v>"%USERPROFILE%\Documents\GitHub\eaglep3\Utilities\RefineRTDCRunTimes.py" --tripid 129-26 --locoid 4046 --swversion DE.1.0.9.0 --startMP 204:480 --initTime 2017-09-26T07:09:51 --startdatetime 2017-09-26T07:15:19 --delay 55 --endMP 204:233312 --enddatetime 2017-09-26T07:52:02 --enforcementcount 0 &gt;&gt;c:\users\stu\Documents\GitHub\eaglep3-reporting\EC\2017-09-26-refined-times.txt</v>
      </c>
      <c r="AI41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{"issue":{"subject":"","project_id":79,"tracker_id":40,"status_id":1,"priority_id":2,"assigned_to_id":338,"start_date":"2017-09-26","description":"","custom_fields":[{"id":1,"name":"Subdivision","value":"EC"},{"id":4,"name":"Milepost","value":"23.3312"},{"id":17,"name":"Train ID","value":"129-26"},{"id":16,"name":"Locomotive ID","value":"4046"},{"id":130,"name":"Impact","value":""},{"id":150,"name":"Time of Event (Mountain Time)","value":"07:52:02"},{"id":151,"name":"Denver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4046 --day 2017-09-26</v>
      </c>
      <c r="AN41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7" t="str">
        <f t="shared" si="23"/>
        <v>https://d0f6bd738d7f1b3e5a7ca70fe4ff75f0.us-east-1.aws.found.io/app/kibana#/discover/Steve-Slow-Train-Analysis-(2080s-and-2083s)?_g=(refreshInterval:(display:Off,pause:!f,section:0,value:0),time:(from:'2017-09-26T06:09:51-0600',mode:absolute,to:'2017-09-26T08:52:02-0600'))&amp;_a=(columns:!('Message%20ID',Summary),filters:!(),index:'emp_*',interval:auto,query:(query_string:(analyze_wildcard:!t,query:'%22rtdc.l.rtdc.4046%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699</v>
      </c>
      <c r="B42" s="7">
        <v>4045</v>
      </c>
      <c r="C42" s="21" t="s">
        <v>196</v>
      </c>
      <c r="D42" s="21" t="s">
        <v>574</v>
      </c>
      <c r="E42" s="13">
        <v>43004.33902777778</v>
      </c>
      <c r="F42" s="13">
        <v>43004.342615740738</v>
      </c>
      <c r="G42" s="7">
        <v>50</v>
      </c>
      <c r="H42" s="21" t="s">
        <v>362</v>
      </c>
      <c r="I42" s="13">
        <v>43004.37740740741</v>
      </c>
      <c r="J42" s="7">
        <v>0</v>
      </c>
      <c r="K42" s="89" t="str">
        <f t="shared" si="0"/>
        <v>4045/4046</v>
      </c>
      <c r="L42" s="184" t="str">
        <f>VLOOKUP(A42,'[1]Trips&amp;Operators'!$C$1:$G$99911,5,FALSE)</f>
        <v>BONDS REYNALDO</v>
      </c>
      <c r="M42" s="6">
        <f t="shared" si="1"/>
        <v>3.479166667239042E-2</v>
      </c>
      <c r="N42" s="7">
        <f t="shared" si="2"/>
        <v>50.100000008242205</v>
      </c>
      <c r="O42" s="7"/>
      <c r="P42" s="7"/>
      <c r="Q42" s="22"/>
      <c r="R42" s="173" t="s">
        <v>1010</v>
      </c>
      <c r="S42" s="220">
        <f t="shared" si="3"/>
        <v>1</v>
      </c>
      <c r="T42" s="173" t="str">
        <f t="shared" si="4"/>
        <v>Southbound</v>
      </c>
      <c r="U42" s="197">
        <f>IF(AG42="EC",COUNTIFS([1]Variables!$M$2:$M$19,IF(T42="NorthBound","&gt;=","&lt;=")&amp;Y42,[1]Variables!$M$2:$M$19,IF(T42="NorthBound","&lt;=","&gt;=")&amp;Z42),COUNTIFS([1]Variables!$P$2:$P$19,IF(T42="NorthBound","&gt;=","&lt;=")&amp;Y42,[1]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-09-26T07:08:12-0600',mode:absolute,to:'2017-09-26T10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203" t="str">
        <f>IF(AA42&lt;VLOOKUP(AG42,[1]Variables!$AC$3:$AD$8,2,FALSE),"Y","N")</f>
        <v>N</v>
      </c>
      <c r="X42" s="203">
        <f t="shared" si="6"/>
        <v>1</v>
      </c>
      <c r="Y42" s="203">
        <f t="shared" si="7"/>
        <v>23.299399999999999</v>
      </c>
      <c r="Z42" s="203">
        <f t="shared" si="8"/>
        <v>1.4500000000000001E-2</v>
      </c>
      <c r="AA42" s="203">
        <f t="shared" si="9"/>
        <v>23.284899999999997</v>
      </c>
      <c r="AB42" s="54" t="e">
        <f>VLOOKUP(A42,[1]Enforcements!$C$7:$K$11,8,0)</f>
        <v>#N/A</v>
      </c>
      <c r="AC42" s="51" t="e">
        <f>VLOOKUP(A42,[1]Enforcements!$C$7:$E$11,3,0)</f>
        <v>#N/A</v>
      </c>
      <c r="AD42" s="178">
        <f t="shared" si="10"/>
        <v>130</v>
      </c>
      <c r="AE42" s="77" t="str">
        <f t="shared" si="11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42" s="74" t="str">
        <f t="shared" si="12"/>
        <v>"C:\Program Files (x86)\AstroGrep\AstroGrep.exe" /e /r /s /spath="%USERPROFILE%\AppData\Local\Temp\OnboardLogs" /stypes="app*4045*20170926*" /stext=" 15:.+((SYSTEM_STATE.+slice.+state.+changed )|(ment ac)|(multiple cpu faults)|(system.+state.+changed )|(\[timeout)|(PRM\|1\|D)|(kpr)|(kdp)|(train st.+moving)|(\|lc)|(penalty))"</v>
      </c>
      <c r="AG42" s="181" t="str">
        <f t="shared" si="13"/>
        <v>EC</v>
      </c>
      <c r="AH42" s="78" t="str">
        <f t="shared" si="19"/>
        <v>"%USERPROFILE%\Documents\GitHub\eaglep3\Utilities\RefineRTDCRunTimes.py" --tripid 130-26 --locoid 4045 --swversion DE.1.0.9.0 --startMP 204:232994 --initTime 2017-09-26T08:08:12 --startdatetime 2017-09-26T08:13:22 --delay 50 --endMP 204:145 --enddatetime 2017-09-26T09:03:28 --enforcementcount 0 &gt;&gt;c:\users\stu\Documents\GitHub\eaglep3-reporting\EC\2017-09-26-refined-times.txt</v>
      </c>
      <c r="AI42" s="96" t="str">
        <f t="shared" si="20"/>
        <v>echo {"issue":{"subject":"Delayed by TPSS testing","project_id":79,"tracker_id":40,"status_id":1,"priority_id":2,"assigned_to_id":338,"start_date":"2017-09-26","description":"","custom_fields":[{"id":1,"name":"Subdivision","value":"EC"},{"id":4,"name":"Milepost","value":"0.0145"},{"id":17,"name":"Train ID","value":"130-26"},{"id":16,"name":"Locomotive ID","value":"4045"},{"id":130,"name":"Impact","value":""},{"id":150,"name":"Time of Event (Mountain Time)","value":"09:03:28"},{"id":151,"name":"Denver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4045 --day 2017-09-26</v>
      </c>
      <c r="AN42" s="151" t="str">
        <f t="shared" si="22"/>
        <v>echo {"issue":{"subject":"Delayed by TPSS testing","project_id":30,"tracker_id":4,"status_id":1,"priority_id":1,"assigned_to_id":10,"start_date":"2017-09-26","description":"","custom_fields":[{"id":30,"name":"Category","value":"Issue"},{"id":3,"name":"Functional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7" t="str">
        <f t="shared" si="23"/>
        <v>https://d0f6bd738d7f1b3e5a7ca70fe4ff75f0.us-east-1.aws.found.io/app/kibana#/discover/Steve-Slow-Train-Analysis-(2080s-and-2083s)?_g=(refreshInterval:(display:Off,pause:!f,section:0,value:0),time:(from:'2017-09-26T07:08:12-0600',mode:absolute,to:'2017-09-26T10:03:28-0600'))&amp;_a=(columns:!('Message%20ID',Summary),filters:!(),index:'emp_*',interval:auto,query:(query_string:(analyze_wildcard:!t,query:'%22rtdc.l.rtdc.4045%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690</v>
      </c>
      <c r="B43" s="7">
        <v>4024</v>
      </c>
      <c r="C43" s="21" t="s">
        <v>196</v>
      </c>
      <c r="D43" s="21" t="s">
        <v>386</v>
      </c>
      <c r="E43" s="13">
        <v>43004.309178240743</v>
      </c>
      <c r="F43" s="13">
        <v>43004.31287037037</v>
      </c>
      <c r="G43" s="7">
        <v>56</v>
      </c>
      <c r="H43" s="21" t="s">
        <v>400</v>
      </c>
      <c r="I43" s="13">
        <v>43004.344652777778</v>
      </c>
      <c r="J43" s="7">
        <v>0</v>
      </c>
      <c r="K43" s="89" t="str">
        <f t="shared" si="0"/>
        <v>4023/4024</v>
      </c>
      <c r="L43" s="184" t="str">
        <f>VLOOKUP(A43,'[1]Trips&amp;Operators'!$C$1:$G$99911,5,FALSE)</f>
        <v>MACDONALD THOMAS</v>
      </c>
      <c r="M43" s="6">
        <f t="shared" si="1"/>
        <v>3.178240740817273E-2</v>
      </c>
      <c r="N43" s="7">
        <f t="shared" si="2"/>
        <v>45.766666667768732</v>
      </c>
      <c r="O43" s="7"/>
      <c r="P43" s="7"/>
      <c r="Q43" s="22"/>
      <c r="R43" s="173"/>
      <c r="S43" s="220">
        <f t="shared" si="3"/>
        <v>1</v>
      </c>
      <c r="T43" s="173" t="str">
        <f t="shared" si="4"/>
        <v>NorthBound</v>
      </c>
      <c r="U43" s="197">
        <f>IF(AG43="EC",COUNTIFS([1]Variables!$M$2:$M$19,IF(T43="NorthBound","&gt;=","&lt;=")&amp;Y43,[1]Variables!$M$2:$M$19,IF(T43="NorthBound","&lt;=","&gt;=")&amp;Z43),COUNTIFS([1]Variables!$P$2:$P$19,IF(T43="NorthBound","&gt;=","&lt;=")&amp;Y43,[1]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-09-26T06:25:13-0600',mode:absolute,to:'2017-09-26T09:16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203" t="str">
        <f>IF(AA43&lt;VLOOKUP(AG43,[1]Variables!$AC$3:$AD$8,2,FALSE),"Y","N")</f>
        <v>N</v>
      </c>
      <c r="X43" s="203">
        <f t="shared" si="6"/>
        <v>1</v>
      </c>
      <c r="Y43" s="203">
        <f t="shared" si="7"/>
        <v>4.6199999999999998E-2</v>
      </c>
      <c r="Z43" s="203">
        <f t="shared" si="8"/>
        <v>23.3293</v>
      </c>
      <c r="AA43" s="203">
        <f t="shared" si="9"/>
        <v>23.283100000000001</v>
      </c>
      <c r="AB43" s="54" t="e">
        <f>VLOOKUP(A43,[1]Enforcements!$C$7:$K$11,8,0)</f>
        <v>#N/A</v>
      </c>
      <c r="AC43" s="51" t="e">
        <f>VLOOKUP(A43,[1]Enforcements!$C$7:$E$11,3,0)</f>
        <v>#N/A</v>
      </c>
      <c r="AD43" s="178">
        <f t="shared" si="10"/>
        <v>131</v>
      </c>
      <c r="AE43" s="77" t="str">
        <f t="shared" si="11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43" s="74" t="str">
        <f t="shared" si="12"/>
        <v>"C:\Program Files (x86)\AstroGrep\AstroGrep.exe" /e /r /s /spath="%USERPROFILE%\AppData\Local\Temp\OnboardLogs" /stypes="app*4024*20170926*" /stext=" 14:.+((SYSTEM_STATE.+slice.+state.+changed )|(ment ac)|(multiple cpu faults)|(system.+state.+changed )|(\[timeout)|(PRM\|1\|D)|(kpr)|(kdp)|(train st.+moving)|(\|lc)|(penalty))"</v>
      </c>
      <c r="AG43" s="181" t="str">
        <f t="shared" si="13"/>
        <v>EC</v>
      </c>
      <c r="AH43" s="78" t="str">
        <f t="shared" si="19"/>
        <v>"%USERPROFILE%\Documents\GitHub\eaglep3\Utilities\RefineRTDCRunTimes.py" --tripid 131-26 --locoid 4024 --swversion DE.1.0.9.0 --startMP 204:462 --initTime 2017-09-26T07:25:13 --startdatetime 2017-09-26T07:30:32 --delay 56 --endMP 204:233293 --enddatetime 2017-09-26T08:16:18 --enforcementcount 0 &gt;&gt;c:\users\stu\Documents\GitHub\eaglep3-reporting\EC\2017-09-26-refined-times.txt</v>
      </c>
      <c r="AI43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{"issue":{"subject":"","project_id":79,"tracker_id":40,"status_id":1,"priority_id":2,"assigned_to_id":338,"start_date":"2017-09-26","description":"","custom_fields":[{"id":1,"name":"Subdivision","value":"EC"},{"id":4,"name":"Milepost","value":"23.3293"},{"id":17,"name":"Train ID","value":"131-26"},{"id":16,"name":"Locomotive ID","value":"4024"},{"id":130,"name":"Impact","value":""},{"id":150,"name":"Time of Event (Mountain Time)","value":"08:16:18"},{"id":151,"name":"Denver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4024 --day 2017-09-26</v>
      </c>
      <c r="AN43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14:16:18"},{"id":29,"name":"Sharepoint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7" t="str">
        <f t="shared" si="23"/>
        <v>https://d0f6bd738d7f1b3e5a7ca70fe4ff75f0.us-east-1.aws.found.io/app/kibana#/discover/Steve-Slow-Train-Analysis-(2080s-and-2083s)?_g=(refreshInterval:(display:Off,pause:!f,section:0,value:0),time:(from:'2017-09-26T06:25:13-0600',mode:absolute,to:'2017-09-26T09:16:18-0600'))&amp;_a=(columns:!('Message%20ID',Summary),filters:!(),index:'emp_*',interval:auto,query:(query_string:(analyze_wildcard:!t,query:'%22rtdc.l.rtdc.4024%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610</v>
      </c>
      <c r="B44" s="7">
        <v>4023</v>
      </c>
      <c r="C44" s="21" t="s">
        <v>196</v>
      </c>
      <c r="D44" s="21" t="s">
        <v>386</v>
      </c>
      <c r="E44" s="13">
        <v>43004.309178240743</v>
      </c>
      <c r="F44" s="13">
        <v>43004.352395833332</v>
      </c>
      <c r="G44" s="7">
        <v>56</v>
      </c>
      <c r="H44" s="21" t="s">
        <v>400</v>
      </c>
      <c r="I44" s="13">
        <v>43004.388310185182</v>
      </c>
      <c r="J44" s="7">
        <v>0</v>
      </c>
      <c r="K44" s="89" t="str">
        <f t="shared" si="0"/>
        <v>4023/4024</v>
      </c>
      <c r="L44" s="184" t="str">
        <f>VLOOKUP(A44,'[1]Trips&amp;Operators'!$C$1:$G$99911,5,FALSE)</f>
        <v>MACDONALD THOMAS</v>
      </c>
      <c r="M44" s="6">
        <f t="shared" si="1"/>
        <v>3.591435185080627E-2</v>
      </c>
      <c r="N44" s="7">
        <f t="shared" si="2"/>
        <v>51.716666665161029</v>
      </c>
      <c r="O44" s="7"/>
      <c r="P44" s="7"/>
      <c r="Q44" s="22"/>
      <c r="R44" s="173" t="s">
        <v>1010</v>
      </c>
      <c r="S44" s="220">
        <f t="shared" si="3"/>
        <v>1</v>
      </c>
      <c r="T44" s="173" t="str">
        <f t="shared" si="4"/>
        <v>Southbound</v>
      </c>
      <c r="U44" s="197">
        <f>IF(AG44="EC",COUNTIFS([1]Variables!$M$2:$M$19,IF(T44="NorthBound","&gt;=","&lt;=")&amp;Y44,[1]Variables!$M$2:$M$19,IF(T44="NorthBound","&lt;=","&gt;=")&amp;Z44),COUNTIFS([1]Variables!$P$2:$P$19,IF(T44="NorthBound","&gt;=","&lt;=")&amp;Y44,[1]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-09-26T06:25:13-0600',mode:absolute,to:'2017-09-26T10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203" t="str">
        <f>IF(AA44&lt;VLOOKUP(AG44,[1]Variables!$AC$3:$AD$8,2,FALSE),"Y","N")</f>
        <v>N</v>
      </c>
      <c r="X44" s="203">
        <f t="shared" si="6"/>
        <v>1</v>
      </c>
      <c r="Y44" s="203">
        <v>23.299399999999999</v>
      </c>
      <c r="Z44" s="203">
        <v>1.4500000000000001E-2</v>
      </c>
      <c r="AA44" s="203">
        <f t="shared" si="9"/>
        <v>23.284899999999997</v>
      </c>
      <c r="AB44" s="54" t="str">
        <f>VLOOKUP(A44,[1]Enforcements!$C$7:$K$11,8,0)</f>
        <v>Bulletin (2)</v>
      </c>
      <c r="AC44" s="51" t="str">
        <f>VLOOKUP(A44,[1]Enforcements!$C$7:$E$11,3,0)</f>
        <v>GRADE CROSSING</v>
      </c>
      <c r="AD44" s="178">
        <f t="shared" si="10"/>
        <v>132</v>
      </c>
      <c r="AE44" s="77" t="str">
        <f t="shared" si="11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44" s="74" t="str">
        <f t="shared" si="12"/>
        <v>"C:\Program Files (x86)\AstroGrep\AstroGrep.exe" /e /r /s /spath="%USERPROFILE%\AppData\Local\Temp\OnboardLogs" /stypes="app*4023*20170926*" /stext=" 15:.+((SYSTEM_STATE.+slice.+state.+changed )|(ment ac)|(multiple cpu faults)|(system.+state.+changed )|(\[timeout)|(PRM\|1\|D)|(kpr)|(kdp)|(train st.+moving)|(\|lc)|(penalty))"</v>
      </c>
      <c r="AG44" s="181" t="str">
        <f t="shared" si="13"/>
        <v>EC</v>
      </c>
      <c r="AH44" s="78" t="str">
        <f t="shared" ref="AH44" si="24"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132-26 --locoid 4023 --swversion DE.1.0.9.0 --startMP 204:462 --initTime 2017-09-26T07:25:13 --startdatetime 2017-09-26T08:27:27 --delay 56 --endMP 204:233293 --enddatetime 2017-09-26T09:19:10 --enforcementcount 0 &gt;&gt;c:\users\stu\Documents\GitHub\eaglep3-reporting\EC\2017-09-26-refined-times.txt</v>
      </c>
      <c r="AI44" s="96" t="str">
        <f t="shared" ref="AI44" si="25"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--insecure -X POST -H ""Content-Type: application/json"" -H ""X-Redmine-API-Key: "&amp;redm_api_key&amp;""" "&amp;redm_url&amp;" --data @-"</f>
        <v>echo {"issue":{"subject":"Delayed by TPSS testing","project_id":79,"tracker_id":40,"status_id":1,"priority_id":2,"assigned_to_id":338,"start_date":"2017-09-26","description":"","custom_fields":[{"id":1,"name":"Subdivision","value":"EC"},{"id":4,"name":"Milepost","value":"0.0145"},{"id":17,"name":"Train ID","value":"132-26"},{"id":16,"name":"Locomotive ID","value":"4023"},{"id":130,"name":"Impact","value":""},{"id":150,"name":"Time of Event (Mountain Time)","value":"09:19:10"},{"id":151,"name":"Denver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ref="AM44" si="26">"start /low /b "&amp;dls3logs&amp;" --loco "&amp;B44&amp;" --day "&amp;TEXT(F44,"YYYY-MM-DD")</f>
        <v>start /low /b %USERPROFILE%\Documents\GitHub\eaglep3\Utilities\DownloadLogsFromS3.py --loco 4023 --day 2017-09-26</v>
      </c>
      <c r="AN44" s="151" t="str">
        <f t="shared" ref="AN44" si="27">"echo {""issue"":{""subject"":"""&amp;R44&amp;""",""project_id"":30,""tracker_id"":4,""status_id"":"&amp;redmine_status_wcr&amp;",""priority_id"":"&amp;redmine_priority_wcr&amp;",""assigned_to_id"":"&amp;redmine_assignee_wcr&amp;",""start_date"":"""&amp;TEXT(I44-utc_offset/24,"YYYY-mm-dd")&amp;""",""description"":"""&amp;AJ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TPSS testing","project_id":30,"tracker_id":4,"status_id":1,"priority_id":1,"assigned_to_id":10,"start_date":"2017-09-26","description":"","custom_fields":[{"id":30,"name":"Category","value":"Issue"},{"id":3,"name":"Functional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7" t="str">
        <f t="shared" ref="AO44" si="28"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Message%20ID',Summary),filters:!(),index:'emp_*',interval:auto,query:"&amp;"(query_string:(analyze_wildcard:!t,query:'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-26T06:25:13-0600',mode:absolute,to:'2017-09-26T10:19:10-0600'))&amp;_a=(columns:!('Message%20ID',Summary),filters:!(),index:'emp_*',interval:auto,query:(query_string:(analyze_wildcard:!t,query:'%22rtdc.l.rtdc.4023%22')),sort:!(Time.ISO8601,asc))</v>
      </c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2" t="s">
        <v>693</v>
      </c>
      <c r="B45" s="7">
        <v>4060</v>
      </c>
      <c r="C45" s="21" t="s">
        <v>196</v>
      </c>
      <c r="D45" s="21" t="s">
        <v>374</v>
      </c>
      <c r="E45" s="13">
        <v>43004.320879629631</v>
      </c>
      <c r="F45" s="13">
        <v>43004.323171296295</v>
      </c>
      <c r="G45" s="7">
        <v>72</v>
      </c>
      <c r="H45" s="21" t="s">
        <v>390</v>
      </c>
      <c r="I45" s="13">
        <v>43004.355798611112</v>
      </c>
      <c r="J45" s="7">
        <v>0</v>
      </c>
      <c r="K45" s="89" t="str">
        <f t="shared" si="0"/>
        <v>4059/4060</v>
      </c>
      <c r="L45" s="184" t="str">
        <f>VLOOKUP(A45,'[1]Trips&amp;Operators'!$C$1:$G$99911,5,FALSE)</f>
        <v>THOMPSON LESTER</v>
      </c>
      <c r="M45" s="6">
        <f t="shared" si="1"/>
        <v>3.2627314816636499E-2</v>
      </c>
      <c r="N45" s="7">
        <f t="shared" si="2"/>
        <v>46.983333335956559</v>
      </c>
      <c r="O45" s="7"/>
      <c r="P45" s="7"/>
      <c r="Q45" s="22"/>
      <c r="R45" s="173"/>
      <c r="S45" s="220">
        <f t="shared" si="3"/>
        <v>1</v>
      </c>
      <c r="T45" s="173" t="str">
        <f t="shared" si="4"/>
        <v>NorthBound</v>
      </c>
      <c r="U45" s="197">
        <f>IF(AG45="EC",COUNTIFS([1]Variables!$M$2:$M$19,IF(T45="NorthBound","&gt;=","&lt;=")&amp;Y45,[1]Variables!$M$2:$M$19,IF(T45="NorthBound","&lt;=","&gt;=")&amp;Z45),COUNTIFS([1]Variables!$P$2:$P$19,IF(T45="NorthBound","&gt;=","&lt;=")&amp;Y45,[1]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-09-26T06:42:04-0600',mode:absolute,to:'2017-09-26T09:32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203" t="str">
        <f>IF(AA45&lt;VLOOKUP(AG45,[1]Variables!$AC$3:$AD$8,2,FALSE),"Y","N")</f>
        <v>N</v>
      </c>
      <c r="X45" s="203">
        <f t="shared" si="6"/>
        <v>1</v>
      </c>
      <c r="Y45" s="203">
        <f t="shared" ref="Y45:Y52" si="29">RIGHT(D45,LEN(D45)-4)/10000</f>
        <v>4.5999999999999999E-2</v>
      </c>
      <c r="Z45" s="203">
        <f t="shared" ref="Z45:Z52" si="30">RIGHT(H45,LEN(H45)-4)/10000</f>
        <v>23.331199999999999</v>
      </c>
      <c r="AA45" s="203">
        <f t="shared" si="9"/>
        <v>23.2852</v>
      </c>
      <c r="AB45" s="54" t="e">
        <f>VLOOKUP(A45,[1]Enforcements!$C$7:$K$11,8,0)</f>
        <v>#N/A</v>
      </c>
      <c r="AC45" s="51" t="e">
        <f>VLOOKUP(A45,[1]Enforcements!$C$7:$E$11,3,0)</f>
        <v>#N/A</v>
      </c>
      <c r="AD45" s="178">
        <f t="shared" si="10"/>
        <v>133</v>
      </c>
      <c r="AE45" s="77" t="str">
        <f t="shared" si="11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45" s="74" t="str">
        <f t="shared" si="12"/>
        <v>"C:\Program Files (x86)\AstroGrep\AstroGrep.exe" /e /r /s /spath="%USERPROFILE%\AppData\Local\Temp\OnboardLogs" /stypes="app*4060*20170926*" /stext=" 14:.+((SYSTEM_STATE.+slice.+state.+changed )|(ment ac)|(multiple cpu faults)|(system.+state.+changed )|(\[timeout)|(PRM\|1\|D)|(kpr)|(kdp)|(train st.+moving)|(\|lc)|(penalty))"</v>
      </c>
      <c r="AG45" s="181" t="str">
        <f t="shared" si="13"/>
        <v>EC</v>
      </c>
      <c r="AH45" s="78" t="str">
        <f t="shared" si="19"/>
        <v>"%USERPROFILE%\Documents\GitHub\eaglep3\Utilities\RefineRTDCRunTimes.py" --tripid 133-26 --locoid 4060 --swversion DE.1.0.9.0 --startMP 204:460 --initTime 2017-09-26T07:42:04 --startdatetime 2017-09-26T07:45:22 --delay 72 --endMP 204:233312 --enddatetime 2017-09-26T08:32:21 --enforcementcount 0 &gt;&gt;c:\users\stu\Documents\GitHub\eaglep3-reporting\EC\2017-09-26-refined-times.txt</v>
      </c>
      <c r="AI45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{"issue":{"subject":"","project_id":79,"tracker_id":40,"status_id":1,"priority_id":2,"assigned_to_id":338,"start_date":"2017-09-26","description":"","custom_fields":[{"id":1,"name":"Subdivision","value":"EC"},{"id":4,"name":"Milepost","value":"23.3312"},{"id":17,"name":"Train ID","value":"133-26"},{"id":16,"name":"Locomotive ID","value":"4060"},{"id":130,"name":"Impact","value":""},{"id":150,"name":"Time of Event (Mountain Time)","value":"08:32:21"},{"id":151,"name":"Denver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4060 --day 2017-09-26</v>
      </c>
      <c r="AN45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14:32:21"},{"id":29,"name":"Sharepoint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7" t="str">
        <f t="shared" si="23"/>
        <v>https://d0f6bd738d7f1b3e5a7ca70fe4ff75f0.us-east-1.aws.found.io/app/kibana#/discover/Steve-Slow-Train-Analysis-(2080s-and-2083s)?_g=(refreshInterval:(display:Off,pause:!f,section:0,value:0),time:(from:'2017-09-26T06:42:04-0600',mode:absolute,to:'2017-09-26T09:32:21-0600'))&amp;_a=(columns:!('Message%20ID',Summary),filters:!(),index:'emp_*',interval:auto,query:(query_string:(analyze_wildcard:!t,query:'%22rtdc.l.rtdc.4060%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4059</v>
      </c>
      <c r="C46" s="21" t="s">
        <v>196</v>
      </c>
      <c r="D46" s="21" t="s">
        <v>864</v>
      </c>
      <c r="E46" s="13">
        <v>43004.360706018517</v>
      </c>
      <c r="F46" s="13">
        <v>43004.362893518519</v>
      </c>
      <c r="G46" s="7">
        <v>52</v>
      </c>
      <c r="H46" s="21" t="s">
        <v>342</v>
      </c>
      <c r="I46" s="13">
        <v>43004.393993055557</v>
      </c>
      <c r="J46" s="7">
        <v>0</v>
      </c>
      <c r="K46" s="89" t="str">
        <f t="shared" si="0"/>
        <v>4059/4060</v>
      </c>
      <c r="L46" s="184" t="str">
        <f>VLOOKUP(A46,'[1]Trips&amp;Operators'!$C$1:$G$99911,5,FALSE)</f>
        <v>THOMPSON LESTER</v>
      </c>
      <c r="M46" s="6">
        <f t="shared" si="1"/>
        <v>3.1099537038244307E-2</v>
      </c>
      <c r="N46" s="7">
        <f t="shared" si="2"/>
        <v>44.783333335071802</v>
      </c>
      <c r="O46" s="7"/>
      <c r="P46" s="7"/>
      <c r="Q46" s="22"/>
      <c r="R46" s="173"/>
      <c r="S46" s="220">
        <f t="shared" si="3"/>
        <v>1</v>
      </c>
      <c r="T46" s="173" t="str">
        <f t="shared" si="4"/>
        <v>Southbound</v>
      </c>
      <c r="U46" s="197">
        <f>IF(AG46="EC",COUNTIFS([1]Variables!$M$2:$M$19,IF(T46="NorthBound","&gt;=","&lt;=")&amp;Y46,[1]Variables!$M$2:$M$19,IF(T46="NorthBound","&lt;=","&gt;=")&amp;Z46),COUNTIFS([1]Variables!$P$2:$P$19,IF(T46="NorthBound","&gt;=","&lt;=")&amp;Y46,[1]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-09-26T07:39:25-0600',mode:absolute,to:'2017-09-26T10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203" t="str">
        <f>IF(AA46&lt;VLOOKUP(AG46,[1]Variables!$AC$3:$AD$8,2,FALSE),"Y","N")</f>
        <v>N</v>
      </c>
      <c r="X46" s="203">
        <f t="shared" si="6"/>
        <v>1</v>
      </c>
      <c r="Y46" s="203">
        <f t="shared" si="29"/>
        <v>23.299099999999999</v>
      </c>
      <c r="Z46" s="203">
        <f t="shared" si="30"/>
        <v>1.47E-2</v>
      </c>
      <c r="AA46" s="203">
        <f t="shared" si="9"/>
        <v>23.284399999999998</v>
      </c>
      <c r="AB46" s="54" t="e">
        <f>VLOOKUP(A46,[1]Enforcements!$C$7:$K$11,8,0)</f>
        <v>#N/A</v>
      </c>
      <c r="AC46" s="51" t="e">
        <f>VLOOKUP(A46,[1]Enforcements!$C$7:$E$11,3,0)</f>
        <v>#N/A</v>
      </c>
      <c r="AD46" s="178">
        <f t="shared" si="10"/>
        <v>134</v>
      </c>
      <c r="AE46" s="77" t="str">
        <f t="shared" si="11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46" s="74" t="str">
        <f t="shared" si="12"/>
        <v>"C:\Program Files (x86)\AstroGrep\AstroGrep.exe" /e /r /s /spath="%USERPROFILE%\AppData\Local\Temp\OnboardLogs" /stypes="app*4059*20170926*" /stext=" 15:.+((SYSTEM_STATE.+slice.+state.+changed )|(ment ac)|(multiple cpu faults)|(system.+state.+changed )|(\[timeout)|(PRM\|1\|D)|(kpr)|(kdp)|(train st.+moving)|(\|lc)|(penalty))"</v>
      </c>
      <c r="AG46" s="181" t="str">
        <f t="shared" si="13"/>
        <v>EC</v>
      </c>
      <c r="AH46" s="78" t="str">
        <f t="shared" si="19"/>
        <v>"%USERPROFILE%\Documents\GitHub\eaglep3\Utilities\RefineRTDCRunTimes.py" --tripid 134-26 --locoid 4059 --swversion DE.1.0.9.0 --startMP 204:232991 --initTime 2017-09-26T08:39:25 --startdatetime 2017-09-26T08:42:34 --delay 52 --endMP 204:147 --enddatetime 2017-09-26T09:27:21 --enforcementcount 0 &gt;&gt;c:\users\stu\Documents\GitHub\eaglep3-reporting\EC\2017-09-26-refined-times.txt</v>
      </c>
      <c r="AI46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ID","value":"134-26"},{"id":16,"name":"Locomotive ID","value":"4059"},{"id":130,"name":"Impact","value":""},{"id":150,"name":"Time of Event (Mountain Time)","value":"09:27:21"},{"id":151,"name":"Denver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4059 --day 2017-09-26</v>
      </c>
      <c r="AN46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7" t="str">
        <f t="shared" si="23"/>
        <v>https://d0f6bd738d7f1b3e5a7ca70fe4ff75f0.us-east-1.aws.found.io/app/kibana#/discover/Steve-Slow-Train-Analysis-(2080s-and-2083s)?_g=(refreshInterval:(display:Off,pause:!f,section:0,value:0),time:(from:'2017-09-26T07:39:25-0600',mode:absolute,to:'2017-09-26T10:27:21-0600'))&amp;_a=(columns:!('Message%20ID',Summary),filters:!(),index:'emp_*',interval:auto,query:(query_string:(analyze_wildcard:!t,query:'%22rtdc.l.rtdc.4059%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694</v>
      </c>
      <c r="B47" s="7">
        <v>4018</v>
      </c>
      <c r="C47" s="21" t="s">
        <v>196</v>
      </c>
      <c r="D47" s="21" t="s">
        <v>388</v>
      </c>
      <c r="E47" s="13">
        <v>43004.331030092595</v>
      </c>
      <c r="F47" s="13">
        <v>43004.333495370367</v>
      </c>
      <c r="G47" s="7">
        <v>69</v>
      </c>
      <c r="H47" s="21" t="s">
        <v>560</v>
      </c>
      <c r="I47" s="13">
        <v>43004.3669212963</v>
      </c>
      <c r="J47" s="7">
        <v>0</v>
      </c>
      <c r="K47" s="89" t="str">
        <f t="shared" si="0"/>
        <v>4017/4018</v>
      </c>
      <c r="L47" s="184" t="str">
        <f>VLOOKUP(A47,'[1]Trips&amp;Operators'!$C$1:$G$99911,5,FALSE)</f>
        <v>LALONDE GREGORY</v>
      </c>
      <c r="M47" s="6">
        <f t="shared" si="1"/>
        <v>3.3425925932533573E-2</v>
      </c>
      <c r="N47" s="7">
        <f t="shared" si="2"/>
        <v>48.133333342848346</v>
      </c>
      <c r="O47" s="7"/>
      <c r="P47" s="7"/>
      <c r="Q47" s="22"/>
      <c r="R47" s="173"/>
      <c r="S47" s="220">
        <f t="shared" si="3"/>
        <v>1</v>
      </c>
      <c r="T47" s="173" t="str">
        <f t="shared" si="4"/>
        <v>NorthBound</v>
      </c>
      <c r="U47" s="197">
        <f>IF(AG47="EC",COUNTIFS([1]Variables!$M$2:$M$19,IF(T47="NorthBound","&gt;=","&lt;=")&amp;Y47,[1]Variables!$M$2:$M$19,IF(T47="NorthBound","&lt;=","&gt;=")&amp;Z47),COUNTIFS([1]Variables!$P$2:$P$19,IF(T47="NorthBound","&gt;=","&lt;=")&amp;Y47,[1]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-09-26T06:56:41-0600',mode:absolute,to:'2017-09-26T09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03" t="str">
        <f>IF(AA47&lt;VLOOKUP(AG47,[1]Variables!$AC$3:$AD$8,2,FALSE),"Y","N")</f>
        <v>N</v>
      </c>
      <c r="X47" s="203">
        <f t="shared" si="6"/>
        <v>1</v>
      </c>
      <c r="Y47" s="203">
        <f t="shared" si="29"/>
        <v>4.5100000000000001E-2</v>
      </c>
      <c r="Z47" s="203">
        <f t="shared" si="30"/>
        <v>23.330500000000001</v>
      </c>
      <c r="AA47" s="203">
        <f t="shared" si="9"/>
        <v>23.285399999999999</v>
      </c>
      <c r="AB47" s="54" t="e">
        <f>VLOOKUP(A47,[1]Enforcements!$C$7:$K$11,8,0)</f>
        <v>#N/A</v>
      </c>
      <c r="AC47" s="51" t="e">
        <f>VLOOKUP(A47,[1]Enforcements!$C$7:$E$11,3,0)</f>
        <v>#N/A</v>
      </c>
      <c r="AD47" s="178">
        <f t="shared" si="10"/>
        <v>135</v>
      </c>
      <c r="AE47" s="77" t="str">
        <f t="shared" si="11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47" s="74" t="str">
        <f t="shared" si="12"/>
        <v>"C:\Program Files (x86)\AstroGrep\AstroGrep.exe" /e /r /s /spath="%USERPROFILE%\AppData\Local\Temp\OnboardLogs" /stypes="app*4018*20170926*" /stext=" 14:.+((SYSTEM_STATE.+slice.+state.+changed )|(ment ac)|(multiple cpu faults)|(system.+state.+changed )|(\[timeout)|(PRM\|1\|D)|(kpr)|(kdp)|(train st.+moving)|(\|lc)|(penalty))"</v>
      </c>
      <c r="AG47" s="181" t="str">
        <f t="shared" si="13"/>
        <v>EC</v>
      </c>
      <c r="AH47" s="78" t="str">
        <f t="shared" si="19"/>
        <v>"%USERPROFILE%\Documents\GitHub\eaglep3\Utilities\RefineRTDCRunTimes.py" --tripid 135-26 --locoid 4018 --swversion DE.1.0.9.0 --startMP 204:451 --initTime 2017-09-26T07:56:41 --startdatetime 2017-09-26T08:00:14 --delay 69 --endMP 204:233305 --enddatetime 2017-09-26T08:48:22 --enforcementcount 0 &gt;&gt;c:\users\stu\Documents\GitHub\eaglep3-reporting\EC\2017-09-26-refined-times.txt</v>
      </c>
      <c r="AI47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{"issue":{"subject":"","project_id":79,"tracker_id":40,"status_id":1,"priority_id":2,"assigned_to_id":338,"start_date":"2017-09-26","description":"","custom_fields":[{"id":1,"name":"Subdivision","value":"EC"},{"id":4,"name":"Milepost","value":"23.3305"},{"id":17,"name":"Train ID","value":"135-26"},{"id":16,"name":"Locomotive ID","value":"4018"},{"id":130,"name":"Impact","value":""},{"id":150,"name":"Time of Event (Mountain Time)","value":"08:48:22"},{"id":151,"name":"Denver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4018 --day 2017-09-26</v>
      </c>
      <c r="AN47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7" t="str">
        <f t="shared" si="23"/>
        <v>https://d0f6bd738d7f1b3e5a7ca70fe4ff75f0.us-east-1.aws.found.io/app/kibana#/discover/Steve-Slow-Train-Analysis-(2080s-and-2083s)?_g=(refreshInterval:(display:Off,pause:!f,section:0,value:0),time:(from:'2017-09-26T06:56:41-0600',mode:absolute,to:'2017-09-26T09:48:22-0600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707</v>
      </c>
      <c r="B48" s="7">
        <v>4017</v>
      </c>
      <c r="C48" s="21" t="s">
        <v>196</v>
      </c>
      <c r="D48" s="21" t="s">
        <v>865</v>
      </c>
      <c r="E48" s="13">
        <v>43004.368206018517</v>
      </c>
      <c r="F48" s="13">
        <v>43004.373333333337</v>
      </c>
      <c r="G48" s="7">
        <v>70</v>
      </c>
      <c r="H48" s="21" t="s">
        <v>342</v>
      </c>
      <c r="I48" s="13">
        <v>43004.399293981478</v>
      </c>
      <c r="J48" s="7">
        <v>0</v>
      </c>
      <c r="K48" s="89" t="str">
        <f t="shared" si="0"/>
        <v>4017/4018</v>
      </c>
      <c r="L48" s="184" t="str">
        <f>VLOOKUP(A48,'[1]Trips&amp;Operators'!$C$1:$G$99911,5,FALSE)</f>
        <v>LALONDE GREGORY</v>
      </c>
      <c r="M48" s="6">
        <f t="shared" si="1"/>
        <v>2.5960648141335696E-2</v>
      </c>
      <c r="N48" s="7">
        <f t="shared" si="2"/>
        <v>37.383333323523402</v>
      </c>
      <c r="O48" s="7"/>
      <c r="P48" s="7"/>
      <c r="Q48" s="22"/>
      <c r="R48" s="173"/>
      <c r="S48" s="220">
        <f t="shared" si="3"/>
        <v>1</v>
      </c>
      <c r="T48" s="173" t="str">
        <f t="shared" si="4"/>
        <v>Southbound</v>
      </c>
      <c r="U48" s="197">
        <f>IF(AG48="EC",COUNTIFS([1]Variables!$M$2:$M$19,IF(T48="NorthBound","&gt;=","&lt;=")&amp;Y48,[1]Variables!$M$2:$M$19,IF(T48="NorthBound","&lt;=","&gt;=")&amp;Z48),COUNTIFS([1]Variables!$P$2:$P$19,IF(T48="NorthBound","&gt;=","&lt;=")&amp;Y48,[1]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-09-26T07:50:13-0600',mode:absolute,to:'2017-09-26T10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03" t="str">
        <f>IF(AA48&lt;VLOOKUP(AG48,[1]Variables!$AC$3:$AD$8,2,FALSE),"Y","N")</f>
        <v>N</v>
      </c>
      <c r="X48" s="203">
        <f t="shared" si="6"/>
        <v>1</v>
      </c>
      <c r="Y48" s="203">
        <f t="shared" si="29"/>
        <v>23.3005</v>
      </c>
      <c r="Z48" s="203">
        <f t="shared" si="30"/>
        <v>1.47E-2</v>
      </c>
      <c r="AA48" s="203">
        <f t="shared" si="9"/>
        <v>23.285799999999998</v>
      </c>
      <c r="AB48" s="54" t="e">
        <f>VLOOKUP(A48,[1]Enforcements!$C$7:$K$11,8,0)</f>
        <v>#N/A</v>
      </c>
      <c r="AC48" s="51" t="e">
        <f>VLOOKUP(A48,[1]Enforcements!$C$7:$E$11,3,0)</f>
        <v>#N/A</v>
      </c>
      <c r="AD48" s="178">
        <f t="shared" si="10"/>
        <v>136</v>
      </c>
      <c r="AE48" s="77" t="str">
        <f t="shared" si="11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48" s="74" t="str">
        <f t="shared" si="12"/>
        <v>"C:\Program Files (x86)\AstroGrep\AstroGrep.exe" /e /r /s /spath="%USERPROFILE%\AppData\Local\Temp\OnboardLogs" /stypes="app*4017*20170926*" /stext=" 15:.+((SYSTEM_STATE.+slice.+state.+changed )|(ment ac)|(multiple cpu faults)|(system.+state.+changed )|(\[timeout)|(PRM\|1\|D)|(kpr)|(kdp)|(train st.+moving)|(\|lc)|(penalty))"</v>
      </c>
      <c r="AG48" s="181" t="str">
        <f t="shared" si="13"/>
        <v>EC</v>
      </c>
      <c r="AH48" s="78" t="str">
        <f t="shared" si="19"/>
        <v>"%USERPROFILE%\Documents\GitHub\eaglep3\Utilities\RefineRTDCRunTimes.py" --tripid 136-26 --locoid 4017 --swversion DE.1.0.9.0 --startMP 204:233005 --initTime 2017-09-26T08:50:13 --startdatetime 2017-09-26T08:57:36 --delay 70 --endMP 204:147 --enddatetime 2017-09-26T09:34:59 --enforcementcount 0 &gt;&gt;c:\users\stu\Documents\GitHub\eaglep3-reporting\EC\2017-09-26-refined-times.txt</v>
      </c>
      <c r="AI48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ID","value":"136-26"},{"id":16,"name":"Locomotive ID","value":"4017"},{"id":130,"name":"Impact","value":""},{"id":150,"name":"Time of Event (Mountain Time)","value":"09:34:59"},{"id":151,"name":"Denver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4017 --day 2017-09-26</v>
      </c>
      <c r="AN48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7" t="str">
        <f t="shared" si="23"/>
        <v>https://d0f6bd738d7f1b3e5a7ca70fe4ff75f0.us-east-1.aws.found.io/app/kibana#/discover/Steve-Slow-Train-Analysis-(2080s-and-2083s)?_g=(refreshInterval:(display:Off,pause:!f,section:0,value:0),time:(from:'2017-09-26T07:50:13-0600',mode:absolute,to:'2017-09-26T10:34:59-0600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700</v>
      </c>
      <c r="B49" s="7">
        <v>4054</v>
      </c>
      <c r="C49" s="21" t="s">
        <v>196</v>
      </c>
      <c r="D49" s="21" t="s">
        <v>371</v>
      </c>
      <c r="E49" s="13">
        <v>43004.340555555558</v>
      </c>
      <c r="F49" s="13">
        <v>43004.343969907408</v>
      </c>
      <c r="G49" s="7">
        <v>63</v>
      </c>
      <c r="H49" s="21" t="s">
        <v>866</v>
      </c>
      <c r="I49" s="13">
        <v>43004.374502314815</v>
      </c>
      <c r="J49" s="7">
        <v>0</v>
      </c>
      <c r="K49" s="89" t="str">
        <f t="shared" si="0"/>
        <v>4053/4054</v>
      </c>
      <c r="L49" s="184" t="str">
        <f>VLOOKUP(A49,'[1]Trips&amp;Operators'!$C$1:$G$99911,5,FALSE)</f>
        <v>LAMAR NEKESHA</v>
      </c>
      <c r="M49" s="6">
        <f t="shared" si="1"/>
        <v>3.0532407407008577E-2</v>
      </c>
      <c r="N49" s="7">
        <f t="shared" si="2"/>
        <v>43.966666666092351</v>
      </c>
      <c r="O49" s="7"/>
      <c r="P49" s="7"/>
      <c r="Q49" s="22"/>
      <c r="R49" s="173"/>
      <c r="S49" s="220">
        <f t="shared" si="3"/>
        <v>1</v>
      </c>
      <c r="T49" s="173" t="str">
        <f t="shared" si="4"/>
        <v>NorthBound</v>
      </c>
      <c r="U49" s="197">
        <f>IF(AG49="EC",COUNTIFS([1]Variables!$M$2:$M$19,IF(T49="NorthBound","&gt;=","&lt;=")&amp;Y49,[1]Variables!$M$2:$M$19,IF(T49="NorthBound","&lt;=","&gt;=")&amp;Z49),COUNTIFS([1]Variables!$P$2:$P$19,IF(T49="NorthBound","&gt;=","&lt;=")&amp;Y49,[1]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-09-26T07:10:24-0600',mode:absolute,to:'2017-09-26T09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203" t="str">
        <f>IF(AA49&lt;VLOOKUP(AG49,[1]Variables!$AC$3:$AD$8,2,FALSE),"Y","N")</f>
        <v>N</v>
      </c>
      <c r="X49" s="203">
        <f t="shared" si="6"/>
        <v>1</v>
      </c>
      <c r="Y49" s="203">
        <f t="shared" si="29"/>
        <v>4.4200000000000003E-2</v>
      </c>
      <c r="Z49" s="203">
        <f t="shared" si="30"/>
        <v>23.334399999999999</v>
      </c>
      <c r="AA49" s="203">
        <f t="shared" si="9"/>
        <v>23.290199999999999</v>
      </c>
      <c r="AB49" s="54" t="e">
        <f>VLOOKUP(A49,[1]Enforcements!$C$7:$K$11,8,0)</f>
        <v>#N/A</v>
      </c>
      <c r="AC49" s="51" t="e">
        <f>VLOOKUP(A49,[1]Enforcements!$C$7:$E$11,3,0)</f>
        <v>#N/A</v>
      </c>
      <c r="AD49" s="178">
        <f t="shared" si="10"/>
        <v>137</v>
      </c>
      <c r="AE49" s="77" t="str">
        <f t="shared" si="11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49" s="74" t="str">
        <f t="shared" si="12"/>
        <v>"C:\Program Files (x86)\AstroGrep\AstroGrep.exe" /e /r /s /spath="%USERPROFILE%\AppData\Local\Temp\OnboardLogs" /stypes="app*4054*20170926*" /stext=" 14:.+((SYSTEM_STATE.+slice.+state.+changed )|(ment ac)|(multiple cpu faults)|(system.+state.+changed )|(\[timeout)|(PRM\|1\|D)|(kpr)|(kdp)|(train st.+moving)|(\|lc)|(penalty))"</v>
      </c>
      <c r="AG49" s="181" t="str">
        <f t="shared" si="13"/>
        <v>EC</v>
      </c>
      <c r="AH49" s="78" t="str">
        <f t="shared" si="19"/>
        <v>"%USERPROFILE%\Documents\GitHub\eaglep3\Utilities\RefineRTDCRunTimes.py" --tripid 137-26 --locoid 4054 --swversion DE.1.0.9.0 --startMP 204:442 --initTime 2017-09-26T08:10:24 --startdatetime 2017-09-26T08:15:19 --delay 63 --endMP 204:233344 --enddatetime 2017-09-26T08:59:17 --enforcementcount 0 &gt;&gt;c:\users\stu\Documents\GitHub\eaglep3-reporting\EC\2017-09-26-refined-times.txt</v>
      </c>
      <c r="AI49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{"issue":{"subject":"","project_id":79,"tracker_id":40,"status_id":1,"priority_id":2,"assigned_to_id":338,"start_date":"2017-09-26","description":"","custom_fields":[{"id":1,"name":"Subdivision","value":"EC"},{"id":4,"name":"Milepost","value":"23.3344"},{"id":17,"name":"Train ID","value":"137-26"},{"id":16,"name":"Locomotive ID","value":"4054"},{"id":130,"name":"Impact","value":""},{"id":150,"name":"Time of Event (Mountain Time)","value":"08:59:17"},{"id":151,"name":"Denver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4054 --day 2017-09-26</v>
      </c>
      <c r="AN49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14:59:17"},{"id":29,"name":"Sharepoint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7" t="str">
        <f t="shared" si="23"/>
        <v>https://d0f6bd738d7f1b3e5a7ca70fe4ff75f0.us-east-1.aws.found.io/app/kibana#/discover/Steve-Slow-Train-Analysis-(2080s-and-2083s)?_g=(refreshInterval:(display:Off,pause:!f,section:0,value:0),time:(from:'2017-09-26T07:10:24-0600',mode:absolute,to:'2017-09-26T09:59:17-0600'))&amp;_a=(columns:!('Message%20ID',Summary),filters:!(),index:'emp_*',interval:auto,query:(query_string:(analyze_wildcard:!t,query:'%22rtdc.l.rtdc.4054%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708</v>
      </c>
      <c r="B50" s="7">
        <v>4053</v>
      </c>
      <c r="C50" s="21" t="s">
        <v>196</v>
      </c>
      <c r="D50" s="21" t="s">
        <v>867</v>
      </c>
      <c r="E50" s="13">
        <v>43004.380266203705</v>
      </c>
      <c r="F50" s="13">
        <v>43004.383518518516</v>
      </c>
      <c r="G50" s="7">
        <v>58</v>
      </c>
      <c r="H50" s="21" t="s">
        <v>373</v>
      </c>
      <c r="I50" s="13">
        <v>43004.41101851852</v>
      </c>
      <c r="J50" s="7">
        <v>0</v>
      </c>
      <c r="K50" s="89" t="str">
        <f t="shared" si="0"/>
        <v>4053/4054</v>
      </c>
      <c r="L50" s="184" t="str">
        <f>VLOOKUP(A50,'[1]Trips&amp;Operators'!$C$1:$G$99911,5,FALSE)</f>
        <v>LAMAR NEKESHA</v>
      </c>
      <c r="M50" s="6">
        <f t="shared" si="1"/>
        <v>2.7500000003783498E-2</v>
      </c>
      <c r="N50" s="7">
        <f t="shared" si="2"/>
        <v>39.600000005448237</v>
      </c>
      <c r="O50" s="7"/>
      <c r="P50" s="7"/>
      <c r="Q50" s="22"/>
      <c r="R50" s="173"/>
      <c r="S50" s="220">
        <f t="shared" si="3"/>
        <v>1</v>
      </c>
      <c r="T50" s="173" t="str">
        <f t="shared" si="4"/>
        <v>Southbound</v>
      </c>
      <c r="U50" s="197">
        <f>IF(AG50="EC",COUNTIFS([1]Variables!$M$2:$M$19,IF(T50="NorthBound","&gt;=","&lt;=")&amp;Y50,[1]Variables!$M$2:$M$19,IF(T50="NorthBound","&lt;=","&gt;=")&amp;Z50),COUNTIFS([1]Variables!$P$2:$P$19,IF(T50="NorthBound","&gt;=","&lt;=")&amp;Y50,[1]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-09-26T08:07:35-0600',mode:absolute,to:'2017-09-26T10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203" t="str">
        <f>IF(AA50&lt;VLOOKUP(AG50,[1]Variables!$AC$3:$AD$8,2,FALSE),"Y","N")</f>
        <v>N</v>
      </c>
      <c r="X50" s="203">
        <f t="shared" si="6"/>
        <v>1</v>
      </c>
      <c r="Y50" s="203">
        <f t="shared" si="29"/>
        <v>23.304300000000001</v>
      </c>
      <c r="Z50" s="203">
        <f t="shared" si="30"/>
        <v>1.6E-2</v>
      </c>
      <c r="AA50" s="203">
        <f t="shared" si="9"/>
        <v>23.288300000000003</v>
      </c>
      <c r="AB50" s="54" t="e">
        <f>VLOOKUP(A50,[1]Enforcements!$C$7:$K$11,8,0)</f>
        <v>#N/A</v>
      </c>
      <c r="AC50" s="51" t="e">
        <f>VLOOKUP(A50,[1]Enforcements!$C$7:$E$11,3,0)</f>
        <v>#N/A</v>
      </c>
      <c r="AD50" s="178">
        <f t="shared" si="10"/>
        <v>138</v>
      </c>
      <c r="AE50" s="77" t="str">
        <f t="shared" si="11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50" s="74" t="str">
        <f t="shared" si="12"/>
        <v>"C:\Program Files (x86)\AstroGrep\AstroGrep.exe" /e /r /s /spath="%USERPROFILE%\AppData\Local\Temp\OnboardLogs" /stypes="app*4053*20170926*" /stext=" 15:.+((SYSTEM_STATE.+slice.+state.+changed )|(ment ac)|(multiple cpu faults)|(system.+state.+changed )|(\[timeout)|(PRM\|1\|D)|(kpr)|(kdp)|(train st.+moving)|(\|lc)|(penalty))"</v>
      </c>
      <c r="AG50" s="181" t="str">
        <f t="shared" si="13"/>
        <v>EC</v>
      </c>
      <c r="AH50" s="78" t="str">
        <f t="shared" si="19"/>
        <v>"%USERPROFILE%\Documents\GitHub\eaglep3\Utilities\RefineRTDCRunTimes.py" --tripid 138-26 --locoid 4053 --swversion DE.1.0.9.0 --startMP 204:233043 --initTime 2017-09-26T09:07:35 --startdatetime 2017-09-26T09:12:16 --delay 58 --endMP 204:160 --enddatetime 2017-09-26T09:51:52 --enforcementcount 0 &gt;&gt;c:\users\stu\Documents\GitHub\eaglep3-reporting\EC\2017-09-26-refined-times.txt</v>
      </c>
      <c r="AI50" s="96" t="str">
        <f t="shared" si="20"/>
        <v>echo {"issue":{"subject":"","project_id":79,"tracker_id":40,"status_id":1,"priority_id":2,"assigned_to_id":338,"start_date":"2017-09-26","description":"","custom_fields":[{"id":1,"name":"Subdivision","value":"EC"},{"id":4,"name":"Milepost","value":"0.016"},{"id":17,"name":"Train ID","value":"138-26"},{"id":16,"name":"Locomotive ID","value":"4053"},{"id":130,"name":"Impact","value":""},{"id":150,"name":"Time of Event (Mountain Time)","value":"09:51:52"},{"id":151,"name":"Denver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4053 --day 2017-09-26</v>
      </c>
      <c r="AN50" s="151" t="str">
        <f t="shared" si="2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7" t="str">
        <f t="shared" si="23"/>
        <v>https://d0f6bd738d7f1b3e5a7ca70fe4ff75f0.us-east-1.aws.found.io/app/kibana#/discover/Steve-Slow-Train-Analysis-(2080s-and-2083s)?_g=(refreshInterval:(display:Off,pause:!f,section:0,value:0),time:(from:'2017-09-26T08:07:35-0600',mode:absolute,to:'2017-09-26T10:51:52-0600'))&amp;_a=(columns:!('Message%20ID',Summary),filters:!(),index:'emp_*',interval:auto,query:(query_string:(analyze_wildcard:!t,query:'%22rtdc.l.rtdc.4053%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4056</v>
      </c>
      <c r="C51" s="21" t="s">
        <v>196</v>
      </c>
      <c r="D51" s="21" t="s">
        <v>369</v>
      </c>
      <c r="E51" s="13">
        <v>43004.354062500002</v>
      </c>
      <c r="F51" s="13">
        <v>43004.355243055557</v>
      </c>
      <c r="G51" s="7">
        <v>42</v>
      </c>
      <c r="H51" s="21" t="s">
        <v>868</v>
      </c>
      <c r="I51" s="13">
        <v>43004.381504629629</v>
      </c>
      <c r="J51" s="7">
        <v>0</v>
      </c>
      <c r="K51" s="89" t="str">
        <f t="shared" si="0"/>
        <v>4055/4056</v>
      </c>
      <c r="L51" s="184" t="str">
        <f>VLOOKUP(A51,'[1]Trips&amp;Operators'!$C$1:$G$99911,5,FALSE)</f>
        <v>YORK EDGAR</v>
      </c>
      <c r="M51" s="6">
        <f t="shared" si="1"/>
        <v>2.626157407212304E-2</v>
      </c>
      <c r="N51" s="7">
        <f t="shared" si="2"/>
        <v>37.816666663857177</v>
      </c>
      <c r="O51" s="7"/>
      <c r="P51" s="7"/>
      <c r="Q51" s="22"/>
      <c r="R51" s="173"/>
      <c r="S51" s="220">
        <f t="shared" si="3"/>
        <v>1</v>
      </c>
      <c r="T51" s="173" t="str">
        <f t="shared" si="4"/>
        <v>NorthBound</v>
      </c>
      <c r="U51" s="197">
        <f>IF(AG51="EC",COUNTIFS([1]Variables!$M$2:$M$19,IF(T51="NorthBound","&gt;=","&lt;=")&amp;Y51,[1]Variables!$M$2:$M$19,IF(T51="NorthBound","&lt;=","&gt;=")&amp;Z51),COUNTIFS([1]Variables!$P$2:$P$19,IF(T51="NorthBound","&gt;=","&lt;=")&amp;Y51,[1]Variables!$P$2:$P$19,IF(T51="NorthBound","&lt;=","&gt;=")&amp;Z51))</f>
        <v>12</v>
      </c>
      <c r="V51" s="215" t="str">
        <f t="shared" ref="V51:V76" si="31"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-26T07:29:51-0600',mode:absolute,to:'2017-09-26T10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203" t="str">
        <f>IF(AA51&lt;VLOOKUP(AG51,[1]Variables!$AC$3:$AD$8,2,FALSE),"Y","N")</f>
        <v>N</v>
      </c>
      <c r="X51" s="203">
        <f t="shared" si="6"/>
        <v>1</v>
      </c>
      <c r="Y51" s="203">
        <f t="shared" si="29"/>
        <v>4.6899999999999997E-2</v>
      </c>
      <c r="Z51" s="203">
        <f t="shared" si="30"/>
        <v>23.329499999999999</v>
      </c>
      <c r="AA51" s="203">
        <f t="shared" si="9"/>
        <v>23.282599999999999</v>
      </c>
      <c r="AB51" s="54" t="e">
        <f>VLOOKUP(A51,[1]Enforcements!$C$7:$K$11,8,0)</f>
        <v>#N/A</v>
      </c>
      <c r="AC51" s="51" t="e">
        <f>VLOOKUP(A51,[1]Enforcements!$C$7:$E$11,3,0)</f>
        <v>#N/A</v>
      </c>
      <c r="AD51" s="178">
        <f t="shared" si="10"/>
        <v>139</v>
      </c>
      <c r="AE51" s="77" t="str">
        <f t="shared" ref="AE51:AE76" si="32"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51" s="74" t="str">
        <f t="shared" ref="AF51:AF76" si="33"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/stypes="app*4056*20170926*" /stext=" 15:.+((SYSTEM_STATE.+slice.+state.+changed )|(ment ac)|(multiple cpu faults)|(system.+state.+changed )|(\[timeout)|(PRM\|1\|D)|(kpr)|(kdp)|(train st.+moving)|(\|lc)|(penalty))"</v>
      </c>
      <c r="AG51" s="181" t="str">
        <f t="shared" ref="AG51:AG76" si="34">DetSubdiv(A51)</f>
        <v>EC</v>
      </c>
      <c r="AH51" s="78" t="str">
        <f t="shared" ref="AH51:AH79" si="35"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139-26 --locoid 4056 --swversion DE.1.0.9.0 --startMP 204:469 --initTime 2017-09-26T08:29:51 --startdatetime 2017-09-26T08:31:33 --delay 42 --endMP 204:233295 --enddatetime 2017-09-26T09:09:22 --enforcementcount 0 &gt;&gt;c:\users\stu\Documents\GitHub\eaglep3-reporting\EC\2017-09-26-refined-times.txt</v>
      </c>
      <c r="AI51" s="96" t="str">
        <f t="shared" ref="AI51:AI79" si="36"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{"issue":{"subject":"","project_id":79,"tracker_id":40,"status_id":1,"priority_id":2,"assigned_to_id":338,"start_date":"2017-09-26","description":"","custom_fields":[{"id":1,"name":"Subdivision","value":"EC"},{"id":4,"name":"Milepost","value":"23.3295"},{"id":17,"name":"Train ID","value":"139-26"},{"id":16,"name":"Locomotive ID","value":"4056"},{"id":130,"name":"Impact","value":""},{"id":150,"name":"Time of Event (Mountain Time)","value":"09:09:22"},{"id":151,"name":"Denver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ref="AM51:AM79" si="37">"start /low /b "&amp;dls3logs&amp;" --loco "&amp;B51&amp;" --day "&amp;TEXT(F51,"YYYY-MM-DD")</f>
        <v>start /low /b %USERPROFILE%\Documents\GitHub\eaglep3\Utilities\DownloadLogsFromS3.py --loco 4056 --day 2017-09-26</v>
      </c>
      <c r="AN51" s="151" t="str">
        <f t="shared" ref="AN51:AN79" si="38"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7" t="str">
        <f t="shared" ref="AO51:AO79" si="39"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-26T07:29:51-0600',mode:absolute,to:'2017-09-26T10:09:22-0600'))&amp;_a=(columns:!('Message%20ID',Summary),filters:!(),index:'emp_*',interval:auto,query:(query_string:(analyze_wildcard:!t,query:'%22rtdc.l.rtdc.4056%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710</v>
      </c>
      <c r="B52" s="7">
        <v>4055</v>
      </c>
      <c r="C52" s="21" t="s">
        <v>196</v>
      </c>
      <c r="D52" s="21" t="s">
        <v>853</v>
      </c>
      <c r="E52" s="13">
        <v>43004.382465277777</v>
      </c>
      <c r="F52" s="13">
        <v>43004.393935185188</v>
      </c>
      <c r="G52" s="7">
        <v>50</v>
      </c>
      <c r="H52" s="21" t="s">
        <v>339</v>
      </c>
      <c r="I52" s="13">
        <v>43004.420266203706</v>
      </c>
      <c r="J52" s="7">
        <v>0</v>
      </c>
      <c r="K52" s="89" t="str">
        <f t="shared" si="0"/>
        <v>4055/4056</v>
      </c>
      <c r="L52" s="184" t="str">
        <f>VLOOKUP(A52,'[1]Trips&amp;Operators'!$C$1:$G$99911,5,FALSE)</f>
        <v>YORK EDGAR</v>
      </c>
      <c r="M52" s="6">
        <f t="shared" si="1"/>
        <v>2.6331018518249039E-2</v>
      </c>
      <c r="N52" s="7">
        <f t="shared" si="2"/>
        <v>37.916666666278616</v>
      </c>
      <c r="O52" s="7"/>
      <c r="P52" s="7"/>
      <c r="Q52" s="22"/>
      <c r="R52" s="173"/>
      <c r="S52" s="220">
        <f t="shared" si="3"/>
        <v>1</v>
      </c>
      <c r="T52" s="173" t="str">
        <f t="shared" si="4"/>
        <v>Southbound</v>
      </c>
      <c r="U52" s="197">
        <f>IF(AG52="EC",COUNTIFS([1]Variables!$M$2:$M$19,IF(T52="NorthBound","&gt;=","&lt;=")&amp;Y52,[1]Variables!$M$2:$M$19,IF(T52="NorthBound","&lt;=","&gt;=")&amp;Z52),COUNTIFS([1]Variables!$P$2:$P$19,IF(T52="NorthBound","&gt;=","&lt;=")&amp;Y52,[1]Variables!$P$2:$P$19,IF(T52="NorthBound","&lt;=","&gt;=")&amp;Z52))</f>
        <v>12</v>
      </c>
      <c r="V52" s="215" t="str">
        <f t="shared" si="31"/>
        <v>https://d0f6bd738d7f1b3e5a7ca70fe4ff75f0.us-east-1.aws.found.io/app/kibana#/discover/Steve-Slow-Train-Analysis-(2080s-and-2083s)?_g=(refreshInterval:(display:Off,pause:!f,section:0,value:0),time:(from:'2017-09-26T08:10:45-0600',mode:absolute,to:'2017-09-26T11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203" t="str">
        <f>IF(AA52&lt;VLOOKUP(AG52,[1]Variables!$AC$3:$AD$8,2,FALSE),"Y","N")</f>
        <v>N</v>
      </c>
      <c r="X52" s="203">
        <f t="shared" si="6"/>
        <v>1</v>
      </c>
      <c r="Y52" s="203">
        <f t="shared" si="29"/>
        <v>23.296299999999999</v>
      </c>
      <c r="Z52" s="203">
        <f t="shared" si="30"/>
        <v>1.43E-2</v>
      </c>
      <c r="AA52" s="203">
        <f t="shared" si="9"/>
        <v>23.282</v>
      </c>
      <c r="AB52" s="54" t="e">
        <f>VLOOKUP(A52,[1]Enforcements!$C$7:$K$11,8,0)</f>
        <v>#N/A</v>
      </c>
      <c r="AC52" s="51" t="e">
        <f>VLOOKUP(A52,[1]Enforcements!$C$7:$E$11,3,0)</f>
        <v>#N/A</v>
      </c>
      <c r="AD52" s="178">
        <f t="shared" si="10"/>
        <v>140</v>
      </c>
      <c r="AE52" s="77" t="str">
        <f t="shared" si="32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52" s="74" t="str">
        <f t="shared" si="33"/>
        <v>"C:\Program Files (x86)\AstroGrep\AstroGrep.exe" /e /r /s /spath="%USERPROFILE%\AppData\Local\Temp\OnboardLogs" /stypes="app*4055*20170926*" /stext=" 16:.+((SYSTEM_STATE.+slice.+state.+changed )|(ment ac)|(multiple cpu faults)|(system.+state.+changed )|(\[timeout)|(PRM\|1\|D)|(kpr)|(kdp)|(train st.+moving)|(\|lc)|(penalty))"</v>
      </c>
      <c r="AG52" s="181" t="str">
        <f t="shared" si="34"/>
        <v>EC</v>
      </c>
      <c r="AH52" s="78" t="str">
        <f t="shared" si="35"/>
        <v>"%USERPROFILE%\Documents\GitHub\eaglep3\Utilities\RefineRTDCRunTimes.py" --tripid 140-26 --locoid 4055 --swversion DE.1.0.9.0 --startMP 204:232963 --initTime 2017-09-26T09:10:45 --startdatetime 2017-09-26T09:27:16 --delay 50 --endMP 204:143 --enddatetime 2017-09-26T10:05:11 --enforcementcount 0 &gt;&gt;c:\users\stu\Documents\GitHub\eaglep3-reporting\EC\2017-09-26-refined-times.txt</v>
      </c>
      <c r="AI52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{"issue":{"subject":"","project_id":79,"tracker_id":40,"status_id":1,"priority_id":2,"assigned_to_id":338,"start_date":"2017-09-26","description":"","custom_fields":[{"id":1,"name":"Subdivision","value":"EC"},{"id":4,"name":"Milepost","value":"0.0143"},{"id":17,"name":"Train ID","value":"140-26"},{"id":16,"name":"Locomotive ID","value":"4055"},{"id":130,"name":"Impact","value":""},{"id":150,"name":"Time of Event (Mountain Time)","value":"10:05:11"},{"id":151,"name":"Denver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37"/>
        <v>start /low /b %USERPROFILE%\Documents\GitHub\eaglep3\Utilities\DownloadLogsFromS3.py --loco 4055 --day 2017-09-26</v>
      </c>
      <c r="AN52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7" t="str">
        <f t="shared" si="39"/>
        <v>https://d0f6bd738d7f1b3e5a7ca70fe4ff75f0.us-east-1.aws.found.io/app/kibana#/discover/Steve-Slow-Train-Analysis-(2080s-and-2083s)?_g=(refreshInterval:(display:Off,pause:!f,section:0,value:0),time:(from:'2017-09-26T08:10:45-0600',mode:absolute,to:'2017-09-26T11:05:11-0600'))&amp;_a=(columns:!('Message%20ID',Summary),filters:!(),index:'emp_*',interval:auto,query:(query_string:(analyze_wildcard:!t,query:'%22rtdc.l.rtdc.4055%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705</v>
      </c>
      <c r="B53" s="7">
        <v>4062</v>
      </c>
      <c r="C53" s="21" t="s">
        <v>196</v>
      </c>
      <c r="D53" s="21" t="s">
        <v>853</v>
      </c>
      <c r="E53" s="13">
        <v>43004.382465277777</v>
      </c>
      <c r="F53" s="13">
        <v>43004.364768518521</v>
      </c>
      <c r="G53" s="7">
        <v>50</v>
      </c>
      <c r="H53" s="21" t="s">
        <v>339</v>
      </c>
      <c r="I53" s="13">
        <v>43004.39166666667</v>
      </c>
      <c r="J53" s="7">
        <v>0</v>
      </c>
      <c r="K53" s="89" t="str">
        <f t="shared" si="0"/>
        <v>4061/4062</v>
      </c>
      <c r="L53" s="184" t="str">
        <f>VLOOKUP(A53,'[1]Trips&amp;Operators'!$C$1:$G$99911,5,FALSE)</f>
        <v>SPECTOR MICHAEL</v>
      </c>
      <c r="M53" s="6">
        <f t="shared" si="1"/>
        <v>2.6898148149484769E-2</v>
      </c>
      <c r="N53" s="7">
        <f t="shared" si="2"/>
        <v>38.733333335258067</v>
      </c>
      <c r="O53" s="7"/>
      <c r="P53" s="7"/>
      <c r="Q53" s="22"/>
      <c r="R53" s="173"/>
      <c r="S53" s="220">
        <f t="shared" si="3"/>
        <v>1</v>
      </c>
      <c r="T53" s="173" t="str">
        <f t="shared" si="4"/>
        <v>NorthBound</v>
      </c>
      <c r="U53" s="197">
        <f>IF(AG53="EC",COUNTIFS([1]Variables!$M$2:$M$19,IF(T53="NorthBound","&gt;=","&lt;=")&amp;Y53,[1]Variables!$M$2:$M$19,IF(T53="NorthBound","&lt;=","&gt;=")&amp;Z53),COUNTIFS([1]Variables!$P$2:$P$19,IF(T53="NorthBound","&gt;=","&lt;=")&amp;Y53,[1]Variables!$P$2:$P$19,IF(T53="NorthBound","&lt;=","&gt;=")&amp;Z53))</f>
        <v>12</v>
      </c>
      <c r="V53" s="215" t="str">
        <f t="shared" si="31"/>
        <v>https://d0f6bd738d7f1b3e5a7ca70fe4ff75f0.us-east-1.aws.found.io/app/kibana#/discover/Steve-Slow-Train-Analysis-(2080s-and-2083s)?_g=(refreshInterval:(display:Off,pause:!f,section:0,value:0),time:(from:'2017-09-26T08:10:45-0600',mode:absolute,to:'2017-09-26T10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3" s="203" t="str">
        <f>IF(AA53&lt;VLOOKUP(AG53,[1]Variables!$AC$3:$AD$8,2,FALSE),"Y","N")</f>
        <v>N</v>
      </c>
      <c r="X53" s="203">
        <f t="shared" si="6"/>
        <v>1</v>
      </c>
      <c r="Y53" s="203">
        <v>4.6899999999999997E-2</v>
      </c>
      <c r="Z53" s="203">
        <v>23.329499999999999</v>
      </c>
      <c r="AA53" s="203">
        <f t="shared" si="9"/>
        <v>23.282599999999999</v>
      </c>
      <c r="AB53" s="54" t="e">
        <f>VLOOKUP(A53,[1]Enforcements!$C$7:$K$11,8,0)</f>
        <v>#N/A</v>
      </c>
      <c r="AC53" s="51" t="e">
        <f>VLOOKUP(A53,[1]Enforcements!$C$7:$E$11,3,0)</f>
        <v>#N/A</v>
      </c>
      <c r="AD53" s="178">
        <f t="shared" si="10"/>
        <v>141</v>
      </c>
      <c r="AE53" s="77" t="str">
        <f t="shared" si="32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53" s="74" t="str">
        <f t="shared" si="33"/>
        <v>"C:\Program Files (x86)\AstroGrep\AstroGrep.exe" /e /r /s /spath="%USERPROFILE%\AppData\Local\Temp\OnboardLogs" /stypes="app*4062*20170926*" /stext=" 15:.+((SYSTEM_STATE.+slice.+state.+changed )|(ment ac)|(multiple cpu faults)|(system.+state.+changed )|(\[timeout)|(PRM\|1\|D)|(kpr)|(kdp)|(train st.+moving)|(\|lc)|(penalty))"</v>
      </c>
      <c r="AG53" s="181" t="str">
        <f t="shared" si="34"/>
        <v>EC</v>
      </c>
      <c r="AH53" s="78" t="str">
        <f t="shared" ref="AH53" si="40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141-26 --locoid 4062 --swversion DE.1.0.9.0 --startMP 204:232963 --initTime 2017-09-26T09:10:45 --startdatetime 2017-09-26T08:45:16 --delay 50 --endMP 204:143 --enddatetime 2017-09-26T09:24:00 --enforcementcount 0 &gt;&gt;c:\users\stu\Documents\GitHub\eaglep3-reporting\EC\2017-09-26-refined-times.txt</v>
      </c>
      <c r="AI53" s="96" t="str">
        <f t="shared" ref="AI53" si="41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{"issue":{"subject":"","project_id":79,"tracker_id":40,"status_id":1,"priority_id":2,"assigned_to_id":338,"start_date":"2017-09-26","description":"","custom_fields":[{"id":1,"name":"Subdivision","value":"EC"},{"id":4,"name":"Milepost","value":"23.3295"},{"id":17,"name":"Train ID","value":"141-26"},{"id":16,"name":"Locomotive ID","value":"4062"},{"id":130,"name":"Impact","value":""},{"id":150,"name":"Time of Event (Mountain Time)","value":"09:24:00"},{"id":151,"name":"Denver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ref="AM53" si="42">"start /low /b "&amp;dls3logs&amp;" --loco "&amp;B53&amp;" --day "&amp;TEXT(F53,"YYYY-MM-DD")</f>
        <v>start /low /b %USERPROFILE%\Documents\GitHub\eaglep3\Utilities\DownloadLogsFromS3.py --loco 4062 --day 2017-09-26</v>
      </c>
      <c r="AN53" s="151" t="str">
        <f t="shared" ref="AN53" si="43"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7" t="str">
        <f t="shared" ref="AO53" si="44"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Message%20ID',Summary),filters:!(),index:'emp_*',interval:auto,query:"&amp;"(query_string:(analyze_wildcard:!t,query:'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-26T08:10:45-0600',mode:absolute,to:'2017-09-26T10:24:00-0600'))&amp;_a=(columns:!('Message%20ID',Summary),filters:!(),index:'emp_*',interval:auto,query:(query_string:(analyze_wildcard:!t,query:'%22rtdc.l.rtdc.4062%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713</v>
      </c>
      <c r="B54" s="7">
        <v>4061</v>
      </c>
      <c r="C54" s="21" t="s">
        <v>196</v>
      </c>
      <c r="D54" s="21" t="s">
        <v>570</v>
      </c>
      <c r="E54" s="13">
        <v>43004.395949074074</v>
      </c>
      <c r="F54" s="13">
        <v>43004.404351851852</v>
      </c>
      <c r="G54" s="7">
        <v>65</v>
      </c>
      <c r="H54" s="21" t="s">
        <v>395</v>
      </c>
      <c r="I54" s="13">
        <v>43004.430844907409</v>
      </c>
      <c r="J54" s="7">
        <v>0</v>
      </c>
      <c r="K54" s="89" t="str">
        <f t="shared" si="0"/>
        <v>4061/4062</v>
      </c>
      <c r="L54" s="184" t="str">
        <f>VLOOKUP(A54,'[1]Trips&amp;Operators'!$C$1:$G$99911,5,FALSE)</f>
        <v>SPECTOR MICHAEL</v>
      </c>
      <c r="M54" s="6">
        <f t="shared" si="1"/>
        <v>2.6493055556784384E-2</v>
      </c>
      <c r="N54" s="7">
        <f t="shared" si="2"/>
        <v>38.150000001769513</v>
      </c>
      <c r="O54" s="7"/>
      <c r="P54" s="7"/>
      <c r="Q54" s="22"/>
      <c r="R54" s="173"/>
      <c r="S54" s="220">
        <f t="shared" si="3"/>
        <v>1</v>
      </c>
      <c r="T54" s="173" t="str">
        <f t="shared" si="4"/>
        <v>Southbound</v>
      </c>
      <c r="U54" s="197">
        <f>IF(AG54="EC",COUNTIFS([1]Variables!$M$2:$M$19,IF(T54="NorthBound","&gt;=","&lt;=")&amp;Y54,[1]Variables!$M$2:$M$19,IF(T54="NorthBound","&lt;=","&gt;=")&amp;Z54),COUNTIFS([1]Variables!$P$2:$P$19,IF(T54="NorthBound","&gt;=","&lt;=")&amp;Y54,[1]Variables!$P$2:$P$19,IF(T54="NorthBound","&lt;=","&gt;=")&amp;Z54))</f>
        <v>12</v>
      </c>
      <c r="V54" s="215" t="str">
        <f t="shared" si="31"/>
        <v>https://d0f6bd738d7f1b3e5a7ca70fe4ff75f0.us-east-1.aws.found.io/app/kibana#/discover/Steve-Slow-Train-Analysis-(2080s-and-2083s)?_g=(refreshInterval:(display:Off,pause:!f,section:0,value:0),time:(from:'2017-09-26T08:30:10-0600',mode:absolute,to:'2017-09-26T11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4" s="203" t="str">
        <f>IF(AA54&lt;VLOOKUP(AG54,[1]Variables!$AC$3:$AD$8,2,FALSE),"Y","N")</f>
        <v>N</v>
      </c>
      <c r="X54" s="203">
        <f t="shared" si="6"/>
        <v>1</v>
      </c>
      <c r="Y54" s="203">
        <f t="shared" ref="Y54:Y117" si="45">RIGHT(D54,LEN(D54)-4)/10000</f>
        <v>23.3004</v>
      </c>
      <c r="Z54" s="203">
        <f t="shared" ref="Z54:Z117" si="46">RIGHT(H54,LEN(H54)-4)/10000</f>
        <v>1.54E-2</v>
      </c>
      <c r="AA54" s="203">
        <f t="shared" si="9"/>
        <v>23.285</v>
      </c>
      <c r="AB54" s="54" t="e">
        <f>VLOOKUP(A54,[1]Enforcements!$C$7:$K$11,8,0)</f>
        <v>#N/A</v>
      </c>
      <c r="AC54" s="51" t="e">
        <f>VLOOKUP(A54,[1]Enforcements!$C$7:$E$11,3,0)</f>
        <v>#N/A</v>
      </c>
      <c r="AD54" s="178">
        <f t="shared" si="10"/>
        <v>142</v>
      </c>
      <c r="AE54" s="77" t="str">
        <f t="shared" si="32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54" s="74" t="str">
        <f t="shared" si="33"/>
        <v>"C:\Program Files (x86)\AstroGrep\AstroGrep.exe" /e /r /s /spath="%USERPROFILE%\AppData\Local\Temp\OnboardLogs" /stypes="app*4061*20170926*" /stext=" 16:.+((SYSTEM_STATE.+slice.+state.+changed )|(ment ac)|(multiple cpu faults)|(system.+state.+changed )|(\[timeout)|(PRM\|1\|D)|(kpr)|(kdp)|(train st.+moving)|(\|lc)|(penalty))"</v>
      </c>
      <c r="AG54" s="181" t="str">
        <f t="shared" si="34"/>
        <v>EC</v>
      </c>
      <c r="AH54" s="78" t="str">
        <f t="shared" si="35"/>
        <v>"%USERPROFILE%\Documents\GitHub\eaglep3\Utilities\RefineRTDCRunTimes.py" --tripid 142-26 --locoid 4061 --swversion DE.1.0.9.0 --startMP 204:233004 --initTime 2017-09-26T09:30:10 --startdatetime 2017-09-26T09:42:16 --delay 65 --endMP 204:154 --enddatetime 2017-09-26T10:20:25 --enforcementcount 0 &gt;&gt;c:\users\stu\Documents\GitHub\eaglep3-reporting\EC\2017-09-26-refined-times.txt</v>
      </c>
      <c r="AI54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ID","value":"142-26"},{"id":16,"name":"Locomotive ID","value":"4061"},{"id":130,"name":"Impact","value":""},{"id":150,"name":"Time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37"/>
        <v>start /low /b %USERPROFILE%\Documents\GitHub\eaglep3\Utilities\DownloadLogsFromS3.py --loco 4061 --day 2017-09-26</v>
      </c>
      <c r="AN54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7" t="str">
        <f t="shared" si="39"/>
        <v>https://d0f6bd738d7f1b3e5a7ca70fe4ff75f0.us-east-1.aws.found.io/app/kibana#/discover/Steve-Slow-Train-Analysis-(2080s-and-2083s)?_g=(refreshInterval:(display:Off,pause:!f,section:0,value:0),time:(from:'2017-09-26T08:30:10-0600',mode:absolute,to:'2017-09-26T11:20:25-0600'))&amp;_a=(columns:!('Message%20ID',Summary),filters:!(),index:'emp_*',interval:auto,query:(query_string:(analyze_wildcard:!t,query:'%22rtdc.l.rtdc.4061%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611</v>
      </c>
      <c r="B55" s="7">
        <v>4026</v>
      </c>
      <c r="C55" s="21" t="s">
        <v>196</v>
      </c>
      <c r="D55" s="21" t="s">
        <v>336</v>
      </c>
      <c r="E55" s="13">
        <v>43004.371238425927</v>
      </c>
      <c r="F55" s="13">
        <v>43004.376122685186</v>
      </c>
      <c r="G55" s="7">
        <v>338</v>
      </c>
      <c r="H55" s="21" t="s">
        <v>563</v>
      </c>
      <c r="I55" s="13">
        <v>43004.404988425929</v>
      </c>
      <c r="J55" s="7">
        <v>0</v>
      </c>
      <c r="K55" s="89" t="str">
        <f t="shared" si="0"/>
        <v>4025/4026</v>
      </c>
      <c r="L55" s="184" t="str">
        <f>VLOOKUP(A55,'[1]Trips&amp;Operators'!$C$1:$G$99911,5,FALSE)</f>
        <v>BARRON PERLA</v>
      </c>
      <c r="M55" s="6">
        <f t="shared" si="1"/>
        <v>2.8865740743640345E-2</v>
      </c>
      <c r="N55" s="7">
        <f t="shared" si="2"/>
        <v>41.566666670842096</v>
      </c>
      <c r="O55" s="7"/>
      <c r="P55" s="7"/>
      <c r="Q55" s="22"/>
      <c r="R55" s="173"/>
      <c r="S55" s="220">
        <f t="shared" si="3"/>
        <v>1</v>
      </c>
      <c r="T55" s="173" t="str">
        <f t="shared" si="4"/>
        <v>NorthBound</v>
      </c>
      <c r="U55" s="197">
        <f>IF(AG55="EC",COUNTIFS([1]Variables!$M$2:$M$19,IF(T55="NorthBound","&gt;=","&lt;=")&amp;Y55,[1]Variables!$M$2:$M$19,IF(T55="NorthBound","&lt;=","&gt;=")&amp;Z55),COUNTIFS([1]Variables!$P$2:$P$19,IF(T55="NorthBound","&gt;=","&lt;=")&amp;Y55,[1]Variables!$P$2:$P$19,IF(T55="NorthBound","&lt;=","&gt;=")&amp;Z55))</f>
        <v>12</v>
      </c>
      <c r="V55" s="215" t="str">
        <f t="shared" si="31"/>
        <v>https://d0f6bd738d7f1b3e5a7ca70fe4ff75f0.us-east-1.aws.found.io/app/kibana#/discover/Steve-Slow-Train-Analysis-(2080s-and-2083s)?_g=(refreshInterval:(display:Off,pause:!f,section:0,value:0),time:(from:'2017-09-26T07:54:35-0600',mode:absolute,to:'2017-09-26T10:43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203" t="str">
        <f>IF(AA55&lt;VLOOKUP(AG55,[1]Variables!$AC$3:$AD$8,2,FALSE),"Y","N")</f>
        <v>N</v>
      </c>
      <c r="X55" s="203">
        <f t="shared" si="6"/>
        <v>1</v>
      </c>
      <c r="Y55" s="203">
        <f t="shared" si="45"/>
        <v>4.4600000000000001E-2</v>
      </c>
      <c r="Z55" s="203">
        <f t="shared" si="46"/>
        <v>23.331800000000001</v>
      </c>
      <c r="AA55" s="203">
        <f t="shared" si="9"/>
        <v>23.287200000000002</v>
      </c>
      <c r="AB55" s="54" t="e">
        <f>VLOOKUP(A55,[1]Enforcements!$C$7:$K$11,8,0)</f>
        <v>#N/A</v>
      </c>
      <c r="AC55" s="51" t="e">
        <f>VLOOKUP(A55,[1]Enforcements!$C$7:$E$11,3,0)</f>
        <v>#N/A</v>
      </c>
      <c r="AD55" s="178">
        <f t="shared" si="10"/>
        <v>143</v>
      </c>
      <c r="AE55" s="77" t="str">
        <f t="shared" si="32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55" s="74" t="str">
        <f t="shared" si="33"/>
        <v>"C:\Program Files (x86)\AstroGrep\AstroGrep.exe" /e /r /s /spath="%USERPROFILE%\AppData\Local\Temp\OnboardLogs" /stypes="app*4026*20170926*" /stext=" 15:.+((SYSTEM_STATE.+slice.+state.+changed )|(ment ac)|(multiple cpu faults)|(system.+state.+changed )|(\[timeout)|(PRM\|1\|D)|(kpr)|(kdp)|(train st.+moving)|(\|lc)|(penalty))"</v>
      </c>
      <c r="AG55" s="181" t="str">
        <f t="shared" si="34"/>
        <v>EC</v>
      </c>
      <c r="AH55" s="78" t="str">
        <f t="shared" si="35"/>
        <v>"%USERPROFILE%\Documents\GitHub\eaglep3\Utilities\RefineRTDCRunTimes.py" --tripid 143-26 --locoid 4026 --swversion DE.1.0.9.0 --startMP 204:446 --initTime 2017-09-26T08:54:35 --startdatetime 2017-09-26T09:01:37 --delay 338 --endMP 204:233318 --enddatetime 2017-09-26T09:43:11 --enforcementcount 0 &gt;&gt;c:\users\stu\Documents\GitHub\eaglep3-reporting\EC\2017-09-26-refined-times.txt</v>
      </c>
      <c r="AI55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{"issue":{"subject":"","project_id":79,"tracker_id":40,"status_id":1,"priority_id":2,"assigned_to_id":338,"start_date":"2017-09-26","description":"","custom_fields":[{"id":1,"name":"Subdivision","value":"EC"},{"id":4,"name":"Milepost","value":"23.3318"},{"id":17,"name":"Train ID","value":"143-26"},{"id":16,"name":"Locomotive ID","value":"4026"},{"id":130,"name":"Impact","value":""},{"id":150,"name":"Time of Event (Mountain Time)","value":"09:43:11"},{"id":151,"name":"Denver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37"/>
        <v>start /low /b %USERPROFILE%\Documents\GitHub\eaglep3\Utilities\DownloadLogsFromS3.py --loco 4026 --day 2017-09-26</v>
      </c>
      <c r="AN55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15:43:11"},{"id":29,"name":"Sharepoint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7" t="str">
        <f t="shared" si="39"/>
        <v>https://d0f6bd738d7f1b3e5a7ca70fe4ff75f0.us-east-1.aws.found.io/app/kibana#/discover/Steve-Slow-Train-Analysis-(2080s-and-2083s)?_g=(refreshInterval:(display:Off,pause:!f,section:0,value:0),time:(from:'2017-09-26T07:54:35-0600',mode:absolute,to:'2017-09-26T10:43:11-0600'))&amp;_a=(columns:!('Message%20ID',Summary),filters:!(),index:'emp_*',interval:auto,query:(query_string:(analyze_wildcard:!t,query:'%22rtdc.l.rtdc.4026%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715</v>
      </c>
      <c r="B56" s="7">
        <v>4025</v>
      </c>
      <c r="C56" s="21" t="s">
        <v>196</v>
      </c>
      <c r="D56" s="21" t="s">
        <v>869</v>
      </c>
      <c r="E56" s="13">
        <v>43004.411736111113</v>
      </c>
      <c r="F56" s="13">
        <v>43004.414930555555</v>
      </c>
      <c r="G56" s="7">
        <v>63</v>
      </c>
      <c r="H56" s="21" t="s">
        <v>395</v>
      </c>
      <c r="I56" s="13">
        <v>43004.442453703705</v>
      </c>
      <c r="J56" s="7">
        <v>0</v>
      </c>
      <c r="K56" s="89" t="str">
        <f t="shared" si="0"/>
        <v>4025/4026</v>
      </c>
      <c r="L56" s="184" t="str">
        <f>VLOOKUP(A56,'[1]Trips&amp;Operators'!$C$1:$G$99911,5,FALSE)</f>
        <v>BARRON PERLA</v>
      </c>
      <c r="M56" s="6">
        <f t="shared" si="1"/>
        <v>2.7523148150066845E-2</v>
      </c>
      <c r="N56" s="7">
        <f t="shared" si="2"/>
        <v>39.633333336096257</v>
      </c>
      <c r="O56" s="7"/>
      <c r="P56" s="7"/>
      <c r="Q56" s="22"/>
      <c r="R56" s="173"/>
      <c r="S56" s="220">
        <f t="shared" si="3"/>
        <v>1</v>
      </c>
      <c r="T56" s="173" t="str">
        <f t="shared" si="4"/>
        <v>Southbound</v>
      </c>
      <c r="U56" s="197">
        <f>IF(AG56="EC",COUNTIFS([1]Variables!$M$2:$M$19,IF(T56="NorthBound","&gt;=","&lt;=")&amp;Y56,[1]Variables!$M$2:$M$19,IF(T56="NorthBound","&lt;=","&gt;=")&amp;Z56),COUNTIFS([1]Variables!$P$2:$P$19,IF(T56="NorthBound","&gt;=","&lt;=")&amp;Y56,[1]Variables!$P$2:$P$19,IF(T56="NorthBound","&lt;=","&gt;=")&amp;Z56))</f>
        <v>12</v>
      </c>
      <c r="V56" s="215" t="str">
        <f t="shared" si="31"/>
        <v>https://d0f6bd738d7f1b3e5a7ca70fe4ff75f0.us-east-1.aws.found.io/app/kibana#/discover/Steve-Slow-Train-Analysis-(2080s-and-2083s)?_g=(refreshInterval:(display:Off,pause:!f,section:0,value:0),time:(from:'2017-09-26T08:52:54-0600',mode:absolute,to:'2017-09-26T11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203" t="str">
        <f>IF(AA56&lt;VLOOKUP(AG56,[1]Variables!$AC$3:$AD$8,2,FALSE),"Y","N")</f>
        <v>N</v>
      </c>
      <c r="X56" s="203">
        <f t="shared" si="6"/>
        <v>1</v>
      </c>
      <c r="Y56" s="203">
        <f t="shared" si="45"/>
        <v>23.298400000000001</v>
      </c>
      <c r="Z56" s="203">
        <f t="shared" si="46"/>
        <v>1.54E-2</v>
      </c>
      <c r="AA56" s="203">
        <f t="shared" si="9"/>
        <v>23.283000000000001</v>
      </c>
      <c r="AB56" s="54" t="e">
        <f>VLOOKUP(A56,[1]Enforcements!$C$7:$K$11,8,0)</f>
        <v>#N/A</v>
      </c>
      <c r="AC56" s="51" t="e">
        <f>VLOOKUP(A56,[1]Enforcements!$C$7:$E$11,3,0)</f>
        <v>#N/A</v>
      </c>
      <c r="AD56" s="178">
        <f t="shared" si="10"/>
        <v>144</v>
      </c>
      <c r="AE56" s="77" t="str">
        <f t="shared" si="32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56" s="74" t="str">
        <f t="shared" si="33"/>
        <v>"C:\Program Files (x86)\AstroGrep\AstroGrep.exe" /e /r /s /spath="%USERPROFILE%\AppData\Local\Temp\OnboardLogs" /stypes="app*4025*20170926*" /stext=" 16:.+((SYSTEM_STATE.+slice.+state.+changed )|(ment ac)|(multiple cpu faults)|(system.+state.+changed )|(\[timeout)|(PRM\|1\|D)|(kpr)|(kdp)|(train st.+moving)|(\|lc)|(penalty))"</v>
      </c>
      <c r="AG56" s="181" t="str">
        <f t="shared" si="34"/>
        <v>EC</v>
      </c>
      <c r="AH56" s="78" t="str">
        <f t="shared" si="35"/>
        <v>"%USERPROFILE%\Documents\GitHub\eaglep3\Utilities\RefineRTDCRunTimes.py" --tripid 144-26 --locoid 4025 --swversion DE.1.0.9.0 --startMP 204:232984 --initTime 2017-09-26T09:52:54 --startdatetime 2017-09-26T09:57:30 --delay 63 --endMP 204:154 --enddatetime 2017-09-26T10:37:08 --enforcementcount 0 &gt;&gt;c:\users\stu\Documents\GitHub\eaglep3-reporting\EC\2017-09-26-refined-times.txt</v>
      </c>
      <c r="AI56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ID","value":"144-26"},{"id":16,"name":"Locomotive ID","value":"4025"},{"id":130,"name":"Impact","value":""},{"id":150,"name":"Time of Event (Mountain Time)","value":"10:37:08"},{"id":151,"name":"Denver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37"/>
        <v>start /low /b %USERPROFILE%\Documents\GitHub\eaglep3\Utilities\DownloadLogsFromS3.py --loco 4025 --day 2017-09-26</v>
      </c>
      <c r="AN56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7" t="str">
        <f t="shared" si="39"/>
        <v>https://d0f6bd738d7f1b3e5a7ca70fe4ff75f0.us-east-1.aws.found.io/app/kibana#/discover/Steve-Slow-Train-Analysis-(2080s-and-2083s)?_g=(refreshInterval:(display:Off,pause:!f,section:0,value:0),time:(from:'2017-09-26T08:52:54-0600',mode:absolute,to:'2017-09-26T11:37:08-0600'))&amp;_a=(columns:!('Message%20ID',Summary),filters:!(),index:'emp_*',interval:auto,query:(query_string:(analyze_wildcard:!t,query:'%22rtdc.l.rtdc.4025%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709</v>
      </c>
      <c r="B57" s="7">
        <v>4046</v>
      </c>
      <c r="C57" s="21" t="s">
        <v>196</v>
      </c>
      <c r="D57" s="21" t="s">
        <v>870</v>
      </c>
      <c r="E57" s="13">
        <v>43004.380509259259</v>
      </c>
      <c r="F57" s="13">
        <v>43004.385578703703</v>
      </c>
      <c r="G57" s="7">
        <v>74</v>
      </c>
      <c r="H57" s="21" t="s">
        <v>871</v>
      </c>
      <c r="I57" s="13">
        <v>43004.410601851851</v>
      </c>
      <c r="J57" s="7">
        <v>0</v>
      </c>
      <c r="K57" s="89" t="str">
        <f t="shared" si="0"/>
        <v>4045/4046</v>
      </c>
      <c r="L57" s="184" t="str">
        <f>VLOOKUP(A57,'[1]Trips&amp;Operators'!$C$1:$G$99911,5,FALSE)</f>
        <v>BONDS REYNALDO</v>
      </c>
      <c r="M57" s="6">
        <f t="shared" si="1"/>
        <v>2.5023148147738539E-2</v>
      </c>
      <c r="N57" s="7">
        <f t="shared" si="2"/>
        <v>36.033333332743496</v>
      </c>
      <c r="O57" s="7"/>
      <c r="P57" s="7"/>
      <c r="Q57" s="22"/>
      <c r="R57" s="173"/>
      <c r="S57" s="220">
        <f t="shared" si="3"/>
        <v>1</v>
      </c>
      <c r="T57" s="173" t="str">
        <f t="shared" si="4"/>
        <v>NorthBound</v>
      </c>
      <c r="U57" s="197">
        <f>IF(AG57="EC",COUNTIFS([1]Variables!$M$2:$M$19,IF(T57="NorthBound","&gt;=","&lt;=")&amp;Y57,[1]Variables!$M$2:$M$19,IF(T57="NorthBound","&lt;=","&gt;=")&amp;Z57),COUNTIFS([1]Variables!$P$2:$P$19,IF(T57="NorthBound","&gt;=","&lt;=")&amp;Y57,[1]Variables!$P$2:$P$19,IF(T57="NorthBound","&lt;=","&gt;=")&amp;Z57))</f>
        <v>12</v>
      </c>
      <c r="V57" s="215" t="str">
        <f t="shared" si="31"/>
        <v>https://d0f6bd738d7f1b3e5a7ca70fe4ff75f0.us-east-1.aws.found.io/app/kibana#/discover/Steve-Slow-Train-Analysis-(2080s-and-2083s)?_g=(refreshInterval:(display:Off,pause:!f,section:0,value:0),time:(from:'2017-09-26T08:07:56-0600',mode:absolute,to:'2017-09-26T10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203" t="str">
        <f>IF(AA57&lt;VLOOKUP(AG57,[1]Variables!$AC$3:$AD$8,2,FALSE),"Y","N")</f>
        <v>N</v>
      </c>
      <c r="X57" s="203">
        <f t="shared" si="6"/>
        <v>1</v>
      </c>
      <c r="Y57" s="203">
        <f t="shared" si="45"/>
        <v>4.7300000000000002E-2</v>
      </c>
      <c r="Z57" s="203">
        <f t="shared" si="46"/>
        <v>23.3247</v>
      </c>
      <c r="AA57" s="203">
        <f t="shared" si="9"/>
        <v>23.2774</v>
      </c>
      <c r="AB57" s="54" t="e">
        <f>VLOOKUP(A57,[1]Enforcements!$C$7:$K$11,8,0)</f>
        <v>#N/A</v>
      </c>
      <c r="AC57" s="51" t="e">
        <f>VLOOKUP(A57,[1]Enforcements!$C$7:$E$11,3,0)</f>
        <v>#N/A</v>
      </c>
      <c r="AD57" s="178">
        <f t="shared" si="10"/>
        <v>145</v>
      </c>
      <c r="AE57" s="77" t="str">
        <f t="shared" si="32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57" s="74" t="str">
        <f t="shared" si="33"/>
        <v>"C:\Program Files (x86)\AstroGrep\AstroGrep.exe" /e /r /s /spath="%USERPROFILE%\AppData\Local\Temp\OnboardLogs" /stypes="app*4046*20170926*" /stext=" 15:.+((SYSTEM_STATE.+slice.+state.+changed )|(ment ac)|(multiple cpu faults)|(system.+state.+changed )|(\[timeout)|(PRM\|1\|D)|(kpr)|(kdp)|(train st.+moving)|(\|lc)|(penalty))"</v>
      </c>
      <c r="AG57" s="181" t="str">
        <f t="shared" si="34"/>
        <v>EC</v>
      </c>
      <c r="AH57" s="78" t="str">
        <f t="shared" si="35"/>
        <v>"%USERPROFILE%\Documents\GitHub\eaglep3\Utilities\RefineRTDCRunTimes.py" --tripid 145-26 --locoid 4046 --swversion DE.1.0.9.0 --startMP 204:473 --initTime 2017-09-26T09:07:56 --startdatetime 2017-09-26T09:15:14 --delay 74 --endMP 204:233247 --enddatetime 2017-09-26T09:51:16 --enforcementcount 0 &gt;&gt;c:\users\stu\Documents\GitHub\eaglep3-reporting\EC\2017-09-26-refined-times.txt</v>
      </c>
      <c r="AI57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{"issue":{"subject":"","project_id":79,"tracker_id":40,"status_id":1,"priority_id":2,"assigned_to_id":338,"start_date":"2017-09-26","description":"","custom_fields":[{"id":1,"name":"Subdivision","value":"EC"},{"id":4,"name":"Milepost","value":"23.3247"},{"id":17,"name":"Train ID","value":"145-26"},{"id":16,"name":"Locomotive ID","value":"4046"},{"id":130,"name":"Impact","value":""},{"id":150,"name":"Time of Event (Mountain Time)","value":"09:51:16"},{"id":151,"name":"Denver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37"/>
        <v>start /low /b %USERPROFILE%\Documents\GitHub\eaglep3\Utilities\DownloadLogsFromS3.py --loco 4046 --day 2017-09-26</v>
      </c>
      <c r="AN57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7" t="str">
        <f t="shared" si="39"/>
        <v>https://d0f6bd738d7f1b3e5a7ca70fe4ff75f0.us-east-1.aws.found.io/app/kibana#/discover/Steve-Slow-Train-Analysis-(2080s-and-2083s)?_g=(refreshInterval:(display:Off,pause:!f,section:0,value:0),time:(from:'2017-09-26T08:07:56-0600',mode:absolute,to:'2017-09-26T10:51:16-0600'))&amp;_a=(columns:!('Message%20ID',Summary),filters:!(),index:'emp_*',interval:auto,query:(query_string:(analyze_wildcard:!t,query:'%22rtdc.l.rtdc.4046%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4045</v>
      </c>
      <c r="C58" s="21" t="s">
        <v>196</v>
      </c>
      <c r="D58" s="21" t="s">
        <v>567</v>
      </c>
      <c r="E58" s="13">
        <v>43004.420682870368</v>
      </c>
      <c r="F58" s="13">
        <v>43004.425185185188</v>
      </c>
      <c r="G58" s="7">
        <v>46</v>
      </c>
      <c r="H58" s="21" t="s">
        <v>341</v>
      </c>
      <c r="I58" s="13">
        <v>43004.451678240737</v>
      </c>
      <c r="J58" s="7">
        <v>0</v>
      </c>
      <c r="K58" s="89" t="str">
        <f t="shared" si="0"/>
        <v>4045/4046</v>
      </c>
      <c r="L58" s="184" t="str">
        <f>VLOOKUP(A58,'[1]Trips&amp;Operators'!$C$1:$G$99911,5,FALSE)</f>
        <v>BONDS REYNALDO</v>
      </c>
      <c r="M58" s="6">
        <f t="shared" si="1"/>
        <v>2.6493055549508426E-2</v>
      </c>
      <c r="N58" s="7">
        <f t="shared" si="2"/>
        <v>38.149999991292134</v>
      </c>
      <c r="O58" s="7"/>
      <c r="P58" s="7"/>
      <c r="Q58" s="22"/>
      <c r="R58" s="173"/>
      <c r="S58" s="220">
        <f t="shared" si="3"/>
        <v>1</v>
      </c>
      <c r="T58" s="173" t="str">
        <f t="shared" si="4"/>
        <v>Southbound</v>
      </c>
      <c r="U58" s="197">
        <f>IF(AG58="EC",COUNTIFS([1]Variables!$M$2:$M$19,IF(T58="NorthBound","&gt;=","&lt;=")&amp;Y58,[1]Variables!$M$2:$M$19,IF(T58="NorthBound","&lt;=","&gt;=")&amp;Z58),COUNTIFS([1]Variables!$P$2:$P$19,IF(T58="NorthBound","&gt;=","&lt;=")&amp;Y58,[1]Variables!$P$2:$P$19,IF(T58="NorthBound","&lt;=","&gt;=")&amp;Z58))</f>
        <v>12</v>
      </c>
      <c r="V58" s="215" t="str">
        <f t="shared" si="31"/>
        <v>https://d0f6bd738d7f1b3e5a7ca70fe4ff75f0.us-east-1.aws.found.io/app/kibana#/discover/Steve-Slow-Train-Analysis-(2080s-and-2083s)?_g=(refreshInterval:(display:Off,pause:!f,section:0,value:0),time:(from:'2017-09-26T09:05:47-0600',mode:absolute,to:'2017-09-26T11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203" t="str">
        <f>IF(AA58&lt;VLOOKUP(AG58,[1]Variables!$AC$3:$AD$8,2,FALSE),"Y","N")</f>
        <v>N</v>
      </c>
      <c r="X58" s="203">
        <f t="shared" si="6"/>
        <v>1</v>
      </c>
      <c r="Y58" s="203">
        <f t="shared" si="45"/>
        <v>23.300599999999999</v>
      </c>
      <c r="Z58" s="203">
        <f t="shared" si="46"/>
        <v>1.41E-2</v>
      </c>
      <c r="AA58" s="203">
        <f t="shared" si="9"/>
        <v>23.2865</v>
      </c>
      <c r="AB58" s="54" t="e">
        <f>VLOOKUP(A58,[1]Enforcements!$C$7:$K$11,8,0)</f>
        <v>#N/A</v>
      </c>
      <c r="AC58" s="51" t="e">
        <f>VLOOKUP(A58,[1]Enforcements!$C$7:$E$11,3,0)</f>
        <v>#N/A</v>
      </c>
      <c r="AD58" s="178">
        <f t="shared" si="10"/>
        <v>146</v>
      </c>
      <c r="AE58" s="77" t="str">
        <f t="shared" si="32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58" s="74" t="str">
        <f t="shared" si="33"/>
        <v>"C:\Program Files (x86)\AstroGrep\AstroGrep.exe" /e /r /s /spath="%USERPROFILE%\AppData\Local\Temp\OnboardLogs" /stypes="app*4045*20170926*" /stext=" 16:.+((SYSTEM_STATE.+slice.+state.+changed )|(ment ac)|(multiple cpu faults)|(system.+state.+changed )|(\[timeout)|(PRM\|1\|D)|(kpr)|(kdp)|(train st.+moving)|(\|lc)|(penalty))"</v>
      </c>
      <c r="AG58" s="181" t="str">
        <f t="shared" si="34"/>
        <v>EC</v>
      </c>
      <c r="AH58" s="78" t="str">
        <f t="shared" si="35"/>
        <v>"%USERPROFILE%\Documents\GitHub\eaglep3\Utilities\RefineRTDCRunTimes.py" --tripid 146-26 --locoid 4045 --swversion DE.1.0.9.0 --startMP 204:233006 --initTime 2017-09-26T10:05:47 --startdatetime 2017-09-26T10:12:16 --delay 46 --endMP 204:141 --enddatetime 2017-09-26T10:50:25 --enforcementcount 0 &gt;&gt;c:\users\stu\Documents\GitHub\eaglep3-reporting\EC\2017-09-26-refined-times.txt</v>
      </c>
      <c r="AI58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{"issue":{"subject":"","project_id":79,"tracker_id":40,"status_id":1,"priority_id":2,"assigned_to_id":338,"start_date":"2017-09-26","description":"","custom_fields":[{"id":1,"name":"Subdivision","value":"EC"},{"id":4,"name":"Milepost","value":"0.0141"},{"id":17,"name":"Train ID","value":"146-26"},{"id":16,"name":"Locomotive ID","value":"4045"},{"id":130,"name":"Impact","value":""},{"id":150,"name":"Time of Event (Mountain Time)","value":"10:50:25"},{"id":151,"name":"Denver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37"/>
        <v>start /low /b %USERPROFILE%\Documents\GitHub\eaglep3\Utilities\DownloadLogsFromS3.py --loco 4045 --day 2017-09-26</v>
      </c>
      <c r="AN58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7" t="str">
        <f t="shared" si="39"/>
        <v>https://d0f6bd738d7f1b3e5a7ca70fe4ff75f0.us-east-1.aws.found.io/app/kibana#/discover/Steve-Slow-Train-Analysis-(2080s-and-2083s)?_g=(refreshInterval:(display:Off,pause:!f,section:0,value:0),time:(from:'2017-09-26T09:05:47-0600',mode:absolute,to:'2017-09-26T11:50:25-0600'))&amp;_a=(columns:!('Message%20ID',Summary),filters:!(),index:'emp_*',interval:auto,query:(query_string:(analyze_wildcard:!t,query:'%22rtdc.l.rtdc.4045%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712</v>
      </c>
      <c r="B59" s="7">
        <v>4060</v>
      </c>
      <c r="C59" s="21" t="s">
        <v>196</v>
      </c>
      <c r="D59" s="21" t="s">
        <v>357</v>
      </c>
      <c r="E59" s="13">
        <v>43004.395358796297</v>
      </c>
      <c r="F59" s="13">
        <v>43004.396863425929</v>
      </c>
      <c r="G59" s="7">
        <v>64</v>
      </c>
      <c r="H59" s="21" t="s">
        <v>453</v>
      </c>
      <c r="I59" s="13">
        <v>43004.422222222223</v>
      </c>
      <c r="J59" s="7">
        <v>0</v>
      </c>
      <c r="K59" s="89" t="str">
        <f t="shared" si="0"/>
        <v>4059/4060</v>
      </c>
      <c r="L59" s="184" t="str">
        <f>VLOOKUP(A59,'[1]Trips&amp;Operators'!$C$1:$G$99911,5,FALSE)</f>
        <v>THOMPSON LESTER</v>
      </c>
      <c r="M59" s="6">
        <f t="shared" si="1"/>
        <v>2.5358796294312924E-2</v>
      </c>
      <c r="N59" s="7">
        <f t="shared" si="2"/>
        <v>36.516666663810611</v>
      </c>
      <c r="O59" s="7"/>
      <c r="P59" s="7"/>
      <c r="Q59" s="22"/>
      <c r="R59" s="173"/>
      <c r="S59" s="220">
        <f t="shared" si="3"/>
        <v>1</v>
      </c>
      <c r="T59" s="173" t="str">
        <f t="shared" si="4"/>
        <v>NorthBound</v>
      </c>
      <c r="U59" s="197">
        <f>IF(AG59="EC",COUNTIFS([1]Variables!$M$2:$M$19,IF(T59="NorthBound","&gt;=","&lt;=")&amp;Y59,[1]Variables!$M$2:$M$19,IF(T59="NorthBound","&lt;=","&gt;=")&amp;Z59),COUNTIFS([1]Variables!$P$2:$P$19,IF(T59="NorthBound","&gt;=","&lt;=")&amp;Y59,[1]Variables!$P$2:$P$19,IF(T59="NorthBound","&lt;=","&gt;=")&amp;Z59))</f>
        <v>12</v>
      </c>
      <c r="V59" s="215" t="str">
        <f t="shared" si="31"/>
        <v>https://d0f6bd738d7f1b3e5a7ca70fe4ff75f0.us-east-1.aws.found.io/app/kibana#/discover/Steve-Slow-Train-Analysis-(2080s-and-2083s)?_g=(refreshInterval:(display:Off,pause:!f,section:0,value:0),time:(from:'2017-09-26T08:29:19-0600',mode:absolute,to:'2017-09-26T11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03" t="str">
        <f>IF(AA59&lt;VLOOKUP(AG59,[1]Variables!$AC$3:$AD$8,2,FALSE),"Y","N")</f>
        <v>N</v>
      </c>
      <c r="X59" s="203">
        <f t="shared" si="6"/>
        <v>1</v>
      </c>
      <c r="Y59" s="203">
        <f t="shared" si="45"/>
        <v>4.58E-2</v>
      </c>
      <c r="Z59" s="203">
        <f t="shared" si="46"/>
        <v>23.327999999999999</v>
      </c>
      <c r="AA59" s="203">
        <f t="shared" si="9"/>
        <v>23.2822</v>
      </c>
      <c r="AB59" s="54" t="e">
        <f>VLOOKUP(A59,[1]Enforcements!$C$7:$K$11,8,0)</f>
        <v>#N/A</v>
      </c>
      <c r="AC59" s="51" t="e">
        <f>VLOOKUP(A59,[1]Enforcements!$C$7:$E$11,3,0)</f>
        <v>#N/A</v>
      </c>
      <c r="AD59" s="178">
        <f t="shared" si="10"/>
        <v>147</v>
      </c>
      <c r="AE59" s="77" t="str">
        <f t="shared" si="32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59" s="74" t="str">
        <f t="shared" si="33"/>
        <v>"C:\Program Files (x86)\AstroGrep\AstroGrep.exe" /e /r /s /spath="%USERPROFILE%\AppData\Local\Temp\OnboardLogs" /stypes="app*4060*20170926*" /stext=" 16:.+((SYSTEM_STATE.+slice.+state.+changed )|(ment ac)|(multiple cpu faults)|(system.+state.+changed )|(\[timeout)|(PRM\|1\|D)|(kpr)|(kdp)|(train st.+moving)|(\|lc)|(penalty))"</v>
      </c>
      <c r="AG59" s="181" t="str">
        <f t="shared" si="34"/>
        <v>EC</v>
      </c>
      <c r="AH59" s="78" t="str">
        <f t="shared" si="35"/>
        <v>"%USERPROFILE%\Documents\GitHub\eaglep3\Utilities\RefineRTDCRunTimes.py" --tripid 147-26 --locoid 4060 --swversion DE.1.0.9.0 --startMP 204:458 --initTime 2017-09-26T09:29:19 --startdatetime 2017-09-26T09:31:29 --delay 64 --endMP 204:233280 --enddatetime 2017-09-26T10:08:00 --enforcementcount 0 &gt;&gt;c:\users\stu\Documents\GitHub\eaglep3-reporting\EC\2017-09-26-refined-times.txt</v>
      </c>
      <c r="AI59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{"issue":{"subject":"","project_id":79,"tracker_id":40,"status_id":1,"priority_id":2,"assigned_to_id":338,"start_date":"2017-09-26","description":"","custom_fields":[{"id":1,"name":"Subdivision","value":"EC"},{"id":4,"name":"Milepost","value":"23.328"},{"id":17,"name":"Train ID","value":"147-26"},{"id":16,"name":"Locomotive ID","value":"4060"},{"id":130,"name":"Impact","value":""},{"id":150,"name":"Time of Event (Mountain Time)","value":"10:08:00"},{"id":151,"name":"Denver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37"/>
        <v>start /low /b %USERPROFILE%\Documents\GitHub\eaglep3\Utilities\DownloadLogsFromS3.py --loco 4060 --day 2017-09-26</v>
      </c>
      <c r="AN59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7" t="str">
        <f t="shared" si="39"/>
        <v>https://d0f6bd738d7f1b3e5a7ca70fe4ff75f0.us-east-1.aws.found.io/app/kibana#/discover/Steve-Slow-Train-Analysis-(2080s-and-2083s)?_g=(refreshInterval:(display:Off,pause:!f,section:0,value:0),time:(from:'2017-09-26T08:29:19-0600',mode:absolute,to:'2017-09-26T11:08:00-0600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720</v>
      </c>
      <c r="B60" s="7">
        <v>4059</v>
      </c>
      <c r="C60" s="21" t="s">
        <v>196</v>
      </c>
      <c r="D60" s="21" t="s">
        <v>480</v>
      </c>
      <c r="E60" s="13">
        <v>43004.433437500003</v>
      </c>
      <c r="F60" s="13">
        <v>43004.435636574075</v>
      </c>
      <c r="G60" s="7">
        <v>55</v>
      </c>
      <c r="H60" s="21" t="s">
        <v>338</v>
      </c>
      <c r="I60" s="13">
        <v>43004.462060185186</v>
      </c>
      <c r="J60" s="7">
        <v>0</v>
      </c>
      <c r="K60" s="89" t="str">
        <f t="shared" si="0"/>
        <v>4059/4060</v>
      </c>
      <c r="L60" s="184" t="str">
        <f>VLOOKUP(A60,'[1]Trips&amp;Operators'!$C$1:$G$99911,5,FALSE)</f>
        <v>THOMPSON LESTER</v>
      </c>
      <c r="M60" s="6">
        <f t="shared" si="1"/>
        <v>2.6423611110658385E-2</v>
      </c>
      <c r="N60" s="7">
        <f t="shared" si="2"/>
        <v>38.049999999348074</v>
      </c>
      <c r="O60" s="7"/>
      <c r="P60" s="7"/>
      <c r="Q60" s="22"/>
      <c r="R60" s="173"/>
      <c r="S60" s="220">
        <f t="shared" si="3"/>
        <v>1</v>
      </c>
      <c r="T60" s="173" t="str">
        <f t="shared" si="4"/>
        <v>Southbound</v>
      </c>
      <c r="U60" s="197">
        <f>IF(AG60="EC",COUNTIFS([1]Variables!$M$2:$M$19,IF(T60="NorthBound","&gt;=","&lt;=")&amp;Y60,[1]Variables!$M$2:$M$19,IF(T60="NorthBound","&lt;=","&gt;=")&amp;Z60),COUNTIFS([1]Variables!$P$2:$P$19,IF(T60="NorthBound","&gt;=","&lt;=")&amp;Y60,[1]Variables!$P$2:$P$19,IF(T60="NorthBound","&lt;=","&gt;=")&amp;Z60))</f>
        <v>12</v>
      </c>
      <c r="V60" s="215" t="str">
        <f t="shared" si="31"/>
        <v>https://d0f6bd738d7f1b3e5a7ca70fe4ff75f0.us-east-1.aws.found.io/app/kibana#/discover/Steve-Slow-Train-Analysis-(2080s-and-2083s)?_g=(refreshInterval:(display:Off,pause:!f,section:0,value:0),time:(from:'2017-09-26T09:24:09-0600',mode:absolute,to:'2017-09-26T12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03" t="str">
        <f>IF(AA60&lt;VLOOKUP(AG60,[1]Variables!$AC$3:$AD$8,2,FALSE),"Y","N")</f>
        <v>N</v>
      </c>
      <c r="X60" s="203">
        <f t="shared" si="6"/>
        <v>1</v>
      </c>
      <c r="Y60" s="203">
        <f t="shared" si="45"/>
        <v>23.297999999999998</v>
      </c>
      <c r="Z60" s="203">
        <f t="shared" si="46"/>
        <v>1.49E-2</v>
      </c>
      <c r="AA60" s="203">
        <f t="shared" si="9"/>
        <v>23.283099999999997</v>
      </c>
      <c r="AB60" s="54" t="e">
        <f>VLOOKUP(A60,[1]Enforcements!$C$7:$K$11,8,0)</f>
        <v>#N/A</v>
      </c>
      <c r="AC60" s="51" t="e">
        <f>VLOOKUP(A60,[1]Enforcements!$C$7:$E$11,3,0)</f>
        <v>#N/A</v>
      </c>
      <c r="AD60" s="178">
        <f t="shared" si="10"/>
        <v>148</v>
      </c>
      <c r="AE60" s="77" t="str">
        <f t="shared" si="32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60" s="74" t="str">
        <f t="shared" si="33"/>
        <v>"C:\Program Files (x86)\AstroGrep\AstroGrep.exe" /e /r /s /spath="%USERPROFILE%\AppData\Local\Temp\OnboardLogs" /stypes="app*4059*20170926*" /stext=" 17:.+((SYSTEM_STATE.+slice.+state.+changed )|(ment ac)|(multiple cpu faults)|(system.+state.+changed )|(\[timeout)|(PRM\|1\|D)|(kpr)|(kdp)|(train st.+moving)|(\|lc)|(penalty))"</v>
      </c>
      <c r="AG60" s="181" t="str">
        <f t="shared" si="34"/>
        <v>EC</v>
      </c>
      <c r="AH60" s="78" t="str">
        <f t="shared" si="35"/>
        <v>"%USERPROFILE%\Documents\GitHub\eaglep3\Utilities\RefineRTDCRunTimes.py" --tripid 148-26 --locoid 4059 --swversion DE.1.0.9.0 --startMP 204:232980 --initTime 2017-09-26T10:24:09 --startdatetime 2017-09-26T10:27:19 --delay 55 --endMP 204:149 --enddatetime 2017-09-26T11:05:22 --enforcementcount 0 &gt;&gt;c:\users\stu\Documents\GitHub\eaglep3-reporting\EC\2017-09-26-refined-times.txt</v>
      </c>
      <c r="AI60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{"issue":{"subject":"","project_id":79,"tracker_id":40,"status_id":1,"priority_id":2,"assigned_to_id":338,"start_date":"2017-09-26","description":"","custom_fields":[{"id":1,"name":"Subdivision","value":"EC"},{"id":4,"name":"Milepost","value":"0.0149"},{"id":17,"name":"Train ID","value":"148-26"},{"id":16,"name":"Locomotive ID","value":"4059"},{"id":130,"name":"Impact","value":""},{"id":150,"name":"Time of Event (Mountain Time)","value":"11:05:22"},{"id":151,"name":"Denver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37"/>
        <v>start /low /b %USERPROFILE%\Documents\GitHub\eaglep3\Utilities\DownloadLogsFromS3.py --loco 4059 --day 2017-09-26</v>
      </c>
      <c r="AN60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7" t="str">
        <f t="shared" si="39"/>
        <v>https://d0f6bd738d7f1b3e5a7ca70fe4ff75f0.us-east-1.aws.found.io/app/kibana#/discover/Steve-Slow-Train-Analysis-(2080s-and-2083s)?_g=(refreshInterval:(display:Off,pause:!f,section:0,value:0),time:(from:'2017-09-26T09:24:09-0600',mode:absolute,to:'2017-09-26T12:05:22-0600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714</v>
      </c>
      <c r="B61" s="7">
        <v>4018</v>
      </c>
      <c r="C61" s="21" t="s">
        <v>196</v>
      </c>
      <c r="D61" s="21" t="s">
        <v>388</v>
      </c>
      <c r="E61" s="13">
        <v>43004.403449074074</v>
      </c>
      <c r="F61" s="13">
        <v>43004.406504629631</v>
      </c>
      <c r="G61" s="7">
        <v>74</v>
      </c>
      <c r="H61" s="21" t="s">
        <v>485</v>
      </c>
      <c r="I61" s="13">
        <v>43004.430219907408</v>
      </c>
      <c r="J61" s="7">
        <v>0</v>
      </c>
      <c r="K61" s="89" t="str">
        <f t="shared" si="0"/>
        <v>4017/4018</v>
      </c>
      <c r="L61" s="184" t="str">
        <f>VLOOKUP(A61,'[1]Trips&amp;Operators'!$C$1:$G$99911,5,FALSE)</f>
        <v>LALONDE GREGORY</v>
      </c>
      <c r="M61" s="6">
        <f t="shared" si="1"/>
        <v>2.3715277777228039E-2</v>
      </c>
      <c r="N61" s="7">
        <f t="shared" si="2"/>
        <v>34.149999999208376</v>
      </c>
      <c r="O61" s="7"/>
      <c r="P61" s="7"/>
      <c r="Q61" s="22"/>
      <c r="R61" s="173"/>
      <c r="S61" s="220">
        <f t="shared" si="3"/>
        <v>1</v>
      </c>
      <c r="T61" s="173" t="str">
        <f t="shared" si="4"/>
        <v>NorthBound</v>
      </c>
      <c r="U61" s="197">
        <f>IF(AG61="EC",COUNTIFS([1]Variables!$M$2:$M$19,IF(T61="NorthBound","&gt;=","&lt;=")&amp;Y61,[1]Variables!$M$2:$M$19,IF(T61="NorthBound","&lt;=","&gt;=")&amp;Z61),COUNTIFS([1]Variables!$P$2:$P$19,IF(T61="NorthBound","&gt;=","&lt;=")&amp;Y61,[1]Variables!$P$2:$P$19,IF(T61="NorthBound","&lt;=","&gt;=")&amp;Z61))</f>
        <v>12</v>
      </c>
      <c r="V61" s="215" t="str">
        <f t="shared" si="31"/>
        <v>https://d0f6bd738d7f1b3e5a7ca70fe4ff75f0.us-east-1.aws.found.io/app/kibana#/discover/Steve-Slow-Train-Analysis-(2080s-and-2083s)?_g=(refreshInterval:(display:Off,pause:!f,section:0,value:0),time:(from:'2017-09-26T08:40:58-0600',mode:absolute,to:'2017-09-26T11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03" t="str">
        <f>IF(AA61&lt;VLOOKUP(AG61,[1]Variables!$AC$3:$AD$8,2,FALSE),"Y","N")</f>
        <v>N</v>
      </c>
      <c r="X61" s="203">
        <f t="shared" si="6"/>
        <v>1</v>
      </c>
      <c r="Y61" s="203">
        <f t="shared" si="45"/>
        <v>4.5100000000000001E-2</v>
      </c>
      <c r="Z61" s="203">
        <f t="shared" si="46"/>
        <v>23.333100000000002</v>
      </c>
      <c r="AA61" s="203">
        <f t="shared" si="9"/>
        <v>23.288</v>
      </c>
      <c r="AB61" s="54" t="e">
        <f>VLOOKUP(A61,[1]Enforcements!$C$7:$K$11,8,0)</f>
        <v>#N/A</v>
      </c>
      <c r="AC61" s="51" t="e">
        <f>VLOOKUP(A61,[1]Enforcements!$C$7:$E$11,3,0)</f>
        <v>#N/A</v>
      </c>
      <c r="AD61" s="178">
        <f t="shared" si="10"/>
        <v>149</v>
      </c>
      <c r="AE61" s="77" t="str">
        <f t="shared" si="32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61" s="74" t="str">
        <f t="shared" si="33"/>
        <v>"C:\Program Files (x86)\AstroGrep\AstroGrep.exe" /e /r /s /spath="%USERPROFILE%\AppData\Local\Temp\OnboardLogs" /stypes="app*4018*20170926*" /stext=" 16:.+((SYSTEM_STATE.+slice.+state.+changed )|(ment ac)|(multiple cpu faults)|(system.+state.+changed )|(\[timeout)|(PRM\|1\|D)|(kpr)|(kdp)|(train st.+moving)|(\|lc)|(penalty))"</v>
      </c>
      <c r="AG61" s="181" t="str">
        <f t="shared" si="34"/>
        <v>EC</v>
      </c>
      <c r="AH61" s="78" t="str">
        <f t="shared" si="35"/>
        <v>"%USERPROFILE%\Documents\GitHub\eaglep3\Utilities\RefineRTDCRunTimes.py" --tripid 149-26 --locoid 4018 --swversion DE.1.0.9.0 --startMP 204:451 --initTime 2017-09-26T09:40:58 --startdatetime 2017-09-26T09:45:22 --delay 74 --endMP 204:233331 --enddatetime 2017-09-26T10:19:31 --enforcementcount 0 &gt;&gt;c:\users\stu\Documents\GitHub\eaglep3-reporting\EC\2017-09-26-refined-times.txt</v>
      </c>
      <c r="AI61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{"issue":{"subject":"","project_id":79,"tracker_id":40,"status_id":1,"priority_id":2,"assigned_to_id":338,"start_date":"2017-09-26","description":"","custom_fields":[{"id":1,"name":"Subdivision","value":"EC"},{"id":4,"name":"Milepost","value":"23.3331"},{"id":17,"name":"Train ID","value":"149-26"},{"id":16,"name":"Locomotive ID","value":"4018"},{"id":130,"name":"Impact","value":""},{"id":150,"name":"Time of Event (Mountain Time)","value":"10:19:31"},{"id":151,"name":"Denver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37"/>
        <v>start /low /b %USERPROFILE%\Documents\GitHub\eaglep3\Utilities\DownloadLogsFromS3.py --loco 4018 --day 2017-09-26</v>
      </c>
      <c r="AN61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7" t="str">
        <f t="shared" si="39"/>
        <v>https://d0f6bd738d7f1b3e5a7ca70fe4ff75f0.us-east-1.aws.found.io/app/kibana#/discover/Steve-Slow-Train-Analysis-(2080s-and-2083s)?_g=(refreshInterval:(display:Off,pause:!f,section:0,value:0),time:(from:'2017-09-26T08:40:58-0600',mode:absolute,to:'2017-09-26T11:19:31-0600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614</v>
      </c>
      <c r="B62" s="7">
        <v>4017</v>
      </c>
      <c r="C62" s="21" t="s">
        <v>196</v>
      </c>
      <c r="D62" s="21" t="s">
        <v>481</v>
      </c>
      <c r="E62" s="13">
        <v>43004.431458333333</v>
      </c>
      <c r="F62" s="13">
        <v>43004.44604166667</v>
      </c>
      <c r="G62" s="7">
        <v>57</v>
      </c>
      <c r="H62" s="21" t="s">
        <v>395</v>
      </c>
      <c r="I62" s="13">
        <v>43004.471666666665</v>
      </c>
      <c r="J62" s="7">
        <v>0</v>
      </c>
      <c r="K62" s="89" t="str">
        <f t="shared" si="0"/>
        <v>4017/4018</v>
      </c>
      <c r="L62" s="184" t="str">
        <f>VLOOKUP(A62,'[1]Trips&amp;Operators'!$C$1:$G$99911,5,FALSE)</f>
        <v>LALONDE GREGORY</v>
      </c>
      <c r="M62" s="6">
        <f t="shared" si="1"/>
        <v>2.5624999994761311E-2</v>
      </c>
      <c r="N62" s="7">
        <f t="shared" si="2"/>
        <v>36.899999992456287</v>
      </c>
      <c r="O62" s="7"/>
      <c r="P62" s="7"/>
      <c r="Q62" s="22"/>
      <c r="R62" s="173"/>
      <c r="S62" s="220">
        <f t="shared" si="3"/>
        <v>1</v>
      </c>
      <c r="T62" s="173" t="str">
        <f t="shared" si="4"/>
        <v>Southbound</v>
      </c>
      <c r="U62" s="197">
        <f>IF(AG62="EC",COUNTIFS([1]Variables!$M$2:$M$19,IF(T62="NorthBound","&gt;=","&lt;=")&amp;Y62,[1]Variables!$M$2:$M$19,IF(T62="NorthBound","&lt;=","&gt;=")&amp;Z62),COUNTIFS([1]Variables!$P$2:$P$19,IF(T62="NorthBound","&gt;=","&lt;=")&amp;Y62,[1]Variables!$P$2:$P$19,IF(T62="NorthBound","&lt;=","&gt;=")&amp;Z62))</f>
        <v>12</v>
      </c>
      <c r="V62" s="215" t="str">
        <f t="shared" si="31"/>
        <v>https://d0f6bd738d7f1b3e5a7ca70fe4ff75f0.us-east-1.aws.found.io/app/kibana#/discover/Steve-Slow-Train-Analysis-(2080s-and-2083s)?_g=(refreshInterval:(display:Off,pause:!f,section:0,value:0),time:(from:'2017-09-26T09:21:18-0600',mode:absolute,to:'2017-09-26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03" t="str">
        <f>IF(AA62&lt;VLOOKUP(AG62,[1]Variables!$AC$3:$AD$8,2,FALSE),"Y","N")</f>
        <v>N</v>
      </c>
      <c r="X62" s="203">
        <f t="shared" si="6"/>
        <v>1</v>
      </c>
      <c r="Y62" s="203">
        <f t="shared" si="45"/>
        <v>23.302099999999999</v>
      </c>
      <c r="Z62" s="203">
        <f t="shared" si="46"/>
        <v>1.54E-2</v>
      </c>
      <c r="AA62" s="203">
        <f t="shared" si="9"/>
        <v>23.2867</v>
      </c>
      <c r="AB62" s="54" t="e">
        <f>VLOOKUP(A62,[1]Enforcements!$C$7:$K$11,8,0)</f>
        <v>#N/A</v>
      </c>
      <c r="AC62" s="51" t="e">
        <f>VLOOKUP(A62,[1]Enforcements!$C$7:$E$11,3,0)</f>
        <v>#N/A</v>
      </c>
      <c r="AD62" s="178">
        <f t="shared" si="10"/>
        <v>150</v>
      </c>
      <c r="AE62" s="77" t="str">
        <f t="shared" si="32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62" s="74" t="str">
        <f t="shared" si="33"/>
        <v>"C:\Program Files (x86)\AstroGrep\AstroGrep.exe" /e /r /s /spath="%USERPROFILE%\AppData\Local\Temp\OnboardLogs" /stypes="app*4017*20170926*" /stext=" 17:.+((SYSTEM_STATE.+slice.+state.+changed )|(ment ac)|(multiple cpu faults)|(system.+state.+changed )|(\[timeout)|(PRM\|1\|D)|(kpr)|(kdp)|(train st.+moving)|(\|lc)|(penalty))"</v>
      </c>
      <c r="AG62" s="181" t="str">
        <f t="shared" si="34"/>
        <v>EC</v>
      </c>
      <c r="AH62" s="78" t="str">
        <f t="shared" si="35"/>
        <v>"%USERPROFILE%\Documents\GitHub\eaglep3\Utilities\RefineRTDCRunTimes.py" --tripid 150-26 --locoid 4017 --swversion DE.1.0.9.0 --startMP 204:233021 --initTime 2017-09-26T10:21:18 --startdatetime 2017-09-26T10:42:18 --delay 57 --endMP 204:154 --enddatetime 2017-09-26T11:19:12 --enforcementcount 0 &gt;&gt;c:\users\stu\Documents\GitHub\eaglep3-reporting\EC\2017-09-26-refined-times.txt</v>
      </c>
      <c r="AI62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ID","value":"150-26"},{"id":16,"name":"Locomotive ID","value":"4017"},{"id":130,"name":"Impact","value":""},{"id":150,"name":"Time of Event (Mountain Time)","value":"11:19:12"},{"id":151,"name":"Denver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37"/>
        <v>start /low /b %USERPROFILE%\Documents\GitHub\eaglep3\Utilities\DownloadLogsFromS3.py --loco 4017 --day 2017-09-26</v>
      </c>
      <c r="AN62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7" t="str">
        <f t="shared" si="39"/>
        <v>https://d0f6bd738d7f1b3e5a7ca70fe4ff75f0.us-east-1.aws.found.io/app/kibana#/discover/Steve-Slow-Train-Analysis-(2080s-and-2083s)?_g=(refreshInterval:(display:Off,pause:!f,section:0,value:0),time:(from:'2017-09-26T09:21:18-0600',mode:absolute,to:'2017-09-26T12:19:12-0600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716</v>
      </c>
      <c r="B63" s="7">
        <v>4054</v>
      </c>
      <c r="C63" s="21" t="s">
        <v>196</v>
      </c>
      <c r="D63" s="21" t="s">
        <v>872</v>
      </c>
      <c r="E63" s="13">
        <v>43004.415648148148</v>
      </c>
      <c r="F63" s="13">
        <v>43004.417048611111</v>
      </c>
      <c r="G63" s="7">
        <v>55</v>
      </c>
      <c r="H63" s="21" t="s">
        <v>873</v>
      </c>
      <c r="I63" s="13">
        <v>43004.442557870374</v>
      </c>
      <c r="J63" s="7">
        <v>0</v>
      </c>
      <c r="K63" s="89" t="str">
        <f t="shared" si="0"/>
        <v>4053/4054</v>
      </c>
      <c r="L63" s="184" t="str">
        <f>VLOOKUP(A63,'[1]Trips&amp;Operators'!$C$1:$G$99911,5,FALSE)</f>
        <v>LAMAR NEKESHA</v>
      </c>
      <c r="M63" s="6">
        <f t="shared" si="1"/>
        <v>2.5509259263344575E-2</v>
      </c>
      <c r="N63" s="7">
        <f t="shared" si="2"/>
        <v>36.733333339216188</v>
      </c>
      <c r="O63" s="7"/>
      <c r="P63" s="7"/>
      <c r="Q63" s="22"/>
      <c r="R63" s="173"/>
      <c r="S63" s="220">
        <f t="shared" si="3"/>
        <v>1</v>
      </c>
      <c r="T63" s="173" t="str">
        <f t="shared" si="4"/>
        <v>NorthBound</v>
      </c>
      <c r="U63" s="197">
        <f>IF(AG63="EC",COUNTIFS([1]Variables!$M$2:$M$19,IF(T63="NorthBound","&gt;=","&lt;=")&amp;Y63,[1]Variables!$M$2:$M$19,IF(T63="NorthBound","&lt;=","&gt;=")&amp;Z63),COUNTIFS([1]Variables!$P$2:$P$19,IF(T63="NorthBound","&gt;=","&lt;=")&amp;Y63,[1]Variables!$P$2:$P$19,IF(T63="NorthBound","&lt;=","&gt;=")&amp;Z63))</f>
        <v>12</v>
      </c>
      <c r="V63" s="215" t="str">
        <f t="shared" si="31"/>
        <v>https://d0f6bd738d7f1b3e5a7ca70fe4ff75f0.us-east-1.aws.found.io/app/kibana#/discover/Steve-Slow-Train-Analysis-(2080s-and-2083s)?_g=(refreshInterval:(display:Off,pause:!f,section:0,value:0),time:(from:'2017-09-26T08:58:32-0600',mode:absolute,to:'2017-09-26T11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203" t="str">
        <f>IF(AA63&lt;VLOOKUP(AG63,[1]Variables!$AC$3:$AD$8,2,FALSE),"Y","N")</f>
        <v>N</v>
      </c>
      <c r="X63" s="203">
        <f t="shared" si="6"/>
        <v>1</v>
      </c>
      <c r="Y63" s="203">
        <f t="shared" si="45"/>
        <v>6.2199999999999998E-2</v>
      </c>
      <c r="Z63" s="203">
        <f t="shared" si="46"/>
        <v>23.3339</v>
      </c>
      <c r="AA63" s="203">
        <f t="shared" si="9"/>
        <v>23.271699999999999</v>
      </c>
      <c r="AB63" s="54" t="e">
        <f>VLOOKUP(A63,[1]Enforcements!$C$7:$K$11,8,0)</f>
        <v>#N/A</v>
      </c>
      <c r="AC63" s="51" t="e">
        <f>VLOOKUP(A63,[1]Enforcements!$C$7:$E$11,3,0)</f>
        <v>#N/A</v>
      </c>
      <c r="AD63" s="178">
        <f t="shared" si="10"/>
        <v>151</v>
      </c>
      <c r="AE63" s="77" t="str">
        <f t="shared" si="32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63" s="74" t="str">
        <f t="shared" si="33"/>
        <v>"C:\Program Files (x86)\AstroGrep\AstroGrep.exe" /e /r /s /spath="%USERPROFILE%\AppData\Local\Temp\OnboardLogs" /stypes="app*4054*20170926*" /stext=" 16:.+((SYSTEM_STATE.+slice.+state.+changed )|(ment ac)|(multiple cpu faults)|(system.+state.+changed )|(\[timeout)|(PRM\|1\|D)|(kpr)|(kdp)|(train st.+moving)|(\|lc)|(penalty))"</v>
      </c>
      <c r="AG63" s="181" t="str">
        <f t="shared" si="34"/>
        <v>EC</v>
      </c>
      <c r="AH63" s="78" t="str">
        <f t="shared" si="35"/>
        <v>"%USERPROFILE%\Documents\GitHub\eaglep3\Utilities\RefineRTDCRunTimes.py" --tripid 151-26 --locoid 4054 --swversion DE.1.0.9.0 --startMP 204:622 --initTime 2017-09-26T09:58:32 --startdatetime 2017-09-26T10:00:33 --delay 55 --endMP 204:233339 --enddatetime 2017-09-26T10:37:17 --enforcementcount 0 &gt;&gt;c:\users\stu\Documents\GitHub\eaglep3-reporting\EC\2017-09-26-refined-times.txt</v>
      </c>
      <c r="AI63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{"issue":{"subject":"","project_id":79,"tracker_id":40,"status_id":1,"priority_id":2,"assigned_to_id":338,"start_date":"2017-09-26","description":"","custom_fields":[{"id":1,"name":"Subdivision","value":"EC"},{"id":4,"name":"Milepost","value":"23.3339"},{"id":17,"name":"Train ID","value":"151-26"},{"id":16,"name":"Locomotive ID","value":"4054"},{"id":130,"name":"Impact","value":""},{"id":150,"name":"Time of Event (Mountain Time)","value":"10:37:17"},{"id":151,"name":"Denver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37"/>
        <v>start /low /b %USERPROFILE%\Documents\GitHub\eaglep3\Utilities\DownloadLogsFromS3.py --loco 4054 --day 2017-09-26</v>
      </c>
      <c r="AN63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7" t="str">
        <f t="shared" si="39"/>
        <v>https://d0f6bd738d7f1b3e5a7ca70fe4ff75f0.us-east-1.aws.found.io/app/kibana#/discover/Steve-Slow-Train-Analysis-(2080s-and-2083s)?_g=(refreshInterval:(display:Off,pause:!f,section:0,value:0),time:(from:'2017-09-26T08:58:32-0600',mode:absolute,to:'2017-09-26T11:37:17-0600'))&amp;_a=(columns:!('Message%20ID',Summary),filters:!(),index:'emp_*',interval:auto,query:(query_string:(analyze_wildcard:!t,query:'%22rtdc.l.rtdc.4054%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725</v>
      </c>
      <c r="B64" s="7">
        <v>4053</v>
      </c>
      <c r="C64" s="21" t="s">
        <v>196</v>
      </c>
      <c r="D64" s="21" t="s">
        <v>574</v>
      </c>
      <c r="E64" s="13">
        <v>43004.454282407409</v>
      </c>
      <c r="F64" s="13">
        <v>43004.456423611111</v>
      </c>
      <c r="G64" s="7">
        <v>66</v>
      </c>
      <c r="H64" s="21" t="s">
        <v>338</v>
      </c>
      <c r="I64" s="13">
        <v>43004.481944444444</v>
      </c>
      <c r="J64" s="7">
        <v>0</v>
      </c>
      <c r="K64" s="89" t="str">
        <f t="shared" si="0"/>
        <v>4053/4054</v>
      </c>
      <c r="L64" s="184" t="str">
        <f>VLOOKUP(A64,'[1]Trips&amp;Operators'!$C$1:$G$99911,5,FALSE)</f>
        <v>LAMAR NEKESHA</v>
      </c>
      <c r="M64" s="6">
        <f t="shared" si="1"/>
        <v>2.5520833332848269E-2</v>
      </c>
      <c r="N64" s="7">
        <f t="shared" si="2"/>
        <v>36.749999999301508</v>
      </c>
      <c r="O64" s="7"/>
      <c r="P64" s="7"/>
      <c r="Q64" s="22"/>
      <c r="R64" s="173"/>
      <c r="S64" s="220">
        <f t="shared" si="3"/>
        <v>1</v>
      </c>
      <c r="T64" s="173" t="str">
        <f t="shared" si="4"/>
        <v>Southbound</v>
      </c>
      <c r="U64" s="197">
        <f>IF(AG64="EC",COUNTIFS([1]Variables!$M$2:$M$19,IF(T64="NorthBound","&gt;=","&lt;=")&amp;Y64,[1]Variables!$M$2:$M$19,IF(T64="NorthBound","&lt;=","&gt;=")&amp;Z64),COUNTIFS([1]Variables!$P$2:$P$19,IF(T64="NorthBound","&gt;=","&lt;=")&amp;Y64,[1]Variables!$P$2:$P$19,IF(T64="NorthBound","&lt;=","&gt;=")&amp;Z64))</f>
        <v>12</v>
      </c>
      <c r="V64" s="215" t="str">
        <f t="shared" si="31"/>
        <v>https://d0f6bd738d7f1b3e5a7ca70fe4ff75f0.us-east-1.aws.found.io/app/kibana#/discover/Steve-Slow-Train-Analysis-(2080s-and-2083s)?_g=(refreshInterval:(display:Off,pause:!f,section:0,value:0),time:(from:'2017-09-26T09:54:10-0600',mode:absolute,to:'2017-09-26T12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203" t="str">
        <f>IF(AA64&lt;VLOOKUP(AG64,[1]Variables!$AC$3:$AD$8,2,FALSE),"Y","N")</f>
        <v>N</v>
      </c>
      <c r="X64" s="203">
        <f t="shared" si="6"/>
        <v>1</v>
      </c>
      <c r="Y64" s="203">
        <f t="shared" si="45"/>
        <v>23.299399999999999</v>
      </c>
      <c r="Z64" s="203">
        <f t="shared" si="46"/>
        <v>1.49E-2</v>
      </c>
      <c r="AA64" s="203">
        <f t="shared" si="9"/>
        <v>23.284499999999998</v>
      </c>
      <c r="AB64" s="54" t="e">
        <f>VLOOKUP(A64,[1]Enforcements!$C$7:$K$11,8,0)</f>
        <v>#N/A</v>
      </c>
      <c r="AC64" s="51" t="e">
        <f>VLOOKUP(A64,[1]Enforcements!$C$7:$E$11,3,0)</f>
        <v>#N/A</v>
      </c>
      <c r="AD64" s="178">
        <f t="shared" si="10"/>
        <v>152</v>
      </c>
      <c r="AE64" s="77" t="str">
        <f t="shared" si="32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64" s="74" t="str">
        <f t="shared" si="33"/>
        <v>"C:\Program Files (x86)\AstroGrep\AstroGrep.exe" /e /r /s /spath="%USERPROFILE%\AppData\Local\Temp\OnboardLogs" /stypes="app*4053*20170926*" /stext=" 17:.+((SYSTEM_STATE.+slice.+state.+changed )|(ment ac)|(multiple cpu faults)|(system.+state.+changed )|(\[timeout)|(PRM\|1\|D)|(kpr)|(kdp)|(train st.+moving)|(\|lc)|(penalty))"</v>
      </c>
      <c r="AG64" s="181" t="str">
        <f t="shared" si="34"/>
        <v>EC</v>
      </c>
      <c r="AH64" s="78" t="str">
        <f t="shared" si="35"/>
        <v>"%USERPROFILE%\Documents\GitHub\eaglep3\Utilities\RefineRTDCRunTimes.py" --tripid 152-26 --locoid 4053 --swversion DE.1.0.9.0 --startMP 204:232994 --initTime 2017-09-26T10:54:10 --startdatetime 2017-09-26T10:57:15 --delay 66 --endMP 204:149 --enddatetime 2017-09-26T11:34:00 --enforcementcount 0 &gt;&gt;c:\users\stu\Documents\GitHub\eaglep3-reporting\EC\2017-09-26-refined-times.txt</v>
      </c>
      <c r="AI64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{"issue":{"subject":"","project_id":79,"tracker_id":40,"status_id":1,"priority_id":2,"assigned_to_id":338,"start_date":"2017-09-26","description":"","custom_fields":[{"id":1,"name":"Subdivision","value":"EC"},{"id":4,"name":"Milepost","value":"0.0149"},{"id":17,"name":"Train ID","value":"152-26"},{"id":16,"name":"Locomotive ID","value":"4053"},{"id":130,"name":"Impact","value":""},{"id":150,"name":"Time of Event (Mountain Time)","value":"11:34:00"},{"id":151,"name":"Denver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37"/>
        <v>start /low /b %USERPROFILE%\Documents\GitHub\eaglep3\Utilities\DownloadLogsFromS3.py --loco 4053 --day 2017-09-26</v>
      </c>
      <c r="AN64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7" t="str">
        <f t="shared" si="39"/>
        <v>https://d0f6bd738d7f1b3e5a7ca70fe4ff75f0.us-east-1.aws.found.io/app/kibana#/discover/Steve-Slow-Train-Analysis-(2080s-and-2083s)?_g=(refreshInterval:(display:Off,pause:!f,section:0,value:0),time:(from:'2017-09-26T09:54:10-0600',mode:absolute,to:'2017-09-26T12:34:00-0600'))&amp;_a=(columns:!('Message%20ID',Summary),filters:!(),index:'emp_*',interval:auto,query:(query_string:(analyze_wildcard:!t,query:'%22rtdc.l.rtdc.4053%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719</v>
      </c>
      <c r="B65" s="7">
        <v>4056</v>
      </c>
      <c r="C65" s="21" t="s">
        <v>196</v>
      </c>
      <c r="D65" s="21" t="s">
        <v>386</v>
      </c>
      <c r="E65" s="13">
        <v>43004.422662037039</v>
      </c>
      <c r="F65" s="13">
        <v>43004.427395833336</v>
      </c>
      <c r="G65" s="7">
        <v>70</v>
      </c>
      <c r="H65" s="21" t="s">
        <v>874</v>
      </c>
      <c r="I65" s="13">
        <v>43004.453055555554</v>
      </c>
      <c r="J65" s="7">
        <v>0</v>
      </c>
      <c r="K65" s="89" t="str">
        <f t="shared" si="0"/>
        <v>4055/4056</v>
      </c>
      <c r="L65" s="184" t="str">
        <f>VLOOKUP(A65,'[1]Trips&amp;Operators'!$C$1:$G$99911,5,FALSE)</f>
        <v>YANG JAN</v>
      </c>
      <c r="M65" s="6">
        <f t="shared" si="1"/>
        <v>2.565972221782431E-2</v>
      </c>
      <c r="N65" s="7">
        <f t="shared" si="2"/>
        <v>36.949999993667006</v>
      </c>
      <c r="O65" s="7"/>
      <c r="P65" s="7"/>
      <c r="Q65" s="22"/>
      <c r="R65" s="173"/>
      <c r="S65" s="220">
        <f t="shared" si="3"/>
        <v>1</v>
      </c>
      <c r="T65" s="173" t="str">
        <f t="shared" si="4"/>
        <v>NorthBound</v>
      </c>
      <c r="U65" s="197">
        <f>IF(AG65="EC",COUNTIFS([1]Variables!$M$2:$M$19,IF(T65="NorthBound","&gt;=","&lt;=")&amp;Y65,[1]Variables!$M$2:$M$19,IF(T65="NorthBound","&lt;=","&gt;=")&amp;Z65),COUNTIFS([1]Variables!$P$2:$P$19,IF(T65="NorthBound","&gt;=","&lt;=")&amp;Y65,[1]Variables!$P$2:$P$19,IF(T65="NorthBound","&lt;=","&gt;=")&amp;Z65))</f>
        <v>12</v>
      </c>
      <c r="V65" s="215" t="str">
        <f t="shared" si="31"/>
        <v>https://d0f6bd738d7f1b3e5a7ca70fe4ff75f0.us-east-1.aws.found.io/app/kibana#/discover/Steve-Slow-Train-Analysis-(2080s-and-2083s)?_g=(refreshInterval:(display:Off,pause:!f,section:0,value:0),time:(from:'2017-09-26T09:08:38-0600',mode:absolute,to:'2017-09-26T11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03" t="str">
        <f>IF(AA65&lt;VLOOKUP(AG65,[1]Variables!$AC$3:$AD$8,2,FALSE),"Y","N")</f>
        <v>N</v>
      </c>
      <c r="X65" s="203">
        <f t="shared" si="6"/>
        <v>1</v>
      </c>
      <c r="Y65" s="203">
        <f t="shared" si="45"/>
        <v>4.6199999999999998E-2</v>
      </c>
      <c r="Z65" s="203">
        <f t="shared" si="46"/>
        <v>23.331700000000001</v>
      </c>
      <c r="AA65" s="203">
        <f t="shared" si="9"/>
        <v>23.285500000000003</v>
      </c>
      <c r="AB65" s="54" t="e">
        <f>VLOOKUP(A65,[1]Enforcements!$C$7:$K$11,8,0)</f>
        <v>#N/A</v>
      </c>
      <c r="AC65" s="51" t="e">
        <f>VLOOKUP(A65,[1]Enforcements!$C$7:$E$11,3,0)</f>
        <v>#N/A</v>
      </c>
      <c r="AD65" s="178">
        <f t="shared" si="10"/>
        <v>153</v>
      </c>
      <c r="AE65" s="77" t="str">
        <f t="shared" si="32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65" s="74" t="str">
        <f t="shared" si="33"/>
        <v>"C:\Program Files (x86)\AstroGrep\AstroGrep.exe" /e /r /s /spath="%USERPROFILE%\AppData\Local\Temp\OnboardLogs" /stypes="app*4056*20170926*" /stext=" 16:.+((SYSTEM_STATE.+slice.+state.+changed )|(ment ac)|(multiple cpu faults)|(system.+state.+changed )|(\[timeout)|(PRM\|1\|D)|(kpr)|(kdp)|(train st.+moving)|(\|lc)|(penalty))"</v>
      </c>
      <c r="AG65" s="181" t="str">
        <f t="shared" si="34"/>
        <v>EC</v>
      </c>
      <c r="AH65" s="78" t="str">
        <f t="shared" si="35"/>
        <v>"%USERPROFILE%\Documents\GitHub\eaglep3\Utilities\RefineRTDCRunTimes.py" --tripid 153-26 --locoid 4056 --swversion DE.1.0.9.0 --startMP 204:462 --initTime 2017-09-26T10:08:38 --startdatetime 2017-09-26T10:15:27 --delay 70 --endMP 204:233317 --enddatetime 2017-09-26T10:52:24 --enforcementcount 0 &gt;&gt;c:\users\stu\Documents\GitHub\eaglep3-reporting\EC\2017-09-26-refined-times.txt</v>
      </c>
      <c r="AI65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{"issue":{"subject":"","project_id":79,"tracker_id":40,"status_id":1,"priority_id":2,"assigned_to_id":338,"start_date":"2017-09-26","description":"","custom_fields":[{"id":1,"name":"Subdivision","value":"EC"},{"id":4,"name":"Milepost","value":"23.3317"},{"id":17,"name":"Train ID","value":"153-26"},{"id":16,"name":"Locomotive ID","value":"4056"},{"id":130,"name":"Impact","value":""},{"id":150,"name":"Time of Event (Mountain Time)","value":"10:52:24"},{"id":151,"name":"Denver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37"/>
        <v>start /low /b %USERPROFILE%\Documents\GitHub\eaglep3\Utilities\DownloadLogsFromS3.py --loco 4056 --day 2017-09-26</v>
      </c>
      <c r="AN65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7" t="str">
        <f t="shared" si="39"/>
        <v>https://d0f6bd738d7f1b3e5a7ca70fe4ff75f0.us-east-1.aws.found.io/app/kibana#/discover/Steve-Slow-Train-Analysis-(2080s-and-2083s)?_g=(refreshInterval:(display:Off,pause:!f,section:0,value:0),time:(from:'2017-09-26T09:08:38-0600',mode:absolute,to:'2017-09-26T11:52:24-0600'))&amp;_a=(columns:!('Message%20ID',Summary),filters:!(),index:'emp_*',interval:auto,query:(query_string:(analyze_wildcard:!t,query:'%22rtdc.l.rtdc.4056%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4055</v>
      </c>
      <c r="C66" s="21" t="s">
        <v>196</v>
      </c>
      <c r="D66" s="21" t="s">
        <v>567</v>
      </c>
      <c r="E66" s="13">
        <v>43004.460520833331</v>
      </c>
      <c r="F66" s="13">
        <v>43004.467152777775</v>
      </c>
      <c r="G66" s="7">
        <v>75</v>
      </c>
      <c r="H66" s="21" t="s">
        <v>373</v>
      </c>
      <c r="I66" s="13">
        <v>43004.49287037037</v>
      </c>
      <c r="J66" s="7">
        <v>0</v>
      </c>
      <c r="K66" s="89" t="str">
        <f t="shared" si="0"/>
        <v>4055/4056</v>
      </c>
      <c r="L66" s="184" t="str">
        <f>VLOOKUP(A66,'[1]Trips&amp;Operators'!$C$1:$G$99911,5,FALSE)</f>
        <v>YANG JAN</v>
      </c>
      <c r="M66" s="6">
        <f t="shared" si="1"/>
        <v>2.5717592594446614E-2</v>
      </c>
      <c r="N66" s="7">
        <f t="shared" si="2"/>
        <v>37.033333336003125</v>
      </c>
      <c r="O66" s="7"/>
      <c r="P66" s="7"/>
      <c r="Q66" s="22"/>
      <c r="R66" s="173"/>
      <c r="S66" s="220">
        <f t="shared" si="3"/>
        <v>1</v>
      </c>
      <c r="T66" s="173" t="str">
        <f t="shared" si="4"/>
        <v>Southbound</v>
      </c>
      <c r="U66" s="197">
        <f>IF(AG66="EC",COUNTIFS([1]Variables!$M$2:$M$19,IF(T66="NorthBound","&gt;=","&lt;=")&amp;Y66,[1]Variables!$M$2:$M$19,IF(T66="NorthBound","&lt;=","&gt;=")&amp;Z66),COUNTIFS([1]Variables!$P$2:$P$19,IF(T66="NorthBound","&gt;=","&lt;=")&amp;Y66,[1]Variables!$P$2:$P$19,IF(T66="NorthBound","&lt;=","&gt;=")&amp;Z66))</f>
        <v>12</v>
      </c>
      <c r="V66" s="215" t="str">
        <f t="shared" si="31"/>
        <v>https://d0f6bd738d7f1b3e5a7ca70fe4ff75f0.us-east-1.aws.found.io/app/kibana#/discover/Steve-Slow-Train-Analysis-(2080s-and-2083s)?_g=(refreshInterval:(display:Off,pause:!f,section:0,value:0),time:(from:'2017-09-26T10:03:09-0600',mode:absolute,to:'2017-09-26T12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03" t="str">
        <f>IF(AA66&lt;VLOOKUP(AG66,[1]Variables!$AC$3:$AD$8,2,FALSE),"Y","N")</f>
        <v>N</v>
      </c>
      <c r="X66" s="203">
        <f t="shared" si="6"/>
        <v>1</v>
      </c>
      <c r="Y66" s="203">
        <f t="shared" si="45"/>
        <v>23.300599999999999</v>
      </c>
      <c r="Z66" s="203">
        <f t="shared" si="46"/>
        <v>1.6E-2</v>
      </c>
      <c r="AA66" s="203">
        <f t="shared" si="9"/>
        <v>23.284600000000001</v>
      </c>
      <c r="AB66" s="54" t="e">
        <f>VLOOKUP(A66,[1]Enforcements!$C$7:$K$11,8,0)</f>
        <v>#N/A</v>
      </c>
      <c r="AC66" s="51" t="e">
        <f>VLOOKUP(A66,[1]Enforcements!$C$7:$E$11,3,0)</f>
        <v>#N/A</v>
      </c>
      <c r="AD66" s="178">
        <f t="shared" si="10"/>
        <v>154</v>
      </c>
      <c r="AE66" s="77" t="str">
        <f t="shared" si="32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66" s="74" t="str">
        <f t="shared" si="33"/>
        <v>"C:\Program Files (x86)\AstroGrep\AstroGrep.exe" /e /r /s /spath="%USERPROFILE%\AppData\Local\Temp\OnboardLogs" /stypes="app*4055*20170926*" /stext=" 17:.+((SYSTEM_STATE.+slice.+state.+changed )|(ment ac)|(multiple cpu faults)|(system.+state.+changed )|(\[timeout)|(PRM\|1\|D)|(kpr)|(kdp)|(train st.+moving)|(\|lc)|(penalty))"</v>
      </c>
      <c r="AG66" s="181" t="str">
        <f t="shared" si="34"/>
        <v>EC</v>
      </c>
      <c r="AH66" s="78" t="str">
        <f t="shared" si="35"/>
        <v>"%USERPROFILE%\Documents\GitHub\eaglep3\Utilities\RefineRTDCRunTimes.py" --tripid 154-26 --locoid 4055 --swversion DE.1.0.9.0 --startMP 204:233006 --initTime 2017-09-26T11:03:09 --startdatetime 2017-09-26T11:12:42 --delay 75 --endMP 204:160 --enddatetime 2017-09-26T11:49:44 --enforcementcount 0 &gt;&gt;c:\users\stu\Documents\GitHub\eaglep3-reporting\EC\2017-09-26-refined-times.txt</v>
      </c>
      <c r="AI66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{"issue":{"subject":"","project_id":79,"tracker_id":40,"status_id":1,"priority_id":2,"assigned_to_id":338,"start_date":"2017-09-26","description":"","custom_fields":[{"id":1,"name":"Subdivision","value":"EC"},{"id":4,"name":"Milepost","value":"0.016"},{"id":17,"name":"Train ID","value":"154-26"},{"id":16,"name":"Locomotive ID","value":"4055"},{"id":130,"name":"Impact","value":""},{"id":150,"name":"Time of Event (Mountain Time)","value":"11:49:44"},{"id":151,"name":"Denver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37"/>
        <v>start /low /b %USERPROFILE%\Documents\GitHub\eaglep3\Utilities\DownloadLogsFromS3.py --loco 4055 --day 2017-09-26</v>
      </c>
      <c r="AN66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7" t="str">
        <f t="shared" si="39"/>
        <v>https://d0f6bd738d7f1b3e5a7ca70fe4ff75f0.us-east-1.aws.found.io/app/kibana#/discover/Steve-Slow-Train-Analysis-(2080s-and-2083s)?_g=(refreshInterval:(display:Off,pause:!f,section:0,value:0),time:(from:'2017-09-26T10:03:09-0600',mode:absolute,to:'2017-09-26T12:49:44-0600'))&amp;_a=(columns:!('Message%20ID',Summary),filters:!(),index:'emp_*',interval:auto,query:(query_string:(analyze_wildcard:!t,query:'%22rtdc.l.rtdc.4055%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721</v>
      </c>
      <c r="B67" s="7">
        <v>4062</v>
      </c>
      <c r="C67" s="21" t="s">
        <v>196</v>
      </c>
      <c r="D67" s="21" t="s">
        <v>340</v>
      </c>
      <c r="E67" s="13">
        <v>43004.433518518519</v>
      </c>
      <c r="F67" s="13">
        <v>43004.437662037039</v>
      </c>
      <c r="G67" s="7">
        <v>70</v>
      </c>
      <c r="H67" s="21" t="s">
        <v>875</v>
      </c>
      <c r="I67" s="13">
        <v>43004.462268518517</v>
      </c>
      <c r="J67" s="7">
        <v>0</v>
      </c>
      <c r="K67" s="89" t="str">
        <f t="shared" si="0"/>
        <v>4061/4062</v>
      </c>
      <c r="L67" s="184" t="str">
        <f>VLOOKUP(A67,'[1]Trips&amp;Operators'!$C$1:$G$99911,5,FALSE)</f>
        <v>ROMERO CHAD</v>
      </c>
      <c r="M67" s="6">
        <f t="shared" si="1"/>
        <v>2.4606481478258502E-2</v>
      </c>
      <c r="N67" s="7">
        <f t="shared" si="2"/>
        <v>35.433333328692243</v>
      </c>
      <c r="O67" s="7"/>
      <c r="P67" s="7"/>
      <c r="Q67" s="22"/>
      <c r="R67" s="173"/>
      <c r="S67" s="220">
        <f t="shared" si="3"/>
        <v>1</v>
      </c>
      <c r="T67" s="173" t="str">
        <f t="shared" si="4"/>
        <v>NorthBound</v>
      </c>
      <c r="U67" s="197">
        <f>IF(AG67="EC",COUNTIFS([1]Variables!$M$2:$M$19,IF(T67="NorthBound","&gt;=","&lt;=")&amp;Y67,[1]Variables!$M$2:$M$19,IF(T67="NorthBound","&lt;=","&gt;=")&amp;Z67),COUNTIFS([1]Variables!$P$2:$P$19,IF(T67="NorthBound","&gt;=","&lt;=")&amp;Y67,[1]Variables!$P$2:$P$19,IF(T67="NorthBound","&lt;=","&gt;=")&amp;Z67))</f>
        <v>12</v>
      </c>
      <c r="V67" s="215" t="str">
        <f t="shared" si="31"/>
        <v>https://d0f6bd738d7f1b3e5a7ca70fe4ff75f0.us-east-1.aws.found.io/app/kibana#/discover/Steve-Slow-Train-Analysis-(2080s-and-2083s)?_g=(refreshInterval:(display:Off,pause:!f,section:0,value:0),time:(from:'2017-09-26T09:24:16-0600',mode:absolute,to:'2017-09-26T12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7" s="203" t="str">
        <f>IF(AA67&lt;VLOOKUP(AG67,[1]Variables!$AC$3:$AD$8,2,FALSE),"Y","N")</f>
        <v>N</v>
      </c>
      <c r="X67" s="203">
        <f t="shared" si="6"/>
        <v>1</v>
      </c>
      <c r="Y67" s="203">
        <f t="shared" si="45"/>
        <v>4.53E-2</v>
      </c>
      <c r="Z67" s="203">
        <f t="shared" si="46"/>
        <v>23.337800000000001</v>
      </c>
      <c r="AA67" s="203">
        <f t="shared" si="9"/>
        <v>23.2925</v>
      </c>
      <c r="AB67" s="54" t="e">
        <f>VLOOKUP(A67,[1]Enforcements!$C$7:$K$11,8,0)</f>
        <v>#N/A</v>
      </c>
      <c r="AC67" s="51" t="e">
        <f>VLOOKUP(A67,[1]Enforcements!$C$7:$E$11,3,0)</f>
        <v>#N/A</v>
      </c>
      <c r="AD67" s="178">
        <f t="shared" si="10"/>
        <v>155</v>
      </c>
      <c r="AE67" s="77" t="str">
        <f t="shared" si="32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67" s="74" t="str">
        <f t="shared" si="33"/>
        <v>"C:\Program Files (x86)\AstroGrep\AstroGrep.exe" /e /r /s /spath="%USERPROFILE%\AppData\Local\Temp\OnboardLogs" /stypes="app*4062*20170926*" /stext=" 17:.+((SYSTEM_STATE.+slice.+state.+changed )|(ment ac)|(multiple cpu faults)|(system.+state.+changed )|(\[timeout)|(PRM\|1\|D)|(kpr)|(kdp)|(train st.+moving)|(\|lc)|(penalty))"</v>
      </c>
      <c r="AG67" s="181" t="str">
        <f t="shared" si="34"/>
        <v>EC</v>
      </c>
      <c r="AH67" s="78" t="str">
        <f t="shared" si="35"/>
        <v>"%USERPROFILE%\Documents\GitHub\eaglep3\Utilities\RefineRTDCRunTimes.py" --tripid 155-26 --locoid 4062 --swversion DE.1.0.9.0 --startMP 204:453 --initTime 2017-09-26T10:24:16 --startdatetime 2017-09-26T10:30:14 --delay 70 --endMP 204:233378 --enddatetime 2017-09-26T11:05:40 --enforcementcount 0 &gt;&gt;c:\users\stu\Documents\GitHub\eaglep3-reporting\EC\2017-09-26-refined-times.txt</v>
      </c>
      <c r="AI67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{"issue":{"subject":"","project_id":79,"tracker_id":40,"status_id":1,"priority_id":2,"assigned_to_id":338,"start_date":"2017-09-26","description":"","custom_fields":[{"id":1,"name":"Subdivision","value":"EC"},{"id":4,"name":"Milepost","value":"23.3378"},{"id":17,"name":"Train ID","value":"155-26"},{"id":16,"name":"Locomotive ID","value":"4062"},{"id":130,"name":"Impact","value":""},{"id":150,"name":"Time of Event (Mountain Time)","value":"11:05:40"},{"id":151,"name":"Denver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37"/>
        <v>start /low /b %USERPROFILE%\Documents\GitHub\eaglep3\Utilities\DownloadLogsFromS3.py --loco 4062 --day 2017-09-26</v>
      </c>
      <c r="AN67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7" t="str">
        <f t="shared" si="39"/>
        <v>https://d0f6bd738d7f1b3e5a7ca70fe4ff75f0.us-east-1.aws.found.io/app/kibana#/discover/Steve-Slow-Train-Analysis-(2080s-and-2083s)?_g=(refreshInterval:(display:Off,pause:!f,section:0,value:0),time:(from:'2017-09-26T09:24:16-0600',mode:absolute,to:'2017-09-26T12:05:40-0600'))&amp;_a=(columns:!('Message%20ID',Summary),filters:!(),index:'emp_*',interval:auto,query:(query_string:(analyze_wildcard:!t,query:'%22rtdc.l.rtdc.4062%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728</v>
      </c>
      <c r="B68" s="7">
        <v>4061</v>
      </c>
      <c r="C68" s="21" t="s">
        <v>196</v>
      </c>
      <c r="D68" s="21" t="s">
        <v>876</v>
      </c>
      <c r="E68" s="13">
        <v>43004.463356481479</v>
      </c>
      <c r="F68" s="13">
        <v>43004.477326388886</v>
      </c>
      <c r="G68" s="7">
        <v>79</v>
      </c>
      <c r="H68" s="21" t="s">
        <v>363</v>
      </c>
      <c r="I68" s="13">
        <v>43004.501932870371</v>
      </c>
      <c r="J68" s="7">
        <v>0</v>
      </c>
      <c r="K68" s="89" t="str">
        <f t="shared" si="0"/>
        <v>4061/4062</v>
      </c>
      <c r="L68" s="184" t="str">
        <f>VLOOKUP(A68,'[1]Trips&amp;Operators'!$C$1:$G$99911,5,FALSE)</f>
        <v>ROMERO CHAD</v>
      </c>
      <c r="M68" s="6">
        <f t="shared" si="1"/>
        <v>2.4606481485534459E-2</v>
      </c>
      <c r="N68" s="7">
        <f t="shared" si="2"/>
        <v>35.433333339169621</v>
      </c>
      <c r="O68" s="7"/>
      <c r="P68" s="7"/>
      <c r="Q68" s="22"/>
      <c r="R68" s="173"/>
      <c r="S68" s="220">
        <f t="shared" si="3"/>
        <v>1</v>
      </c>
      <c r="T68" s="173" t="str">
        <f t="shared" si="4"/>
        <v>Southbound</v>
      </c>
      <c r="U68" s="197">
        <f>IF(AG68="EC",COUNTIFS([1]Variables!$M$2:$M$19,IF(T68="NorthBound","&gt;=","&lt;=")&amp;Y68,[1]Variables!$M$2:$M$19,IF(T68="NorthBound","&lt;=","&gt;=")&amp;Z68),COUNTIFS([1]Variables!$P$2:$P$19,IF(T68="NorthBound","&gt;=","&lt;=")&amp;Y68,[1]Variables!$P$2:$P$19,IF(T68="NorthBound","&lt;=","&gt;=")&amp;Z68))</f>
        <v>12</v>
      </c>
      <c r="V68" s="215" t="str">
        <f t="shared" si="31"/>
        <v>https://d0f6bd738d7f1b3e5a7ca70fe4ff75f0.us-east-1.aws.found.io/app/kibana#/discover/Steve-Slow-Train-Analysis-(2080s-and-2083s)?_g=(refreshInterval:(display:Off,pause:!f,section:0,value:0),time:(from:'2017-09-26T10:07:14-0600',mode:absolute,to:'2017-09-26T13:02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8" s="203" t="str">
        <f>IF(AA68&lt;VLOOKUP(AG68,[1]Variables!$AC$3:$AD$8,2,FALSE),"Y","N")</f>
        <v>N</v>
      </c>
      <c r="X68" s="203">
        <f t="shared" si="6"/>
        <v>1</v>
      </c>
      <c r="Y68" s="203">
        <f t="shared" si="45"/>
        <v>23.303999999999998</v>
      </c>
      <c r="Z68" s="203">
        <f t="shared" si="46"/>
        <v>1.38E-2</v>
      </c>
      <c r="AA68" s="203">
        <f t="shared" si="9"/>
        <v>23.290199999999999</v>
      </c>
      <c r="AB68" s="54" t="e">
        <f>VLOOKUP(A68,[1]Enforcements!$C$7:$K$11,8,0)</f>
        <v>#N/A</v>
      </c>
      <c r="AC68" s="51" t="e">
        <f>VLOOKUP(A68,[1]Enforcements!$C$7:$E$11,3,0)</f>
        <v>#N/A</v>
      </c>
      <c r="AD68" s="178">
        <f t="shared" si="10"/>
        <v>156</v>
      </c>
      <c r="AE68" s="77" t="str">
        <f t="shared" si="32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68" s="74" t="str">
        <f t="shared" si="33"/>
        <v>"C:\Program Files (x86)\AstroGrep\AstroGrep.exe" /e /r /s /spath="%USERPROFILE%\AppData\Local\Temp\OnboardLogs" /stypes="app*4061*20170926*" /stext=" 18:.+((SYSTEM_STATE.+slice.+state.+changed )|(ment ac)|(multiple cpu faults)|(system.+state.+changed )|(\[timeout)|(PRM\|1\|D)|(kpr)|(kdp)|(train st.+moving)|(\|lc)|(penalty))"</v>
      </c>
      <c r="AG68" s="181" t="str">
        <f t="shared" si="34"/>
        <v>EC</v>
      </c>
      <c r="AH68" s="78" t="str">
        <f t="shared" si="35"/>
        <v>"%USERPROFILE%\Documents\GitHub\eaglep3\Utilities\RefineRTDCRunTimes.py" --tripid 156-26 --locoid 4061 --swversion DE.1.0.9.0 --startMP 204:233040 --initTime 2017-09-26T11:07:14 --startdatetime 2017-09-26T11:27:21 --delay 79 --endMP 204:138 --enddatetime 2017-09-26T12:02:47 --enforcementcount 0 &gt;&gt;c:\users\stu\Documents\GitHub\eaglep3-reporting\EC\2017-09-26-refined-times.txt</v>
      </c>
      <c r="AI68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{"issue":{"subject":"","project_id":79,"tracker_id":40,"status_id":1,"priority_id":2,"assigned_to_id":338,"start_date":"2017-09-26","description":"","custom_fields":[{"id":1,"name":"Subdivision","value":"EC"},{"id":4,"name":"Milepost","value":"0.0138"},{"id":17,"name":"Train ID","value":"156-26"},{"id":16,"name":"Locomotive ID","value":"4061"},{"id":130,"name":"Impact","value":""},{"id":150,"name":"Time of Event (Mountain Time)","value":"12:02:47"},{"id":151,"name":"Denver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37"/>
        <v>start /low /b %USERPROFILE%\Documents\GitHub\eaglep3\Utilities\DownloadLogsFromS3.py --loco 4061 --day 2017-09-26</v>
      </c>
      <c r="AN68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18:02:47"},{"id":29,"name":"Sharepoint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7" t="str">
        <f t="shared" si="39"/>
        <v>https://d0f6bd738d7f1b3e5a7ca70fe4ff75f0.us-east-1.aws.found.io/app/kibana#/discover/Steve-Slow-Train-Analysis-(2080s-and-2083s)?_g=(refreshInterval:(display:Off,pause:!f,section:0,value:0),time:(from:'2017-09-26T10:07:14-0600',mode:absolute,to:'2017-09-26T13:02:47-0600'))&amp;_a=(columns:!('Message%20ID',Summary),filters:!(),index:'emp_*',interval:auto,query:(query_string:(analyze_wildcard:!t,query:'%22rtdc.l.rtdc.4061%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723</v>
      </c>
      <c r="B69" s="7">
        <v>4026</v>
      </c>
      <c r="C69" s="21" t="s">
        <v>196</v>
      </c>
      <c r="D69" s="21" t="s">
        <v>388</v>
      </c>
      <c r="E69" s="13">
        <v>43004.445613425924</v>
      </c>
      <c r="F69" s="13">
        <v>43004.448518518519</v>
      </c>
      <c r="G69" s="7">
        <v>124</v>
      </c>
      <c r="H69" s="21" t="s">
        <v>877</v>
      </c>
      <c r="I69" s="13">
        <v>43004.473773148151</v>
      </c>
      <c r="J69" s="7">
        <v>0</v>
      </c>
      <c r="K69" s="89" t="str">
        <f t="shared" si="0"/>
        <v>4025/4026</v>
      </c>
      <c r="L69" s="184" t="str">
        <f>VLOOKUP(A69,'[1]Trips&amp;Operators'!$C$1:$G$99911,5,FALSE)</f>
        <v>DAVIS MICHAEL</v>
      </c>
      <c r="M69" s="6">
        <f t="shared" si="1"/>
        <v>2.5254629632399883E-2</v>
      </c>
      <c r="N69" s="7">
        <f t="shared" si="2"/>
        <v>36.366666670655832</v>
      </c>
      <c r="O69" s="7"/>
      <c r="P69" s="7"/>
      <c r="Q69" s="22"/>
      <c r="R69" s="173"/>
      <c r="S69" s="220">
        <f t="shared" si="3"/>
        <v>1</v>
      </c>
      <c r="T69" s="173" t="str">
        <f t="shared" si="4"/>
        <v>NorthBound</v>
      </c>
      <c r="U69" s="197">
        <f>IF(AG69="EC",COUNTIFS([1]Variables!$M$2:$M$19,IF(T69="NorthBound","&gt;=","&lt;=")&amp;Y69,[1]Variables!$M$2:$M$19,IF(T69="NorthBound","&lt;=","&gt;=")&amp;Z69),COUNTIFS([1]Variables!$P$2:$P$19,IF(T69="NorthBound","&gt;=","&lt;=")&amp;Y69,[1]Variables!$P$2:$P$19,IF(T69="NorthBound","&lt;=","&gt;=")&amp;Z69))</f>
        <v>12</v>
      </c>
      <c r="V69" s="215" t="str">
        <f t="shared" si="31"/>
        <v>https://d0f6bd738d7f1b3e5a7ca70fe4ff75f0.us-east-1.aws.found.io/app/kibana#/discover/Steve-Slow-Train-Analysis-(2080s-and-2083s)?_g=(refreshInterval:(display:Off,pause:!f,section:0,value:0),time:(from:'2017-09-26T09:41:41-0600',mode:absolute,to:'2017-09-26T12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203" t="str">
        <f>IF(AA69&lt;VLOOKUP(AG69,[1]Variables!$AC$3:$AD$8,2,FALSE),"Y","N")</f>
        <v>N</v>
      </c>
      <c r="X69" s="203">
        <f t="shared" si="6"/>
        <v>1</v>
      </c>
      <c r="Y69" s="203">
        <f t="shared" si="45"/>
        <v>4.5100000000000001E-2</v>
      </c>
      <c r="Z69" s="203">
        <f t="shared" si="46"/>
        <v>23.332699999999999</v>
      </c>
      <c r="AA69" s="203">
        <f t="shared" si="9"/>
        <v>23.287599999999998</v>
      </c>
      <c r="AB69" s="54" t="e">
        <f>VLOOKUP(A69,[1]Enforcements!$C$7:$K$11,8,0)</f>
        <v>#N/A</v>
      </c>
      <c r="AC69" s="51" t="e">
        <f>VLOOKUP(A69,[1]Enforcements!$C$7:$E$11,3,0)</f>
        <v>#N/A</v>
      </c>
      <c r="AD69" s="178">
        <f t="shared" si="10"/>
        <v>157</v>
      </c>
      <c r="AE69" s="77" t="str">
        <f t="shared" si="32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69" s="74" t="str">
        <f t="shared" si="33"/>
        <v>"C:\Program Files (x86)\AstroGrep\AstroGrep.exe" /e /r /s /spath="%USERPROFILE%\AppData\Local\Temp\OnboardLogs" /stypes="app*4026*20170926*" /stext=" 17:.+((SYSTEM_STATE.+slice.+state.+changed )|(ment ac)|(multiple cpu faults)|(system.+state.+changed )|(\[timeout)|(PRM\|1\|D)|(kpr)|(kdp)|(train st.+moving)|(\|lc)|(penalty))"</v>
      </c>
      <c r="AG69" s="181" t="str">
        <f t="shared" si="34"/>
        <v>EC</v>
      </c>
      <c r="AH69" s="78" t="str">
        <f t="shared" si="35"/>
        <v>"%USERPROFILE%\Documents\GitHub\eaglep3\Utilities\RefineRTDCRunTimes.py" --tripid 157-26 --locoid 4026 --swversion DE.1.0.9.0 --startMP 204:451 --initTime 2017-09-26T10:41:41 --startdatetime 2017-09-26T10:45:52 --delay 124 --endMP 204:233327 --enddatetime 2017-09-26T11:22:14 --enforcementcount 0 &gt;&gt;c:\users\stu\Documents\GitHub\eaglep3-reporting\EC\2017-09-26-refined-times.txt</v>
      </c>
      <c r="AI69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{"issue":{"subject":"","project_id":79,"tracker_id":40,"status_id":1,"priority_id":2,"assigned_to_id":338,"start_date":"2017-09-26","description":"","custom_fields":[{"id":1,"name":"Subdivision","value":"EC"},{"id":4,"name":"Milepost","value":"23.3327"},{"id":17,"name":"Train ID","value":"157-26"},{"id":16,"name":"Locomotive ID","value":"4026"},{"id":130,"name":"Impact","value":""},{"id":150,"name":"Time of Event (Mountain Time)","value":"11:22:14"},{"id":151,"name":"Denver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37"/>
        <v>start /low /b %USERPROFILE%\Documents\GitHub\eaglep3\Utilities\DownloadLogsFromS3.py --loco 4026 --day 2017-09-26</v>
      </c>
      <c r="AN69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7" t="str">
        <f t="shared" si="39"/>
        <v>https://d0f6bd738d7f1b3e5a7ca70fe4ff75f0.us-east-1.aws.found.io/app/kibana#/discover/Steve-Slow-Train-Analysis-(2080s-and-2083s)?_g=(refreshInterval:(display:Off,pause:!f,section:0,value:0),time:(from:'2017-09-26T09:41:41-0600',mode:absolute,to:'2017-09-26T12:22:14-0600'))&amp;_a=(columns:!('Message%20ID',Summary),filters:!(),index:'emp_*',interval:auto,query:(query_string:(analyze_wildcard:!t,query:'%22rtdc.l.rtdc.4026%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734</v>
      </c>
      <c r="B70" s="7">
        <v>4025</v>
      </c>
      <c r="C70" s="21" t="s">
        <v>196</v>
      </c>
      <c r="D70" s="21" t="s">
        <v>867</v>
      </c>
      <c r="E70" s="13">
        <v>43004.484884259262</v>
      </c>
      <c r="F70" s="13">
        <v>43004.487916666665</v>
      </c>
      <c r="G70" s="7">
        <v>96</v>
      </c>
      <c r="H70" s="21" t="s">
        <v>395</v>
      </c>
      <c r="I70" s="13">
        <v>43004.515636574077</v>
      </c>
      <c r="J70" s="7">
        <v>0</v>
      </c>
      <c r="K70" s="89" t="str">
        <f t="shared" si="0"/>
        <v>4025/4026</v>
      </c>
      <c r="L70" s="184" t="str">
        <f>VLOOKUP(A70,'[1]Trips&amp;Operators'!$C$1:$G$99911,5,FALSE)</f>
        <v>DAVIS MICHAEL</v>
      </c>
      <c r="M70" s="6">
        <f t="shared" si="1"/>
        <v>2.771990741166519E-2</v>
      </c>
      <c r="N70" s="7">
        <f t="shared" si="2"/>
        <v>39.916666672797874</v>
      </c>
      <c r="O70" s="7"/>
      <c r="P70" s="7"/>
      <c r="Q70" s="22"/>
      <c r="R70" s="173"/>
      <c r="S70" s="220">
        <f t="shared" si="3"/>
        <v>1</v>
      </c>
      <c r="T70" s="173" t="str">
        <f t="shared" si="4"/>
        <v>Southbound</v>
      </c>
      <c r="U70" s="197">
        <f>IF(AG70="EC",COUNTIFS([1]Variables!$M$2:$M$19,IF(T70="NorthBound","&gt;=","&lt;=")&amp;Y70,[1]Variables!$M$2:$M$19,IF(T70="NorthBound","&lt;=","&gt;=")&amp;Z70),COUNTIFS([1]Variables!$P$2:$P$19,IF(T70="NorthBound","&gt;=","&lt;=")&amp;Y70,[1]Variables!$P$2:$P$19,IF(T70="NorthBound","&lt;=","&gt;=")&amp;Z70))</f>
        <v>12</v>
      </c>
      <c r="V70" s="215" t="str">
        <f t="shared" si="31"/>
        <v>https://d0f6bd738d7f1b3e5a7ca70fe4ff75f0.us-east-1.aws.found.io/app/kibana#/discover/Steve-Slow-Train-Analysis-(2080s-and-2083s)?_g=(refreshInterval:(display:Off,pause:!f,section:0,value:0),time:(from:'2017-09-26T10:38:14-0600',mode:absolute,to:'2017-09-26T13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203" t="str">
        <f>IF(AA70&lt;VLOOKUP(AG70,[1]Variables!$AC$3:$AD$8,2,FALSE),"Y","N")</f>
        <v>N</v>
      </c>
      <c r="X70" s="203">
        <f t="shared" si="6"/>
        <v>1</v>
      </c>
      <c r="Y70" s="203">
        <f t="shared" si="45"/>
        <v>23.304300000000001</v>
      </c>
      <c r="Z70" s="203">
        <f t="shared" si="46"/>
        <v>1.54E-2</v>
      </c>
      <c r="AA70" s="203">
        <f t="shared" si="9"/>
        <v>23.288900000000002</v>
      </c>
      <c r="AB70" s="54" t="e">
        <f>VLOOKUP(A70,[1]Enforcements!$C$7:$K$11,8,0)</f>
        <v>#N/A</v>
      </c>
      <c r="AC70" s="51" t="e">
        <f>VLOOKUP(A70,[1]Enforcements!$C$7:$E$11,3,0)</f>
        <v>#N/A</v>
      </c>
      <c r="AD70" s="178">
        <f t="shared" si="10"/>
        <v>158</v>
      </c>
      <c r="AE70" s="77" t="str">
        <f t="shared" si="32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70" s="74" t="str">
        <f t="shared" si="33"/>
        <v>"C:\Program Files (x86)\AstroGrep\AstroGrep.exe" /e /r /s /spath="%USERPROFILE%\AppData\Local\Temp\OnboardLogs" /stypes="app*4025*20170926*" /stext=" 18:.+((SYSTEM_STATE.+slice.+state.+changed )|(ment ac)|(multiple cpu faults)|(system.+state.+changed )|(\[timeout)|(PRM\|1\|D)|(kpr)|(kdp)|(train st.+moving)|(\|lc)|(penalty))"</v>
      </c>
      <c r="AG70" s="181" t="str">
        <f t="shared" si="34"/>
        <v>EC</v>
      </c>
      <c r="AH70" s="78" t="str">
        <f t="shared" si="35"/>
        <v>"%USERPROFILE%\Documents\GitHub\eaglep3\Utilities\RefineRTDCRunTimes.py" --tripid 158-26 --locoid 4025 --swversion DE.1.0.9.0 --startMP 204:233043 --initTime 2017-09-26T11:38:14 --startdatetime 2017-09-26T11:42:36 --delay 96 --endMP 204:154 --enddatetime 2017-09-26T12:22:31 --enforcementcount 0 &gt;&gt;c:\users\stu\Documents\GitHub\eaglep3-reporting\EC\2017-09-26-refined-times.txt</v>
      </c>
      <c r="AI70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ID","value":"158-26"},{"id":16,"name":"Locomotive ID","value":"4025"},{"id":130,"name":"Impact","value":""},{"id":150,"name":"Time of Event (Mountain Time)","value":"12:22:31"},{"id":151,"name":"Denver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37"/>
        <v>start /low /b %USERPROFILE%\Documents\GitHub\eaglep3\Utilities\DownloadLogsFromS3.py --loco 4025 --day 2017-09-26</v>
      </c>
      <c r="AN70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7" t="str">
        <f t="shared" si="39"/>
        <v>https://d0f6bd738d7f1b3e5a7ca70fe4ff75f0.us-east-1.aws.found.io/app/kibana#/discover/Steve-Slow-Train-Analysis-(2080s-and-2083s)?_g=(refreshInterval:(display:Off,pause:!f,section:0,value:0),time:(from:'2017-09-26T10:38:14-0600',mode:absolute,to:'2017-09-26T13:22:31-0600'))&amp;_a=(columns:!('Message%20ID',Summary),filters:!(),index:'emp_*',interval:auto,query:(query_string:(analyze_wildcard:!t,query:'%22rtdc.l.rtdc.4025%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724</v>
      </c>
      <c r="B71" s="7">
        <v>4046</v>
      </c>
      <c r="C71" s="21" t="s">
        <v>196</v>
      </c>
      <c r="D71" s="21" t="s">
        <v>388</v>
      </c>
      <c r="E71" s="13">
        <v>43004.453622685185</v>
      </c>
      <c r="F71" s="13">
        <v>43004.458518518521</v>
      </c>
      <c r="G71" s="7">
        <v>85</v>
      </c>
      <c r="H71" s="21" t="s">
        <v>400</v>
      </c>
      <c r="I71" s="13">
        <v>43004.483298611114</v>
      </c>
      <c r="J71" s="7">
        <v>0</v>
      </c>
      <c r="K71" s="89" t="str">
        <f t="shared" si="0"/>
        <v>4045/4046</v>
      </c>
      <c r="L71" s="184" t="str">
        <f>VLOOKUP(A71,'[1]Trips&amp;Operators'!$C$1:$G$99911,5,FALSE)</f>
        <v>MACDONALD THOMAS</v>
      </c>
      <c r="M71" s="6">
        <f t="shared" si="1"/>
        <v>2.4780092593573499E-2</v>
      </c>
      <c r="N71" s="7">
        <f t="shared" si="2"/>
        <v>35.683333334745839</v>
      </c>
      <c r="O71" s="7"/>
      <c r="P71" s="7"/>
      <c r="Q71" s="22"/>
      <c r="R71" s="173"/>
      <c r="S71" s="220">
        <f t="shared" si="3"/>
        <v>1</v>
      </c>
      <c r="T71" s="173" t="str">
        <f t="shared" si="4"/>
        <v>NorthBound</v>
      </c>
      <c r="U71" s="197">
        <f>IF(AG71="EC",COUNTIFS([1]Variables!$M$2:$M$19,IF(T71="NorthBound","&gt;=","&lt;=")&amp;Y71,[1]Variables!$M$2:$M$19,IF(T71="NorthBound","&lt;=","&gt;=")&amp;Z71),COUNTIFS([1]Variables!$P$2:$P$19,IF(T71="NorthBound","&gt;=","&lt;=")&amp;Y71,[1]Variables!$P$2:$P$19,IF(T71="NorthBound","&lt;=","&gt;=")&amp;Z71))</f>
        <v>12</v>
      </c>
      <c r="V71" s="215" t="str">
        <f t="shared" si="31"/>
        <v>https://d0f6bd738d7f1b3e5a7ca70fe4ff75f0.us-east-1.aws.found.io/app/kibana#/discover/Steve-Slow-Train-Analysis-(2080s-and-2083s)?_g=(refreshInterval:(display:Off,pause:!f,section:0,value:0),time:(from:'2017-09-26T09:53:13-0600',mode:absolute,to:'2017-09-26T12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203" t="str">
        <f>IF(AA71&lt;VLOOKUP(AG71,[1]Variables!$AC$3:$AD$8,2,FALSE),"Y","N")</f>
        <v>N</v>
      </c>
      <c r="X71" s="203">
        <f t="shared" si="6"/>
        <v>1</v>
      </c>
      <c r="Y71" s="203">
        <f t="shared" si="45"/>
        <v>4.5100000000000001E-2</v>
      </c>
      <c r="Z71" s="203">
        <f t="shared" si="46"/>
        <v>23.3293</v>
      </c>
      <c r="AA71" s="203">
        <f t="shared" si="9"/>
        <v>23.284199999999998</v>
      </c>
      <c r="AB71" s="54" t="e">
        <f>VLOOKUP(A71,[1]Enforcements!$C$7:$K$11,8,0)</f>
        <v>#N/A</v>
      </c>
      <c r="AC71" s="51" t="e">
        <f>VLOOKUP(A71,[1]Enforcements!$C$7:$E$11,3,0)</f>
        <v>#N/A</v>
      </c>
      <c r="AD71" s="178">
        <f t="shared" si="10"/>
        <v>159</v>
      </c>
      <c r="AE71" s="77" t="str">
        <f t="shared" si="32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71" s="74" t="str">
        <f t="shared" si="33"/>
        <v>"C:\Program Files (x86)\AstroGrep\AstroGrep.exe" /e /r /s /spath="%USERPROFILE%\AppData\Local\Temp\OnboardLogs" /stypes="app*4046*20170926*" /stext=" 17:.+((SYSTEM_STATE.+slice.+state.+changed )|(ment ac)|(multiple cpu faults)|(system.+state.+changed )|(\[timeout)|(PRM\|1\|D)|(kpr)|(kdp)|(train st.+moving)|(\|lc)|(penalty))"</v>
      </c>
      <c r="AG71" s="181" t="str">
        <f t="shared" si="34"/>
        <v>EC</v>
      </c>
      <c r="AH71" s="78" t="str">
        <f t="shared" si="35"/>
        <v>"%USERPROFILE%\Documents\GitHub\eaglep3\Utilities\RefineRTDCRunTimes.py" --tripid 159-26 --locoid 4046 --swversion DE.1.0.9.0 --startMP 204:451 --initTime 2017-09-26T10:53:13 --startdatetime 2017-09-26T11:00:16 --delay 85 --endMP 204:233293 --enddatetime 2017-09-26T11:35:57 --enforcementcount 0 &gt;&gt;c:\users\stu\Documents\GitHub\eaglep3-reporting\EC\2017-09-26-refined-times.txt</v>
      </c>
      <c r="AI71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{"issue":{"subject":"","project_id":79,"tracker_id":40,"status_id":1,"priority_id":2,"assigned_to_id":338,"start_date":"2017-09-26","description":"","custom_fields":[{"id":1,"name":"Subdivision","value":"EC"},{"id":4,"name":"Milepost","value":"23.3293"},{"id":17,"name":"Train ID","value":"159-26"},{"id":16,"name":"Locomotive ID","value":"4046"},{"id":130,"name":"Impact","value":""},{"id":150,"name":"Time of Event (Mountain Time)","value":"11:35:57"},{"id":151,"name":"Denver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37"/>
        <v>start /low /b %USERPROFILE%\Documents\GitHub\eaglep3\Utilities\DownloadLogsFromS3.py --loco 4046 --day 2017-09-26</v>
      </c>
      <c r="AN71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7" t="str">
        <f t="shared" si="39"/>
        <v>https://d0f6bd738d7f1b3e5a7ca70fe4ff75f0.us-east-1.aws.found.io/app/kibana#/discover/Steve-Slow-Train-Analysis-(2080s-and-2083s)?_g=(refreshInterval:(display:Off,pause:!f,section:0,value:0),time:(from:'2017-09-26T09:53:13-0600',mode:absolute,to:'2017-09-26T12:35:57-0600'))&amp;_a=(columns:!('Message%20ID',Summary),filters:!(),index:'emp_*',interval:auto,query:(query_string:(analyze_wildcard:!t,query:'%22rtdc.l.rtdc.4046%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736</v>
      </c>
      <c r="B72" s="7">
        <v>4045</v>
      </c>
      <c r="C72" s="21" t="s">
        <v>196</v>
      </c>
      <c r="D72" s="21" t="s">
        <v>878</v>
      </c>
      <c r="E72" s="13">
        <v>43004.496759259258</v>
      </c>
      <c r="F72" s="13">
        <v>43004.498402777775</v>
      </c>
      <c r="G72" s="7">
        <v>70</v>
      </c>
      <c r="H72" s="21" t="s">
        <v>879</v>
      </c>
      <c r="I72" s="13">
        <v>43004.525000000001</v>
      </c>
      <c r="J72" s="7">
        <v>0</v>
      </c>
      <c r="K72" s="89" t="str">
        <f t="shared" si="0"/>
        <v>4045/4046</v>
      </c>
      <c r="L72" s="184" t="str">
        <f>VLOOKUP(A72,'[1]Trips&amp;Operators'!$C$1:$G$99911,5,FALSE)</f>
        <v>MACDONALD THOMAS</v>
      </c>
      <c r="M72" s="6">
        <f t="shared" si="1"/>
        <v>2.6597222225973383E-2</v>
      </c>
      <c r="N72" s="7">
        <f t="shared" si="2"/>
        <v>38.300000005401671</v>
      </c>
      <c r="O72" s="7"/>
      <c r="P72" s="7"/>
      <c r="Q72" s="22"/>
      <c r="R72" s="173"/>
      <c r="S72" s="220">
        <f t="shared" si="3"/>
        <v>1</v>
      </c>
      <c r="T72" s="173" t="str">
        <f t="shared" si="4"/>
        <v>Southbound</v>
      </c>
      <c r="U72" s="197">
        <f>IF(AG72="EC",COUNTIFS([1]Variables!$M$2:$M$19,IF(T72="NorthBound","&gt;=","&lt;=")&amp;Y72,[1]Variables!$M$2:$M$19,IF(T72="NorthBound","&lt;=","&gt;=")&amp;Z72),COUNTIFS([1]Variables!$P$2:$P$19,IF(T72="NorthBound","&gt;=","&lt;=")&amp;Y72,[1]Variables!$P$2:$P$19,IF(T72="NorthBound","&lt;=","&gt;=")&amp;Z72))</f>
        <v>12</v>
      </c>
      <c r="V72" s="215" t="str">
        <f t="shared" si="31"/>
        <v>https://d0f6bd738d7f1b3e5a7ca70fe4ff75f0.us-east-1.aws.found.io/app/kibana#/discover/Steve-Slow-Train-Analysis-(2080s-and-2083s)?_g=(refreshInterval:(display:Off,pause:!f,section:0,value:0),time:(from:'2017-09-26T10:55:20-0600',mode:absolute,to:'2017-09-26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203" t="str">
        <f>IF(AA72&lt;VLOOKUP(AG72,[1]Variables!$AC$3:$AD$8,2,FALSE),"Y","N")</f>
        <v>N</v>
      </c>
      <c r="X72" s="203">
        <f t="shared" si="6"/>
        <v>1</v>
      </c>
      <c r="Y72" s="203">
        <f t="shared" si="45"/>
        <v>23.296500000000002</v>
      </c>
      <c r="Z72" s="203">
        <f t="shared" si="46"/>
        <v>1.7600000000000001E-2</v>
      </c>
      <c r="AA72" s="203">
        <f t="shared" si="9"/>
        <v>23.2789</v>
      </c>
      <c r="AB72" s="54" t="e">
        <f>VLOOKUP(A72,[1]Enforcements!$C$7:$K$11,8,0)</f>
        <v>#N/A</v>
      </c>
      <c r="AC72" s="51" t="e">
        <f>VLOOKUP(A72,[1]Enforcements!$C$7:$E$11,3,0)</f>
        <v>#N/A</v>
      </c>
      <c r="AD72" s="178">
        <f t="shared" si="10"/>
        <v>160</v>
      </c>
      <c r="AE72" s="77" t="str">
        <f t="shared" si="32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72" s="74" t="str">
        <f t="shared" si="33"/>
        <v>"C:\Program Files (x86)\AstroGrep\AstroGrep.exe" /e /r /s /spath="%USERPROFILE%\AppData\Local\Temp\OnboardLogs" /stypes="app*4045*20170926*" /stext=" 18:.+((SYSTEM_STATE.+slice.+state.+changed )|(ment ac)|(multiple cpu faults)|(system.+state.+changed )|(\[timeout)|(PRM\|1\|D)|(kpr)|(kdp)|(train st.+moving)|(\|lc)|(penalty))"</v>
      </c>
      <c r="AG72" s="181" t="str">
        <f t="shared" si="34"/>
        <v>EC</v>
      </c>
      <c r="AH72" s="78" t="str">
        <f t="shared" si="35"/>
        <v>"%USERPROFILE%\Documents\GitHub\eaglep3\Utilities\RefineRTDCRunTimes.py" --tripid 160-26 --locoid 4045 --swversion DE.1.0.9.0 --startMP 204:232965 --initTime 2017-09-26T11:55:20 --startdatetime 2017-09-26T11:57:42 --delay 70 --endMP 204:176 --enddatetime 2017-09-26T12:36:00 --enforcementcount 0 &gt;&gt;c:\users\stu\Documents\GitHub\eaglep3-reporting\EC\2017-09-26-refined-times.txt</v>
      </c>
      <c r="AI72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{"issue":{"subject":"","project_id":79,"tracker_id":40,"status_id":1,"priority_id":2,"assigned_to_id":338,"start_date":"2017-09-26","description":"","custom_fields":[{"id":1,"name":"Subdivision","value":"EC"},{"id":4,"name":"Milepost","value":"0.0176"},{"id":17,"name":"Train ID","value":"160-26"},{"id":16,"name":"Locomotive ID","value":"4045"},{"id":130,"name":"Impact","value":""},{"id":150,"name":"Time of Event (Mountain Time)","value":"12:36:00"},{"id":151,"name":"Denver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37"/>
        <v>start /low /b %USERPROFILE%\Documents\GitHub\eaglep3\Utilities\DownloadLogsFromS3.py --loco 4045 --day 2017-09-26</v>
      </c>
      <c r="AN72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7" t="str">
        <f t="shared" si="39"/>
        <v>https://d0f6bd738d7f1b3e5a7ca70fe4ff75f0.us-east-1.aws.found.io/app/kibana#/discover/Steve-Slow-Train-Analysis-(2080s-and-2083s)?_g=(refreshInterval:(display:Off,pause:!f,section:0,value:0),time:(from:'2017-09-26T10:55:20-0600',mode:absolute,to:'2017-09-26T13:36:00-0600'))&amp;_a=(columns:!('Message%20ID',Summary),filters:!(),index:'emp_*',interval:auto,query:(query_string:(analyze_wildcard:!t,query:'%22rtdc.l.rtdc.4045%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615</v>
      </c>
      <c r="B73" s="7">
        <v>4060</v>
      </c>
      <c r="C73" s="21" t="s">
        <v>196</v>
      </c>
      <c r="D73" s="21" t="s">
        <v>397</v>
      </c>
      <c r="E73" s="13">
        <v>43004.464502314811</v>
      </c>
      <c r="F73" s="13">
        <v>43004.468923611108</v>
      </c>
      <c r="G73" s="7">
        <v>102</v>
      </c>
      <c r="H73" s="21" t="s">
        <v>512</v>
      </c>
      <c r="I73" s="13">
        <v>43004.493125000001</v>
      </c>
      <c r="J73" s="7">
        <v>0</v>
      </c>
      <c r="K73" s="89" t="str">
        <f t="shared" si="0"/>
        <v>4059/4060</v>
      </c>
      <c r="L73" s="184" t="str">
        <f>VLOOKUP(A73,'[1]Trips&amp;Operators'!$C$1:$G$99911,5,FALSE)</f>
        <v>NEWELL JAMES</v>
      </c>
      <c r="M73" s="6">
        <f t="shared" si="1"/>
        <v>2.4201388892834075E-2</v>
      </c>
      <c r="N73" s="7">
        <f t="shared" si="2"/>
        <v>34.850000005681068</v>
      </c>
      <c r="O73" s="7"/>
      <c r="P73" s="7"/>
      <c r="Q73" s="22"/>
      <c r="R73" s="173"/>
      <c r="S73" s="220">
        <f t="shared" si="3"/>
        <v>1</v>
      </c>
      <c r="T73" s="173" t="str">
        <f t="shared" si="4"/>
        <v>NorthBound</v>
      </c>
      <c r="U73" s="197">
        <f>IF(AG73="EC",COUNTIFS([1]Variables!$M$2:$M$19,IF(T73="NorthBound","&gt;=","&lt;=")&amp;Y73,[1]Variables!$M$2:$M$19,IF(T73="NorthBound","&lt;=","&gt;=")&amp;Z73),COUNTIFS([1]Variables!$P$2:$P$19,IF(T73="NorthBound","&gt;=","&lt;=")&amp;Y73,[1]Variables!$P$2:$P$19,IF(T73="NorthBound","&lt;=","&gt;=")&amp;Z73))</f>
        <v>12</v>
      </c>
      <c r="V73" s="215" t="str">
        <f t="shared" si="31"/>
        <v>https://d0f6bd738d7f1b3e5a7ca70fe4ff75f0.us-east-1.aws.found.io/app/kibana#/discover/Steve-Slow-Train-Analysis-(2080s-and-2083s)?_g=(refreshInterval:(display:Off,pause:!f,section:0,value:0),time:(from:'2017-09-26T10:08:53-0600',mode:absolute,to:'2017-09-26T12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203" t="str">
        <f>IF(AA73&lt;VLOOKUP(AG73,[1]Variables!$AC$3:$AD$8,2,FALSE),"Y","N")</f>
        <v>N</v>
      </c>
      <c r="X73" s="203">
        <f t="shared" si="6"/>
        <v>1</v>
      </c>
      <c r="Y73" s="203">
        <f t="shared" si="45"/>
        <v>4.6600000000000003E-2</v>
      </c>
      <c r="Z73" s="203">
        <f t="shared" si="46"/>
        <v>23.330400000000001</v>
      </c>
      <c r="AA73" s="203">
        <f t="shared" si="9"/>
        <v>23.283799999999999</v>
      </c>
      <c r="AB73" s="54" t="e">
        <f>VLOOKUP(A73,[1]Enforcements!$C$7:$K$11,8,0)</f>
        <v>#N/A</v>
      </c>
      <c r="AC73" s="51" t="e">
        <f>VLOOKUP(A73,[1]Enforcements!$C$7:$E$11,3,0)</f>
        <v>#N/A</v>
      </c>
      <c r="AD73" s="178">
        <f t="shared" si="10"/>
        <v>161</v>
      </c>
      <c r="AE73" s="77" t="str">
        <f t="shared" si="32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73" s="74" t="str">
        <f t="shared" si="33"/>
        <v>"C:\Program Files (x86)\AstroGrep\AstroGrep.exe" /e /r /s /spath="%USERPROFILE%\AppData\Local\Temp\OnboardLogs" /stypes="app*4060*20170926*" /stext=" 17:.+((SYSTEM_STATE.+slice.+state.+changed )|(ment ac)|(multiple cpu faults)|(system.+state.+changed )|(\[timeout)|(PRM\|1\|D)|(kpr)|(kdp)|(train st.+moving)|(\|lc)|(penalty))"</v>
      </c>
      <c r="AG73" s="181" t="str">
        <f t="shared" si="34"/>
        <v>EC</v>
      </c>
      <c r="AH73" s="78" t="str">
        <f t="shared" si="35"/>
        <v>"%USERPROFILE%\Documents\GitHub\eaglep3\Utilities\RefineRTDCRunTimes.py" --tripid 161-26 --locoid 4060 --swversion DE.1.0.9.0 --startMP 204:466 --initTime 2017-09-26T11:08:53 --startdatetime 2017-09-26T11:15:15 --delay 102 --endMP 204:233304 --enddatetime 2017-09-26T11:50:06 --enforcementcount 0 &gt;&gt;c:\users\stu\Documents\GitHub\eaglep3-reporting\EC\2017-09-26-refined-times.txt</v>
      </c>
      <c r="AI73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{"issue":{"subject":"","project_id":79,"tracker_id":40,"status_id":1,"priority_id":2,"assigned_to_id":338,"start_date":"2017-09-26","description":"","custom_fields":[{"id":1,"name":"Subdivision","value":"EC"},{"id":4,"name":"Milepost","value":"23.3304"},{"id":17,"name":"Train ID","value":"161-26"},{"id":16,"name":"Locomotive ID","value":"4060"},{"id":130,"name":"Impact","value":""},{"id":150,"name":"Time of Event (Mountain Time)","value":"11:50:06"},{"id":151,"name":"Denver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37"/>
        <v>start /low /b %USERPROFILE%\Documents\GitHub\eaglep3\Utilities\DownloadLogsFromS3.py --loco 4060 --day 2017-09-26</v>
      </c>
      <c r="AN73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7" t="str">
        <f t="shared" si="39"/>
        <v>https://d0f6bd738d7f1b3e5a7ca70fe4ff75f0.us-east-1.aws.found.io/app/kibana#/discover/Steve-Slow-Train-Analysis-(2080s-and-2083s)?_g=(refreshInterval:(display:Off,pause:!f,section:0,value:0),time:(from:'2017-09-26T10:08:53-0600',mode:absolute,to:'2017-09-26T12:50:06-0600'))&amp;_a=(columns:!('Message%20ID',Summary),filters:!(),index:'emp_*',interval:auto,query:(query_string:(analyze_wildcard:!t,query:'%22rtdc.l.rtdc.4060%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738</v>
      </c>
      <c r="B74" s="7">
        <v>4059</v>
      </c>
      <c r="C74" s="21" t="s">
        <v>196</v>
      </c>
      <c r="D74" s="21" t="s">
        <v>516</v>
      </c>
      <c r="E74" s="13">
        <v>43004.500706018516</v>
      </c>
      <c r="F74" s="13">
        <v>43004.508599537039</v>
      </c>
      <c r="G74" s="7">
        <v>79</v>
      </c>
      <c r="H74" s="21" t="s">
        <v>395</v>
      </c>
      <c r="I74" s="13">
        <v>43004.534166666665</v>
      </c>
      <c r="J74" s="7">
        <v>0</v>
      </c>
      <c r="K74" s="89" t="str">
        <f t="shared" si="0"/>
        <v>4059/4060</v>
      </c>
      <c r="L74" s="184" t="str">
        <f>VLOOKUP(A74,'[1]Trips&amp;Operators'!$C$1:$G$99911,5,FALSE)</f>
        <v>NEWELL JAMES</v>
      </c>
      <c r="M74" s="6">
        <f t="shared" si="1"/>
        <v>2.5567129625414964E-2</v>
      </c>
      <c r="N74" s="7">
        <f t="shared" si="2"/>
        <v>36.816666660597548</v>
      </c>
      <c r="O74" s="7"/>
      <c r="P74" s="7"/>
      <c r="Q74" s="22"/>
      <c r="R74" s="173"/>
      <c r="S74" s="220">
        <f t="shared" si="3"/>
        <v>1</v>
      </c>
      <c r="T74" s="173" t="str">
        <f t="shared" si="4"/>
        <v>Southbound</v>
      </c>
      <c r="U74" s="197">
        <f>IF(AG74="EC",COUNTIFS([1]Variables!$M$2:$M$19,IF(T74="NorthBound","&gt;=","&lt;=")&amp;Y74,[1]Variables!$M$2:$M$19,IF(T74="NorthBound","&lt;=","&gt;=")&amp;Z74),COUNTIFS([1]Variables!$P$2:$P$19,IF(T74="NorthBound","&gt;=","&lt;=")&amp;Y74,[1]Variables!$P$2:$P$19,IF(T74="NorthBound","&lt;=","&gt;=")&amp;Z74))</f>
        <v>12</v>
      </c>
      <c r="V74" s="215" t="str">
        <f t="shared" si="31"/>
        <v>https://d0f6bd738d7f1b3e5a7ca70fe4ff75f0.us-east-1.aws.found.io/app/kibana#/discover/Steve-Slow-Train-Analysis-(2080s-and-2083s)?_g=(refreshInterval:(display:Off,pause:!f,section:0,value:0),time:(from:'2017-09-26T11:01:01-0600',mode:absolute,to:'2017-09-26T13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203" t="str">
        <f>IF(AA74&lt;VLOOKUP(AG74,[1]Variables!$AC$3:$AD$8,2,FALSE),"Y","N")</f>
        <v>N</v>
      </c>
      <c r="X74" s="203">
        <f t="shared" si="6"/>
        <v>1</v>
      </c>
      <c r="Y74" s="203">
        <f t="shared" si="45"/>
        <v>23.298300000000001</v>
      </c>
      <c r="Z74" s="203">
        <f t="shared" si="46"/>
        <v>1.54E-2</v>
      </c>
      <c r="AA74" s="203">
        <f t="shared" si="9"/>
        <v>23.282900000000001</v>
      </c>
      <c r="AB74" s="54" t="e">
        <f>VLOOKUP(A74,[1]Enforcements!$C$7:$K$11,8,0)</f>
        <v>#N/A</v>
      </c>
      <c r="AC74" s="51" t="e">
        <f>VLOOKUP(A74,[1]Enforcements!$C$7:$E$11,3,0)</f>
        <v>#N/A</v>
      </c>
      <c r="AD74" s="178">
        <f t="shared" si="10"/>
        <v>162</v>
      </c>
      <c r="AE74" s="77" t="str">
        <f t="shared" si="32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74" s="74" t="str">
        <f t="shared" si="33"/>
        <v>"C:\Program Files (x86)\AstroGrep\AstroGrep.exe" /e /r /s /spath="%USERPROFILE%\AppData\Local\Temp\OnboardLogs" /stypes="app*4059*20170926*" /stext=" 18:.+((SYSTEM_STATE.+slice.+state.+changed )|(ment ac)|(multiple cpu faults)|(system.+state.+changed )|(\[timeout)|(PRM\|1\|D)|(kpr)|(kdp)|(train st.+moving)|(\|lc)|(penalty))"</v>
      </c>
      <c r="AG74" s="181" t="str">
        <f t="shared" si="34"/>
        <v>EC</v>
      </c>
      <c r="AH74" s="78" t="str">
        <f t="shared" si="35"/>
        <v>"%USERPROFILE%\Documents\GitHub\eaglep3\Utilities\RefineRTDCRunTimes.py" --tripid 162-26 --locoid 4059 --swversion DE.1.0.9.0 --startMP 204:232983 --initTime 2017-09-26T12:01:01 --startdatetime 2017-09-26T12:12:23 --delay 79 --endMP 204:154 --enddatetime 2017-09-26T12:49:12 --enforcementcount 0 &gt;&gt;c:\users\stu\Documents\GitHub\eaglep3-reporting\EC\2017-09-26-refined-times.txt</v>
      </c>
      <c r="AI74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ID","value":"162-26"},{"id":16,"name":"Locomotive ID","value":"4059"},{"id":130,"name":"Impact","value":""},{"id":150,"name":"Time of Event (Mountain Time)","value":"12:49:12"},{"id":151,"name":"Denver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37"/>
        <v>start /low /b %USERPROFILE%\Documents\GitHub\eaglep3\Utilities\DownloadLogsFromS3.py --loco 4059 --day 2017-09-26</v>
      </c>
      <c r="AN74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7" t="str">
        <f t="shared" si="39"/>
        <v>https://d0f6bd738d7f1b3e5a7ca70fe4ff75f0.us-east-1.aws.found.io/app/kibana#/discover/Steve-Slow-Train-Analysis-(2080s-and-2083s)?_g=(refreshInterval:(display:Off,pause:!f,section:0,value:0),time:(from:'2017-09-26T11:01:01-0600',mode:absolute,to:'2017-09-26T13:49:12-0600'))&amp;_a=(columns:!('Message%20ID',Summary),filters:!(),index:'emp_*',interval:auto,query:(query_string:(analyze_wildcard:!t,query:'%22rtdc.l.rtdc.4059%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730</v>
      </c>
      <c r="B75" s="7">
        <v>4018</v>
      </c>
      <c r="C75" s="21" t="s">
        <v>196</v>
      </c>
      <c r="D75" s="21" t="s">
        <v>388</v>
      </c>
      <c r="E75" s="13">
        <v>43004.473680555559</v>
      </c>
      <c r="F75" s="13">
        <v>43004.47934027778</v>
      </c>
      <c r="G75" s="7">
        <v>180</v>
      </c>
      <c r="H75" s="21" t="s">
        <v>571</v>
      </c>
      <c r="I75" s="13">
        <v>43004.504918981482</v>
      </c>
      <c r="J75" s="7">
        <v>0</v>
      </c>
      <c r="K75" s="89" t="str">
        <f t="shared" si="0"/>
        <v>4017/4018</v>
      </c>
      <c r="L75" s="184" t="str">
        <f>VLOOKUP(A75,'[1]Trips&amp;Operators'!$C$1:$G$99911,5,FALSE)</f>
        <v>SWANSON BRYCE</v>
      </c>
      <c r="M75" s="6">
        <f t="shared" si="1"/>
        <v>2.5578703702194616E-2</v>
      </c>
      <c r="N75" s="7">
        <f t="shared" si="2"/>
        <v>36.833333331160247</v>
      </c>
      <c r="O75" s="7"/>
      <c r="P75" s="7"/>
      <c r="Q75" s="22"/>
      <c r="R75" s="173"/>
      <c r="S75" s="220">
        <f t="shared" si="3"/>
        <v>1</v>
      </c>
      <c r="T75" s="173" t="str">
        <f t="shared" si="4"/>
        <v>NorthBound</v>
      </c>
      <c r="U75" s="197">
        <f>IF(AG75="EC",COUNTIFS([1]Variables!$M$2:$M$19,IF(T75="NorthBound","&gt;=","&lt;=")&amp;Y75,[1]Variables!$M$2:$M$19,IF(T75="NorthBound","&lt;=","&gt;=")&amp;Z75),COUNTIFS([1]Variables!$P$2:$P$19,IF(T75="NorthBound","&gt;=","&lt;=")&amp;Y75,[1]Variables!$P$2:$P$19,IF(T75="NorthBound","&lt;=","&gt;=")&amp;Z75))</f>
        <v>12</v>
      </c>
      <c r="V75" s="215" t="str">
        <f t="shared" si="31"/>
        <v>https://d0f6bd738d7f1b3e5a7ca70fe4ff75f0.us-east-1.aws.found.io/app/kibana#/discover/Steve-Slow-Train-Analysis-(2080s-and-2083s)?_g=(refreshInterval:(display:Off,pause:!f,section:0,value:0),time:(from:'2017-09-26T10:22:06-0600',mode:absolute,to:'2017-09-26T13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03" t="str">
        <f>IF(AA75&lt;VLOOKUP(AG75,[1]Variables!$AC$3:$AD$8,2,FALSE),"Y","N")</f>
        <v>N</v>
      </c>
      <c r="X75" s="203">
        <f t="shared" si="6"/>
        <v>1</v>
      </c>
      <c r="Y75" s="203">
        <f t="shared" si="45"/>
        <v>4.5100000000000001E-2</v>
      </c>
      <c r="Z75" s="203">
        <f t="shared" si="46"/>
        <v>23.328399999999998</v>
      </c>
      <c r="AA75" s="203">
        <f t="shared" si="9"/>
        <v>23.283299999999997</v>
      </c>
      <c r="AB75" s="54" t="e">
        <f>VLOOKUP(A75,[1]Enforcements!$C$7:$K$11,8,0)</f>
        <v>#N/A</v>
      </c>
      <c r="AC75" s="51" t="e">
        <f>VLOOKUP(A75,[1]Enforcements!$C$7:$E$11,3,0)</f>
        <v>#N/A</v>
      </c>
      <c r="AD75" s="178">
        <f t="shared" si="10"/>
        <v>163</v>
      </c>
      <c r="AE75" s="77" t="str">
        <f t="shared" si="32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75" s="74" t="str">
        <f t="shared" si="33"/>
        <v>"C:\Program Files (x86)\AstroGrep\AstroGrep.exe" /e /r /s /spath="%USERPROFILE%\AppData\Local\Temp\OnboardLogs" /stypes="app*4018*20170926*" /stext=" 18:.+((SYSTEM_STATE.+slice.+state.+changed )|(ment ac)|(multiple cpu faults)|(system.+state.+changed )|(\[timeout)|(PRM\|1\|D)|(kpr)|(kdp)|(train st.+moving)|(\|lc)|(penalty))"</v>
      </c>
      <c r="AG75" s="181" t="str">
        <f t="shared" si="34"/>
        <v>EC</v>
      </c>
      <c r="AH75" s="78" t="str">
        <f t="shared" si="35"/>
        <v>"%USERPROFILE%\Documents\GitHub\eaglep3\Utilities\RefineRTDCRunTimes.py" --tripid 163-26 --locoid 4018 --swversion DE.1.0.9.0 --startMP 204:451 --initTime 2017-09-26T11:22:06 --startdatetime 2017-09-26T11:30:15 --delay 180 --endMP 204:233284 --enddatetime 2017-09-26T12:07:05 --enforcementcount 0 &gt;&gt;c:\users\stu\Documents\GitHub\eaglep3-reporting\EC\2017-09-26-refined-times.txt</v>
      </c>
      <c r="AI75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{"issue":{"subject":"","project_id":79,"tracker_id":40,"status_id":1,"priority_id":2,"assigned_to_id":338,"start_date":"2017-09-26","description":"","custom_fields":[{"id":1,"name":"Subdivision","value":"EC"},{"id":4,"name":"Milepost","value":"23.3284"},{"id":17,"name":"Train ID","value":"163-26"},{"id":16,"name":"Locomotive ID","value":"4018"},{"id":130,"name":"Impact","value":""},{"id":150,"name":"Time of Event (Mountain Time)","value":"12:07:05"},{"id":151,"name":"Denver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37"/>
        <v>start /low /b %USERPROFILE%\Documents\GitHub\eaglep3\Utilities\DownloadLogsFromS3.py --loco 4018 --day 2017-09-26</v>
      </c>
      <c r="AN75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7" t="str">
        <f t="shared" si="39"/>
        <v>https://d0f6bd738d7f1b3e5a7ca70fe4ff75f0.us-east-1.aws.found.io/app/kibana#/discover/Steve-Slow-Train-Analysis-(2080s-and-2083s)?_g=(refreshInterval:(display:Off,pause:!f,section:0,value:0),time:(from:'2017-09-26T10:22:06-0600',mode:absolute,to:'2017-09-26T13:07:05-0600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743</v>
      </c>
      <c r="B76" s="7">
        <v>4017</v>
      </c>
      <c r="C76" s="21" t="s">
        <v>196</v>
      </c>
      <c r="D76" s="21" t="s">
        <v>510</v>
      </c>
      <c r="E76" s="13">
        <v>43004.508796296293</v>
      </c>
      <c r="F76" s="13">
        <v>43004.518912037034</v>
      </c>
      <c r="G76" s="7">
        <v>76</v>
      </c>
      <c r="H76" s="21" t="s">
        <v>338</v>
      </c>
      <c r="I76" s="13">
        <v>43004.546087962961</v>
      </c>
      <c r="J76" s="7">
        <v>0</v>
      </c>
      <c r="K76" s="89" t="str">
        <f t="shared" si="0"/>
        <v>4017/4018</v>
      </c>
      <c r="L76" s="184" t="str">
        <f>VLOOKUP(A76,'[1]Trips&amp;Operators'!$C$1:$G$99911,5,FALSE)</f>
        <v>SWANSON BRYCE</v>
      </c>
      <c r="M76" s="6">
        <f t="shared" si="1"/>
        <v>2.7175925926712807E-2</v>
      </c>
      <c r="N76" s="7">
        <f t="shared" si="2"/>
        <v>39.133333334466442</v>
      </c>
      <c r="O76" s="7"/>
      <c r="P76" s="7"/>
      <c r="Q76" s="22"/>
      <c r="R76" s="173"/>
      <c r="S76" s="220">
        <f t="shared" si="3"/>
        <v>1</v>
      </c>
      <c r="T76" s="173" t="str">
        <f t="shared" si="4"/>
        <v>Southbound</v>
      </c>
      <c r="U76" s="197">
        <f>IF(AG76="EC",COUNTIFS([1]Variables!$M$2:$M$19,IF(T76="NorthBound","&gt;=","&lt;=")&amp;Y76,[1]Variables!$M$2:$M$19,IF(T76="NorthBound","&lt;=","&gt;=")&amp;Z76),COUNTIFS([1]Variables!$P$2:$P$19,IF(T76="NorthBound","&gt;=","&lt;=")&amp;Y76,[1]Variables!$P$2:$P$19,IF(T76="NorthBound","&lt;=","&gt;=")&amp;Z76))</f>
        <v>12</v>
      </c>
      <c r="V76" s="215" t="str">
        <f t="shared" si="31"/>
        <v>https://d0f6bd738d7f1b3e5a7ca70fe4ff75f0.us-east-1.aws.found.io/app/kibana#/discover/Steve-Slow-Train-Analysis-(2080s-and-2083s)?_g=(refreshInterval:(display:Off,pause:!f,section:0,value:0),time:(from:'2017-09-26T11:12:40-0600',mode:absolute,to:'2017-09-26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03" t="str">
        <f>IF(AA76&lt;VLOOKUP(AG76,[1]Variables!$AC$3:$AD$8,2,FALSE),"Y","N")</f>
        <v>N</v>
      </c>
      <c r="X76" s="203">
        <f t="shared" si="6"/>
        <v>1</v>
      </c>
      <c r="Y76" s="203">
        <f t="shared" si="45"/>
        <v>23.2971</v>
      </c>
      <c r="Z76" s="203">
        <f t="shared" si="46"/>
        <v>1.49E-2</v>
      </c>
      <c r="AA76" s="203">
        <f t="shared" si="9"/>
        <v>23.2822</v>
      </c>
      <c r="AB76" s="54" t="e">
        <f>VLOOKUP(A76,[1]Enforcements!$C$7:$K$11,8,0)</f>
        <v>#N/A</v>
      </c>
      <c r="AC76" s="51" t="e">
        <f>VLOOKUP(A76,[1]Enforcements!$C$7:$E$11,3,0)</f>
        <v>#N/A</v>
      </c>
      <c r="AD76" s="178">
        <f t="shared" si="10"/>
        <v>164</v>
      </c>
      <c r="AE76" s="77" t="str">
        <f t="shared" si="32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76" s="74" t="str">
        <f t="shared" si="33"/>
        <v>"C:\Program Files (x86)\AstroGrep\AstroGrep.exe" /e /r /s /spath="%USERPROFILE%\AppData\Local\Temp\OnboardLogs" /stypes="app*4017*20170926*" /stext=" 19:.+((SYSTEM_STATE.+slice.+state.+changed )|(ment ac)|(multiple cpu faults)|(system.+state.+changed )|(\[timeout)|(PRM\|1\|D)|(kpr)|(kdp)|(train st.+moving)|(\|lc)|(penalty))"</v>
      </c>
      <c r="AG76" s="181" t="str">
        <f t="shared" si="34"/>
        <v>EC</v>
      </c>
      <c r="AH76" s="78" t="str">
        <f t="shared" si="35"/>
        <v>"%USERPROFILE%\Documents\GitHub\eaglep3\Utilities\RefineRTDCRunTimes.py" --tripid 164-26 --locoid 4017 --swversion DE.1.0.9.0 --startMP 204:232971 --initTime 2017-09-26T12:12:40 --startdatetime 2017-09-26T12:27:14 --delay 76 --endMP 204:149 --enddatetime 2017-09-26T13:06:22 --enforcementcount 0 &gt;&gt;c:\users\stu\Documents\GitHub\eaglep3-reporting\EC\2017-09-26-refined-times.txt</v>
      </c>
      <c r="AI76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{"issue":{"subject":"","project_id":79,"tracker_id":40,"status_id":1,"priority_id":2,"assigned_to_id":338,"start_date":"2017-09-26","description":"","custom_fields":[{"id":1,"name":"Subdivision","value":"EC"},{"id":4,"name":"Milepost","value":"0.0149"},{"id":17,"name":"Train ID","value":"164-26"},{"id":16,"name":"Locomotive ID","value":"4017"},{"id":130,"name":"Impact","value":""},{"id":150,"name":"Time of Event (Mountain Time)","value":"13:06:22"},{"id":151,"name":"Denver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37"/>
        <v>start /low /b %USERPROFILE%\Documents\GitHub\eaglep3\Utilities\DownloadLogsFromS3.py --loco 4017 --day 2017-09-26</v>
      </c>
      <c r="AN76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7" t="str">
        <f t="shared" si="39"/>
        <v>https://d0f6bd738d7f1b3e5a7ca70fe4ff75f0.us-east-1.aws.found.io/app/kibana#/discover/Steve-Slow-Train-Analysis-(2080s-and-2083s)?_g=(refreshInterval:(display:Off,pause:!f,section:0,value:0),time:(from:'2017-09-26T11:12:40-0600',mode:absolute,to:'2017-09-26T14:06:22-0600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733</v>
      </c>
      <c r="B77" s="7">
        <v>4054</v>
      </c>
      <c r="C77" s="21" t="s">
        <v>196</v>
      </c>
      <c r="D77" s="21" t="s">
        <v>418</v>
      </c>
      <c r="E77" s="13">
        <v>43004.484016203707</v>
      </c>
      <c r="F77" s="13">
        <v>43004.489756944444</v>
      </c>
      <c r="G77" s="7">
        <v>100</v>
      </c>
      <c r="H77" s="21" t="s">
        <v>566</v>
      </c>
      <c r="I77" s="13">
        <v>43004.513923611114</v>
      </c>
      <c r="J77" s="7">
        <v>0</v>
      </c>
      <c r="K77" s="89" t="str">
        <f t="shared" ref="K77:K140" si="47">IF(ISEVEN(B77),(B77-1)&amp;"/"&amp;B77,B77&amp;"/"&amp;(B77+1))</f>
        <v>4053/4054</v>
      </c>
      <c r="L77" s="184" t="str">
        <f>VLOOKUP(A77,'[1]Trips&amp;Operators'!$C$1:$G$99911,5,FALSE)</f>
        <v>LEVIN SCOTT</v>
      </c>
      <c r="M77" s="6">
        <f t="shared" ref="M77:M140" si="48">I77-F77</f>
        <v>2.4166666669771075E-2</v>
      </c>
      <c r="N77" s="7">
        <f t="shared" ref="N77:N87" si="49">24*60*SUM($M77:$M77)</f>
        <v>34.800000004470348</v>
      </c>
      <c r="O77" s="7"/>
      <c r="P77" s="7"/>
      <c r="Q77" s="22"/>
      <c r="R77" s="173"/>
      <c r="S77" s="220">
        <f t="shared" ref="S77:S90" si="50">1/IF(AG77="EC",12,1)*SUM(U77:U77)</f>
        <v>1</v>
      </c>
      <c r="T77" s="173" t="str">
        <f t="shared" ref="T77:T140" si="51">IF(ISEVEN(LEFT(AD77,4)),"Southbound","NorthBound")</f>
        <v>NorthBound</v>
      </c>
      <c r="U77" s="197">
        <f>IF(AG77="EC",COUNTIFS([1]Variables!$M$2:$M$19,IF(T77="NorthBound","&gt;=","&lt;=")&amp;Y77,[1]Variables!$M$2:$M$19,IF(T77="NorthBound","&lt;=","&gt;=")&amp;Z77),COUNTIFS([1]Variables!$P$2:$P$19,IF(T77="NorthBound","&gt;=","&lt;=")&amp;Y77,[1]Variables!$P$2:$P$19,IF(T77="NorthBound","&lt;=","&gt;=")&amp;Z77))</f>
        <v>12</v>
      </c>
      <c r="V77" s="215" t="str">
        <f t="shared" ref="V77:V90" si="5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-26T10:36:59-0600',mode:absolute,to:'2017-09-26T13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203" t="str">
        <f>IF(AA77&lt;VLOOKUP(AG77,[1]Variables!$AC$3:$AD$8,2,FALSE),"Y","N")</f>
        <v>N</v>
      </c>
      <c r="X77" s="203">
        <f t="shared" ref="X77:X140" si="53">VALUE(LEFT(AD77,4))-VALUE(LEFT(AD76,4))</f>
        <v>1</v>
      </c>
      <c r="Y77" s="203">
        <f t="shared" si="45"/>
        <v>4.5699999999999998E-2</v>
      </c>
      <c r="Z77" s="203">
        <f t="shared" si="46"/>
        <v>23.332100000000001</v>
      </c>
      <c r="AA77" s="203">
        <f t="shared" ref="AA77:AA140" si="54">ABS(Z77-Y77)</f>
        <v>23.2864</v>
      </c>
      <c r="AB77" s="54" t="e">
        <f>VLOOKUP(A77,[1]Enforcements!$C$7:$K$11,8,0)</f>
        <v>#N/A</v>
      </c>
      <c r="AC77" s="51" t="e">
        <f>VLOOKUP(A77,[1]Enforcements!$C$7:$E$11,3,0)</f>
        <v>#N/A</v>
      </c>
      <c r="AD77" s="178">
        <f t="shared" ref="AD77:AD140" si="55">VALUE(LEFT(A77,LEN(A77)-3))</f>
        <v>165</v>
      </c>
      <c r="AE77" s="77" t="str">
        <f t="shared" ref="AE77:AE90" si="5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77" s="74" t="str">
        <f t="shared" ref="AF77:AF90" si="5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/stypes="app*4054*20170926*" /stext=" 18:.+((SYSTEM_STATE.+slice.+state.+changed )|(ment ac)|(multiple cpu faults)|(system.+state.+changed )|(\[timeout)|(PRM\|1\|D)|(kpr)|(kdp)|(train st.+moving)|(\|lc)|(penalty))"</v>
      </c>
      <c r="AG77" s="181" t="str">
        <f t="shared" ref="AG77:AG90" si="58">DetSubdiv(A77)</f>
        <v>EC</v>
      </c>
      <c r="AH77" s="78" t="str">
        <f t="shared" si="35"/>
        <v>"%USERPROFILE%\Documents\GitHub\eaglep3\Utilities\RefineRTDCRunTimes.py" --tripid 165-26 --locoid 4054 --swversion DE.1.0.9.0 --startMP 204:457 --initTime 2017-09-26T11:36:59 --startdatetime 2017-09-26T11:45:15 --delay 100 --endMP 204:233321 --enddatetime 2017-09-26T12:20:03 --enforcementcount 0 &gt;&gt;c:\users\stu\Documents\GitHub\eaglep3-reporting\EC\2017-09-26-refined-times.txt</v>
      </c>
      <c r="AI77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{"issue":{"subject":"","project_id":79,"tracker_id":40,"status_id":1,"priority_id":2,"assigned_to_id":338,"start_date":"2017-09-26","description":"","custom_fields":[{"id":1,"name":"Subdivision","value":"EC"},{"id":4,"name":"Milepost","value":"23.3321"},{"id":17,"name":"Train ID","value":"165-26"},{"id":16,"name":"Locomotive ID","value":"4054"},{"id":130,"name":"Impact","value":""},{"id":150,"name":"Time of Event (Mountain Time)","value":"12:20:03"},{"id":151,"name":"Denver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7"/>
        <v>start /low /b %USERPROFILE%\Documents\GitHub\eaglep3\Utilities\DownloadLogsFromS3.py --loco 4054 --day 2017-09-26</v>
      </c>
      <c r="AN77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7" t="str">
        <f t="shared" si="39"/>
        <v>https://d0f6bd738d7f1b3e5a7ca70fe4ff75f0.us-east-1.aws.found.io/app/kibana#/discover/Steve-Slow-Train-Analysis-(2080s-and-2083s)?_g=(refreshInterval:(display:Off,pause:!f,section:0,value:0),time:(from:'2017-09-26T10:36:59-0600',mode:absolute,to:'2017-09-26T13:20:03-0600'))&amp;_a=(columns:!('Message%20ID',Summary),filters:!(),index:'emp_*',interval:auto,query:(query_string:(analyze_wildcard:!t,query:'%22rtdc.l.rtdc.4054%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617</v>
      </c>
      <c r="B78" s="7">
        <v>4053</v>
      </c>
      <c r="C78" s="21" t="s">
        <v>196</v>
      </c>
      <c r="D78" s="21" t="s">
        <v>520</v>
      </c>
      <c r="E78" s="13">
        <v>43004.522164351853</v>
      </c>
      <c r="F78" s="13">
        <v>43004.529351851852</v>
      </c>
      <c r="G78" s="7">
        <v>75</v>
      </c>
      <c r="H78" s="21" t="s">
        <v>395</v>
      </c>
      <c r="I78" s="13">
        <v>43004.555474537039</v>
      </c>
      <c r="J78" s="7">
        <v>0</v>
      </c>
      <c r="K78" s="89" t="str">
        <f t="shared" si="47"/>
        <v>4053/4054</v>
      </c>
      <c r="L78" s="184" t="str">
        <f>VLOOKUP(A78,'[1]Trips&amp;Operators'!$C$1:$G$99911,5,FALSE)</f>
        <v>LEVIN SCOTT</v>
      </c>
      <c r="M78" s="6">
        <f t="shared" si="48"/>
        <v>2.6122685187146999E-2</v>
      </c>
      <c r="N78" s="7">
        <f t="shared" si="49"/>
        <v>37.616666669491678</v>
      </c>
      <c r="O78" s="7"/>
      <c r="P78" s="7"/>
      <c r="Q78" s="22"/>
      <c r="R78" s="173"/>
      <c r="S78" s="220">
        <f t="shared" si="50"/>
        <v>1</v>
      </c>
      <c r="T78" s="173" t="str">
        <f t="shared" si="51"/>
        <v>Southbound</v>
      </c>
      <c r="U78" s="197">
        <f>IF(AG78="EC",COUNTIFS([1]Variables!$M$2:$M$19,IF(T78="NorthBound","&gt;=","&lt;=")&amp;Y78,[1]Variables!$M$2:$M$19,IF(T78="NorthBound","&lt;=","&gt;=")&amp;Z78),COUNTIFS([1]Variables!$P$2:$P$19,IF(T78="NorthBound","&gt;=","&lt;=")&amp;Y78,[1]Variables!$P$2:$P$19,IF(T78="NorthBound","&lt;=","&gt;=")&amp;Z78))</f>
        <v>12</v>
      </c>
      <c r="V78" s="215" t="str">
        <f t="shared" si="52"/>
        <v>https://d0f6bd738d7f1b3e5a7ca70fe4ff75f0.us-east-1.aws.found.io/app/kibana#/discover/Steve-Slow-Train-Analysis-(2080s-and-2083s)?_g=(refreshInterval:(display:Off,pause:!f,section:0,value:0),time:(from:'2017-09-26T11:31:55-0600',mode:absolute,to:'2017-09-26T14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203" t="str">
        <f>IF(AA78&lt;VLOOKUP(AG78,[1]Variables!$AC$3:$AD$8,2,FALSE),"Y","N")</f>
        <v>N</v>
      </c>
      <c r="X78" s="203">
        <f t="shared" si="53"/>
        <v>1</v>
      </c>
      <c r="Y78" s="203">
        <f t="shared" si="45"/>
        <v>23.300999999999998</v>
      </c>
      <c r="Z78" s="203">
        <f t="shared" si="46"/>
        <v>1.54E-2</v>
      </c>
      <c r="AA78" s="203">
        <f t="shared" si="54"/>
        <v>23.285599999999999</v>
      </c>
      <c r="AB78" s="54" t="str">
        <f>VLOOKUP(A78,[1]Enforcements!$C$7:$K$11,8,0)</f>
        <v>Bulletin (2)</v>
      </c>
      <c r="AC78" s="51" t="str">
        <f>VLOOKUP(A78,[1]Enforcements!$C$7:$E$11,3,0)</f>
        <v>GRADE CROSSING</v>
      </c>
      <c r="AD78" s="178">
        <f t="shared" si="55"/>
        <v>166</v>
      </c>
      <c r="AE78" s="77" t="str">
        <f t="shared" si="56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78" s="74" t="str">
        <f t="shared" si="57"/>
        <v>"C:\Program Files (x86)\AstroGrep\AstroGrep.exe" /e /r /s /spath="%USERPROFILE%\AppData\Local\Temp\OnboardLogs" /stypes="app*4053*20170926*" /stext=" 19:.+((SYSTEM_STATE.+slice.+state.+changed )|(ment ac)|(multiple cpu faults)|(system.+state.+changed )|(\[timeout)|(PRM\|1\|D)|(kpr)|(kdp)|(train st.+moving)|(\|lc)|(penalty))"</v>
      </c>
      <c r="AG78" s="181" t="str">
        <f t="shared" si="58"/>
        <v>EC</v>
      </c>
      <c r="AH78" s="78" t="str">
        <f t="shared" si="35"/>
        <v>"%USERPROFILE%\Documents\GitHub\eaglep3\Utilities\RefineRTDCRunTimes.py" --tripid 166-26 --locoid 4053 --swversion DE.1.0.9.0 --startMP 204:233010 --initTime 2017-09-26T12:31:55 --startdatetime 2017-09-26T12:42:16 --delay 75 --endMP 204:154 --enddatetime 2017-09-26T13:19:53 --enforcementcount 0 &gt;&gt;c:\users\stu\Documents\GitHub\eaglep3-reporting\EC\2017-09-26-refined-times.txt</v>
      </c>
      <c r="AI78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ID","value":"166-26"},{"id":16,"name":"Locomotive ID","value":"4053"},{"id":130,"name":"Impact","value":""},{"id":150,"name":"Time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7"/>
        <v>start /low /b %USERPROFILE%\Documents\GitHub\eaglep3\Utilities\DownloadLogsFromS3.py --loco 4053 --day 2017-09-26</v>
      </c>
      <c r="AN78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7" t="str">
        <f t="shared" si="39"/>
        <v>https://d0f6bd738d7f1b3e5a7ca70fe4ff75f0.us-east-1.aws.found.io/app/kibana#/discover/Steve-Slow-Train-Analysis-(2080s-and-2083s)?_g=(refreshInterval:(display:Off,pause:!f,section:0,value:0),time:(from:'2017-09-26T11:31:55-0600',mode:absolute,to:'2017-09-26T14:19:53-0600'))&amp;_a=(columns:!('Message%20ID',Summary),filters:!(),index:'emp_*',interval:auto,query:(query_string:(analyze_wildcard:!t,query:'%22rtdc.l.rtdc.4053%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735</v>
      </c>
      <c r="B79" s="7">
        <v>4056</v>
      </c>
      <c r="C79" s="21" t="s">
        <v>196</v>
      </c>
      <c r="D79" s="21" t="s">
        <v>396</v>
      </c>
      <c r="E79" s="13">
        <v>43004.49591435185</v>
      </c>
      <c r="F79" s="13">
        <v>43004.500405092593</v>
      </c>
      <c r="G79" s="7">
        <v>91</v>
      </c>
      <c r="H79" s="21" t="s">
        <v>565</v>
      </c>
      <c r="I79" s="13">
        <v>43004.526759259257</v>
      </c>
      <c r="J79" s="7">
        <v>0</v>
      </c>
      <c r="K79" s="89" t="str">
        <f t="shared" si="47"/>
        <v>4055/4056</v>
      </c>
      <c r="L79" s="184" t="str">
        <f>VLOOKUP(A79,'[1]Trips&amp;Operators'!$C$1:$G$99911,5,FALSE)</f>
        <v>LEVERE CRAIG</v>
      </c>
      <c r="M79" s="6">
        <f t="shared" si="48"/>
        <v>2.6354166664532386E-2</v>
      </c>
      <c r="N79" s="7">
        <f t="shared" si="49"/>
        <v>37.949999996926636</v>
      </c>
      <c r="O79" s="7"/>
      <c r="P79" s="7"/>
      <c r="Q79" s="22"/>
      <c r="R79" s="173"/>
      <c r="S79" s="220">
        <f t="shared" si="50"/>
        <v>1</v>
      </c>
      <c r="T79" s="173" t="str">
        <f t="shared" si="51"/>
        <v>NorthBound</v>
      </c>
      <c r="U79" s="197">
        <f>IF(AG79="EC",COUNTIFS([1]Variables!$M$2:$M$19,IF(T79="NorthBound","&gt;=","&lt;=")&amp;Y79,[1]Variables!$M$2:$M$19,IF(T79="NorthBound","&lt;=","&gt;=")&amp;Z79),COUNTIFS([1]Variables!$P$2:$P$19,IF(T79="NorthBound","&gt;=","&lt;=")&amp;Y79,[1]Variables!$P$2:$P$19,IF(T79="NorthBound","&lt;=","&gt;=")&amp;Z79))</f>
        <v>12</v>
      </c>
      <c r="V79" s="215" t="str">
        <f t="shared" si="52"/>
        <v>https://d0f6bd738d7f1b3e5a7ca70fe4ff75f0.us-east-1.aws.found.io/app/kibana#/discover/Steve-Slow-Train-Analysis-(2080s-and-2083s)?_g=(refreshInterval:(display:Off,pause:!f,section:0,value:0),time:(from:'2017-09-26T10:54:07-0600',mode:absolute,to:'2017-09-26T13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03" t="str">
        <f>IF(AA79&lt;VLOOKUP(AG79,[1]Variables!$AC$3:$AD$8,2,FALSE),"Y","N")</f>
        <v>N</v>
      </c>
      <c r="X79" s="203">
        <f t="shared" si="53"/>
        <v>1</v>
      </c>
      <c r="Y79" s="203">
        <f t="shared" si="45"/>
        <v>4.3700000000000003E-2</v>
      </c>
      <c r="Z79" s="203">
        <f t="shared" si="46"/>
        <v>23.331099999999999</v>
      </c>
      <c r="AA79" s="203">
        <f t="shared" si="54"/>
        <v>23.287399999999998</v>
      </c>
      <c r="AB79" s="54" t="e">
        <f>VLOOKUP(A79,[1]Enforcements!$C$7:$K$11,8,0)</f>
        <v>#N/A</v>
      </c>
      <c r="AC79" s="51" t="e">
        <f>VLOOKUP(A79,[1]Enforcements!$C$7:$E$11,3,0)</f>
        <v>#N/A</v>
      </c>
      <c r="AD79" s="178">
        <f t="shared" si="55"/>
        <v>167</v>
      </c>
      <c r="AE79" s="77" t="str">
        <f t="shared" si="56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79" s="74" t="str">
        <f t="shared" si="57"/>
        <v>"C:\Program Files (x86)\AstroGrep\AstroGrep.exe" /e /r /s /spath="%USERPROFILE%\AppData\Local\Temp\OnboardLogs" /stypes="app*4056*20170926*" /stext=" 18:.+((SYSTEM_STATE.+slice.+state.+changed )|(ment ac)|(multiple cpu faults)|(system.+state.+changed )|(\[timeout)|(PRM\|1\|D)|(kpr)|(kdp)|(train st.+moving)|(\|lc)|(penalty))"</v>
      </c>
      <c r="AG79" s="181" t="str">
        <f t="shared" si="58"/>
        <v>EC</v>
      </c>
      <c r="AH79" s="78" t="str">
        <f t="shared" si="35"/>
        <v>"%USERPROFILE%\Documents\GitHub\eaglep3\Utilities\RefineRTDCRunTimes.py" --tripid 167-26 --locoid 4056 --swversion DE.1.0.9.0 --startMP 204:437 --initTime 2017-09-26T11:54:07 --startdatetime 2017-09-26T12:00:35 --delay 91 --endMP 204:233311 --enddatetime 2017-09-26T12:38:32 --enforcementcount 0 &gt;&gt;c:\users\stu\Documents\GitHub\eaglep3-reporting\EC\2017-09-26-refined-times.txt</v>
      </c>
      <c r="AI79" s="96" t="str">
        <f t="shared" si="36"/>
        <v>echo {"issue":{"subject":"","project_id":79,"tracker_id":40,"status_id":1,"priority_id":2,"assigned_to_id":338,"start_date":"2017-09-26","description":"","custom_fields":[{"id":1,"name":"Subdivision","value":"EC"},{"id":4,"name":"Milepost","value":"23.3311"},{"id":17,"name":"Train ID","value":"167-26"},{"id":16,"name":"Locomotive ID","value":"4056"},{"id":130,"name":"Impact","value":""},{"id":150,"name":"Time of Event (Mountain Time)","value":"12:38:32"},{"id":151,"name":"Denver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4056 --day 2017-09-26</v>
      </c>
      <c r="AN79" s="151" t="str">
        <f t="shared" si="38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7" t="str">
        <f t="shared" si="39"/>
        <v>https://d0f6bd738d7f1b3e5a7ca70fe4ff75f0.us-east-1.aws.found.io/app/kibana#/discover/Steve-Slow-Train-Analysis-(2080s-and-2083s)?_g=(refreshInterval:(display:Off,pause:!f,section:0,value:0),time:(from:'2017-09-26T10:54:07-0600',mode:absolute,to:'2017-09-26T13:38:32-0600'))&amp;_a=(columns:!('Message%20ID',Summary),filters:!(),index:'emp_*',interval:auto,query:(query_string:(analyze_wildcard:!t,query:'%22rtdc.l.rtdc.4056%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4055</v>
      </c>
      <c r="C80" s="21" t="s">
        <v>196</v>
      </c>
      <c r="D80" s="21" t="s">
        <v>387</v>
      </c>
      <c r="E80" s="13">
        <v>43004.532511574071</v>
      </c>
      <c r="F80" s="13">
        <v>43004.539768518516</v>
      </c>
      <c r="G80" s="7">
        <v>81</v>
      </c>
      <c r="H80" s="21" t="s">
        <v>362</v>
      </c>
      <c r="I80" s="13">
        <v>43004.566770833335</v>
      </c>
      <c r="J80" s="7">
        <v>0</v>
      </c>
      <c r="K80" s="89" t="str">
        <f t="shared" si="47"/>
        <v>4055/4056</v>
      </c>
      <c r="L80" s="184" t="str">
        <f>VLOOKUP(A80,'[1]Trips&amp;Operators'!$C$1:$G$99911,5,FALSE)</f>
        <v>LEVERE CRAIG</v>
      </c>
      <c r="M80" s="6">
        <f t="shared" si="48"/>
        <v>2.7002314818673767E-2</v>
      </c>
      <c r="N80" s="7">
        <f t="shared" si="49"/>
        <v>38.883333338890225</v>
      </c>
      <c r="O80" s="7"/>
      <c r="P80" s="7"/>
      <c r="Q80" s="22"/>
      <c r="R80" s="173"/>
      <c r="S80" s="220">
        <f t="shared" si="50"/>
        <v>1</v>
      </c>
      <c r="T80" s="173" t="str">
        <f t="shared" si="51"/>
        <v>Southbound</v>
      </c>
      <c r="U80" s="197">
        <f>IF(AG80="EC",COUNTIFS([1]Variables!$M$2:$M$19,IF(T80="NorthBound","&gt;=","&lt;=")&amp;Y80,[1]Variables!$M$2:$M$19,IF(T80="NorthBound","&lt;=","&gt;=")&amp;Z80),COUNTIFS([1]Variables!$P$2:$P$19,IF(T80="NorthBound","&gt;=","&lt;=")&amp;Y80,[1]Variables!$P$2:$P$19,IF(T80="NorthBound","&lt;=","&gt;=")&amp;Z80))</f>
        <v>12</v>
      </c>
      <c r="V80" s="215" t="str">
        <f t="shared" si="52"/>
        <v>https://d0f6bd738d7f1b3e5a7ca70fe4ff75f0.us-east-1.aws.found.io/app/kibana#/discover/Steve-Slow-Train-Analysis-(2080s-and-2083s)?_g=(refreshInterval:(display:Off,pause:!f,section:0,value:0),time:(from:'2017-09-26T11:46:49-0600',mode:absolute,to:'2017-09-26T14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03" t="str">
        <f>IF(AA80&lt;VLOOKUP(AG80,[1]Variables!$AC$3:$AD$8,2,FALSE),"Y","N")</f>
        <v>N</v>
      </c>
      <c r="X80" s="203">
        <f t="shared" si="53"/>
        <v>1</v>
      </c>
      <c r="Y80" s="203">
        <f t="shared" si="45"/>
        <v>23.299600000000002</v>
      </c>
      <c r="Z80" s="203">
        <f t="shared" si="46"/>
        <v>1.4500000000000001E-2</v>
      </c>
      <c r="AA80" s="203">
        <f t="shared" si="54"/>
        <v>23.2851</v>
      </c>
      <c r="AB80" s="54" t="e">
        <f>VLOOKUP(A80,[1]Enforcements!$C$7:$K$11,8,0)</f>
        <v>#N/A</v>
      </c>
      <c r="AC80" s="51" t="e">
        <f>VLOOKUP(A80,[1]Enforcements!$C$7:$E$11,3,0)</f>
        <v>#N/A</v>
      </c>
      <c r="AD80" s="178">
        <f t="shared" si="55"/>
        <v>168</v>
      </c>
      <c r="AE80" s="77" t="str">
        <f t="shared" si="56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80" s="74" t="str">
        <f t="shared" si="57"/>
        <v>"C:\Program Files (x86)\AstroGrep\AstroGrep.exe" /e /r /s /spath="%USERPROFILE%\AppData\Local\Temp\OnboardLogs" /stypes="app*4055*20170926*" /stext=" 19:.+((SYSTEM_STATE.+slice.+state.+changed )|(ment ac)|(multiple cpu faults)|(system.+state.+changed )|(\[timeout)|(PRM\|1\|D)|(kpr)|(kdp)|(train st.+moving)|(\|lc)|(penalty))"</v>
      </c>
      <c r="AG80" s="181" t="str">
        <f t="shared" si="58"/>
        <v>EC</v>
      </c>
      <c r="AH80" s="78" t="str">
        <f t="shared" ref="AH80:AH90" si="59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168-26 --locoid 4055 --swversion DE.1.0.9.0 --startMP 204:232996 --initTime 2017-09-26T12:46:49 --startdatetime 2017-09-26T12:57:16 --delay 81 --endMP 204:145 --enddatetime 2017-09-26T13:36:09 --enforcementcount 0 &gt;&gt;c:\users\stu\Documents\GitHub\eaglep3-reporting\EC\2017-09-26-refined-times.txt</v>
      </c>
      <c r="AI80" s="96" t="str">
        <f t="shared" ref="AI80:AI90" si="60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ID","value":"168-26"},{"id":16,"name":"Locomotive ID","value":"4055"},{"id":130,"name":"Impact","value":""},{"id":150,"name":"Time of Event (Mountain Time)","value":"13:36:09"},{"id":151,"name":"Denver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90" si="61">"start /low /b "&amp;dls3logs&amp;" --loco "&amp;B80&amp;" --day "&amp;TEXT(F80,"YYYY-MM-DD")</f>
        <v>start /low /b %USERPROFILE%\Documents\GitHub\eaglep3\Utilities\DownloadLogsFromS3.py --loco 4055 --day 2017-09-26</v>
      </c>
      <c r="AN80" s="151" t="str">
        <f t="shared" ref="AN80:AN90" si="62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7" t="str">
        <f t="shared" ref="AO80:AO90" si="63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-26T11:46:49-0600',mode:absolute,to:'2017-09-26T14:36:09-0600'))&amp;_a=(columns:!('Message%20ID',Summary),filters:!(),index:'emp_*',interval:auto,query:(query_string:(analyze_wildcard:!t,query:'%22rtdc.l.rtdc.4055%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742</v>
      </c>
      <c r="B81" s="7">
        <v>4062</v>
      </c>
      <c r="C81" s="21" t="s">
        <v>196</v>
      </c>
      <c r="D81" s="21" t="s">
        <v>399</v>
      </c>
      <c r="E81" s="13">
        <v>43004.504351851851</v>
      </c>
      <c r="F81" s="13">
        <v>43004.510717592595</v>
      </c>
      <c r="G81" s="7">
        <v>182</v>
      </c>
      <c r="H81" s="21" t="s">
        <v>880</v>
      </c>
      <c r="I81" s="13">
        <v>43004.535393518519</v>
      </c>
      <c r="J81" s="7">
        <v>0</v>
      </c>
      <c r="K81" s="89" t="str">
        <f t="shared" si="47"/>
        <v>4061/4062</v>
      </c>
      <c r="L81" s="184" t="str">
        <f>VLOOKUP(A81,'[1]Trips&amp;Operators'!$C$1:$G$99911,5,FALSE)</f>
        <v>SAFIEF AEIMEN</v>
      </c>
      <c r="M81" s="6">
        <f t="shared" si="48"/>
        <v>2.4675925924384501E-2</v>
      </c>
      <c r="N81" s="7">
        <f t="shared" si="49"/>
        <v>35.533333331113681</v>
      </c>
      <c r="O81" s="7"/>
      <c r="P81" s="7"/>
      <c r="Q81" s="22"/>
      <c r="R81" s="173"/>
      <c r="S81" s="220">
        <f t="shared" si="50"/>
        <v>1</v>
      </c>
      <c r="T81" s="173" t="str">
        <f t="shared" si="51"/>
        <v>NorthBound</v>
      </c>
      <c r="U81" s="197">
        <f>IF(AG81="EC",COUNTIFS([1]Variables!$M$2:$M$19,IF(T81="NorthBound","&gt;=","&lt;=")&amp;Y81,[1]Variables!$M$2:$M$19,IF(T81="NorthBound","&lt;=","&gt;=")&amp;Z81),COUNTIFS([1]Variables!$P$2:$P$19,IF(T81="NorthBound","&gt;=","&lt;=")&amp;Y81,[1]Variables!$P$2:$P$19,IF(T81="NorthBound","&lt;=","&gt;=")&amp;Z81))</f>
        <v>12</v>
      </c>
      <c r="V81" s="215" t="str">
        <f t="shared" si="52"/>
        <v>https://d0f6bd738d7f1b3e5a7ca70fe4ff75f0.us-east-1.aws.found.io/app/kibana#/discover/Steve-Slow-Train-Analysis-(2080s-and-2083s)?_g=(refreshInterval:(display:Off,pause:!f,section:0,value:0),time:(from:'2017-09-26T11:06:16-0600',mode:absolute,to:'2017-09-26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1" s="203" t="str">
        <f>IF(AA81&lt;VLOOKUP(AG81,[1]Variables!$AC$3:$AD$8,2,FALSE),"Y","N")</f>
        <v>N</v>
      </c>
      <c r="X81" s="203">
        <f t="shared" si="53"/>
        <v>1</v>
      </c>
      <c r="Y81" s="203">
        <f t="shared" si="45"/>
        <v>4.4699999999999997E-2</v>
      </c>
      <c r="Z81" s="203">
        <f t="shared" si="46"/>
        <v>23.337</v>
      </c>
      <c r="AA81" s="203">
        <f t="shared" si="54"/>
        <v>23.292300000000001</v>
      </c>
      <c r="AB81" s="54" t="e">
        <f>VLOOKUP(A81,[1]Enforcements!$C$7:$K$11,8,0)</f>
        <v>#N/A</v>
      </c>
      <c r="AC81" s="51" t="e">
        <f>VLOOKUP(A81,[1]Enforcements!$C$7:$E$11,3,0)</f>
        <v>#N/A</v>
      </c>
      <c r="AD81" s="178">
        <f t="shared" si="55"/>
        <v>169</v>
      </c>
      <c r="AE81" s="77" t="str">
        <f t="shared" si="56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81" s="74" t="str">
        <f t="shared" si="57"/>
        <v>"C:\Program Files (x86)\AstroGrep\AstroGrep.exe" /e /r /s /spath="%USERPROFILE%\AppData\Local\Temp\OnboardLogs" /stypes="app*4062*20170926*" /stext=" 18:.+((SYSTEM_STATE.+slice.+state.+changed )|(ment ac)|(multiple cpu faults)|(system.+state.+changed )|(\[timeout)|(PRM\|1\|D)|(kpr)|(kdp)|(train st.+moving)|(\|lc)|(penalty))"</v>
      </c>
      <c r="AG81" s="181" t="str">
        <f t="shared" si="58"/>
        <v>EC</v>
      </c>
      <c r="AH81" s="78" t="str">
        <f t="shared" si="59"/>
        <v>"%USERPROFILE%\Documents\GitHub\eaglep3\Utilities\RefineRTDCRunTimes.py" --tripid 169-26 --locoid 4062 --swversion DE.1.0.9.0 --startMP 204:447 --initTime 2017-09-26T12:06:16 --startdatetime 2017-09-26T12:15:26 --delay 182 --endMP 204:233370 --enddatetime 2017-09-26T12:50:58 --enforcementcount 0 &gt;&gt;c:\users\stu\Documents\GitHub\eaglep3-reporting\EC\2017-09-26-refined-times.txt</v>
      </c>
      <c r="AI81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{"issue":{"subject":"","project_id":79,"tracker_id":40,"status_id":1,"priority_id":2,"assigned_to_id":338,"start_date":"2017-09-26","description":"","custom_fields":[{"id":1,"name":"Subdivision","value":"EC"},{"id":4,"name":"Milepost","value":"23.337"},{"id":17,"name":"Train ID","value":"169-26"},{"id":16,"name":"Locomotive ID","value":"4062"},{"id":130,"name":"Impact","value":""},{"id":150,"name":"Time of Event (Mountain Time)","value":"12:50:58"},{"id":151,"name":"Denver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61"/>
        <v>start /low /b %USERPROFILE%\Documents\GitHub\eaglep3\Utilities\DownloadLogsFromS3.py --loco 4062 --day 2017-09-26</v>
      </c>
      <c r="AN81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7" t="str">
        <f t="shared" si="63"/>
        <v>https://d0f6bd738d7f1b3e5a7ca70fe4ff75f0.us-east-1.aws.found.io/app/kibana#/discover/Steve-Slow-Train-Analysis-(2080s-and-2083s)?_g=(refreshInterval:(display:Off,pause:!f,section:0,value:0),time:(from:'2017-09-26T11:06:16-0600',mode:absolute,to:'2017-09-26T13:50:58-0600'))&amp;_a=(columns:!('Message%20ID',Summary),filters:!(),index:'emp_*',interval:auto,query:(query_string:(analyze_wildcard:!t,query:'%22rtdc.l.rtdc.4062%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749</v>
      </c>
      <c r="B82" s="7">
        <v>4061</v>
      </c>
      <c r="C82" s="21" t="s">
        <v>196</v>
      </c>
      <c r="D82" s="21" t="s">
        <v>522</v>
      </c>
      <c r="E82" s="13">
        <v>43004.539351851854</v>
      </c>
      <c r="F82" s="13">
        <v>43004.550474537034</v>
      </c>
      <c r="G82" s="7">
        <v>138</v>
      </c>
      <c r="H82" s="21" t="s">
        <v>362</v>
      </c>
      <c r="I82" s="13">
        <v>43004.57640046296</v>
      </c>
      <c r="J82" s="7">
        <v>0</v>
      </c>
      <c r="K82" s="89" t="str">
        <f t="shared" si="47"/>
        <v>4061/4062</v>
      </c>
      <c r="L82" s="184" t="str">
        <f>VLOOKUP(A82,'[1]Trips&amp;Operators'!$C$1:$G$99911,5,FALSE)</f>
        <v>SAFIEF AEIMEN</v>
      </c>
      <c r="M82" s="6">
        <f t="shared" si="48"/>
        <v>2.5925925925548654E-2</v>
      </c>
      <c r="N82" s="7">
        <f t="shared" si="49"/>
        <v>37.333333332790062</v>
      </c>
      <c r="O82" s="7"/>
      <c r="P82" s="7"/>
      <c r="Q82" s="22"/>
      <c r="R82" s="173"/>
      <c r="S82" s="220">
        <f t="shared" si="50"/>
        <v>1</v>
      </c>
      <c r="T82" s="173" t="str">
        <f t="shared" si="51"/>
        <v>Southbound</v>
      </c>
      <c r="U82" s="197">
        <f>IF(AG82="EC",COUNTIFS([1]Variables!$M$2:$M$19,IF(T82="NorthBound","&gt;=","&lt;=")&amp;Y82,[1]Variables!$M$2:$M$19,IF(T82="NorthBound","&lt;=","&gt;=")&amp;Z82),COUNTIFS([1]Variables!$P$2:$P$19,IF(T82="NorthBound","&gt;=","&lt;=")&amp;Y82,[1]Variables!$P$2:$P$19,IF(T82="NorthBound","&lt;=","&gt;=")&amp;Z82))</f>
        <v>12</v>
      </c>
      <c r="V82" s="215" t="str">
        <f t="shared" si="52"/>
        <v>https://d0f6bd738d7f1b3e5a7ca70fe4ff75f0.us-east-1.aws.found.io/app/kibana#/discover/Steve-Slow-Train-Analysis-(2080s-and-2083s)?_g=(refreshInterval:(display:Off,pause:!f,section:0,value:0),time:(from:'2017-09-26T11:56:40-0600',mode:absolute,to:'2017-09-26T14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2" s="203" t="str">
        <f>IF(AA82&lt;VLOOKUP(AG82,[1]Variables!$AC$3:$AD$8,2,FALSE),"Y","N")</f>
        <v>N</v>
      </c>
      <c r="X82" s="203">
        <f t="shared" si="53"/>
        <v>1</v>
      </c>
      <c r="Y82" s="203">
        <f t="shared" si="45"/>
        <v>23.302700000000002</v>
      </c>
      <c r="Z82" s="203">
        <f t="shared" si="46"/>
        <v>1.4500000000000001E-2</v>
      </c>
      <c r="AA82" s="203">
        <f t="shared" si="54"/>
        <v>23.2882</v>
      </c>
      <c r="AB82" s="54" t="e">
        <f>VLOOKUP(A82,[1]Enforcements!$C$7:$K$11,8,0)</f>
        <v>#N/A</v>
      </c>
      <c r="AC82" s="51" t="e">
        <f>VLOOKUP(A82,[1]Enforcements!$C$7:$E$11,3,0)</f>
        <v>#N/A</v>
      </c>
      <c r="AD82" s="178">
        <f t="shared" si="55"/>
        <v>170</v>
      </c>
      <c r="AE82" s="77" t="str">
        <f t="shared" si="56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82" s="74" t="str">
        <f t="shared" si="57"/>
        <v>"C:\Program Files (x86)\AstroGrep\AstroGrep.exe" /e /r /s /spath="%USERPROFILE%\AppData\Local\Temp\OnboardLogs" /stypes="app*4061*20170926*" /stext=" 19:.+((SYSTEM_STATE.+slice.+state.+changed )|(ment ac)|(multiple cpu faults)|(system.+state.+changed )|(\[timeout)|(PRM\|1\|D)|(kpr)|(kdp)|(train st.+moving)|(\|lc)|(penalty))"</v>
      </c>
      <c r="AG82" s="181" t="str">
        <f t="shared" si="58"/>
        <v>EC</v>
      </c>
      <c r="AH82" s="78" t="str">
        <f t="shared" si="59"/>
        <v>"%USERPROFILE%\Documents\GitHub\eaglep3\Utilities\RefineRTDCRunTimes.py" --tripid 170-26 --locoid 4061 --swversion DE.1.0.9.0 --startMP 204:233027 --initTime 2017-09-26T12:56:40 --startdatetime 2017-09-26T13:12:41 --delay 138 --endMP 204:145 --enddatetime 2017-09-26T13:50:01 --enforcementcount 0 &gt;&gt;c:\users\stu\Documents\GitHub\eaglep3-reporting\EC\2017-09-26-refined-times.txt</v>
      </c>
      <c r="AI82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ID","value":"170-26"},{"id":16,"name":"Locomotive ID","value":"4061"},{"id":130,"name":"Impact","value":""},{"id":150,"name":"Time of Event (Mountain Time)","value":"13:50:01"},{"id":151,"name":"Denver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61"/>
        <v>start /low /b %USERPROFILE%\Documents\GitHub\eaglep3\Utilities\DownloadLogsFromS3.py --loco 4061 --day 2017-09-26</v>
      </c>
      <c r="AN82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7" t="str">
        <f t="shared" si="63"/>
        <v>https://d0f6bd738d7f1b3e5a7ca70fe4ff75f0.us-east-1.aws.found.io/app/kibana#/discover/Steve-Slow-Train-Analysis-(2080s-and-2083s)?_g=(refreshInterval:(display:Off,pause:!f,section:0,value:0),time:(from:'2017-09-26T11:56:40-0600',mode:absolute,to:'2017-09-26T14:50:01-0600'))&amp;_a=(columns:!('Message%20ID',Summary),filters:!(),index:'emp_*',interval:auto,query:(query_string:(analyze_wildcard:!t,query:'%22rtdc.l.rtdc.4061%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744</v>
      </c>
      <c r="B83" s="7">
        <v>4026</v>
      </c>
      <c r="C83" s="21" t="s">
        <v>196</v>
      </c>
      <c r="D83" s="21" t="s">
        <v>386</v>
      </c>
      <c r="E83" s="13">
        <v>43004.518854166665</v>
      </c>
      <c r="F83" s="13">
        <v>43004.521226851852</v>
      </c>
      <c r="G83" s="7">
        <v>57</v>
      </c>
      <c r="H83" s="21" t="s">
        <v>526</v>
      </c>
      <c r="I83" s="13">
        <v>43004.547453703701</v>
      </c>
      <c r="J83" s="7">
        <v>0</v>
      </c>
      <c r="K83" s="89" t="str">
        <f t="shared" si="47"/>
        <v>4025/4026</v>
      </c>
      <c r="L83" s="184" t="str">
        <f>VLOOKUP(A83,'[1]Trips&amp;Operators'!$C$1:$G$99911,5,FALSE)</f>
        <v>DAVIS MICHAEL</v>
      </c>
      <c r="M83" s="6">
        <f t="shared" si="48"/>
        <v>2.622685184906004E-2</v>
      </c>
      <c r="N83" s="7">
        <f t="shared" si="49"/>
        <v>37.766666662646458</v>
      </c>
      <c r="O83" s="7"/>
      <c r="P83" s="7"/>
      <c r="Q83" s="22"/>
      <c r="R83" s="173"/>
      <c r="S83" s="220">
        <f t="shared" si="50"/>
        <v>1</v>
      </c>
      <c r="T83" s="173" t="str">
        <f t="shared" si="51"/>
        <v>NorthBound</v>
      </c>
      <c r="U83" s="197">
        <f>IF(AG83="EC",COUNTIFS([1]Variables!$M$2:$M$19,IF(T83="NorthBound","&gt;=","&lt;=")&amp;Y83,[1]Variables!$M$2:$M$19,IF(T83="NorthBound","&lt;=","&gt;=")&amp;Z83),COUNTIFS([1]Variables!$P$2:$P$19,IF(T83="NorthBound","&gt;=","&lt;=")&amp;Y83,[1]Variables!$P$2:$P$19,IF(T83="NorthBound","&lt;=","&gt;=")&amp;Z83))</f>
        <v>12</v>
      </c>
      <c r="V83" s="215" t="str">
        <f t="shared" si="52"/>
        <v>https://d0f6bd738d7f1b3e5a7ca70fe4ff75f0.us-east-1.aws.found.io/app/kibana#/discover/Steve-Slow-Train-Analysis-(2080s-and-2083s)?_g=(refreshInterval:(display:Off,pause:!f,section:0,value:0),time:(from:'2017-09-26T11:27:09-0600',mode:absolute,to:'2017-09-26T14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203" t="str">
        <f>IF(AA83&lt;VLOOKUP(AG83,[1]Variables!$AC$3:$AD$8,2,FALSE),"Y","N")</f>
        <v>N</v>
      </c>
      <c r="X83" s="203">
        <f t="shared" si="53"/>
        <v>1</v>
      </c>
      <c r="Y83" s="203">
        <f t="shared" si="45"/>
        <v>4.6199999999999998E-2</v>
      </c>
      <c r="Z83" s="203">
        <f t="shared" si="46"/>
        <v>23.3353</v>
      </c>
      <c r="AA83" s="203">
        <f t="shared" si="54"/>
        <v>23.289100000000001</v>
      </c>
      <c r="AB83" s="54" t="e">
        <f>VLOOKUP(A83,[1]Enforcements!$C$7:$K$11,8,0)</f>
        <v>#N/A</v>
      </c>
      <c r="AC83" s="51" t="e">
        <f>VLOOKUP(A83,[1]Enforcements!$C$7:$E$11,3,0)</f>
        <v>#N/A</v>
      </c>
      <c r="AD83" s="178">
        <f t="shared" si="55"/>
        <v>171</v>
      </c>
      <c r="AE83" s="77" t="str">
        <f t="shared" si="56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83" s="74" t="str">
        <f t="shared" si="57"/>
        <v>"C:\Program Files (x86)\AstroGrep\AstroGrep.exe" /e /r /s /spath="%USERPROFILE%\AppData\Local\Temp\OnboardLogs" /stypes="app*4026*20170926*" /stext=" 19:.+((SYSTEM_STATE.+slice.+state.+changed )|(ment ac)|(multiple cpu faults)|(system.+state.+changed )|(\[timeout)|(PRM\|1\|D)|(kpr)|(kdp)|(train st.+moving)|(\|lc)|(penalty))"</v>
      </c>
      <c r="AG83" s="181" t="str">
        <f t="shared" si="58"/>
        <v>EC</v>
      </c>
      <c r="AH83" s="78" t="str">
        <f t="shared" si="59"/>
        <v>"%USERPROFILE%\Documents\GitHub\eaglep3\Utilities\RefineRTDCRunTimes.py" --tripid 171-26 --locoid 4026 --swversion DE.1.0.9.0 --startMP 204:462 --initTime 2017-09-26T12:27:09 --startdatetime 2017-09-26T12:30:34 --delay 57 --endMP 204:233353 --enddatetime 2017-09-26T13:08:20 --enforcementcount 0 &gt;&gt;c:\users\stu\Documents\GitHub\eaglep3-reporting\EC\2017-09-26-refined-times.txt</v>
      </c>
      <c r="AI83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{"issue":{"subject":"","project_id":79,"tracker_id":40,"status_id":1,"priority_id":2,"assigned_to_id":338,"start_date":"2017-09-26","description":"","custom_fields":[{"id":1,"name":"Subdivision","value":"EC"},{"id":4,"name":"Milepost","value":"23.3353"},{"id":17,"name":"Train ID","value":"171-26"},{"id":16,"name":"Locomotive ID","value":"4026"},{"id":130,"name":"Impact","value":""},{"id":150,"name":"Time of Event (Mountain Time)","value":"13:08:20"},{"id":151,"name":"Denver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61"/>
        <v>start /low /b %USERPROFILE%\Documents\GitHub\eaglep3\Utilities\DownloadLogsFromS3.py --loco 4026 --day 2017-09-26</v>
      </c>
      <c r="AN83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7" t="str">
        <f t="shared" si="63"/>
        <v>https://d0f6bd738d7f1b3e5a7ca70fe4ff75f0.us-east-1.aws.found.io/app/kibana#/discover/Steve-Slow-Train-Analysis-(2080s-and-2083s)?_g=(refreshInterval:(display:Off,pause:!f,section:0,value:0),time:(from:'2017-09-26T11:27:09-0600',mode:absolute,to:'2017-09-26T14:08:20-0600'))&amp;_a=(columns:!('Message%20ID',Summary),filters:!(),index:'emp_*',interval:auto,query:(query_string:(analyze_wildcard:!t,query:'%22rtdc.l.rtdc.4026%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618</v>
      </c>
      <c r="B84" s="7">
        <v>4025</v>
      </c>
      <c r="C84" s="21" t="s">
        <v>196</v>
      </c>
      <c r="D84" s="21" t="s">
        <v>881</v>
      </c>
      <c r="E84" s="13">
        <v>43004.557488425926</v>
      </c>
      <c r="F84" s="13">
        <v>43004.560752314814</v>
      </c>
      <c r="G84" s="7">
        <v>91</v>
      </c>
      <c r="H84" s="21" t="s">
        <v>879</v>
      </c>
      <c r="I84" s="13">
        <v>43004.590428240743</v>
      </c>
      <c r="J84" s="7">
        <v>0</v>
      </c>
      <c r="K84" s="89" t="str">
        <f t="shared" si="47"/>
        <v>4025/4026</v>
      </c>
      <c r="L84" s="184" t="str">
        <f>VLOOKUP(A84,'[1]Trips&amp;Operators'!$C$1:$G$99911,5,FALSE)</f>
        <v>DAVIS MICHAEL</v>
      </c>
      <c r="M84" s="6">
        <f t="shared" si="48"/>
        <v>2.9675925929041114E-2</v>
      </c>
      <c r="N84" s="7">
        <f t="shared" si="49"/>
        <v>42.733333337819204</v>
      </c>
      <c r="O84" s="7"/>
      <c r="P84" s="7"/>
      <c r="Q84" s="22"/>
      <c r="R84" s="173"/>
      <c r="S84" s="220">
        <f t="shared" si="50"/>
        <v>1</v>
      </c>
      <c r="T84" s="173" t="str">
        <f t="shared" si="51"/>
        <v>Southbound</v>
      </c>
      <c r="U84" s="197">
        <f>IF(AG84="EC",COUNTIFS([1]Variables!$M$2:$M$19,IF(T84="NorthBound","&gt;=","&lt;=")&amp;Y84,[1]Variables!$M$2:$M$19,IF(T84="NorthBound","&lt;=","&gt;=")&amp;Z84),COUNTIFS([1]Variables!$P$2:$P$19,IF(T84="NorthBound","&gt;=","&lt;=")&amp;Y84,[1]Variables!$P$2:$P$19,IF(T84="NorthBound","&lt;=","&gt;=")&amp;Z84))</f>
        <v>12</v>
      </c>
      <c r="V84" s="215" t="str">
        <f t="shared" si="52"/>
        <v>https://d0f6bd738d7f1b3e5a7ca70fe4ff75f0.us-east-1.aws.found.io/app/kibana#/discover/Steve-Slow-Train-Analysis-(2080s-and-2083s)?_g=(refreshInterval:(display:Off,pause:!f,section:0,value:0),time:(from:'2017-09-26T12:22:47-0600',mode:absolute,to:'2017-09-26T15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203" t="str">
        <f>IF(AA84&lt;VLOOKUP(AG84,[1]Variables!$AC$3:$AD$8,2,FALSE),"Y","N")</f>
        <v>N</v>
      </c>
      <c r="X84" s="203">
        <f t="shared" si="53"/>
        <v>1</v>
      </c>
      <c r="Y84" s="203">
        <f t="shared" si="45"/>
        <v>23.3017</v>
      </c>
      <c r="Z84" s="203">
        <f t="shared" si="46"/>
        <v>1.7600000000000001E-2</v>
      </c>
      <c r="AA84" s="203">
        <f t="shared" si="54"/>
        <v>23.284099999999999</v>
      </c>
      <c r="AB84" s="54" t="e">
        <f>VLOOKUP(A84,[1]Enforcements!$C$7:$K$11,8,0)</f>
        <v>#N/A</v>
      </c>
      <c r="AC84" s="51" t="e">
        <f>VLOOKUP(A84,[1]Enforcements!$C$7:$E$11,3,0)</f>
        <v>#N/A</v>
      </c>
      <c r="AD84" s="178">
        <f t="shared" si="55"/>
        <v>172</v>
      </c>
      <c r="AE84" s="77" t="str">
        <f t="shared" si="56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84" s="74" t="str">
        <f t="shared" si="57"/>
        <v>"C:\Program Files (x86)\AstroGrep\AstroGrep.exe" /e /r /s /spath="%USERPROFILE%\AppData\Local\Temp\OnboardLogs" /stypes="app*4025*20170926*" /stext=" 20:.+((SYSTEM_STATE.+slice.+state.+changed )|(ment ac)|(multiple cpu faults)|(system.+state.+changed )|(\[timeout)|(PRM\|1\|D)|(kpr)|(kdp)|(train st.+moving)|(\|lc)|(penalty))"</v>
      </c>
      <c r="AG84" s="181" t="str">
        <f t="shared" si="58"/>
        <v>EC</v>
      </c>
      <c r="AH84" s="78" t="str">
        <f t="shared" si="59"/>
        <v>"%USERPROFILE%\Documents\GitHub\eaglep3\Utilities\RefineRTDCRunTimes.py" --tripid 172-26 --locoid 4025 --swversion DE.1.0.9.0 --startMP 204:233017 --initTime 2017-09-26T13:22:47 --startdatetime 2017-09-26T13:27:29 --delay 91 --endMP 204:176 --enddatetime 2017-09-26T14:10:13 --enforcementcount 0 &gt;&gt;c:\users\stu\Documents\GitHub\eaglep3-reporting\EC\2017-09-26-refined-times.txt</v>
      </c>
      <c r="AI84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{"issue":{"subject":"","project_id":79,"tracker_id":40,"status_id":1,"priority_id":2,"assigned_to_id":338,"start_date":"2017-09-26","description":"","custom_fields":[{"id":1,"name":"Subdivision","value":"EC"},{"id":4,"name":"Milepost","value":"0.0176"},{"id":17,"name":"Train ID","value":"172-26"},{"id":16,"name":"Locomotive ID","value":"4025"},{"id":130,"name":"Impact","value":""},{"id":150,"name":"Time of Event (Mountain Time)","value":"14:10:13"},{"id":151,"name":"Denver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61"/>
        <v>start /low /b %USERPROFILE%\Documents\GitHub\eaglep3\Utilities\DownloadLogsFromS3.py --loco 4025 --day 2017-09-26</v>
      </c>
      <c r="AN84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7" t="str">
        <f t="shared" si="63"/>
        <v>https://d0f6bd738d7f1b3e5a7ca70fe4ff75f0.us-east-1.aws.found.io/app/kibana#/discover/Steve-Slow-Train-Analysis-(2080s-and-2083s)?_g=(refreshInterval:(display:Off,pause:!f,section:0,value:0),time:(from:'2017-09-26T12:22:47-0600',mode:absolute,to:'2017-09-26T15:10:13-0600'))&amp;_a=(columns:!('Message%20ID',Summary),filters:!(),index:'emp_*',interval:auto,query:(query_string:(analyze_wildcard:!t,query:'%22rtdc.l.rtdc.4025%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4046</v>
      </c>
      <c r="C85" s="21" t="s">
        <v>196</v>
      </c>
      <c r="D85" s="21" t="s">
        <v>348</v>
      </c>
      <c r="E85" s="13">
        <v>43004.528171296297</v>
      </c>
      <c r="F85" s="13">
        <v>43004.531493055554</v>
      </c>
      <c r="G85" s="7">
        <v>90</v>
      </c>
      <c r="H85" s="21" t="s">
        <v>511</v>
      </c>
      <c r="I85" s="13">
        <v>43004.556261574071</v>
      </c>
      <c r="J85" s="7">
        <v>0</v>
      </c>
      <c r="K85" s="89" t="str">
        <f t="shared" si="47"/>
        <v>4045/4046</v>
      </c>
      <c r="L85" s="184" t="str">
        <f>VLOOKUP(A85,'[1]Trips&amp;Operators'!$C$1:$G$99911,5,FALSE)</f>
        <v>SMITH MICHAEL</v>
      </c>
      <c r="M85" s="6">
        <f t="shared" si="48"/>
        <v>2.4768518516793847E-2</v>
      </c>
      <c r="N85" s="7">
        <f t="shared" si="49"/>
        <v>35.66666666418314</v>
      </c>
      <c r="O85" s="7"/>
      <c r="P85" s="7"/>
      <c r="Q85" s="22"/>
      <c r="R85" s="173"/>
      <c r="S85" s="220">
        <f t="shared" si="50"/>
        <v>1</v>
      </c>
      <c r="T85" s="173" t="str">
        <f t="shared" si="51"/>
        <v>NorthBound</v>
      </c>
      <c r="U85" s="197">
        <f>IF(AG85="EC",COUNTIFS([1]Variables!$M$2:$M$19,IF(T85="NorthBound","&gt;=","&lt;=")&amp;Y85,[1]Variables!$M$2:$M$19,IF(T85="NorthBound","&lt;=","&gt;=")&amp;Z85),COUNTIFS([1]Variables!$P$2:$P$19,IF(T85="NorthBound","&gt;=","&lt;=")&amp;Y85,[1]Variables!$P$2:$P$19,IF(T85="NorthBound","&lt;=","&gt;=")&amp;Z85))</f>
        <v>12</v>
      </c>
      <c r="V85" s="215" t="str">
        <f t="shared" si="52"/>
        <v>https://d0f6bd738d7f1b3e5a7ca70fe4ff75f0.us-east-1.aws.found.io/app/kibana#/discover/Steve-Slow-Train-Analysis-(2080s-and-2083s)?_g=(refreshInterval:(display:Off,pause:!f,section:0,value:0),time:(from:'2017-09-26T11:40:34-0600',mode:absolute,to:'2017-09-26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203" t="str">
        <f>IF(AA85&lt;VLOOKUP(AG85,[1]Variables!$AC$3:$AD$8,2,FALSE),"Y","N")</f>
        <v>N</v>
      </c>
      <c r="X85" s="203">
        <f t="shared" si="53"/>
        <v>1</v>
      </c>
      <c r="Y85" s="203">
        <f t="shared" si="45"/>
        <v>4.5499999999999999E-2</v>
      </c>
      <c r="Z85" s="203">
        <f t="shared" si="46"/>
        <v>23.331399999999999</v>
      </c>
      <c r="AA85" s="203">
        <f t="shared" si="54"/>
        <v>23.285899999999998</v>
      </c>
      <c r="AB85" s="54" t="e">
        <f>VLOOKUP(A85,[1]Enforcements!$C$7:$K$11,8,0)</f>
        <v>#N/A</v>
      </c>
      <c r="AC85" s="51" t="e">
        <f>VLOOKUP(A85,[1]Enforcements!$C$7:$E$11,3,0)</f>
        <v>#N/A</v>
      </c>
      <c r="AD85" s="178">
        <f t="shared" si="55"/>
        <v>173</v>
      </c>
      <c r="AE85" s="77" t="str">
        <f t="shared" si="56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85" s="74" t="str">
        <f t="shared" si="57"/>
        <v>"C:\Program Files (x86)\AstroGrep\AstroGrep.exe" /e /r /s /spath="%USERPROFILE%\AppData\Local\Temp\OnboardLogs" /stypes="app*4046*20170926*" /stext=" 19:.+((SYSTEM_STATE.+slice.+state.+changed )|(ment ac)|(multiple cpu faults)|(system.+state.+changed )|(\[timeout)|(PRM\|1\|D)|(kpr)|(kdp)|(train st.+moving)|(\|lc)|(penalty))"</v>
      </c>
      <c r="AG85" s="181" t="str">
        <f t="shared" si="58"/>
        <v>EC</v>
      </c>
      <c r="AH85" s="78" t="str">
        <f t="shared" si="59"/>
        <v>"%USERPROFILE%\Documents\GitHub\eaglep3\Utilities\RefineRTDCRunTimes.py" --tripid 173-26 --locoid 4046 --swversion DE.1.0.9.0 --startMP 204:455 --initTime 2017-09-26T12:40:34 --startdatetime 2017-09-26T12:45:21 --delay 90 --endMP 204:233314 --enddatetime 2017-09-26T13:21:01 --enforcementcount 0 &gt;&gt;c:\users\stu\Documents\GitHub\eaglep3-reporting\EC\2017-09-26-refined-times.txt</v>
      </c>
      <c r="AI85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{"issue":{"subject":"","project_id":79,"tracker_id":40,"status_id":1,"priority_id":2,"assigned_to_id":338,"start_date":"2017-09-26","description":"","custom_fields":[{"id":1,"name":"Subdivision","value":"EC"},{"id":4,"name":"Milepost","value":"23.3314"},{"id":17,"name":"Train ID","value":"173-26"},{"id":16,"name":"Locomotive ID","value":"4046"},{"id":130,"name":"Impact","value":""},{"id":150,"name":"Time of Event (Mountain Time)","value":"13:21:01"},{"id":151,"name":"Denver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61"/>
        <v>start /low /b %USERPROFILE%\Documents\GitHub\eaglep3\Utilities\DownloadLogsFromS3.py --loco 4046 --day 2017-09-26</v>
      </c>
      <c r="AN85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7" t="str">
        <f t="shared" si="63"/>
        <v>https://d0f6bd738d7f1b3e5a7ca70fe4ff75f0.us-east-1.aws.found.io/app/kibana#/discover/Steve-Slow-Train-Analysis-(2080s-and-2083s)?_g=(refreshInterval:(display:Off,pause:!f,section:0,value:0),time:(from:'2017-09-26T11:40:34-0600',mode:absolute,to:'2017-09-26T14:21:01-0600'))&amp;_a=(columns:!('Message%20ID',Summary),filters:!(),index:'emp_*',interval:auto,query:(query_string:(analyze_wildcard:!t,query:'%22rtdc.l.rtdc.4046%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756</v>
      </c>
      <c r="B86" s="7">
        <v>4045</v>
      </c>
      <c r="C86" s="21" t="s">
        <v>196</v>
      </c>
      <c r="D86" s="21" t="s">
        <v>452</v>
      </c>
      <c r="E86" s="13">
        <v>43004.565729166665</v>
      </c>
      <c r="F86" s="13">
        <v>43004.571076388886</v>
      </c>
      <c r="G86" s="7">
        <v>113</v>
      </c>
      <c r="H86" s="21" t="s">
        <v>373</v>
      </c>
      <c r="I86" s="13">
        <v>43004.599293981482</v>
      </c>
      <c r="J86" s="7">
        <v>0</v>
      </c>
      <c r="K86" s="89" t="str">
        <f t="shared" si="47"/>
        <v>4045/4046</v>
      </c>
      <c r="L86" s="184" t="str">
        <f>VLOOKUP(A86,'[1]Trips&amp;Operators'!$C$1:$G$99911,5,FALSE)</f>
        <v>SMITH MICHAEL</v>
      </c>
      <c r="M86" s="6">
        <f t="shared" si="48"/>
        <v>2.8217592596774921E-2</v>
      </c>
      <c r="N86" s="7">
        <f t="shared" si="49"/>
        <v>40.633333339355886</v>
      </c>
      <c r="O86" s="7"/>
      <c r="P86" s="7"/>
      <c r="Q86" s="22"/>
      <c r="R86" s="173"/>
      <c r="S86" s="220">
        <f t="shared" si="50"/>
        <v>1</v>
      </c>
      <c r="T86" s="173" t="str">
        <f t="shared" si="51"/>
        <v>Southbound</v>
      </c>
      <c r="U86" s="197">
        <f>IF(AG86="EC",COUNTIFS([1]Variables!$M$2:$M$19,IF(T86="NorthBound","&gt;=","&lt;=")&amp;Y86,[1]Variables!$M$2:$M$19,IF(T86="NorthBound","&lt;=","&gt;=")&amp;Z86),COUNTIFS([1]Variables!$P$2:$P$19,IF(T86="NorthBound","&gt;=","&lt;=")&amp;Y86,[1]Variables!$P$2:$P$19,IF(T86="NorthBound","&lt;=","&gt;=")&amp;Z86))</f>
        <v>12</v>
      </c>
      <c r="V86" s="215" t="str">
        <f t="shared" si="52"/>
        <v>https://d0f6bd738d7f1b3e5a7ca70fe4ff75f0.us-east-1.aws.found.io/app/kibana#/discover/Steve-Slow-Train-Analysis-(2080s-and-2083s)?_g=(refreshInterval:(display:Off,pause:!f,section:0,value:0),time:(from:'2017-09-26T12:34:39-0600',mode:absolute,to:'2017-09-26T15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203" t="str">
        <f>IF(AA86&lt;VLOOKUP(AG86,[1]Variables!$AC$3:$AD$8,2,FALSE),"Y","N")</f>
        <v>N</v>
      </c>
      <c r="X86" s="203">
        <f t="shared" si="53"/>
        <v>1</v>
      </c>
      <c r="Y86" s="203">
        <f t="shared" si="45"/>
        <v>23.3002</v>
      </c>
      <c r="Z86" s="203">
        <f t="shared" si="46"/>
        <v>1.6E-2</v>
      </c>
      <c r="AA86" s="203">
        <f t="shared" si="54"/>
        <v>23.284200000000002</v>
      </c>
      <c r="AB86" s="54" t="e">
        <f>VLOOKUP(A86,[1]Enforcements!$C$7:$K$11,8,0)</f>
        <v>#N/A</v>
      </c>
      <c r="AC86" s="51" t="e">
        <f>VLOOKUP(A86,[1]Enforcements!$C$7:$E$11,3,0)</f>
        <v>#N/A</v>
      </c>
      <c r="AD86" s="178">
        <f t="shared" si="55"/>
        <v>174</v>
      </c>
      <c r="AE86" s="77" t="str">
        <f t="shared" si="56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86" s="74" t="str">
        <f t="shared" si="57"/>
        <v>"C:\Program Files (x86)\AstroGrep\AstroGrep.exe" /e /r /s /spath="%USERPROFILE%\AppData\Local\Temp\OnboardLogs" /stypes="app*4045*20170926*" /stext=" 20:.+((SYSTEM_STATE.+slice.+state.+changed )|(ment ac)|(multiple cpu faults)|(system.+state.+changed )|(\[timeout)|(PRM\|1\|D)|(kpr)|(kdp)|(train st.+moving)|(\|lc)|(penalty))"</v>
      </c>
      <c r="AG86" s="181" t="str">
        <f t="shared" si="58"/>
        <v>EC</v>
      </c>
      <c r="AH86" s="78" t="str">
        <f t="shared" si="59"/>
        <v>"%USERPROFILE%\Documents\GitHub\eaglep3\Utilities\RefineRTDCRunTimes.py" --tripid 174-26 --locoid 4045 --swversion DE.1.0.9.0 --startMP 204:233002 --initTime 2017-09-26T13:34:39 --startdatetime 2017-09-26T13:42:21 --delay 113 --endMP 204:160 --enddatetime 2017-09-26T14:22:59 --enforcementcount 0 &gt;&gt;c:\users\stu\Documents\GitHub\eaglep3-reporting\EC\2017-09-26-refined-times.txt</v>
      </c>
      <c r="AI86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{"issue":{"subject":"","project_id":79,"tracker_id":40,"status_id":1,"priority_id":2,"assigned_to_id":338,"start_date":"2017-09-26","description":"","custom_fields":[{"id":1,"name":"Subdivision","value":"EC"},{"id":4,"name":"Milepost","value":"0.016"},{"id":17,"name":"Train ID","value":"174-26"},{"id":16,"name":"Locomotive ID","value":"4045"},{"id":130,"name":"Impact","value":""},{"id":150,"name":"Time of Event (Mountain Time)","value":"14:22:59"},{"id":151,"name":"Denver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61"/>
        <v>start /low /b %USERPROFILE%\Documents\GitHub\eaglep3\Utilities\DownloadLogsFromS3.py --loco 4045 --day 2017-09-26</v>
      </c>
      <c r="AN86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7" t="str">
        <f t="shared" si="63"/>
        <v>https://d0f6bd738d7f1b3e5a7ca70fe4ff75f0.us-east-1.aws.found.io/app/kibana#/discover/Steve-Slow-Train-Analysis-(2080s-and-2083s)?_g=(refreshInterval:(display:Off,pause:!f,section:0,value:0),time:(from:'2017-09-26T12:34:39-0600',mode:absolute,to:'2017-09-26T15:22:59-0600'))&amp;_a=(columns:!('Message%20ID',Summary),filters:!(),index:'emp_*',interval:auto,query:(query_string:(analyze_wildcard:!t,query:'%22rtdc.l.rtdc.4045%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748</v>
      </c>
      <c r="B87" s="7">
        <v>4060</v>
      </c>
      <c r="C87" s="21" t="s">
        <v>196</v>
      </c>
      <c r="D87" s="21" t="s">
        <v>388</v>
      </c>
      <c r="E87" s="13">
        <v>43004.535219907404</v>
      </c>
      <c r="F87" s="13">
        <v>43004.541817129626</v>
      </c>
      <c r="G87" s="7">
        <v>64</v>
      </c>
      <c r="H87" s="21" t="s">
        <v>852</v>
      </c>
      <c r="I87" s="13">
        <v>43004.566550925927</v>
      </c>
      <c r="J87" s="7">
        <v>0</v>
      </c>
      <c r="K87" s="89" t="str">
        <f t="shared" si="47"/>
        <v>4059/4060</v>
      </c>
      <c r="L87" s="184" t="str">
        <f>VLOOKUP(A87,'[1]Trips&amp;Operators'!$C$1:$G$99911,5,FALSE)</f>
        <v>NEWELL JAMES</v>
      </c>
      <c r="M87" s="6">
        <f t="shared" si="48"/>
        <v>2.4733796301006805E-2</v>
      </c>
      <c r="N87" s="7">
        <f t="shared" si="49"/>
        <v>35.616666673449799</v>
      </c>
      <c r="O87" s="7"/>
      <c r="P87" s="7"/>
      <c r="Q87" s="22"/>
      <c r="R87" s="173"/>
      <c r="S87" s="220">
        <f t="shared" si="50"/>
        <v>1</v>
      </c>
      <c r="T87" s="173" t="str">
        <f t="shared" si="51"/>
        <v>NorthBound</v>
      </c>
      <c r="U87" s="197">
        <f>IF(AG87="EC",COUNTIFS([1]Variables!$M$2:$M$19,IF(T87="NorthBound","&gt;=","&lt;=")&amp;Y87,[1]Variables!$M$2:$M$19,IF(T87="NorthBound","&lt;=","&gt;=")&amp;Z87),COUNTIFS([1]Variables!$P$2:$P$19,IF(T87="NorthBound","&gt;=","&lt;=")&amp;Y87,[1]Variables!$P$2:$P$19,IF(T87="NorthBound","&lt;=","&gt;=")&amp;Z87))</f>
        <v>12</v>
      </c>
      <c r="V87" s="215" t="str">
        <f t="shared" si="52"/>
        <v>https://d0f6bd738d7f1b3e5a7ca70fe4ff75f0.us-east-1.aws.found.io/app/kibana#/discover/Steve-Slow-Train-Analysis-(2080s-and-2083s)?_g=(refreshInterval:(display:Off,pause:!f,section:0,value:0),time:(from:'2017-09-26T11:50:43-0600',mode:absolute,to:'2017-09-26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203" t="str">
        <f>IF(AA87&lt;VLOOKUP(AG87,[1]Variables!$AC$3:$AD$8,2,FALSE),"Y","N")</f>
        <v>N</v>
      </c>
      <c r="X87" s="203">
        <f t="shared" si="53"/>
        <v>1</v>
      </c>
      <c r="Y87" s="203">
        <f t="shared" si="45"/>
        <v>4.5100000000000001E-2</v>
      </c>
      <c r="Z87" s="203">
        <f t="shared" si="46"/>
        <v>23.328800000000001</v>
      </c>
      <c r="AA87" s="203">
        <f t="shared" si="54"/>
        <v>23.2837</v>
      </c>
      <c r="AB87" s="54" t="e">
        <f>VLOOKUP(A87,[1]Enforcements!$C$7:$K$11,8,0)</f>
        <v>#N/A</v>
      </c>
      <c r="AC87" s="51" t="e">
        <f>VLOOKUP(A87,[1]Enforcements!$C$7:$E$11,3,0)</f>
        <v>#N/A</v>
      </c>
      <c r="AD87" s="178">
        <f t="shared" si="55"/>
        <v>175</v>
      </c>
      <c r="AE87" s="77" t="str">
        <f t="shared" si="56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87" s="74" t="str">
        <f t="shared" si="57"/>
        <v>"C:\Program Files (x86)\AstroGrep\AstroGrep.exe" /e /r /s /spath="%USERPROFILE%\AppData\Local\Temp\OnboardLogs" /stypes="app*4060*20170926*" /stext=" 19:.+((SYSTEM_STATE.+slice.+state.+changed )|(ment ac)|(multiple cpu faults)|(system.+state.+changed )|(\[timeout)|(PRM\|1\|D)|(kpr)|(kdp)|(train st.+moving)|(\|lc)|(penalty))"</v>
      </c>
      <c r="AG87" s="181" t="str">
        <f t="shared" si="58"/>
        <v>EC</v>
      </c>
      <c r="AH87" s="78" t="str">
        <f t="shared" si="59"/>
        <v>"%USERPROFILE%\Documents\GitHub\eaglep3\Utilities\RefineRTDCRunTimes.py" --tripid 175-26 --locoid 4060 --swversion DE.1.0.9.0 --startMP 204:451 --initTime 2017-09-26T12:50:43 --startdatetime 2017-09-26T13:00:13 --delay 64 --endMP 204:233288 --enddatetime 2017-09-26T13:35:50 --enforcementcount 0 &gt;&gt;c:\users\stu\Documents\GitHub\eaglep3-reporting\EC\2017-09-26-refined-times.txt</v>
      </c>
      <c r="AI87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{"issue":{"subject":"","project_id":79,"tracker_id":40,"status_id":1,"priority_id":2,"assigned_to_id":338,"start_date":"2017-09-26","description":"","custom_fields":[{"id":1,"name":"Subdivision","value":"EC"},{"id":4,"name":"Milepost","value":"23.3288"},{"id":17,"name":"Train ID","value":"175-26"},{"id":16,"name":"Locomotive ID","value":"4060"},{"id":130,"name":"Impact","value":""},{"id":150,"name":"Time of Event (Mountain Time)","value":"13:35:50"},{"id":151,"name":"Denver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61"/>
        <v>start /low /b %USERPROFILE%\Documents\GitHub\eaglep3\Utilities\DownloadLogsFromS3.py --loco 4060 --day 2017-09-26</v>
      </c>
      <c r="AN87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7" t="str">
        <f t="shared" si="63"/>
        <v>https://d0f6bd738d7f1b3e5a7ca70fe4ff75f0.us-east-1.aws.found.io/app/kibana#/discover/Steve-Slow-Train-Analysis-(2080s-and-2083s)?_g=(refreshInterval:(display:Off,pause:!f,section:0,value:0),time:(from:'2017-09-26T11:50:43-0600',mode:absolute,to:'2017-09-26T14:35:50-0600'))&amp;_a=(columns:!('Message%20ID',Summary),filters:!(),index:'emp_*',interval:auto,query:(query_string:(analyze_wildcard:!t,query:'%22rtdc.l.rtdc.4060%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619</v>
      </c>
      <c r="B88" s="7">
        <v>4059</v>
      </c>
      <c r="C88" s="21" t="s">
        <v>196</v>
      </c>
      <c r="D88" s="21" t="s">
        <v>859</v>
      </c>
      <c r="E88" s="13">
        <v>43004.571446759262</v>
      </c>
      <c r="F88" s="13">
        <v>43004.581423611111</v>
      </c>
      <c r="G88" s="7">
        <v>73</v>
      </c>
      <c r="H88" s="21" t="s">
        <v>882</v>
      </c>
      <c r="I88" s="13">
        <v>43004.601018518515</v>
      </c>
      <c r="J88" s="7">
        <v>0</v>
      </c>
      <c r="K88" s="89" t="str">
        <f t="shared" si="47"/>
        <v>4059/4060</v>
      </c>
      <c r="L88" s="184" t="str">
        <f>VLOOKUP(A88,'[1]Trips&amp;Operators'!$C$1:$G$99911,5,FALSE)</f>
        <v>NEWELL JAMES</v>
      </c>
      <c r="M88" s="6">
        <f t="shared" si="48"/>
        <v>1.9594907404098194E-2</v>
      </c>
      <c r="N88" s="7"/>
      <c r="O88" s="7"/>
      <c r="P88" s="7">
        <f>24*60*SUM($M88:$M88)</f>
        <v>28.216666661901399</v>
      </c>
      <c r="Q88" s="22"/>
      <c r="R88" s="173" t="s">
        <v>1011</v>
      </c>
      <c r="S88" s="220">
        <f t="shared" si="50"/>
        <v>0.75</v>
      </c>
      <c r="T88" s="173" t="str">
        <f t="shared" si="51"/>
        <v>Southbound</v>
      </c>
      <c r="U88" s="197">
        <f>IF(AG88="EC",COUNTIFS([1]Variables!$M$2:$M$19,IF(T88="NorthBound","&gt;=","&lt;=")&amp;Y88,[1]Variables!$M$2:$M$19,IF(T88="NorthBound","&lt;=","&gt;=")&amp;Z88),COUNTIFS([1]Variables!$P$2:$P$19,IF(T88="NorthBound","&gt;=","&lt;=")&amp;Y88,[1]Variables!$P$2:$P$19,IF(T88="NorthBound","&lt;=","&gt;=")&amp;Z88))</f>
        <v>9</v>
      </c>
      <c r="V88" s="215" t="str">
        <f t="shared" si="52"/>
        <v>https://d0f6bd738d7f1b3e5a7ca70fe4ff75f0.us-east-1.aws.found.io/app/kibana#/discover/Steve-Slow-Train-Analysis-(2080s-and-2083s)?_g=(refreshInterval:(display:Off,pause:!f,section:0,value:0),time:(from:'2017-09-26T12:42:53-0600',mode:absolute,to:'2017-09-26T15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203" t="str">
        <f>IF(AA88&lt;VLOOKUP(AG88,[1]Variables!$AC$3:$AD$8,2,FALSE),"Y","N")</f>
        <v>Y</v>
      </c>
      <c r="X88" s="203">
        <f t="shared" si="53"/>
        <v>1</v>
      </c>
      <c r="Y88" s="203">
        <f t="shared" si="45"/>
        <v>23.296900000000001</v>
      </c>
      <c r="Z88" s="203">
        <f t="shared" si="46"/>
        <v>3.9929000000000001</v>
      </c>
      <c r="AA88" s="203">
        <f t="shared" si="54"/>
        <v>19.304000000000002</v>
      </c>
      <c r="AB88" s="54" t="str">
        <f>VLOOKUP(A88,[1]Enforcements!$C$7:$K$11,8,0)</f>
        <v>Bulletin (2)</v>
      </c>
      <c r="AC88" s="51" t="str">
        <f>VLOOKUP(A88,[1]Enforcements!$C$7:$E$11,3,0)</f>
        <v>GRADE CROSSING</v>
      </c>
      <c r="AD88" s="178">
        <f t="shared" si="55"/>
        <v>176</v>
      </c>
      <c r="AE88" s="77" t="str">
        <f t="shared" si="56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88" s="74" t="str">
        <f t="shared" si="57"/>
        <v>"C:\Program Files (x86)\AstroGrep\AstroGrep.exe" /e /r /s /spath="%USERPROFILE%\AppData\Local\Temp\OnboardLogs" /stypes="app*4059*20170926*" /stext=" 20:.+((SYSTEM_STATE.+slice.+state.+changed )|(ment ac)|(multiple cpu faults)|(system.+state.+changed )|(\[timeout)|(PRM\|1\|D)|(kpr)|(kdp)|(train st.+moving)|(\|lc)|(penalty))"</v>
      </c>
      <c r="AG88" s="181" t="str">
        <f t="shared" si="58"/>
        <v>EC</v>
      </c>
      <c r="AH88" s="78" t="str">
        <f t="shared" si="59"/>
        <v>"%USERPROFILE%\Documents\GitHub\eaglep3\Utilities\RefineRTDCRunTimes.py" --tripid 176-26 --locoid 4059 --swversion DE.1.0.9.0 --startMP 204:232969 --initTime 2017-09-26T13:42:53 --startdatetime 2017-09-26T13:57:15 --delay 73 --endMP 204:39929 --enddatetime 2017-09-26T14:25:28 --enforcementcount 0 &gt;&gt;c:\users\stu\Documents\GitHub\eaglep3-reporting\EC\2017-09-26-refined-times.txt</v>
      </c>
      <c r="AI88" s="96" t="str">
        <f t="shared" si="60"/>
        <v>echo {"issue":{"subject":"Wi-MAX data drop","project_id":79,"tracker_id":40,"status_id":1,"priority_id":2,"assigned_to_id":338,"start_date":"2017-09-26","description":"","custom_fields":[{"id":1,"name":"Subdivision","value":"EC"},{"id":4,"name":"Milepost","value":"3.9929"},{"id":17,"name":"Train ID","value":"176-26"},{"id":16,"name":"Locomotive ID","value":"4059"},{"id":130,"name":"Impact","value":""},{"id":150,"name":"Time of Event (Mountain Time)","value":"14:25:28"},{"id":151,"name":"Denver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61"/>
        <v>start /low /b %USERPROFILE%\Documents\GitHub\eaglep3\Utilities\DownloadLogsFromS3.py --loco 4059 --day 2017-09-26</v>
      </c>
      <c r="AN88" s="151" t="str">
        <f t="shared" si="62"/>
        <v>echo {"issue":{"subject":"Wi-MAX data drop","project_id":30,"tracker_id":4,"status_id":1,"priority_id":1,"assigned_to_id":10,"start_date":"2017-09-26","description":"","custom_fields":[{"id":30,"name":"Category","value":"Issue"},{"id":3,"name":"Functional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7" t="str">
        <f t="shared" si="63"/>
        <v>https://d0f6bd738d7f1b3e5a7ca70fe4ff75f0.us-east-1.aws.found.io/app/kibana#/discover/Steve-Slow-Train-Analysis-(2080s-and-2083s)?_g=(refreshInterval:(display:Off,pause:!f,section:0,value:0),time:(from:'2017-09-26T12:42:53-0600',mode:absolute,to:'2017-09-26T15:25:28-0600'))&amp;_a=(columns:!('Message%20ID',Summary),filters:!(),index:'emp_*',interval:auto,query:(query_string:(analyze_wildcard:!t,query:'%22rtdc.l.rtdc.4059%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751</v>
      </c>
      <c r="B89" s="7">
        <v>4018</v>
      </c>
      <c r="C89" s="21" t="s">
        <v>196</v>
      </c>
      <c r="D89" s="21" t="s">
        <v>418</v>
      </c>
      <c r="E89" s="13">
        <v>43004.549247685187</v>
      </c>
      <c r="F89" s="13">
        <v>43004.552349537036</v>
      </c>
      <c r="G89" s="7">
        <v>70</v>
      </c>
      <c r="H89" s="21" t="s">
        <v>402</v>
      </c>
      <c r="I89" s="13">
        <v>43004.578668981485</v>
      </c>
      <c r="J89" s="7">
        <v>0</v>
      </c>
      <c r="K89" s="89" t="str">
        <f t="shared" si="47"/>
        <v>4017/4018</v>
      </c>
      <c r="L89" s="184" t="str">
        <f>VLOOKUP(A89,'[1]Trips&amp;Operators'!$C$1:$G$99911,5,FALSE)</f>
        <v>NELSON ARIANE</v>
      </c>
      <c r="M89" s="6">
        <f t="shared" si="48"/>
        <v>2.6319444448745344E-2</v>
      </c>
      <c r="N89" s="7">
        <f t="shared" ref="N89:N101" si="64">24*60*SUM($M89:$M89)</f>
        <v>37.900000006193295</v>
      </c>
      <c r="O89" s="7"/>
      <c r="P89" s="7"/>
      <c r="Q89" s="22"/>
      <c r="R89" s="173"/>
      <c r="S89" s="220">
        <f t="shared" si="50"/>
        <v>1</v>
      </c>
      <c r="T89" s="173" t="str">
        <f t="shared" si="51"/>
        <v>NorthBound</v>
      </c>
      <c r="U89" s="197">
        <f>IF(AG89="EC",COUNTIFS([1]Variables!$M$2:$M$19,IF(T89="NorthBound","&gt;=","&lt;=")&amp;Y89,[1]Variables!$M$2:$M$19,IF(T89="NorthBound","&lt;=","&gt;=")&amp;Z89),COUNTIFS([1]Variables!$P$2:$P$19,IF(T89="NorthBound","&gt;=","&lt;=")&amp;Y89,[1]Variables!$P$2:$P$19,IF(T89="NorthBound","&lt;=","&gt;=")&amp;Z89))</f>
        <v>12</v>
      </c>
      <c r="V89" s="215" t="str">
        <f t="shared" si="52"/>
        <v>https://d0f6bd738d7f1b3e5a7ca70fe4ff75f0.us-east-1.aws.found.io/app/kibana#/discover/Steve-Slow-Train-Analysis-(2080s-and-2083s)?_g=(refreshInterval:(display:Off,pause:!f,section:0,value:0),time:(from:'2017-09-26T12:10:55-0600',mode:absolute,to:'2017-09-26T14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03" t="str">
        <f>IF(AA89&lt;VLOOKUP(AG89,[1]Variables!$AC$3:$AD$8,2,FALSE),"Y","N")</f>
        <v>N</v>
      </c>
      <c r="X89" s="203">
        <f t="shared" si="53"/>
        <v>1</v>
      </c>
      <c r="Y89" s="203">
        <f t="shared" si="45"/>
        <v>4.5699999999999998E-2</v>
      </c>
      <c r="Z89" s="203">
        <f t="shared" si="46"/>
        <v>23.331900000000001</v>
      </c>
      <c r="AA89" s="203">
        <f t="shared" si="54"/>
        <v>23.286200000000001</v>
      </c>
      <c r="AB89" s="54" t="e">
        <f>VLOOKUP(A89,[1]Enforcements!$C$7:$K$11,8,0)</f>
        <v>#N/A</v>
      </c>
      <c r="AC89" s="51" t="e">
        <f>VLOOKUP(A89,[1]Enforcements!$C$7:$E$11,3,0)</f>
        <v>#N/A</v>
      </c>
      <c r="AD89" s="178">
        <f t="shared" si="55"/>
        <v>177</v>
      </c>
      <c r="AE89" s="77" t="str">
        <f t="shared" si="56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89" s="74" t="str">
        <f t="shared" si="57"/>
        <v>"C:\Program Files (x86)\AstroGrep\AstroGrep.exe" /e /r /s /spath="%USERPROFILE%\AppData\Local\Temp\OnboardLogs" /stypes="app*4018*20170926*" /stext=" 19:.+((SYSTEM_STATE.+slice.+state.+changed )|(ment ac)|(multiple cpu faults)|(system.+state.+changed )|(\[timeout)|(PRM\|1\|D)|(kpr)|(kdp)|(train st.+moving)|(\|lc)|(penalty))"</v>
      </c>
      <c r="AG89" s="181" t="str">
        <f t="shared" si="58"/>
        <v>EC</v>
      </c>
      <c r="AH89" s="78" t="str">
        <f t="shared" si="59"/>
        <v>"%USERPROFILE%\Documents\GitHub\eaglep3\Utilities\RefineRTDCRunTimes.py" --tripid 177-26 --locoid 4018 --swversion DE.1.0.9.0 --startMP 204:457 --initTime 2017-09-26T13:10:55 --startdatetime 2017-09-26T13:15:23 --delay 70 --endMP 204:233319 --enddatetime 2017-09-26T13:53:17 --enforcementcount 0 &gt;&gt;c:\users\stu\Documents\GitHub\eaglep3-reporting\EC\2017-09-26-refined-times.txt</v>
      </c>
      <c r="AI89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{"issue":{"subject":"","project_id":79,"tracker_id":40,"status_id":1,"priority_id":2,"assigned_to_id":338,"start_date":"2017-09-26","description":"","custom_fields":[{"id":1,"name":"Subdivision","value":"EC"},{"id":4,"name":"Milepost","value":"23.3319"},{"id":17,"name":"Train ID","value":"177-26"},{"id":16,"name":"Locomotive ID","value":"4018"},{"id":130,"name":"Impact","value":""},{"id":150,"name":"Time of Event (Mountain Time)","value":"13:53:17"},{"id":151,"name":"Denver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61"/>
        <v>start /low /b %USERPROFILE%\Documents\GitHub\eaglep3\Utilities\DownloadLogsFromS3.py --loco 4018 --day 2017-09-26</v>
      </c>
      <c r="AN89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7" t="str">
        <f t="shared" si="63"/>
        <v>https://d0f6bd738d7f1b3e5a7ca70fe4ff75f0.us-east-1.aws.found.io/app/kibana#/discover/Steve-Slow-Train-Analysis-(2080s-and-2083s)?_g=(refreshInterval:(display:Off,pause:!f,section:0,value:0),time:(from:'2017-09-26T12:10:55-0600',mode:absolute,to:'2017-09-26T14:53:17-0600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760</v>
      </c>
      <c r="B90" s="7">
        <v>4017</v>
      </c>
      <c r="C90" s="21" t="s">
        <v>196</v>
      </c>
      <c r="D90" s="21" t="s">
        <v>573</v>
      </c>
      <c r="E90" s="13">
        <v>43004.590567129628</v>
      </c>
      <c r="F90" s="13">
        <v>43004.592256944445</v>
      </c>
      <c r="G90" s="7">
        <v>86</v>
      </c>
      <c r="H90" s="21" t="s">
        <v>337</v>
      </c>
      <c r="I90" s="13">
        <v>43004.622812499998</v>
      </c>
      <c r="J90" s="7">
        <v>0</v>
      </c>
      <c r="K90" s="89" t="str">
        <f t="shared" si="47"/>
        <v>4017/4018</v>
      </c>
      <c r="L90" s="184" t="str">
        <f>VLOOKUP(A90,'[1]Trips&amp;Operators'!$C$1:$G$99911,5,FALSE)</f>
        <v>NELSON ARIANE</v>
      </c>
      <c r="M90" s="6">
        <f t="shared" si="48"/>
        <v>3.0555555553291924E-2</v>
      </c>
      <c r="N90" s="7">
        <f t="shared" si="64"/>
        <v>43.999999996740371</v>
      </c>
      <c r="O90" s="7"/>
      <c r="P90" s="7"/>
      <c r="Q90" s="22"/>
      <c r="R90" s="173"/>
      <c r="S90" s="220">
        <f t="shared" si="50"/>
        <v>1</v>
      </c>
      <c r="T90" s="173" t="str">
        <f t="shared" si="51"/>
        <v>Southbound</v>
      </c>
      <c r="U90" s="197">
        <f>IF(AG90="EC",COUNTIFS([1]Variables!$M$2:$M$19,IF(T90="NorthBound","&gt;=","&lt;=")&amp;Y90,[1]Variables!$M$2:$M$19,IF(T90="NorthBound","&lt;=","&gt;=")&amp;Z90),COUNTIFS([1]Variables!$P$2:$P$19,IF(T90="NorthBound","&gt;=","&lt;=")&amp;Y90,[1]Variables!$P$2:$P$19,IF(T90="NorthBound","&lt;=","&gt;=")&amp;Z90))</f>
        <v>12</v>
      </c>
      <c r="V90" s="215" t="str">
        <f t="shared" si="52"/>
        <v>https://d0f6bd738d7f1b3e5a7ca70fe4ff75f0.us-east-1.aws.found.io/app/kibana#/discover/Steve-Slow-Train-Analysis-(2080s-and-2083s)?_g=(refreshInterval:(display:Off,pause:!f,section:0,value:0),time:(from:'2017-09-26T13:10:25-0600',mode:absolute,to:'2017-09-26T15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03" t="str">
        <f>IF(AA90&lt;VLOOKUP(AG90,[1]Variables!$AC$3:$AD$8,2,FALSE),"Y","N")</f>
        <v>N</v>
      </c>
      <c r="X90" s="203">
        <f t="shared" si="53"/>
        <v>1</v>
      </c>
      <c r="Y90" s="203">
        <f t="shared" si="45"/>
        <v>23.2974</v>
      </c>
      <c r="Z90" s="203">
        <f t="shared" si="46"/>
        <v>1.4999999999999999E-2</v>
      </c>
      <c r="AA90" s="203">
        <f t="shared" si="54"/>
        <v>23.282399999999999</v>
      </c>
      <c r="AB90" s="54" t="e">
        <f>VLOOKUP(A90,[1]Enforcements!$C$7:$K$11,8,0)</f>
        <v>#N/A</v>
      </c>
      <c r="AC90" s="51" t="e">
        <f>VLOOKUP(A90,[1]Enforcements!$C$7:$E$11,3,0)</f>
        <v>#N/A</v>
      </c>
      <c r="AD90" s="178">
        <f t="shared" si="55"/>
        <v>178</v>
      </c>
      <c r="AE90" s="77" t="str">
        <f t="shared" si="56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90" s="74" t="str">
        <f t="shared" si="57"/>
        <v>"C:\Program Files (x86)\AstroGrep\AstroGrep.exe" /e /r /s /spath="%USERPROFILE%\AppData\Local\Temp\OnboardLogs" /stypes="app*4017*20170926*" /stext=" 20:.+((SYSTEM_STATE.+slice.+state.+changed )|(ment ac)|(multiple cpu faults)|(system.+state.+changed )|(\[timeout)|(PRM\|1\|D)|(kpr)|(kdp)|(train st.+moving)|(\|lc)|(penalty))"</v>
      </c>
      <c r="AG90" s="181" t="str">
        <f t="shared" si="58"/>
        <v>EC</v>
      </c>
      <c r="AH90" s="78" t="str">
        <f t="shared" si="59"/>
        <v>"%USERPROFILE%\Documents\GitHub\eaglep3\Utilities\RefineRTDCRunTimes.py" --tripid 178-26 --locoid 4017 --swversion DE.1.0.9.0 --startMP 204:232974 --initTime 2017-09-26T14:10:25 --startdatetime 2017-09-26T14:12:51 --delay 86 --endMP 204:150 --enddatetime 2017-09-26T14:56:51 --enforcementcount 0 &gt;&gt;c:\users\stu\Documents\GitHub\eaglep3-reporting\EC\2017-09-26-refined-times.txt</v>
      </c>
      <c r="AI90" s="96" t="str">
        <f t="shared" si="60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ID","value":"178-26"},{"id":16,"name":"Locomotive ID","value":"4017"},{"id":130,"name":"Impact","value":""},{"id":150,"name":"Time of Event (Mountain Time)","value":"14:56:51"},{"id":151,"name":"Denver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61"/>
        <v>start /low /b %USERPROFILE%\Documents\GitHub\eaglep3\Utilities\DownloadLogsFromS3.py --loco 4017 --day 2017-09-26</v>
      </c>
      <c r="AN90" s="151" t="str">
        <f t="shared" si="62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7" t="str">
        <f t="shared" si="63"/>
        <v>https://d0f6bd738d7f1b3e5a7ca70fe4ff75f0.us-east-1.aws.found.io/app/kibana#/discover/Steve-Slow-Train-Analysis-(2080s-and-2083s)?_g=(refreshInterval:(display:Off,pause:!f,section:0,value:0),time:(from:'2017-09-26T13:10:25-0600',mode:absolute,to:'2017-09-26T15:56:51-0600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754</v>
      </c>
      <c r="B91" s="7">
        <v>4054</v>
      </c>
      <c r="C91" s="21" t="s">
        <v>196</v>
      </c>
      <c r="D91" s="21" t="s">
        <v>883</v>
      </c>
      <c r="E91" s="13">
        <v>43004.561273148145</v>
      </c>
      <c r="F91" s="13">
        <v>43004.562650462962</v>
      </c>
      <c r="G91" s="7">
        <v>56</v>
      </c>
      <c r="H91" s="21" t="s">
        <v>1012</v>
      </c>
      <c r="I91" s="13">
        <v>43004.587488425925</v>
      </c>
      <c r="J91" s="7">
        <v>0</v>
      </c>
      <c r="K91" s="89" t="str">
        <f t="shared" si="47"/>
        <v>4053/4054</v>
      </c>
      <c r="L91" s="184" t="str">
        <f>VLOOKUP(A91,'[1]Trips&amp;Operators'!$C$1:$G$99911,5,FALSE)</f>
        <v>LEVIN SCOTT</v>
      </c>
      <c r="M91" s="6">
        <f t="shared" si="48"/>
        <v>2.4837962962919846E-2</v>
      </c>
      <c r="N91" s="7">
        <f t="shared" si="64"/>
        <v>35.766666666604578</v>
      </c>
      <c r="O91" s="7"/>
      <c r="P91" s="7"/>
      <c r="Q91" s="22"/>
      <c r="R91" s="173"/>
      <c r="S91" s="220">
        <f t="shared" ref="S91:S108" si="65">1/IF(AG91="EC",12,1)*SUM(U91:U91)</f>
        <v>1</v>
      </c>
      <c r="T91" s="173" t="str">
        <f t="shared" si="51"/>
        <v>NorthBound</v>
      </c>
      <c r="U91" s="197">
        <f>IF(AG91="EC",COUNTIFS([1]Variables!$M$2:$M$19,IF(T91="NorthBound","&gt;=","&lt;=")&amp;Y91,[1]Variables!$M$2:$M$19,IF(T91="NorthBound","&lt;=","&gt;=")&amp;Z91),COUNTIFS([1]Variables!$P$2:$P$19,IF(T91="NorthBound","&gt;=","&lt;=")&amp;Y91,[1]Variables!$P$2:$P$19,IF(T91="NorthBound","&lt;=","&gt;=")&amp;Z91))</f>
        <v>12</v>
      </c>
      <c r="V91" s="215" t="str">
        <f t="shared" ref="V91:V113" si="66"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-26T12:28:14-0600',mode:absolute,to:'2017-09-26T15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203" t="str">
        <f>IF(AA91&lt;VLOOKUP(AG91,[1]Variables!$AC$3:$AD$8,2,FALSE),"Y","N")</f>
        <v>N</v>
      </c>
      <c r="X91" s="203">
        <f t="shared" si="53"/>
        <v>1</v>
      </c>
      <c r="Y91" s="203">
        <f t="shared" si="45"/>
        <v>4.82E-2</v>
      </c>
      <c r="Z91" s="203">
        <f t="shared" si="46"/>
        <v>23.3324</v>
      </c>
      <c r="AA91" s="203">
        <f t="shared" si="54"/>
        <v>23.284199999999998</v>
      </c>
      <c r="AB91" s="54" t="e">
        <f>VLOOKUP(A91,[1]Enforcements!$C$7:$K$11,8,0)</f>
        <v>#N/A</v>
      </c>
      <c r="AC91" s="51" t="e">
        <f>VLOOKUP(A91,[1]Enforcements!$C$7:$E$11,3,0)</f>
        <v>#N/A</v>
      </c>
      <c r="AD91" s="178">
        <f t="shared" si="55"/>
        <v>179</v>
      </c>
      <c r="AE91" s="77" t="str">
        <f t="shared" ref="AE91:AE113" si="67"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91" s="74" t="str">
        <f t="shared" ref="AF91:AF113" si="68"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/stypes="app*4054*20170926*" /stext=" 20:.+((SYSTEM_STATE.+slice.+state.+changed )|(ment ac)|(multiple cpu faults)|(system.+state.+changed )|(\[timeout)|(PRM\|1\|D)|(kpr)|(kdp)|(train st.+moving)|(\|lc)|(penalty))"</v>
      </c>
      <c r="AG91" s="181" t="str">
        <f t="shared" ref="AG91:AG113" si="69">DetSubdiv(A91)</f>
        <v>EC</v>
      </c>
      <c r="AH91" s="78" t="str">
        <f t="shared" ref="AH91:AH113" si="70"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179-26 --locoid 4054 --swversion DE.1.0.9.0 --startMP 204:482 --initTime 2017-09-26T13:28:14 --startdatetime 2017-09-26T13:30:13 --delay 56 --endMP 204:233324 --enddatetime 2017-09-26T14:05:59 --enforcementcount 0 &gt;&gt;c:\users\stu\Documents\GitHub\eaglep3-reporting\EC\2017-09-26-refined-times.txt</v>
      </c>
      <c r="AI91" s="96" t="str">
        <f t="shared" ref="AI91:AI113" si="71"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{"issue":{"subject":"","project_id":79,"tracker_id":40,"status_id":1,"priority_id":2,"assigned_to_id":338,"start_date":"2017-09-26","description":"","custom_fields":[{"id":1,"name":"Subdivision","value":"EC"},{"id":4,"name":"Milepost","value":"23.3324"},{"id":17,"name":"Train ID","value":"179-26"},{"id":16,"name":"Locomotive ID","value":"4054"},{"id":130,"name":"Impact","value":""},{"id":150,"name":"Time of Event (Mountain Time)","value":"14:05:59"},{"id":151,"name":"Denver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ref="AM91:AM113" si="72">"start /low /b "&amp;dls3logs&amp;" --loco "&amp;B91&amp;" --day "&amp;TEXT(F91,"YYYY-MM-DD")</f>
        <v>start /low /b %USERPROFILE%\Documents\GitHub\eaglep3\Utilities\DownloadLogsFromS3.py --loco 4054 --day 2017-09-26</v>
      </c>
      <c r="AN91" s="151" t="str">
        <f t="shared" ref="AN91:AN113" si="73"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7" t="str">
        <f t="shared" ref="AO91:AO113" si="74"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Message%20ID',Summary),filters:!(),index:'emp_*',interval:auto,query:"&amp;"(query_string:(analyze_wildcard:!t,query:'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-26T12:28:14-0600',mode:absolute,to:'2017-09-26T15:05:59-0600'))&amp;_a=(columns:!('Message%20ID',Summary),filters:!(),index:'emp_*',interval:auto,query:(query_string:(analyze_wildcard:!t,query:'%22rtdc.l.rtdc.4054%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761</v>
      </c>
      <c r="B92" s="7">
        <v>4053</v>
      </c>
      <c r="C92" s="21" t="s">
        <v>196</v>
      </c>
      <c r="D92" s="21" t="s">
        <v>865</v>
      </c>
      <c r="E92" s="13">
        <v>43004.593206018515</v>
      </c>
      <c r="F92" s="13">
        <v>43004.602430555555</v>
      </c>
      <c r="G92" s="7">
        <v>57</v>
      </c>
      <c r="H92" s="21" t="s">
        <v>342</v>
      </c>
      <c r="I92" s="13">
        <v>43004.629918981482</v>
      </c>
      <c r="J92" s="7">
        <v>0</v>
      </c>
      <c r="K92" s="89" t="str">
        <f t="shared" si="47"/>
        <v>4053/4054</v>
      </c>
      <c r="L92" s="184" t="str">
        <f>VLOOKUP(A92,'[1]Trips&amp;Operators'!$C$1:$G$99911,5,FALSE)</f>
        <v>LEVIN SCOTT</v>
      </c>
      <c r="M92" s="6">
        <f t="shared" si="48"/>
        <v>2.7488425927003846E-2</v>
      </c>
      <c r="N92" s="7">
        <f t="shared" si="64"/>
        <v>39.583333334885538</v>
      </c>
      <c r="O92" s="7"/>
      <c r="P92" s="7"/>
      <c r="Q92" s="22"/>
      <c r="R92" s="173"/>
      <c r="S92" s="220">
        <f t="shared" si="65"/>
        <v>1</v>
      </c>
      <c r="T92" s="173" t="str">
        <f t="shared" si="51"/>
        <v>Southbound</v>
      </c>
      <c r="U92" s="197">
        <f>IF(AG92="EC",COUNTIFS([1]Variables!$M$2:$M$19,IF(T92="NorthBound","&gt;=","&lt;=")&amp;Y92,[1]Variables!$M$2:$M$19,IF(T92="NorthBound","&lt;=","&gt;=")&amp;Z92),COUNTIFS([1]Variables!$P$2:$P$19,IF(T92="NorthBound","&gt;=","&lt;=")&amp;Y92,[1]Variables!$P$2:$P$19,IF(T92="NorthBound","&lt;=","&gt;=")&amp;Z92))</f>
        <v>12</v>
      </c>
      <c r="V92" s="215" t="str">
        <f t="shared" si="66"/>
        <v>https://d0f6bd738d7f1b3e5a7ca70fe4ff75f0.us-east-1.aws.found.io/app/kibana#/discover/Steve-Slow-Train-Analysis-(2080s-and-2083s)?_g=(refreshInterval:(display:Off,pause:!f,section:0,value:0),time:(from:'2017-09-26T13:14:13-0600',mode:absolute,to:'2017-09-26T16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203" t="str">
        <f>IF(AA92&lt;VLOOKUP(AG92,[1]Variables!$AC$3:$AD$8,2,FALSE),"Y","N")</f>
        <v>N</v>
      </c>
      <c r="X92" s="203">
        <f t="shared" si="53"/>
        <v>1</v>
      </c>
      <c r="Y92" s="203">
        <f t="shared" si="45"/>
        <v>23.3005</v>
      </c>
      <c r="Z92" s="203">
        <f t="shared" si="46"/>
        <v>1.47E-2</v>
      </c>
      <c r="AA92" s="203">
        <f t="shared" si="54"/>
        <v>23.285799999999998</v>
      </c>
      <c r="AB92" s="54" t="e">
        <f>VLOOKUP(A92,[1]Enforcements!$C$7:$K$11,8,0)</f>
        <v>#N/A</v>
      </c>
      <c r="AC92" s="51" t="e">
        <f>VLOOKUP(A92,[1]Enforcements!$C$7:$E$11,3,0)</f>
        <v>#N/A</v>
      </c>
      <c r="AD92" s="178">
        <f t="shared" si="55"/>
        <v>180</v>
      </c>
      <c r="AE92" s="77" t="str">
        <f t="shared" si="67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92" s="74" t="str">
        <f t="shared" si="68"/>
        <v>"C:\Program Files (x86)\AstroGrep\AstroGrep.exe" /e /r /s /spath="%USERPROFILE%\AppData\Local\Temp\OnboardLogs" /stypes="app*4053*20170926*" /stext=" 21:.+((SYSTEM_STATE.+slice.+state.+changed )|(ment ac)|(multiple cpu faults)|(system.+state.+changed )|(\[timeout)|(PRM\|1\|D)|(kpr)|(kdp)|(train st.+moving)|(\|lc)|(penalty))"</v>
      </c>
      <c r="AG92" s="181" t="str">
        <f t="shared" si="69"/>
        <v>EC</v>
      </c>
      <c r="AH92" s="78" t="str">
        <f t="shared" si="70"/>
        <v>"%USERPROFILE%\Documents\GitHub\eaglep3\Utilities\RefineRTDCRunTimes.py" --tripid 180-26 --locoid 4053 --swversion DE.1.0.9.0 --startMP 204:233005 --initTime 2017-09-26T14:14:13 --startdatetime 2017-09-26T14:27:30 --delay 57 --endMP 204:147 --enddatetime 2017-09-26T15:07:05 --enforcementcount 0 &gt;&gt;c:\users\stu\Documents\GitHub\eaglep3-reporting\EC\2017-09-26-refined-times.txt</v>
      </c>
      <c r="AI92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ID","value":"180-26"},{"id":16,"name":"Locomotive ID","value":"4053"},{"id":130,"name":"Impact","value":""},{"id":150,"name":"Time of Event (Mountain Time)","value":"15:07:05"},{"id":151,"name":"Denver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72"/>
        <v>start /low /b %USERPROFILE%\Documents\GitHub\eaglep3\Utilities\DownloadLogsFromS3.py --loco 4053 --day 2017-09-26</v>
      </c>
      <c r="AN92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7" t="str">
        <f t="shared" si="74"/>
        <v>https://d0f6bd738d7f1b3e5a7ca70fe4ff75f0.us-east-1.aws.found.io/app/kibana#/discover/Steve-Slow-Train-Analysis-(2080s-and-2083s)?_g=(refreshInterval:(display:Off,pause:!f,section:0,value:0),time:(from:'2017-09-26T13:14:13-0600',mode:absolute,to:'2017-09-26T16:07:05-0600'))&amp;_a=(columns:!('Message%20ID',Summary),filters:!(),index:'emp_*',interval:auto,query:(query_string:(analyze_wildcard:!t,query:'%22rtdc.l.rtdc.4053%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757</v>
      </c>
      <c r="B93" s="7">
        <v>4056</v>
      </c>
      <c r="C93" s="21" t="s">
        <v>196</v>
      </c>
      <c r="D93" s="21" t="s">
        <v>340</v>
      </c>
      <c r="E93" s="13">
        <v>43004.568287037036</v>
      </c>
      <c r="F93" s="13">
        <v>43004.573113425926</v>
      </c>
      <c r="G93" s="7">
        <v>188</v>
      </c>
      <c r="H93" s="21" t="s">
        <v>402</v>
      </c>
      <c r="I93" s="13">
        <v>43004.601527777777</v>
      </c>
      <c r="J93" s="7">
        <v>0</v>
      </c>
      <c r="K93" s="89" t="str">
        <f t="shared" si="47"/>
        <v>4055/4056</v>
      </c>
      <c r="L93" s="184" t="str">
        <f>VLOOKUP(A93,'[1]Trips&amp;Operators'!$C$1:$G$99911,5,FALSE)</f>
        <v>LEVERE CRAIG</v>
      </c>
      <c r="M93" s="6">
        <f t="shared" si="48"/>
        <v>2.8414351851097308E-2</v>
      </c>
      <c r="N93" s="7">
        <f t="shared" si="64"/>
        <v>40.916666665580124</v>
      </c>
      <c r="O93" s="7"/>
      <c r="P93" s="7"/>
      <c r="Q93" s="22"/>
      <c r="R93" s="173"/>
      <c r="S93" s="220">
        <f t="shared" si="65"/>
        <v>1</v>
      </c>
      <c r="T93" s="173" t="str">
        <f t="shared" si="51"/>
        <v>NorthBound</v>
      </c>
      <c r="U93" s="197">
        <f>IF(AG93="EC",COUNTIFS([1]Variables!$M$2:$M$19,IF(T93="NorthBound","&gt;=","&lt;=")&amp;Y93,[1]Variables!$M$2:$M$19,IF(T93="NorthBound","&lt;=","&gt;=")&amp;Z93),COUNTIFS([1]Variables!$P$2:$P$19,IF(T93="NorthBound","&gt;=","&lt;=")&amp;Y93,[1]Variables!$P$2:$P$19,IF(T93="NorthBound","&lt;=","&gt;=")&amp;Z93))</f>
        <v>12</v>
      </c>
      <c r="V93" s="215" t="str">
        <f t="shared" si="66"/>
        <v>https://d0f6bd738d7f1b3e5a7ca70fe4ff75f0.us-east-1.aws.found.io/app/kibana#/discover/Steve-Slow-Train-Analysis-(2080s-and-2083s)?_g=(refreshInterval:(display:Off,pause:!f,section:0,value:0),time:(from:'2017-09-26T12:38:20-0600',mode:absolute,to:'2017-09-26T15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03" t="str">
        <f>IF(AA93&lt;VLOOKUP(AG93,[1]Variables!$AC$3:$AD$8,2,FALSE),"Y","N")</f>
        <v>N</v>
      </c>
      <c r="X93" s="203">
        <f t="shared" si="53"/>
        <v>1</v>
      </c>
      <c r="Y93" s="203">
        <f t="shared" si="45"/>
        <v>4.53E-2</v>
      </c>
      <c r="Z93" s="203">
        <f t="shared" si="46"/>
        <v>23.331900000000001</v>
      </c>
      <c r="AA93" s="203">
        <f t="shared" si="54"/>
        <v>23.2866</v>
      </c>
      <c r="AB93" s="54" t="e">
        <f>VLOOKUP(A93,[1]Enforcements!$C$7:$K$11,8,0)</f>
        <v>#N/A</v>
      </c>
      <c r="AC93" s="51" t="e">
        <f>VLOOKUP(A93,[1]Enforcements!$C$7:$E$11,3,0)</f>
        <v>#N/A</v>
      </c>
      <c r="AD93" s="178">
        <f t="shared" si="55"/>
        <v>181</v>
      </c>
      <c r="AE93" s="77" t="str">
        <f t="shared" si="67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93" s="74" t="str">
        <f t="shared" si="68"/>
        <v>"C:\Program Files (x86)\AstroGrep\AstroGrep.exe" /e /r /s /spath="%USERPROFILE%\AppData\Local\Temp\OnboardLogs" /stypes="app*4056*20170926*" /stext=" 20:.+((SYSTEM_STATE.+slice.+state.+changed )|(ment ac)|(multiple cpu faults)|(system.+state.+changed )|(\[timeout)|(PRM\|1\|D)|(kpr)|(kdp)|(train st.+moving)|(\|lc)|(penalty))"</v>
      </c>
      <c r="AG93" s="181" t="str">
        <f t="shared" si="69"/>
        <v>EC</v>
      </c>
      <c r="AH93" s="78" t="str">
        <f t="shared" si="70"/>
        <v>"%USERPROFILE%\Documents\GitHub\eaglep3\Utilities\RefineRTDCRunTimes.py" --tripid 181-26 --locoid 4056 --swversion DE.1.0.9.0 --startMP 204:453 --initTime 2017-09-26T13:38:20 --startdatetime 2017-09-26T13:45:17 --delay 188 --endMP 204:233319 --enddatetime 2017-09-26T14:26:12 --enforcementcount 0 &gt;&gt;c:\users\stu\Documents\GitHub\eaglep3-reporting\EC\2017-09-26-refined-times.txt</v>
      </c>
      <c r="AI93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{"issue":{"subject":"","project_id":79,"tracker_id":40,"status_id":1,"priority_id":2,"assigned_to_id":338,"start_date":"2017-09-26","description":"","custom_fields":[{"id":1,"name":"Subdivision","value":"EC"},{"id":4,"name":"Milepost","value":"23.3319"},{"id":17,"name":"Train ID","value":"181-26"},{"id":16,"name":"Locomotive ID","value":"4056"},{"id":130,"name":"Impact","value":""},{"id":150,"name":"Time of Event (Mountain Time)","value":"14:26:12"},{"id":151,"name":"Denver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72"/>
        <v>start /low /b %USERPROFILE%\Documents\GitHub\eaglep3\Utilities\DownloadLogsFromS3.py --loco 4056 --day 2017-09-26</v>
      </c>
      <c r="AN93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7" t="str">
        <f t="shared" si="74"/>
        <v>https://d0f6bd738d7f1b3e5a7ca70fe4ff75f0.us-east-1.aws.found.io/app/kibana#/discover/Steve-Slow-Train-Analysis-(2080s-and-2083s)?_g=(refreshInterval:(display:Off,pause:!f,section:0,value:0),time:(from:'2017-09-26T12:38:20-0600',mode:absolute,to:'2017-09-26T15:26:12-0600'))&amp;_a=(columns:!('Message%20ID',Summary),filters:!(),index:'emp_*',interval:auto,query:(query_string:(analyze_wildcard:!t,query:'%22rtdc.l.rtdc.4056%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764</v>
      </c>
      <c r="B94" s="7">
        <v>4055</v>
      </c>
      <c r="C94" s="21" t="s">
        <v>196</v>
      </c>
      <c r="D94" s="21" t="s">
        <v>567</v>
      </c>
      <c r="E94" s="13">
        <v>43004.608043981483</v>
      </c>
      <c r="F94" s="13">
        <v>43004.612696759257</v>
      </c>
      <c r="G94" s="7">
        <v>65</v>
      </c>
      <c r="H94" s="21" t="s">
        <v>395</v>
      </c>
      <c r="I94" s="13">
        <v>43004.641238425924</v>
      </c>
      <c r="J94" s="7">
        <v>0</v>
      </c>
      <c r="K94" s="89" t="str">
        <f t="shared" si="47"/>
        <v>4055/4056</v>
      </c>
      <c r="L94" s="184" t="str">
        <f>VLOOKUP(A94,'[1]Trips&amp;Operators'!$C$1:$G$99911,5,FALSE)</f>
        <v>LEVERE CRAIG</v>
      </c>
      <c r="M94" s="6">
        <f t="shared" si="48"/>
        <v>2.8541666666569654E-2</v>
      </c>
      <c r="N94" s="7">
        <f t="shared" si="64"/>
        <v>41.099999999860302</v>
      </c>
      <c r="O94" s="7"/>
      <c r="P94" s="7"/>
      <c r="Q94" s="22"/>
      <c r="R94" s="173"/>
      <c r="S94" s="220">
        <f t="shared" si="65"/>
        <v>1</v>
      </c>
      <c r="T94" s="173" t="str">
        <f t="shared" si="51"/>
        <v>Southbound</v>
      </c>
      <c r="U94" s="197">
        <f>IF(AG94="EC",COUNTIFS([1]Variables!$M$2:$M$19,IF(T94="NorthBound","&gt;=","&lt;=")&amp;Y94,[1]Variables!$M$2:$M$19,IF(T94="NorthBound","&lt;=","&gt;=")&amp;Z94),COUNTIFS([1]Variables!$P$2:$P$19,IF(T94="NorthBound","&gt;=","&lt;=")&amp;Y94,[1]Variables!$P$2:$P$19,IF(T94="NorthBound","&lt;=","&gt;=")&amp;Z94))</f>
        <v>12</v>
      </c>
      <c r="V94" s="215" t="str">
        <f t="shared" si="66"/>
        <v>https://d0f6bd738d7f1b3e5a7ca70fe4ff75f0.us-east-1.aws.found.io/app/kibana#/discover/Steve-Slow-Train-Analysis-(2080s-and-2083s)?_g=(refreshInterval:(display:Off,pause:!f,section:0,value:0),time:(from:'2017-09-26T13:35:35-0600',mode:absolute,to:'2017-09-26T16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03" t="str">
        <f>IF(AA94&lt;VLOOKUP(AG94,[1]Variables!$AC$3:$AD$8,2,FALSE),"Y","N")</f>
        <v>N</v>
      </c>
      <c r="X94" s="203">
        <f t="shared" si="53"/>
        <v>1</v>
      </c>
      <c r="Y94" s="203">
        <f t="shared" si="45"/>
        <v>23.300599999999999</v>
      </c>
      <c r="Z94" s="203">
        <f t="shared" si="46"/>
        <v>1.54E-2</v>
      </c>
      <c r="AA94" s="203">
        <f t="shared" si="54"/>
        <v>23.2852</v>
      </c>
      <c r="AB94" s="54" t="e">
        <f>VLOOKUP(A94,[1]Enforcements!$C$7:$K$11,8,0)</f>
        <v>#N/A</v>
      </c>
      <c r="AC94" s="51" t="e">
        <f>VLOOKUP(A94,[1]Enforcements!$C$7:$E$11,3,0)</f>
        <v>#N/A</v>
      </c>
      <c r="AD94" s="178">
        <f t="shared" si="55"/>
        <v>182</v>
      </c>
      <c r="AE94" s="77" t="str">
        <f t="shared" si="67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94" s="74" t="str">
        <f t="shared" si="68"/>
        <v>"C:\Program Files (x86)\AstroGrep\AstroGrep.exe" /e /r /s /spath="%USERPROFILE%\AppData\Local\Temp\OnboardLogs" /stypes="app*4055*20170926*" /stext=" 21:.+((SYSTEM_STATE.+slice.+state.+changed )|(ment ac)|(multiple cpu faults)|(system.+state.+changed )|(\[timeout)|(PRM\|1\|D)|(kpr)|(kdp)|(train st.+moving)|(\|lc)|(penalty))"</v>
      </c>
      <c r="AG94" s="181" t="str">
        <f t="shared" si="69"/>
        <v>EC</v>
      </c>
      <c r="AH94" s="78" t="str">
        <f t="shared" si="70"/>
        <v>"%USERPROFILE%\Documents\GitHub\eaglep3\Utilities\RefineRTDCRunTimes.py" --tripid 182-26 --locoid 4055 --swversion DE.1.0.9.0 --startMP 204:233006 --initTime 2017-09-26T14:35:35 --startdatetime 2017-09-26T14:42:17 --delay 65 --endMP 204:154 --enddatetime 2017-09-26T15:23:23 --enforcementcount 0 &gt;&gt;c:\users\stu\Documents\GitHub\eaglep3-reporting\EC\2017-09-26-refined-times.txt</v>
      </c>
      <c r="AI94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ID","value":"182-26"},{"id":16,"name":"Locomotive ID","value":"4055"},{"id":130,"name":"Impact","value":""},{"id":150,"name":"Time of Event (Mountain Time)","value":"15:23:23"},{"id":151,"name":"Denver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72"/>
        <v>start /low /b %USERPROFILE%\Documents\GitHub\eaglep3\Utilities\DownloadLogsFromS3.py --loco 4055 --day 2017-09-26</v>
      </c>
      <c r="AN94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7" t="str">
        <f t="shared" si="74"/>
        <v>https://d0f6bd738d7f1b3e5a7ca70fe4ff75f0.us-east-1.aws.found.io/app/kibana#/discover/Steve-Slow-Train-Analysis-(2080s-and-2083s)?_g=(refreshInterval:(display:Off,pause:!f,section:0,value:0),time:(from:'2017-09-26T13:35:35-0600',mode:absolute,to:'2017-09-26T16:23:23-0600'))&amp;_a=(columns:!('Message%20ID',Summary),filters:!(),index:'emp_*',interval:auto,query:(query_string:(analyze_wildcard:!t,query:'%22rtdc.l.rtdc.4055%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758</v>
      </c>
      <c r="B95" s="7">
        <v>4062</v>
      </c>
      <c r="C95" s="21" t="s">
        <v>196</v>
      </c>
      <c r="D95" s="21" t="s">
        <v>348</v>
      </c>
      <c r="E95" s="13">
        <v>43004.578761574077</v>
      </c>
      <c r="F95" s="13">
        <v>43004.583645833336</v>
      </c>
      <c r="G95" s="7">
        <v>164</v>
      </c>
      <c r="H95" s="21" t="s">
        <v>855</v>
      </c>
      <c r="I95" s="13">
        <v>43004.610543981478</v>
      </c>
      <c r="J95" s="7">
        <v>0</v>
      </c>
      <c r="K95" s="89" t="str">
        <f t="shared" si="47"/>
        <v>4061/4062</v>
      </c>
      <c r="L95" s="184" t="str">
        <f>VLOOKUP(A95,'[1]Trips&amp;Operators'!$C$1:$G$99911,5,FALSE)</f>
        <v>SAFIEF AEIMEN</v>
      </c>
      <c r="M95" s="6">
        <f t="shared" si="48"/>
        <v>2.6898148142208811E-2</v>
      </c>
      <c r="N95" s="7">
        <f t="shared" si="64"/>
        <v>38.733333324780688</v>
      </c>
      <c r="O95" s="7"/>
      <c r="P95" s="7"/>
      <c r="Q95" s="22"/>
      <c r="R95" s="173"/>
      <c r="S95" s="220">
        <f t="shared" si="65"/>
        <v>1</v>
      </c>
      <c r="T95" s="173" t="str">
        <f t="shared" si="51"/>
        <v>NorthBound</v>
      </c>
      <c r="U95" s="197">
        <f>IF(AG95="EC",COUNTIFS([1]Variables!$M$2:$M$19,IF(T95="NorthBound","&gt;=","&lt;=")&amp;Y95,[1]Variables!$M$2:$M$19,IF(T95="NorthBound","&lt;=","&gt;=")&amp;Z95),COUNTIFS([1]Variables!$P$2:$P$19,IF(T95="NorthBound","&gt;=","&lt;=")&amp;Y95,[1]Variables!$P$2:$P$19,IF(T95="NorthBound","&lt;=","&gt;=")&amp;Z95))</f>
        <v>12</v>
      </c>
      <c r="V95" s="215" t="str">
        <f t="shared" si="66"/>
        <v>https://d0f6bd738d7f1b3e5a7ca70fe4ff75f0.us-east-1.aws.found.io/app/kibana#/discover/Steve-Slow-Train-Analysis-(2080s-and-2083s)?_g=(refreshInterval:(display:Off,pause:!f,section:0,value:0),time:(from:'2017-09-26T12:53:25-0600',mode:absolute,to:'2017-09-26T15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5" s="203" t="str">
        <f>IF(AA95&lt;VLOOKUP(AG95,[1]Variables!$AC$3:$AD$8,2,FALSE),"Y","N")</f>
        <v>N</v>
      </c>
      <c r="X95" s="203">
        <f t="shared" si="53"/>
        <v>1</v>
      </c>
      <c r="Y95" s="203">
        <f t="shared" si="45"/>
        <v>4.5499999999999999E-2</v>
      </c>
      <c r="Z95" s="203">
        <f t="shared" si="46"/>
        <v>23.334700000000002</v>
      </c>
      <c r="AA95" s="203">
        <f t="shared" si="54"/>
        <v>23.289200000000001</v>
      </c>
      <c r="AB95" s="54" t="e">
        <f>VLOOKUP(A95,[1]Enforcements!$C$7:$K$11,8,0)</f>
        <v>#N/A</v>
      </c>
      <c r="AC95" s="51" t="e">
        <f>VLOOKUP(A95,[1]Enforcements!$C$7:$E$11,3,0)</f>
        <v>#N/A</v>
      </c>
      <c r="AD95" s="178">
        <f t="shared" si="55"/>
        <v>183</v>
      </c>
      <c r="AE95" s="77" t="str">
        <f t="shared" si="67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95" s="74" t="str">
        <f t="shared" si="68"/>
        <v>"C:\Program Files (x86)\AstroGrep\AstroGrep.exe" /e /r /s /spath="%USERPROFILE%\AppData\Local\Temp\OnboardLogs" /stypes="app*4062*20170926*" /stext=" 20:.+((SYSTEM_STATE.+slice.+state.+changed )|(ment ac)|(multiple cpu faults)|(system.+state.+changed )|(\[timeout)|(PRM\|1\|D)|(kpr)|(kdp)|(train st.+moving)|(\|lc)|(penalty))"</v>
      </c>
      <c r="AG95" s="181" t="str">
        <f t="shared" si="69"/>
        <v>EC</v>
      </c>
      <c r="AH95" s="78" t="str">
        <f t="shared" si="70"/>
        <v>"%USERPROFILE%\Documents\GitHub\eaglep3\Utilities\RefineRTDCRunTimes.py" --tripid 183-26 --locoid 4062 --swversion DE.1.0.9.0 --startMP 204:455 --initTime 2017-09-26T13:53:25 --startdatetime 2017-09-26T14:00:27 --delay 164 --endMP 204:233347 --enddatetime 2017-09-26T14:39:11 --enforcementcount 0 &gt;&gt;c:\users\stu\Documents\GitHub\eaglep3-reporting\EC\2017-09-26-refined-times.txt</v>
      </c>
      <c r="AI95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{"issue":{"subject":"","project_id":79,"tracker_id":40,"status_id":1,"priority_id":2,"assigned_to_id":338,"start_date":"2017-09-26","description":"","custom_fields":[{"id":1,"name":"Subdivision","value":"EC"},{"id":4,"name":"Milepost","value":"23.3347"},{"id":17,"name":"Train ID","value":"183-26"},{"id":16,"name":"Locomotive ID","value":"4062"},{"id":130,"name":"Impact","value":""},{"id":150,"name":"Time of Event (Mountain Time)","value":"14:39:11"},{"id":151,"name":"Denver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72"/>
        <v>start /low /b %USERPROFILE%\Documents\GitHub\eaglep3\Utilities\DownloadLogsFromS3.py --loco 4062 --day 2017-09-26</v>
      </c>
      <c r="AN95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7" t="str">
        <f t="shared" si="74"/>
        <v>https://d0f6bd738d7f1b3e5a7ca70fe4ff75f0.us-east-1.aws.found.io/app/kibana#/discover/Steve-Slow-Train-Analysis-(2080s-and-2083s)?_g=(refreshInterval:(display:Off,pause:!f,section:0,value:0),time:(from:'2017-09-26T12:53:25-0600',mode:absolute,to:'2017-09-26T15:39:11-0600'))&amp;_a=(columns:!('Message%20ID',Summary),filters:!(),index:'emp_*',interval:auto,query:(query_string:(analyze_wildcard:!t,query:'%22rtdc.l.rtdc.4062%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766</v>
      </c>
      <c r="B96" s="7">
        <v>4061</v>
      </c>
      <c r="C96" s="21" t="s">
        <v>196</v>
      </c>
      <c r="D96" s="21" t="s">
        <v>528</v>
      </c>
      <c r="E96" s="13">
        <v>43004.61445601852</v>
      </c>
      <c r="F96" s="13">
        <v>43004.623310185183</v>
      </c>
      <c r="G96" s="7">
        <v>91</v>
      </c>
      <c r="H96" s="21" t="s">
        <v>338</v>
      </c>
      <c r="I96" s="13">
        <v>43004.649942129632</v>
      </c>
      <c r="J96" s="7">
        <v>0</v>
      </c>
      <c r="K96" s="89" t="str">
        <f t="shared" si="47"/>
        <v>4061/4062</v>
      </c>
      <c r="L96" s="184" t="str">
        <f>VLOOKUP(A96,'[1]Trips&amp;Operators'!$C$1:$G$99911,5,FALSE)</f>
        <v>SAFIEF AEIMEN</v>
      </c>
      <c r="M96" s="6">
        <f t="shared" si="48"/>
        <v>2.6631944449036382E-2</v>
      </c>
      <c r="N96" s="7">
        <f t="shared" si="64"/>
        <v>38.35000000661239</v>
      </c>
      <c r="O96" s="7"/>
      <c r="P96" s="7"/>
      <c r="Q96" s="22"/>
      <c r="R96" s="173"/>
      <c r="S96" s="220">
        <f t="shared" si="65"/>
        <v>1</v>
      </c>
      <c r="T96" s="173" t="str">
        <f t="shared" si="51"/>
        <v>Southbound</v>
      </c>
      <c r="U96" s="197">
        <f>IF(AG96="EC",COUNTIFS([1]Variables!$M$2:$M$19,IF(T96="NorthBound","&gt;=","&lt;=")&amp;Y96,[1]Variables!$M$2:$M$19,IF(T96="NorthBound","&lt;=","&gt;=")&amp;Z96),COUNTIFS([1]Variables!$P$2:$P$19,IF(T96="NorthBound","&gt;=","&lt;=")&amp;Y96,[1]Variables!$P$2:$P$19,IF(T96="NorthBound","&lt;=","&gt;=")&amp;Z96))</f>
        <v>12</v>
      </c>
      <c r="V96" s="215" t="str">
        <f t="shared" si="66"/>
        <v>https://d0f6bd738d7f1b3e5a7ca70fe4ff75f0.us-east-1.aws.found.io/app/kibana#/discover/Steve-Slow-Train-Analysis-(2080s-and-2083s)?_g=(refreshInterval:(display:Off,pause:!f,section:0,value:0),time:(from:'2017-09-26T13:44:49-0600',mode:absolute,to:'2017-09-26T16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6" s="203" t="str">
        <f>IF(AA96&lt;VLOOKUP(AG96,[1]Variables!$AC$3:$AD$8,2,FALSE),"Y","N")</f>
        <v>N</v>
      </c>
      <c r="X96" s="203">
        <f t="shared" si="53"/>
        <v>1</v>
      </c>
      <c r="Y96" s="203">
        <f t="shared" si="45"/>
        <v>23.300699999999999</v>
      </c>
      <c r="Z96" s="203">
        <f t="shared" si="46"/>
        <v>1.49E-2</v>
      </c>
      <c r="AA96" s="203">
        <f t="shared" si="54"/>
        <v>23.285799999999998</v>
      </c>
      <c r="AB96" s="54" t="e">
        <f>VLOOKUP(A96,[1]Enforcements!$C$7:$K$11,8,0)</f>
        <v>#N/A</v>
      </c>
      <c r="AC96" s="51" t="e">
        <f>VLOOKUP(A96,[1]Enforcements!$C$7:$E$11,3,0)</f>
        <v>#N/A</v>
      </c>
      <c r="AD96" s="178">
        <f t="shared" si="55"/>
        <v>184</v>
      </c>
      <c r="AE96" s="77" t="str">
        <f t="shared" si="67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96" s="74" t="str">
        <f t="shared" si="68"/>
        <v>"C:\Program Files (x86)\AstroGrep\AstroGrep.exe" /e /r /s /spath="%USERPROFILE%\AppData\Local\Temp\OnboardLogs" /stypes="app*4061*20170926*" /stext=" 21:.+((SYSTEM_STATE.+slice.+state.+changed )|(ment ac)|(multiple cpu faults)|(system.+state.+changed )|(\[timeout)|(PRM\|1\|D)|(kpr)|(kdp)|(train st.+moving)|(\|lc)|(penalty))"</v>
      </c>
      <c r="AG96" s="181" t="str">
        <f t="shared" si="69"/>
        <v>EC</v>
      </c>
      <c r="AH96" s="78" t="str">
        <f t="shared" si="70"/>
        <v>"%USERPROFILE%\Documents\GitHub\eaglep3\Utilities\RefineRTDCRunTimes.py" --tripid 184-26 --locoid 4061 --swversion DE.1.0.9.0 --startMP 204:233007 --initTime 2017-09-26T14:44:49 --startdatetime 2017-09-26T14:57:34 --delay 91 --endMP 204:149 --enddatetime 2017-09-26T15:35:55 --enforcementcount 0 &gt;&gt;c:\users\stu\Documents\GitHub\eaglep3-reporting\EC\2017-09-26-refined-times.txt</v>
      </c>
      <c r="AI96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{"issue":{"subject":"","project_id":79,"tracker_id":40,"status_id":1,"priority_id":2,"assigned_to_id":338,"start_date":"2017-09-26","description":"","custom_fields":[{"id":1,"name":"Subdivision","value":"EC"},{"id":4,"name":"Milepost","value":"0.0149"},{"id":17,"name":"Train ID","value":"184-26"},{"id":16,"name":"Locomotive ID","value":"4061"},{"id":130,"name":"Impact","value":""},{"id":150,"name":"Time of Event (Mountain Time)","value":"15:35:55"},{"id":151,"name":"Denver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72"/>
        <v>start /low /b %USERPROFILE%\Documents\GitHub\eaglep3\Utilities\DownloadLogsFromS3.py --loco 4061 --day 2017-09-26</v>
      </c>
      <c r="AN96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7" t="str">
        <f t="shared" si="74"/>
        <v>https://d0f6bd738d7f1b3e5a7ca70fe4ff75f0.us-east-1.aws.found.io/app/kibana#/discover/Steve-Slow-Train-Analysis-(2080s-and-2083s)?_g=(refreshInterval:(display:Off,pause:!f,section:0,value:0),time:(from:'2017-09-26T13:44:49-0600',mode:absolute,to:'2017-09-26T16:35:55-0600'))&amp;_a=(columns:!('Message%20ID',Summary),filters:!(),index:'emp_*',interval:auto,query:(query_string:(analyze_wildcard:!t,query:'%22rtdc.l.rtdc.4061%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620</v>
      </c>
      <c r="B97" s="7">
        <v>4026</v>
      </c>
      <c r="C97" s="21" t="s">
        <v>196</v>
      </c>
      <c r="D97" s="21" t="s">
        <v>515</v>
      </c>
      <c r="E97" s="13">
        <v>43004.592465277776</v>
      </c>
      <c r="F97" s="13">
        <v>43004.59412037037</v>
      </c>
      <c r="G97" s="7">
        <v>51</v>
      </c>
      <c r="H97" s="21" t="s">
        <v>884</v>
      </c>
      <c r="I97" s="13">
        <v>43004.621354166666</v>
      </c>
      <c r="J97" s="7">
        <v>0</v>
      </c>
      <c r="K97" s="89" t="str">
        <f t="shared" si="47"/>
        <v>4025/4026</v>
      </c>
      <c r="L97" s="184" t="str">
        <f>VLOOKUP(A97,'[1]Trips&amp;Operators'!$C$1:$G$99911,5,FALSE)</f>
        <v>DAVIS MICHAEL</v>
      </c>
      <c r="M97" s="6">
        <f t="shared" si="48"/>
        <v>2.7233796296059154E-2</v>
      </c>
      <c r="N97" s="7">
        <f t="shared" si="64"/>
        <v>39.216666666325182</v>
      </c>
      <c r="O97" s="7"/>
      <c r="P97" s="7"/>
      <c r="Q97" s="22"/>
      <c r="R97" s="173"/>
      <c r="S97" s="220">
        <f t="shared" si="65"/>
        <v>1</v>
      </c>
      <c r="T97" s="173" t="str">
        <f t="shared" si="51"/>
        <v>NorthBound</v>
      </c>
      <c r="U97" s="197">
        <f>IF(AG97="EC",COUNTIFS([1]Variables!$M$2:$M$19,IF(T97="NorthBound","&gt;=","&lt;=")&amp;Y97,[1]Variables!$M$2:$M$19,IF(T97="NorthBound","&lt;=","&gt;=")&amp;Z97),COUNTIFS([1]Variables!$P$2:$P$19,IF(T97="NorthBound","&gt;=","&lt;=")&amp;Y97,[1]Variables!$P$2:$P$19,IF(T97="NorthBound","&lt;=","&gt;=")&amp;Z97))</f>
        <v>12</v>
      </c>
      <c r="V97" s="215" t="str">
        <f t="shared" si="66"/>
        <v>https://d0f6bd738d7f1b3e5a7ca70fe4ff75f0.us-east-1.aws.found.io/app/kibana#/discover/Steve-Slow-Train-Analysis-(2080s-and-2083s)?_g=(refreshInterval:(display:Off,pause:!f,section:0,value:0),time:(from:'2017-09-26T13:13:09-0600',mode:absolute,to:'2017-09-26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203" t="str">
        <f>IF(AA97&lt;VLOOKUP(AG97,[1]Variables!$AC$3:$AD$8,2,FALSE),"Y","N")</f>
        <v>N</v>
      </c>
      <c r="X97" s="203">
        <f t="shared" si="53"/>
        <v>1</v>
      </c>
      <c r="Y97" s="203">
        <f t="shared" si="45"/>
        <v>4.7699999999999999E-2</v>
      </c>
      <c r="Z97" s="203">
        <f t="shared" si="46"/>
        <v>23.326599999999999</v>
      </c>
      <c r="AA97" s="203">
        <f t="shared" si="54"/>
        <v>23.2789</v>
      </c>
      <c r="AB97" s="54" t="e">
        <f>VLOOKUP(A97,[1]Enforcements!$C$7:$K$11,8,0)</f>
        <v>#N/A</v>
      </c>
      <c r="AC97" s="51" t="e">
        <f>VLOOKUP(A97,[1]Enforcements!$C$7:$E$11,3,0)</f>
        <v>#N/A</v>
      </c>
      <c r="AD97" s="178">
        <f t="shared" si="55"/>
        <v>185</v>
      </c>
      <c r="AE97" s="77" t="str">
        <f t="shared" si="67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97" s="74" t="str">
        <f t="shared" si="68"/>
        <v>"C:\Program Files (x86)\AstroGrep\AstroGrep.exe" /e /r /s /spath="%USERPROFILE%\AppData\Local\Temp\OnboardLogs" /stypes="app*4026*20170926*" /stext=" 20:.+((SYSTEM_STATE.+slice.+state.+changed )|(ment ac)|(multiple cpu faults)|(system.+state.+changed )|(\[timeout)|(PRM\|1\|D)|(kpr)|(kdp)|(train st.+moving)|(\|lc)|(penalty))"</v>
      </c>
      <c r="AG97" s="181" t="str">
        <f t="shared" si="69"/>
        <v>EC</v>
      </c>
      <c r="AH97" s="78" t="str">
        <f t="shared" si="70"/>
        <v>"%USERPROFILE%\Documents\GitHub\eaglep3\Utilities\RefineRTDCRunTimes.py" --tripid 185-26 --locoid 4026 --swversion DE.1.0.9.0 --startMP 204:477 --initTime 2017-09-26T14:13:09 --startdatetime 2017-09-26T14:15:32 --delay 51 --endMP 204:233266 --enddatetime 2017-09-26T14:54:45 --enforcementcount 0 &gt;&gt;c:\users\stu\Documents\GitHub\eaglep3-reporting\EC\2017-09-26-refined-times.txt</v>
      </c>
      <c r="AI97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{"issue":{"subject":"","project_id":79,"tracker_id":40,"status_id":1,"priority_id":2,"assigned_to_id":338,"start_date":"2017-09-26","description":"","custom_fields":[{"id":1,"name":"Subdivision","value":"EC"},{"id":4,"name":"Milepost","value":"23.3266"},{"id":17,"name":"Train ID","value":"185-26"},{"id":16,"name":"Locomotive ID","value":"4026"},{"id":130,"name":"Impact","value":""},{"id":150,"name":"Time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72"/>
        <v>start /low /b %USERPROFILE%\Documents\GitHub\eaglep3\Utilities\DownloadLogsFromS3.py --loco 4026 --day 2017-09-26</v>
      </c>
      <c r="AN97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7" t="str">
        <f t="shared" si="74"/>
        <v>https://d0f6bd738d7f1b3e5a7ca70fe4ff75f0.us-east-1.aws.found.io/app/kibana#/discover/Steve-Slow-Train-Analysis-(2080s-and-2083s)?_g=(refreshInterval:(display:Off,pause:!f,section:0,value:0),time:(from:'2017-09-26T13:13:09-0600',mode:absolute,to:'2017-09-26T15:54:45-0600'))&amp;_a=(columns:!('Message%20ID',Summary),filters:!(),index:'emp_*',interval:auto,query:(query_string:(analyze_wildcard:!t,query:'%22rtdc.l.rtdc.4026%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621</v>
      </c>
      <c r="B98" s="7">
        <v>4025</v>
      </c>
      <c r="C98" s="21" t="s">
        <v>196</v>
      </c>
      <c r="D98" s="21" t="s">
        <v>885</v>
      </c>
      <c r="E98" s="13">
        <v>43004.631643518522</v>
      </c>
      <c r="F98" s="13">
        <v>43004.634050925924</v>
      </c>
      <c r="G98" s="7">
        <v>123</v>
      </c>
      <c r="H98" s="21" t="s">
        <v>886</v>
      </c>
      <c r="I98" s="13">
        <v>43004.661898148152</v>
      </c>
      <c r="J98" s="7">
        <v>0</v>
      </c>
      <c r="K98" s="89" t="str">
        <f t="shared" si="47"/>
        <v>4025/4026</v>
      </c>
      <c r="L98" s="184" t="str">
        <f>VLOOKUP(A98,'[1]Trips&amp;Operators'!$C$1:$G$99911,5,FALSE)</f>
        <v>DAVIS MICHAEL</v>
      </c>
      <c r="M98" s="6">
        <f t="shared" si="48"/>
        <v>2.7847222227137536E-2</v>
      </c>
      <c r="N98" s="7">
        <f t="shared" si="64"/>
        <v>40.100000007078052</v>
      </c>
      <c r="O98" s="7"/>
      <c r="P98" s="7"/>
      <c r="Q98" s="22"/>
      <c r="R98" s="173"/>
      <c r="S98" s="220">
        <f t="shared" si="65"/>
        <v>1</v>
      </c>
      <c r="T98" s="173" t="str">
        <f t="shared" si="51"/>
        <v>Southbound</v>
      </c>
      <c r="U98" s="197">
        <f>IF(AG98="EC",COUNTIFS([1]Variables!$M$2:$M$19,IF(T98="NorthBound","&gt;=","&lt;=")&amp;Y98,[1]Variables!$M$2:$M$19,IF(T98="NorthBound","&lt;=","&gt;=")&amp;Z98),COUNTIFS([1]Variables!$P$2:$P$19,IF(T98="NorthBound","&gt;=","&lt;=")&amp;Y98,[1]Variables!$P$2:$P$19,IF(T98="NorthBound","&lt;=","&gt;=")&amp;Z98))</f>
        <v>12</v>
      </c>
      <c r="V98" s="215" t="str">
        <f t="shared" si="66"/>
        <v>https://d0f6bd738d7f1b3e5a7ca70fe4ff75f0.us-east-1.aws.found.io/app/kibana#/discover/Steve-Slow-Train-Analysis-(2080s-and-2083s)?_g=(refreshInterval:(display:Off,pause:!f,section:0,value:0),time:(from:'2017-09-26T14:09:34-0600',mode:absolute,to:'2017-09-26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203" t="str">
        <f>IF(AA98&lt;VLOOKUP(AG98,[1]Variables!$AC$3:$AD$8,2,FALSE),"Y","N")</f>
        <v>N</v>
      </c>
      <c r="X98" s="203">
        <f t="shared" si="53"/>
        <v>1</v>
      </c>
      <c r="Y98" s="203">
        <f t="shared" si="45"/>
        <v>23.295500000000001</v>
      </c>
      <c r="Z98" s="203">
        <f t="shared" si="46"/>
        <v>1.9099999999999999E-2</v>
      </c>
      <c r="AA98" s="203">
        <f t="shared" si="54"/>
        <v>23.276399999999999</v>
      </c>
      <c r="AB98" s="54" t="e">
        <f>VLOOKUP(A98,[1]Enforcements!$C$7:$K$11,8,0)</f>
        <v>#N/A</v>
      </c>
      <c r="AC98" s="51" t="e">
        <f>VLOOKUP(A98,[1]Enforcements!$C$7:$E$11,3,0)</f>
        <v>#N/A</v>
      </c>
      <c r="AD98" s="178">
        <f t="shared" si="55"/>
        <v>186</v>
      </c>
      <c r="AE98" s="77" t="str">
        <f t="shared" si="67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98" s="74" t="str">
        <f t="shared" si="68"/>
        <v>"C:\Program Files (x86)\AstroGrep\AstroGrep.exe" /e /r /s /spath="%USERPROFILE%\AppData\Local\Temp\OnboardLogs" /stypes="app*4025*20170926*" /stext=" 21:.+((SYSTEM_STATE.+slice.+state.+changed )|(ment ac)|(multiple cpu faults)|(system.+state.+changed )|(\[timeout)|(PRM\|1\|D)|(kpr)|(kdp)|(train st.+moving)|(\|lc)|(penalty))"</v>
      </c>
      <c r="AG98" s="181" t="str">
        <f t="shared" si="69"/>
        <v>EC</v>
      </c>
      <c r="AH98" s="78" t="str">
        <f t="shared" si="70"/>
        <v>"%USERPROFILE%\Documents\GitHub\eaglep3\Utilities\RefineRTDCRunTimes.py" --tripid 186-26 --locoid 4025 --swversion DE.1.0.9.0 --startMP 204:232955 --initTime 2017-09-26T15:09:34 --startdatetime 2017-09-26T15:13:02 --delay 123 --endMP 204:191 --enddatetime 2017-09-26T15:53:08 --enforcementcount 0 &gt;&gt;c:\users\stu\Documents\GitHub\eaglep3-reporting\EC\2017-09-26-refined-times.txt</v>
      </c>
      <c r="AI98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{"issue":{"subject":"","project_id":79,"tracker_id":40,"status_id":1,"priority_id":2,"assigned_to_id":338,"start_date":"2017-09-26","description":"","custom_fields":[{"id":1,"name":"Subdivision","value":"EC"},{"id":4,"name":"Milepost","value":"0.0191"},{"id":17,"name":"Train ID","value":"186-26"},{"id":16,"name":"Locomotive ID","value":"4025"},{"id":130,"name":"Impact","value":""},{"id":150,"name":"Time of Event (Mountain Time)","value":"15:53:08"},{"id":151,"name":"Denver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72"/>
        <v>start /low /b %USERPROFILE%\Documents\GitHub\eaglep3\Utilities\DownloadLogsFromS3.py --loco 4025 --day 2017-09-26</v>
      </c>
      <c r="AN98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7" t="str">
        <f t="shared" si="74"/>
        <v>https://d0f6bd738d7f1b3e5a7ca70fe4ff75f0.us-east-1.aws.found.io/app/kibana#/discover/Steve-Slow-Train-Analysis-(2080s-and-2083s)?_g=(refreshInterval:(display:Off,pause:!f,section:0,value:0),time:(from:'2017-09-26T14:09:34-0600',mode:absolute,to:'2017-09-26T16:53:08-0600'))&amp;_a=(columns:!('Message%20ID',Summary),filters:!(),index:'emp_*',interval:auto,query:(query_string:(analyze_wildcard:!t,query:'%22rtdc.l.rtdc.4025%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762</v>
      </c>
      <c r="B99" s="7">
        <v>4046</v>
      </c>
      <c r="C99" s="21" t="s">
        <v>196</v>
      </c>
      <c r="D99" s="21" t="s">
        <v>399</v>
      </c>
      <c r="E99" s="13">
        <v>43004.601041666669</v>
      </c>
      <c r="F99" s="13">
        <v>43004.604409722226</v>
      </c>
      <c r="G99" s="7">
        <v>73</v>
      </c>
      <c r="H99" s="21" t="s">
        <v>562</v>
      </c>
      <c r="I99" s="13">
        <v>43004.631215277775</v>
      </c>
      <c r="J99" s="7">
        <v>0</v>
      </c>
      <c r="K99" s="89" t="str">
        <f t="shared" si="47"/>
        <v>4045/4046</v>
      </c>
      <c r="L99" s="184" t="str">
        <f>VLOOKUP(A99,'[1]Trips&amp;Operators'!$C$1:$G$99911,5,FALSE)</f>
        <v>SMITH MICHAEL</v>
      </c>
      <c r="M99" s="6">
        <f t="shared" si="48"/>
        <v>2.6805555549799465E-2</v>
      </c>
      <c r="N99" s="7">
        <f t="shared" si="64"/>
        <v>38.599999991711229</v>
      </c>
      <c r="O99" s="7"/>
      <c r="P99" s="7"/>
      <c r="Q99" s="22"/>
      <c r="R99" s="173"/>
      <c r="S99" s="220">
        <f t="shared" si="65"/>
        <v>1</v>
      </c>
      <c r="T99" s="173" t="str">
        <f t="shared" si="51"/>
        <v>NorthBound</v>
      </c>
      <c r="U99" s="197">
        <f>IF(AG99="EC",COUNTIFS([1]Variables!$M$2:$M$19,IF(T99="NorthBound","&gt;=","&lt;=")&amp;Y99,[1]Variables!$M$2:$M$19,IF(T99="NorthBound","&lt;=","&gt;=")&amp;Z99),COUNTIFS([1]Variables!$P$2:$P$19,IF(T99="NorthBound","&gt;=","&lt;=")&amp;Y99,[1]Variables!$P$2:$P$19,IF(T99="NorthBound","&lt;=","&gt;=")&amp;Z99))</f>
        <v>12</v>
      </c>
      <c r="V99" s="215" t="str">
        <f t="shared" si="66"/>
        <v>https://d0f6bd738d7f1b3e5a7ca70fe4ff75f0.us-east-1.aws.found.io/app/kibana#/discover/Steve-Slow-Train-Analysis-(2080s-and-2083s)?_g=(refreshInterval:(display:Off,pause:!f,section:0,value:0),time:(from:'2017-09-26T13:25:30-0600',mode:absolute,to:'2017-09-26T16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9" s="203" t="str">
        <f>IF(AA99&lt;VLOOKUP(AG99,[1]Variables!$AC$3:$AD$8,2,FALSE),"Y","N")</f>
        <v>N</v>
      </c>
      <c r="X99" s="203">
        <f t="shared" si="53"/>
        <v>1</v>
      </c>
      <c r="Y99" s="203">
        <f t="shared" si="45"/>
        <v>4.4699999999999997E-2</v>
      </c>
      <c r="Z99" s="203">
        <f t="shared" si="46"/>
        <v>23.330300000000001</v>
      </c>
      <c r="AA99" s="203">
        <f t="shared" si="54"/>
        <v>23.285600000000002</v>
      </c>
      <c r="AB99" s="54" t="e">
        <f>VLOOKUP(A99,[1]Enforcements!$C$7:$K$11,8,0)</f>
        <v>#N/A</v>
      </c>
      <c r="AC99" s="51" t="e">
        <f>VLOOKUP(A99,[1]Enforcements!$C$7:$E$11,3,0)</f>
        <v>#N/A</v>
      </c>
      <c r="AD99" s="178">
        <f t="shared" si="55"/>
        <v>187</v>
      </c>
      <c r="AE99" s="77" t="str">
        <f t="shared" si="67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99" s="74" t="str">
        <f t="shared" si="68"/>
        <v>"C:\Program Files (x86)\AstroGrep\AstroGrep.exe" /e /r /s /spath="%USERPROFILE%\AppData\Local\Temp\OnboardLogs" /stypes="app*4046*20170926*" /stext=" 21:.+((SYSTEM_STATE.+slice.+state.+changed )|(ment ac)|(multiple cpu faults)|(system.+state.+changed )|(\[timeout)|(PRM\|1\|D)|(kpr)|(kdp)|(train st.+moving)|(\|lc)|(penalty))"</v>
      </c>
      <c r="AG99" s="181" t="str">
        <f t="shared" si="69"/>
        <v>EC</v>
      </c>
      <c r="AH99" s="78" t="str">
        <f t="shared" si="70"/>
        <v>"%USERPROFILE%\Documents\GitHub\eaglep3\Utilities\RefineRTDCRunTimes.py" --tripid 187-26 --locoid 4046 --swversion DE.1.0.9.0 --startMP 204:447 --initTime 2017-09-26T14:25:30 --startdatetime 2017-09-26T14:30:21 --delay 73 --endMP 204:233303 --enddatetime 2017-09-26T15:08:57 --enforcementcount 0 &gt;&gt;c:\users\stu\Documents\GitHub\eaglep3-reporting\EC\2017-09-26-refined-times.txt</v>
      </c>
      <c r="AI99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{"issue":{"subject":"","project_id":79,"tracker_id":40,"status_id":1,"priority_id":2,"assigned_to_id":338,"start_date":"2017-09-26","description":"","custom_fields":[{"id":1,"name":"Subdivision","value":"EC"},{"id":4,"name":"Milepost","value":"23.3303"},{"id":17,"name":"Train ID","value":"187-26"},{"id":16,"name":"Locomotive ID","value":"4046"},{"id":130,"name":"Impact","value":""},{"id":150,"name":"Time of Event (Mountain Time)","value":"15:08:57"},{"id":151,"name":"Denver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72"/>
        <v>start /low /b %USERPROFILE%\Documents\GitHub\eaglep3\Utilities\DownloadLogsFromS3.py --loco 4046 --day 2017-09-26</v>
      </c>
      <c r="AN99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7" t="str">
        <f t="shared" si="74"/>
        <v>https://d0f6bd738d7f1b3e5a7ca70fe4ff75f0.us-east-1.aws.found.io/app/kibana#/discover/Steve-Slow-Train-Analysis-(2080s-and-2083s)?_g=(refreshInterval:(display:Off,pause:!f,section:0,value:0),time:(from:'2017-09-26T13:25:30-0600',mode:absolute,to:'2017-09-26T16:08:57-0600'))&amp;_a=(columns:!('Message%20ID',Summary),filters:!(),index:'emp_*',interval:auto,query:(query_string:(analyze_wildcard:!t,query:'%22rtdc.l.rtdc.4046%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772</v>
      </c>
      <c r="B100" s="7">
        <v>4045</v>
      </c>
      <c r="C100" s="21" t="s">
        <v>196</v>
      </c>
      <c r="D100" s="21" t="s">
        <v>409</v>
      </c>
      <c r="E100" s="13">
        <v>43004.640752314815</v>
      </c>
      <c r="F100" s="13">
        <v>43004.644074074073</v>
      </c>
      <c r="G100" s="7">
        <v>112</v>
      </c>
      <c r="H100" s="21" t="s">
        <v>337</v>
      </c>
      <c r="I100" s="13">
        <v>43004.670648148145</v>
      </c>
      <c r="J100" s="7">
        <v>0</v>
      </c>
      <c r="K100" s="89" t="str">
        <f t="shared" si="47"/>
        <v>4045/4046</v>
      </c>
      <c r="L100" s="184" t="str">
        <f>VLOOKUP(A100,'[1]Trips&amp;Operators'!$C$1:$G$99911,5,FALSE)</f>
        <v>SMITH MICHAEL</v>
      </c>
      <c r="M100" s="6">
        <f t="shared" si="48"/>
        <v>2.6574074072414078E-2</v>
      </c>
      <c r="N100" s="7">
        <f t="shared" si="64"/>
        <v>38.266666664276272</v>
      </c>
      <c r="O100" s="7"/>
      <c r="P100" s="7"/>
      <c r="Q100" s="22"/>
      <c r="R100" s="173"/>
      <c r="S100" s="220">
        <f t="shared" si="65"/>
        <v>1</v>
      </c>
      <c r="T100" s="173" t="str">
        <f t="shared" si="51"/>
        <v>Southbound</v>
      </c>
      <c r="U100" s="197">
        <f>IF(AG100="EC",COUNTIFS([1]Variables!$M$2:$M$19,IF(T100="NorthBound","&gt;=","&lt;=")&amp;Y100,[1]Variables!$M$2:$M$19,IF(T100="NorthBound","&lt;=","&gt;=")&amp;Z100),COUNTIFS([1]Variables!$P$2:$P$19,IF(T100="NorthBound","&gt;=","&lt;=")&amp;Y100,[1]Variables!$P$2:$P$19,IF(T100="NorthBound","&lt;=","&gt;=")&amp;Z100))</f>
        <v>12</v>
      </c>
      <c r="V100" s="215" t="str">
        <f t="shared" si="66"/>
        <v>https://d0f6bd738d7f1b3e5a7ca70fe4ff75f0.us-east-1.aws.found.io/app/kibana#/discover/Steve-Slow-Train-Analysis-(2080s-and-2083s)?_g=(refreshInterval:(display:Off,pause:!f,section:0,value:0),time:(from:'2017-09-26T14:22:41-0600',mode:absolute,to:'2017-09-26T17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0" s="203" t="str">
        <f>IF(AA100&lt;VLOOKUP(AG100,[1]Variables!$AC$3:$AD$8,2,FALSE),"Y","N")</f>
        <v>N</v>
      </c>
      <c r="X100" s="203">
        <f t="shared" si="53"/>
        <v>1</v>
      </c>
      <c r="Y100" s="203">
        <f t="shared" si="45"/>
        <v>23.298200000000001</v>
      </c>
      <c r="Z100" s="203">
        <f t="shared" si="46"/>
        <v>1.4999999999999999E-2</v>
      </c>
      <c r="AA100" s="203">
        <f t="shared" si="54"/>
        <v>23.283200000000001</v>
      </c>
      <c r="AB100" s="54" t="e">
        <f>VLOOKUP(A100,[1]Enforcements!$C$7:$K$11,8,0)</f>
        <v>#N/A</v>
      </c>
      <c r="AC100" s="51" t="e">
        <f>VLOOKUP(A100,[1]Enforcements!$C$7:$E$11,3,0)</f>
        <v>#N/A</v>
      </c>
      <c r="AD100" s="178">
        <f t="shared" si="55"/>
        <v>188</v>
      </c>
      <c r="AE100" s="77" t="str">
        <f t="shared" si="67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100" s="74" t="str">
        <f t="shared" si="68"/>
        <v>"C:\Program Files (x86)\AstroGrep\AstroGrep.exe" /e /r /s /spath="%USERPROFILE%\AppData\Local\Temp\OnboardLogs" /stypes="app*4045*20170926*" /stext=" 22:.+((SYSTEM_STATE.+slice.+state.+changed )|(ment ac)|(multiple cpu faults)|(system.+state.+changed )|(\[timeout)|(PRM\|1\|D)|(kpr)|(kdp)|(train st.+moving)|(\|lc)|(penalty))"</v>
      </c>
      <c r="AG100" s="181" t="str">
        <f t="shared" si="69"/>
        <v>EC</v>
      </c>
      <c r="AH100" s="78" t="str">
        <f t="shared" si="70"/>
        <v>"%USERPROFILE%\Documents\GitHub\eaglep3\Utilities\RefineRTDCRunTimes.py" --tripid 188-26 --locoid 4045 --swversion DE.1.0.9.0 --startMP 204:232982 --initTime 2017-09-26T15:22:41 --startdatetime 2017-09-26T15:27:28 --delay 112 --endMP 204:150 --enddatetime 2017-09-26T16:05:44 --enforcementcount 0 &gt;&gt;c:\users\stu\Documents\GitHub\eaglep3-reporting\EC\2017-09-26-refined-times.txt</v>
      </c>
      <c r="AI100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{"issue":{"subject":"","project_id":79,"tracker_id":40,"status_id":1,"priority_id":2,"assigned_to_id":338,"start_date":"2017-09-26","description":"","custom_fields":[{"id":1,"name":"Subdivision","value":"EC"},{"id":4,"name":"Milepost","value":"0.015"},{"id":17,"name":"Train ID","value":"188-26"},{"id":16,"name":"Locomotive ID","value":"4045"},{"id":130,"name":"Impact","value":""},{"id":150,"name":"Time of Event (Mountain Time)","value":"16:05:44"},{"id":151,"name":"Denver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72"/>
        <v>start /low /b %USERPROFILE%\Documents\GitHub\eaglep3\Utilities\DownloadLogsFromS3.py --loco 4045 --day 2017-09-26</v>
      </c>
      <c r="AN100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7" t="str">
        <f t="shared" si="74"/>
        <v>https://d0f6bd738d7f1b3e5a7ca70fe4ff75f0.us-east-1.aws.found.io/app/kibana#/discover/Steve-Slow-Train-Analysis-(2080s-and-2083s)?_g=(refreshInterval:(display:Off,pause:!f,section:0,value:0),time:(from:'2017-09-26T14:22:41-0600',mode:absolute,to:'2017-09-26T17:05:44-0600'))&amp;_a=(columns:!('Message%20ID',Summary),filters:!(),index:'emp_*',interval:auto,query:(query_string:(analyze_wildcard:!t,query:'%22rtdc.l.rtdc.4045%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765</v>
      </c>
      <c r="B101" s="7">
        <v>4060</v>
      </c>
      <c r="C101" s="21" t="s">
        <v>196</v>
      </c>
      <c r="D101" s="21" t="s">
        <v>418</v>
      </c>
      <c r="E101" s="13">
        <v>43004.610671296294</v>
      </c>
      <c r="F101" s="13">
        <v>43004.61478009259</v>
      </c>
      <c r="G101" s="7">
        <v>158</v>
      </c>
      <c r="H101" s="21" t="s">
        <v>412</v>
      </c>
      <c r="I101" s="13">
        <v>43004.639351851853</v>
      </c>
      <c r="J101" s="7">
        <v>0</v>
      </c>
      <c r="K101" s="89" t="str">
        <f t="shared" si="47"/>
        <v>4059/4060</v>
      </c>
      <c r="L101" s="184" t="str">
        <f>VLOOKUP(A101,'[1]Trips&amp;Operators'!$C$1:$G$99911,5,FALSE)</f>
        <v>NEWELL JAMES</v>
      </c>
      <c r="M101" s="6">
        <f t="shared" si="48"/>
        <v>2.457175926247146E-2</v>
      </c>
      <c r="N101" s="7">
        <f t="shared" si="64"/>
        <v>35.383333337958902</v>
      </c>
      <c r="O101" s="7"/>
      <c r="P101" s="7"/>
      <c r="Q101" s="22"/>
      <c r="R101" s="173"/>
      <c r="S101" s="220">
        <f t="shared" si="65"/>
        <v>1</v>
      </c>
      <c r="T101" s="173" t="str">
        <f t="shared" si="51"/>
        <v>NorthBound</v>
      </c>
      <c r="U101" s="197">
        <f>IF(AG101="EC",COUNTIFS([1]Variables!$M$2:$M$19,IF(T101="NorthBound","&gt;=","&lt;=")&amp;Y101,[1]Variables!$M$2:$M$19,IF(T101="NorthBound","&lt;=","&gt;=")&amp;Z101),COUNTIFS([1]Variables!$P$2:$P$19,IF(T101="NorthBound","&gt;=","&lt;=")&amp;Y101,[1]Variables!$P$2:$P$19,IF(T101="NorthBound","&lt;=","&gt;=")&amp;Z101))</f>
        <v>12</v>
      </c>
      <c r="V101" s="215" t="str">
        <f t="shared" si="66"/>
        <v>https://d0f6bd738d7f1b3e5a7ca70fe4ff75f0.us-east-1.aws.found.io/app/kibana#/discover/Steve-Slow-Train-Analysis-(2080s-and-2083s)?_g=(refreshInterval:(display:Off,pause:!f,section:0,value:0),time:(from:'2017-09-26T13:39:22-0600',mode:absolute,to:'2017-09-26T16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203" t="str">
        <f>IF(AA101&lt;VLOOKUP(AG101,[1]Variables!$AC$3:$AD$8,2,FALSE),"Y","N")</f>
        <v>N</v>
      </c>
      <c r="X101" s="203">
        <f t="shared" si="53"/>
        <v>1</v>
      </c>
      <c r="Y101" s="203">
        <f t="shared" si="45"/>
        <v>4.5699999999999998E-2</v>
      </c>
      <c r="Z101" s="203">
        <f t="shared" si="46"/>
        <v>23.3325</v>
      </c>
      <c r="AA101" s="203">
        <f t="shared" si="54"/>
        <v>23.286799999999999</v>
      </c>
      <c r="AB101" s="54" t="e">
        <f>VLOOKUP(A101,[1]Enforcements!$C$7:$K$11,8,0)</f>
        <v>#N/A</v>
      </c>
      <c r="AC101" s="51" t="e">
        <f>VLOOKUP(A101,[1]Enforcements!$C$7:$E$11,3,0)</f>
        <v>#N/A</v>
      </c>
      <c r="AD101" s="178">
        <f t="shared" si="55"/>
        <v>189</v>
      </c>
      <c r="AE101" s="77" t="str">
        <f t="shared" si="67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101" s="74" t="str">
        <f t="shared" si="68"/>
        <v>"C:\Program Files (x86)\AstroGrep\AstroGrep.exe" /e /r /s /spath="%USERPROFILE%\AppData\Local\Temp\OnboardLogs" /stypes="app*4060*20170926*" /stext=" 21:.+((SYSTEM_STATE.+slice.+state.+changed )|(ment ac)|(multiple cpu faults)|(system.+state.+changed )|(\[timeout)|(PRM\|1\|D)|(kpr)|(kdp)|(train st.+moving)|(\|lc)|(penalty))"</v>
      </c>
      <c r="AG101" s="181" t="str">
        <f t="shared" si="69"/>
        <v>EC</v>
      </c>
      <c r="AH101" s="78" t="str">
        <f t="shared" si="70"/>
        <v>"%USERPROFILE%\Documents\GitHub\eaglep3\Utilities\RefineRTDCRunTimes.py" --tripid 189-26 --locoid 4060 --swversion DE.1.0.9.0 --startMP 204:457 --initTime 2017-09-26T14:39:22 --startdatetime 2017-09-26T14:45:17 --delay 158 --endMP 204:233325 --enddatetime 2017-09-26T15:20:40 --enforcementcount 0 &gt;&gt;c:\users\stu\Documents\GitHub\eaglep3-reporting\EC\2017-09-26-refined-times.txt</v>
      </c>
      <c r="AI101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{"issue":{"subject":"","project_id":79,"tracker_id":40,"status_id":1,"priority_id":2,"assigned_to_id":338,"start_date":"2017-09-26","description":"","custom_fields":[{"id":1,"name":"Subdivision","value":"EC"},{"id":4,"name":"Milepost","value":"23.3325"},{"id":17,"name":"Train ID","value":"189-26"},{"id":16,"name":"Locomotive ID","value":"4060"},{"id":130,"name":"Impact","value":""},{"id":150,"name":"Time of Event (Mountain Time)","value":"15:20:40"},{"id":151,"name":"Denver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72"/>
        <v>start /low /b %USERPROFILE%\Documents\GitHub\eaglep3\Utilities\DownloadLogsFromS3.py --loco 4060 --day 2017-09-26</v>
      </c>
      <c r="AN101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7" t="str">
        <f t="shared" si="74"/>
        <v>https://d0f6bd738d7f1b3e5a7ca70fe4ff75f0.us-east-1.aws.found.io/app/kibana#/discover/Steve-Slow-Train-Analysis-(2080s-and-2083s)?_g=(refreshInterval:(display:Off,pause:!f,section:0,value:0),time:(from:'2017-09-26T13:39:22-0600',mode:absolute,to:'2017-09-26T16:20:40-0600'))&amp;_a=(columns:!('Message%20ID',Summary),filters:!(),index:'emp_*',interval:auto,query:(query_string:(analyze_wildcard:!t,query:'%22rtdc.l.rtdc.4060%22')),sort:!(Time.ISO8601,asc))</v>
      </c>
    </row>
    <row r="102" spans="1:91" s="20" customFormat="1" x14ac:dyDescent="0.25">
      <c r="A102" s="32" t="s">
        <v>771</v>
      </c>
      <c r="B102" s="7">
        <v>4059</v>
      </c>
      <c r="C102" s="21" t="s">
        <v>196</v>
      </c>
      <c r="D102" s="21" t="s">
        <v>887</v>
      </c>
      <c r="E102" s="13">
        <v>43004.6409375</v>
      </c>
      <c r="F102" s="13">
        <v>43004.654374999998</v>
      </c>
      <c r="G102" s="7">
        <v>65</v>
      </c>
      <c r="H102" s="21" t="s">
        <v>888</v>
      </c>
      <c r="I102" s="13">
        <v>43004.654444444444</v>
      </c>
      <c r="J102" s="7">
        <v>0</v>
      </c>
      <c r="K102" s="89" t="str">
        <f t="shared" si="47"/>
        <v>4059/4060</v>
      </c>
      <c r="L102" s="184" t="str">
        <f>VLOOKUP(A102,'[1]Trips&amp;Operators'!$C$1:$G$99911,5,FALSE)</f>
        <v>NEWELL JAMES</v>
      </c>
      <c r="M102" s="6">
        <f t="shared" si="48"/>
        <v>6.9444446125999093E-5</v>
      </c>
      <c r="N102" s="7"/>
      <c r="O102" s="7"/>
      <c r="P102" s="7">
        <f>24*60*SUM($M102:$M102)</f>
        <v>0.10000000242143869</v>
      </c>
      <c r="Q102" s="22"/>
      <c r="R102" s="173" t="s">
        <v>1013</v>
      </c>
      <c r="S102" s="220">
        <f t="shared" si="65"/>
        <v>0</v>
      </c>
      <c r="T102" s="173" t="str">
        <f t="shared" si="51"/>
        <v>Southbound</v>
      </c>
      <c r="U102" s="197">
        <f>IF(AG102="EC",COUNTIFS([1]Variables!$M$2:$M$19,IF(T102="NorthBound","&gt;=","&lt;=")&amp;Y102,[1]Variables!$M$2:$M$19,IF(T102="NorthBound","&lt;=","&gt;=")&amp;Z102),COUNTIFS([1]Variables!$P$2:$P$19,IF(T102="NorthBound","&gt;=","&lt;=")&amp;Y102,[1]Variables!$P$2:$P$19,IF(T102="NorthBound","&lt;=","&gt;=")&amp;Z102))</f>
        <v>0</v>
      </c>
      <c r="V102" s="215" t="str">
        <f t="shared" si="66"/>
        <v>https://d0f6bd738d7f1b3e5a7ca70fe4ff75f0.us-east-1.aws.found.io/app/kibana#/discover/Steve-Slow-Train-Analysis-(2080s-and-2083s)?_g=(refreshInterval:(display:Off,pause:!f,section:0,value:0),time:(from:'2017-09-26T14:22:57-0600',mode:absolute,to:'2017-09-26T16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203" t="str">
        <f>IF(AA102&lt;VLOOKUP(AG102,[1]Variables!$AC$3:$AD$8,2,FALSE),"Y","N")</f>
        <v>Y</v>
      </c>
      <c r="X102" s="203">
        <f t="shared" si="53"/>
        <v>1</v>
      </c>
      <c r="Y102" s="203">
        <f t="shared" si="45"/>
        <v>23.299299999999999</v>
      </c>
      <c r="Z102" s="203">
        <f t="shared" si="46"/>
        <v>23.211600000000001</v>
      </c>
      <c r="AA102" s="203">
        <f t="shared" si="54"/>
        <v>8.7699999999998113E-2</v>
      </c>
      <c r="AB102" s="54" t="e">
        <f>VLOOKUP(A102,[1]Enforcements!$C$7:$K$11,8,0)</f>
        <v>#N/A</v>
      </c>
      <c r="AC102" s="51" t="e">
        <f>VLOOKUP(A102,[1]Enforcements!$C$7:$E$11,3,0)</f>
        <v>#N/A</v>
      </c>
      <c r="AD102" s="178">
        <f t="shared" si="55"/>
        <v>190</v>
      </c>
      <c r="AE102" s="77" t="str">
        <f t="shared" si="67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102" s="74" t="str">
        <f t="shared" si="68"/>
        <v>"C:\Program Files (x86)\AstroGrep\AstroGrep.exe" /e /r /s /spath="%USERPROFILE%\AppData\Local\Temp\OnboardLogs" /stypes="app*4059*20170926*" /stext=" 21:.+((SYSTEM_STATE.+slice.+state.+changed )|(ment ac)|(multiple cpu faults)|(system.+state.+changed )|(\[timeout)|(PRM\|1\|D)|(kpr)|(kdp)|(train st.+moving)|(\|lc)|(penalty))"</v>
      </c>
      <c r="AG102" s="181" t="str">
        <f t="shared" si="69"/>
        <v>EC</v>
      </c>
      <c r="AH102" s="78" t="str">
        <f t="shared" si="70"/>
        <v>"%USERPROFILE%\Documents\GitHub\eaglep3\Utilities\RefineRTDCRunTimes.py" --tripid 190-26 --locoid 4059 --swversion DE.1.0.9.0 --startMP 204:232993 --initTime 2017-09-26T15:22:57 --startdatetime 2017-09-26T15:42:18 --delay 65 --endMP 204:232116 --enddatetime 2017-09-26T15:42:24 --enforcementcount 0 &gt;&gt;c:\users\stu\Documents\GitHub\eaglep3-reporting\EC\2017-09-26-refined-times.txt</v>
      </c>
      <c r="AI102" s="96" t="str">
        <f t="shared" si="71"/>
        <v>echo {"issue":{"subject":"ATC fault","project_id":79,"tracker_id":40,"status_id":1,"priority_id":2,"assigned_to_id":338,"start_date":"2017-09-26","description":"","custom_fields":[{"id":1,"name":"Subdivision","value":"EC"},{"id":4,"name":"Milepost","value":"23.2116"},{"id":17,"name":"Train ID","value":"190-26"},{"id":16,"name":"Locomotive ID","value":"4059"},{"id":130,"name":"Impact","value":""},{"id":150,"name":"Time of Event (Mountain Time)","value":"15:42:24"},{"id":151,"name":"Denver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72"/>
        <v>start /low /b %USERPROFILE%\Documents\GitHub\eaglep3\Utilities\DownloadLogsFromS3.py --loco 4059 --day 2017-09-26</v>
      </c>
      <c r="AN102" s="151" t="str">
        <f t="shared" si="73"/>
        <v>echo {"issue":{"subject":"ATC fault","project_id":30,"tracker_id":4,"status_id":1,"priority_id":1,"assigned_to_id":10,"start_date":"2017-09-26","description":"","custom_fields":[{"id":30,"name":"Category","value":"Issue"},{"id":3,"name":"Functional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7" t="str">
        <f t="shared" si="74"/>
        <v>https://d0f6bd738d7f1b3e5a7ca70fe4ff75f0.us-east-1.aws.found.io/app/kibana#/discover/Steve-Slow-Train-Analysis-(2080s-and-2083s)?_g=(refreshInterval:(display:Off,pause:!f,section:0,value:0),time:(from:'2017-09-26T14:22:57-0600',mode:absolute,to:'2017-09-26T16:42:24-0600'))&amp;_a=(columns:!('Message%20ID',Summary),filters:!(),index:'emp_*',interval:auto,query:(query_string:(analyze_wildcard:!t,query:'%22rtdc.l.rtdc.4059%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767</v>
      </c>
      <c r="B103" s="7">
        <v>4018</v>
      </c>
      <c r="C103" s="21" t="s">
        <v>196</v>
      </c>
      <c r="D103" s="21" t="s">
        <v>870</v>
      </c>
      <c r="E103" s="13">
        <v>43004.624039351853</v>
      </c>
      <c r="F103" s="13">
        <v>43004.625324074077</v>
      </c>
      <c r="G103" s="7">
        <v>62</v>
      </c>
      <c r="H103" s="21" t="s">
        <v>568</v>
      </c>
      <c r="I103" s="13">
        <v>43004.652604166666</v>
      </c>
      <c r="J103" s="7">
        <v>0</v>
      </c>
      <c r="K103" s="89" t="str">
        <f t="shared" si="47"/>
        <v>4017/4018</v>
      </c>
      <c r="L103" s="184" t="str">
        <f>VLOOKUP(A103,'[1]Trips&amp;Operators'!$C$1:$G$99911,5,FALSE)</f>
        <v>NELSON ARIANE</v>
      </c>
      <c r="M103" s="6">
        <f t="shared" si="48"/>
        <v>2.7280092588625848E-2</v>
      </c>
      <c r="N103" s="7">
        <f t="shared" ref="N103:N108" si="75">24*60*SUM($M103:$M103)</f>
        <v>39.283333327621222</v>
      </c>
      <c r="O103" s="7"/>
      <c r="P103" s="7"/>
      <c r="Q103" s="22"/>
      <c r="R103" s="173"/>
      <c r="S103" s="220">
        <f t="shared" si="65"/>
        <v>1</v>
      </c>
      <c r="T103" s="173" t="str">
        <f t="shared" si="51"/>
        <v>NorthBound</v>
      </c>
      <c r="U103" s="197">
        <f>IF(AG103="EC",COUNTIFS([1]Variables!$M$2:$M$19,IF(T103="NorthBound","&gt;=","&lt;=")&amp;Y103,[1]Variables!$M$2:$M$19,IF(T103="NorthBound","&lt;=","&gt;=")&amp;Z103),COUNTIFS([1]Variables!$P$2:$P$19,IF(T103="NorthBound","&gt;=","&lt;=")&amp;Y103,[1]Variables!$P$2:$P$19,IF(T103="NorthBound","&lt;=","&gt;=")&amp;Z103))</f>
        <v>12</v>
      </c>
      <c r="V103" s="215" t="str">
        <f t="shared" si="66"/>
        <v>https://d0f6bd738d7f1b3e5a7ca70fe4ff75f0.us-east-1.aws.found.io/app/kibana#/discover/Steve-Slow-Train-Analysis-(2080s-and-2083s)?_g=(refreshInterval:(display:Off,pause:!f,section:0,value:0),time:(from:'2017-09-26T13:58:37-0600',mode:absolute,to:'2017-09-26T16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03" t="str">
        <f>IF(AA103&lt;VLOOKUP(AG103,[1]Variables!$AC$3:$AD$8,2,FALSE),"Y","N")</f>
        <v>N</v>
      </c>
      <c r="X103" s="203">
        <f t="shared" si="53"/>
        <v>1</v>
      </c>
      <c r="Y103" s="203">
        <f t="shared" si="45"/>
        <v>4.7300000000000002E-2</v>
      </c>
      <c r="Z103" s="203">
        <f t="shared" si="46"/>
        <v>23.328199999999999</v>
      </c>
      <c r="AA103" s="203">
        <f t="shared" si="54"/>
        <v>23.280899999999999</v>
      </c>
      <c r="AB103" s="54" t="e">
        <f>VLOOKUP(A103,[1]Enforcements!$C$7:$K$11,8,0)</f>
        <v>#N/A</v>
      </c>
      <c r="AC103" s="51" t="e">
        <f>VLOOKUP(A103,[1]Enforcements!$C$7:$E$11,3,0)</f>
        <v>#N/A</v>
      </c>
      <c r="AD103" s="178">
        <f t="shared" si="55"/>
        <v>191</v>
      </c>
      <c r="AE103" s="77" t="str">
        <f t="shared" si="67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103" s="74" t="str">
        <f t="shared" si="68"/>
        <v>"C:\Program Files (x86)\AstroGrep\AstroGrep.exe" /e /r /s /spath="%USERPROFILE%\AppData\Local\Temp\OnboardLogs" /stypes="app*4018*20170926*" /stext=" 21:.+((SYSTEM_STATE.+slice.+state.+changed )|(ment ac)|(multiple cpu faults)|(system.+state.+changed )|(\[timeout)|(PRM\|1\|D)|(kpr)|(kdp)|(train st.+moving)|(\|lc)|(penalty))"</v>
      </c>
      <c r="AG103" s="181" t="str">
        <f t="shared" si="69"/>
        <v>EC</v>
      </c>
      <c r="AH103" s="78" t="str">
        <f t="shared" si="70"/>
        <v>"%USERPROFILE%\Documents\GitHub\eaglep3\Utilities\RefineRTDCRunTimes.py" --tripid 191-26 --locoid 4018 --swversion DE.1.0.9.0 --startMP 204:473 --initTime 2017-09-26T14:58:37 --startdatetime 2017-09-26T15:00:28 --delay 62 --endMP 204:233282 --enddatetime 2017-09-26T15:39:45 --enforcementcount 0 &gt;&gt;c:\users\stu\Documents\GitHub\eaglep3-reporting\EC\2017-09-26-refined-times.txt</v>
      </c>
      <c r="AI103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{"issue":{"subject":"","project_id":79,"tracker_id":40,"status_id":1,"priority_id":2,"assigned_to_id":338,"start_date":"2017-09-26","description":"","custom_fields":[{"id":1,"name":"Subdivision","value":"EC"},{"id":4,"name":"Milepost","value":"23.3282"},{"id":17,"name":"Train ID","value":"191-26"},{"id":16,"name":"Locomotive ID","value":"4018"},{"id":130,"name":"Impact","value":""},{"id":150,"name":"Time of Event (Mountain Time)","value":"15:39:45"},{"id":151,"name":"Denver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72"/>
        <v>start /low /b %USERPROFILE%\Documents\GitHub\eaglep3\Utilities\DownloadLogsFromS3.py --loco 4018 --day 2017-09-26</v>
      </c>
      <c r="AN103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7" t="str">
        <f t="shared" si="74"/>
        <v>https://d0f6bd738d7f1b3e5a7ca70fe4ff75f0.us-east-1.aws.found.io/app/kibana#/discover/Steve-Slow-Train-Analysis-(2080s-and-2083s)?_g=(refreshInterval:(display:Off,pause:!f,section:0,value:0),time:(from:'2017-09-26T13:58:37-0600',mode:absolute,to:'2017-09-26T16:39:45-0600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775</v>
      </c>
      <c r="B104" s="7">
        <v>4017</v>
      </c>
      <c r="C104" s="21" t="s">
        <v>196</v>
      </c>
      <c r="D104" s="21" t="s">
        <v>514</v>
      </c>
      <c r="E104" s="13">
        <v>43004.661979166667</v>
      </c>
      <c r="F104" s="13">
        <v>43004.66679398148</v>
      </c>
      <c r="G104" s="7">
        <v>132</v>
      </c>
      <c r="H104" s="21" t="s">
        <v>363</v>
      </c>
      <c r="I104" s="13">
        <v>43004.712847222225</v>
      </c>
      <c r="J104" s="7">
        <v>0</v>
      </c>
      <c r="K104" s="89" t="str">
        <f t="shared" si="47"/>
        <v>4017/4018</v>
      </c>
      <c r="L104" s="184" t="str">
        <f>VLOOKUP(A104,'[1]Trips&amp;Operators'!$C$1:$G$99911,5,FALSE)</f>
        <v>NELSON ARIANE</v>
      </c>
      <c r="M104" s="6">
        <f t="shared" si="48"/>
        <v>4.6053240745095536E-2</v>
      </c>
      <c r="N104" s="7">
        <f t="shared" si="75"/>
        <v>66.316666672937572</v>
      </c>
      <c r="O104" s="7"/>
      <c r="P104" s="7"/>
      <c r="Q104" s="22"/>
      <c r="R104" s="173" t="s">
        <v>1014</v>
      </c>
      <c r="S104" s="220">
        <f t="shared" si="65"/>
        <v>1</v>
      </c>
      <c r="T104" s="173" t="str">
        <f t="shared" si="51"/>
        <v>Southbound</v>
      </c>
      <c r="U104" s="197">
        <f>IF(AG104="EC",COUNTIFS([1]Variables!$M$2:$M$19,IF(T104="NorthBound","&gt;=","&lt;=")&amp;Y104,[1]Variables!$M$2:$M$19,IF(T104="NorthBound","&lt;=","&gt;=")&amp;Z104),COUNTIFS([1]Variables!$P$2:$P$19,IF(T104="NorthBound","&gt;=","&lt;=")&amp;Y104,[1]Variables!$P$2:$P$19,IF(T104="NorthBound","&lt;=","&gt;=")&amp;Z104))</f>
        <v>12</v>
      </c>
      <c r="V104" s="215" t="str">
        <f t="shared" si="66"/>
        <v>https://d0f6bd738d7f1b3e5a7ca70fe4ff75f0.us-east-1.aws.found.io/app/kibana#/discover/Steve-Slow-Train-Analysis-(2080s-and-2083s)?_g=(refreshInterval:(display:Off,pause:!f,section:0,value:0),time:(from:'2017-09-26T14:53:15-0600',mode:absolute,to:'2017-09-26T18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03" t="str">
        <f>IF(AA104&lt;VLOOKUP(AG104,[1]Variables!$AC$3:$AD$8,2,FALSE),"Y","N")</f>
        <v>N</v>
      </c>
      <c r="X104" s="203">
        <f t="shared" si="53"/>
        <v>1</v>
      </c>
      <c r="Y104" s="203">
        <f t="shared" si="45"/>
        <v>23.2959</v>
      </c>
      <c r="Z104" s="203">
        <f t="shared" si="46"/>
        <v>1.38E-2</v>
      </c>
      <c r="AA104" s="203">
        <f t="shared" si="54"/>
        <v>23.2821</v>
      </c>
      <c r="AB104" s="54" t="e">
        <f>VLOOKUP(A104,[1]Enforcements!$C$7:$K$11,8,0)</f>
        <v>#N/A</v>
      </c>
      <c r="AC104" s="51" t="e">
        <f>VLOOKUP(A104,[1]Enforcements!$C$7:$E$11,3,0)</f>
        <v>#N/A</v>
      </c>
      <c r="AD104" s="178">
        <f t="shared" si="55"/>
        <v>192</v>
      </c>
      <c r="AE104" s="77" t="str">
        <f t="shared" si="67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104" s="74" t="str">
        <f t="shared" si="68"/>
        <v>"C:\Program Files (x86)\AstroGrep\AstroGrep.exe" /e /r /s /spath="%USERPROFILE%\AppData\Local\Temp\OnboardLogs" /stypes="app*4017*20170926*" /stext=" 23:.+((SYSTEM_STATE.+slice.+state.+changed )|(ment ac)|(multiple cpu faults)|(system.+state.+changed )|(\[timeout)|(PRM\|1\|D)|(kpr)|(kdp)|(train st.+moving)|(\|lc)|(penalty))"</v>
      </c>
      <c r="AG104" s="181" t="str">
        <f t="shared" si="69"/>
        <v>EC</v>
      </c>
      <c r="AH104" s="78" t="str">
        <f t="shared" si="70"/>
        <v>"%USERPROFILE%\Documents\GitHub\eaglep3\Utilities\RefineRTDCRunTimes.py" --tripid 192-26 --locoid 4017 --swversion DE.1.0.9.0 --startMP 204:232959 --initTime 2017-09-26T15:53:15 --startdatetime 2017-09-26T16:00:11 --delay 132 --endMP 204:138 --enddatetime 2017-09-26T17:06:30 --enforcementcount 0 &gt;&gt;c:\users\stu\Documents\GitHub\eaglep3-reporting\EC\2017-09-26-refined-times.txt</v>
      </c>
      <c r="AI104" s="96" t="str">
        <f t="shared" si="71"/>
        <v>echo {"issue":{"subject":"Delay due to cascade from Trip 190","project_id":79,"tracker_id":40,"status_id":1,"priority_id":2,"assigned_to_id":338,"start_date":"2017-09-26","description":"","custom_fields":[{"id":1,"name":"Subdivision","value":"EC"},{"id":4,"name":"Milepost","value":"0.0138"},{"id":17,"name":"Train ID","value":"192-26"},{"id":16,"name":"Locomotive ID","value":"4017"},{"id":130,"name":"Impact","value":""},{"id":150,"name":"Time of Event (Mountain Time)","value":"17:06:30"},{"id":151,"name":"Denver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72"/>
        <v>start /low /b %USERPROFILE%\Documents\GitHub\eaglep3\Utilities\DownloadLogsFromS3.py --loco 4017 --day 2017-09-26</v>
      </c>
      <c r="AN104" s="151" t="str">
        <f t="shared" si="73"/>
        <v>echo {"issue":{"subject":"Delay due to cascade from Trip 190","project_id":30,"tracker_id":4,"status_id":1,"priority_id":1,"assigned_to_id":10,"start_date":"2017-09-26","description":"","custom_fields":[{"id":30,"name":"Category","value":"Issue"},{"id":3,"name":"Functional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7" t="str">
        <f t="shared" si="74"/>
        <v>https://d0f6bd738d7f1b3e5a7ca70fe4ff75f0.us-east-1.aws.found.io/app/kibana#/discover/Steve-Slow-Train-Analysis-(2080s-and-2083s)?_g=(refreshInterval:(display:Off,pause:!f,section:0,value:0),time:(from:'2017-09-26T14:53:15-0600',mode:absolute,to:'2017-09-26T18:06:30-0600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4054</v>
      </c>
      <c r="C105" s="21" t="s">
        <v>196</v>
      </c>
      <c r="D105" s="21" t="s">
        <v>336</v>
      </c>
      <c r="E105" s="13">
        <v>43004.633101851854</v>
      </c>
      <c r="F105" s="13">
        <v>43004.635960648149</v>
      </c>
      <c r="G105" s="7">
        <v>58</v>
      </c>
      <c r="H105" s="21" t="s">
        <v>512</v>
      </c>
      <c r="I105" s="13">
        <v>43004.666770833333</v>
      </c>
      <c r="J105" s="7">
        <v>0</v>
      </c>
      <c r="K105" s="89" t="str">
        <f t="shared" si="47"/>
        <v>4053/4054</v>
      </c>
      <c r="L105" s="184" t="str">
        <f>VLOOKUP(A105,'[1]Trips&amp;Operators'!$C$1:$G$99911,5,FALSE)</f>
        <v>LEVIN SCOTT</v>
      </c>
      <c r="M105" s="6">
        <f t="shared" si="48"/>
        <v>3.0810185184236616E-2</v>
      </c>
      <c r="N105" s="7">
        <f t="shared" si="75"/>
        <v>44.366666665300727</v>
      </c>
      <c r="O105" s="7"/>
      <c r="P105" s="7"/>
      <c r="Q105" s="22"/>
      <c r="R105" s="173"/>
      <c r="S105" s="220">
        <f t="shared" si="65"/>
        <v>1</v>
      </c>
      <c r="T105" s="173" t="str">
        <f t="shared" si="51"/>
        <v>NorthBound</v>
      </c>
      <c r="U105" s="197">
        <f>IF(AG105="EC",COUNTIFS([1]Variables!$M$2:$M$19,IF(T105="NorthBound","&gt;=","&lt;=")&amp;Y105,[1]Variables!$M$2:$M$19,IF(T105="NorthBound","&lt;=","&gt;=")&amp;Z105),COUNTIFS([1]Variables!$P$2:$P$19,IF(T105="NorthBound","&gt;=","&lt;=")&amp;Y105,[1]Variables!$P$2:$P$19,IF(T105="NorthBound","&lt;=","&gt;=")&amp;Z105))</f>
        <v>12</v>
      </c>
      <c r="V105" s="215" t="str">
        <f t="shared" si="66"/>
        <v>https://d0f6bd738d7f1b3e5a7ca70fe4ff75f0.us-east-1.aws.found.io/app/kibana#/discover/Steve-Slow-Train-Analysis-(2080s-and-2083s)?_g=(refreshInterval:(display:Off,pause:!f,section:0,value:0),time:(from:'2017-09-26T14:11:40-0600',mode:absolute,to:'2017-09-26T17:00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203" t="str">
        <f>IF(AA105&lt;VLOOKUP(AG105,[1]Variables!$AC$3:$AD$8,2,FALSE),"Y","N")</f>
        <v>N</v>
      </c>
      <c r="X105" s="203">
        <f t="shared" si="53"/>
        <v>1</v>
      </c>
      <c r="Y105" s="203">
        <f t="shared" si="45"/>
        <v>4.4600000000000001E-2</v>
      </c>
      <c r="Z105" s="203">
        <f t="shared" si="46"/>
        <v>23.330400000000001</v>
      </c>
      <c r="AA105" s="203">
        <f t="shared" si="54"/>
        <v>23.285800000000002</v>
      </c>
      <c r="AB105" s="54" t="e">
        <f>VLOOKUP(A105,[1]Enforcements!$C$7:$K$11,8,0)</f>
        <v>#N/A</v>
      </c>
      <c r="AC105" s="51" t="e">
        <f>VLOOKUP(A105,[1]Enforcements!$C$7:$E$11,3,0)</f>
        <v>#N/A</v>
      </c>
      <c r="AD105" s="178">
        <f t="shared" si="55"/>
        <v>193</v>
      </c>
      <c r="AE105" s="77" t="str">
        <f t="shared" si="67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105" s="74" t="str">
        <f t="shared" si="68"/>
        <v>"C:\Program Files (x86)\AstroGrep\AstroGrep.exe" /e /r /s /spath="%USERPROFILE%\AppData\Local\Temp\OnboardLogs" /stypes="app*4054*20170926*" /stext=" 22:.+((SYSTEM_STATE.+slice.+state.+changed )|(ment ac)|(multiple cpu faults)|(system.+state.+changed )|(\[timeout)|(PRM\|1\|D)|(kpr)|(kdp)|(train st.+moving)|(\|lc)|(penalty))"</v>
      </c>
      <c r="AG105" s="181" t="str">
        <f t="shared" si="69"/>
        <v>EC</v>
      </c>
      <c r="AH105" s="78" t="str">
        <f t="shared" si="70"/>
        <v>"%USERPROFILE%\Documents\GitHub\eaglep3\Utilities\RefineRTDCRunTimes.py" --tripid 193-26 --locoid 4054 --swversion DE.1.0.9.0 --startMP 204:446 --initTime 2017-09-26T15:11:40 --startdatetime 2017-09-26T15:15:47 --delay 58 --endMP 204:233304 --enddatetime 2017-09-26T16:00:09 --enforcementcount 0 &gt;&gt;c:\users\stu\Documents\GitHub\eaglep3-reporting\EC\2017-09-26-refined-times.txt</v>
      </c>
      <c r="AI105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{"issue":{"subject":"","project_id":79,"tracker_id":40,"status_id":1,"priority_id":2,"assigned_to_id":338,"start_date":"2017-09-26","description":"","custom_fields":[{"id":1,"name":"Subdivision","value":"EC"},{"id":4,"name":"Milepost","value":"23.3304"},{"id":17,"name":"Train ID","value":"193-26"},{"id":16,"name":"Locomotive ID","value":"4054"},{"id":130,"name":"Impact","value":""},{"id":150,"name":"Time of Event (Mountain Time)","value":"16:00:09"},{"id":151,"name":"Denver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72"/>
        <v>start /low /b %USERPROFILE%\Documents\GitHub\eaglep3\Utilities\DownloadLogsFromS3.py --loco 4054 --day 2017-09-26</v>
      </c>
      <c r="AN105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22:00:09"},{"id":29,"name":"Sharepoint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7" t="str">
        <f t="shared" si="74"/>
        <v>https://d0f6bd738d7f1b3e5a7ca70fe4ff75f0.us-east-1.aws.found.io/app/kibana#/discover/Steve-Slow-Train-Analysis-(2080s-and-2083s)?_g=(refreshInterval:(display:Off,pause:!f,section:0,value:0),time:(from:'2017-09-26T14:11:40-0600',mode:absolute,to:'2017-09-26T17:00:09-0600'))&amp;_a=(columns:!('Message%20ID',Summary),filters:!(),index:'emp_*',interval:auto,query:(query_string:(analyze_wildcard:!t,query:'%22rtdc.l.rtdc.4054%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628</v>
      </c>
      <c r="B106" s="7">
        <v>4053</v>
      </c>
      <c r="C106" s="21" t="s">
        <v>196</v>
      </c>
      <c r="D106" s="21" t="s">
        <v>452</v>
      </c>
      <c r="E106" s="13">
        <v>43004.670995370368</v>
      </c>
      <c r="F106" s="13">
        <v>43004.676666666666</v>
      </c>
      <c r="G106" s="7">
        <v>121</v>
      </c>
      <c r="H106" s="21" t="s">
        <v>889</v>
      </c>
      <c r="I106" s="13">
        <v>43004.71671296296</v>
      </c>
      <c r="J106" s="7">
        <v>0</v>
      </c>
      <c r="K106" s="89" t="str">
        <f t="shared" si="47"/>
        <v>4053/4054</v>
      </c>
      <c r="L106" s="184" t="str">
        <f>VLOOKUP(A106,'[1]Trips&amp;Operators'!$C$1:$G$99911,5,FALSE)</f>
        <v>LEVIN SCOTT</v>
      </c>
      <c r="M106" s="6">
        <f t="shared" si="48"/>
        <v>4.0046296293439809E-2</v>
      </c>
      <c r="N106" s="7">
        <f t="shared" si="75"/>
        <v>57.666666662553325</v>
      </c>
      <c r="O106" s="7"/>
      <c r="P106" s="7"/>
      <c r="Q106" s="22"/>
      <c r="R106" s="173" t="s">
        <v>1014</v>
      </c>
      <c r="S106" s="220">
        <f t="shared" si="65"/>
        <v>1</v>
      </c>
      <c r="T106" s="173" t="str">
        <f t="shared" si="51"/>
        <v>Southbound</v>
      </c>
      <c r="U106" s="197">
        <f>IF(AG106="EC",COUNTIFS([1]Variables!$M$2:$M$19,IF(T106="NorthBound","&gt;=","&lt;=")&amp;Y106,[1]Variables!$M$2:$M$19,IF(T106="NorthBound","&lt;=","&gt;=")&amp;Z106),COUNTIFS([1]Variables!$P$2:$P$19,IF(T106="NorthBound","&gt;=","&lt;=")&amp;Y106,[1]Variables!$P$2:$P$19,IF(T106="NorthBound","&lt;=","&gt;=")&amp;Z106))</f>
        <v>12</v>
      </c>
      <c r="V106" s="215" t="str">
        <f t="shared" si="66"/>
        <v>https://d0f6bd738d7f1b3e5a7ca70fe4ff75f0.us-east-1.aws.found.io/app/kibana#/discover/Steve-Slow-Train-Analysis-(2080s-and-2083s)?_g=(refreshInterval:(display:Off,pause:!f,section:0,value:0),time:(from:'2017-09-26T15:06:14-0600',mode:absolute,to:'2017-09-26T18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6" s="203" t="str">
        <f>IF(AA106&lt;VLOOKUP(AG106,[1]Variables!$AC$3:$AD$8,2,FALSE),"Y","N")</f>
        <v>N</v>
      </c>
      <c r="X106" s="203">
        <f t="shared" si="53"/>
        <v>1</v>
      </c>
      <c r="Y106" s="203">
        <f t="shared" si="45"/>
        <v>23.3002</v>
      </c>
      <c r="Z106" s="203">
        <f t="shared" si="46"/>
        <v>9.4299999999999995E-2</v>
      </c>
      <c r="AA106" s="203">
        <f t="shared" si="54"/>
        <v>23.2059</v>
      </c>
      <c r="AB106" s="54" t="e">
        <f>VLOOKUP(A106,[1]Enforcements!$C$7:$K$11,8,0)</f>
        <v>#N/A</v>
      </c>
      <c r="AC106" s="51" t="e">
        <f>VLOOKUP(A106,[1]Enforcements!$C$7:$E$11,3,0)</f>
        <v>#N/A</v>
      </c>
      <c r="AD106" s="178">
        <f t="shared" si="55"/>
        <v>194</v>
      </c>
      <c r="AE106" s="77" t="str">
        <f t="shared" si="67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106" s="74" t="str">
        <f t="shared" si="68"/>
        <v>"C:\Program Files (x86)\AstroGrep\AstroGrep.exe" /e /r /s /spath="%USERPROFILE%\AppData\Local\Temp\OnboardLogs" /stypes="app*4053*20170926*" /stext=" 23:.+((SYSTEM_STATE.+slice.+state.+changed )|(ment ac)|(multiple cpu faults)|(system.+state.+changed )|(\[timeout)|(PRM\|1\|D)|(kpr)|(kdp)|(train st.+moving)|(\|lc)|(penalty))"</v>
      </c>
      <c r="AG106" s="181" t="str">
        <f t="shared" si="69"/>
        <v>EC</v>
      </c>
      <c r="AH106" s="78" t="str">
        <f t="shared" si="70"/>
        <v>"%USERPROFILE%\Documents\GitHub\eaglep3\Utilities\RefineRTDCRunTimes.py" --tripid 194-26 --locoid 4053 --swversion DE.1.0.9.0 --startMP 204:233002 --initTime 2017-09-26T16:06:14 --startdatetime 2017-09-26T16:14:24 --delay 121 --endMP 204:943 --enddatetime 2017-09-26T17:12:04 --enforcementcount 0 &gt;&gt;c:\users\stu\Documents\GitHub\eaglep3-reporting\EC\2017-09-26-refined-times.txt</v>
      </c>
      <c r="AI106" s="96" t="str">
        <f t="shared" si="71"/>
        <v>echo {"issue":{"subject":"Delay due to cascade from Trip 190","project_id":79,"tracker_id":40,"status_id":1,"priority_id":2,"assigned_to_id":338,"start_date":"2017-09-26","description":"","custom_fields":[{"id":1,"name":"Subdivision","value":"EC"},{"id":4,"name":"Milepost","value":"0.0943"},{"id":17,"name":"Train ID","value":"194-26"},{"id":16,"name":"Locomotive ID","value":"4053"},{"id":130,"name":"Impact","value":""},{"id":150,"name":"Time of Event (Mountain Time)","value":"17:12:04"},{"id":151,"name":"Denver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72"/>
        <v>start /low /b %USERPROFILE%\Documents\GitHub\eaglep3\Utilities\DownloadLogsFromS3.py --loco 4053 --day 2017-09-26</v>
      </c>
      <c r="AN106" s="151" t="str">
        <f t="shared" si="73"/>
        <v>echo {"issue":{"subject":"Delay due to cascade from Trip 190","project_id":30,"tracker_id":4,"status_id":1,"priority_id":1,"assigned_to_id":10,"start_date":"2017-09-26","description":"","custom_fields":[{"id":30,"name":"Category","value":"Issue"},{"id":3,"name":"Functional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23:12:04"},{"id":29,"name":"Sharepoint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7" t="str">
        <f t="shared" si="74"/>
        <v>https://d0f6bd738d7f1b3e5a7ca70fe4ff75f0.us-east-1.aws.found.io/app/kibana#/discover/Steve-Slow-Train-Analysis-(2080s-and-2083s)?_g=(refreshInterval:(display:Off,pause:!f,section:0,value:0),time:(from:'2017-09-26T15:06:14-0600',mode:absolute,to:'2017-09-26T18:12:04-0600'))&amp;_a=(columns:!('Message%20ID',Summary),filters:!(),index:'emp_*',interval:auto,query:(query_string:(analyze_wildcard:!t,query:'%22rtdc.l.rtdc.4053%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774</v>
      </c>
      <c r="B107" s="7">
        <v>4056</v>
      </c>
      <c r="C107" s="21" t="s">
        <v>196</v>
      </c>
      <c r="D107" s="21" t="s">
        <v>348</v>
      </c>
      <c r="E107" s="13">
        <v>43004.64271990741</v>
      </c>
      <c r="F107" s="13">
        <v>43004.646064814813</v>
      </c>
      <c r="G107" s="7">
        <v>75</v>
      </c>
      <c r="H107" s="21" t="s">
        <v>525</v>
      </c>
      <c r="I107" s="13">
        <v>43004.671527777777</v>
      </c>
      <c r="J107" s="7">
        <v>0</v>
      </c>
      <c r="K107" s="89" t="str">
        <f t="shared" si="47"/>
        <v>4055/4056</v>
      </c>
      <c r="L107" s="184" t="str">
        <f>VLOOKUP(A107,'[1]Trips&amp;Operators'!$C$1:$G$99911,5,FALSE)</f>
        <v>LEVERE CRAIG</v>
      </c>
      <c r="M107" s="6">
        <f t="shared" si="48"/>
        <v>2.5462962963501923E-2</v>
      </c>
      <c r="N107" s="7">
        <f t="shared" si="75"/>
        <v>36.666666667442769</v>
      </c>
      <c r="O107" s="7"/>
      <c r="P107" s="7"/>
      <c r="Q107" s="22"/>
      <c r="R107" s="173"/>
      <c r="S107" s="220">
        <f t="shared" si="65"/>
        <v>1</v>
      </c>
      <c r="T107" s="173" t="str">
        <f t="shared" si="51"/>
        <v>NorthBound</v>
      </c>
      <c r="U107" s="197">
        <f>IF(AG107="EC",COUNTIFS([1]Variables!$M$2:$M$19,IF(T107="NorthBound","&gt;=","&lt;=")&amp;Y107,[1]Variables!$M$2:$M$19,IF(T107="NorthBound","&lt;=","&gt;=")&amp;Z107),COUNTIFS([1]Variables!$P$2:$P$19,IF(T107="NorthBound","&gt;=","&lt;=")&amp;Y107,[1]Variables!$P$2:$P$19,IF(T107="NorthBound","&lt;=","&gt;=")&amp;Z107))</f>
        <v>12</v>
      </c>
      <c r="V107" s="215" t="str">
        <f t="shared" si="66"/>
        <v>https://d0f6bd738d7f1b3e5a7ca70fe4ff75f0.us-east-1.aws.found.io/app/kibana#/discover/Steve-Slow-Train-Analysis-(2080s-and-2083s)?_g=(refreshInterval:(display:Off,pause:!f,section:0,value:0),time:(from:'2017-09-26T14:25:31-0600',mode:absolute,to:'2017-09-26T17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03" t="str">
        <f>IF(AA107&lt;VLOOKUP(AG107,[1]Variables!$AC$3:$AD$8,2,FALSE),"Y","N")</f>
        <v>N</v>
      </c>
      <c r="X107" s="203">
        <f t="shared" si="53"/>
        <v>1</v>
      </c>
      <c r="Y107" s="203">
        <f t="shared" si="45"/>
        <v>4.5499999999999999E-2</v>
      </c>
      <c r="Z107" s="203">
        <f t="shared" si="46"/>
        <v>23.3291</v>
      </c>
      <c r="AA107" s="203">
        <f t="shared" si="54"/>
        <v>23.2836</v>
      </c>
      <c r="AB107" s="54" t="e">
        <f>VLOOKUP(A107,[1]Enforcements!$C$7:$K$11,8,0)</f>
        <v>#N/A</v>
      </c>
      <c r="AC107" s="51" t="e">
        <f>VLOOKUP(A107,[1]Enforcements!$C$7:$E$11,3,0)</f>
        <v>#N/A</v>
      </c>
      <c r="AD107" s="178">
        <f t="shared" si="55"/>
        <v>195</v>
      </c>
      <c r="AE107" s="77" t="str">
        <f t="shared" si="67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07" s="74" t="str">
        <f t="shared" si="68"/>
        <v>"C:\Program Files (x86)\AstroGrep\AstroGrep.exe" /e /r /s /spath="%USERPROFILE%\AppData\Local\Temp\OnboardLogs" /stypes="app*4056*20170926*" /stext=" 22:.+((SYSTEM_STATE.+slice.+state.+changed )|(ment ac)|(multiple cpu faults)|(system.+state.+changed )|(\[timeout)|(PRM\|1\|D)|(kpr)|(kdp)|(train st.+moving)|(\|lc)|(penalty))"</v>
      </c>
      <c r="AG107" s="181" t="str">
        <f t="shared" si="69"/>
        <v>EC</v>
      </c>
      <c r="AH107" s="78" t="str">
        <f t="shared" si="70"/>
        <v>"%USERPROFILE%\Documents\GitHub\eaglep3\Utilities\RefineRTDCRunTimes.py" --tripid 195-26 --locoid 4056 --swversion DE.1.0.9.0 --startMP 204:455 --initTime 2017-09-26T15:25:31 --startdatetime 2017-09-26T15:30:20 --delay 75 --endMP 204:233291 --enddatetime 2017-09-26T16:07:00 --enforcementcount 0 &gt;&gt;c:\users\stu\Documents\GitHub\eaglep3-reporting\EC\2017-09-26-refined-times.txt</v>
      </c>
      <c r="AI107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{"issue":{"subject":"","project_id":79,"tracker_id":40,"status_id":1,"priority_id":2,"assigned_to_id":338,"start_date":"2017-09-26","description":"","custom_fields":[{"id":1,"name":"Subdivision","value":"EC"},{"id":4,"name":"Milepost","value":"23.3291"},{"id":17,"name":"Train ID","value":"195-26"},{"id":16,"name":"Locomotive ID","value":"4056"},{"id":130,"name":"Impact","value":""},{"id":150,"name":"Time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72"/>
        <v>start /low /b %USERPROFILE%\Documents\GitHub\eaglep3\Utilities\DownloadLogsFromS3.py --loco 4056 --day 2017-09-26</v>
      </c>
      <c r="AN107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7" t="str">
        <f t="shared" si="74"/>
        <v>https://d0f6bd738d7f1b3e5a7ca70fe4ff75f0.us-east-1.aws.found.io/app/kibana#/discover/Steve-Slow-Train-Analysis-(2080s-and-2083s)?_g=(refreshInterval:(display:Off,pause:!f,section:0,value:0),time:(from:'2017-09-26T14:25:31-0600',mode:absolute,to:'2017-09-26T17:07:00-0600'))&amp;_a=(columns:!('Message%20ID',Summary),filters:!(),index:'emp_*',interval:auto,query:(query_string:(analyze_wildcard:!t,query:'%22rtdc.l.rtdc.4056%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781</v>
      </c>
      <c r="B108" s="7">
        <v>4055</v>
      </c>
      <c r="C108" s="21" t="s">
        <v>196</v>
      </c>
      <c r="D108" s="21" t="s">
        <v>869</v>
      </c>
      <c r="E108" s="13">
        <v>43004.680879629632</v>
      </c>
      <c r="F108" s="13">
        <v>43004.685624999998</v>
      </c>
      <c r="G108" s="7">
        <v>68</v>
      </c>
      <c r="H108" s="21" t="s">
        <v>341</v>
      </c>
      <c r="I108" s="13">
        <v>43004.721979166665</v>
      </c>
      <c r="J108" s="7">
        <v>0</v>
      </c>
      <c r="K108" s="89" t="str">
        <f t="shared" si="47"/>
        <v>4055/4056</v>
      </c>
      <c r="L108" s="184" t="str">
        <f>VLOOKUP(A108,'[1]Trips&amp;Operators'!$C$1:$G$99911,5,FALSE)</f>
        <v>LEVERE CRAIG</v>
      </c>
      <c r="M108" s="6">
        <f t="shared" si="48"/>
        <v>3.6354166666569654E-2</v>
      </c>
      <c r="N108" s="7">
        <f t="shared" si="75"/>
        <v>52.349999999860302</v>
      </c>
      <c r="O108" s="7"/>
      <c r="P108" s="7"/>
      <c r="Q108" s="22"/>
      <c r="R108" s="173" t="s">
        <v>1014</v>
      </c>
      <c r="S108" s="220">
        <f t="shared" si="65"/>
        <v>1</v>
      </c>
      <c r="T108" s="173" t="str">
        <f t="shared" si="51"/>
        <v>Southbound</v>
      </c>
      <c r="U108" s="197">
        <f>IF(AG108="EC",COUNTIFS([1]Variables!$M$2:$M$19,IF(T108="NorthBound","&gt;=","&lt;=")&amp;Y108,[1]Variables!$M$2:$M$19,IF(T108="NorthBound","&lt;=","&gt;=")&amp;Z108),COUNTIFS([1]Variables!$P$2:$P$19,IF(T108="NorthBound","&gt;=","&lt;=")&amp;Y108,[1]Variables!$P$2:$P$19,IF(T108="NorthBound","&lt;=","&gt;=")&amp;Z108))</f>
        <v>12</v>
      </c>
      <c r="V108" s="215" t="str">
        <f t="shared" si="66"/>
        <v>https://d0f6bd738d7f1b3e5a7ca70fe4ff75f0.us-east-1.aws.found.io/app/kibana#/discover/Steve-Slow-Train-Analysis-(2080s-and-2083s)?_g=(refreshInterval:(display:Off,pause:!f,section:0,value:0),time:(from:'2017-09-26T15:20:28-0600',mode:absolute,to:'2017-09-26T18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03" t="str">
        <f>IF(AA108&lt;VLOOKUP(AG108,[1]Variables!$AC$3:$AD$8,2,FALSE),"Y","N")</f>
        <v>N</v>
      </c>
      <c r="X108" s="203">
        <f t="shared" si="53"/>
        <v>1</v>
      </c>
      <c r="Y108" s="203">
        <f t="shared" si="45"/>
        <v>23.298400000000001</v>
      </c>
      <c r="Z108" s="203">
        <f t="shared" si="46"/>
        <v>1.41E-2</v>
      </c>
      <c r="AA108" s="203">
        <f t="shared" si="54"/>
        <v>23.284300000000002</v>
      </c>
      <c r="AB108" s="54" t="e">
        <f>VLOOKUP(A108,[1]Enforcements!$C$7:$K$11,8,0)</f>
        <v>#N/A</v>
      </c>
      <c r="AC108" s="51" t="e">
        <f>VLOOKUP(A108,[1]Enforcements!$C$7:$E$11,3,0)</f>
        <v>#N/A</v>
      </c>
      <c r="AD108" s="178">
        <f t="shared" si="55"/>
        <v>196</v>
      </c>
      <c r="AE108" s="77" t="str">
        <f t="shared" si="67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08" s="74" t="str">
        <f t="shared" si="68"/>
        <v>"C:\Program Files (x86)\AstroGrep\AstroGrep.exe" /e /r /s /spath="%USERPROFILE%\AppData\Local\Temp\OnboardLogs" /stypes="app*4055*20170926*" /stext=" 23:.+((SYSTEM_STATE.+slice.+state.+changed )|(ment ac)|(multiple cpu faults)|(system.+state.+changed )|(\[timeout)|(PRM\|1\|D)|(kpr)|(kdp)|(train st.+moving)|(\|lc)|(penalty))"</v>
      </c>
      <c r="AG108" s="181" t="str">
        <f t="shared" si="69"/>
        <v>EC</v>
      </c>
      <c r="AH108" s="78" t="str">
        <f t="shared" si="70"/>
        <v>"%USERPROFILE%\Documents\GitHub\eaglep3\Utilities\RefineRTDCRunTimes.py" --tripid 196-26 --locoid 4055 --swversion DE.1.0.9.0 --startMP 204:232984 --initTime 2017-09-26T16:20:28 --startdatetime 2017-09-26T16:27:18 --delay 68 --endMP 204:141 --enddatetime 2017-09-26T17:19:39 --enforcementcount 0 &gt;&gt;c:\users\stu\Documents\GitHub\eaglep3-reporting\EC\2017-09-26-refined-times.txt</v>
      </c>
      <c r="AI108" s="96" t="str">
        <f t="shared" si="71"/>
        <v>echo {"issue":{"subject":"Delay due to cascade from Trip 190","project_id":79,"tracker_id":40,"status_id":1,"priority_id":2,"assigned_to_id":338,"start_date":"2017-09-26","description":"","custom_fields":[{"id":1,"name":"Subdivision","value":"EC"},{"id":4,"name":"Milepost","value":"0.0141"},{"id":17,"name":"Train ID","value":"196-26"},{"id":16,"name":"Locomotive ID","value":"4055"},{"id":130,"name":"Impact","value":""},{"id":150,"name":"Time of Event (Mountain Time)","value":"17:19:39"},{"id":151,"name":"Denver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72"/>
        <v>start /low /b %USERPROFILE%\Documents\GitHub\eaglep3\Utilities\DownloadLogsFromS3.py --loco 4055 --day 2017-09-26</v>
      </c>
      <c r="AN108" s="151" t="str">
        <f t="shared" si="73"/>
        <v>echo {"issue":{"subject":"Delay due to cascade from Trip 190","project_id":30,"tracker_id":4,"status_id":1,"priority_id":1,"assigned_to_id":10,"start_date":"2017-09-26","description":"","custom_fields":[{"id":30,"name":"Category","value":"Issue"},{"id":3,"name":"Functional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7" t="str">
        <f t="shared" si="74"/>
        <v>https://d0f6bd738d7f1b3e5a7ca70fe4ff75f0.us-east-1.aws.found.io/app/kibana#/discover/Steve-Slow-Train-Analysis-(2080s-and-2083s)?_g=(refreshInterval:(display:Off,pause:!f,section:0,value:0),time:(from:'2017-09-26T15:20:28-0600',mode:absolute,to:'2017-09-26T18:19:39-0600'))&amp;_a=(columns:!('Message%20ID',Summary),filters:!(),index:'emp_*',interval:auto,query:(query_string:(analyze_wildcard:!t,query:'%22rtdc.l.rtdc.4055%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624</v>
      </c>
      <c r="B109" s="7">
        <v>4062</v>
      </c>
      <c r="C109" s="21" t="s">
        <v>196</v>
      </c>
      <c r="D109" s="21" t="s">
        <v>890</v>
      </c>
      <c r="E109" s="13">
        <v>43004.668263888889</v>
      </c>
      <c r="F109" s="13">
        <v>43004.669224537036</v>
      </c>
      <c r="G109" s="7">
        <v>47</v>
      </c>
      <c r="H109" s="21" t="s">
        <v>877</v>
      </c>
      <c r="I109" s="13">
        <v>43004.685150462959</v>
      </c>
      <c r="J109" s="7">
        <v>0</v>
      </c>
      <c r="K109" s="89" t="str">
        <f t="shared" si="47"/>
        <v>4061/4062</v>
      </c>
      <c r="L109" s="184" t="str">
        <f>VLOOKUP(A109,'[1]Trips&amp;Operators'!$C$1:$G$99911,5,FALSE)</f>
        <v>SAFIEF AEIMEN</v>
      </c>
      <c r="M109" s="6">
        <f t="shared" si="48"/>
        <v>1.5925925923511386E-2</v>
      </c>
      <c r="N109" s="7"/>
      <c r="O109" s="7"/>
      <c r="P109" s="7">
        <f>24*60*SUM($M109:$M109)</f>
        <v>22.933333329856396</v>
      </c>
      <c r="Q109" s="22"/>
      <c r="R109" s="173" t="s">
        <v>1011</v>
      </c>
      <c r="S109" s="220">
        <f>1/IF(AG109="EC",12,1)*SUM(U109:U110)</f>
        <v>0.91666666666666663</v>
      </c>
      <c r="T109" s="173" t="str">
        <f t="shared" si="51"/>
        <v>NorthBound</v>
      </c>
      <c r="U109" s="197">
        <f>IF(AG109="EC",COUNTIFS([1]Variables!$M$2:$M$19,IF(T109="NorthBound","&gt;=","&lt;=")&amp;Y109,[1]Variables!$M$2:$M$19,IF(T109="NorthBound","&lt;=","&gt;=")&amp;Z109),COUNTIFS([1]Variables!$P$2:$P$19,IF(T109="NorthBound","&gt;=","&lt;=")&amp;Y109,[1]Variables!$P$2:$P$19,IF(T109="NorthBound","&lt;=","&gt;=")&amp;Z109))</f>
        <v>3</v>
      </c>
      <c r="V109" s="215" t="str">
        <f t="shared" si="66"/>
        <v>https://d0f6bd738d7f1b3e5a7ca70fe4ff75f0.us-east-1.aws.found.io/app/kibana#/discover/Steve-Slow-Train-Analysis-(2080s-and-2083s)?_g=(refreshInterval:(display:Off,pause:!f,section:0,value:0),time:(from:'2017-09-26T15:02:18-0600',mode:absolute,to:'2017-09-26T17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9" s="203" t="str">
        <f>IF(AA109&lt;VLOOKUP(AG109,[1]Variables!$AC$3:$AD$8,2,FALSE),"Y","N")</f>
        <v>Y</v>
      </c>
      <c r="X109" s="203">
        <f t="shared" si="53"/>
        <v>1</v>
      </c>
      <c r="Y109" s="203">
        <f t="shared" si="45"/>
        <v>6.4707999999999997</v>
      </c>
      <c r="Z109" s="203">
        <f t="shared" si="46"/>
        <v>23.332699999999999</v>
      </c>
      <c r="AA109" s="203">
        <f t="shared" si="54"/>
        <v>16.861899999999999</v>
      </c>
      <c r="AB109" s="54" t="e">
        <f>VLOOKUP(A109,[1]Enforcements!$C$7:$K$11,8,0)</f>
        <v>#N/A</v>
      </c>
      <c r="AC109" s="51" t="e">
        <f>VLOOKUP(A109,[1]Enforcements!$C$7:$E$11,3,0)</f>
        <v>#N/A</v>
      </c>
      <c r="AD109" s="178">
        <f t="shared" si="55"/>
        <v>197</v>
      </c>
      <c r="AE109" s="77" t="str">
        <f t="shared" si="67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109" s="74" t="str">
        <f t="shared" si="68"/>
        <v>"C:\Program Files (x86)\AstroGrep\AstroGrep.exe" /e /r /s /spath="%USERPROFILE%\AppData\Local\Temp\OnboardLogs" /stypes="app*4062*20170926*" /stext=" 22:.+((SYSTEM_STATE.+slice.+state.+changed )|(ment ac)|(multiple cpu faults)|(system.+state.+changed )|(\[timeout)|(PRM\|1\|D)|(kpr)|(kdp)|(train st.+moving)|(\|lc)|(penalty))"</v>
      </c>
      <c r="AG109" s="181" t="str">
        <f t="shared" si="69"/>
        <v>EC</v>
      </c>
      <c r="AH109" s="78" t="str">
        <f t="shared" si="70"/>
        <v>"%USERPROFILE%\Documents\GitHub\eaglep3\Utilities\RefineRTDCRunTimes.py" --tripid 197-26 --locoid 4062 --swversion DE.1.0.9.0 --startMP 204:64708 --initTime 2017-09-26T16:02:18 --startdatetime 2017-09-26T16:03:41 --delay 47 --endMP 204:233327 --enddatetime 2017-09-26T16:26:37 --enforcementcount 0 &gt;&gt;c:\users\stu\Documents\GitHub\eaglep3-reporting\EC\2017-09-26-refined-times.txt</v>
      </c>
      <c r="AI109" s="96" t="str">
        <f t="shared" si="71"/>
        <v>echo {"issue":{"subject":"Wi-MAX data drop","project_id":79,"tracker_id":40,"status_id":1,"priority_id":2,"assigned_to_id":338,"start_date":"2017-09-26","description":"","custom_fields":[{"id":1,"name":"Subdivision","value":"EC"},{"id":4,"name":"Milepost","value":"23.3327"},{"id":17,"name":"Train ID","value":"197-26"},{"id":16,"name":"Locomotive ID","value":"4062"},{"id":130,"name":"Impact","value":""},{"id":150,"name":"Time of Event (Mountain Time)","value":"16:26:37"},{"id":151,"name":"Denver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72"/>
        <v>start /low /b %USERPROFILE%\Documents\GitHub\eaglep3\Utilities\DownloadLogsFromS3.py --loco 4062 --day 2017-09-26</v>
      </c>
      <c r="AN109" s="151" t="str">
        <f t="shared" si="73"/>
        <v>echo {"issue":{"subject":"Wi-MAX data drop","project_id":30,"tracker_id":4,"status_id":1,"priority_id":1,"assigned_to_id":10,"start_date":"2017-09-26","description":"","custom_fields":[{"id":30,"name":"Category","value":"Issue"},{"id":3,"name":"Functional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7" t="str">
        <f t="shared" si="74"/>
        <v>https://d0f6bd738d7f1b3e5a7ca70fe4ff75f0.us-east-1.aws.found.io/app/kibana#/discover/Steve-Slow-Train-Analysis-(2080s-and-2083s)?_g=(refreshInterval:(display:Off,pause:!f,section:0,value:0),time:(from:'2017-09-26T15:02:18-0600',mode:absolute,to:'2017-09-26T17:26:37-0600'))&amp;_a=(columns:!('Message%20ID',Summary),filters:!(),index:'emp_*',interval:auto,query:(query_string:(analyze_wildcard:!t,query:'%22rtdc.l.rtdc.4062%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624</v>
      </c>
      <c r="B110" s="7">
        <v>4062</v>
      </c>
      <c r="C110" s="21" t="s">
        <v>196</v>
      </c>
      <c r="D110" s="21" t="s">
        <v>891</v>
      </c>
      <c r="E110" s="13">
        <v>43004.652962962966</v>
      </c>
      <c r="F110" s="13">
        <v>43004.669224537036</v>
      </c>
      <c r="G110" s="7">
        <v>86</v>
      </c>
      <c r="H110" s="21" t="s">
        <v>892</v>
      </c>
      <c r="I110" s="13">
        <v>43004.685150462959</v>
      </c>
      <c r="J110" s="7">
        <v>0</v>
      </c>
      <c r="K110" s="89" t="str">
        <f t="shared" si="47"/>
        <v>4061/4062</v>
      </c>
      <c r="L110" s="184" t="str">
        <f>VLOOKUP(A110,'[1]Trips&amp;Operators'!$C$1:$G$99911,5,FALSE)</f>
        <v>SAFIEF AEIMEN</v>
      </c>
      <c r="M110" s="6">
        <f t="shared" si="48"/>
        <v>1.5925925923511386E-2</v>
      </c>
      <c r="N110" s="7"/>
      <c r="O110" s="7"/>
      <c r="P110" s="7"/>
      <c r="Q110" s="22"/>
      <c r="R110" s="173"/>
      <c r="S110" s="220"/>
      <c r="T110" s="173" t="str">
        <f t="shared" si="51"/>
        <v>NorthBound</v>
      </c>
      <c r="U110" s="197">
        <f>IF(AG110="EC",COUNTIFS([1]Variables!$M$2:$M$19,IF(T110="NorthBound","&gt;=","&lt;=")&amp;Y110,[1]Variables!$M$2:$M$19,IF(T110="NorthBound","&lt;=","&gt;=")&amp;Z110),COUNTIFS([1]Variables!$P$2:$P$19,IF(T110="NorthBound","&gt;=","&lt;=")&amp;Y110,[1]Variables!$P$2:$P$19,IF(T110="NorthBound","&lt;=","&gt;=")&amp;Z110))</f>
        <v>8</v>
      </c>
      <c r="V110" s="215" t="str">
        <f t="shared" si="66"/>
        <v>https://d0f6bd738d7f1b3e5a7ca70fe4ff75f0.us-east-1.aws.found.io/app/kibana#/discover/Steve-Slow-Train-Analysis-(2080s-and-2083s)?_g=(refreshInterval:(display:Off,pause:!f,section:0,value:0),time:(from:'2017-09-26T14:40:16-0600',mode:absolute,to:'2017-09-26T17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0" s="203" t="str">
        <f>IF(AA110&lt;VLOOKUP(AG110,[1]Variables!$AC$3:$AD$8,2,FALSE),"Y","N")</f>
        <v>Y</v>
      </c>
      <c r="X110" s="203">
        <f t="shared" si="53"/>
        <v>0</v>
      </c>
      <c r="Y110" s="203">
        <f t="shared" si="45"/>
        <v>4.8800000000000003E-2</v>
      </c>
      <c r="Z110" s="203">
        <f t="shared" si="46"/>
        <v>5.9722999999999997</v>
      </c>
      <c r="AA110" s="203">
        <f t="shared" si="54"/>
        <v>5.9234999999999998</v>
      </c>
      <c r="AB110" s="54" t="e">
        <f>VLOOKUP(A110,[1]Enforcements!$C$7:$K$11,8,0)</f>
        <v>#N/A</v>
      </c>
      <c r="AC110" s="51" t="e">
        <f>VLOOKUP(A110,[1]Enforcements!$C$7:$E$11,3,0)</f>
        <v>#N/A</v>
      </c>
      <c r="AD110" s="178">
        <f t="shared" si="55"/>
        <v>197</v>
      </c>
      <c r="AE110" s="77" t="str">
        <f t="shared" si="67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110" s="74" t="str">
        <f t="shared" si="68"/>
        <v>"C:\Program Files (x86)\AstroGrep\AstroGrep.exe" /e /r /s /spath="%USERPROFILE%\AppData\Local\Temp\OnboardLogs" /stypes="app*4062*20170926*" /stext=" 22:.+((SYSTEM_STATE.+slice.+state.+changed )|(ment ac)|(multiple cpu faults)|(system.+state.+changed )|(\[timeout)|(PRM\|1\|D)|(kpr)|(kdp)|(train st.+moving)|(\|lc)|(penalty))"</v>
      </c>
      <c r="AG110" s="181" t="str">
        <f t="shared" si="69"/>
        <v>EC</v>
      </c>
      <c r="AH110" s="78" t="str">
        <f t="shared" si="70"/>
        <v>"%USERPROFILE%\Documents\GitHub\eaglep3\Utilities\RefineRTDCRunTimes.py" --tripid 197-26 --locoid 4062 --swversion DE.1.0.9.0 --startMP 204:488 --initTime 2017-09-26T15:40:16 --startdatetime 2017-09-26T16:03:41 --delay 86 --endMP 204:59723 --enddatetime 2017-09-26T16:26:37 --enforcementcount 0 &gt;&gt;c:\users\stu\Documents\GitHub\eaglep3-reporting\EC\2017-09-26-refined-times.txt</v>
      </c>
      <c r="AI110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{"issue":{"subject":"","project_id":79,"tracker_id":40,"status_id":1,"priority_id":2,"assigned_to_id":338,"start_date":"2017-09-26","description":"","custom_fields":[{"id":1,"name":"Subdivision","value":"EC"},{"id":4,"name":"Milepost","value":"5.9723"},{"id":17,"name":"Train ID","value":"197-26"},{"id":16,"name":"Locomotive ID","value":"4062"},{"id":130,"name":"Impact","value":""},{"id":150,"name":"Time of Event (Mountain Time)","value":"16:26:37"},{"id":151,"name":"Denver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72"/>
        <v>start /low /b %USERPROFILE%\Documents\GitHub\eaglep3\Utilities\DownloadLogsFromS3.py --loco 4062 --day 2017-09-26</v>
      </c>
      <c r="AN110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7" t="str">
        <f t="shared" si="74"/>
        <v>https://d0f6bd738d7f1b3e5a7ca70fe4ff75f0.us-east-1.aws.found.io/app/kibana#/discover/Steve-Slow-Train-Analysis-(2080s-and-2083s)?_g=(refreshInterval:(display:Off,pause:!f,section:0,value:0),time:(from:'2017-09-26T14:40:16-0600',mode:absolute,to:'2017-09-26T17:26:37-0600'))&amp;_a=(columns:!('Message%20ID',Summary),filters:!(),index:'emp_*',interval:auto,query:(query_string:(analyze_wildcard:!t,query:'%22rtdc.l.rtdc.4062%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788</v>
      </c>
      <c r="B111" s="7">
        <v>4061</v>
      </c>
      <c r="C111" s="21" t="s">
        <v>196</v>
      </c>
      <c r="D111" s="21" t="s">
        <v>417</v>
      </c>
      <c r="E111" s="13">
        <v>43004.694571759261</v>
      </c>
      <c r="F111" s="13">
        <v>43004.697800925926</v>
      </c>
      <c r="G111" s="7">
        <v>67</v>
      </c>
      <c r="H111" s="21" t="s">
        <v>341</v>
      </c>
      <c r="I111" s="13">
        <v>43004.725416666668</v>
      </c>
      <c r="J111" s="7">
        <v>0</v>
      </c>
      <c r="K111" s="89" t="str">
        <f t="shared" si="47"/>
        <v>4061/4062</v>
      </c>
      <c r="L111" s="184" t="str">
        <f>VLOOKUP(A111,'[1]Trips&amp;Operators'!$C$1:$G$99911,5,FALSE)</f>
        <v>SAFIEF AEIMEN</v>
      </c>
      <c r="M111" s="6">
        <f t="shared" si="48"/>
        <v>2.7615740742476191E-2</v>
      </c>
      <c r="N111" s="7">
        <f>24*60*SUM($M111:$M111)</f>
        <v>39.766666669165716</v>
      </c>
      <c r="O111" s="7"/>
      <c r="P111" s="7"/>
      <c r="Q111" s="22"/>
      <c r="R111" s="173"/>
      <c r="S111" s="220">
        <f>1/IF(AG111="EC",12,1)*SUM(U111:U111)</f>
        <v>1</v>
      </c>
      <c r="T111" s="173" t="str">
        <f t="shared" si="51"/>
        <v>Southbound</v>
      </c>
      <c r="U111" s="197">
        <f>IF(AG111="EC",COUNTIFS([1]Variables!$M$2:$M$19,IF(T111="NorthBound","&gt;=","&lt;=")&amp;Y111,[1]Variables!$M$2:$M$19,IF(T111="NorthBound","&lt;=","&gt;=")&amp;Z111),COUNTIFS([1]Variables!$P$2:$P$19,IF(T111="NorthBound","&gt;=","&lt;=")&amp;Y111,[1]Variables!$P$2:$P$19,IF(T111="NorthBound","&lt;=","&gt;=")&amp;Z111))</f>
        <v>12</v>
      </c>
      <c r="V111" s="215" t="str">
        <f t="shared" si="66"/>
        <v>https://d0f6bd738d7f1b3e5a7ca70fe4ff75f0.us-east-1.aws.found.io/app/kibana#/discover/Steve-Slow-Train-Analysis-(2080s-and-2083s)?_g=(refreshInterval:(display:Off,pause:!f,section:0,value:0),time:(from:'2017-09-26T15:40:11-0600',mode:absolute,to:'2017-09-26T18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1" s="203" t="str">
        <f>IF(AA111&lt;VLOOKUP(AG111,[1]Variables!$AC$3:$AD$8,2,FALSE),"Y","N")</f>
        <v>N</v>
      </c>
      <c r="X111" s="203">
        <f t="shared" si="53"/>
        <v>1</v>
      </c>
      <c r="Y111" s="203">
        <f t="shared" si="45"/>
        <v>23.3019</v>
      </c>
      <c r="Z111" s="203">
        <f t="shared" si="46"/>
        <v>1.41E-2</v>
      </c>
      <c r="AA111" s="203">
        <f t="shared" si="54"/>
        <v>23.287800000000001</v>
      </c>
      <c r="AB111" s="54" t="e">
        <f>VLOOKUP(A111,[1]Enforcements!$C$7:$K$11,8,0)</f>
        <v>#N/A</v>
      </c>
      <c r="AC111" s="51" t="e">
        <f>VLOOKUP(A111,[1]Enforcements!$C$7:$E$11,3,0)</f>
        <v>#N/A</v>
      </c>
      <c r="AD111" s="178">
        <f t="shared" si="55"/>
        <v>198</v>
      </c>
      <c r="AE111" s="77" t="str">
        <f t="shared" si="67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111" s="74" t="str">
        <f t="shared" si="68"/>
        <v>"C:\Program Files (x86)\AstroGrep\AstroGrep.exe" /e /r /s /spath="%USERPROFILE%\AppData\Local\Temp\OnboardLogs" /stypes="app*4061*20170926*" /stext=" 23:.+((SYSTEM_STATE.+slice.+state.+changed )|(ment ac)|(multiple cpu faults)|(system.+state.+changed )|(\[timeout)|(PRM\|1\|D)|(kpr)|(kdp)|(train st.+moving)|(\|lc)|(penalty))"</v>
      </c>
      <c r="AG111" s="181" t="str">
        <f t="shared" si="69"/>
        <v>EC</v>
      </c>
      <c r="AH111" s="78" t="str">
        <f t="shared" si="70"/>
        <v>"%USERPROFILE%\Documents\GitHub\eaglep3\Utilities\RefineRTDCRunTimes.py" --tripid 198-26 --locoid 4061 --swversion DE.1.0.9.0 --startMP 204:233019 --initTime 2017-09-26T16:40:11 --startdatetime 2017-09-26T16:44:50 --delay 67 --endMP 204:141 --enddatetime 2017-09-26T17:24:36 --enforcementcount 0 &gt;&gt;c:\users\stu\Documents\GitHub\eaglep3-reporting\EC\2017-09-26-refined-times.txt</v>
      </c>
      <c r="AI111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{"issue":{"subject":"","project_id":79,"tracker_id":40,"status_id":1,"priority_id":2,"assigned_to_id":338,"start_date":"2017-09-26","description":"","custom_fields":[{"id":1,"name":"Subdivision","value":"EC"},{"id":4,"name":"Milepost","value":"0.0141"},{"id":17,"name":"Train ID","value":"198-26"},{"id":16,"name":"Locomotive ID","value":"4061"},{"id":130,"name":"Impact","value":""},{"id":150,"name":"Time of Event (Mountain Time)","value":"17:24:36"},{"id":151,"name":"Denver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72"/>
        <v>start /low /b %USERPROFILE%\Documents\GitHub\eaglep3\Utilities\DownloadLogsFromS3.py --loco 4061 --day 2017-09-26</v>
      </c>
      <c r="AN111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7" t="str">
        <f t="shared" si="74"/>
        <v>https://d0f6bd738d7f1b3e5a7ca70fe4ff75f0.us-east-1.aws.found.io/app/kibana#/discover/Steve-Slow-Train-Analysis-(2080s-and-2083s)?_g=(refreshInterval:(display:Off,pause:!f,section:0,value:0),time:(from:'2017-09-26T15:40:11-0600',mode:absolute,to:'2017-09-26T18:24:36-0600'))&amp;_a=(columns:!('Message%20ID',Summary),filters:!(),index:'emp_*',interval:auto,query:(query_string:(analyze_wildcard:!t,query:'%22rtdc.l.rtdc.4061%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776</v>
      </c>
      <c r="B112" s="7">
        <v>4026</v>
      </c>
      <c r="C112" s="21" t="s">
        <v>196</v>
      </c>
      <c r="D112" s="21" t="s">
        <v>517</v>
      </c>
      <c r="E112" s="13">
        <v>43004.664664351854</v>
      </c>
      <c r="F112" s="13">
        <v>43004.676122685189</v>
      </c>
      <c r="G112" s="7">
        <v>86</v>
      </c>
      <c r="H112" s="21" t="s">
        <v>893</v>
      </c>
      <c r="I112" s="13">
        <v>43004.699432870373</v>
      </c>
      <c r="J112" s="7">
        <v>0</v>
      </c>
      <c r="K112" s="89" t="str">
        <f t="shared" si="47"/>
        <v>4025/4026</v>
      </c>
      <c r="L112" s="184" t="str">
        <f>VLOOKUP(A112,'[1]Trips&amp;Operators'!$C$1:$G$99911,5,FALSE)</f>
        <v>DAVIS MICHAEL</v>
      </c>
      <c r="M112" s="6">
        <f t="shared" si="48"/>
        <v>2.3310185184527654E-2</v>
      </c>
      <c r="N112" s="7"/>
      <c r="O112" s="7"/>
      <c r="P112" s="7">
        <f>24*60*SUM($M112:$M112)</f>
        <v>33.566666665719822</v>
      </c>
      <c r="Q112" s="22"/>
      <c r="R112" s="173" t="s">
        <v>1015</v>
      </c>
      <c r="S112" s="220">
        <f>1/IF(AG112="EC",12,1)*SUM(U112:U113)</f>
        <v>1</v>
      </c>
      <c r="T112" s="173" t="str">
        <f t="shared" si="51"/>
        <v>NorthBound</v>
      </c>
      <c r="U112" s="197">
        <f>IF(AG112="EC",COUNTIFS([1]Variables!$M$2:$M$19,IF(T112="NorthBound","&gt;=","&lt;=")&amp;Y112,[1]Variables!$M$2:$M$19,IF(T112="NorthBound","&lt;=","&gt;=")&amp;Z112),COUNTIFS([1]Variables!$P$2:$P$19,IF(T112="NorthBound","&gt;=","&lt;=")&amp;Y112,[1]Variables!$P$2:$P$19,IF(T112="NorthBound","&lt;=","&gt;=")&amp;Z112))</f>
        <v>0</v>
      </c>
      <c r="V112" s="215" t="str">
        <f t="shared" si="66"/>
        <v>https://d0f6bd738d7f1b3e5a7ca70fe4ff75f0.us-east-1.aws.found.io/app/kibana#/discover/Steve-Slow-Train-Analysis-(2080s-and-2083s)?_g=(refreshInterval:(display:Off,pause:!f,section:0,value:0),time:(from:'2017-09-26T14:57:07-0600',mode:absolute,to:'2017-09-26T17:47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2" s="203" t="str">
        <f>IF(AA112&lt;VLOOKUP(AG112,[1]Variables!$AC$3:$AD$8,2,FALSE),"Y","N")</f>
        <v>Y</v>
      </c>
      <c r="X112" s="203">
        <f t="shared" si="53"/>
        <v>1</v>
      </c>
      <c r="Y112" s="203">
        <f t="shared" si="45"/>
        <v>4.8399999999999999E-2</v>
      </c>
      <c r="Z112" s="203">
        <f t="shared" si="46"/>
        <v>0.1399</v>
      </c>
      <c r="AA112" s="203">
        <f t="shared" si="54"/>
        <v>9.1499999999999998E-2</v>
      </c>
      <c r="AB112" s="54" t="e">
        <f>VLOOKUP(A112,[1]Enforcements!$C$7:$K$11,8,0)</f>
        <v>#N/A</v>
      </c>
      <c r="AC112" s="51" t="e">
        <f>VLOOKUP(A112,[1]Enforcements!$C$7:$E$11,3,0)</f>
        <v>#N/A</v>
      </c>
      <c r="AD112" s="178">
        <f t="shared" si="55"/>
        <v>199</v>
      </c>
      <c r="AE112" s="77" t="str">
        <f t="shared" si="67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12" s="74" t="str">
        <f t="shared" si="68"/>
        <v>"C:\Program Files (x86)\AstroGrep\AstroGrep.exe" /e /r /s /spath="%USERPROFILE%\AppData\Local\Temp\OnboardLogs" /stypes="app*4026*20170926*" /stext=" 22:.+((SYSTEM_STATE.+slice.+state.+changed )|(ment ac)|(multiple cpu faults)|(system.+state.+changed )|(\[timeout)|(PRM\|1\|D)|(kpr)|(kdp)|(train st.+moving)|(\|lc)|(penalty))"</v>
      </c>
      <c r="AG112" s="181" t="str">
        <f t="shared" si="69"/>
        <v>EC</v>
      </c>
      <c r="AH112" s="78" t="str">
        <f t="shared" si="70"/>
        <v>"%USERPROFILE%\Documents\GitHub\eaglep3\Utilities\RefineRTDCRunTimes.py" --tripid 199-26 --locoid 4026 --swversion DE.1.0.9.0 --startMP 204:484 --initTime 2017-09-26T15:57:07 --startdatetime 2017-09-26T16:13:37 --delay 86 --endMP 204:1399 --enddatetime 2017-09-26T16:47:11 --enforcementcount 0 &gt;&gt;c:\users\stu\Documents\GitHub\eaglep3-reporting\EC\2017-09-26-refined-times.txt</v>
      </c>
      <c r="AI112" s="96" t="str">
        <f t="shared" si="71"/>
        <v>echo {"issue":{"subject":"Onboard en route failure","project_id":79,"tracker_id":40,"status_id":1,"priority_id":2,"assigned_to_id":338,"start_date":"2017-09-26","description":"","custom_fields":[{"id":1,"name":"Subdivision","value":"EC"},{"id":4,"name":"Milepost","value":"0.1399"},{"id":17,"name":"Train ID","value":"199-26"},{"id":16,"name":"Locomotive ID","value":"4026"},{"id":130,"name":"Impact","value":""},{"id":150,"name":"Time of Event (Mountain Time)","value":"16:47:11"},{"id":151,"name":"Denver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72"/>
        <v>start /low /b %USERPROFILE%\Documents\GitHub\eaglep3\Utilities\DownloadLogsFromS3.py --loco 4026 --day 2017-09-26</v>
      </c>
      <c r="AN112" s="151" t="str">
        <f t="shared" si="73"/>
        <v>echo {"issue":{"subject":"Onboard en route failure","project_id":30,"tracker_id":4,"status_id":1,"priority_id":1,"assigned_to_id":10,"start_date":"2017-09-26","description":"","custom_fields":[{"id":30,"name":"Category","value":"Issue"},{"id":3,"name":"Functional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22:47:11"},{"id":29,"name":"Sharepoint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7" t="str">
        <f t="shared" si="74"/>
        <v>https://d0f6bd738d7f1b3e5a7ca70fe4ff75f0.us-east-1.aws.found.io/app/kibana#/discover/Steve-Slow-Train-Analysis-(2080s-and-2083s)?_g=(refreshInterval:(display:Off,pause:!f,section:0,value:0),time:(from:'2017-09-26T14:57:07-0600',mode:absolute,to:'2017-09-26T17:47:11-0600'))&amp;_a=(columns:!('Message%20ID',Summary),filters:!(),index:'emp_*',interval:auto,query:(query_string:(analyze_wildcard:!t,query:'%22rtdc.l.rtdc.4026%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776</v>
      </c>
      <c r="B113" s="7">
        <v>4026</v>
      </c>
      <c r="C113" s="21" t="s">
        <v>196</v>
      </c>
      <c r="D113" s="21" t="s">
        <v>894</v>
      </c>
      <c r="E113" s="13">
        <v>43004.674305555556</v>
      </c>
      <c r="F113" s="13">
        <v>43004.676122685189</v>
      </c>
      <c r="G113" s="7">
        <v>74</v>
      </c>
      <c r="H113" s="21" t="s">
        <v>455</v>
      </c>
      <c r="I113" s="13">
        <v>43004.699432870373</v>
      </c>
      <c r="J113" s="7">
        <v>0</v>
      </c>
      <c r="K113" s="89" t="str">
        <f t="shared" si="47"/>
        <v>4025/4026</v>
      </c>
      <c r="L113" s="184" t="str">
        <f>VLOOKUP(A113,'[1]Trips&amp;Operators'!$C$1:$G$99911,5,FALSE)</f>
        <v>DAVIS MICHAEL</v>
      </c>
      <c r="M113" s="6">
        <f t="shared" si="48"/>
        <v>2.3310185184527654E-2</v>
      </c>
      <c r="N113" s="7"/>
      <c r="O113" s="7"/>
      <c r="P113" s="7"/>
      <c r="Q113" s="22"/>
      <c r="R113" s="173"/>
      <c r="S113" s="220"/>
      <c r="T113" s="173" t="str">
        <f t="shared" si="51"/>
        <v>NorthBound</v>
      </c>
      <c r="U113" s="197">
        <f>IF(AG113="EC",COUNTIFS([1]Variables!$M$2:$M$19,IF(T113="NorthBound","&gt;=","&lt;=")&amp;Y113,[1]Variables!$M$2:$M$19,IF(T113="NorthBound","&lt;=","&gt;=")&amp;Z113),COUNTIFS([1]Variables!$P$2:$P$19,IF(T113="NorthBound","&gt;=","&lt;=")&amp;Y113,[1]Variables!$P$2:$P$19,IF(T113="NorthBound","&lt;=","&gt;=")&amp;Z113))</f>
        <v>12</v>
      </c>
      <c r="V113" s="215" t="str">
        <f t="shared" si="66"/>
        <v>https://d0f6bd738d7f1b3e5a7ca70fe4ff75f0.us-east-1.aws.found.io/app/kibana#/discover/Steve-Slow-Train-Analysis-(2080s-and-2083s)?_g=(refreshInterval:(display:Off,pause:!f,section:0,value:0),time:(from:'2017-09-26T15:11:00-0600',mode:absolute,to:'2017-09-26T17:47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203" t="str">
        <f>IF(AA113&lt;VLOOKUP(AG113,[1]Variables!$AC$3:$AD$8,2,FALSE),"Y","N")</f>
        <v>Y</v>
      </c>
      <c r="X113" s="203">
        <f t="shared" si="53"/>
        <v>0</v>
      </c>
      <c r="Y113" s="203">
        <f t="shared" si="45"/>
        <v>1.9117</v>
      </c>
      <c r="Z113" s="203">
        <f t="shared" si="46"/>
        <v>23.331600000000002</v>
      </c>
      <c r="AA113" s="203">
        <f t="shared" si="54"/>
        <v>21.419900000000002</v>
      </c>
      <c r="AB113" s="54" t="e">
        <f>VLOOKUP(A113,[1]Enforcements!$C$7:$K$11,8,0)</f>
        <v>#N/A</v>
      </c>
      <c r="AC113" s="51" t="e">
        <f>VLOOKUP(A113,[1]Enforcements!$C$7:$E$11,3,0)</f>
        <v>#N/A</v>
      </c>
      <c r="AD113" s="178">
        <f t="shared" si="55"/>
        <v>199</v>
      </c>
      <c r="AE113" s="77" t="str">
        <f t="shared" si="67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13" s="74" t="str">
        <f t="shared" si="68"/>
        <v>"C:\Program Files (x86)\AstroGrep\AstroGrep.exe" /e /r /s /spath="%USERPROFILE%\AppData\Local\Temp\OnboardLogs" /stypes="app*4026*20170926*" /stext=" 22:.+((SYSTEM_STATE.+slice.+state.+changed )|(ment ac)|(multiple cpu faults)|(system.+state.+changed )|(\[timeout)|(PRM\|1\|D)|(kpr)|(kdp)|(train st.+moving)|(\|lc)|(penalty))"</v>
      </c>
      <c r="AG113" s="181" t="str">
        <f t="shared" si="69"/>
        <v>EC</v>
      </c>
      <c r="AH113" s="78" t="str">
        <f t="shared" si="70"/>
        <v>"%USERPROFILE%\Documents\GitHub\eaglep3\Utilities\RefineRTDCRunTimes.py" --tripid 199-26 --locoid 4026 --swversion DE.1.0.9.0 --startMP 204:19117 --initTime 2017-09-26T16:11:00 --startdatetime 2017-09-26T16:13:37 --delay 74 --endMP 204:233316 --enddatetime 2017-09-26T16:47:11 --enforcementcount 0 &gt;&gt;c:\users\stu\Documents\GitHub\eaglep3-reporting\EC\2017-09-26-refined-times.txt</v>
      </c>
      <c r="AI113" s="96" t="str">
        <f t="shared" si="71"/>
        <v>echo {"issue":{"subject":"","project_id":79,"tracker_id":40,"status_id":1,"priority_id":2,"assigned_to_id":338,"start_date":"2017-09-26","description":"","custom_fields":[{"id":1,"name":"Subdivision","value":"EC"},{"id":4,"name":"Milepost","value":"23.3316"},{"id":17,"name":"Train ID","value":"199-26"},{"id":16,"name":"Locomotive ID","value":"4026"},{"id":130,"name":"Impact","value":""},{"id":150,"name":"Time of Event (Mountain Time)","value":"16:47:11"},{"id":151,"name":"Denver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72"/>
        <v>start /low /b %USERPROFILE%\Documents\GitHub\eaglep3\Utilities\DownloadLogsFromS3.py --loco 4026 --day 2017-09-26</v>
      </c>
      <c r="AN113" s="151" t="str">
        <f t="shared" si="73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22:47:11"},{"id":29,"name":"Sharepoint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7" t="str">
        <f t="shared" si="74"/>
        <v>https://d0f6bd738d7f1b3e5a7ca70fe4ff75f0.us-east-1.aws.found.io/app/kibana#/discover/Steve-Slow-Train-Analysis-(2080s-and-2083s)?_g=(refreshInterval:(display:Off,pause:!f,section:0,value:0),time:(from:'2017-09-26T15:11:00-0600',mode:absolute,to:'2017-09-26T17:47:11-0600'))&amp;_a=(columns:!('Message%20ID',Summary),filters:!(),index:'emp_*',interval:auto,query:(query_string:(analyze_wildcard:!t,query:'%22rtdc.l.rtdc.4026%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629</v>
      </c>
      <c r="B114" s="7">
        <v>4025</v>
      </c>
      <c r="C114" s="21" t="s">
        <v>196</v>
      </c>
      <c r="D114" s="21" t="s">
        <v>521</v>
      </c>
      <c r="E114" s="13">
        <v>43004.703344907408</v>
      </c>
      <c r="F114" s="13">
        <v>43004.706643518519</v>
      </c>
      <c r="G114" s="7">
        <v>73</v>
      </c>
      <c r="H114" s="21" t="s">
        <v>338</v>
      </c>
      <c r="I114" s="13">
        <v>43004.735509259262</v>
      </c>
      <c r="J114" s="7">
        <v>0</v>
      </c>
      <c r="K114" s="89" t="str">
        <f t="shared" si="47"/>
        <v>4025/4026</v>
      </c>
      <c r="L114" s="184" t="str">
        <f>VLOOKUP(A114,'[1]Trips&amp;Operators'!$C$1:$G$99911,5,FALSE)</f>
        <v>DAVIS MICHAEL</v>
      </c>
      <c r="M114" s="6">
        <f t="shared" si="48"/>
        <v>2.8865740743640345E-2</v>
      </c>
      <c r="N114" s="7">
        <f t="shared" ref="N114:N140" si="76">24*60*SUM($M114:$M114)</f>
        <v>41.566666670842096</v>
      </c>
      <c r="O114" s="7"/>
      <c r="P114" s="7"/>
      <c r="Q114" s="22"/>
      <c r="R114" s="173" t="s">
        <v>1019</v>
      </c>
      <c r="S114" s="220">
        <f t="shared" ref="S114:S158" si="77">1/IF(AG114="EC",12,1)*SUM(U114:U114)</f>
        <v>1</v>
      </c>
      <c r="T114" s="173" t="str">
        <f t="shared" si="51"/>
        <v>Southbound</v>
      </c>
      <c r="U114" s="197">
        <f>IF(AG114="EC",COUNTIFS([1]Variables!$M$2:$M$19,IF(T114="NorthBound","&gt;=","&lt;=")&amp;Y114,[1]Variables!$M$2:$M$19,IF(T114="NorthBound","&lt;=","&gt;=")&amp;Z114),COUNTIFS([1]Variables!$P$2:$P$19,IF(T114="NorthBound","&gt;=","&lt;=")&amp;Y114,[1]Variables!$P$2:$P$19,IF(T114="NorthBound","&lt;=","&gt;=")&amp;Z114))</f>
        <v>12</v>
      </c>
      <c r="V114" s="215" t="str">
        <f t="shared" ref="V114:V140" si="78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-26T15:52:49-0600',mode:absolute,to:'2017-09-26T18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203" t="str">
        <f>IF(AA114&lt;VLOOKUP(AG114,[1]Variables!$AC$3:$AD$8,2,FALSE),"Y","N")</f>
        <v>N</v>
      </c>
      <c r="X114" s="203">
        <f t="shared" si="53"/>
        <v>1</v>
      </c>
      <c r="Y114" s="203">
        <f t="shared" si="45"/>
        <v>23.300899999999999</v>
      </c>
      <c r="Z114" s="203">
        <f t="shared" si="46"/>
        <v>1.49E-2</v>
      </c>
      <c r="AA114" s="203">
        <f t="shared" si="54"/>
        <v>23.285999999999998</v>
      </c>
      <c r="AB114" s="54" t="e">
        <f>VLOOKUP(A114,[1]Enforcements!$C$7:$K$11,8,0)</f>
        <v>#N/A</v>
      </c>
      <c r="AC114" s="51" t="e">
        <f>VLOOKUP(A114,[1]Enforcements!$C$7:$E$11,3,0)</f>
        <v>#N/A</v>
      </c>
      <c r="AD114" s="178">
        <f t="shared" si="55"/>
        <v>200</v>
      </c>
      <c r="AE114" s="77" t="str">
        <f t="shared" ref="AE114:AE140" si="79"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114" s="74" t="str">
        <f t="shared" ref="AF114:AF140" si="80"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/stypes="app*4025*20170926*" /stext=" 23:.+((SYSTEM_STATE.+slice.+state.+changed )|(ment ac)|(multiple cpu faults)|(system.+state.+changed )|(\[timeout)|(PRM\|1\|D)|(kpr)|(kdp)|(train st.+moving)|(\|lc)|(penalty))"</v>
      </c>
      <c r="AG114" s="181" t="str">
        <f t="shared" ref="AG114:AG140" si="81">DetSubdiv(A114)</f>
        <v>EC</v>
      </c>
      <c r="AH114" s="78" t="str">
        <f t="shared" ref="AH114:AH140" si="82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200-26 --locoid 4025 --swversion DE.1.0.9.0 --startMP 204:233009 --initTime 2017-09-26T16:52:49 --startdatetime 2017-09-26T16:57:34 --delay 73 --endMP 204:149 --enddatetime 2017-09-26T17:39:08 --enforcementcount 0 &gt;&gt;c:\users\stu\Documents\GitHub\eaglep3-reporting\EC\2017-09-26-refined-times.txt</v>
      </c>
      <c r="AI114" s="96" t="str">
        <f t="shared" ref="AI114:AI140" si="83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{"issue":{"subject":"Unhealthy at Chambers due to train stop","project_id":79,"tracker_id":40,"status_id":1,"priority_id":2,"assigned_to_id":338,"start_date":"2017-09-26","description":"","custom_fields":[{"id":1,"name":"Subdivision","value":"EC"},{"id":4,"name":"Milepost","value":"0.0149"},{"id":17,"name":"Train ID","value":"200-26"},{"id":16,"name":"Locomotive ID","value":"4025"},{"id":130,"name":"Impact","value":""},{"id":150,"name":"Time of Event (Mountain Time)","value":"17:39:08"},{"id":151,"name":"Denver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ref="AM114:AM140" si="84">"start /low /b "&amp;dls3logs&amp;" --loco "&amp;B114&amp;" --day "&amp;TEXT(F114,"YYYY-MM-DD")</f>
        <v>start /low /b %USERPROFILE%\Documents\GitHub\eaglep3\Utilities\DownloadLogsFromS3.py --loco 4025 --day 2017-09-26</v>
      </c>
      <c r="AN114" s="151" t="str">
        <f t="shared" ref="AN114:AN140" si="85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{"issue":{"subject":"Unhealthy at Chambers due to train stop","project_id":30,"tracker_id":4,"status_id":1,"priority_id":1,"assigned_to_id":10,"start_date":"2017-09-26","description":"","custom_fields":[{"id":30,"name":"Category","value":"Issue"},{"id":3,"name":"Functional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7" t="str">
        <f t="shared" ref="AO114:AO140" si="86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-26T15:52:49-0600',mode:absolute,to:'2017-09-26T18:39:08-0600'))&amp;_a=(columns:!('Message%20ID',Summary),filters:!(),index:'emp_*',interval:auto,query:(query_string:(analyze_wildcard:!t,query:'%22rtdc.l.rtdc.4025%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626</v>
      </c>
      <c r="B115" s="7">
        <v>4046</v>
      </c>
      <c r="C115" s="21" t="s">
        <v>196</v>
      </c>
      <c r="D115" s="21" t="s">
        <v>895</v>
      </c>
      <c r="E115" s="13">
        <v>43004.672303240739</v>
      </c>
      <c r="F115" s="13">
        <v>43004.677604166667</v>
      </c>
      <c r="G115" s="7">
        <v>91</v>
      </c>
      <c r="H115" s="21" t="s">
        <v>896</v>
      </c>
      <c r="I115" s="13">
        <v>43004.706493055557</v>
      </c>
      <c r="J115" s="7">
        <v>0</v>
      </c>
      <c r="K115" s="89" t="str">
        <f t="shared" si="47"/>
        <v>4045/4046</v>
      </c>
      <c r="L115" s="184" t="str">
        <f>VLOOKUP(A115,'[1]Trips&amp;Operators'!$C$1:$G$99911,5,FALSE)</f>
        <v>SMITH MICHAEL</v>
      </c>
      <c r="M115" s="6">
        <f t="shared" si="48"/>
        <v>2.8888888889923692E-2</v>
      </c>
      <c r="N115" s="7">
        <f t="shared" si="76"/>
        <v>41.600000001490116</v>
      </c>
      <c r="O115" s="7"/>
      <c r="P115" s="7"/>
      <c r="Q115" s="22"/>
      <c r="R115" s="173" t="s">
        <v>1018</v>
      </c>
      <c r="S115" s="220">
        <f t="shared" si="77"/>
        <v>1</v>
      </c>
      <c r="T115" s="173" t="str">
        <f t="shared" si="51"/>
        <v>NorthBound</v>
      </c>
      <c r="U115" s="197">
        <f>IF(AG115="EC",COUNTIFS([1]Variables!$M$2:$M$19,IF(T115="NorthBound","&gt;=","&lt;=")&amp;Y115,[1]Variables!$M$2:$M$19,IF(T115="NorthBound","&lt;=","&gt;=")&amp;Z115),COUNTIFS([1]Variables!$P$2:$P$19,IF(T115="NorthBound","&gt;=","&lt;=")&amp;Y115,[1]Variables!$P$2:$P$19,IF(T115="NorthBound","&lt;=","&gt;=")&amp;Z115))</f>
        <v>12</v>
      </c>
      <c r="V115" s="215" t="str">
        <f t="shared" si="78"/>
        <v>https://d0f6bd738d7f1b3e5a7ca70fe4ff75f0.us-east-1.aws.found.io/app/kibana#/discover/Steve-Slow-Train-Analysis-(2080s-and-2083s)?_g=(refreshInterval:(display:Off,pause:!f,section:0,value:0),time:(from:'2017-09-26T15:08:07-0600',mode:absolute,to:'2017-09-26T17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203" t="str">
        <f>IF(AA115&lt;VLOOKUP(AG115,[1]Variables!$AC$3:$AD$8,2,FALSE),"Y","N")</f>
        <v>N</v>
      </c>
      <c r="X115" s="203">
        <f t="shared" si="53"/>
        <v>1</v>
      </c>
      <c r="Y115" s="203">
        <f t="shared" si="45"/>
        <v>4.4900000000000002E-2</v>
      </c>
      <c r="Z115" s="203">
        <f t="shared" si="46"/>
        <v>23.3306</v>
      </c>
      <c r="AA115" s="203">
        <f t="shared" si="54"/>
        <v>23.285700000000002</v>
      </c>
      <c r="AB115" s="54" t="str">
        <f>VLOOKUP(A115,[1]Enforcements!$C$7:$K$11,8,0)</f>
        <v>Bulletin (2)</v>
      </c>
      <c r="AC115" s="51" t="str">
        <f>VLOOKUP(A115,[1]Enforcements!$C$7:$E$11,3,0)</f>
        <v>GRADE CROSSING</v>
      </c>
      <c r="AD115" s="178">
        <f t="shared" si="55"/>
        <v>201</v>
      </c>
      <c r="AE115" s="77" t="str">
        <f t="shared" si="79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115" s="74" t="str">
        <f t="shared" si="80"/>
        <v>"C:\Program Files (x86)\AstroGrep\AstroGrep.exe" /e /r /s /spath="%USERPROFILE%\AppData\Local\Temp\OnboardLogs" /stypes="app*4046*20170926*" /stext=" 22:.+((SYSTEM_STATE.+slice.+state.+changed )|(ment ac)|(multiple cpu faults)|(system.+state.+changed )|(\[timeout)|(PRM\|1\|D)|(kpr)|(kdp)|(train st.+moving)|(\|lc)|(penalty))"</v>
      </c>
      <c r="AG115" s="181" t="str">
        <f t="shared" si="81"/>
        <v>EC</v>
      </c>
      <c r="AH115" s="78" t="str">
        <f t="shared" si="82"/>
        <v>"%USERPROFILE%\Documents\GitHub\eaglep3\Utilities\RefineRTDCRunTimes.py" --tripid 201-26 --locoid 4046 --swversion DE.1.0.9.0 --startMP 204:449 --initTime 2017-09-26T16:08:07 --startdatetime 2017-09-26T16:15:45 --delay 91 --endMP 204:233306 --enddatetime 2017-09-26T16:57:21 --enforcementcount 0 &gt;&gt;c:\users\stu\Documents\GitHub\eaglep3-reporting\EC\2017-09-26-refined-times.txt</v>
      </c>
      <c r="AI115" s="96" t="str">
        <f t="shared" si="83"/>
        <v>echo {"issue":{"subject":"Brief Wi-MAX data drop caused unhealthy banners","project_id":79,"tracker_id":40,"status_id":1,"priority_id":2,"assigned_to_id":338,"start_date":"2017-09-26","description":"","custom_fields":[{"id":1,"name":"Subdivision","value":"EC"},{"id":4,"name":"Milepost","value":"23.3306"},{"id":17,"name":"Train ID","value":"201-26"},{"id":16,"name":"Locomotive ID","value":"4046"},{"id":130,"name":"Impact","value":""},{"id":150,"name":"Time of Event (Mountain Time)","value":"16:57:21"},{"id":151,"name":"Denver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84"/>
        <v>start /low /b %USERPROFILE%\Documents\GitHub\eaglep3\Utilities\DownloadLogsFromS3.py --loco 4046 --day 2017-09-26</v>
      </c>
      <c r="AN115" s="151" t="str">
        <f t="shared" si="85"/>
        <v>echo {"issue":{"subject":"Brief Wi-MAX data drop caused unhealthy banners","project_id":30,"tracker_id":4,"status_id":1,"priority_id":1,"assigned_to_id":10,"start_date":"2017-09-26","description":"","custom_fields":[{"id":30,"name":"Category","value":"Issue"},{"id":3,"name":"Functional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7" t="str">
        <f t="shared" si="86"/>
        <v>https://d0f6bd738d7f1b3e5a7ca70fe4ff75f0.us-east-1.aws.found.io/app/kibana#/discover/Steve-Slow-Train-Analysis-(2080s-and-2083s)?_g=(refreshInterval:(display:Off,pause:!f,section:0,value:0),time:(from:'2017-09-26T15:08:07-0600',mode:absolute,to:'2017-09-26T17:57:21-0600'))&amp;_a=(columns:!('Message%20ID',Summary),filters:!(),index:'emp_*',interval:auto,query:(query_string:(analyze_wildcard:!t,query:'%22rtdc.l.rtdc.4046%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790</v>
      </c>
      <c r="B116" s="7">
        <v>4045</v>
      </c>
      <c r="C116" s="21" t="s">
        <v>196</v>
      </c>
      <c r="D116" s="21" t="s">
        <v>387</v>
      </c>
      <c r="E116" s="13">
        <v>43004.709386574075</v>
      </c>
      <c r="F116" s="13">
        <v>43004.716909722221</v>
      </c>
      <c r="G116" s="7">
        <v>71</v>
      </c>
      <c r="H116" s="21" t="s">
        <v>382</v>
      </c>
      <c r="I116" s="13">
        <v>43004.743333333332</v>
      </c>
      <c r="J116" s="7">
        <v>0</v>
      </c>
      <c r="K116" s="89" t="str">
        <f t="shared" si="47"/>
        <v>4045/4046</v>
      </c>
      <c r="L116" s="184" t="str">
        <f>VLOOKUP(A116,'[1]Trips&amp;Operators'!$C$1:$G$99911,5,FALSE)</f>
        <v>SMITH MICHAEL</v>
      </c>
      <c r="M116" s="6">
        <f t="shared" si="48"/>
        <v>2.6423611110658385E-2</v>
      </c>
      <c r="N116" s="7">
        <f t="shared" si="76"/>
        <v>38.049999999348074</v>
      </c>
      <c r="O116" s="7"/>
      <c r="P116" s="7"/>
      <c r="Q116" s="22"/>
      <c r="R116" s="173"/>
      <c r="S116" s="220">
        <f t="shared" si="77"/>
        <v>1</v>
      </c>
      <c r="T116" s="173" t="str">
        <f t="shared" si="51"/>
        <v>Southbound</v>
      </c>
      <c r="U116" s="197">
        <f>IF(AG116="EC",COUNTIFS([1]Variables!$M$2:$M$19,IF(T116="NorthBound","&gt;=","&lt;=")&amp;Y116,[1]Variables!$M$2:$M$19,IF(T116="NorthBound","&lt;=","&gt;=")&amp;Z116),COUNTIFS([1]Variables!$P$2:$P$19,IF(T116="NorthBound","&gt;=","&lt;=")&amp;Y116,[1]Variables!$P$2:$P$19,IF(T116="NorthBound","&lt;=","&gt;=")&amp;Z116))</f>
        <v>12</v>
      </c>
      <c r="V116" s="215" t="str">
        <f t="shared" si="78"/>
        <v>https://d0f6bd738d7f1b3e5a7ca70fe4ff75f0.us-east-1.aws.found.io/app/kibana#/discover/Steve-Slow-Train-Analysis-(2080s-and-2083s)?_g=(refreshInterval:(display:Off,pause:!f,section:0,value:0),time:(from:'2017-09-26T16:01:31-0600',mode:absolute,to:'2017-09-26T18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203" t="str">
        <f>IF(AA116&lt;VLOOKUP(AG116,[1]Variables!$AC$3:$AD$8,2,FALSE),"Y","N")</f>
        <v>N</v>
      </c>
      <c r="X116" s="203">
        <f t="shared" si="53"/>
        <v>1</v>
      </c>
      <c r="Y116" s="203">
        <f t="shared" si="45"/>
        <v>23.299600000000002</v>
      </c>
      <c r="Z116" s="203">
        <f t="shared" si="46"/>
        <v>1.3899999999999999E-2</v>
      </c>
      <c r="AA116" s="203">
        <f t="shared" si="54"/>
        <v>23.285700000000002</v>
      </c>
      <c r="AB116" s="54" t="e">
        <f>VLOOKUP(A116,[1]Enforcements!$C$7:$K$11,8,0)</f>
        <v>#N/A</v>
      </c>
      <c r="AC116" s="51" t="e">
        <f>VLOOKUP(A116,[1]Enforcements!$C$7:$E$11,3,0)</f>
        <v>#N/A</v>
      </c>
      <c r="AD116" s="178">
        <f t="shared" si="55"/>
        <v>202</v>
      </c>
      <c r="AE116" s="77" t="str">
        <f t="shared" si="79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116" s="74" t="str">
        <f t="shared" si="80"/>
        <v>"C:\Program Files (x86)\AstroGrep\AstroGrep.exe" /e /r /s /spath="%USERPROFILE%\AppData\Local\Temp\OnboardLogs" /stypes="app*4045*20170926*" /stext=" 23:.+((SYSTEM_STATE.+slice.+state.+changed )|(ment ac)|(multiple cpu faults)|(system.+state.+changed )|(\[timeout)|(PRM\|1\|D)|(kpr)|(kdp)|(train st.+moving)|(\|lc)|(penalty))"</v>
      </c>
      <c r="AG116" s="181" t="str">
        <f t="shared" si="81"/>
        <v>EC</v>
      </c>
      <c r="AH116" s="78" t="str">
        <f t="shared" si="82"/>
        <v>"%USERPROFILE%\Documents\GitHub\eaglep3\Utilities\RefineRTDCRunTimes.py" --tripid 202-26 --locoid 4045 --swversion DE.1.0.9.0 --startMP 204:232996 --initTime 2017-09-26T17:01:31 --startdatetime 2017-09-26T17:12:21 --delay 71 --endMP 204:139 --enddatetime 2017-09-26T17:50:24 --enforcementcount 0 &gt;&gt;c:\users\stu\Documents\GitHub\eaglep3-reporting\EC\2017-09-26-refined-times.txt</v>
      </c>
      <c r="AI116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{"issue":{"subject":"","project_id":79,"tracker_id":40,"status_id":1,"priority_id":2,"assigned_to_id":338,"start_date":"2017-09-26","description":"","custom_fields":[{"id":1,"name":"Subdivision","value":"EC"},{"id":4,"name":"Milepost","value":"0.0139"},{"id":17,"name":"Train ID","value":"202-26"},{"id":16,"name":"Locomotive ID","value":"4045"},{"id":130,"name":"Impact","value":""},{"id":150,"name":"Time of Event (Mountain Time)","value":"17:50:24"},{"id":151,"name":"Denver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84"/>
        <v>start /low /b %USERPROFILE%\Documents\GitHub\eaglep3\Utilities\DownloadLogsFromS3.py --loco 4045 --day 2017-09-26</v>
      </c>
      <c r="AN116" s="151" t="str">
        <f t="shared" si="8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7" t="str">
        <f t="shared" si="86"/>
        <v>https://d0f6bd738d7f1b3e5a7ca70fe4ff75f0.us-east-1.aws.found.io/app/kibana#/discover/Steve-Slow-Train-Analysis-(2080s-and-2083s)?_g=(refreshInterval:(display:Off,pause:!f,section:0,value:0),time:(from:'2017-09-26T16:01:31-0600',mode:absolute,to:'2017-09-26T18:50:24-0600'))&amp;_a=(columns:!('Message%20ID',Summary),filters:!(),index:'emp_*',interval:auto,query:(query_string:(analyze_wildcard:!t,query:'%22rtdc.l.rtdc.4045%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785</v>
      </c>
      <c r="B117" s="7">
        <v>4024</v>
      </c>
      <c r="C117" s="21" t="s">
        <v>196</v>
      </c>
      <c r="D117" s="21" t="s">
        <v>515</v>
      </c>
      <c r="E117" s="13">
        <v>43004.682685185187</v>
      </c>
      <c r="F117" s="13">
        <v>43004.687719907408</v>
      </c>
      <c r="G117" s="7">
        <v>82</v>
      </c>
      <c r="H117" s="21" t="s">
        <v>411</v>
      </c>
      <c r="I117" s="13">
        <v>43004.714780092596</v>
      </c>
      <c r="J117" s="7">
        <v>0</v>
      </c>
      <c r="K117" s="89" t="str">
        <f t="shared" si="47"/>
        <v>4023/4024</v>
      </c>
      <c r="L117" s="184" t="str">
        <f>VLOOKUP(A117,'[1]Trips&amp;Operators'!$C$1:$G$99911,5,FALSE)</f>
        <v>MOSES BRADLEY</v>
      </c>
      <c r="M117" s="6">
        <f t="shared" si="48"/>
        <v>2.7060185188020114E-2</v>
      </c>
      <c r="N117" s="7">
        <f t="shared" si="76"/>
        <v>38.966666670748964</v>
      </c>
      <c r="O117" s="7"/>
      <c r="P117" s="7"/>
      <c r="Q117" s="22"/>
      <c r="R117" s="173"/>
      <c r="S117" s="220">
        <f t="shared" si="77"/>
        <v>1</v>
      </c>
      <c r="T117" s="173" t="str">
        <f t="shared" si="51"/>
        <v>NorthBound</v>
      </c>
      <c r="U117" s="197">
        <f>IF(AG117="EC",COUNTIFS([1]Variables!$M$2:$M$19,IF(T117="NorthBound","&gt;=","&lt;=")&amp;Y117,[1]Variables!$M$2:$M$19,IF(T117="NorthBound","&lt;=","&gt;=")&amp;Z117),COUNTIFS([1]Variables!$P$2:$P$19,IF(T117="NorthBound","&gt;=","&lt;=")&amp;Y117,[1]Variables!$P$2:$P$19,IF(T117="NorthBound","&lt;=","&gt;=")&amp;Z117))</f>
        <v>12</v>
      </c>
      <c r="V117" s="215" t="str">
        <f t="shared" si="78"/>
        <v>https://d0f6bd738d7f1b3e5a7ca70fe4ff75f0.us-east-1.aws.found.io/app/kibana#/discover/Steve-Slow-Train-Analysis-(2080s-and-2083s)?_g=(refreshInterval:(display:Off,pause:!f,section:0,value:0),time:(from:'2017-09-26T15:23:04-0600',mode:absolute,to:'2017-09-26T18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7" s="203" t="str">
        <f>IF(AA117&lt;VLOOKUP(AG117,[1]Variables!$AC$3:$AD$8,2,FALSE),"Y","N")</f>
        <v>N</v>
      </c>
      <c r="X117" s="203">
        <f t="shared" si="53"/>
        <v>1</v>
      </c>
      <c r="Y117" s="203">
        <f t="shared" si="45"/>
        <v>4.7699999999999999E-2</v>
      </c>
      <c r="Z117" s="203">
        <f t="shared" si="46"/>
        <v>23.333200000000001</v>
      </c>
      <c r="AA117" s="203">
        <f t="shared" si="54"/>
        <v>23.285500000000003</v>
      </c>
      <c r="AB117" s="54" t="e">
        <f>VLOOKUP(A117,[1]Enforcements!$C$7:$K$11,8,0)</f>
        <v>#N/A</v>
      </c>
      <c r="AC117" s="51" t="e">
        <f>VLOOKUP(A117,[1]Enforcements!$C$7:$E$11,3,0)</f>
        <v>#N/A</v>
      </c>
      <c r="AD117" s="178">
        <f t="shared" si="55"/>
        <v>203</v>
      </c>
      <c r="AE117" s="77" t="str">
        <f t="shared" si="79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117" s="74" t="str">
        <f t="shared" si="80"/>
        <v>"C:\Program Files (x86)\AstroGrep\AstroGrep.exe" /e /r /s /spath="%USERPROFILE%\AppData\Local\Temp\OnboardLogs" /stypes="app*4024*20170926*" /stext=" 23:.+((SYSTEM_STATE.+slice.+state.+changed )|(ment ac)|(multiple cpu faults)|(system.+state.+changed )|(\[timeout)|(PRM\|1\|D)|(kpr)|(kdp)|(train st.+moving)|(\|lc)|(penalty))"</v>
      </c>
      <c r="AG117" s="181" t="str">
        <f t="shared" si="81"/>
        <v>EC</v>
      </c>
      <c r="AH117" s="78" t="str">
        <f t="shared" si="82"/>
        <v>"%USERPROFILE%\Documents\GitHub\eaglep3\Utilities\RefineRTDCRunTimes.py" --tripid 203-26 --locoid 4024 --swversion DE.1.0.9.0 --startMP 204:477 --initTime 2017-09-26T16:23:04 --startdatetime 2017-09-26T16:30:19 --delay 82 --endMP 204:233332 --enddatetime 2017-09-26T17:09:17 --enforcementcount 0 &gt;&gt;c:\users\stu\Documents\GitHub\eaglep3-reporting\EC\2017-09-26-refined-times.txt</v>
      </c>
      <c r="AI117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{"issue":{"subject":"","project_id":79,"tracker_id":40,"status_id":1,"priority_id":2,"assigned_to_id":338,"start_date":"2017-09-26","description":"","custom_fields":[{"id":1,"name":"Subdivision","value":"EC"},{"id":4,"name":"Milepost","value":"23.3332"},{"id":17,"name":"Train ID","value":"203-26"},{"id":16,"name":"Locomotive ID","value":"4024"},{"id":130,"name":"Impact","value":""},{"id":150,"name":"Time of Event (Mountain Time)","value":"17:09:17"},{"id":151,"name":"Denver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84"/>
        <v>start /low /b %USERPROFILE%\Documents\GitHub\eaglep3\Utilities\DownloadLogsFromS3.py --loco 4024 --day 2017-09-26</v>
      </c>
      <c r="AN117" s="151" t="str">
        <f t="shared" si="8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7" t="str">
        <f t="shared" si="86"/>
        <v>https://d0f6bd738d7f1b3e5a7ca70fe4ff75f0.us-east-1.aws.found.io/app/kibana#/discover/Steve-Slow-Train-Analysis-(2080s-and-2083s)?_g=(refreshInterval:(display:Off,pause:!f,section:0,value:0),time:(from:'2017-09-26T15:23:04-0600',mode:absolute,to:'2017-09-26T18:09:17-0600'))&amp;_a=(columns:!('Message%20ID',Summary),filters:!(),index:'emp_*',interval:auto,query:(query_string:(analyze_wildcard:!t,query:'%22rtdc.l.rtdc.4024%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795</v>
      </c>
      <c r="B118" s="7">
        <v>4023</v>
      </c>
      <c r="C118" s="21" t="s">
        <v>196</v>
      </c>
      <c r="D118" s="21" t="s">
        <v>401</v>
      </c>
      <c r="E118" s="13">
        <v>43004.723506944443</v>
      </c>
      <c r="F118" s="13">
        <v>43004.727314814816</v>
      </c>
      <c r="G118" s="7">
        <v>72</v>
      </c>
      <c r="H118" s="21" t="s">
        <v>342</v>
      </c>
      <c r="I118" s="13">
        <v>43004.754479166666</v>
      </c>
      <c r="J118" s="7">
        <v>0</v>
      </c>
      <c r="K118" s="89" t="str">
        <f t="shared" si="47"/>
        <v>4023/4024</v>
      </c>
      <c r="L118" s="184" t="str">
        <f>VLOOKUP(A118,'[1]Trips&amp;Operators'!$C$1:$G$99911,5,FALSE)</f>
        <v>MOSES BRADLEY</v>
      </c>
      <c r="M118" s="6">
        <f t="shared" si="48"/>
        <v>2.7164351849933155E-2</v>
      </c>
      <c r="N118" s="7">
        <f t="shared" si="76"/>
        <v>39.116666663903743</v>
      </c>
      <c r="O118" s="7"/>
      <c r="P118" s="7"/>
      <c r="Q118" s="22"/>
      <c r="R118" s="173"/>
      <c r="S118" s="220">
        <f t="shared" si="77"/>
        <v>1</v>
      </c>
      <c r="T118" s="173" t="str">
        <f t="shared" si="51"/>
        <v>Southbound</v>
      </c>
      <c r="U118" s="197">
        <f>IF(AG118="EC",COUNTIFS([1]Variables!$M$2:$M$19,IF(T118="NorthBound","&gt;=","&lt;=")&amp;Y118,[1]Variables!$M$2:$M$19,IF(T118="NorthBound","&lt;=","&gt;=")&amp;Z118),COUNTIFS([1]Variables!$P$2:$P$19,IF(T118="NorthBound","&gt;=","&lt;=")&amp;Y118,[1]Variables!$P$2:$P$19,IF(T118="NorthBound","&lt;=","&gt;=")&amp;Z118))</f>
        <v>12</v>
      </c>
      <c r="V118" s="215" t="str">
        <f t="shared" si="78"/>
        <v>https://d0f6bd738d7f1b3e5a7ca70fe4ff75f0.us-east-1.aws.found.io/app/kibana#/discover/Steve-Slow-Train-Analysis-(2080s-and-2083s)?_g=(refreshInterval:(display:Off,pause:!f,section:0,value:0),time:(from:'2017-09-26T16:21:51-0600',mode:absolute,to:'2017-09-26T19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8" s="203" t="str">
        <f>IF(AA118&lt;VLOOKUP(AG118,[1]Variables!$AC$3:$AD$8,2,FALSE),"Y","N")</f>
        <v>N</v>
      </c>
      <c r="X118" s="203">
        <f t="shared" si="53"/>
        <v>1</v>
      </c>
      <c r="Y118" s="203">
        <f t="shared" ref="Y118:Y126" si="87">RIGHT(D118,LEN(D118)-4)/10000</f>
        <v>23.297799999999999</v>
      </c>
      <c r="Z118" s="203">
        <f t="shared" ref="Z118:Z126" si="88">RIGHT(H118,LEN(H118)-4)/10000</f>
        <v>1.47E-2</v>
      </c>
      <c r="AA118" s="203">
        <f t="shared" si="54"/>
        <v>23.283099999999997</v>
      </c>
      <c r="AB118" s="54" t="e">
        <f>VLOOKUP(A118,[1]Enforcements!$C$7:$K$11,8,0)</f>
        <v>#N/A</v>
      </c>
      <c r="AC118" s="51" t="e">
        <f>VLOOKUP(A118,[1]Enforcements!$C$7:$E$11,3,0)</f>
        <v>#N/A</v>
      </c>
      <c r="AD118" s="178">
        <f t="shared" si="55"/>
        <v>204</v>
      </c>
      <c r="AE118" s="77" t="str">
        <f t="shared" si="79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118" s="74" t="str">
        <f t="shared" si="80"/>
        <v>"C:\Program Files (x86)\AstroGrep\AstroGrep.exe" /e /r /s /spath="%USERPROFILE%\AppData\Local\Temp\OnboardLogs" /stypes="app*4023*20170927*" /stext=" 00:.+((SYSTEM_STATE.+slice.+state.+changed )|(ment ac)|(multiple cpu faults)|(system.+state.+changed )|(\[timeout)|(PRM\|1\|D)|(kpr)|(kdp)|(train st.+moving)|(\|lc)|(penalty))"</v>
      </c>
      <c r="AG118" s="181" t="str">
        <f t="shared" si="81"/>
        <v>EC</v>
      </c>
      <c r="AH118" s="78" t="str">
        <f t="shared" si="82"/>
        <v>"%USERPROFILE%\Documents\GitHub\eaglep3\Utilities\RefineRTDCRunTimes.py" --tripid 204-26 --locoid 4023 --swversion DE.1.0.9.0 --startMP 204:232978 --initTime 2017-09-26T17:21:51 --startdatetime 2017-09-26T17:27:20 --delay 72 --endMP 204:147 --enddatetime 2017-09-26T18:06:27 --enforcementcount 0 &gt;&gt;c:\users\stu\Documents\GitHub\eaglep3-reporting\EC\2017-09-26-refined-times.txt</v>
      </c>
      <c r="AI118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ID","value":"204-26"},{"id":16,"name":"Locomotive ID","value":"4023"},{"id":130,"name":"Impact","value":""},{"id":150,"name":"Time of Event (Mountain Time)","value":"18:06:27"},{"id":151,"name":"Denver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84"/>
        <v>start /low /b %USERPROFILE%\Documents\GitHub\eaglep3\Utilities\DownloadLogsFromS3.py --loco 4023 --day 2017-09-26</v>
      </c>
      <c r="AN118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7" t="str">
        <f t="shared" si="86"/>
        <v>https://d0f6bd738d7f1b3e5a7ca70fe4ff75f0.us-east-1.aws.found.io/app/kibana#/discover/Steve-Slow-Train-Analysis-(2080s-and-2083s)?_g=(refreshInterval:(display:Off,pause:!f,section:0,value:0),time:(from:'2017-09-26T16:21:51-0600',mode:absolute,to:'2017-09-26T19:06:27-0600'))&amp;_a=(columns:!('Message%20ID',Summary),filters:!(),index:'emp_*',interval:auto,query:(query_string:(analyze_wildcard:!t,query:'%22rtdc.l.rtdc.4023%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787</v>
      </c>
      <c r="B119" s="7">
        <v>4010</v>
      </c>
      <c r="C119" s="21" t="s">
        <v>196</v>
      </c>
      <c r="D119" s="21" t="s">
        <v>340</v>
      </c>
      <c r="E119" s="13">
        <v>43004.693148148152</v>
      </c>
      <c r="F119" s="13">
        <v>43004.698263888888</v>
      </c>
      <c r="G119" s="7">
        <v>77</v>
      </c>
      <c r="H119" s="21" t="s">
        <v>566</v>
      </c>
      <c r="I119" s="13">
        <v>43004.723715277774</v>
      </c>
      <c r="J119" s="7">
        <v>0</v>
      </c>
      <c r="K119" s="89" t="str">
        <f t="shared" si="47"/>
        <v>4009/4010</v>
      </c>
      <c r="L119" s="184" t="str">
        <f>VLOOKUP(A119,'[1]Trips&amp;Operators'!$C$1:$G$99911,5,FALSE)</f>
        <v>ZEWDU DEREJE</v>
      </c>
      <c r="M119" s="6">
        <f t="shared" si="48"/>
        <v>2.545138888672227E-2</v>
      </c>
      <c r="N119" s="7">
        <f t="shared" si="76"/>
        <v>36.649999996880069</v>
      </c>
      <c r="O119" s="7"/>
      <c r="P119" s="7"/>
      <c r="Q119" s="22"/>
      <c r="R119" s="173"/>
      <c r="S119" s="220">
        <f t="shared" si="77"/>
        <v>1</v>
      </c>
      <c r="T119" s="173" t="str">
        <f t="shared" si="51"/>
        <v>NorthBound</v>
      </c>
      <c r="U119" s="197">
        <f>IF(AG119="EC",COUNTIFS([1]Variables!$M$2:$M$19,IF(T119="NorthBound","&gt;=","&lt;=")&amp;Y119,[1]Variables!$M$2:$M$19,IF(T119="NorthBound","&lt;=","&gt;=")&amp;Z119),COUNTIFS([1]Variables!$P$2:$P$19,IF(T119="NorthBound","&gt;=","&lt;=")&amp;Y119,[1]Variables!$P$2:$P$19,IF(T119="NorthBound","&lt;=","&gt;=")&amp;Z119))</f>
        <v>12</v>
      </c>
      <c r="V119" s="215" t="str">
        <f t="shared" si="78"/>
        <v>https://d0f6bd738d7f1b3e5a7ca70fe4ff75f0.us-east-1.aws.found.io/app/kibana#/discover/Steve-Slow-Train-Analysis-(2080s-and-2083s)?_g=(refreshInterval:(display:Off,pause:!f,section:0,value:0),time:(from:'2017-09-26T15:38:08-0600',mode:absolute,to:'2017-09-26T18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03" t="str">
        <f>IF(AA119&lt;VLOOKUP(AG119,[1]Variables!$AC$3:$AD$8,2,FALSE),"Y","N")</f>
        <v>N</v>
      </c>
      <c r="X119" s="203">
        <f t="shared" si="53"/>
        <v>1</v>
      </c>
      <c r="Y119" s="203">
        <f t="shared" si="87"/>
        <v>4.53E-2</v>
      </c>
      <c r="Z119" s="203">
        <f t="shared" si="88"/>
        <v>23.332100000000001</v>
      </c>
      <c r="AA119" s="203">
        <f t="shared" si="54"/>
        <v>23.286799999999999</v>
      </c>
      <c r="AB119" s="54" t="e">
        <f>VLOOKUP(A119,[1]Enforcements!$C$7:$K$11,8,0)</f>
        <v>#N/A</v>
      </c>
      <c r="AC119" s="51" t="e">
        <f>VLOOKUP(A119,[1]Enforcements!$C$7:$E$11,3,0)</f>
        <v>#N/A</v>
      </c>
      <c r="AD119" s="178">
        <f t="shared" si="55"/>
        <v>205</v>
      </c>
      <c r="AE119" s="77" t="str">
        <f t="shared" si="79"/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119" s="74" t="str">
        <f t="shared" si="80"/>
        <v>"C:\Program Files (x86)\AstroGrep\AstroGrep.exe" /e /r /s /spath="%USERPROFILE%\AppData\Local\Temp\OnboardLogs" /stypes="app*4010*20170926*" /stext=" 23:.+((SYSTEM_STATE.+slice.+state.+changed )|(ment ac)|(multiple cpu faults)|(system.+state.+changed )|(\[timeout)|(PRM\|1\|D)|(kpr)|(kdp)|(train st.+moving)|(\|lc)|(penalty))"</v>
      </c>
      <c r="AG119" s="181" t="str">
        <f t="shared" si="81"/>
        <v>EC</v>
      </c>
      <c r="AH119" s="78" t="str">
        <f t="shared" si="82"/>
        <v>"%USERPROFILE%\Documents\GitHub\eaglep3\Utilities\RefineRTDCRunTimes.py" --tripid 205-26 --locoid 4010 --swversion DE.1.0.9.0 --startMP 204:453 --initTime 2017-09-26T16:38:08 --startdatetime 2017-09-26T16:45:30 --delay 77 --endMP 204:233321 --enddatetime 2017-09-26T17:22:09 --enforcementcount 0 &gt;&gt;c:\users\stu\Documents\GitHub\eaglep3-reporting\EC\2017-09-26-refined-times.txt</v>
      </c>
      <c r="AI119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{"issue":{"subject":"","project_id":79,"tracker_id":40,"status_id":1,"priority_id":2,"assigned_to_id":338,"start_date":"2017-09-26","description":"","custom_fields":[{"id":1,"name":"Subdivision","value":"EC"},{"id":4,"name":"Milepost","value":"23.3321"},{"id":17,"name":"Train ID","value":"205-26"},{"id":16,"name":"Locomotive ID","value":"4010"},{"id":130,"name":"Impact","value":""},{"id":150,"name":"Time of Event (Mountain Time)","value":"17:22:09"},{"id":151,"name":"Denver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84"/>
        <v>start /low /b %USERPROFILE%\Documents\GitHub\eaglep3\Utilities\DownloadLogsFromS3.py --loco 4010 --day 2017-09-26</v>
      </c>
      <c r="AN119" s="151" t="str">
        <f t="shared" si="8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7" t="str">
        <f t="shared" si="86"/>
        <v>https://d0f6bd738d7f1b3e5a7ca70fe4ff75f0.us-east-1.aws.found.io/app/kibana#/discover/Steve-Slow-Train-Analysis-(2080s-and-2083s)?_g=(refreshInterval:(display:Off,pause:!f,section:0,value:0),time:(from:'2017-09-26T15:38:08-0600',mode:absolute,to:'2017-09-26T18:22:09-0600'))&amp;_a=(columns:!('Message%20ID',Summary),filters:!(),index:'emp_*',interval:auto,query:(query_string:(analyze_wildcard:!t,query:'%22rtdc.l.rtdc.4010%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800</v>
      </c>
      <c r="B120" s="7">
        <v>4009</v>
      </c>
      <c r="C120" s="21" t="s">
        <v>196</v>
      </c>
      <c r="D120" s="21" t="s">
        <v>564</v>
      </c>
      <c r="E120" s="13">
        <v>43004.7341087963</v>
      </c>
      <c r="F120" s="13">
        <v>43004.737835648149</v>
      </c>
      <c r="G120" s="7">
        <v>65</v>
      </c>
      <c r="H120" s="21" t="s">
        <v>342</v>
      </c>
      <c r="I120" s="13">
        <v>43004.763854166667</v>
      </c>
      <c r="J120" s="7">
        <v>0</v>
      </c>
      <c r="K120" s="89" t="str">
        <f t="shared" si="47"/>
        <v>4009/4010</v>
      </c>
      <c r="L120" s="184" t="str">
        <f>VLOOKUP(A120,'[1]Trips&amp;Operators'!$C$1:$G$99911,5,FALSE)</f>
        <v>ZEWDU DEREJE</v>
      </c>
      <c r="M120" s="6">
        <f t="shared" si="48"/>
        <v>2.6018518517958E-2</v>
      </c>
      <c r="N120" s="7">
        <f t="shared" si="76"/>
        <v>37.46666666585952</v>
      </c>
      <c r="O120" s="7"/>
      <c r="P120" s="7"/>
      <c r="Q120" s="22"/>
      <c r="R120" s="173"/>
      <c r="S120" s="220">
        <f t="shared" si="77"/>
        <v>1</v>
      </c>
      <c r="T120" s="173" t="str">
        <f t="shared" si="51"/>
        <v>Southbound</v>
      </c>
      <c r="U120" s="197">
        <f>IF(AG120="EC",COUNTIFS([1]Variables!$M$2:$M$19,IF(T120="NorthBound","&gt;=","&lt;=")&amp;Y120,[1]Variables!$M$2:$M$19,IF(T120="NorthBound","&lt;=","&gt;=")&amp;Z120),COUNTIFS([1]Variables!$P$2:$P$19,IF(T120="NorthBound","&gt;=","&lt;=")&amp;Y120,[1]Variables!$P$2:$P$19,IF(T120="NorthBound","&lt;=","&gt;=")&amp;Z120))</f>
        <v>12</v>
      </c>
      <c r="V120" s="215" t="str">
        <f t="shared" si="78"/>
        <v>https://d0f6bd738d7f1b3e5a7ca70fe4ff75f0.us-east-1.aws.found.io/app/kibana#/discover/Steve-Slow-Train-Analysis-(2080s-and-2083s)?_g=(refreshInterval:(display:Off,pause:!f,section:0,value:0),time:(from:'2017-09-26T16:37:07-0600',mode:absolute,to:'2017-09-26T19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03" t="str">
        <f>IF(AA120&lt;VLOOKUP(AG120,[1]Variables!$AC$3:$AD$8,2,FALSE),"Y","N")</f>
        <v>N</v>
      </c>
      <c r="X120" s="203">
        <f t="shared" si="53"/>
        <v>1</v>
      </c>
      <c r="Y120" s="203">
        <f t="shared" si="87"/>
        <v>23.2989</v>
      </c>
      <c r="Z120" s="203">
        <f t="shared" si="88"/>
        <v>1.47E-2</v>
      </c>
      <c r="AA120" s="203">
        <f t="shared" si="54"/>
        <v>23.284199999999998</v>
      </c>
      <c r="AB120" s="54" t="e">
        <f>VLOOKUP(A120,[1]Enforcements!$C$7:$K$11,8,0)</f>
        <v>#N/A</v>
      </c>
      <c r="AC120" s="51" t="e">
        <f>VLOOKUP(A120,[1]Enforcements!$C$7:$E$11,3,0)</f>
        <v>#N/A</v>
      </c>
      <c r="AD120" s="178">
        <f t="shared" si="55"/>
        <v>206</v>
      </c>
      <c r="AE120" s="77" t="str">
        <f t="shared" si="79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120" s="74" t="str">
        <f t="shared" si="80"/>
        <v>"C:\Program Files (x86)\AstroGrep\AstroGrep.exe" /e /r /s /spath="%USERPROFILE%\AppData\Local\Temp\OnboardLogs" /stypes="app*4009*20170927*" /stext=" 00:.+((SYSTEM_STATE.+slice.+state.+changed )|(ment ac)|(multiple cpu faults)|(system.+state.+changed )|(\[timeout)|(PRM\|1\|D)|(kpr)|(kdp)|(train st.+moving)|(\|lc)|(penalty))"</v>
      </c>
      <c r="AG120" s="181" t="str">
        <f t="shared" si="81"/>
        <v>EC</v>
      </c>
      <c r="AH120" s="78" t="str">
        <f t="shared" si="82"/>
        <v>"%USERPROFILE%\Documents\GitHub\eaglep3\Utilities\RefineRTDCRunTimes.py" --tripid 206-26 --locoid 4009 --swversion DE.1.0.9.0 --startMP 204:232989 --initTime 2017-09-26T17:37:07 --startdatetime 2017-09-26T17:42:29 --delay 65 --endMP 204:147 --enddatetime 2017-09-26T18:19:57 --enforcementcount 0 &gt;&gt;c:\users\stu\Documents\GitHub\eaglep3-reporting\EC\2017-09-26-refined-times.txt</v>
      </c>
      <c r="AI120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ID","value":"206-26"},{"id":16,"name":"Locomotive ID","value":"4009"},{"id":130,"name":"Impact","value":""},{"id":150,"name":"Time of Event (Mountain Time)","value":"18:19:57"},{"id":151,"name":"Denver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84"/>
        <v>start /low /b %USERPROFILE%\Documents\GitHub\eaglep3\Utilities\DownloadLogsFromS3.py --loco 4009 --day 2017-09-26</v>
      </c>
      <c r="AN120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7" t="str">
        <f t="shared" si="86"/>
        <v>https://d0f6bd738d7f1b3e5a7ca70fe4ff75f0.us-east-1.aws.found.io/app/kibana#/discover/Steve-Slow-Train-Analysis-(2080s-and-2083s)?_g=(refreshInterval:(display:Off,pause:!f,section:0,value:0),time:(from:'2017-09-26T16:37:07-0600',mode:absolute,to:'2017-09-26T19:19:57-0600'))&amp;_a=(columns:!('Message%20ID',Summary),filters:!(),index:'emp_*',interval:auto,query:(query_string:(analyze_wildcard:!t,query:'%22rtdc.l.rtdc.4009%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792</v>
      </c>
      <c r="B121" s="7">
        <v>4018</v>
      </c>
      <c r="C121" s="21" t="s">
        <v>196</v>
      </c>
      <c r="D121" s="21" t="s">
        <v>369</v>
      </c>
      <c r="E121" s="13">
        <v>43004.714791666665</v>
      </c>
      <c r="F121" s="13">
        <v>43004.716400462959</v>
      </c>
      <c r="G121" s="7">
        <v>86</v>
      </c>
      <c r="H121" s="21" t="s">
        <v>897</v>
      </c>
      <c r="I121" s="13">
        <v>43004.742789351854</v>
      </c>
      <c r="J121" s="7">
        <v>0</v>
      </c>
      <c r="K121" s="89" t="str">
        <f t="shared" si="47"/>
        <v>4017/4018</v>
      </c>
      <c r="L121" s="184" t="str">
        <f>VLOOKUP(A121,'[1]Trips&amp;Operators'!$C$1:$G$99911,5,FALSE)</f>
        <v>SWANSON BRYCE</v>
      </c>
      <c r="M121" s="6">
        <f t="shared" si="48"/>
        <v>2.6388888894871343E-2</v>
      </c>
      <c r="N121" s="7">
        <f t="shared" si="76"/>
        <v>38.000000008614734</v>
      </c>
      <c r="O121" s="7"/>
      <c r="P121" s="7"/>
      <c r="Q121" s="22"/>
      <c r="R121" s="173"/>
      <c r="S121" s="220">
        <f t="shared" si="77"/>
        <v>1</v>
      </c>
      <c r="T121" s="173" t="str">
        <f t="shared" si="51"/>
        <v>NorthBound</v>
      </c>
      <c r="U121" s="197">
        <f>IF(AG121="EC",COUNTIFS([1]Variables!$M$2:$M$19,IF(T121="NorthBound","&gt;=","&lt;=")&amp;Y121,[1]Variables!$M$2:$M$19,IF(T121="NorthBound","&lt;=","&gt;=")&amp;Z121),COUNTIFS([1]Variables!$P$2:$P$19,IF(T121="NorthBound","&gt;=","&lt;=")&amp;Y121,[1]Variables!$P$2:$P$19,IF(T121="NorthBound","&lt;=","&gt;=")&amp;Z121))</f>
        <v>12</v>
      </c>
      <c r="V121" s="215" t="str">
        <f t="shared" si="78"/>
        <v>https://d0f6bd738d7f1b3e5a7ca70fe4ff75f0.us-east-1.aws.found.io/app/kibana#/discover/Steve-Slow-Train-Analysis-(2080s-and-2083s)?_g=(refreshInterval:(display:Off,pause:!f,section:0,value:0),time:(from:'2017-09-26T16:09:18-0600',mode:absolute,to:'2017-09-26T18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203" t="str">
        <f>IF(AA121&lt;VLOOKUP(AG121,[1]Variables!$AC$3:$AD$8,2,FALSE),"Y","N")</f>
        <v>N</v>
      </c>
      <c r="X121" s="203">
        <f t="shared" si="53"/>
        <v>1</v>
      </c>
      <c r="Y121" s="203">
        <f t="shared" si="87"/>
        <v>4.6899999999999997E-2</v>
      </c>
      <c r="Z121" s="203">
        <f t="shared" si="88"/>
        <v>23.325700000000001</v>
      </c>
      <c r="AA121" s="203">
        <f t="shared" si="54"/>
        <v>23.2788</v>
      </c>
      <c r="AB121" s="54" t="e">
        <f>VLOOKUP(A121,[1]Enforcements!$C$7:$K$11,8,0)</f>
        <v>#N/A</v>
      </c>
      <c r="AC121" s="51" t="e">
        <f>VLOOKUP(A121,[1]Enforcements!$C$7:$E$11,3,0)</f>
        <v>#N/A</v>
      </c>
      <c r="AD121" s="178">
        <f t="shared" si="55"/>
        <v>207</v>
      </c>
      <c r="AE121" s="77" t="str">
        <f t="shared" si="79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121" s="74" t="str">
        <f t="shared" si="80"/>
        <v>"C:\Program Files (x86)\AstroGrep\AstroGrep.exe" /e /r /s /spath="%USERPROFILE%\AppData\Local\Temp\OnboardLogs" /stypes="app*4018*20170926*" /stext=" 23:.+((SYSTEM_STATE.+slice.+state.+changed )|(ment ac)|(multiple cpu faults)|(system.+state.+changed )|(\[timeout)|(PRM\|1\|D)|(kpr)|(kdp)|(train st.+moving)|(\|lc)|(penalty))"</v>
      </c>
      <c r="AG121" s="181" t="str">
        <f t="shared" si="81"/>
        <v>EC</v>
      </c>
      <c r="AH121" s="78" t="str">
        <f t="shared" si="82"/>
        <v>"%USERPROFILE%\Documents\GitHub\eaglep3\Utilities\RefineRTDCRunTimes.py" --tripid 207-26 --locoid 4018 --swversion DE.1.0.9.0 --startMP 204:469 --initTime 2017-09-26T17:09:18 --startdatetime 2017-09-26T17:11:37 --delay 86 --endMP 204:233257 --enddatetime 2017-09-26T17:49:37 --enforcementcount 0 &gt;&gt;c:\users\stu\Documents\GitHub\eaglep3-reporting\EC\2017-09-26-refined-times.txt</v>
      </c>
      <c r="AI121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{"issue":{"subject":"","project_id":79,"tracker_id":40,"status_id":1,"priority_id":2,"assigned_to_id":338,"start_date":"2017-09-26","description":"","custom_fields":[{"id":1,"name":"Subdivision","value":"EC"},{"id":4,"name":"Milepost","value":"23.3257"},{"id":17,"name":"Train ID","value":"207-26"},{"id":16,"name":"Locomotive ID","value":"4018"},{"id":130,"name":"Impact","value":""},{"id":150,"name":"Time of Event (Mountain Time)","value":"17:49:37"},{"id":151,"name":"Denver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84"/>
        <v>start /low /b %USERPROFILE%\Documents\GitHub\eaglep3\Utilities\DownloadLogsFromS3.py --loco 4018 --day 2017-09-26</v>
      </c>
      <c r="AN121" s="151" t="str">
        <f t="shared" si="8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7" t="str">
        <f t="shared" si="86"/>
        <v>https://d0f6bd738d7f1b3e5a7ca70fe4ff75f0.us-east-1.aws.found.io/app/kibana#/discover/Steve-Slow-Train-Analysis-(2080s-and-2083s)?_g=(refreshInterval:(display:Off,pause:!f,section:0,value:0),time:(from:'2017-09-26T16:09:18-0600',mode:absolute,to:'2017-09-26T18:49:37-0600'))&amp;_a=(columns:!('Message%20ID',Summary),filters:!(),index:'emp_*',interval:auto,query:(query_string:(analyze_wildcard:!t,query:'%22rtdc.l.rtdc.4018%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802</v>
      </c>
      <c r="B122" s="7">
        <v>4017</v>
      </c>
      <c r="C122" s="21" t="s">
        <v>196</v>
      </c>
      <c r="D122" s="21" t="s">
        <v>863</v>
      </c>
      <c r="E122" s="13">
        <v>43004.745925925927</v>
      </c>
      <c r="F122" s="13">
        <v>43004.7496875</v>
      </c>
      <c r="G122" s="7">
        <v>67</v>
      </c>
      <c r="H122" s="21" t="s">
        <v>576</v>
      </c>
      <c r="I122" s="13">
        <v>43004.776006944441</v>
      </c>
      <c r="J122" s="7">
        <v>0</v>
      </c>
      <c r="K122" s="89" t="str">
        <f t="shared" si="47"/>
        <v>4017/4018</v>
      </c>
      <c r="L122" s="184" t="str">
        <f>VLOOKUP(A122,'[1]Trips&amp;Operators'!$C$1:$G$99911,5,FALSE)</f>
        <v>SWANSON BRYCE</v>
      </c>
      <c r="M122" s="6">
        <f t="shared" si="48"/>
        <v>2.6319444441469386E-2</v>
      </c>
      <c r="N122" s="7">
        <f t="shared" si="76"/>
        <v>37.899999995715916</v>
      </c>
      <c r="O122" s="7"/>
      <c r="P122" s="7"/>
      <c r="Q122" s="22"/>
      <c r="R122" s="173"/>
      <c r="S122" s="220">
        <f t="shared" si="77"/>
        <v>1</v>
      </c>
      <c r="T122" s="173" t="str">
        <f t="shared" si="51"/>
        <v>Southbound</v>
      </c>
      <c r="U122" s="197">
        <f>IF(AG122="EC",COUNTIFS([1]Variables!$M$2:$M$19,IF(T122="NorthBound","&gt;=","&lt;=")&amp;Y122,[1]Variables!$M$2:$M$19,IF(T122="NorthBound","&lt;=","&gt;=")&amp;Z122),COUNTIFS([1]Variables!$P$2:$P$19,IF(T122="NorthBound","&gt;=","&lt;=")&amp;Y122,[1]Variables!$P$2:$P$19,IF(T122="NorthBound","&lt;=","&gt;=")&amp;Z122))</f>
        <v>12</v>
      </c>
      <c r="V122" s="215" t="str">
        <f t="shared" si="78"/>
        <v>https://d0f6bd738d7f1b3e5a7ca70fe4ff75f0.us-east-1.aws.found.io/app/kibana#/discover/Steve-Slow-Train-Analysis-(2080s-and-2083s)?_g=(refreshInterval:(display:Off,pause:!f,section:0,value:0),time:(from:'2017-09-26T16:54:08-0600',mode:absolute,to:'2017-09-26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203" t="str">
        <f>IF(AA122&lt;VLOOKUP(AG122,[1]Variables!$AC$3:$AD$8,2,FALSE),"Y","N")</f>
        <v>N</v>
      </c>
      <c r="X122" s="203">
        <f t="shared" si="53"/>
        <v>1</v>
      </c>
      <c r="Y122" s="203">
        <f t="shared" si="87"/>
        <v>23.295200000000001</v>
      </c>
      <c r="Z122" s="203">
        <f t="shared" si="88"/>
        <v>1.6899999999999998E-2</v>
      </c>
      <c r="AA122" s="203">
        <f t="shared" si="54"/>
        <v>23.278300000000002</v>
      </c>
      <c r="AB122" s="54" t="e">
        <f>VLOOKUP(A122,[1]Enforcements!$C$7:$K$11,8,0)</f>
        <v>#N/A</v>
      </c>
      <c r="AC122" s="51" t="e">
        <f>VLOOKUP(A122,[1]Enforcements!$C$7:$E$11,3,0)</f>
        <v>#N/A</v>
      </c>
      <c r="AD122" s="178">
        <f t="shared" si="55"/>
        <v>208</v>
      </c>
      <c r="AE122" s="77" t="str">
        <f t="shared" si="79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122" s="74" t="str">
        <f t="shared" si="80"/>
        <v>"C:\Program Files (x86)\AstroGrep\AstroGrep.exe" /e /r /s /spath="%USERPROFILE%\AppData\Local\Temp\OnboardLogs" /stypes="app*4017*20170927*" /stext=" 00:.+((SYSTEM_STATE.+slice.+state.+changed )|(ment ac)|(multiple cpu faults)|(system.+state.+changed )|(\[timeout)|(PRM\|1\|D)|(kpr)|(kdp)|(train st.+moving)|(\|lc)|(penalty))"</v>
      </c>
      <c r="AG122" s="181" t="str">
        <f t="shared" si="81"/>
        <v>EC</v>
      </c>
      <c r="AH122" s="78" t="str">
        <f t="shared" si="82"/>
        <v>"%USERPROFILE%\Documents\GitHub\eaglep3\Utilities\RefineRTDCRunTimes.py" --tripid 208-26 --locoid 4017 --swversion DE.1.0.9.0 --startMP 204:232952 --initTime 2017-09-26T17:54:08 --startdatetime 2017-09-26T17:59:33 --delay 67 --endMP 204:169 --enddatetime 2017-09-26T18:37:27 --enforcementcount 0 &gt;&gt;c:\users\stu\Documents\GitHub\eaglep3-reporting\EC\2017-09-26-refined-times.txt</v>
      </c>
      <c r="AI122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{"issue":{"subject":"","project_id":79,"tracker_id":40,"status_id":1,"priority_id":2,"assigned_to_id":338,"start_date":"2017-09-26","description":"","custom_fields":[{"id":1,"name":"Subdivision","value":"EC"},{"id":4,"name":"Milepost","value":"0.0169"},{"id":17,"name":"Train ID","value":"208-26"},{"id":16,"name":"Locomotive ID","value":"4017"},{"id":130,"name":"Impact","value":""},{"id":150,"name":"Time of Event (Mountain Time)","value":"18:37:27"},{"id":151,"name":"Denver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84"/>
        <v>start /low /b %USERPROFILE%\Documents\GitHub\eaglep3\Utilities\DownloadLogsFromS3.py --loco 4017 --day 2017-09-26</v>
      </c>
      <c r="AN122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7" t="str">
        <f t="shared" si="86"/>
        <v>https://d0f6bd738d7f1b3e5a7ca70fe4ff75f0.us-east-1.aws.found.io/app/kibana#/discover/Steve-Slow-Train-Analysis-(2080s-and-2083s)?_g=(refreshInterval:(display:Off,pause:!f,section:0,value:0),time:(from:'2017-09-26T16:54:08-0600',mode:absolute,to:'2017-09-26T19:37:27-0600'))&amp;_a=(columns:!('Message%20ID',Summary),filters:!(),index:'emp_*',interval:auto,query:(query_string:(analyze_wildcard:!t,query:'%22rtdc.l.rtdc.4017%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794</v>
      </c>
      <c r="B123" s="7">
        <v>4056</v>
      </c>
      <c r="C123" s="21" t="s">
        <v>196</v>
      </c>
      <c r="D123" s="21" t="s">
        <v>418</v>
      </c>
      <c r="E123" s="13">
        <v>43004.722893518519</v>
      </c>
      <c r="F123" s="13">
        <v>43004.724687499998</v>
      </c>
      <c r="G123" s="7">
        <v>60</v>
      </c>
      <c r="H123" s="21" t="s">
        <v>400</v>
      </c>
      <c r="I123" s="13">
        <v>43004.75236111111</v>
      </c>
      <c r="J123" s="7">
        <v>0</v>
      </c>
      <c r="K123" s="89" t="str">
        <f t="shared" si="47"/>
        <v>4055/4056</v>
      </c>
      <c r="L123" s="184" t="str">
        <f>VLOOKUP(A123,'[1]Trips&amp;Operators'!$C$1:$G$99911,5,FALSE)</f>
        <v>LEVERE CRAIG</v>
      </c>
      <c r="M123" s="6">
        <f t="shared" si="48"/>
        <v>2.7673611111822538E-2</v>
      </c>
      <c r="N123" s="7">
        <f t="shared" si="76"/>
        <v>39.850000001024455</v>
      </c>
      <c r="O123" s="7"/>
      <c r="P123" s="7"/>
      <c r="Q123" s="22"/>
      <c r="R123" s="173"/>
      <c r="S123" s="220">
        <f t="shared" si="77"/>
        <v>1</v>
      </c>
      <c r="T123" s="173" t="str">
        <f t="shared" si="51"/>
        <v>NorthBound</v>
      </c>
      <c r="U123" s="197">
        <f>IF(AG123="EC",COUNTIFS([1]Variables!$M$2:$M$19,IF(T123="NorthBound","&gt;=","&lt;=")&amp;Y123,[1]Variables!$M$2:$M$19,IF(T123="NorthBound","&lt;=","&gt;=")&amp;Z123),COUNTIFS([1]Variables!$P$2:$P$19,IF(T123="NorthBound","&gt;=","&lt;=")&amp;Y123,[1]Variables!$P$2:$P$19,IF(T123="NorthBound","&lt;=","&gt;=")&amp;Z123))</f>
        <v>12</v>
      </c>
      <c r="V123" s="215" t="str">
        <f t="shared" si="78"/>
        <v>https://d0f6bd738d7f1b3e5a7ca70fe4ff75f0.us-east-1.aws.found.io/app/kibana#/discover/Steve-Slow-Train-Analysis-(2080s-and-2083s)?_g=(refreshInterval:(display:Off,pause:!f,section:0,value:0),time:(from:'2017-09-26T16:20:58-0600',mode:absolute,to:'2017-09-26T19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203" t="str">
        <f>IF(AA123&lt;VLOOKUP(AG123,[1]Variables!$AC$3:$AD$8,2,FALSE),"Y","N")</f>
        <v>N</v>
      </c>
      <c r="X123" s="203">
        <f t="shared" si="53"/>
        <v>1</v>
      </c>
      <c r="Y123" s="203">
        <f t="shared" si="87"/>
        <v>4.5699999999999998E-2</v>
      </c>
      <c r="Z123" s="203">
        <f t="shared" si="88"/>
        <v>23.3293</v>
      </c>
      <c r="AA123" s="203">
        <f t="shared" si="54"/>
        <v>23.2836</v>
      </c>
      <c r="AB123" s="54" t="e">
        <f>VLOOKUP(A123,[1]Enforcements!$C$7:$K$11,8,0)</f>
        <v>#N/A</v>
      </c>
      <c r="AC123" s="51" t="e">
        <f>VLOOKUP(A123,[1]Enforcements!$C$7:$E$11,3,0)</f>
        <v>#N/A</v>
      </c>
      <c r="AD123" s="178">
        <f t="shared" si="55"/>
        <v>209</v>
      </c>
      <c r="AE123" s="77" t="str">
        <f t="shared" si="79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23" s="74" t="str">
        <f t="shared" si="80"/>
        <v>"C:\Program Files (x86)\AstroGrep\AstroGrep.exe" /e /r /s /spath="%USERPROFILE%\AppData\Local\Temp\OnboardLogs" /stypes="app*4056*20170927*" /stext=" 00:.+((SYSTEM_STATE.+slice.+state.+changed )|(ment ac)|(multiple cpu faults)|(system.+state.+changed )|(\[timeout)|(PRM\|1\|D)|(kpr)|(kdp)|(train st.+moving)|(\|lc)|(penalty))"</v>
      </c>
      <c r="AG123" s="181" t="str">
        <f t="shared" si="81"/>
        <v>EC</v>
      </c>
      <c r="AH123" s="78" t="str">
        <f t="shared" si="82"/>
        <v>"%USERPROFILE%\Documents\GitHub\eaglep3\Utilities\RefineRTDCRunTimes.py" --tripid 209-26 --locoid 4056 --swversion DE.1.0.9.0 --startMP 204:457 --initTime 2017-09-26T17:20:58 --startdatetime 2017-09-26T17:23:33 --delay 60 --endMP 204:233293 --enddatetime 2017-09-26T18:03:24 --enforcementcount 0 &gt;&gt;c:\users\stu\Documents\GitHub\eaglep3-reporting\EC\2017-09-26-refined-times.txt</v>
      </c>
      <c r="AI123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{"issue":{"subject":"","project_id":79,"tracker_id":40,"status_id":1,"priority_id":2,"assigned_to_id":338,"start_date":"2017-09-26","description":"","custom_fields":[{"id":1,"name":"Subdivision","value":"EC"},{"id":4,"name":"Milepost","value":"23.3293"},{"id":17,"name":"Train ID","value":"209-26"},{"id":16,"name":"Locomotive ID","value":"4056"},{"id":130,"name":"Impact","value":""},{"id":150,"name":"Time of Event (Mountain Time)","value":"18:03:24"},{"id":151,"name":"Denver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84"/>
        <v>start /low /b %USERPROFILE%\Documents\GitHub\eaglep3\Utilities\DownloadLogsFromS3.py --loco 4056 --day 2017-09-26</v>
      </c>
      <c r="AN123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7" t="str">
        <f t="shared" si="86"/>
        <v>https://d0f6bd738d7f1b3e5a7ca70fe4ff75f0.us-east-1.aws.found.io/app/kibana#/discover/Steve-Slow-Train-Analysis-(2080s-and-2083s)?_g=(refreshInterval:(display:Off,pause:!f,section:0,value:0),time:(from:'2017-09-26T16:20:58-0600',mode:absolute,to:'2017-09-26T19:03:24-0600'))&amp;_a=(columns:!('Message%20ID',Summary),filters:!(),index:'emp_*',interval:auto,query:(query_string:(analyze_wildcard:!t,query:'%22rtdc.l.rtdc.4056%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806</v>
      </c>
      <c r="B124" s="7">
        <v>4055</v>
      </c>
      <c r="C124" s="21" t="s">
        <v>196</v>
      </c>
      <c r="D124" s="21" t="s">
        <v>426</v>
      </c>
      <c r="E124" s="13">
        <v>43004.755381944444</v>
      </c>
      <c r="F124" s="13">
        <v>43004.758518518516</v>
      </c>
      <c r="G124" s="7">
        <v>71</v>
      </c>
      <c r="H124" s="21" t="s">
        <v>898</v>
      </c>
      <c r="I124" s="13">
        <v>43004.785578703704</v>
      </c>
      <c r="J124" s="7">
        <v>0</v>
      </c>
      <c r="K124" s="89" t="str">
        <f t="shared" si="47"/>
        <v>4055/4056</v>
      </c>
      <c r="L124" s="184" t="str">
        <f>VLOOKUP(A124,'[1]Trips&amp;Operators'!$C$1:$G$99911,5,FALSE)</f>
        <v>LEVERE CRAIG</v>
      </c>
      <c r="M124" s="6">
        <f t="shared" si="48"/>
        <v>2.7060185188020114E-2</v>
      </c>
      <c r="N124" s="7">
        <f t="shared" si="76"/>
        <v>38.966666670748964</v>
      </c>
      <c r="O124" s="7"/>
      <c r="P124" s="7"/>
      <c r="Q124" s="22"/>
      <c r="R124" s="173"/>
      <c r="S124" s="220">
        <f t="shared" si="77"/>
        <v>1</v>
      </c>
      <c r="T124" s="173" t="str">
        <f t="shared" si="51"/>
        <v>Southbound</v>
      </c>
      <c r="U124" s="197">
        <f>IF(AG124="EC",COUNTIFS([1]Variables!$M$2:$M$19,IF(T124="NorthBound","&gt;=","&lt;=")&amp;Y124,[1]Variables!$M$2:$M$19,IF(T124="NorthBound","&lt;=","&gt;=")&amp;Z124),COUNTIFS([1]Variables!$P$2:$P$19,IF(T124="NorthBound","&gt;=","&lt;=")&amp;Y124,[1]Variables!$P$2:$P$19,IF(T124="NorthBound","&lt;=","&gt;=")&amp;Z124))</f>
        <v>12</v>
      </c>
      <c r="V124" s="215" t="str">
        <f t="shared" si="78"/>
        <v>https://d0f6bd738d7f1b3e5a7ca70fe4ff75f0.us-east-1.aws.found.io/app/kibana#/discover/Steve-Slow-Train-Analysis-(2080s-and-2083s)?_g=(refreshInterval:(display:Off,pause:!f,section:0,value:0),time:(from:'2017-09-26T17:07:45-0600',mode:absolute,to:'2017-09-26T19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203" t="str">
        <f>IF(AA124&lt;VLOOKUP(AG124,[1]Variables!$AC$3:$AD$8,2,FALSE),"Y","N")</f>
        <v>N</v>
      </c>
      <c r="X124" s="203">
        <f t="shared" si="53"/>
        <v>1</v>
      </c>
      <c r="Y124" s="203">
        <f t="shared" si="87"/>
        <v>23.2987</v>
      </c>
      <c r="Z124" s="203">
        <f t="shared" si="88"/>
        <v>1.78E-2</v>
      </c>
      <c r="AA124" s="203">
        <f t="shared" si="54"/>
        <v>23.280899999999999</v>
      </c>
      <c r="AB124" s="54" t="e">
        <f>VLOOKUP(A124,[1]Enforcements!$C$7:$K$11,8,0)</f>
        <v>#N/A</v>
      </c>
      <c r="AC124" s="51" t="e">
        <f>VLOOKUP(A124,[1]Enforcements!$C$7:$E$11,3,0)</f>
        <v>#N/A</v>
      </c>
      <c r="AD124" s="178">
        <f t="shared" si="55"/>
        <v>210</v>
      </c>
      <c r="AE124" s="77" t="str">
        <f t="shared" si="79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24" s="74" t="str">
        <f t="shared" si="80"/>
        <v>"C:\Program Files (x86)\AstroGrep\AstroGrep.exe" /e /r /s /spath="%USERPROFILE%\AppData\Local\Temp\OnboardLogs" /stypes="app*4055*20170927*" /stext=" 00:.+((SYSTEM_STATE.+slice.+state.+changed )|(ment ac)|(multiple cpu faults)|(system.+state.+changed )|(\[timeout)|(PRM\|1\|D)|(kpr)|(kdp)|(train st.+moving)|(\|lc)|(penalty))"</v>
      </c>
      <c r="AG124" s="181" t="str">
        <f t="shared" si="81"/>
        <v>EC</v>
      </c>
      <c r="AH124" s="78" t="str">
        <f t="shared" si="82"/>
        <v>"%USERPROFILE%\Documents\GitHub\eaglep3\Utilities\RefineRTDCRunTimes.py" --tripid 210-26 --locoid 4055 --swversion DE.1.0.9.0 --startMP 204:232987 --initTime 2017-09-26T18:07:45 --startdatetime 2017-09-26T18:12:16 --delay 71 --endMP 204:178 --enddatetime 2017-09-26T18:51:14 --enforcementcount 0 &gt;&gt;c:\users\stu\Documents\GitHub\eaglep3-reporting\EC\2017-09-26-refined-times.txt</v>
      </c>
      <c r="AI124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{"issue":{"subject":"","project_id":79,"tracker_id":40,"status_id":1,"priority_id":2,"assigned_to_id":338,"start_date":"2017-09-26","description":"","custom_fields":[{"id":1,"name":"Subdivision","value":"EC"},{"id":4,"name":"Milepost","value":"0.0178"},{"id":17,"name":"Train ID","value":"210-26"},{"id":16,"name":"Locomotive ID","value":"4055"},{"id":130,"name":"Impact","value":""},{"id":150,"name":"Time of Event (Mountain Time)","value":"18:51:14"},{"id":151,"name":"Denver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84"/>
        <v>start /low /b %USERPROFILE%\Documents\GitHub\eaglep3\Utilities\DownloadLogsFromS3.py --loco 4055 --day 2017-09-26</v>
      </c>
      <c r="AN124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7" t="str">
        <f t="shared" si="86"/>
        <v>https://d0f6bd738d7f1b3e5a7ca70fe4ff75f0.us-east-1.aws.found.io/app/kibana#/discover/Steve-Slow-Train-Analysis-(2080s-and-2083s)?_g=(refreshInterval:(display:Off,pause:!f,section:0,value:0),time:(from:'2017-09-26T17:07:45-0600',mode:absolute,to:'2017-09-26T19:51:14-0600'))&amp;_a=(columns:!('Message%20ID',Summary),filters:!(),index:'emp_*',interval:auto,query:(query_string:(analyze_wildcard:!t,query:'%22rtdc.l.rtdc.4055%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797</v>
      </c>
      <c r="B125" s="7">
        <v>4062</v>
      </c>
      <c r="C125" s="21" t="s">
        <v>196</v>
      </c>
      <c r="D125" s="21" t="s">
        <v>397</v>
      </c>
      <c r="E125" s="13">
        <v>43004.726793981485</v>
      </c>
      <c r="F125" s="13">
        <v>43004.72934027778</v>
      </c>
      <c r="G125" s="7">
        <v>65</v>
      </c>
      <c r="H125" s="21" t="s">
        <v>899</v>
      </c>
      <c r="I125" s="13">
        <v>43004.755231481482</v>
      </c>
      <c r="J125" s="7">
        <v>0</v>
      </c>
      <c r="K125" s="89" t="str">
        <f t="shared" si="47"/>
        <v>4061/4062</v>
      </c>
      <c r="L125" s="184" t="str">
        <f>VLOOKUP(A125,'[1]Trips&amp;Operators'!$C$1:$G$99911,5,FALSE)</f>
        <v>SAFIEF AEIMEN</v>
      </c>
      <c r="M125" s="6">
        <f t="shared" si="48"/>
        <v>2.5891203702485655E-2</v>
      </c>
      <c r="N125" s="7">
        <f t="shared" si="76"/>
        <v>37.283333331579342</v>
      </c>
      <c r="O125" s="7"/>
      <c r="P125" s="7"/>
      <c r="Q125" s="22"/>
      <c r="R125" s="173"/>
      <c r="S125" s="220">
        <f t="shared" si="77"/>
        <v>1</v>
      </c>
      <c r="T125" s="173" t="str">
        <f t="shared" si="51"/>
        <v>NorthBound</v>
      </c>
      <c r="U125" s="197">
        <f>IF(AG125="EC",COUNTIFS([1]Variables!$M$2:$M$19,IF(T125="NorthBound","&gt;=","&lt;=")&amp;Y125,[1]Variables!$M$2:$M$19,IF(T125="NorthBound","&lt;=","&gt;=")&amp;Z125),COUNTIFS([1]Variables!$P$2:$P$19,IF(T125="NorthBound","&gt;=","&lt;=")&amp;Y125,[1]Variables!$P$2:$P$19,IF(T125="NorthBound","&lt;=","&gt;=")&amp;Z125))</f>
        <v>12</v>
      </c>
      <c r="V125" s="215" t="str">
        <f t="shared" si="78"/>
        <v>https://d0f6bd738d7f1b3e5a7ca70fe4ff75f0.us-east-1.aws.found.io/app/kibana#/discover/Steve-Slow-Train-Analysis-(2080s-and-2083s)?_g=(refreshInterval:(display:Off,pause:!f,section:0,value:0),time:(from:'2017-09-26T16:26:35-0600',mode:absolute,to:'2017-09-26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203" t="str">
        <f>IF(AA125&lt;VLOOKUP(AG125,[1]Variables!$AC$3:$AD$8,2,FALSE),"Y","N")</f>
        <v>N</v>
      </c>
      <c r="X125" s="203">
        <f t="shared" si="53"/>
        <v>1</v>
      </c>
      <c r="Y125" s="203">
        <f t="shared" si="87"/>
        <v>4.6600000000000003E-2</v>
      </c>
      <c r="Z125" s="203">
        <f t="shared" si="88"/>
        <v>23.334499999999998</v>
      </c>
      <c r="AA125" s="203">
        <f t="shared" si="54"/>
        <v>23.287899999999997</v>
      </c>
      <c r="AB125" s="54" t="e">
        <f>VLOOKUP(A125,[1]Enforcements!$C$7:$K$11,8,0)</f>
        <v>#N/A</v>
      </c>
      <c r="AC125" s="51" t="e">
        <f>VLOOKUP(A125,[1]Enforcements!$C$7:$E$11,3,0)</f>
        <v>#N/A</v>
      </c>
      <c r="AD125" s="178">
        <f t="shared" si="55"/>
        <v>211</v>
      </c>
      <c r="AE125" s="77" t="str">
        <f t="shared" si="79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125" s="74" t="str">
        <f t="shared" si="80"/>
        <v>"C:\Program Files (x86)\AstroGrep\AstroGrep.exe" /e /r /s /spath="%USERPROFILE%\AppData\Local\Temp\OnboardLogs" /stypes="app*4062*20170927*" /stext=" 00:.+((SYSTEM_STATE.+slice.+state.+changed )|(ment ac)|(multiple cpu faults)|(system.+state.+changed )|(\[timeout)|(PRM\|1\|D)|(kpr)|(kdp)|(train st.+moving)|(\|lc)|(penalty))"</v>
      </c>
      <c r="AG125" s="181" t="str">
        <f t="shared" si="81"/>
        <v>EC</v>
      </c>
      <c r="AH125" s="78" t="str">
        <f t="shared" si="82"/>
        <v>"%USERPROFILE%\Documents\GitHub\eaglep3\Utilities\RefineRTDCRunTimes.py" --tripid 211-26 --locoid 4062 --swversion DE.1.0.9.0 --startMP 204:466 --initTime 2017-09-26T17:26:35 --startdatetime 2017-09-26T17:30:15 --delay 65 --endMP 204:233345 --enddatetime 2017-09-26T18:07:32 --enforcementcount 0 &gt;&gt;c:\users\stu\Documents\GitHub\eaglep3-reporting\EC\2017-09-26-refined-times.txt</v>
      </c>
      <c r="AI125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{"issue":{"subject":"","project_id":79,"tracker_id":40,"status_id":1,"priority_id":2,"assigned_to_id":338,"start_date":"2017-09-26","description":"","custom_fields":[{"id":1,"name":"Subdivision","value":"EC"},{"id":4,"name":"Milepost","value":"23.3345"},{"id":17,"name":"Train ID","value":"211-26"},{"id":16,"name":"Locomotive ID","value":"4062"},{"id":130,"name":"Impact","value":""},{"id":150,"name":"Time of Event (Mountain Time)","value":"18:07:32"},{"id":151,"name":"Denver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84"/>
        <v>start /low /b %USERPROFILE%\Documents\GitHub\eaglep3\Utilities\DownloadLogsFromS3.py --loco 4062 --day 2017-09-26</v>
      </c>
      <c r="AN125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7" t="str">
        <f t="shared" si="86"/>
        <v>https://d0f6bd738d7f1b3e5a7ca70fe4ff75f0.us-east-1.aws.found.io/app/kibana#/discover/Steve-Slow-Train-Analysis-(2080s-and-2083s)?_g=(refreshInterval:(display:Off,pause:!f,section:0,value:0),time:(from:'2017-09-26T16:26:35-0600',mode:absolute,to:'2017-09-26T19:07:32-0600'))&amp;_a=(columns:!('Message%20ID',Summary),filters:!(),index:'emp_*',interval:auto,query:(query_string:(analyze_wildcard:!t,query:'%22rtdc.l.rtdc.4062%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808</v>
      </c>
      <c r="B126" s="7">
        <v>4061</v>
      </c>
      <c r="C126" s="21" t="s">
        <v>196</v>
      </c>
      <c r="D126" s="21" t="s">
        <v>393</v>
      </c>
      <c r="E126" s="13">
        <v>43004.762511574074</v>
      </c>
      <c r="F126" s="13">
        <v>43004.768923611111</v>
      </c>
      <c r="G126" s="7">
        <v>85</v>
      </c>
      <c r="H126" s="21" t="s">
        <v>373</v>
      </c>
      <c r="I126" s="13">
        <v>43004.79451388889</v>
      </c>
      <c r="J126" s="7">
        <v>0</v>
      </c>
      <c r="K126" s="89" t="str">
        <f t="shared" si="47"/>
        <v>4061/4062</v>
      </c>
      <c r="L126" s="184" t="str">
        <f>VLOOKUP(A126,'[1]Trips&amp;Operators'!$C$1:$G$99911,5,FALSE)</f>
        <v>SAFIEF AEIMEN</v>
      </c>
      <c r="M126" s="6">
        <f t="shared" si="48"/>
        <v>2.5590277778974269E-2</v>
      </c>
      <c r="N126" s="7">
        <f t="shared" si="76"/>
        <v>36.850000001722947</v>
      </c>
      <c r="O126" s="7"/>
      <c r="P126" s="7"/>
      <c r="Q126" s="22"/>
      <c r="R126" s="173"/>
      <c r="S126" s="220">
        <f t="shared" si="77"/>
        <v>1</v>
      </c>
      <c r="T126" s="173" t="str">
        <f t="shared" si="51"/>
        <v>Southbound</v>
      </c>
      <c r="U126" s="197">
        <f>IF(AG126="EC",COUNTIFS([1]Variables!$M$2:$M$19,IF(T126="NorthBound","&gt;=","&lt;=")&amp;Y126,[1]Variables!$M$2:$M$19,IF(T126="NorthBound","&lt;=","&gt;=")&amp;Z126),COUNTIFS([1]Variables!$P$2:$P$19,IF(T126="NorthBound","&gt;=","&lt;=")&amp;Y126,[1]Variables!$P$2:$P$19,IF(T126="NorthBound","&lt;=","&gt;=")&amp;Z126))</f>
        <v>12</v>
      </c>
      <c r="V126" s="215" t="str">
        <f t="shared" si="78"/>
        <v>https://d0f6bd738d7f1b3e5a7ca70fe4ff75f0.us-east-1.aws.found.io/app/kibana#/discover/Steve-Slow-Train-Analysis-(2080s-and-2083s)?_g=(refreshInterval:(display:Off,pause:!f,section:0,value:0),time:(from:'2017-09-26T17:18:01-0600',mode:absolute,to:'2017-09-26T20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203" t="str">
        <f>IF(AA126&lt;VLOOKUP(AG126,[1]Variables!$AC$3:$AD$8,2,FALSE),"Y","N")</f>
        <v>N</v>
      </c>
      <c r="X126" s="203">
        <f t="shared" si="53"/>
        <v>1</v>
      </c>
      <c r="Y126" s="203">
        <f t="shared" si="87"/>
        <v>23.301300000000001</v>
      </c>
      <c r="Z126" s="203">
        <f t="shared" si="88"/>
        <v>1.6E-2</v>
      </c>
      <c r="AA126" s="203">
        <f t="shared" si="54"/>
        <v>23.285300000000003</v>
      </c>
      <c r="AB126" s="54" t="e">
        <f>VLOOKUP(A126,[1]Enforcements!$C$7:$K$11,8,0)</f>
        <v>#N/A</v>
      </c>
      <c r="AC126" s="51" t="e">
        <f>VLOOKUP(A126,[1]Enforcements!$C$7:$E$11,3,0)</f>
        <v>#N/A</v>
      </c>
      <c r="AD126" s="178">
        <f t="shared" si="55"/>
        <v>212</v>
      </c>
      <c r="AE126" s="77" t="str">
        <f t="shared" si="79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126" s="74" t="str">
        <f t="shared" si="80"/>
        <v>"C:\Program Files (x86)\AstroGrep\AstroGrep.exe" /e /r /s /spath="%USERPROFILE%\AppData\Local\Temp\OnboardLogs" /stypes="app*4061*20170927*" /stext=" 01:.+((SYSTEM_STATE.+slice.+state.+changed )|(ment ac)|(multiple cpu faults)|(system.+state.+changed )|(\[timeout)|(PRM\|1\|D)|(kpr)|(kdp)|(train st.+moving)|(\|lc)|(penalty))"</v>
      </c>
      <c r="AG126" s="181" t="str">
        <f t="shared" si="81"/>
        <v>EC</v>
      </c>
      <c r="AH126" s="78" t="str">
        <f t="shared" si="82"/>
        <v>"%USERPROFILE%\Documents\GitHub\eaglep3\Utilities\RefineRTDCRunTimes.py" --tripid 212-26 --locoid 4061 --swversion DE.1.0.9.0 --startMP 204:233013 --initTime 2017-09-26T18:18:01 --startdatetime 2017-09-26T18:27:15 --delay 85 --endMP 204:160 --enddatetime 2017-09-26T19:04:06 --enforcementcount 0 &gt;&gt;c:\users\stu\Documents\GitHub\eaglep3-reporting\EC\2017-09-26-refined-times.txt</v>
      </c>
      <c r="AI126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{"issue":{"subject":"","project_id":79,"tracker_id":40,"status_id":1,"priority_id":2,"assigned_to_id":338,"start_date":"2017-09-26","description":"","custom_fields":[{"id":1,"name":"Subdivision","value":"EC"},{"id":4,"name":"Milepost","value":"0.016"},{"id":17,"name":"Train ID","value":"212-26"},{"id":16,"name":"Locomotive ID","value":"4061"},{"id":130,"name":"Impact","value":""},{"id":150,"name":"Time of Event (Mountain Time)","value":"19:04:06"},{"id":151,"name":"Denver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84"/>
        <v>start /low /b %USERPROFILE%\Documents\GitHub\eaglep3\Utilities\DownloadLogsFromS3.py --loco 4061 --day 2017-09-26</v>
      </c>
      <c r="AN126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7" t="str">
        <f t="shared" si="86"/>
        <v>https://d0f6bd738d7f1b3e5a7ca70fe4ff75f0.us-east-1.aws.found.io/app/kibana#/discover/Steve-Slow-Train-Analysis-(2080s-and-2083s)?_g=(refreshInterval:(display:Off,pause:!f,section:0,value:0),time:(from:'2017-09-26T17:18:01-0600',mode:absolute,to:'2017-09-26T20:04:06-0600'))&amp;_a=(columns:!('Message%20ID',Summary),filters:!(),index:'emp_*',interval:auto,query:(query_string:(analyze_wildcard:!t,query:'%22rtdc.l.rtdc.4061%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801</v>
      </c>
      <c r="B127" s="7">
        <v>4026</v>
      </c>
      <c r="C127" s="21" t="s">
        <v>196</v>
      </c>
      <c r="D127" s="21" t="s">
        <v>393</v>
      </c>
      <c r="E127" s="13">
        <v>43004.762511574074</v>
      </c>
      <c r="F127" s="13">
        <v>43004.740127314813</v>
      </c>
      <c r="G127" s="7">
        <v>85</v>
      </c>
      <c r="H127" s="21" t="s">
        <v>373</v>
      </c>
      <c r="I127" s="13">
        <v>43004.766030092593</v>
      </c>
      <c r="J127" s="7">
        <v>0</v>
      </c>
      <c r="K127" s="89" t="str">
        <f t="shared" si="47"/>
        <v>4025/4026</v>
      </c>
      <c r="L127" s="184" t="str">
        <f>VLOOKUP(A127,'[1]Trips&amp;Operators'!$C$1:$G$99911,5,FALSE)</f>
        <v>LOZA FIDEL</v>
      </c>
      <c r="M127" s="6">
        <f t="shared" si="48"/>
        <v>2.5902777779265307E-2</v>
      </c>
      <c r="N127" s="7">
        <f t="shared" si="76"/>
        <v>37.300000002142042</v>
      </c>
      <c r="O127" s="7"/>
      <c r="P127" s="7"/>
      <c r="Q127" s="22"/>
      <c r="R127" s="173"/>
      <c r="S127" s="220">
        <f t="shared" si="77"/>
        <v>1</v>
      </c>
      <c r="T127" s="173" t="str">
        <f t="shared" si="51"/>
        <v>NorthBound</v>
      </c>
      <c r="U127" s="197">
        <f>IF(AG127="EC",COUNTIFS([1]Variables!$M$2:$M$19,IF(T127="NorthBound","&gt;=","&lt;=")&amp;Y127,[1]Variables!$M$2:$M$19,IF(T127="NorthBound","&lt;=","&gt;=")&amp;Z127),COUNTIFS([1]Variables!$P$2:$P$19,IF(T127="NorthBound","&gt;=","&lt;=")&amp;Y127,[1]Variables!$P$2:$P$19,IF(T127="NorthBound","&lt;=","&gt;=")&amp;Z127))</f>
        <v>12</v>
      </c>
      <c r="V127" s="215" t="str">
        <f t="shared" si="78"/>
        <v>https://d0f6bd738d7f1b3e5a7ca70fe4ff75f0.us-east-1.aws.found.io/app/kibana#/discover/Steve-Slow-Train-Analysis-(2080s-and-2083s)?_g=(refreshInterval:(display:Off,pause:!f,section:0,value:0),time:(from:'2017-09-26T17:18:01-0600',mode:absolute,to:'2017-09-26T19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203" t="str">
        <f>IF(AA127&lt;VLOOKUP(AG127,[1]Variables!$AC$3:$AD$8,2,FALSE),"Y","N")</f>
        <v>N</v>
      </c>
      <c r="X127" s="203">
        <f t="shared" si="53"/>
        <v>1</v>
      </c>
      <c r="Y127" s="203">
        <v>4.6600000000000003E-2</v>
      </c>
      <c r="Z127" s="203">
        <v>23.334499999999998</v>
      </c>
      <c r="AA127" s="203">
        <f t="shared" si="54"/>
        <v>23.287899999999997</v>
      </c>
      <c r="AB127" s="54" t="e">
        <f>VLOOKUP(A127,[1]Enforcements!$C$7:$K$11,8,0)</f>
        <v>#N/A</v>
      </c>
      <c r="AC127" s="51" t="e">
        <f>VLOOKUP(A127,[1]Enforcements!$C$7:$E$11,3,0)</f>
        <v>#N/A</v>
      </c>
      <c r="AD127" s="178">
        <f t="shared" si="55"/>
        <v>213</v>
      </c>
      <c r="AE127" s="77" t="str">
        <f t="shared" si="79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27" s="74" t="str">
        <f t="shared" si="80"/>
        <v>"C:\Program Files (x86)\AstroGrep\AstroGrep.exe" /e /r /s /spath="%USERPROFILE%\AppData\Local\Temp\OnboardLogs" /stypes="app*4026*20170927*" /stext=" 00:.+((SYSTEM_STATE.+slice.+state.+changed )|(ment ac)|(multiple cpu faults)|(system.+state.+changed )|(\[timeout)|(PRM\|1\|D)|(kpr)|(kdp)|(train st.+moving)|(\|lc)|(penalty))"</v>
      </c>
      <c r="AG127" s="181" t="str">
        <f t="shared" si="81"/>
        <v>EC</v>
      </c>
      <c r="AH127" s="78" t="str">
        <f t="shared" ref="AH127" si="89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213-26 --locoid 4026 --swversion DE.1.0.9.0 --startMP 204:233013 --initTime 2017-09-26T18:18:01 --startdatetime 2017-09-26T17:45:47 --delay 85 --endMP 204:160 --enddatetime 2017-09-26T18:23:05 --enforcementcount 0 &gt;&gt;c:\users\stu\Documents\GitHub\eaglep3-reporting\EC\2017-09-26-refined-times.txt</v>
      </c>
      <c r="AI127" s="96" t="str">
        <f t="shared" ref="AI127" si="90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{"issue":{"subject":"","project_id":79,"tracker_id":40,"status_id":1,"priority_id":2,"assigned_to_id":338,"start_date":"2017-09-26","description":"","custom_fields":[{"id":1,"name":"Subdivision","value":"EC"},{"id":4,"name":"Milepost","value":"23.3345"},{"id":17,"name":"Train ID","value":"213-26"},{"id":16,"name":"Locomotive ID","value":"4026"},{"id":130,"name":"Impact","value":""},{"id":150,"name":"Time of Event (Mountain Time)","value":"18:23:05"},{"id":151,"name":"Denver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ref="AM127" si="91">"start /low /b "&amp;dls3logs&amp;" --loco "&amp;B127&amp;" --day "&amp;TEXT(F127,"YYYY-MM-DD")</f>
        <v>start /low /b %USERPROFILE%\Documents\GitHub\eaglep3\Utilities\DownloadLogsFromS3.py --loco 4026 --day 2017-09-26</v>
      </c>
      <c r="AN127" s="151" t="str">
        <f t="shared" ref="AN127" si="92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7" t="str">
        <f t="shared" ref="AO127" si="93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-26T17:18:01-0600',mode:absolute,to:'2017-09-26T19:23:05-0600'))&amp;_a=(columns:!('Message%20ID',Summary),filters:!(),index:'emp_*',interval:auto,query:(query_string:(analyze_wildcard:!t,query:'%22rtdc.l.rtdc.4026%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812</v>
      </c>
      <c r="B128" s="7">
        <v>4025</v>
      </c>
      <c r="C128" s="21" t="s">
        <v>196</v>
      </c>
      <c r="D128" s="21" t="s">
        <v>481</v>
      </c>
      <c r="E128" s="13">
        <v>43004.77652777778</v>
      </c>
      <c r="F128" s="13">
        <v>43004.779618055552</v>
      </c>
      <c r="G128" s="7">
        <v>187</v>
      </c>
      <c r="H128" s="21" t="s">
        <v>527</v>
      </c>
      <c r="I128" s="13">
        <v>43004.804814814815</v>
      </c>
      <c r="J128" s="7">
        <v>0</v>
      </c>
      <c r="K128" s="89" t="str">
        <f t="shared" si="47"/>
        <v>4025/4026</v>
      </c>
      <c r="L128" s="184" t="str">
        <f>VLOOKUP(A128,'[1]Trips&amp;Operators'!$C$1:$G$99911,5,FALSE)</f>
        <v>LOZA FIDEL</v>
      </c>
      <c r="M128" s="6">
        <f t="shared" si="48"/>
        <v>2.5196759263053536E-2</v>
      </c>
      <c r="N128" s="7">
        <f t="shared" si="76"/>
        <v>36.283333338797092</v>
      </c>
      <c r="O128" s="7"/>
      <c r="P128" s="7"/>
      <c r="Q128" s="22"/>
      <c r="R128" s="173"/>
      <c r="S128" s="220">
        <f t="shared" si="77"/>
        <v>1</v>
      </c>
      <c r="T128" s="173" t="str">
        <f t="shared" si="51"/>
        <v>Southbound</v>
      </c>
      <c r="U128" s="197">
        <f>IF(AG128="EC",COUNTIFS([1]Variables!$M$2:$M$19,IF(T128="NorthBound","&gt;=","&lt;=")&amp;Y128,[1]Variables!$M$2:$M$19,IF(T128="NorthBound","&lt;=","&gt;=")&amp;Z128),COUNTIFS([1]Variables!$P$2:$P$19,IF(T128="NorthBound","&gt;=","&lt;=")&amp;Y128,[1]Variables!$P$2:$P$19,IF(T128="NorthBound","&lt;=","&gt;=")&amp;Z128))</f>
        <v>12</v>
      </c>
      <c r="V128" s="215" t="str">
        <f t="shared" si="78"/>
        <v>https://d0f6bd738d7f1b3e5a7ca70fe4ff75f0.us-east-1.aws.found.io/app/kibana#/discover/Steve-Slow-Train-Analysis-(2080s-and-2083s)?_g=(refreshInterval:(display:Off,pause:!f,section:0,value:0),time:(from:'2017-09-26T17:38:12-0600',mode:absolute,to:'2017-09-26T20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203" t="str">
        <f>IF(AA128&lt;VLOOKUP(AG128,[1]Variables!$AC$3:$AD$8,2,FALSE),"Y","N")</f>
        <v>N</v>
      </c>
      <c r="X128" s="203">
        <f t="shared" si="53"/>
        <v>1</v>
      </c>
      <c r="Y128" s="203">
        <f>RIGHT(D128,LEN(D128)-4)/10000</f>
        <v>23.302099999999999</v>
      </c>
      <c r="Z128" s="203">
        <f>RIGHT(H128,LEN(H128)-4)/10000</f>
        <v>1.29E-2</v>
      </c>
      <c r="AA128" s="203">
        <f t="shared" si="54"/>
        <v>23.289200000000001</v>
      </c>
      <c r="AB128" s="54" t="e">
        <f>VLOOKUP(A128,[1]Enforcements!$C$7:$K$11,8,0)</f>
        <v>#N/A</v>
      </c>
      <c r="AC128" s="51" t="e">
        <f>VLOOKUP(A128,[1]Enforcements!$C$7:$E$11,3,0)</f>
        <v>#N/A</v>
      </c>
      <c r="AD128" s="178">
        <f t="shared" si="55"/>
        <v>214</v>
      </c>
      <c r="AE128" s="77" t="str">
        <f t="shared" si="79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128" s="74" t="str">
        <f t="shared" si="80"/>
        <v>"C:\Program Files (x86)\AstroGrep\AstroGrep.exe" /e /r /s /spath="%USERPROFILE%\AppData\Local\Temp\OnboardLogs" /stypes="app*4025*20170927*" /stext=" 01:.+((SYSTEM_STATE.+slice.+state.+changed )|(ment ac)|(multiple cpu faults)|(system.+state.+changed )|(\[timeout)|(PRM\|1\|D)|(kpr)|(kdp)|(train st.+moving)|(\|lc)|(penalty))"</v>
      </c>
      <c r="AG128" s="181" t="str">
        <f t="shared" si="81"/>
        <v>EC</v>
      </c>
      <c r="AH128" s="78" t="str">
        <f t="shared" si="82"/>
        <v>"%USERPROFILE%\Documents\GitHub\eaglep3\Utilities\RefineRTDCRunTimes.py" --tripid 214-26 --locoid 4025 --swversion DE.1.0.9.0 --startMP 204:233021 --initTime 2017-09-26T18:38:12 --startdatetime 2017-09-26T18:42:39 --delay 187 --endMP 204:129 --enddatetime 2017-09-26T19:18:56 --enforcementcount 0 &gt;&gt;c:\users\stu\Documents\GitHub\eaglep3-reporting\EC\2017-09-26-refined-times.txt</v>
      </c>
      <c r="AI128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{"issue":{"subject":"","project_id":79,"tracker_id":40,"status_id":1,"priority_id":2,"assigned_to_id":338,"start_date":"2017-09-26","description":"","custom_fields":[{"id":1,"name":"Subdivision","value":"EC"},{"id":4,"name":"Milepost","value":"0.0129"},{"id":17,"name":"Train ID","value":"214-26"},{"id":16,"name":"Locomotive ID","value":"4025"},{"id":130,"name":"Impact","value":""},{"id":150,"name":"Time of Event (Mountain Time)","value":"19:18:56"},{"id":151,"name":"Denver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84"/>
        <v>start /low /b %USERPROFILE%\Documents\GitHub\eaglep3\Utilities\DownloadLogsFromS3.py --loco 4025 --day 2017-09-26</v>
      </c>
      <c r="AN128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7" t="str">
        <f t="shared" si="86"/>
        <v>https://d0f6bd738d7f1b3e5a7ca70fe4ff75f0.us-east-1.aws.found.io/app/kibana#/discover/Steve-Slow-Train-Analysis-(2080s-and-2083s)?_g=(refreshInterval:(display:Off,pause:!f,section:0,value:0),time:(from:'2017-09-26T17:38:12-0600',mode:absolute,to:'2017-09-26T20:18:56-0600'))&amp;_a=(columns:!('Message%20ID',Summary),filters:!(),index:'emp_*',interval:auto,query:(query_string:(analyze_wildcard:!t,query:'%22rtdc.l.rtdc.4025%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804</v>
      </c>
      <c r="B129" s="7">
        <v>4046</v>
      </c>
      <c r="C129" s="21" t="s">
        <v>196</v>
      </c>
      <c r="D129" s="21" t="s">
        <v>361</v>
      </c>
      <c r="E129" s="13">
        <v>43004.744953703703</v>
      </c>
      <c r="F129" s="13">
        <v>43004.750243055554</v>
      </c>
      <c r="G129" s="7">
        <v>255</v>
      </c>
      <c r="H129" s="21" t="s">
        <v>558</v>
      </c>
      <c r="I129" s="13">
        <v>43004.775335648148</v>
      </c>
      <c r="J129" s="7">
        <v>0</v>
      </c>
      <c r="K129" s="89" t="str">
        <f t="shared" si="47"/>
        <v>4045/4046</v>
      </c>
      <c r="L129" s="184" t="str">
        <f>VLOOKUP(A129,'[1]Trips&amp;Operators'!$C$1:$G$99911,5,FALSE)</f>
        <v>SMITH MICHAEL</v>
      </c>
      <c r="M129" s="6">
        <f t="shared" si="48"/>
        <v>2.5092592593864538E-2</v>
      </c>
      <c r="N129" s="7">
        <f t="shared" si="76"/>
        <v>36.133333335164934</v>
      </c>
      <c r="O129" s="7"/>
      <c r="P129" s="7"/>
      <c r="Q129" s="22"/>
      <c r="R129" s="173"/>
      <c r="S129" s="220">
        <f t="shared" si="77"/>
        <v>1</v>
      </c>
      <c r="T129" s="173" t="str">
        <f t="shared" si="51"/>
        <v>NorthBound</v>
      </c>
      <c r="U129" s="197">
        <f>IF(AG129="EC",COUNTIFS([1]Variables!$M$2:$M$19,IF(T129="NorthBound","&gt;=","&lt;=")&amp;Y129,[1]Variables!$M$2:$M$19,IF(T129="NorthBound","&lt;=","&gt;=")&amp;Z129),COUNTIFS([1]Variables!$P$2:$P$19,IF(T129="NorthBound","&gt;=","&lt;=")&amp;Y129,[1]Variables!$P$2:$P$19,IF(T129="NorthBound","&lt;=","&gt;=")&amp;Z129))</f>
        <v>12</v>
      </c>
      <c r="V129" s="215" t="str">
        <f t="shared" si="78"/>
        <v>https://d0f6bd738d7f1b3e5a7ca70fe4ff75f0.us-east-1.aws.found.io/app/kibana#/discover/Steve-Slow-Train-Analysis-(2080s-and-2083s)?_g=(refreshInterval:(display:Off,pause:!f,section:0,value:0),time:(from:'2017-09-26T16:52:44-0600',mode:absolute,to:'2017-09-26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203" t="str">
        <f>IF(AA129&lt;VLOOKUP(AG129,[1]Variables!$AC$3:$AD$8,2,FALSE),"Y","N")</f>
        <v>N</v>
      </c>
      <c r="X129" s="203">
        <f t="shared" si="53"/>
        <v>1</v>
      </c>
      <c r="Y129" s="203">
        <f>RIGHT(D129,LEN(D129)-4)/10000</f>
        <v>4.6399999999999997E-2</v>
      </c>
      <c r="Z129" s="203">
        <f>RIGHT(H129,LEN(H129)-4)/10000</f>
        <v>23.332000000000001</v>
      </c>
      <c r="AA129" s="203">
        <f t="shared" si="54"/>
        <v>23.285600000000002</v>
      </c>
      <c r="AB129" s="54" t="e">
        <f>VLOOKUP(A129,[1]Enforcements!$C$7:$K$11,8,0)</f>
        <v>#N/A</v>
      </c>
      <c r="AC129" s="51" t="e">
        <f>VLOOKUP(A129,[1]Enforcements!$C$7:$E$11,3,0)</f>
        <v>#N/A</v>
      </c>
      <c r="AD129" s="178">
        <f t="shared" si="55"/>
        <v>215</v>
      </c>
      <c r="AE129" s="77" t="str">
        <f t="shared" si="79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129" s="74" t="str">
        <f t="shared" si="80"/>
        <v>"C:\Program Files (x86)\AstroGrep\AstroGrep.exe" /e /r /s /spath="%USERPROFILE%\AppData\Local\Temp\OnboardLogs" /stypes="app*4046*20170927*" /stext=" 00:.+((SYSTEM_STATE.+slice.+state.+changed )|(ment ac)|(multiple cpu faults)|(system.+state.+changed )|(\[timeout)|(PRM\|1\|D)|(kpr)|(kdp)|(train st.+moving)|(\|lc)|(penalty))"</v>
      </c>
      <c r="AG129" s="181" t="str">
        <f t="shared" si="81"/>
        <v>EC</v>
      </c>
      <c r="AH129" s="78" t="str">
        <f t="shared" si="82"/>
        <v>"%USERPROFILE%\Documents\GitHub\eaglep3\Utilities\RefineRTDCRunTimes.py" --tripid 215-26 --locoid 4046 --swversion DE.1.0.9.0 --startMP 204:464 --initTime 2017-09-26T17:52:44 --startdatetime 2017-09-26T18:00:21 --delay 255 --endMP 204:233320 --enddatetime 2017-09-26T18:36:29 --enforcementcount 0 &gt;&gt;c:\users\stu\Documents\GitHub\eaglep3-reporting\EC\2017-09-26-refined-times.txt</v>
      </c>
      <c r="AI129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{"issue":{"subject":"","project_id":79,"tracker_id":40,"status_id":1,"priority_id":2,"assigned_to_id":338,"start_date":"2017-09-26","description":"","custom_fields":[{"id":1,"name":"Subdivision","value":"EC"},{"id":4,"name":"Milepost","value":"23.332"},{"id":17,"name":"Train ID","value":"215-26"},{"id":16,"name":"Locomotive ID","value":"4046"},{"id":130,"name":"Impact","value":""},{"id":150,"name":"Time of Event (Mountain Time)","value":"18:36:29"},{"id":151,"name":"Denver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84"/>
        <v>start /low /b %USERPROFILE%\Documents\GitHub\eaglep3\Utilities\DownloadLogsFromS3.py --loco 4046 --day 2017-09-26</v>
      </c>
      <c r="AN129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7" t="str">
        <f t="shared" si="86"/>
        <v>https://d0f6bd738d7f1b3e5a7ca70fe4ff75f0.us-east-1.aws.found.io/app/kibana#/discover/Steve-Slow-Train-Analysis-(2080s-and-2083s)?_g=(refreshInterval:(display:Off,pause:!f,section:0,value:0),time:(from:'2017-09-26T16:52:44-0600',mode:absolute,to:'2017-09-26T19:36:29-0600'))&amp;_a=(columns:!('Message%20ID',Summary),filters:!(),index:'emp_*',interval:auto,query:(query_string:(analyze_wildcard:!t,query:'%22rtdc.l.rtdc.4046%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814</v>
      </c>
      <c r="B130" s="7">
        <v>4045</v>
      </c>
      <c r="C130" s="21" t="s">
        <v>196</v>
      </c>
      <c r="D130" s="21" t="s">
        <v>427</v>
      </c>
      <c r="E130" s="13">
        <v>43004.779872685183</v>
      </c>
      <c r="F130" s="13">
        <v>43004.789826388886</v>
      </c>
      <c r="G130" s="7">
        <v>76</v>
      </c>
      <c r="H130" s="21" t="s">
        <v>370</v>
      </c>
      <c r="I130" s="13">
        <v>43004.815497685187</v>
      </c>
      <c r="J130" s="7">
        <v>0</v>
      </c>
      <c r="K130" s="89" t="str">
        <f t="shared" si="47"/>
        <v>4045/4046</v>
      </c>
      <c r="L130" s="184" t="str">
        <f>VLOOKUP(A130,'[1]Trips&amp;Operators'!$C$1:$G$99911,5,FALSE)</f>
        <v>SMITH MICHAEL</v>
      </c>
      <c r="M130" s="6">
        <f t="shared" si="48"/>
        <v>2.567129630187992E-2</v>
      </c>
      <c r="N130" s="7">
        <f t="shared" si="76"/>
        <v>36.966666674707085</v>
      </c>
      <c r="O130" s="7"/>
      <c r="P130" s="7"/>
      <c r="Q130" s="22"/>
      <c r="R130" s="173"/>
      <c r="S130" s="220">
        <f t="shared" si="77"/>
        <v>1</v>
      </c>
      <c r="T130" s="173" t="str">
        <f t="shared" si="51"/>
        <v>Southbound</v>
      </c>
      <c r="U130" s="197">
        <f>IF(AG130="EC",COUNTIFS([1]Variables!$M$2:$M$19,IF(T130="NorthBound","&gt;=","&lt;=")&amp;Y130,[1]Variables!$M$2:$M$19,IF(T130="NorthBound","&lt;=","&gt;=")&amp;Z130),COUNTIFS([1]Variables!$P$2:$P$19,IF(T130="NorthBound","&gt;=","&lt;=")&amp;Y130,[1]Variables!$P$2:$P$19,IF(T130="NorthBound","&lt;=","&gt;=")&amp;Z130))</f>
        <v>12</v>
      </c>
      <c r="V130" s="215" t="str">
        <f t="shared" si="78"/>
        <v>https://d0f6bd738d7f1b3e5a7ca70fe4ff75f0.us-east-1.aws.found.io/app/kibana#/discover/Steve-Slow-Train-Analysis-(2080s-and-2083s)?_g=(refreshInterval:(display:Off,pause:!f,section:0,value:0),time:(from:'2017-09-26T17:43:01-0600',mode:absolute,to:'2017-09-26T20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203" t="str">
        <f>IF(AA130&lt;VLOOKUP(AG130,[1]Variables!$AC$3:$AD$8,2,FALSE),"Y","N")</f>
        <v>N</v>
      </c>
      <c r="X130" s="203">
        <f t="shared" si="53"/>
        <v>1</v>
      </c>
      <c r="Y130" s="203">
        <f>RIGHT(D130,LEN(D130)-4)/10000</f>
        <v>23.2986</v>
      </c>
      <c r="Z130" s="203">
        <f>RIGHT(H130,LEN(H130)-4)/10000</f>
        <v>1.61E-2</v>
      </c>
      <c r="AA130" s="203">
        <f t="shared" si="54"/>
        <v>23.282499999999999</v>
      </c>
      <c r="AB130" s="54" t="e">
        <f>VLOOKUP(A130,[1]Enforcements!$C$7:$K$11,8,0)</f>
        <v>#N/A</v>
      </c>
      <c r="AC130" s="51" t="e">
        <f>VLOOKUP(A130,[1]Enforcements!$C$7:$E$11,3,0)</f>
        <v>#N/A</v>
      </c>
      <c r="AD130" s="178">
        <f t="shared" si="55"/>
        <v>216</v>
      </c>
      <c r="AE130" s="77" t="str">
        <f t="shared" si="79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130" s="74" t="str">
        <f t="shared" si="80"/>
        <v>"C:\Program Files (x86)\AstroGrep\AstroGrep.exe" /e /r /s /spath="%USERPROFILE%\AppData\Local\Temp\OnboardLogs" /stypes="app*4045*20170927*" /stext=" 01:.+((SYSTEM_STATE.+slice.+state.+changed )|(ment ac)|(multiple cpu faults)|(system.+state.+changed )|(\[timeout)|(PRM\|1\|D)|(kpr)|(kdp)|(train st.+moving)|(\|lc)|(penalty))"</v>
      </c>
      <c r="AG130" s="181" t="str">
        <f t="shared" si="81"/>
        <v>EC</v>
      </c>
      <c r="AH130" s="78" t="str">
        <f t="shared" si="82"/>
        <v>"%USERPROFILE%\Documents\GitHub\eaglep3\Utilities\RefineRTDCRunTimes.py" --tripid 216-26 --locoid 4045 --swversion DE.1.0.9.0 --startMP 204:232986 --initTime 2017-09-26T18:43:01 --startdatetime 2017-09-26T18:57:21 --delay 76 --endMP 204:161 --enddatetime 2017-09-26T19:34:19 --enforcementcount 0 &gt;&gt;c:\users\stu\Documents\GitHub\eaglep3-reporting\EC\2017-09-26-refined-times.txt</v>
      </c>
      <c r="AI130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{"issue":{"subject":"","project_id":79,"tracker_id":40,"status_id":1,"priority_id":2,"assigned_to_id":338,"start_date":"2017-09-26","description":"","custom_fields":[{"id":1,"name":"Subdivision","value":"EC"},{"id":4,"name":"Milepost","value":"0.0161"},{"id":17,"name":"Train ID","value":"216-26"},{"id":16,"name":"Locomotive ID","value":"4045"},{"id":130,"name":"Impact","value":""},{"id":150,"name":"Time of Event (Mountain Time)","value":"19:34:19"},{"id":151,"name":"Denver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84"/>
        <v>start /low /b %USERPROFILE%\Documents\GitHub\eaglep3\Utilities\DownloadLogsFromS3.py --loco 4045 --day 2017-09-26</v>
      </c>
      <c r="AN130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7" t="str">
        <f t="shared" si="86"/>
        <v>https://d0f6bd738d7f1b3e5a7ca70fe4ff75f0.us-east-1.aws.found.io/app/kibana#/discover/Steve-Slow-Train-Analysis-(2080s-and-2083s)?_g=(refreshInterval:(display:Off,pause:!f,section:0,value:0),time:(from:'2017-09-26T17:43:01-0600',mode:absolute,to:'2017-09-26T20:34:19-0600'))&amp;_a=(columns:!('Message%20ID',Summary),filters:!(),index:'emp_*',interval:auto,query:(query_string:(analyze_wildcard:!t,query:'%22rtdc.l.rtdc.4045%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807</v>
      </c>
      <c r="B131" s="7">
        <v>4024</v>
      </c>
      <c r="C131" s="21" t="s">
        <v>196</v>
      </c>
      <c r="D131" s="21" t="s">
        <v>427</v>
      </c>
      <c r="E131" s="13">
        <v>43004.779872685183</v>
      </c>
      <c r="F131" s="13">
        <v>43004.760671296295</v>
      </c>
      <c r="G131" s="7">
        <v>76</v>
      </c>
      <c r="H131" s="21" t="s">
        <v>370</v>
      </c>
      <c r="I131" s="13">
        <v>43004.786041666666</v>
      </c>
      <c r="J131" s="7">
        <v>0</v>
      </c>
      <c r="K131" s="89" t="str">
        <f t="shared" si="47"/>
        <v>4023/4024</v>
      </c>
      <c r="L131" s="184" t="str">
        <f>VLOOKUP(A131,'[1]Trips&amp;Operators'!$C$1:$G$99911,5,FALSE)</f>
        <v>PERKINS DARREN</v>
      </c>
      <c r="M131" s="6">
        <f t="shared" si="48"/>
        <v>2.5370370371092577E-2</v>
      </c>
      <c r="N131" s="7">
        <f t="shared" si="76"/>
        <v>36.53333333437331</v>
      </c>
      <c r="O131" s="7"/>
      <c r="P131" s="7"/>
      <c r="Q131" s="22"/>
      <c r="R131" s="173"/>
      <c r="S131" s="220">
        <f t="shared" si="77"/>
        <v>1</v>
      </c>
      <c r="T131" s="173" t="str">
        <f t="shared" si="51"/>
        <v>NorthBound</v>
      </c>
      <c r="U131" s="197">
        <f>IF(AG131="EC",COUNTIFS([1]Variables!$M$2:$M$19,IF(T131="NorthBound","&gt;=","&lt;=")&amp;Y131,[1]Variables!$M$2:$M$19,IF(T131="NorthBound","&lt;=","&gt;=")&amp;Z131),COUNTIFS([1]Variables!$P$2:$P$19,IF(T131="NorthBound","&gt;=","&lt;=")&amp;Y131,[1]Variables!$P$2:$P$19,IF(T131="NorthBound","&lt;=","&gt;=")&amp;Z131))</f>
        <v>12</v>
      </c>
      <c r="V131" s="215" t="str">
        <f t="shared" si="78"/>
        <v>https://d0f6bd738d7f1b3e5a7ca70fe4ff75f0.us-east-1.aws.found.io/app/kibana#/discover/Steve-Slow-Train-Analysis-(2080s-and-2083s)?_g=(refreshInterval:(display:Off,pause:!f,section:0,value:0),time:(from:'2017-09-26T17:43:01-0600',mode:absolute,to:'2017-09-26T19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1" s="203" t="str">
        <f>IF(AA131&lt;VLOOKUP(AG131,[1]Variables!$AC$3:$AD$8,2,FALSE),"Y","N")</f>
        <v>N</v>
      </c>
      <c r="X131" s="203">
        <f t="shared" si="53"/>
        <v>1</v>
      </c>
      <c r="Y131" s="203">
        <v>4.6399999999999997E-2</v>
      </c>
      <c r="Z131" s="203">
        <v>23.332000000000001</v>
      </c>
      <c r="AA131" s="203">
        <f t="shared" si="54"/>
        <v>23.285600000000002</v>
      </c>
      <c r="AB131" s="54" t="e">
        <f>VLOOKUP(A131,[1]Enforcements!$C$7:$K$11,8,0)</f>
        <v>#N/A</v>
      </c>
      <c r="AC131" s="51" t="e">
        <f>VLOOKUP(A131,[1]Enforcements!$C$7:$E$11,3,0)</f>
        <v>#N/A</v>
      </c>
      <c r="AD131" s="178">
        <f t="shared" si="55"/>
        <v>217</v>
      </c>
      <c r="AE131" s="77" t="str">
        <f t="shared" si="79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131" s="74" t="str">
        <f t="shared" si="80"/>
        <v>"C:\Program Files (x86)\AstroGrep\AstroGrep.exe" /e /r /s /spath="%USERPROFILE%\AppData\Local\Temp\OnboardLogs" /stypes="app*4024*20170927*" /stext=" 00:.+((SYSTEM_STATE.+slice.+state.+changed )|(ment ac)|(multiple cpu faults)|(system.+state.+changed )|(\[timeout)|(PRM\|1\|D)|(kpr)|(kdp)|(train st.+moving)|(\|lc)|(penalty))"</v>
      </c>
      <c r="AG131" s="181" t="str">
        <f t="shared" si="81"/>
        <v>EC</v>
      </c>
      <c r="AH131" s="78" t="str">
        <f t="shared" ref="AH131" si="94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217-26 --locoid 4024 --swversion DE.1.0.9.0 --startMP 204:232986 --initTime 2017-09-26T18:43:01 --startdatetime 2017-09-26T18:15:22 --delay 76 --endMP 204:161 --enddatetime 2017-09-26T18:51:54 --enforcementcount 0 &gt;&gt;c:\users\stu\Documents\GitHub\eaglep3-reporting\EC\2017-09-26-refined-times.txt</v>
      </c>
      <c r="AI131" s="96" t="str">
        <f t="shared" ref="AI131" si="95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{"issue":{"subject":"","project_id":79,"tracker_id":40,"status_id":1,"priority_id":2,"assigned_to_id":338,"start_date":"2017-09-26","description":"","custom_fields":[{"id":1,"name":"Subdivision","value":"EC"},{"id":4,"name":"Milepost","value":"23.332"},{"id":17,"name":"Train ID","value":"217-26"},{"id":16,"name":"Locomotive ID","value":"4024"},{"id":130,"name":"Impact","value":""},{"id":150,"name":"Time of Event (Mountain Time)","value":"18:51:54"},{"id":151,"name":"Denver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ref="AM131" si="96">"start /low /b "&amp;dls3logs&amp;" --loco "&amp;B131&amp;" --day "&amp;TEXT(F131,"YYYY-MM-DD")</f>
        <v>start /low /b %USERPROFILE%\Documents\GitHub\eaglep3\Utilities\DownloadLogsFromS3.py --loco 4024 --day 2017-09-26</v>
      </c>
      <c r="AN131" s="151" t="str">
        <f t="shared" ref="AN131" si="97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7" t="str">
        <f t="shared" ref="AO131" si="98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-26T17:43:01-0600',mode:absolute,to:'2017-09-26T19:51:54-0600'))&amp;_a=(columns:!('Message%20ID',Summary),filters:!(),index:'emp_*',interval:auto,query:(query_string:(analyze_wildcard:!t,query:'%22rtdc.l.rtdc.4024%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632</v>
      </c>
      <c r="B132" s="7">
        <v>4023</v>
      </c>
      <c r="C132" s="21" t="s">
        <v>196</v>
      </c>
      <c r="D132" s="21" t="s">
        <v>887</v>
      </c>
      <c r="E132" s="13">
        <v>43004.79378472222</v>
      </c>
      <c r="F132" s="13">
        <v>43004.80023148148</v>
      </c>
      <c r="G132" s="7">
        <v>61</v>
      </c>
      <c r="H132" s="21" t="s">
        <v>363</v>
      </c>
      <c r="I132" s="13">
        <v>43004.826412037037</v>
      </c>
      <c r="J132" s="7">
        <v>0</v>
      </c>
      <c r="K132" s="89" t="str">
        <f t="shared" si="47"/>
        <v>4023/4024</v>
      </c>
      <c r="L132" s="184" t="str">
        <f>VLOOKUP(A132,'[1]Trips&amp;Operators'!$C$1:$G$99911,5,FALSE)</f>
        <v>PERKINS DARREN</v>
      </c>
      <c r="M132" s="6">
        <f t="shared" si="48"/>
        <v>2.6180555556493346E-2</v>
      </c>
      <c r="N132" s="7">
        <f t="shared" si="76"/>
        <v>37.700000001350418</v>
      </c>
      <c r="O132" s="7"/>
      <c r="P132" s="7"/>
      <c r="Q132" s="22"/>
      <c r="R132" s="173"/>
      <c r="S132" s="220">
        <f t="shared" si="77"/>
        <v>1</v>
      </c>
      <c r="T132" s="173" t="str">
        <f t="shared" si="51"/>
        <v>Southbound</v>
      </c>
      <c r="U132" s="197">
        <f>IF(AG132="EC",COUNTIFS([1]Variables!$M$2:$M$19,IF(T132="NorthBound","&gt;=","&lt;=")&amp;Y132,[1]Variables!$M$2:$M$19,IF(T132="NorthBound","&lt;=","&gt;=")&amp;Z132),COUNTIFS([1]Variables!$P$2:$P$19,IF(T132="NorthBound","&gt;=","&lt;=")&amp;Y132,[1]Variables!$P$2:$P$19,IF(T132="NorthBound","&lt;=","&gt;=")&amp;Z132))</f>
        <v>12</v>
      </c>
      <c r="V132" s="215" t="str">
        <f t="shared" si="78"/>
        <v>https://d0f6bd738d7f1b3e5a7ca70fe4ff75f0.us-east-1.aws.found.io/app/kibana#/discover/Steve-Slow-Train-Analysis-(2080s-and-2083s)?_g=(refreshInterval:(display:Off,pause:!f,section:0,value:0),time:(from:'2017-09-26T18:03:03-0600',mode:absolute,to:'2017-09-26T20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2" s="203" t="str">
        <f>IF(AA132&lt;VLOOKUP(AG132,[1]Variables!$AC$3:$AD$8,2,FALSE),"Y","N")</f>
        <v>N</v>
      </c>
      <c r="X132" s="203">
        <f t="shared" si="53"/>
        <v>1</v>
      </c>
      <c r="Y132" s="203">
        <f t="shared" ref="Y132:Y141" si="99">RIGHT(D132,LEN(D132)-4)/10000</f>
        <v>23.299299999999999</v>
      </c>
      <c r="Z132" s="203">
        <f t="shared" ref="Z132:Z141" si="100">RIGHT(H132,LEN(H132)-4)/10000</f>
        <v>1.38E-2</v>
      </c>
      <c r="AA132" s="203">
        <f t="shared" si="54"/>
        <v>23.285499999999999</v>
      </c>
      <c r="AB132" s="54" t="e">
        <f>VLOOKUP(A132,[1]Enforcements!$C$7:$K$11,8,0)</f>
        <v>#N/A</v>
      </c>
      <c r="AC132" s="51" t="e">
        <f>VLOOKUP(A132,[1]Enforcements!$C$7:$E$11,3,0)</f>
        <v>#N/A</v>
      </c>
      <c r="AD132" s="178">
        <f t="shared" si="55"/>
        <v>218</v>
      </c>
      <c r="AE132" s="77" t="str">
        <f t="shared" si="79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132" s="74" t="str">
        <f t="shared" si="80"/>
        <v>"C:\Program Files (x86)\AstroGrep\AstroGrep.exe" /e /r /s /spath="%USERPROFILE%\AppData\Local\Temp\OnboardLogs" /stypes="app*4023*20170927*" /stext=" 01:.+((SYSTEM_STATE.+slice.+state.+changed )|(ment ac)|(multiple cpu faults)|(system.+state.+changed )|(\[timeout)|(PRM\|1\|D)|(kpr)|(kdp)|(train st.+moving)|(\|lc)|(penalty))"</v>
      </c>
      <c r="AG132" s="181" t="str">
        <f t="shared" si="81"/>
        <v>EC</v>
      </c>
      <c r="AH132" s="78" t="str">
        <f t="shared" si="82"/>
        <v>"%USERPROFILE%\Documents\GitHub\eaglep3\Utilities\RefineRTDCRunTimes.py" --tripid 218-26 --locoid 4023 --swversion DE.1.0.9.0 --startMP 204:232993 --initTime 2017-09-26T19:03:03 --startdatetime 2017-09-26T19:12:20 --delay 61 --endMP 204:138 --enddatetime 2017-09-26T19:50:02 --enforcementcount 0 &gt;&gt;c:\users\stu\Documents\GitHub\eaglep3-reporting\EC\2017-09-26-refined-times.txt</v>
      </c>
      <c r="AI132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{"issue":{"subject":"","project_id":79,"tracker_id":40,"status_id":1,"priority_id":2,"assigned_to_id":338,"start_date":"2017-09-26","description":"","custom_fields":[{"id":1,"name":"Subdivision","value":"EC"},{"id":4,"name":"Milepost","value":"0.0138"},{"id":17,"name":"Train ID","value":"218-26"},{"id":16,"name":"Locomotive ID","value":"4023"},{"id":130,"name":"Impact","value":""},{"id":150,"name":"Time of Event (Mountain Time)","value":"19:50:02"},{"id":151,"name":"Denver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84"/>
        <v>start /low /b %USERPROFILE%\Documents\GitHub\eaglep3\Utilities\DownloadLogsFromS3.py --loco 4023 --day 2017-09-26</v>
      </c>
      <c r="AN132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7" t="str">
        <f t="shared" si="86"/>
        <v>https://d0f6bd738d7f1b3e5a7ca70fe4ff75f0.us-east-1.aws.found.io/app/kibana#/discover/Steve-Slow-Train-Analysis-(2080s-and-2083s)?_g=(refreshInterval:(display:Off,pause:!f,section:0,value:0),time:(from:'2017-09-26T18:03:03-0600',mode:absolute,to:'2017-09-26T20:50:02-0600'))&amp;_a=(columns:!('Message%20ID',Summary),filters:!(),index:'emp_*',interval:auto,query:(query_string:(analyze_wildcard:!t,query:'%22rtdc.l.rtdc.4023%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809</v>
      </c>
      <c r="B133" s="7">
        <v>4010</v>
      </c>
      <c r="C133" s="21" t="s">
        <v>196</v>
      </c>
      <c r="D133" s="21" t="s">
        <v>418</v>
      </c>
      <c r="E133" s="13">
        <v>43004.766192129631</v>
      </c>
      <c r="F133" s="13">
        <v>43004.771087962959</v>
      </c>
      <c r="G133" s="7">
        <v>137</v>
      </c>
      <c r="H133" s="21" t="s">
        <v>400</v>
      </c>
      <c r="I133" s="13">
        <v>43004.795902777776</v>
      </c>
      <c r="J133" s="7">
        <v>0</v>
      </c>
      <c r="K133" s="89" t="str">
        <f t="shared" si="47"/>
        <v>4009/4010</v>
      </c>
      <c r="L133" s="184" t="str">
        <f>VLOOKUP(A133,'[1]Trips&amp;Operators'!$C$1:$G$99911,5,FALSE)</f>
        <v>HART KEVIN</v>
      </c>
      <c r="M133" s="6">
        <f t="shared" si="48"/>
        <v>2.4814814816636499E-2</v>
      </c>
      <c r="N133" s="7">
        <f t="shared" si="76"/>
        <v>35.733333335956559</v>
      </c>
      <c r="O133" s="7"/>
      <c r="P133" s="7"/>
      <c r="Q133" s="22"/>
      <c r="R133" s="173"/>
      <c r="S133" s="220">
        <f t="shared" si="77"/>
        <v>1</v>
      </c>
      <c r="T133" s="173" t="str">
        <f t="shared" si="51"/>
        <v>NorthBound</v>
      </c>
      <c r="U133" s="197">
        <f>IF(AG133="EC",COUNTIFS([1]Variables!$M$2:$M$19,IF(T133="NorthBound","&gt;=","&lt;=")&amp;Y133,[1]Variables!$M$2:$M$19,IF(T133="NorthBound","&lt;=","&gt;=")&amp;Z133),COUNTIFS([1]Variables!$P$2:$P$19,IF(T133="NorthBound","&gt;=","&lt;=")&amp;Y133,[1]Variables!$P$2:$P$19,IF(T133="NorthBound","&lt;=","&gt;=")&amp;Z133))</f>
        <v>12</v>
      </c>
      <c r="V133" s="215" t="str">
        <f t="shared" si="78"/>
        <v>https://d0f6bd738d7f1b3e5a7ca70fe4ff75f0.us-east-1.aws.found.io/app/kibana#/discover/Steve-Slow-Train-Analysis-(2080s-and-2083s)?_g=(refreshInterval:(display:Off,pause:!f,section:0,value:0),time:(from:'2017-09-26T17:23:19-0600',mode:absolute,to:'2017-09-26T20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3" s="203" t="str">
        <f>IF(AA133&lt;VLOOKUP(AG133,[1]Variables!$AC$3:$AD$8,2,FALSE),"Y","N")</f>
        <v>N</v>
      </c>
      <c r="X133" s="203">
        <f t="shared" si="53"/>
        <v>1</v>
      </c>
      <c r="Y133" s="203">
        <f t="shared" si="99"/>
        <v>4.5699999999999998E-2</v>
      </c>
      <c r="Z133" s="203">
        <f t="shared" si="100"/>
        <v>23.3293</v>
      </c>
      <c r="AA133" s="203">
        <f t="shared" si="54"/>
        <v>23.2836</v>
      </c>
      <c r="AB133" s="54" t="e">
        <f>VLOOKUP(A133,[1]Enforcements!$C$7:$K$11,8,0)</f>
        <v>#N/A</v>
      </c>
      <c r="AC133" s="51" t="e">
        <f>VLOOKUP(A133,[1]Enforcements!$C$7:$E$11,3,0)</f>
        <v>#N/A</v>
      </c>
      <c r="AD133" s="178">
        <f t="shared" si="55"/>
        <v>219</v>
      </c>
      <c r="AE133" s="77" t="str">
        <f t="shared" si="79"/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133" s="74" t="str">
        <f t="shared" si="80"/>
        <v>"C:\Program Files (x86)\AstroGrep\AstroGrep.exe" /e /r /s /spath="%USERPROFILE%\AppData\Local\Temp\OnboardLogs" /stypes="app*4010*20170927*" /stext=" 01:.+((SYSTEM_STATE.+slice.+state.+changed )|(ment ac)|(multiple cpu faults)|(system.+state.+changed )|(\[timeout)|(PRM\|1\|D)|(kpr)|(kdp)|(train st.+moving)|(\|lc)|(penalty))"</v>
      </c>
      <c r="AG133" s="181" t="str">
        <f t="shared" si="81"/>
        <v>EC</v>
      </c>
      <c r="AH133" s="78" t="str">
        <f t="shared" si="82"/>
        <v>"%USERPROFILE%\Documents\GitHub\eaglep3\Utilities\RefineRTDCRunTimes.py" --tripid 219-26 --locoid 4010 --swversion DE.1.0.9.0 --startMP 204:457 --initTime 2017-09-26T18:23:19 --startdatetime 2017-09-26T18:30:22 --delay 137 --endMP 204:233293 --enddatetime 2017-09-26T19:06:06 --enforcementcount 0 &gt;&gt;c:\users\stu\Documents\GitHub\eaglep3-reporting\EC\2017-09-26-refined-times.txt</v>
      </c>
      <c r="AI133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{"issue":{"subject":"","project_id":79,"tracker_id":40,"status_id":1,"priority_id":2,"assigned_to_id":338,"start_date":"2017-09-26","description":"","custom_fields":[{"id":1,"name":"Subdivision","value":"EC"},{"id":4,"name":"Milepost","value":"23.3293"},{"id":17,"name":"Train ID","value":"219-26"},{"id":16,"name":"Locomotive ID","value":"4010"},{"id":130,"name":"Impact","value":""},{"id":150,"name":"Time of Event (Mountain Time)","value":"19:06:06"},{"id":151,"name":"Denver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84"/>
        <v>start /low /b %USERPROFILE%\Documents\GitHub\eaglep3\Utilities\DownloadLogsFromS3.py --loco 4010 --day 2017-09-26</v>
      </c>
      <c r="AN133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7" t="str">
        <f t="shared" si="86"/>
        <v>https://d0f6bd738d7f1b3e5a7ca70fe4ff75f0.us-east-1.aws.found.io/app/kibana#/discover/Steve-Slow-Train-Analysis-(2080s-and-2083s)?_g=(refreshInterval:(display:Off,pause:!f,section:0,value:0),time:(from:'2017-09-26T17:23:19-0600',mode:absolute,to:'2017-09-26T20:06:06-0600'))&amp;_a=(columns:!('Message%20ID',Summary),filters:!(),index:'emp_*',interval:auto,query:(query_string:(analyze_wildcard:!t,query:'%22rtdc.l.rtdc.4010%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818</v>
      </c>
      <c r="B134" s="7">
        <v>4009</v>
      </c>
      <c r="C134" s="21" t="s">
        <v>196</v>
      </c>
      <c r="D134" s="21" t="s">
        <v>432</v>
      </c>
      <c r="E134" s="13">
        <v>43004.808229166665</v>
      </c>
      <c r="F134" s="13">
        <v>43004.810636574075</v>
      </c>
      <c r="G134" s="7">
        <v>67</v>
      </c>
      <c r="H134" s="21" t="s">
        <v>375</v>
      </c>
      <c r="I134" s="13">
        <v>43004.836099537039</v>
      </c>
      <c r="J134" s="7">
        <v>0</v>
      </c>
      <c r="K134" s="89" t="str">
        <f t="shared" si="47"/>
        <v>4009/4010</v>
      </c>
      <c r="L134" s="184" t="str">
        <f>VLOOKUP(A134,'[1]Trips&amp;Operators'!$C$1:$G$99911,5,FALSE)</f>
        <v>HART KEVIN</v>
      </c>
      <c r="M134" s="6">
        <f t="shared" si="48"/>
        <v>2.5462962963501923E-2</v>
      </c>
      <c r="N134" s="7">
        <f t="shared" si="76"/>
        <v>36.666666667442769</v>
      </c>
      <c r="O134" s="7"/>
      <c r="P134" s="7"/>
      <c r="Q134" s="22"/>
      <c r="R134" s="173"/>
      <c r="S134" s="220">
        <f t="shared" si="77"/>
        <v>1</v>
      </c>
      <c r="T134" s="173" t="str">
        <f t="shared" si="51"/>
        <v>Southbound</v>
      </c>
      <c r="U134" s="197">
        <f>IF(AG134="EC",COUNTIFS([1]Variables!$M$2:$M$19,IF(T134="NorthBound","&gt;=","&lt;=")&amp;Y134,[1]Variables!$M$2:$M$19,IF(T134="NorthBound","&lt;=","&gt;=")&amp;Z134),COUNTIFS([1]Variables!$P$2:$P$19,IF(T134="NorthBound","&gt;=","&lt;=")&amp;Y134,[1]Variables!$P$2:$P$19,IF(T134="NorthBound","&lt;=","&gt;=")&amp;Z134))</f>
        <v>12</v>
      </c>
      <c r="V134" s="215" t="str">
        <f t="shared" si="78"/>
        <v>https://d0f6bd738d7f1b3e5a7ca70fe4ff75f0.us-east-1.aws.found.io/app/kibana#/discover/Steve-Slow-Train-Analysis-(2080s-and-2083s)?_g=(refreshInterval:(display:Off,pause:!f,section:0,value:0),time:(from:'2017-09-26T18:23:51-0600',mode:absolute,to:'2017-09-26T21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4" s="203" t="str">
        <f>IF(AA134&lt;VLOOKUP(AG134,[1]Variables!$AC$3:$AD$8,2,FALSE),"Y","N")</f>
        <v>N</v>
      </c>
      <c r="X134" s="203">
        <f t="shared" si="53"/>
        <v>1</v>
      </c>
      <c r="Y134" s="203">
        <f t="shared" si="99"/>
        <v>23.2973</v>
      </c>
      <c r="Z134" s="203">
        <f t="shared" si="100"/>
        <v>1.5800000000000002E-2</v>
      </c>
      <c r="AA134" s="203">
        <f t="shared" si="54"/>
        <v>23.281500000000001</v>
      </c>
      <c r="AB134" s="54" t="e">
        <f>VLOOKUP(A134,[1]Enforcements!$C$7:$K$11,8,0)</f>
        <v>#N/A</v>
      </c>
      <c r="AC134" s="51" t="e">
        <f>VLOOKUP(A134,[1]Enforcements!$C$7:$E$11,3,0)</f>
        <v>#N/A</v>
      </c>
      <c r="AD134" s="178">
        <f t="shared" si="55"/>
        <v>220</v>
      </c>
      <c r="AE134" s="77" t="str">
        <f t="shared" si="79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134" s="74" t="str">
        <f t="shared" si="80"/>
        <v>"C:\Program Files (x86)\AstroGrep\AstroGrep.exe" /e /r /s /spath="%USERPROFILE%\AppData\Local\Temp\OnboardLogs" /stypes="app*4009*20170927*" /stext=" 02:.+((SYSTEM_STATE.+slice.+state.+changed )|(ment ac)|(multiple cpu faults)|(system.+state.+changed )|(\[timeout)|(PRM\|1\|D)|(kpr)|(kdp)|(train st.+moving)|(\|lc)|(penalty))"</v>
      </c>
      <c r="AG134" s="181" t="str">
        <f t="shared" si="81"/>
        <v>EC</v>
      </c>
      <c r="AH134" s="78" t="str">
        <f t="shared" si="82"/>
        <v>"%USERPROFILE%\Documents\GitHub\eaglep3\Utilities\RefineRTDCRunTimes.py" --tripid 220-26 --locoid 4009 --swversion DE.1.0.9.0 --startMP 204:232973 --initTime 2017-09-26T19:23:51 --startdatetime 2017-09-26T19:27:19 --delay 67 --endMP 204:158 --enddatetime 2017-09-26T20:03:59 --enforcementcount 0 &gt;&gt;c:\users\stu\Documents\GitHub\eaglep3-reporting\EC\2017-09-26-refined-times.txt</v>
      </c>
      <c r="AI134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{"issue":{"subject":"","project_id":79,"tracker_id":40,"status_id":1,"priority_id":2,"assigned_to_id":338,"start_date":"2017-09-26","description":"","custom_fields":[{"id":1,"name":"Subdivision","value":"EC"},{"id":4,"name":"Milepost","value":"0.0158"},{"id":17,"name":"Train ID","value":"220-26"},{"id":16,"name":"Locomotive ID","value":"4009"},{"id":130,"name":"Impact","value":""},{"id":150,"name":"Time of Event (Mountain Time)","value":"20:03:59"},{"id":151,"name":"Denver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84"/>
        <v>start /low /b %USERPROFILE%\Documents\GitHub\eaglep3\Utilities\DownloadLogsFromS3.py --loco 4009 --day 2017-09-26</v>
      </c>
      <c r="AN134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7" t="str">
        <f t="shared" si="86"/>
        <v>https://d0f6bd738d7f1b3e5a7ca70fe4ff75f0.us-east-1.aws.found.io/app/kibana#/discover/Steve-Slow-Train-Analysis-(2080s-and-2083s)?_g=(refreshInterval:(display:Off,pause:!f,section:0,value:0),time:(from:'2017-09-26T18:23:51-0600',mode:absolute,to:'2017-09-26T21:03:59-0600'))&amp;_a=(columns:!('Message%20ID',Summary),filters:!(),index:'emp_*',interval:auto,query:(query_string:(analyze_wildcard:!t,query:'%22rtdc.l.rtdc.4009%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815</v>
      </c>
      <c r="B135" s="7">
        <v>4056</v>
      </c>
      <c r="C135" s="21" t="s">
        <v>196</v>
      </c>
      <c r="D135" s="21" t="s">
        <v>386</v>
      </c>
      <c r="E135" s="13">
        <v>43004.787430555552</v>
      </c>
      <c r="F135" s="13">
        <v>43004.791851851849</v>
      </c>
      <c r="G135" s="7">
        <v>185</v>
      </c>
      <c r="H135" s="21" t="s">
        <v>866</v>
      </c>
      <c r="I135" s="13">
        <v>43004.817060185182</v>
      </c>
      <c r="J135" s="7">
        <v>0</v>
      </c>
      <c r="K135" s="89" t="str">
        <f t="shared" si="47"/>
        <v>4055/4056</v>
      </c>
      <c r="L135" s="184" t="str">
        <f>VLOOKUP(A135,'[1]Trips&amp;Operators'!$C$1:$G$99911,5,FALSE)</f>
        <v>DUNCAN SHEILA</v>
      </c>
      <c r="M135" s="6">
        <f t="shared" si="48"/>
        <v>2.5208333332557231E-2</v>
      </c>
      <c r="N135" s="7">
        <f t="shared" si="76"/>
        <v>36.299999998882413</v>
      </c>
      <c r="O135" s="7"/>
      <c r="P135" s="7"/>
      <c r="Q135" s="22"/>
      <c r="R135" s="173"/>
      <c r="S135" s="220">
        <f t="shared" si="77"/>
        <v>1</v>
      </c>
      <c r="T135" s="173" t="str">
        <f t="shared" si="51"/>
        <v>NorthBound</v>
      </c>
      <c r="U135" s="197">
        <f>IF(AG135="EC",COUNTIFS([1]Variables!$M$2:$M$19,IF(T135="NorthBound","&gt;=","&lt;=")&amp;Y135,[1]Variables!$M$2:$M$19,IF(T135="NorthBound","&lt;=","&gt;=")&amp;Z135),COUNTIFS([1]Variables!$P$2:$P$19,IF(T135="NorthBound","&gt;=","&lt;=")&amp;Y135,[1]Variables!$P$2:$P$19,IF(T135="NorthBound","&lt;=","&gt;=")&amp;Z135))</f>
        <v>12</v>
      </c>
      <c r="V135" s="215" t="str">
        <f t="shared" si="78"/>
        <v>https://d0f6bd738d7f1b3e5a7ca70fe4ff75f0.us-east-1.aws.found.io/app/kibana#/discover/Steve-Slow-Train-Analysis-(2080s-and-2083s)?_g=(refreshInterval:(display:Off,pause:!f,section:0,value:0),time:(from:'2017-09-26T17:53:54-0600',mode:absolute,to:'2017-09-26T20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03" t="str">
        <f>IF(AA135&lt;VLOOKUP(AG135,[1]Variables!$AC$3:$AD$8,2,FALSE),"Y","N")</f>
        <v>N</v>
      </c>
      <c r="X135" s="203">
        <f t="shared" si="53"/>
        <v>1</v>
      </c>
      <c r="Y135" s="203">
        <f t="shared" si="99"/>
        <v>4.6199999999999998E-2</v>
      </c>
      <c r="Z135" s="203">
        <f t="shared" si="100"/>
        <v>23.334399999999999</v>
      </c>
      <c r="AA135" s="203">
        <f t="shared" si="54"/>
        <v>23.2882</v>
      </c>
      <c r="AB135" s="54" t="e">
        <f>VLOOKUP(A135,[1]Enforcements!$C$7:$K$11,8,0)</f>
        <v>#N/A</v>
      </c>
      <c r="AC135" s="51" t="e">
        <f>VLOOKUP(A135,[1]Enforcements!$C$7:$E$11,3,0)</f>
        <v>#N/A</v>
      </c>
      <c r="AD135" s="178">
        <f t="shared" si="55"/>
        <v>221</v>
      </c>
      <c r="AE135" s="77" t="str">
        <f t="shared" si="79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35" s="74" t="str">
        <f t="shared" si="80"/>
        <v>"C:\Program Files (x86)\AstroGrep\AstroGrep.exe" /e /r /s /spath="%USERPROFILE%\AppData\Local\Temp\OnboardLogs" /stypes="app*4056*20170927*" /stext=" 01:.+((SYSTEM_STATE.+slice.+state.+changed )|(ment ac)|(multiple cpu faults)|(system.+state.+changed )|(\[timeout)|(PRM\|1\|D)|(kpr)|(kdp)|(train st.+moving)|(\|lc)|(penalty))"</v>
      </c>
      <c r="AG135" s="181" t="str">
        <f t="shared" si="81"/>
        <v>EC</v>
      </c>
      <c r="AH135" s="78" t="str">
        <f t="shared" si="82"/>
        <v>"%USERPROFILE%\Documents\GitHub\eaglep3\Utilities\RefineRTDCRunTimes.py" --tripid 221-26 --locoid 4056 --swversion DE.1.0.9.0 --startMP 204:462 --initTime 2017-09-26T18:53:54 --startdatetime 2017-09-26T19:00:16 --delay 185 --endMP 204:233344 --enddatetime 2017-09-26T19:36:34 --enforcementcount 0 &gt;&gt;c:\users\stu\Documents\GitHub\eaglep3-reporting\EC\2017-09-26-refined-times.txt</v>
      </c>
      <c r="AI135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{"issue":{"subject":"","project_id":79,"tracker_id":40,"status_id":1,"priority_id":2,"assigned_to_id":338,"start_date":"2017-09-26","description":"","custom_fields":[{"id":1,"name":"Subdivision","value":"EC"},{"id":4,"name":"Milepost","value":"23.3344"},{"id":17,"name":"Train ID","value":"221-26"},{"id":16,"name":"Locomotive ID","value":"4056"},{"id":130,"name":"Impact","value":""},{"id":150,"name":"Time of Event (Mountain Time)","value":"19:36:34"},{"id":151,"name":"Denver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84"/>
        <v>start /low /b %USERPROFILE%\Documents\GitHub\eaglep3\Utilities\DownloadLogsFromS3.py --loco 4056 --day 2017-09-26</v>
      </c>
      <c r="AN135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7" t="str">
        <f t="shared" si="86"/>
        <v>https://d0f6bd738d7f1b3e5a7ca70fe4ff75f0.us-east-1.aws.found.io/app/kibana#/discover/Steve-Slow-Train-Analysis-(2080s-and-2083s)?_g=(refreshInterval:(display:Off,pause:!f,section:0,value:0),time:(from:'2017-09-26T17:53:54-0600',mode:absolute,to:'2017-09-26T20:36:34-0600'))&amp;_a=(columns:!('Message%20ID',Summary),filters:!(),index:'emp_*',interval:auto,query:(query_string:(analyze_wildcard:!t,query:'%22rtdc.l.rtdc.4056%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822</v>
      </c>
      <c r="B136" s="7">
        <v>4055</v>
      </c>
      <c r="C136" s="21" t="s">
        <v>196</v>
      </c>
      <c r="D136" s="21" t="s">
        <v>419</v>
      </c>
      <c r="E136" s="13">
        <v>43004.825219907405</v>
      </c>
      <c r="F136" s="13">
        <v>43004.831956018519</v>
      </c>
      <c r="G136" s="7">
        <v>85</v>
      </c>
      <c r="H136" s="21" t="s">
        <v>342</v>
      </c>
      <c r="I136" s="13">
        <v>43004.858888888892</v>
      </c>
      <c r="J136" s="7">
        <v>0</v>
      </c>
      <c r="K136" s="89" t="str">
        <f t="shared" si="47"/>
        <v>4055/4056</v>
      </c>
      <c r="L136" s="184" t="str">
        <f>VLOOKUP(A136,'[1]Trips&amp;Operators'!$C$1:$G$99911,5,FALSE)</f>
        <v>DUNCAN SHEILA</v>
      </c>
      <c r="M136" s="6">
        <f t="shared" si="48"/>
        <v>2.6932870372547768E-2</v>
      </c>
      <c r="N136" s="7">
        <f t="shared" si="76"/>
        <v>38.783333336468786</v>
      </c>
      <c r="O136" s="7"/>
      <c r="P136" s="7"/>
      <c r="Q136" s="22"/>
      <c r="R136" s="173"/>
      <c r="S136" s="220">
        <f t="shared" si="77"/>
        <v>1</v>
      </c>
      <c r="T136" s="173" t="str">
        <f t="shared" si="51"/>
        <v>Southbound</v>
      </c>
      <c r="U136" s="197">
        <f>IF(AG136="EC",COUNTIFS([1]Variables!$M$2:$M$19,IF(T136="NorthBound","&gt;=","&lt;=")&amp;Y136,[1]Variables!$M$2:$M$19,IF(T136="NorthBound","&lt;=","&gt;=")&amp;Z136),COUNTIFS([1]Variables!$P$2:$P$19,IF(T136="NorthBound","&gt;=","&lt;=")&amp;Y136,[1]Variables!$P$2:$P$19,IF(T136="NorthBound","&lt;=","&gt;=")&amp;Z136))</f>
        <v>12</v>
      </c>
      <c r="V136" s="215" t="str">
        <f t="shared" si="78"/>
        <v>https://d0f6bd738d7f1b3e5a7ca70fe4ff75f0.us-east-1.aws.found.io/app/kibana#/discover/Steve-Slow-Train-Analysis-(2080s-and-2083s)?_g=(refreshInterval:(display:Off,pause:!f,section:0,value:0),time:(from:'2017-09-26T18:48:19-0600',mode:absolute,to:'2017-09-26T21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03" t="str">
        <f>IF(AA136&lt;VLOOKUP(AG136,[1]Variables!$AC$3:$AD$8,2,FALSE),"Y","N")</f>
        <v>N</v>
      </c>
      <c r="X136" s="203">
        <f t="shared" si="53"/>
        <v>1</v>
      </c>
      <c r="Y136" s="203">
        <f t="shared" si="99"/>
        <v>23.302299999999999</v>
      </c>
      <c r="Z136" s="203">
        <f t="shared" si="100"/>
        <v>1.47E-2</v>
      </c>
      <c r="AA136" s="203">
        <f t="shared" si="54"/>
        <v>23.287599999999998</v>
      </c>
      <c r="AB136" s="54" t="e">
        <f>VLOOKUP(A136,[1]Enforcements!$C$7:$K$11,8,0)</f>
        <v>#N/A</v>
      </c>
      <c r="AC136" s="51" t="e">
        <f>VLOOKUP(A136,[1]Enforcements!$C$7:$E$11,3,0)</f>
        <v>#N/A</v>
      </c>
      <c r="AD136" s="178">
        <f t="shared" si="55"/>
        <v>222</v>
      </c>
      <c r="AE136" s="77" t="str">
        <f t="shared" si="79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36" s="74" t="str">
        <f t="shared" si="80"/>
        <v>"C:\Program Files (x86)\AstroGrep\AstroGrep.exe" /e /r /s /spath="%USERPROFILE%\AppData\Local\Temp\OnboardLogs" /stypes="app*4055*20170927*" /stext=" 02:.+((SYSTEM_STATE.+slice.+state.+changed )|(ment ac)|(multiple cpu faults)|(system.+state.+changed )|(\[timeout)|(PRM\|1\|D)|(kpr)|(kdp)|(train st.+moving)|(\|lc)|(penalty))"</v>
      </c>
      <c r="AG136" s="181" t="str">
        <f t="shared" si="81"/>
        <v>EC</v>
      </c>
      <c r="AH136" s="78" t="str">
        <f t="shared" si="82"/>
        <v>"%USERPROFILE%\Documents\GitHub\eaglep3\Utilities\RefineRTDCRunTimes.py" --tripid 222-26 --locoid 4055 --swversion DE.1.0.9.0 --startMP 204:233023 --initTime 2017-09-26T19:48:19 --startdatetime 2017-09-26T19:58:01 --delay 85 --endMP 204:147 --enddatetime 2017-09-26T20:36:48 --enforcementcount 0 &gt;&gt;c:\users\stu\Documents\GitHub\eaglep3-reporting\EC\2017-09-26-refined-times.txt</v>
      </c>
      <c r="AI136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ID","value":"222-26"},{"id":16,"name":"Locomotive ID","value":"4055"},{"id":130,"name":"Impact","value":""},{"id":150,"name":"Time of Event (Mountain Time)","value":"20:36:48"},{"id":151,"name":"Denver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84"/>
        <v>start /low /b %USERPROFILE%\Documents\GitHub\eaglep3\Utilities\DownloadLogsFromS3.py --loco 4055 --day 2017-09-26</v>
      </c>
      <c r="AN136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7" t="str">
        <f t="shared" si="86"/>
        <v>https://d0f6bd738d7f1b3e5a7ca70fe4ff75f0.us-east-1.aws.found.io/app/kibana#/discover/Steve-Slow-Train-Analysis-(2080s-and-2083s)?_g=(refreshInterval:(display:Off,pause:!f,section:0,value:0),time:(from:'2017-09-26T18:48:19-0600',mode:absolute,to:'2017-09-26T21:36:48-0600'))&amp;_a=(columns:!('Message%20ID',Summary),filters:!(),index:'emp_*',interval:auto,query:(query_string:(analyze_wildcard:!t,query:'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820</v>
      </c>
      <c r="B137" s="7">
        <v>4026</v>
      </c>
      <c r="C137" s="21" t="s">
        <v>196</v>
      </c>
      <c r="D137" s="21" t="s">
        <v>340</v>
      </c>
      <c r="E137" s="13">
        <v>43004.810810185183</v>
      </c>
      <c r="F137" s="13">
        <v>43004.81287037037</v>
      </c>
      <c r="G137" s="7">
        <v>64</v>
      </c>
      <c r="H137" s="21" t="s">
        <v>531</v>
      </c>
      <c r="I137" s="13">
        <v>43004.836724537039</v>
      </c>
      <c r="J137" s="7">
        <v>0</v>
      </c>
      <c r="K137" s="89" t="str">
        <f t="shared" si="47"/>
        <v>4025/4026</v>
      </c>
      <c r="L137" s="184" t="str">
        <f>VLOOKUP(A137,'[1]Trips&amp;Operators'!$C$1:$G$99911,5,FALSE)</f>
        <v>LOZA FIDEL</v>
      </c>
      <c r="M137" s="6">
        <f t="shared" si="48"/>
        <v>2.3854166669480037E-2</v>
      </c>
      <c r="N137" s="7">
        <f t="shared" si="76"/>
        <v>34.350000004051253</v>
      </c>
      <c r="O137" s="7"/>
      <c r="P137" s="7"/>
      <c r="Q137" s="22"/>
      <c r="R137" s="173"/>
      <c r="S137" s="220">
        <f t="shared" si="77"/>
        <v>1</v>
      </c>
      <c r="T137" s="173" t="str">
        <f t="shared" si="51"/>
        <v>NorthBound</v>
      </c>
      <c r="U137" s="197">
        <f>IF(AG137="EC",COUNTIFS([1]Variables!$M$2:$M$19,IF(T137="NorthBound","&gt;=","&lt;=")&amp;Y137,[1]Variables!$M$2:$M$19,IF(T137="NorthBound","&lt;=","&gt;=")&amp;Z137),COUNTIFS([1]Variables!$P$2:$P$19,IF(T137="NorthBound","&gt;=","&lt;=")&amp;Y137,[1]Variables!$P$2:$P$19,IF(T137="NorthBound","&lt;=","&gt;=")&amp;Z137))</f>
        <v>12</v>
      </c>
      <c r="V137" s="215" t="str">
        <f t="shared" si="78"/>
        <v>https://d0f6bd738d7f1b3e5a7ca70fe4ff75f0.us-east-1.aws.found.io/app/kibana#/discover/Steve-Slow-Train-Analysis-(2080s-and-2083s)?_g=(refreshInterval:(display:Off,pause:!f,section:0,value:0),time:(from:'2017-09-26T18:27:34-0600',mode:absolute,to:'2017-09-26T21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03" t="str">
        <f>IF(AA137&lt;VLOOKUP(AG137,[1]Variables!$AC$3:$AD$8,2,FALSE),"Y","N")</f>
        <v>N</v>
      </c>
      <c r="X137" s="203">
        <f t="shared" si="53"/>
        <v>1</v>
      </c>
      <c r="Y137" s="203">
        <f t="shared" si="99"/>
        <v>4.53E-2</v>
      </c>
      <c r="Z137" s="203">
        <f t="shared" si="100"/>
        <v>23.332799999999999</v>
      </c>
      <c r="AA137" s="203">
        <f t="shared" si="54"/>
        <v>23.287499999999998</v>
      </c>
      <c r="AB137" s="54" t="e">
        <f>VLOOKUP(A137,[1]Enforcements!$C$7:$K$11,8,0)</f>
        <v>#N/A</v>
      </c>
      <c r="AC137" s="51" t="e">
        <f>VLOOKUP(A137,[1]Enforcements!$C$7:$E$11,3,0)</f>
        <v>#N/A</v>
      </c>
      <c r="AD137" s="178">
        <f t="shared" si="55"/>
        <v>223</v>
      </c>
      <c r="AE137" s="77" t="str">
        <f t="shared" si="79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37" s="74" t="str">
        <f t="shared" si="80"/>
        <v>"C:\Program Files (x86)\AstroGrep\AstroGrep.exe" /e /r /s /spath="%USERPROFILE%\AppData\Local\Temp\OnboardLogs" /stypes="app*4026*20170927*" /stext=" 02:.+((SYSTEM_STATE.+slice.+state.+changed )|(ment ac)|(multiple cpu faults)|(system.+state.+changed )|(\[timeout)|(PRM\|1\|D)|(kpr)|(kdp)|(train st.+moving)|(\|lc)|(penalty))"</v>
      </c>
      <c r="AG137" s="181" t="str">
        <f t="shared" si="81"/>
        <v>EC</v>
      </c>
      <c r="AH137" s="78" t="str">
        <f t="shared" si="82"/>
        <v>"%USERPROFILE%\Documents\GitHub\eaglep3\Utilities\RefineRTDCRunTimes.py" --tripid 223-26 --locoid 4026 --swversion DE.1.0.9.0 --startMP 204:453 --initTime 2017-09-26T19:27:34 --startdatetime 2017-09-26T19:30:32 --delay 64 --endMP 204:233328 --enddatetime 2017-09-26T20:04:53 --enforcementcount 0 &gt;&gt;c:\users\stu\Documents\GitHub\eaglep3-reporting\EC\2017-09-26-refined-times.txt</v>
      </c>
      <c r="AI137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{"issue":{"subject":"","project_id":79,"tracker_id":40,"status_id":1,"priority_id":2,"assigned_to_id":338,"start_date":"2017-09-26","description":"","custom_fields":[{"id":1,"name":"Subdivision","value":"EC"},{"id":4,"name":"Milepost","value":"23.3328"},{"id":17,"name":"Train ID","value":"223-26"},{"id":16,"name":"Locomotive ID","value":"4026"},{"id":130,"name":"Impact","value":""},{"id":150,"name":"Time of Event (Mountain Time)","value":"20:04:53"},{"id":151,"name":"Denver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84"/>
        <v>start /low /b %USERPROFILE%\Documents\GitHub\eaglep3\Utilities\DownloadLogsFromS3.py --loco 4026 --day 2017-09-26</v>
      </c>
      <c r="AN137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7" t="str">
        <f t="shared" si="86"/>
        <v>https://d0f6bd738d7f1b3e5a7ca70fe4ff75f0.us-east-1.aws.found.io/app/kibana#/discover/Steve-Slow-Train-Analysis-(2080s-and-2083s)?_g=(refreshInterval:(display:Off,pause:!f,section:0,value:0),time:(from:'2017-09-26T18:27:34-0600',mode:absolute,to:'2017-09-26T21:04:53-0600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825</v>
      </c>
      <c r="B138" s="7">
        <v>4025</v>
      </c>
      <c r="C138" s="21" t="s">
        <v>196</v>
      </c>
      <c r="D138" s="21" t="s">
        <v>393</v>
      </c>
      <c r="E138" s="13">
        <v>43004.849594907406</v>
      </c>
      <c r="F138" s="13">
        <v>43004.852326388886</v>
      </c>
      <c r="G138" s="7">
        <v>76</v>
      </c>
      <c r="H138" s="21" t="s">
        <v>342</v>
      </c>
      <c r="I138" s="13">
        <v>43004.877881944441</v>
      </c>
      <c r="J138" s="7">
        <v>0</v>
      </c>
      <c r="K138" s="89" t="str">
        <f t="shared" si="47"/>
        <v>4025/4026</v>
      </c>
      <c r="L138" s="184" t="str">
        <f>VLOOKUP(A138,'[1]Trips&amp;Operators'!$C$1:$G$99911,5,FALSE)</f>
        <v>LOZA FIDEL</v>
      </c>
      <c r="M138" s="6">
        <f t="shared" si="48"/>
        <v>2.5555555555911269E-2</v>
      </c>
      <c r="N138" s="7">
        <f t="shared" si="76"/>
        <v>36.800000000512227</v>
      </c>
      <c r="O138" s="7"/>
      <c r="P138" s="7"/>
      <c r="Q138" s="22"/>
      <c r="R138" s="173"/>
      <c r="S138" s="220">
        <f t="shared" si="77"/>
        <v>1</v>
      </c>
      <c r="T138" s="173" t="str">
        <f t="shared" si="51"/>
        <v>Southbound</v>
      </c>
      <c r="U138" s="197">
        <f>IF(AG138="EC",COUNTIFS([1]Variables!$M$2:$M$19,IF(T138="NorthBound","&gt;=","&lt;=")&amp;Y138,[1]Variables!$M$2:$M$19,IF(T138="NorthBound","&lt;=","&gt;=")&amp;Z138),COUNTIFS([1]Variables!$P$2:$P$19,IF(T138="NorthBound","&gt;=","&lt;=")&amp;Y138,[1]Variables!$P$2:$P$19,IF(T138="NorthBound","&lt;=","&gt;=")&amp;Z138))</f>
        <v>12</v>
      </c>
      <c r="V138" s="215" t="str">
        <f t="shared" si="78"/>
        <v>https://d0f6bd738d7f1b3e5a7ca70fe4ff75f0.us-east-1.aws.found.io/app/kibana#/discover/Steve-Slow-Train-Analysis-(2080s-and-2083s)?_g=(refreshInterval:(display:Off,pause:!f,section:0,value:0),time:(from:'2017-09-26T19:23:25-0600',mode:absolute,to:'2017-09-26T22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03" t="str">
        <f>IF(AA138&lt;VLOOKUP(AG138,[1]Variables!$AC$3:$AD$8,2,FALSE),"Y","N")</f>
        <v>N</v>
      </c>
      <c r="X138" s="203">
        <f t="shared" si="53"/>
        <v>1</v>
      </c>
      <c r="Y138" s="203">
        <f t="shared" si="99"/>
        <v>23.301300000000001</v>
      </c>
      <c r="Z138" s="203">
        <f t="shared" si="100"/>
        <v>1.47E-2</v>
      </c>
      <c r="AA138" s="203">
        <f t="shared" si="54"/>
        <v>23.2866</v>
      </c>
      <c r="AB138" s="54" t="e">
        <f>VLOOKUP(A138,[1]Enforcements!$C$7:$K$11,8,0)</f>
        <v>#N/A</v>
      </c>
      <c r="AC138" s="51" t="e">
        <f>VLOOKUP(A138,[1]Enforcements!$C$7:$E$11,3,0)</f>
        <v>#N/A</v>
      </c>
      <c r="AD138" s="178">
        <f t="shared" si="55"/>
        <v>224</v>
      </c>
      <c r="AE138" s="77" t="str">
        <f t="shared" si="79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138" s="74" t="str">
        <f t="shared" si="80"/>
        <v>"C:\Program Files (x86)\AstroGrep\AstroGrep.exe" /e /r /s /spath="%USERPROFILE%\AppData\Local\Temp\OnboardLogs" /stypes="app*4025*20170927*" /stext=" 03:.+((SYSTEM_STATE.+slice.+state.+changed )|(ment ac)|(multiple cpu faults)|(system.+state.+changed )|(\[timeout)|(PRM\|1\|D)|(kpr)|(kdp)|(train st.+moving)|(\|lc)|(penalty))"</v>
      </c>
      <c r="AG138" s="181" t="str">
        <f t="shared" si="81"/>
        <v>EC</v>
      </c>
      <c r="AH138" s="78" t="str">
        <f t="shared" si="82"/>
        <v>"%USERPROFILE%\Documents\GitHub\eaglep3\Utilities\RefineRTDCRunTimes.py" --tripid 224-26 --locoid 4025 --swversion DE.1.0.9.0 --startMP 204:233013 --initTime 2017-09-26T20:23:25 --startdatetime 2017-09-26T20:27:21 --delay 76 --endMP 204:147 --enddatetime 2017-09-26T21:04:09 --enforcementcount 0 &gt;&gt;c:\users\stu\Documents\GitHub\eaglep3-reporting\EC\2017-09-26-refined-times.txt</v>
      </c>
      <c r="AI138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{"issue":{"subject":"","project_id":79,"tracker_id":40,"status_id":1,"priority_id":2,"assigned_to_id":338,"start_date":"2017-09-26","description":"","custom_fields":[{"id":1,"name":"Subdivision","value":"EC"},{"id":4,"name":"Milepost","value":"0.0147"},{"id":17,"name":"Train ID","value":"224-26"},{"id":16,"name":"Locomotive ID","value":"4025"},{"id":130,"name":"Impact","value":""},{"id":150,"name":"Time of Event (Mountain Time)","value":"21:04:09"},{"id":151,"name":"Denver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84"/>
        <v>start /low /b %USERPROFILE%\Documents\GitHub\eaglep3\Utilities\DownloadLogsFromS3.py --loco 4025 --day 2017-09-26</v>
      </c>
      <c r="AN138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7" t="str">
        <f t="shared" si="86"/>
        <v>https://d0f6bd738d7f1b3e5a7ca70fe4ff75f0.us-east-1.aws.found.io/app/kibana#/discover/Steve-Slow-Train-Analysis-(2080s-and-2083s)?_g=(refreshInterval:(display:Off,pause:!f,section:0,value:0),time:(from:'2017-09-26T19:23:25-0600',mode:absolute,to:'2017-09-26T22:04:09-0600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823</v>
      </c>
      <c r="B139" s="7">
        <v>4024</v>
      </c>
      <c r="C139" s="21" t="s">
        <v>196</v>
      </c>
      <c r="D139" s="21" t="s">
        <v>396</v>
      </c>
      <c r="E139" s="13">
        <v>43004.829814814817</v>
      </c>
      <c r="F139" s="13">
        <v>43004.833738425928</v>
      </c>
      <c r="G139" s="7">
        <v>52</v>
      </c>
      <c r="H139" s="21" t="s">
        <v>896</v>
      </c>
      <c r="I139" s="13">
        <v>43004.858391203707</v>
      </c>
      <c r="J139" s="7">
        <v>0</v>
      </c>
      <c r="K139" s="89" t="str">
        <f t="shared" si="47"/>
        <v>4023/4024</v>
      </c>
      <c r="L139" s="184" t="str">
        <f>VLOOKUP(A139,'[1]Trips&amp;Operators'!$C$1:$G$99911,5,FALSE)</f>
        <v>PERKINS DARREN</v>
      </c>
      <c r="M139" s="6">
        <f t="shared" si="48"/>
        <v>2.4652777778101154E-2</v>
      </c>
      <c r="N139" s="7">
        <f t="shared" si="76"/>
        <v>35.500000000465661</v>
      </c>
      <c r="O139" s="7"/>
      <c r="P139" s="7"/>
      <c r="Q139" s="22"/>
      <c r="R139" s="173"/>
      <c r="S139" s="220">
        <f t="shared" si="77"/>
        <v>1</v>
      </c>
      <c r="T139" s="173" t="str">
        <f t="shared" si="51"/>
        <v>NorthBound</v>
      </c>
      <c r="U139" s="197">
        <f>IF(AG139="EC",COUNTIFS([1]Variables!$M$2:$M$19,IF(T139="NorthBound","&gt;=","&lt;=")&amp;Y139,[1]Variables!$M$2:$M$19,IF(T139="NorthBound","&lt;=","&gt;=")&amp;Z139),COUNTIFS([1]Variables!$P$2:$P$19,IF(T139="NorthBound","&gt;=","&lt;=")&amp;Y139,[1]Variables!$P$2:$P$19,IF(T139="NorthBound","&lt;=","&gt;=")&amp;Z139))</f>
        <v>12</v>
      </c>
      <c r="V139" s="215" t="str">
        <f t="shared" si="78"/>
        <v>https://d0f6bd738d7f1b3e5a7ca70fe4ff75f0.us-east-1.aws.found.io/app/kibana#/discover/Steve-Slow-Train-Analysis-(2080s-and-2083s)?_g=(refreshInterval:(display:Off,pause:!f,section:0,value:0),time:(from:'2017-09-26T18:54:56-0600',mode:absolute,to:'2017-09-26T21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9" s="203" t="str">
        <f>IF(AA139&lt;VLOOKUP(AG139,[1]Variables!$AC$3:$AD$8,2,FALSE),"Y","N")</f>
        <v>N</v>
      </c>
      <c r="X139" s="203">
        <f t="shared" si="53"/>
        <v>1</v>
      </c>
      <c r="Y139" s="203">
        <f t="shared" si="99"/>
        <v>4.3700000000000003E-2</v>
      </c>
      <c r="Z139" s="203">
        <f t="shared" si="100"/>
        <v>23.3306</v>
      </c>
      <c r="AA139" s="203">
        <f t="shared" si="54"/>
        <v>23.286899999999999</v>
      </c>
      <c r="AB139" s="54" t="e">
        <f>VLOOKUP(A139,[1]Enforcements!$C$7:$K$11,8,0)</f>
        <v>#N/A</v>
      </c>
      <c r="AC139" s="51" t="e">
        <f>VLOOKUP(A139,[1]Enforcements!$C$7:$E$11,3,0)</f>
        <v>#N/A</v>
      </c>
      <c r="AD139" s="178">
        <f t="shared" si="55"/>
        <v>225</v>
      </c>
      <c r="AE139" s="77" t="str">
        <f t="shared" si="79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139" s="74" t="str">
        <f t="shared" si="80"/>
        <v>"C:\Program Files (x86)\AstroGrep\AstroGrep.exe" /e /r /s /spath="%USERPROFILE%\AppData\Local\Temp\OnboardLogs" /stypes="app*4024*20170927*" /stext=" 02:.+((SYSTEM_STATE.+slice.+state.+changed )|(ment ac)|(multiple cpu faults)|(system.+state.+changed )|(\[timeout)|(PRM\|1\|D)|(kpr)|(kdp)|(train st.+moving)|(\|lc)|(penalty))"</v>
      </c>
      <c r="AG139" s="181" t="str">
        <f t="shared" si="81"/>
        <v>EC</v>
      </c>
      <c r="AH139" s="78" t="str">
        <f t="shared" si="82"/>
        <v>"%USERPROFILE%\Documents\GitHub\eaglep3\Utilities\RefineRTDCRunTimes.py" --tripid 225-26 --locoid 4024 --swversion DE.1.0.9.0 --startMP 204:437 --initTime 2017-09-26T19:54:56 --startdatetime 2017-09-26T20:00:35 --delay 52 --endMP 204:233306 --enddatetime 2017-09-26T20:36:05 --enforcementcount 0 &gt;&gt;c:\users\stu\Documents\GitHub\eaglep3-reporting\EC\2017-09-26-refined-times.txt</v>
      </c>
      <c r="AI139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{"issue":{"subject":"","project_id":79,"tracker_id":40,"status_id":1,"priority_id":2,"assigned_to_id":338,"start_date":"2017-09-26","description":"","custom_fields":[{"id":1,"name":"Subdivision","value":"EC"},{"id":4,"name":"Milepost","value":"23.3306"},{"id":17,"name":"Train ID","value":"225-26"},{"id":16,"name":"Locomotive ID","value":"4024"},{"id":130,"name":"Impact","value":""},{"id":150,"name":"Time of Event (Mountain Time)","value":"20:36:05"},{"id":151,"name":"Denver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84"/>
        <v>start /low /b %USERPROFILE%\Documents\GitHub\eaglep3\Utilities\DownloadLogsFromS3.py --loco 4024 --day 2017-09-26</v>
      </c>
      <c r="AN139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7" t="str">
        <f t="shared" si="86"/>
        <v>https://d0f6bd738d7f1b3e5a7ca70fe4ff75f0.us-east-1.aws.found.io/app/kibana#/discover/Steve-Slow-Train-Analysis-(2080s-and-2083s)?_g=(refreshInterval:(display:Off,pause:!f,section:0,value:0),time:(from:'2017-09-26T18:54:56-0600',mode:absolute,to:'2017-09-26T21:36:05-0600'))&amp;_a=(columns:!('Message%20ID',Summary),filters:!(),index:'emp_*',interval:auto,query:(query_string:(analyze_wildcard:!t,query:'%22rtdc.l.rtdc.4024%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827</v>
      </c>
      <c r="B140" s="7">
        <v>4023</v>
      </c>
      <c r="C140" s="21" t="s">
        <v>196</v>
      </c>
      <c r="D140" s="21" t="s">
        <v>900</v>
      </c>
      <c r="E140" s="13">
        <v>43004.863078703704</v>
      </c>
      <c r="F140" s="13">
        <v>43004.873136574075</v>
      </c>
      <c r="G140" s="7">
        <v>52</v>
      </c>
      <c r="H140" s="21" t="s">
        <v>395</v>
      </c>
      <c r="I140" s="13">
        <v>43004.900277777779</v>
      </c>
      <c r="J140" s="7">
        <v>0</v>
      </c>
      <c r="K140" s="89" t="str">
        <f t="shared" si="47"/>
        <v>4023/4024</v>
      </c>
      <c r="L140" s="184" t="str">
        <f>VLOOKUP(A140,'[1]Trips&amp;Operators'!$C$1:$G$99911,5,FALSE)</f>
        <v>PERKINS DARREN</v>
      </c>
      <c r="M140" s="6">
        <f t="shared" si="48"/>
        <v>2.7141203703649808E-2</v>
      </c>
      <c r="N140" s="7">
        <f t="shared" si="76"/>
        <v>39.083333333255723</v>
      </c>
      <c r="O140" s="7"/>
      <c r="P140" s="7"/>
      <c r="Q140" s="22"/>
      <c r="R140" s="173"/>
      <c r="S140" s="220">
        <f t="shared" si="77"/>
        <v>1</v>
      </c>
      <c r="T140" s="173" t="str">
        <f t="shared" si="51"/>
        <v>Southbound</v>
      </c>
      <c r="U140" s="197">
        <f>IF(AG140="EC",COUNTIFS([1]Variables!$M$2:$M$19,IF(T140="NorthBound","&gt;=","&lt;=")&amp;Y140,[1]Variables!$M$2:$M$19,IF(T140="NorthBound","&lt;=","&gt;=")&amp;Z140),COUNTIFS([1]Variables!$P$2:$P$19,IF(T140="NorthBound","&gt;=","&lt;=")&amp;Y140,[1]Variables!$P$2:$P$19,IF(T140="NorthBound","&lt;=","&gt;=")&amp;Z140))</f>
        <v>12</v>
      </c>
      <c r="V140" s="215" t="str">
        <f t="shared" si="78"/>
        <v>https://d0f6bd738d7f1b3e5a7ca70fe4ff75f0.us-east-1.aws.found.io/app/kibana#/discover/Steve-Slow-Train-Analysis-(2080s-and-2083s)?_g=(refreshInterval:(display:Off,pause:!f,section:0,value:0),time:(from:'2017-09-26T19:42:50-0600',mode:absolute,to:'2017-09-26T22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0" s="203" t="str">
        <f>IF(AA140&lt;VLOOKUP(AG140,[1]Variables!$AC$3:$AD$8,2,FALSE),"Y","N")</f>
        <v>N</v>
      </c>
      <c r="X140" s="203">
        <f t="shared" si="53"/>
        <v>1</v>
      </c>
      <c r="Y140" s="203">
        <f t="shared" si="99"/>
        <v>23.300799999999999</v>
      </c>
      <c r="Z140" s="203">
        <f t="shared" si="100"/>
        <v>1.54E-2</v>
      </c>
      <c r="AA140" s="203">
        <f t="shared" si="54"/>
        <v>23.285399999999999</v>
      </c>
      <c r="AB140" s="54" t="e">
        <f>VLOOKUP(A140,[1]Enforcements!$C$7:$K$11,8,0)</f>
        <v>#N/A</v>
      </c>
      <c r="AC140" s="51" t="e">
        <f>VLOOKUP(A140,[1]Enforcements!$C$7:$E$11,3,0)</f>
        <v>#N/A</v>
      </c>
      <c r="AD140" s="178">
        <f t="shared" si="55"/>
        <v>226</v>
      </c>
      <c r="AE140" s="77" t="str">
        <f t="shared" si="79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140" s="74" t="str">
        <f t="shared" si="80"/>
        <v>"C:\Program Files (x86)\AstroGrep\AstroGrep.exe" /e /r /s /spath="%USERPROFILE%\AppData\Local\Temp\OnboardLogs" /stypes="app*4023*20170927*" /stext=" 03:.+((SYSTEM_STATE.+slice.+state.+changed )|(ment ac)|(multiple cpu faults)|(system.+state.+changed )|(\[timeout)|(PRM\|1\|D)|(kpr)|(kdp)|(train st.+moving)|(\|lc)|(penalty))"</v>
      </c>
      <c r="AG140" s="181" t="str">
        <f t="shared" si="81"/>
        <v>EC</v>
      </c>
      <c r="AH140" s="78" t="str">
        <f t="shared" si="82"/>
        <v>"%USERPROFILE%\Documents\GitHub\eaglep3\Utilities\RefineRTDCRunTimes.py" --tripid 226-26 --locoid 4023 --swversion DE.1.0.9.0 --startMP 204:233008 --initTime 2017-09-26T20:42:50 --startdatetime 2017-09-26T20:57:19 --delay 52 --endMP 204:154 --enddatetime 2017-09-26T21:36:24 --enforcementcount 0 &gt;&gt;c:\users\stu\Documents\GitHub\eaglep3-reporting\EC\2017-09-26-refined-times.txt</v>
      </c>
      <c r="AI140" s="96" t="str">
        <f t="shared" si="83"/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ID","value":"226-26"},{"id":16,"name":"Locomotive ID","value":"4023"},{"id":130,"name":"Impact","value":""},{"id":150,"name":"Time of Event (Mountain Time)","value":"21:36:24"},{"id":151,"name":"Denver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84"/>
        <v>start /low /b %USERPROFILE%\Documents\GitHub\eaglep3\Utilities\DownloadLogsFromS3.py --loco 4023 --day 2017-09-26</v>
      </c>
      <c r="AN140" s="151" t="str">
        <f t="shared" si="8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7" t="str">
        <f t="shared" si="86"/>
        <v>https://d0f6bd738d7f1b3e5a7ca70fe4ff75f0.us-east-1.aws.found.io/app/kibana#/discover/Steve-Slow-Train-Analysis-(2080s-and-2083s)?_g=(refreshInterval:(display:Off,pause:!f,section:0,value:0),time:(from:'2017-09-26T19:42:50-0600',mode:absolute,to:'2017-09-26T22:36:24-0600'))&amp;_a=(columns:!('Message%20ID',Summary),filters:!(),index:'emp_*',interval:auto,query:(query_string:(analyze_wildcard:!t,query:'%22rtdc.l.rtdc.4023%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633</v>
      </c>
      <c r="B141" s="7">
        <v>4010</v>
      </c>
      <c r="C141" s="21" t="s">
        <v>196</v>
      </c>
      <c r="D141" s="21" t="s">
        <v>901</v>
      </c>
      <c r="E141" s="13">
        <v>43004.858287037037</v>
      </c>
      <c r="F141" s="13">
        <v>43004.859479166669</v>
      </c>
      <c r="G141" s="7">
        <v>64</v>
      </c>
      <c r="H141" s="21" t="s">
        <v>453</v>
      </c>
      <c r="I141" s="13">
        <v>43004.880810185183</v>
      </c>
      <c r="J141" s="7">
        <v>0</v>
      </c>
      <c r="K141" s="89" t="str">
        <f t="shared" ref="K141:K158" si="101">IF(ISEVEN(B141),(B141-1)&amp;"/"&amp;B141,B141&amp;"/"&amp;(B141+1))</f>
        <v>4009/4010</v>
      </c>
      <c r="L141" s="184" t="str">
        <f>VLOOKUP(A141,'[1]Trips&amp;Operators'!$C$1:$G$99911,5,FALSE)</f>
        <v>HART KEVIN</v>
      </c>
      <c r="M141" s="6">
        <f t="shared" ref="M141:M158" si="102">I141-F141</f>
        <v>2.1331018513592426E-2</v>
      </c>
      <c r="N141" s="7"/>
      <c r="O141" s="7"/>
      <c r="P141" s="7">
        <f>24*60*SUM($M141:$M141)</f>
        <v>30.716666659573093</v>
      </c>
      <c r="Q141" s="22"/>
      <c r="R141" s="173" t="s">
        <v>1015</v>
      </c>
      <c r="S141" s="220">
        <f t="shared" si="77"/>
        <v>1</v>
      </c>
      <c r="T141" s="173" t="str">
        <f t="shared" ref="T141:T158" si="103">IF(ISEVEN(LEFT(AD141,4)),"Southbound","NorthBound")</f>
        <v>NorthBound</v>
      </c>
      <c r="U141" s="197">
        <f>IF(AG141="EC",COUNTIFS([1]Variables!$M$2:$M$19,IF(T141="NorthBound","&gt;=","&lt;=")&amp;Y141,[1]Variables!$M$2:$M$19,IF(T141="NorthBound","&lt;=","&gt;=")&amp;Z141),COUNTIFS([1]Variables!$P$2:$P$19,IF(T141="NorthBound","&gt;=","&lt;=")&amp;Y141,[1]Variables!$P$2:$P$19,IF(T141="NorthBound","&lt;=","&gt;=")&amp;Z141))</f>
        <v>12</v>
      </c>
      <c r="V141" s="215" t="str">
        <f t="shared" ref="V141:V158" si="10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-26T19:35:56-0600',mode:absolute,to:'2017-09-26T22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203" t="str">
        <f>IF(AA141&lt;VLOOKUP(AG141,[1]Variables!$AC$3:$AD$8,2,FALSE),"Y","N")</f>
        <v>Y</v>
      </c>
      <c r="X141" s="203">
        <f t="shared" ref="X141:X160" si="105">VALUE(LEFT(AD141,4))-VALUE(LEFT(AD140,4))</f>
        <v>1</v>
      </c>
      <c r="Y141" s="203">
        <f t="shared" si="99"/>
        <v>1.9137</v>
      </c>
      <c r="Z141" s="203">
        <f t="shared" si="100"/>
        <v>23.327999999999999</v>
      </c>
      <c r="AA141" s="203">
        <f t="shared" ref="AA141:AA158" si="106">ABS(Z141-Y141)</f>
        <v>21.414300000000001</v>
      </c>
      <c r="AB141" s="54" t="e">
        <f>VLOOKUP(A141,[1]Enforcements!$C$7:$K$11,8,0)</f>
        <v>#N/A</v>
      </c>
      <c r="AC141" s="51" t="e">
        <f>VLOOKUP(A141,[1]Enforcements!$C$7:$E$11,3,0)</f>
        <v>#N/A</v>
      </c>
      <c r="AD141" s="178">
        <f t="shared" ref="AD141:AD158" si="107">VALUE(LEFT(A141,LEN(A141)-3))</f>
        <v>227</v>
      </c>
      <c r="AE141" s="77" t="str">
        <f t="shared" ref="AE141:AE158" si="10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141" s="74" t="str">
        <f t="shared" ref="AF141:AF158" si="10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/stypes="app*4010*20170927*" /stext=" 03:.+((SYSTEM_STATE.+slice.+state.+changed )|(ment ac)|(multiple cpu faults)|(system.+state.+changed )|(\[timeout)|(PRM\|1\|D)|(kpr)|(kdp)|(train st.+moving)|(\|lc)|(penalty))"</v>
      </c>
      <c r="AG141" s="181" t="str">
        <f t="shared" ref="AG141:AG158" si="110">DetSubdiv(A141)</f>
        <v>EC</v>
      </c>
      <c r="AH141" s="78" t="str">
        <f t="shared" ref="AH141:AH144" si="11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227-26 --locoid 4010 --swversion DE.1.0.9.0 --startMP 204:19137 --initTime 2017-09-26T20:35:56 --startdatetime 2017-09-26T20:37:39 --delay 64 --endMP 204:233280 --enddatetime 2017-09-26T21:08:22 --enforcementcount 0 &gt;&gt;c:\users\stu\Documents\GitHub\eaglep3-reporting\EC\2017-09-26-refined-times.txt</v>
      </c>
      <c r="AI141" s="96" t="str">
        <f t="shared" ref="AI141:AI144" si="11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failure","project_id":79,"tracker_id":40,"status_id":1,"priority_id":2,"assigned_to_id":338,"start_date":"2017-09-26","description":"","custom_fields":[{"id":1,"name":"Subdivision","value":"EC"},{"id":4,"name":"Milepost","value":"23.328"},{"id":17,"name":"Train ID","value":"227-26"},{"id":16,"name":"Locomotive ID","value":"4010"},{"id":130,"name":"Impact","value":""},{"id":150,"name":"Time of Event (Mountain Time)","value":"21:08:22"},{"id":151,"name":"Denver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144" si="113">"start /low /b "&amp;dls3logs&amp;" --loco "&amp;B141&amp;" --day "&amp;TEXT(F141,"YYYY-MM-DD")</f>
        <v>start /low /b %USERPROFILE%\Documents\GitHub\eaglep3\Utilities\DownloadLogsFromS3.py --loco 4010 --day 2017-09-26</v>
      </c>
      <c r="AN141" s="151" t="str">
        <f t="shared" ref="AN141:AN144" si="114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7" t="str">
        <f t="shared" ref="AO141:AO144" si="11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-26T19:35:56-0600',mode:absolute,to:'2017-09-26T22:08:22-0600'))&amp;_a=(columns:!('Message%20ID',Summary),filters:!(),index:'emp_*',interval:auto,query:(query_string:(analyze_wildcard:!t,query:'%22rtdc.l.rtdc.4010%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830</v>
      </c>
      <c r="B142" s="7">
        <v>4009</v>
      </c>
      <c r="C142" s="21" t="s">
        <v>196</v>
      </c>
      <c r="D142" s="21" t="s">
        <v>901</v>
      </c>
      <c r="E142" s="13">
        <v>43004.858287037037</v>
      </c>
      <c r="F142" s="13">
        <v>43004.893946759257</v>
      </c>
      <c r="G142" s="7">
        <v>64</v>
      </c>
      <c r="H142" s="21" t="s">
        <v>453</v>
      </c>
      <c r="I142" s="13">
        <v>43004.923379629632</v>
      </c>
      <c r="J142" s="7">
        <v>0</v>
      </c>
      <c r="K142" s="89" t="str">
        <f t="shared" si="101"/>
        <v>4009/4010</v>
      </c>
      <c r="L142" s="184" t="str">
        <f>VLOOKUP(A142,'[1]Trips&amp;Operators'!$C$1:$G$99911,5,FALSE)</f>
        <v>HART KEVIN</v>
      </c>
      <c r="M142" s="6">
        <f t="shared" si="102"/>
        <v>2.9432870374876074E-2</v>
      </c>
      <c r="N142" s="7">
        <f t="shared" ref="N142:N158" si="116">24*60*SUM($M142:$M142)</f>
        <v>42.383333339821547</v>
      </c>
      <c r="O142" s="7"/>
      <c r="P142" s="7"/>
      <c r="Q142" s="22"/>
      <c r="R142" s="173"/>
      <c r="S142" s="220">
        <f t="shared" si="77"/>
        <v>1</v>
      </c>
      <c r="T142" s="173" t="str">
        <f t="shared" si="103"/>
        <v>Southbound</v>
      </c>
      <c r="U142" s="197">
        <f>IF(AG142="EC",COUNTIFS([1]Variables!$M$2:$M$19,IF(T142="NorthBound","&gt;=","&lt;=")&amp;Y142,[1]Variables!$M$2:$M$19,IF(T142="NorthBound","&lt;=","&gt;=")&amp;Z142),COUNTIFS([1]Variables!$P$2:$P$19,IF(T142="NorthBound","&gt;=","&lt;=")&amp;Y142,[1]Variables!$P$2:$P$19,IF(T142="NorthBound","&lt;=","&gt;=")&amp;Z142))</f>
        <v>12</v>
      </c>
      <c r="V142" s="215" t="str">
        <f t="shared" si="104"/>
        <v>https://d0f6bd738d7f1b3e5a7ca70fe4ff75f0.us-east-1.aws.found.io/app/kibana#/discover/Steve-Slow-Train-Analysis-(2080s-and-2083s)?_g=(refreshInterval:(display:Off,pause:!f,section:0,value:0),time:(from:'2017-09-26T19:35:56-0600',mode:absolute,to:'2017-09-26T23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203" t="str">
        <f>IF(AA142&lt;VLOOKUP(AG142,[1]Variables!$AC$3:$AD$8,2,FALSE),"Y","N")</f>
        <v>N</v>
      </c>
      <c r="X142" s="203">
        <f t="shared" si="105"/>
        <v>1</v>
      </c>
      <c r="Y142" s="203">
        <v>23.300799999999999</v>
      </c>
      <c r="Z142" s="203">
        <v>1.54E-2</v>
      </c>
      <c r="AA142" s="203">
        <f t="shared" si="106"/>
        <v>23.285399999999999</v>
      </c>
      <c r="AB142" s="54" t="e">
        <f>VLOOKUP(A142,[1]Enforcements!$C$7:$K$11,8,0)</f>
        <v>#N/A</v>
      </c>
      <c r="AC142" s="51" t="e">
        <f>VLOOKUP(A142,[1]Enforcements!$C$7:$E$11,3,0)</f>
        <v>#N/A</v>
      </c>
      <c r="AD142" s="178">
        <f t="shared" si="107"/>
        <v>228</v>
      </c>
      <c r="AE142" s="77" t="str">
        <f t="shared" si="108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142" s="74" t="str">
        <f t="shared" si="109"/>
        <v>"C:\Program Files (x86)\AstroGrep\AstroGrep.exe" /e /r /s /spath="%USERPROFILE%\AppData\Local\Temp\OnboardLogs" /stypes="app*4009*20170927*" /stext=" 04:.+((SYSTEM_STATE.+slice.+state.+changed )|(ment ac)|(multiple cpu faults)|(system.+state.+changed )|(\[timeout)|(PRM\|1\|D)|(kpr)|(kdp)|(train st.+moving)|(\|lc)|(penalty))"</v>
      </c>
      <c r="AG142" s="181" t="str">
        <f t="shared" si="110"/>
        <v>EC</v>
      </c>
      <c r="AH142" s="78" t="str">
        <f t="shared" ref="AH142" si="11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228-26 --locoid 4009 --swversion DE.1.0.9.0 --startMP 204:19137 --initTime 2017-09-26T20:35:56 --startdatetime 2017-09-26T21:27:17 --delay 64 --endMP 204:233280 --enddatetime 2017-09-26T22:09:40 --enforcementcount 0 &gt;&gt;c:\users\stu\Documents\GitHub\eaglep3-reporting\EC\2017-09-26-refined-times.txt</v>
      </c>
      <c r="AI142" s="96" t="str">
        <f t="shared" ref="AI142" si="11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{"issue":{"subject":"","project_id":79,"tracker_id":40,"status_id":1,"priority_id":2,"assigned_to_id":338,"start_date":"2017-09-26","description":"","custom_fields":[{"id":1,"name":"Subdivision","value":"EC"},{"id":4,"name":"Milepost","value":"0.0154"},{"id":17,"name":"Train ID","value":"228-26"},{"id":16,"name":"Locomotive ID","value":"4009"},{"id":130,"name":"Impact","value":""},{"id":150,"name":"Time of Event (Mountain Time)","value":"22:09:40"},{"id":151,"name":"Denver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" si="119">"start /low /b "&amp;dls3logs&amp;" --loco "&amp;B142&amp;" --day "&amp;TEXT(F142,"YYYY-MM-DD")</f>
        <v>start /low /b %USERPROFILE%\Documents\GitHub\eaglep3\Utilities\DownloadLogsFromS3.py --loco 4009 --day 2017-09-26</v>
      </c>
      <c r="AN142" s="151" t="str">
        <f t="shared" ref="AN142" si="12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7" t="str">
        <f t="shared" ref="AO142" si="121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-26T19:35:56-0600',mode:absolute,to:'2017-09-26T23:09:40-0600'))&amp;_a=(columns:!('Message%20ID',Summary),filters:!(),index:'emp_*',interval:auto,query:(query_string:(analyze_wildcard:!t,query:'%22rtdc.l.rtdc.4009%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828</v>
      </c>
      <c r="B143" s="7">
        <v>4056</v>
      </c>
      <c r="C143" s="21" t="s">
        <v>196</v>
      </c>
      <c r="D143" s="21" t="s">
        <v>386</v>
      </c>
      <c r="E143" s="13">
        <v>43004.863611111112</v>
      </c>
      <c r="F143" s="13">
        <v>43004.875289351854</v>
      </c>
      <c r="G143" s="7">
        <v>79</v>
      </c>
      <c r="H143" s="21" t="s">
        <v>451</v>
      </c>
      <c r="I143" s="13">
        <v>43004.901319444441</v>
      </c>
      <c r="J143" s="7">
        <v>0</v>
      </c>
      <c r="K143" s="89" t="str">
        <f t="shared" si="101"/>
        <v>4055/4056</v>
      </c>
      <c r="L143" s="184" t="str">
        <f>VLOOKUP(A143,'[1]Trips&amp;Operators'!$C$1:$G$99911,5,FALSE)</f>
        <v>BIRKHOLZ NADINE</v>
      </c>
      <c r="M143" s="6">
        <f t="shared" si="102"/>
        <v>2.6030092587461695E-2</v>
      </c>
      <c r="N143" s="7">
        <f t="shared" si="116"/>
        <v>37.483333325944841</v>
      </c>
      <c r="O143" s="7"/>
      <c r="P143" s="7"/>
      <c r="Q143" s="22"/>
      <c r="R143" s="173"/>
      <c r="S143" s="220">
        <f t="shared" si="77"/>
        <v>1</v>
      </c>
      <c r="T143" s="173" t="str">
        <f t="shared" si="103"/>
        <v>NorthBound</v>
      </c>
      <c r="U143" s="197">
        <f>IF(AG143="EC",COUNTIFS([1]Variables!$M$2:$M$19,IF(T143="NorthBound","&gt;=","&lt;=")&amp;Y143,[1]Variables!$M$2:$M$19,IF(T143="NorthBound","&lt;=","&gt;=")&amp;Z143),COUNTIFS([1]Variables!$P$2:$P$19,IF(T143="NorthBound","&gt;=","&lt;=")&amp;Y143,[1]Variables!$P$2:$P$19,IF(T143="NorthBound","&lt;=","&gt;=")&amp;Z143))</f>
        <v>12</v>
      </c>
      <c r="V143" s="215" t="str">
        <f t="shared" si="104"/>
        <v>https://d0f6bd738d7f1b3e5a7ca70fe4ff75f0.us-east-1.aws.found.io/app/kibana#/discover/Steve-Slow-Train-Analysis-(2080s-and-2083s)?_g=(refreshInterval:(display:Off,pause:!f,section:0,value:0),time:(from:'2017-09-26T19:43:36-0600',mode:absolute,to:'2017-09-26T22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03" t="str">
        <f>IF(AA143&lt;VLOOKUP(AG143,[1]Variables!$AC$3:$AD$8,2,FALSE),"Y","N")</f>
        <v>N</v>
      </c>
      <c r="X143" s="203">
        <f t="shared" si="105"/>
        <v>1</v>
      </c>
      <c r="Y143" s="203">
        <f>RIGHT(D143,LEN(D143)-4)/10000</f>
        <v>4.6199999999999998E-2</v>
      </c>
      <c r="Z143" s="203">
        <f>RIGHT(H143,LEN(H143)-4)/10000</f>
        <v>23.3308</v>
      </c>
      <c r="AA143" s="203">
        <f t="shared" si="106"/>
        <v>23.284600000000001</v>
      </c>
      <c r="AB143" s="54" t="e">
        <f>VLOOKUP(A143,[1]Enforcements!$C$7:$K$11,8,0)</f>
        <v>#N/A</v>
      </c>
      <c r="AC143" s="51" t="e">
        <f>VLOOKUP(A143,[1]Enforcements!$C$7:$E$11,3,0)</f>
        <v>#N/A</v>
      </c>
      <c r="AD143" s="178">
        <f t="shared" si="107"/>
        <v>229</v>
      </c>
      <c r="AE143" s="77" t="str">
        <f t="shared" si="108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43" s="74" t="str">
        <f t="shared" si="109"/>
        <v>"C:\Program Files (x86)\AstroGrep\AstroGrep.exe" /e /r /s /spath="%USERPROFILE%\AppData\Local\Temp\OnboardLogs" /stypes="app*4056*20170927*" /stext=" 03:.+((SYSTEM_STATE.+slice.+state.+changed )|(ment ac)|(multiple cpu faults)|(system.+state.+changed )|(\[timeout)|(PRM\|1\|D)|(kpr)|(kdp)|(train st.+moving)|(\|lc)|(penalty))"</v>
      </c>
      <c r="AG143" s="181" t="str">
        <f t="shared" si="110"/>
        <v>EC</v>
      </c>
      <c r="AH143" s="78" t="str">
        <f t="shared" si="111"/>
        <v>"%USERPROFILE%\Documents\GitHub\eaglep3\Utilities\RefineRTDCRunTimes.py" --tripid 229-26 --locoid 4056 --swversion DE.1.0.9.0 --startMP 204:462 --initTime 2017-09-26T20:43:36 --startdatetime 2017-09-26T21:00:25 --delay 79 --endMP 204:233308 --enddatetime 2017-09-26T21:37:54 --enforcementcount 0 &gt;&gt;c:\users\stu\Documents\GitHub\eaglep3-reporting\EC\2017-09-26-refined-times.txt</v>
      </c>
      <c r="AI143" s="96" t="str">
        <f t="shared" si="112"/>
        <v>echo {"issue":{"subject":"","project_id":79,"tracker_id":40,"status_id":1,"priority_id":2,"assigned_to_id":338,"start_date":"2017-09-26","description":"","custom_fields":[{"id":1,"name":"Subdivision","value":"EC"},{"id":4,"name":"Milepost","value":"23.3308"},{"id":17,"name":"Train ID","value":"229-26"},{"id":16,"name":"Locomotive ID","value":"4056"},{"id":130,"name":"Impact","value":""},{"id":150,"name":"Time of Event (Mountain Time)","value":"21:37:54"},{"id":151,"name":"Denver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13"/>
        <v>start /low /b %USERPROFILE%\Documents\GitHub\eaglep3\Utilities\DownloadLogsFromS3.py --loco 4056 --day 2017-09-26</v>
      </c>
      <c r="AN143" s="151" t="str">
        <f t="shared" si="114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7" t="str">
        <f t="shared" si="115"/>
        <v>https://d0f6bd738d7f1b3e5a7ca70fe4ff75f0.us-east-1.aws.found.io/app/kibana#/discover/Steve-Slow-Train-Analysis-(2080s-and-2083s)?_g=(refreshInterval:(display:Off,pause:!f,section:0,value:0),time:(from:'2017-09-26T19:43:36-0600',mode:absolute,to:'2017-09-26T22:37:54-0600'))&amp;_a=(columns:!('Message%20ID',Summary),filters:!(),index:'emp_*',interval:auto,query:(query_string:(analyze_wildcard:!t,query:'%22rtdc.l.rtdc.4056%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832</v>
      </c>
      <c r="B144" s="7">
        <v>4055</v>
      </c>
      <c r="C144" s="21" t="s">
        <v>196</v>
      </c>
      <c r="D144" s="21" t="s">
        <v>410</v>
      </c>
      <c r="E144" s="13">
        <v>43004.907164351855</v>
      </c>
      <c r="F144" s="13">
        <v>43004.914768518516</v>
      </c>
      <c r="G144" s="7">
        <v>84</v>
      </c>
      <c r="H144" s="21" t="s">
        <v>362</v>
      </c>
      <c r="I144" s="13">
        <v>43004.941712962966</v>
      </c>
      <c r="J144" s="7">
        <v>0</v>
      </c>
      <c r="K144" s="89" t="str">
        <f t="shared" si="101"/>
        <v>4055/4056</v>
      </c>
      <c r="L144" s="184" t="str">
        <f>VLOOKUP(A144,'[1]Trips&amp;Operators'!$C$1:$G$99911,5,FALSE)</f>
        <v>BIRKHOLZ NADINE</v>
      </c>
      <c r="M144" s="6">
        <f t="shared" si="102"/>
        <v>2.694444444932742E-2</v>
      </c>
      <c r="N144" s="7">
        <f t="shared" si="116"/>
        <v>38.800000007031485</v>
      </c>
      <c r="O144" s="7"/>
      <c r="P144" s="7"/>
      <c r="Q144" s="22"/>
      <c r="R144" s="173"/>
      <c r="S144" s="220">
        <f t="shared" si="77"/>
        <v>1</v>
      </c>
      <c r="T144" s="173" t="str">
        <f t="shared" si="103"/>
        <v>Southbound</v>
      </c>
      <c r="U144" s="197">
        <f>IF(AG144="EC",COUNTIFS([1]Variables!$M$2:$M$19,IF(T144="NorthBound","&gt;=","&lt;=")&amp;Y144,[1]Variables!$M$2:$M$19,IF(T144="NorthBound","&lt;=","&gt;=")&amp;Z144),COUNTIFS([1]Variables!$P$2:$P$19,IF(T144="NorthBound","&gt;=","&lt;=")&amp;Y144,[1]Variables!$P$2:$P$19,IF(T144="NorthBound","&lt;=","&gt;=")&amp;Z144))</f>
        <v>12</v>
      </c>
      <c r="V144" s="215" t="str">
        <f t="shared" si="104"/>
        <v>https://d0f6bd738d7f1b3e5a7ca70fe4ff75f0.us-east-1.aws.found.io/app/kibana#/discover/Steve-Slow-Train-Analysis-(2080s-and-2083s)?_g=(refreshInterval:(display:Off,pause:!f,section:0,value:0),time:(from:'2017-09-26T20:46:19-0600',mode:absolute,to:'2017-09-26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03" t="str">
        <f>IF(AA144&lt;VLOOKUP(AG144,[1]Variables!$AC$3:$AD$8,2,FALSE),"Y","N")</f>
        <v>N</v>
      </c>
      <c r="X144" s="203">
        <f t="shared" si="105"/>
        <v>1</v>
      </c>
      <c r="Y144" s="203">
        <f>RIGHT(D144,LEN(D144)-4)/10000</f>
        <v>23.298500000000001</v>
      </c>
      <c r="Z144" s="203">
        <f>RIGHT(H144,LEN(H144)-4)/10000</f>
        <v>1.4500000000000001E-2</v>
      </c>
      <c r="AA144" s="203">
        <f t="shared" si="106"/>
        <v>23.283999999999999</v>
      </c>
      <c r="AB144" s="54" t="e">
        <f>VLOOKUP(A144,[1]Enforcements!$C$7:$K$11,8,0)</f>
        <v>#N/A</v>
      </c>
      <c r="AC144" s="51" t="e">
        <f>VLOOKUP(A144,[1]Enforcements!$C$7:$E$11,3,0)</f>
        <v>#N/A</v>
      </c>
      <c r="AD144" s="178">
        <f t="shared" si="107"/>
        <v>230</v>
      </c>
      <c r="AE144" s="77" t="str">
        <f t="shared" si="108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44" s="74" t="str">
        <f t="shared" si="109"/>
        <v>"C:\Program Files (x86)\AstroGrep\AstroGrep.exe" /e /r /s /spath="%USERPROFILE%\AppData\Local\Temp\OnboardLogs" /stypes="app*4055*20170927*" /stext=" 04:.+((SYSTEM_STATE.+slice.+state.+changed )|(ment ac)|(multiple cpu faults)|(system.+state.+changed )|(\[timeout)|(PRM\|1\|D)|(kpr)|(kdp)|(train st.+moving)|(\|lc)|(penalty))"</v>
      </c>
      <c r="AG144" s="181" t="str">
        <f t="shared" si="110"/>
        <v>EC</v>
      </c>
      <c r="AH144" s="78" t="str">
        <f t="shared" si="111"/>
        <v>"%USERPROFILE%\Documents\GitHub\eaglep3\Utilities\RefineRTDCRunTimes.py" --tripid 230-26 --locoid 4055 --swversion DE.1.0.9.0 --startMP 204:232985 --initTime 2017-09-26T21:46:19 --startdatetime 2017-09-26T21:57:16 --delay 84 --endMP 204:145 --enddatetime 2017-09-26T22:36:04 --enforcementcount 0 &gt;&gt;c:\users\stu\Documents\GitHub\eaglep3-reporting\EC\2017-09-26-refined-times.txt</v>
      </c>
      <c r="AI144" s="96" t="str">
        <f t="shared" si="112"/>
        <v>echo {"issue":{"subject":"","project_id":79,"tracker_id":40,"status_id":1,"priority_id":2,"assigned_to_id":338,"start_date":"2017-09-26","description":"","custom_fields":[{"id":1,"name":"Subdivision","value":"EC"},{"id":4,"name":"Milepost","value":"0.0145"},{"id":17,"name":"Train ID","value":"230-26"},{"id":16,"name":"Locomotive ID","value":"4055"},{"id":130,"name":"Impact","value":""},{"id":150,"name":"Time of Event (Mountain Time)","value":"22:36:04"},{"id":151,"name":"Denver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13"/>
        <v>start /low /b %USERPROFILE%\Documents\GitHub\eaglep3\Utilities\DownloadLogsFromS3.py --loco 4055 --day 2017-09-26</v>
      </c>
      <c r="AN144" s="151" t="str">
        <f t="shared" si="114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7" t="str">
        <f t="shared" si="115"/>
        <v>https://d0f6bd738d7f1b3e5a7ca70fe4ff75f0.us-east-1.aws.found.io/app/kibana#/discover/Steve-Slow-Train-Analysis-(2080s-and-2083s)?_g=(refreshInterval:(display:Off,pause:!f,section:0,value:0),time:(from:'2017-09-26T20:46:19-0600',mode:absolute,to:'2017-09-26T23:36:04-0600'))&amp;_a=(columns:!('Message%20ID',Summary),filters:!(),index:'emp_*',interval:auto,query:(query_string:(analyze_wildcard:!t,query:'%22rtdc.l.rtdc.4055%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829</v>
      </c>
      <c r="B145" s="7">
        <v>4026</v>
      </c>
      <c r="C145" s="21" t="s">
        <v>196</v>
      </c>
      <c r="D145" s="21" t="s">
        <v>410</v>
      </c>
      <c r="E145" s="13">
        <v>43004.907164351855</v>
      </c>
      <c r="F145" s="13">
        <v>43004.896238425928</v>
      </c>
      <c r="G145" s="7">
        <v>84</v>
      </c>
      <c r="H145" s="21" t="s">
        <v>362</v>
      </c>
      <c r="I145" s="13">
        <v>43004.921122685184</v>
      </c>
      <c r="J145" s="7">
        <v>0</v>
      </c>
      <c r="K145" s="89" t="str">
        <f t="shared" si="101"/>
        <v>4025/4026</v>
      </c>
      <c r="L145" s="184" t="str">
        <f>VLOOKUP(A145,'[1]Trips&amp;Operators'!$C$1:$G$99911,5,FALSE)</f>
        <v>LOZA FIDEL</v>
      </c>
      <c r="M145" s="6">
        <f t="shared" si="102"/>
        <v>2.488425925548654E-2</v>
      </c>
      <c r="N145" s="7">
        <f t="shared" si="116"/>
        <v>35.833333327900618</v>
      </c>
      <c r="O145" s="7"/>
      <c r="P145" s="7"/>
      <c r="Q145" s="22"/>
      <c r="R145" s="173"/>
      <c r="S145" s="220">
        <f t="shared" si="77"/>
        <v>1</v>
      </c>
      <c r="T145" s="173" t="str">
        <f t="shared" si="103"/>
        <v>NorthBound</v>
      </c>
      <c r="U145" s="197">
        <f>IF(AG145="EC",COUNTIFS([1]Variables!$M$2:$M$19,IF(T145="NorthBound","&gt;=","&lt;=")&amp;Y145,[1]Variables!$M$2:$M$19,IF(T145="NorthBound","&lt;=","&gt;=")&amp;Z145),COUNTIFS([1]Variables!$P$2:$P$19,IF(T145="NorthBound","&gt;=","&lt;=")&amp;Y145,[1]Variables!$P$2:$P$19,IF(T145="NorthBound","&lt;=","&gt;=")&amp;Z145))</f>
        <v>12</v>
      </c>
      <c r="V145" s="215" t="str">
        <f t="shared" si="104"/>
        <v>https://d0f6bd738d7f1b3e5a7ca70fe4ff75f0.us-east-1.aws.found.io/app/kibana#/discover/Steve-Slow-Train-Analysis-(2080s-and-2083s)?_g=(refreshInterval:(display:Off,pause:!f,section:0,value:0),time:(from:'2017-09-26T20:46:19-0600',mode:absolute,to:'2017-09-26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03" t="str">
        <f>IF(AA145&lt;VLOOKUP(AG145,[1]Variables!$AC$3:$AD$8,2,FALSE),"Y","N")</f>
        <v>N</v>
      </c>
      <c r="X145" s="203">
        <f t="shared" si="105"/>
        <v>1</v>
      </c>
      <c r="Y145" s="203">
        <v>4.6199999999999998E-2</v>
      </c>
      <c r="Z145" s="203">
        <v>23.3308</v>
      </c>
      <c r="AA145" s="203">
        <f t="shared" si="106"/>
        <v>23.284600000000001</v>
      </c>
      <c r="AB145" s="54" t="e">
        <f>VLOOKUP(A145,[1]Enforcements!$C$7:$K$11,8,0)</f>
        <v>#N/A</v>
      </c>
      <c r="AC145" s="51" t="e">
        <f>VLOOKUP(A145,[1]Enforcements!$C$7:$E$11,3,0)</f>
        <v>#N/A</v>
      </c>
      <c r="AD145" s="178">
        <f t="shared" si="107"/>
        <v>231</v>
      </c>
      <c r="AE145" s="77" t="str">
        <f t="shared" si="108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45" s="74" t="str">
        <f t="shared" si="109"/>
        <v>"C:\Program Files (x86)\AstroGrep\AstroGrep.exe" /e /r /s /spath="%USERPROFILE%\AppData\Local\Temp\OnboardLogs" /stypes="app*4026*20170927*" /stext=" 04:.+((SYSTEM_STATE.+slice.+state.+changed )|(ment ac)|(multiple cpu faults)|(system.+state.+changed )|(\[timeout)|(PRM\|1\|D)|(kpr)|(kdp)|(train st.+moving)|(\|lc)|(penalty))"</v>
      </c>
      <c r="AG145" s="181" t="str">
        <f t="shared" si="110"/>
        <v>EC</v>
      </c>
      <c r="AH145" s="78" t="str">
        <f t="shared" ref="AH145" si="12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231-26 --locoid 4026 --swversion DE.1.0.9.0 --startMP 204:232985 --initTime 2017-09-26T21:46:19 --startdatetime 2017-09-26T21:30:35 --delay 84 --endMP 204:145 --enddatetime 2017-09-26T22:06:25 --enforcementcount 0 &gt;&gt;c:\users\stu\Documents\GitHub\eaglep3-reporting\EC\2017-09-26-refined-times.txt</v>
      </c>
      <c r="AI145" s="96" t="str">
        <f t="shared" ref="AI145" si="12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{"issue":{"subject":"","project_id":79,"tracker_id":40,"status_id":1,"priority_id":2,"assigned_to_id":338,"start_date":"2017-09-26","description":"","custom_fields":[{"id":1,"name":"Subdivision","value":"EC"},{"id":4,"name":"Milepost","value":"23.3308"},{"id":17,"name":"Train ID","value":"231-26"},{"id":16,"name":"Locomotive ID","value":"4026"},{"id":130,"name":"Impact","value":""},{"id":150,"name":"Time of Event (Mountain Time)","value":"22:06:25"},{"id":151,"name":"Denver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" si="124">"start /low /b "&amp;dls3logs&amp;" --loco "&amp;B145&amp;" --day "&amp;TEXT(F145,"YYYY-MM-DD")</f>
        <v>start /low /b %USERPROFILE%\Documents\GitHub\eaglep3\Utilities\DownloadLogsFromS3.py --loco 4026 --day 2017-09-26</v>
      </c>
      <c r="AN145" s="151" t="str">
        <f t="shared" ref="AN145" si="125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7" t="str">
        <f t="shared" ref="AO145" si="126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-26T20:46:19-0600',mode:absolute,to:'2017-09-26T23:06:25-0600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834</v>
      </c>
      <c r="B146" s="7">
        <v>4025</v>
      </c>
      <c r="C146" s="21" t="s">
        <v>196</v>
      </c>
      <c r="D146" s="21" t="s">
        <v>902</v>
      </c>
      <c r="E146" s="13">
        <v>43004.93236111111</v>
      </c>
      <c r="F146" s="13">
        <v>43004.935740740744</v>
      </c>
      <c r="G146" s="7">
        <v>130</v>
      </c>
      <c r="H146" s="21" t="s">
        <v>903</v>
      </c>
      <c r="I146" s="13">
        <v>43004.961388888885</v>
      </c>
      <c r="J146" s="7">
        <v>0</v>
      </c>
      <c r="K146" s="89" t="str">
        <f t="shared" si="101"/>
        <v>4025/4026</v>
      </c>
      <c r="L146" s="184" t="str">
        <f>VLOOKUP(A146,'[1]Trips&amp;Operators'!$C$1:$G$99911,5,FALSE)</f>
        <v>LOZA FIDEL</v>
      </c>
      <c r="M146" s="6">
        <f t="shared" si="102"/>
        <v>2.5648148141044658E-2</v>
      </c>
      <c r="N146" s="7">
        <f t="shared" si="116"/>
        <v>36.933333323104307</v>
      </c>
      <c r="O146" s="7"/>
      <c r="P146" s="7"/>
      <c r="Q146" s="22"/>
      <c r="R146" s="173"/>
      <c r="S146" s="220">
        <f t="shared" si="77"/>
        <v>1</v>
      </c>
      <c r="T146" s="173" t="str">
        <f t="shared" si="103"/>
        <v>Southbound</v>
      </c>
      <c r="U146" s="197">
        <f>IF(AG146="EC",COUNTIFS([1]Variables!$M$2:$M$19,IF(T146="NorthBound","&gt;=","&lt;=")&amp;Y146,[1]Variables!$M$2:$M$19,IF(T146="NorthBound","&lt;=","&gt;=")&amp;Z146),COUNTIFS([1]Variables!$P$2:$P$19,IF(T146="NorthBound","&gt;=","&lt;=")&amp;Y146,[1]Variables!$P$2:$P$19,IF(T146="NorthBound","&lt;=","&gt;=")&amp;Z146))</f>
        <v>12</v>
      </c>
      <c r="V146" s="215" t="str">
        <f t="shared" si="104"/>
        <v>https://d0f6bd738d7f1b3e5a7ca70fe4ff75f0.us-east-1.aws.found.io/app/kibana#/discover/Steve-Slow-Train-Analysis-(2080s-and-2083s)?_g=(refreshInterval:(display:Off,pause:!f,section:0,value:0),time:(from:'2017-09-26T21:22:36-0600',mode:absolute,to:'2017-09-27T00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03" t="str">
        <f>IF(AA146&lt;VLOOKUP(AG146,[1]Variables!$AC$3:$AD$8,2,FALSE),"Y","N")</f>
        <v>N</v>
      </c>
      <c r="X146" s="203">
        <f t="shared" si="105"/>
        <v>1</v>
      </c>
      <c r="Y146" s="203">
        <f>RIGHT(D146,LEN(D146)-4)/10000</f>
        <v>23.3032</v>
      </c>
      <c r="Z146" s="203">
        <f>RIGHT(H146,LEN(H146)-4)/10000</f>
        <v>1.2999999999999999E-2</v>
      </c>
      <c r="AA146" s="203">
        <f t="shared" si="106"/>
        <v>23.290199999999999</v>
      </c>
      <c r="AB146" s="54" t="e">
        <f>VLOOKUP(A146,[1]Enforcements!$C$7:$K$11,8,0)</f>
        <v>#N/A</v>
      </c>
      <c r="AC146" s="51" t="e">
        <f>VLOOKUP(A146,[1]Enforcements!$C$7:$E$11,3,0)</f>
        <v>#N/A</v>
      </c>
      <c r="AD146" s="178">
        <f t="shared" si="107"/>
        <v>232</v>
      </c>
      <c r="AE146" s="77" t="str">
        <f t="shared" si="108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146" s="74" t="str">
        <f t="shared" si="109"/>
        <v>"C:\Program Files (x86)\AstroGrep\AstroGrep.exe" /e /r /s /spath="%USERPROFILE%\AppData\Local\Temp\OnboardLogs" /stypes="app*4025*20170927*" /stext=" 05:.+((SYSTEM_STATE.+slice.+state.+changed )|(ment ac)|(multiple cpu faults)|(system.+state.+changed )|(\[timeout)|(PRM\|1\|D)|(kpr)|(kdp)|(train st.+moving)|(\|lc)|(penalty))"</v>
      </c>
      <c r="AG146" s="181" t="str">
        <f t="shared" si="110"/>
        <v>EC</v>
      </c>
      <c r="AH146" s="78" t="str">
        <f t="shared" ref="AH146:AH157" si="127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232-26 --locoid 4025 --swversion DE.1.0.9.0 --startMP 204:233032 --initTime 2017-09-26T22:22:36 --startdatetime 2017-09-26T22:27:28 --delay 130 --endMP 204:130 --enddatetime 2017-09-26T23:04:24 --enforcementcount 0 &gt;&gt;c:\users\stu\Documents\GitHub\eaglep3-reporting\EC\2017-09-26-refined-times.txt</v>
      </c>
      <c r="AI146" s="96" t="str">
        <f t="shared" ref="AI146:AI157" si="128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{"issue":{"subject":"","project_id":79,"tracker_id":40,"status_id":1,"priority_id":2,"assigned_to_id":338,"start_date":"2017-09-26","description":"","custom_fields":[{"id":1,"name":"Subdivision","value":"EC"},{"id":4,"name":"Milepost","value":"0.013"},{"id":17,"name":"Train ID","value":"232-26"},{"id":16,"name":"Locomotive ID","value":"4025"},{"id":130,"name":"Impact","value":""},{"id":150,"name":"Time of Event (Mountain Time)","value":"23:04:24"},{"id":151,"name":"Denver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:AM157" si="129">"start /low /b "&amp;dls3logs&amp;" --loco "&amp;B146&amp;" --day "&amp;TEXT(F146,"YYYY-MM-DD")</f>
        <v>start /low /b %USERPROFILE%\Documents\GitHub\eaglep3\Utilities\DownloadLogsFromS3.py --loco 4025 --day 2017-09-26</v>
      </c>
      <c r="AN146" s="151" t="str">
        <f t="shared" ref="AN146:AN157" si="130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7" t="str">
        <f t="shared" ref="AO146:AO157" si="131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-26T21:22:36-0600',mode:absolute,to:'2017-09-27T00:04:24-0600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831</v>
      </c>
      <c r="B147" s="7">
        <v>4024</v>
      </c>
      <c r="C147" s="21" t="s">
        <v>196</v>
      </c>
      <c r="D147" s="21" t="s">
        <v>902</v>
      </c>
      <c r="E147" s="13">
        <v>43004.93236111111</v>
      </c>
      <c r="F147" s="13">
        <v>43004.916863425926</v>
      </c>
      <c r="G147" s="7">
        <v>130</v>
      </c>
      <c r="H147" s="21" t="s">
        <v>903</v>
      </c>
      <c r="I147" s="13">
        <v>43004.943692129629</v>
      </c>
      <c r="J147" s="7">
        <v>0</v>
      </c>
      <c r="K147" s="89" t="str">
        <f t="shared" si="101"/>
        <v>4023/4024</v>
      </c>
      <c r="L147" s="184" t="str">
        <f>VLOOKUP(A147,'[1]Trips&amp;Operators'!$C$1:$G$99911,5,FALSE)</f>
        <v>PERKINS DARREN</v>
      </c>
      <c r="M147" s="6">
        <f t="shared" si="102"/>
        <v>2.6828703703358769E-2</v>
      </c>
      <c r="N147" s="7">
        <f t="shared" si="116"/>
        <v>38.633333332836628</v>
      </c>
      <c r="O147" s="7"/>
      <c r="P147" s="7"/>
      <c r="Q147" s="22"/>
      <c r="R147" s="173"/>
      <c r="S147" s="220">
        <f t="shared" si="77"/>
        <v>1</v>
      </c>
      <c r="T147" s="173" t="str">
        <f t="shared" si="103"/>
        <v>NorthBound</v>
      </c>
      <c r="U147" s="197">
        <f>IF(AG147="EC",COUNTIFS([1]Variables!$M$2:$M$19,IF(T147="NorthBound","&gt;=","&lt;=")&amp;Y147,[1]Variables!$M$2:$M$19,IF(T147="NorthBound","&lt;=","&gt;=")&amp;Z147),COUNTIFS([1]Variables!$P$2:$P$19,IF(T147="NorthBound","&gt;=","&lt;=")&amp;Y147,[1]Variables!$P$2:$P$19,IF(T147="NorthBound","&lt;=","&gt;=")&amp;Z147))</f>
        <v>12</v>
      </c>
      <c r="V147" s="215" t="str">
        <f t="shared" si="104"/>
        <v>https://d0f6bd738d7f1b3e5a7ca70fe4ff75f0.us-east-1.aws.found.io/app/kibana#/discover/Steve-Slow-Train-Analysis-(2080s-and-2083s)?_g=(refreshInterval:(display:Off,pause:!f,section:0,value:0),time:(from:'2017-09-26T21:22:36-0600',mode:absolute,to:'2017-09-26T23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7" s="203" t="str">
        <f>IF(AA147&lt;VLOOKUP(AG147,[1]Variables!$AC$3:$AD$8,2,FALSE),"Y","N")</f>
        <v>N</v>
      </c>
      <c r="X147" s="203">
        <f t="shared" si="105"/>
        <v>1</v>
      </c>
      <c r="Y147" s="203">
        <v>4.6199999999999998E-2</v>
      </c>
      <c r="Z147" s="203">
        <v>23.3308</v>
      </c>
      <c r="AA147" s="203">
        <f t="shared" si="106"/>
        <v>23.284600000000001</v>
      </c>
      <c r="AB147" s="54" t="e">
        <f>VLOOKUP(A147,[1]Enforcements!$C$7:$K$11,8,0)</f>
        <v>#N/A</v>
      </c>
      <c r="AC147" s="51" t="e">
        <f>VLOOKUP(A147,[1]Enforcements!$C$7:$E$11,3,0)</f>
        <v>#N/A</v>
      </c>
      <c r="AD147" s="178">
        <f t="shared" si="107"/>
        <v>233</v>
      </c>
      <c r="AE147" s="77" t="str">
        <f t="shared" si="108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147" s="74" t="str">
        <f t="shared" si="109"/>
        <v>"C:\Program Files (x86)\AstroGrep\AstroGrep.exe" /e /r /s /spath="%USERPROFILE%\AppData\Local\Temp\OnboardLogs" /stypes="app*4024*20170927*" /stext=" 04:.+((SYSTEM_STATE.+slice.+state.+changed )|(ment ac)|(multiple cpu faults)|(system.+state.+changed )|(\[timeout)|(PRM\|1\|D)|(kpr)|(kdp)|(train st.+moving)|(\|lc)|(penalty))"</v>
      </c>
      <c r="AG147" s="181" t="str">
        <f t="shared" si="110"/>
        <v>EC</v>
      </c>
      <c r="AH147" s="78" t="str">
        <f t="shared" ref="AH147" si="132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233-26 --locoid 4024 --swversion DE.1.0.9.0 --startMP 204:233032 --initTime 2017-09-26T22:22:36 --startdatetime 2017-09-26T22:00:17 --delay 130 --endMP 204:130 --enddatetime 2017-09-26T22:38:55 --enforcementcount 0 &gt;&gt;c:\users\stu\Documents\GitHub\eaglep3-reporting\EC\2017-09-26-refined-times.txt</v>
      </c>
      <c r="AI147" s="96" t="str">
        <f t="shared" ref="AI147" si="133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{"issue":{"subject":"","project_id":79,"tracker_id":40,"status_id":1,"priority_id":2,"assigned_to_id":338,"start_date":"2017-09-26","description":"","custom_fields":[{"id":1,"name":"Subdivision","value":"EC"},{"id":4,"name":"Milepost","value":"23.3308"},{"id":17,"name":"Train ID","value":"233-26"},{"id":16,"name":"Locomotive ID","value":"4024"},{"id":130,"name":"Impact","value":""},{"id":150,"name":"Time of Event (Mountain Time)","value":"22:38:55"},{"id":151,"name":"Denver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" si="134">"start /low /b "&amp;dls3logs&amp;" --loco "&amp;B147&amp;" --day "&amp;TEXT(F147,"YYYY-MM-DD")</f>
        <v>start /low /b %USERPROFILE%\Documents\GitHub\eaglep3\Utilities\DownloadLogsFromS3.py --loco 4024 --day 2017-09-26</v>
      </c>
      <c r="AN147" s="151" t="str">
        <f t="shared" ref="AN147" si="135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7" t="str">
        <f t="shared" ref="AO147" si="136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-26T21:22:36-0600',mode:absolute,to:'2017-09-26T23:38:55-0600'))&amp;_a=(columns:!('Message%20ID',Summary),filters:!(),index:'emp_*',interval:auto,query:(query_string:(analyze_wildcard:!t,query:'%22rtdc.l.rtdc.4024%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636</v>
      </c>
      <c r="B148" s="7">
        <v>4023</v>
      </c>
      <c r="C148" s="21" t="s">
        <v>196</v>
      </c>
      <c r="D148" s="21" t="s">
        <v>864</v>
      </c>
      <c r="E148" s="13">
        <v>43004.945590277777</v>
      </c>
      <c r="F148" s="13">
        <v>43004.956504629627</v>
      </c>
      <c r="G148" s="7">
        <v>66</v>
      </c>
      <c r="H148" s="21" t="s">
        <v>363</v>
      </c>
      <c r="I148" s="13">
        <v>43004.983541666668</v>
      </c>
      <c r="J148" s="7">
        <v>0</v>
      </c>
      <c r="K148" s="89" t="str">
        <f t="shared" si="101"/>
        <v>4023/4024</v>
      </c>
      <c r="L148" s="184" t="str">
        <f>VLOOKUP(A148,'[1]Trips&amp;Operators'!$C$1:$G$99911,5,FALSE)</f>
        <v>PERKINS DARREN</v>
      </c>
      <c r="M148" s="6">
        <f t="shared" si="102"/>
        <v>2.7037037041736767E-2</v>
      </c>
      <c r="N148" s="7">
        <f t="shared" si="116"/>
        <v>38.933333340100944</v>
      </c>
      <c r="O148" s="7"/>
      <c r="P148" s="7"/>
      <c r="Q148" s="22"/>
      <c r="R148" s="173"/>
      <c r="S148" s="220">
        <f t="shared" si="77"/>
        <v>1</v>
      </c>
      <c r="T148" s="173" t="str">
        <f t="shared" si="103"/>
        <v>Southbound</v>
      </c>
      <c r="U148" s="197">
        <f>IF(AG148="EC",COUNTIFS([1]Variables!$M$2:$M$19,IF(T148="NorthBound","&gt;=","&lt;=")&amp;Y148,[1]Variables!$M$2:$M$19,IF(T148="NorthBound","&lt;=","&gt;=")&amp;Z148),COUNTIFS([1]Variables!$P$2:$P$19,IF(T148="NorthBound","&gt;=","&lt;=")&amp;Y148,[1]Variables!$P$2:$P$19,IF(T148="NorthBound","&lt;=","&gt;=")&amp;Z148))</f>
        <v>12</v>
      </c>
      <c r="V148" s="215" t="str">
        <f t="shared" si="104"/>
        <v>https://d0f6bd738d7f1b3e5a7ca70fe4ff75f0.us-east-1.aws.found.io/app/kibana#/discover/Steve-Slow-Train-Analysis-(2080s-and-2083s)?_g=(refreshInterval:(display:Off,pause:!f,section:0,value:0),time:(from:'2017-09-26T21:41:39-0600',mode:absolute,to:'2017-09-27T00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8" s="203" t="str">
        <f>IF(AA148&lt;VLOOKUP(AG148,[1]Variables!$AC$3:$AD$8,2,FALSE),"Y","N")</f>
        <v>N</v>
      </c>
      <c r="X148" s="203">
        <f t="shared" si="105"/>
        <v>1</v>
      </c>
      <c r="Y148" s="203">
        <f>RIGHT(D148,LEN(D148)-4)/10000</f>
        <v>23.299099999999999</v>
      </c>
      <c r="Z148" s="203">
        <f>RIGHT(H148,LEN(H148)-4)/10000</f>
        <v>1.38E-2</v>
      </c>
      <c r="AA148" s="203">
        <f t="shared" si="106"/>
        <v>23.285299999999999</v>
      </c>
      <c r="AB148" s="54" t="str">
        <f>VLOOKUP(A148,[1]Enforcements!$C$7:$K$11,8,0)</f>
        <v>Bulletin (2)</v>
      </c>
      <c r="AC148" s="51" t="str">
        <f>VLOOKUP(A148,[1]Enforcements!$C$7:$E$11,3,0)</f>
        <v>GRADE CROSSING</v>
      </c>
      <c r="AD148" s="178">
        <f t="shared" si="107"/>
        <v>234</v>
      </c>
      <c r="AE148" s="77" t="str">
        <f t="shared" si="108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148" s="74" t="str">
        <f t="shared" si="109"/>
        <v>"C:\Program Files (x86)\AstroGrep\AstroGrep.exe" /e /r /s /spath="%USERPROFILE%\AppData\Local\Temp\OnboardLogs" /stypes="app*4023*20170927*" /stext=" 05:.+((SYSTEM_STATE.+slice.+state.+changed )|(ment ac)|(multiple cpu faults)|(system.+state.+changed )|(\[timeout)|(PRM\|1\|D)|(kpr)|(kdp)|(train st.+moving)|(\|lc)|(penalty))"</v>
      </c>
      <c r="AG148" s="181" t="str">
        <f t="shared" si="110"/>
        <v>EC</v>
      </c>
      <c r="AH148" s="78" t="str">
        <f t="shared" si="127"/>
        <v>"%USERPROFILE%\Documents\GitHub\eaglep3\Utilities\RefineRTDCRunTimes.py" --tripid 234-26 --locoid 4023 --swversion DE.1.0.9.0 --startMP 204:232991 --initTime 2017-09-26T22:41:39 --startdatetime 2017-09-26T22:57:22 --delay 66 --endMP 204:138 --enddatetime 2017-09-26T23:36:18 --enforcementcount 0 &gt;&gt;c:\users\stu\Documents\GitHub\eaglep3-reporting\EC\2017-09-26-refined-times.txt</v>
      </c>
      <c r="AI148" s="96" t="str">
        <f t="shared" si="128"/>
        <v>echo {"issue":{"subject":"","project_id":79,"tracker_id":40,"status_id":1,"priority_id":2,"assigned_to_id":338,"start_date":"2017-09-26","description":"","custom_fields":[{"id":1,"name":"Subdivision","value":"EC"},{"id":4,"name":"Milepost","value":"0.0138"},{"id":17,"name":"Train ID","value":"234-26"},{"id":16,"name":"Locomotive ID","value":"4023"},{"id":130,"name":"Impact","value":""},{"id":150,"name":"Time of Event (Mountain Time)","value":"23:36:18"},{"id":151,"name":"Denver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29"/>
        <v>start /low /b %USERPROFILE%\Documents\GitHub\eaglep3\Utilities\DownloadLogsFromS3.py --loco 4023 --day 2017-09-26</v>
      </c>
      <c r="AN148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7" t="str">
        <f t="shared" si="131"/>
        <v>https://d0f6bd738d7f1b3e5a7ca70fe4ff75f0.us-east-1.aws.found.io/app/kibana#/discover/Steve-Slow-Train-Analysis-(2080s-and-2083s)?_g=(refreshInterval:(display:Off,pause:!f,section:0,value:0),time:(from:'2017-09-26T21:41:39-0600',mode:absolute,to:'2017-09-27T00:36:18-0600'))&amp;_a=(columns:!('Message%20ID',Summary),filters:!(),index:'emp_*',interval:auto,query:(query_string:(analyze_wildcard:!t,query:'%22rtdc.l.rtdc.4023%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836</v>
      </c>
      <c r="B149" s="7">
        <v>4010</v>
      </c>
      <c r="C149" s="21" t="s">
        <v>196</v>
      </c>
      <c r="D149" s="21" t="s">
        <v>864</v>
      </c>
      <c r="E149" s="13">
        <v>43004.945590277777</v>
      </c>
      <c r="F149" s="13">
        <v>43004.937743055554</v>
      </c>
      <c r="G149" s="7">
        <v>66</v>
      </c>
      <c r="H149" s="21" t="s">
        <v>363</v>
      </c>
      <c r="I149" s="13">
        <v>43004.962581018517</v>
      </c>
      <c r="J149" s="7">
        <v>0</v>
      </c>
      <c r="K149" s="89" t="str">
        <f t="shared" si="101"/>
        <v>4009/4010</v>
      </c>
      <c r="L149" s="184" t="str">
        <f>VLOOKUP(A149,'[1]Trips&amp;Operators'!$C$1:$G$99911,5,FALSE)</f>
        <v>HART KEVIN</v>
      </c>
      <c r="M149" s="6">
        <f t="shared" si="102"/>
        <v>2.4837962962919846E-2</v>
      </c>
      <c r="N149" s="7">
        <f t="shared" si="116"/>
        <v>35.766666666604578</v>
      </c>
      <c r="O149" s="7"/>
      <c r="P149" s="7"/>
      <c r="Q149" s="22"/>
      <c r="R149" s="173"/>
      <c r="S149" s="220">
        <f t="shared" si="77"/>
        <v>1</v>
      </c>
      <c r="T149" s="173" t="str">
        <f t="shared" si="103"/>
        <v>NorthBound</v>
      </c>
      <c r="U149" s="197">
        <f>IF(AG149="EC",COUNTIFS([1]Variables!$M$2:$M$19,IF(T149="NorthBound","&gt;=","&lt;=")&amp;Y149,[1]Variables!$M$2:$M$19,IF(T149="NorthBound","&lt;=","&gt;=")&amp;Z149),COUNTIFS([1]Variables!$P$2:$P$19,IF(T149="NorthBound","&gt;=","&lt;=")&amp;Y149,[1]Variables!$P$2:$P$19,IF(T149="NorthBound","&lt;=","&gt;=")&amp;Z149))</f>
        <v>12</v>
      </c>
      <c r="V149" s="215" t="str">
        <f t="shared" si="104"/>
        <v>https://d0f6bd738d7f1b3e5a7ca70fe4ff75f0.us-east-1.aws.found.io/app/kibana#/discover/Steve-Slow-Train-Analysis-(2080s-and-2083s)?_g=(refreshInterval:(display:Off,pause:!f,section:0,value:0),time:(from:'2017-09-26T21:41:39-0600',mode:absolute,to:'2017-09-27T00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9" s="203" t="str">
        <f>IF(AA149&lt;VLOOKUP(AG149,[1]Variables!$AC$3:$AD$8,2,FALSE),"Y","N")</f>
        <v>N</v>
      </c>
      <c r="X149" s="203">
        <f t="shared" si="105"/>
        <v>1</v>
      </c>
      <c r="Y149" s="203">
        <v>4.6199999999999998E-2</v>
      </c>
      <c r="Z149" s="203">
        <v>23.3308</v>
      </c>
      <c r="AA149" s="203">
        <f t="shared" si="106"/>
        <v>23.284600000000001</v>
      </c>
      <c r="AB149" s="54" t="e">
        <f>VLOOKUP(A149,[1]Enforcements!$C$7:$K$11,8,0)</f>
        <v>#N/A</v>
      </c>
      <c r="AC149" s="51" t="e">
        <f>VLOOKUP(A149,[1]Enforcements!$C$7:$E$11,3,0)</f>
        <v>#N/A</v>
      </c>
      <c r="AD149" s="178">
        <f t="shared" si="107"/>
        <v>235</v>
      </c>
      <c r="AE149" s="77" t="str">
        <f t="shared" si="108"/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149" s="74" t="str">
        <f t="shared" si="109"/>
        <v>"C:\Program Files (x86)\AstroGrep\AstroGrep.exe" /e /r /s /spath="%USERPROFILE%\AppData\Local\Temp\OnboardLogs" /stypes="app*4010*20170927*" /stext=" 05:.+((SYSTEM_STATE.+slice.+state.+changed )|(ment ac)|(multiple cpu faults)|(system.+state.+changed )|(\[timeout)|(PRM\|1\|D)|(kpr)|(kdp)|(train st.+moving)|(\|lc)|(penalty))"</v>
      </c>
      <c r="AG149" s="181" t="str">
        <f t="shared" si="110"/>
        <v>EC</v>
      </c>
      <c r="AH149" s="78" t="str">
        <f t="shared" ref="AH149" si="13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235-26 --locoid 4010 --swversion DE.1.0.9.0 --startMP 204:232991 --initTime 2017-09-26T22:41:39 --startdatetime 2017-09-26T22:30:21 --delay 66 --endMP 204:138 --enddatetime 2017-09-26T23:06:07 --enforcementcount 0 &gt;&gt;c:\users\stu\Documents\GitHub\eaglep3-reporting\EC\2017-09-26-refined-times.txt</v>
      </c>
      <c r="AI149" s="96" t="str">
        <f t="shared" ref="AI149" si="13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{"issue":{"subject":"","project_id":79,"tracker_id":40,"status_id":1,"priority_id":2,"assigned_to_id":338,"start_date":"2017-09-26","description":"","custom_fields":[{"id":1,"name":"Subdivision","value":"EC"},{"id":4,"name":"Milepost","value":"23.3308"},{"id":17,"name":"Train ID","value":"235-26"},{"id":16,"name":"Locomotive ID","value":"4010"},{"id":130,"name":"Impact","value":""},{"id":150,"name":"Time of Event (Mountain Time)","value":"23:06:07"},{"id":151,"name":"Denver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ref="AM149" si="139">"start /low /b "&amp;dls3logs&amp;" --loco "&amp;B149&amp;" --day "&amp;TEXT(F149,"YYYY-MM-DD")</f>
        <v>start /low /b %USERPROFILE%\Documents\GitHub\eaglep3\Utilities\DownloadLogsFromS3.py --loco 4010 --day 2017-09-26</v>
      </c>
      <c r="AN149" s="151" t="str">
        <f t="shared" ref="AN149" si="14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7" t="str">
        <f t="shared" ref="AO149" si="141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-26T21:41:39-0600',mode:absolute,to:'2017-09-27T00:06:07-0600'))&amp;_a=(columns:!('Message%20ID',Summary),filters:!(),index:'emp_*',interval:auto,query:(query_string:(analyze_wildcard:!t,query:'%22rtdc.l.rtdc.4010%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840</v>
      </c>
      <c r="B150" s="7">
        <v>4009</v>
      </c>
      <c r="C150" s="21" t="s">
        <v>196</v>
      </c>
      <c r="D150" s="21" t="s">
        <v>864</v>
      </c>
      <c r="E150" s="13">
        <v>43004.974386574075</v>
      </c>
      <c r="F150" s="13">
        <v>43004.977326388886</v>
      </c>
      <c r="G150" s="7">
        <v>61</v>
      </c>
      <c r="H150" s="21" t="s">
        <v>363</v>
      </c>
      <c r="I150" s="13">
        <v>43005.003032407411</v>
      </c>
      <c r="J150" s="7">
        <v>0</v>
      </c>
      <c r="K150" s="89" t="str">
        <f t="shared" si="101"/>
        <v>4009/4010</v>
      </c>
      <c r="L150" s="184" t="str">
        <f>VLOOKUP(A150,'[1]Trips&amp;Operators'!$C$1:$G$99911,5,FALSE)</f>
        <v>HART KEVIN</v>
      </c>
      <c r="M150" s="6">
        <f t="shared" si="102"/>
        <v>2.570601852494292E-2</v>
      </c>
      <c r="N150" s="7">
        <f t="shared" si="116"/>
        <v>37.016666675917804</v>
      </c>
      <c r="O150" s="7"/>
      <c r="P150" s="7"/>
      <c r="Q150" s="22"/>
      <c r="R150" s="173"/>
      <c r="S150" s="220">
        <f t="shared" si="77"/>
        <v>1</v>
      </c>
      <c r="T150" s="173" t="str">
        <f t="shared" si="103"/>
        <v>Southbound</v>
      </c>
      <c r="U150" s="197">
        <f>IF(AG150="EC",COUNTIFS([1]Variables!$M$2:$M$19,IF(T150="NorthBound","&gt;=","&lt;=")&amp;Y150,[1]Variables!$M$2:$M$19,IF(T150="NorthBound","&lt;=","&gt;=")&amp;Z150),COUNTIFS([1]Variables!$P$2:$P$19,IF(T150="NorthBound","&gt;=","&lt;=")&amp;Y150,[1]Variables!$P$2:$P$19,IF(T150="NorthBound","&lt;=","&gt;=")&amp;Z150))</f>
        <v>12</v>
      </c>
      <c r="V150" s="215" t="str">
        <f t="shared" si="104"/>
        <v>https://d0f6bd738d7f1b3e5a7ca70fe4ff75f0.us-east-1.aws.found.io/app/kibana#/discover/Steve-Slow-Train-Analysis-(2080s-and-2083s)?_g=(refreshInterval:(display:Off,pause:!f,section:0,value:0),time:(from:'2017-09-26T22:23:07-0600',mode:absolute,to:'2017-09-27T01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0" s="203" t="str">
        <f>IF(AA150&lt;VLOOKUP(AG150,[1]Variables!$AC$3:$AD$8,2,FALSE),"Y","N")</f>
        <v>N</v>
      </c>
      <c r="X150" s="203">
        <f t="shared" si="105"/>
        <v>1</v>
      </c>
      <c r="Y150" s="203">
        <f t="shared" ref="Y150:Y157" si="142">RIGHT(D150,LEN(D150)-4)/10000</f>
        <v>23.299099999999999</v>
      </c>
      <c r="Z150" s="203">
        <f t="shared" ref="Z150:Z157" si="143">RIGHT(H150,LEN(H150)-4)/10000</f>
        <v>1.38E-2</v>
      </c>
      <c r="AA150" s="203">
        <f t="shared" si="106"/>
        <v>23.285299999999999</v>
      </c>
      <c r="AB150" s="54" t="e">
        <f>VLOOKUP(A150,[1]Enforcements!$C$7:$K$11,8,0)</f>
        <v>#N/A</v>
      </c>
      <c r="AC150" s="51" t="e">
        <f>VLOOKUP(A150,[1]Enforcements!$C$7:$E$11,3,0)</f>
        <v>#N/A</v>
      </c>
      <c r="AD150" s="178">
        <f t="shared" si="107"/>
        <v>236</v>
      </c>
      <c r="AE150" s="77" t="str">
        <f t="shared" si="108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150" s="74" t="str">
        <f t="shared" si="109"/>
        <v>"C:\Program Files (x86)\AstroGrep\AstroGrep.exe" /e /r /s /spath="%USERPROFILE%\AppData\Local\Temp\OnboardLogs" /stypes="app*4009*20170927*" /stext=" 06:.+((SYSTEM_STATE.+slice.+state.+changed )|(ment ac)|(multiple cpu faults)|(system.+state.+changed )|(\[timeout)|(PRM\|1\|D)|(kpr)|(kdp)|(train st.+moving)|(\|lc)|(penalty))"</v>
      </c>
      <c r="AG150" s="181" t="str">
        <f t="shared" si="110"/>
        <v>EC</v>
      </c>
      <c r="AH150" s="78" t="str">
        <f t="shared" si="127"/>
        <v>"%USERPROFILE%\Documents\GitHub\eaglep3\Utilities\RefineRTDCRunTimes.py" --tripid 236-26 --locoid 4009 --swversion DE.1.0.9.0 --startMP 204:232991 --initTime 2017-09-26T23:23:07 --startdatetime 2017-09-26T23:27:21 --delay 61 --endMP 204:138 --enddatetime 2017-09-27T00:04:22 --enforcementcount 0 &gt;&gt;c:\users\stu\Documents\GitHub\eaglep3-reporting\EC\2017-09-26-refined-times.txt</v>
      </c>
      <c r="AI150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{"issue":{"subject":"","project_id":79,"tracker_id":40,"status_id":1,"priority_id":2,"assigned_to_id":338,"start_date":"2017-09-27","description":"","custom_fields":[{"id":1,"name":"Subdivision","value":"EC"},{"id":4,"name":"Milepost","value":"0.0138"},{"id":17,"name":"Train ID","value":"236-26"},{"id":16,"name":"Locomotive ID","value":"4009"},{"id":130,"name":"Impact","value":""},{"id":150,"name":"Time of Event (Mountain Time)","value":"00:04:22"},{"id":151,"name":"Denver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29"/>
        <v>start /low /b %USERPROFILE%\Documents\GitHub\eaglep3\Utilities\DownloadLogsFromS3.py --loco 4009 --day 2017-09-26</v>
      </c>
      <c r="AN150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7" t="str">
        <f t="shared" si="131"/>
        <v>https://d0f6bd738d7f1b3e5a7ca70fe4ff75f0.us-east-1.aws.found.io/app/kibana#/discover/Steve-Slow-Train-Analysis-(2080s-and-2083s)?_g=(refreshInterval:(display:Off,pause:!f,section:0,value:0),time:(from:'2017-09-26T22:23:07-0600',mode:absolute,to:'2017-09-27T01:04:22-0600'))&amp;_a=(columns:!('Message%20ID',Summary),filters:!(),index:'emp_*',interval:auto,query:(query_string:(analyze_wildcard:!t,query:'%22rtdc.l.rtdc.4009%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837</v>
      </c>
      <c r="B151" s="7">
        <v>4056</v>
      </c>
      <c r="C151" s="21" t="s">
        <v>196</v>
      </c>
      <c r="D151" s="21" t="s">
        <v>371</v>
      </c>
      <c r="E151" s="13">
        <v>43004.943171296298</v>
      </c>
      <c r="F151" s="13">
        <v>43004.958518518521</v>
      </c>
      <c r="G151" s="7">
        <v>75</v>
      </c>
      <c r="H151" s="21" t="s">
        <v>575</v>
      </c>
      <c r="I151" s="13">
        <v>43004.982986111114</v>
      </c>
      <c r="J151" s="7">
        <v>0</v>
      </c>
      <c r="K151" s="89" t="str">
        <f t="shared" si="101"/>
        <v>4055/4056</v>
      </c>
      <c r="L151" s="184" t="str">
        <f>VLOOKUP(A151,'[1]Trips&amp;Operators'!$C$1:$G$99911,5,FALSE)</f>
        <v>DUNCAN SHEILA</v>
      </c>
      <c r="M151" s="6">
        <f t="shared" si="102"/>
        <v>2.4467592593282461E-2</v>
      </c>
      <c r="N151" s="7">
        <f t="shared" si="116"/>
        <v>35.233333334326744</v>
      </c>
      <c r="O151" s="7"/>
      <c r="P151" s="7"/>
      <c r="Q151" s="22"/>
      <c r="R151" s="173"/>
      <c r="S151" s="220">
        <f t="shared" si="77"/>
        <v>1</v>
      </c>
      <c r="T151" s="173" t="str">
        <f t="shared" si="103"/>
        <v>NorthBound</v>
      </c>
      <c r="U151" s="197">
        <f>IF(AG151="EC",COUNTIFS([1]Variables!$M$2:$M$19,IF(T151="NorthBound","&gt;=","&lt;=")&amp;Y151,[1]Variables!$M$2:$M$19,IF(T151="NorthBound","&lt;=","&gt;=")&amp;Z151),COUNTIFS([1]Variables!$P$2:$P$19,IF(T151="NorthBound","&gt;=","&lt;=")&amp;Y151,[1]Variables!$P$2:$P$19,IF(T151="NorthBound","&lt;=","&gt;=")&amp;Z151))</f>
        <v>12</v>
      </c>
      <c r="V151" s="215" t="str">
        <f t="shared" si="104"/>
        <v>https://d0f6bd738d7f1b3e5a7ca70fe4ff75f0.us-east-1.aws.found.io/app/kibana#/discover/Steve-Slow-Train-Analysis-(2080s-and-2083s)?_g=(refreshInterval:(display:Off,pause:!f,section:0,value:0),time:(from:'2017-09-26T21:38:10-0600',mode:absolute,to:'2017-09-27T00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1" s="203" t="str">
        <f>IF(AA151&lt;VLOOKUP(AG151,[1]Variables!$AC$3:$AD$8,2,FALSE),"Y","N")</f>
        <v>N</v>
      </c>
      <c r="X151" s="203">
        <f t="shared" si="105"/>
        <v>1</v>
      </c>
      <c r="Y151" s="203">
        <f t="shared" si="142"/>
        <v>4.4200000000000003E-2</v>
      </c>
      <c r="Z151" s="203">
        <f t="shared" si="143"/>
        <v>23.335899999999999</v>
      </c>
      <c r="AA151" s="203">
        <f t="shared" si="106"/>
        <v>23.291699999999999</v>
      </c>
      <c r="AB151" s="54" t="e">
        <f>VLOOKUP(A151,[1]Enforcements!$C$7:$K$11,8,0)</f>
        <v>#N/A</v>
      </c>
      <c r="AC151" s="51" t="e">
        <f>VLOOKUP(A151,[1]Enforcements!$C$7:$E$11,3,0)</f>
        <v>#N/A</v>
      </c>
      <c r="AD151" s="178">
        <f t="shared" si="107"/>
        <v>237</v>
      </c>
      <c r="AE151" s="77" t="str">
        <f t="shared" si="108"/>
        <v>aws s3 cp s3://rtdc.mdm.uploadarchive.raw/RTDC4056/ "%USERPROFILE%\AppData\Local\Temp\OnboardLogs"\RTDC4056\2017-09-26 --exclude "*" --recursive --include "*20170926*" &amp; "%USERPROFILE%\Documents\GitHub\mrs-test-scripts\Headless Mode &amp; Sideloading\WalkAndUnGZ.bat" "%USERPROFILE%\AppData\Local\Temp\OnboardLogs"\RTDC4056\2017-09-26 &amp; 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</v>
      </c>
      <c r="AF151" s="74" t="str">
        <f t="shared" si="109"/>
        <v>"C:\Program Files (x86)\AstroGrep\AstroGrep.exe" /e /r /s /spath="%USERPROFILE%\AppData\Local\Temp\OnboardLogs" /stypes="app*4056*20170927*" /stext=" 05:.+((SYSTEM_STATE.+slice.+state.+changed )|(ment ac)|(multiple cpu faults)|(system.+state.+changed )|(\[timeout)|(PRM\|1\|D)|(kpr)|(kdp)|(train st.+moving)|(\|lc)|(penalty))"</v>
      </c>
      <c r="AG151" s="181" t="str">
        <f t="shared" si="110"/>
        <v>EC</v>
      </c>
      <c r="AH151" s="78" t="str">
        <f t="shared" si="127"/>
        <v>"%USERPROFILE%\Documents\GitHub\eaglep3\Utilities\RefineRTDCRunTimes.py" --tripid 237-26 --locoid 4056 --swversion DE.1.0.9.0 --startMP 204:442 --initTime 2017-09-26T22:38:10 --startdatetime 2017-09-26T23:00:16 --delay 75 --endMP 204:233359 --enddatetime 2017-09-26T23:35:30 --enforcementcount 0 &gt;&gt;c:\users\stu\Documents\GitHub\eaglep3-reporting\EC\2017-09-26-refined-times.txt</v>
      </c>
      <c r="AI151" s="96" t="str">
        <f t="shared" si="128"/>
        <v>echo {"issue":{"subject":"","project_id":79,"tracker_id":40,"status_id":1,"priority_id":2,"assigned_to_id":338,"start_date":"2017-09-26","description":"","custom_fields":[{"id":1,"name":"Subdivision","value":"EC"},{"id":4,"name":"Milepost","value":"23.3359"},{"id":17,"name":"Train ID","value":"237-26"},{"id":16,"name":"Locomotive ID","value":"4056"},{"id":130,"name":"Impact","value":""},{"id":150,"name":"Time of Event (Mountain Time)","value":"23:35:30"},{"id":151,"name":"Denver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29"/>
        <v>start /low /b %USERPROFILE%\Documents\GitHub\eaglep3\Utilities\DownloadLogsFromS3.py --loco 4056 --day 2017-09-26</v>
      </c>
      <c r="AN151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7" t="str">
        <f t="shared" si="131"/>
        <v>https://d0f6bd738d7f1b3e5a7ca70fe4ff75f0.us-east-1.aws.found.io/app/kibana#/discover/Steve-Slow-Train-Analysis-(2080s-and-2083s)?_g=(refreshInterval:(display:Off,pause:!f,section:0,value:0),time:(from:'2017-09-26T21:38:10-0600',mode:absolute,to:'2017-09-27T00:35:30-0600'))&amp;_a=(columns:!('Message%20ID',Summary),filters:!(),index:'emp_*',interval:auto,query:(query_string:(analyze_wildcard:!t,query:'%22rtdc.l.rtdc.4056%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843</v>
      </c>
      <c r="B152" s="7">
        <v>4055</v>
      </c>
      <c r="C152" s="21" t="s">
        <v>196</v>
      </c>
      <c r="D152" s="21" t="s">
        <v>904</v>
      </c>
      <c r="E152" s="13">
        <v>43004.985567129632</v>
      </c>
      <c r="F152" s="13">
        <v>43004.998194444444</v>
      </c>
      <c r="G152" s="7">
        <v>83</v>
      </c>
      <c r="H152" s="21" t="s">
        <v>339</v>
      </c>
      <c r="I152" s="13">
        <v>43005.024826388886</v>
      </c>
      <c r="J152" s="7">
        <v>0</v>
      </c>
      <c r="K152" s="89" t="str">
        <f t="shared" si="101"/>
        <v>4055/4056</v>
      </c>
      <c r="L152" s="184" t="str">
        <f>VLOOKUP(A152,'[1]Trips&amp;Operators'!$C$1:$G$99911,5,FALSE)</f>
        <v>DUNCAN SHEILA</v>
      </c>
      <c r="M152" s="6">
        <f t="shared" si="102"/>
        <v>2.6631944441760425E-2</v>
      </c>
      <c r="N152" s="7">
        <f t="shared" si="116"/>
        <v>38.349999996135011</v>
      </c>
      <c r="O152" s="7"/>
      <c r="P152" s="7"/>
      <c r="Q152" s="22"/>
      <c r="R152" s="173"/>
      <c r="S152" s="220">
        <f t="shared" si="77"/>
        <v>1</v>
      </c>
      <c r="T152" s="173" t="str">
        <f t="shared" si="103"/>
        <v>Southbound</v>
      </c>
      <c r="U152" s="197">
        <f>IF(AG152="EC",COUNTIFS([1]Variables!$M$2:$M$19,IF(T152="NorthBound","&gt;=","&lt;=")&amp;Y152,[1]Variables!$M$2:$M$19,IF(T152="NorthBound","&lt;=","&gt;=")&amp;Z152),COUNTIFS([1]Variables!$P$2:$P$19,IF(T152="NorthBound","&gt;=","&lt;=")&amp;Y152,[1]Variables!$P$2:$P$19,IF(T152="NorthBound","&lt;=","&gt;=")&amp;Z152))</f>
        <v>12</v>
      </c>
      <c r="V152" s="215" t="str">
        <f t="shared" si="104"/>
        <v>https://d0f6bd738d7f1b3e5a7ca70fe4ff75f0.us-east-1.aws.found.io/app/kibana#/discover/Steve-Slow-Train-Analysis-(2080s-and-2083s)?_g=(refreshInterval:(display:Off,pause:!f,section:0,value:0),time:(from:'2017-09-26T22:39:13-0600',mode:absolute,to:'2017-09-27T01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2" s="203" t="str">
        <f>IF(AA152&lt;VLOOKUP(AG152,[1]Variables!$AC$3:$AD$8,2,FALSE),"Y","N")</f>
        <v>N</v>
      </c>
      <c r="X152" s="203">
        <f t="shared" si="105"/>
        <v>1</v>
      </c>
      <c r="Y152" s="203">
        <f t="shared" si="142"/>
        <v>23.304200000000002</v>
      </c>
      <c r="Z152" s="203">
        <f t="shared" si="143"/>
        <v>1.43E-2</v>
      </c>
      <c r="AA152" s="203">
        <f t="shared" si="106"/>
        <v>23.289900000000003</v>
      </c>
      <c r="AB152" s="54" t="e">
        <f>VLOOKUP(A152,[1]Enforcements!$C$7:$K$11,8,0)</f>
        <v>#N/A</v>
      </c>
      <c r="AC152" s="51" t="e">
        <f>VLOOKUP(A152,[1]Enforcements!$C$7:$E$11,3,0)</f>
        <v>#N/A</v>
      </c>
      <c r="AD152" s="178">
        <f t="shared" si="107"/>
        <v>238</v>
      </c>
      <c r="AE152" s="77" t="str">
        <f t="shared" si="108"/>
        <v>aws s3 cp s3://rtdc.mdm.uploadarchive.raw/RTDC4055/ "%USERPROFILE%\AppData\Local\Temp\OnboardLogs"\RTDC4055\2017-09-26 --exclude "*" --recursive --include "*20170926*" &amp; "%USERPROFILE%\Documents\GitHub\mrs-test-scripts\Headless Mode &amp; Sideloading\WalkAndUnGZ.bat" "%USERPROFILE%\AppData\Local\Temp\OnboardLogs"\RTDC4055\2017-09-26 &amp; aws s3 cp s3://rtdc.mdm.uploadarchive.raw/RTDC4055/ "%USERPROFILE%\AppData\Local\Temp\OnboardLogs"\RTDC4055\2017-09-27 --exclude "*" --recursive --include "*20170927*" &amp; "%USERPROFILE%\Documents\GitHub\mrs-test-scripts\Headless Mode &amp; Sideloading\WalkAndUnGZ.bat" "%USERPROFILE%\AppData\Local\Temp\OnboardLogs"\RTDC4055\2017-09-27</v>
      </c>
      <c r="AF152" s="74" t="str">
        <f t="shared" si="109"/>
        <v>"C:\Program Files (x86)\AstroGrep\AstroGrep.exe" /e /r /s /spath="%USERPROFILE%\AppData\Local\Temp\OnboardLogs" /stypes="app*4055*20170927*" /stext=" 06:.+((SYSTEM_STATE.+slice.+state.+changed )|(ment ac)|(multiple cpu faults)|(system.+state.+changed )|(\[timeout)|(PRM\|1\|D)|(kpr)|(kdp)|(train st.+moving)|(\|lc)|(penalty))"</v>
      </c>
      <c r="AG152" s="181" t="str">
        <f t="shared" si="110"/>
        <v>EC</v>
      </c>
      <c r="AH152" s="78" t="str">
        <f t="shared" si="127"/>
        <v>"%USERPROFILE%\Documents\GitHub\eaglep3\Utilities\RefineRTDCRunTimes.py" --tripid 238-26 --locoid 4055 --swversion DE.1.0.9.0 --startMP 204:233042 --initTime 2017-09-26T23:39:13 --startdatetime 2017-09-26T23:57:24 --delay 83 --endMP 204:143 --enddatetime 2017-09-27T00:35:45 --enforcementcount 0 &gt;&gt;c:\users\stu\Documents\GitHub\eaglep3-reporting\EC\2017-09-26-refined-times.txt</v>
      </c>
      <c r="AI152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ID","value":"238-26"},{"id":16,"name":"Locomotive ID","value":"4055"},{"id":130,"name":"Impact","value":""},{"id":150,"name":"Time of Event (Mountain Time)","value":"00:35:45"},{"id":151,"name":"Denver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29"/>
        <v>start /low /b %USERPROFILE%\Documents\GitHub\eaglep3\Utilities\DownloadLogsFromS3.py --loco 4055 --day 2017-09-26</v>
      </c>
      <c r="AN152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7" t="str">
        <f t="shared" si="131"/>
        <v>https://d0f6bd738d7f1b3e5a7ca70fe4ff75f0.us-east-1.aws.found.io/app/kibana#/discover/Steve-Slow-Train-Analysis-(2080s-and-2083s)?_g=(refreshInterval:(display:Off,pause:!f,section:0,value:0),time:(from:'2017-09-26T22:39:13-0600',mode:absolute,to:'2017-09-27T01:35:45-0600'))&amp;_a=(columns:!('Message%20ID',Summary),filters:!(),index:'emp_*',interval:auto,query:(query_string:(analyze_wildcard:!t,query:'%22rtdc.l.rtdc.4055%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839</v>
      </c>
      <c r="B153" s="7">
        <v>4026</v>
      </c>
      <c r="C153" s="21" t="s">
        <v>196</v>
      </c>
      <c r="D153" s="21" t="s">
        <v>399</v>
      </c>
      <c r="E153" s="13">
        <v>43004.965960648151</v>
      </c>
      <c r="F153" s="13">
        <v>43004.979467592595</v>
      </c>
      <c r="G153" s="7">
        <v>67</v>
      </c>
      <c r="H153" s="21" t="s">
        <v>451</v>
      </c>
      <c r="I153" s="13">
        <v>43005.003240740742</v>
      </c>
      <c r="J153" s="7">
        <v>0</v>
      </c>
      <c r="K153" s="89" t="str">
        <f t="shared" si="101"/>
        <v>4025/4026</v>
      </c>
      <c r="L153" s="184" t="str">
        <f>VLOOKUP(A153,'[1]Trips&amp;Operators'!$C$1:$G$99911,5,FALSE)</f>
        <v>LOZA FIDEL</v>
      </c>
      <c r="M153" s="6">
        <f t="shared" si="102"/>
        <v>2.3773148146574385E-2</v>
      </c>
      <c r="N153" s="7">
        <f t="shared" si="116"/>
        <v>34.233333331067115</v>
      </c>
      <c r="O153" s="7"/>
      <c r="P153" s="7"/>
      <c r="Q153" s="22"/>
      <c r="R153" s="173"/>
      <c r="S153" s="220">
        <f t="shared" si="77"/>
        <v>1</v>
      </c>
      <c r="T153" s="173" t="str">
        <f t="shared" si="103"/>
        <v>NorthBound</v>
      </c>
      <c r="U153" s="197">
        <f>IF(AG153="EC",COUNTIFS([1]Variables!$M$2:$M$19,IF(T153="NorthBound","&gt;=","&lt;=")&amp;Y153,[1]Variables!$M$2:$M$19,IF(T153="NorthBound","&lt;=","&gt;=")&amp;Z153),COUNTIFS([1]Variables!$P$2:$P$19,IF(T153="NorthBound","&gt;=","&lt;=")&amp;Y153,[1]Variables!$P$2:$P$19,IF(T153="NorthBound","&lt;=","&gt;=")&amp;Z153))</f>
        <v>12</v>
      </c>
      <c r="V153" s="215" t="str">
        <f t="shared" si="104"/>
        <v>https://d0f6bd738d7f1b3e5a7ca70fe4ff75f0.us-east-1.aws.found.io/app/kibana#/discover/Steve-Slow-Train-Analysis-(2080s-and-2083s)?_g=(refreshInterval:(display:Off,pause:!f,section:0,value:0),time:(from:'2017-09-26T22:10:59-0600',mode:absolute,to:'2017-09-27T01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03" t="str">
        <f>IF(AA153&lt;VLOOKUP(AG153,[1]Variables!$AC$3:$AD$8,2,FALSE),"Y","N")</f>
        <v>N</v>
      </c>
      <c r="X153" s="203">
        <f t="shared" si="105"/>
        <v>1</v>
      </c>
      <c r="Y153" s="203">
        <f t="shared" si="142"/>
        <v>4.4699999999999997E-2</v>
      </c>
      <c r="Z153" s="203">
        <f t="shared" si="143"/>
        <v>23.3308</v>
      </c>
      <c r="AA153" s="203">
        <f t="shared" si="106"/>
        <v>23.286100000000001</v>
      </c>
      <c r="AB153" s="54" t="e">
        <f>VLOOKUP(A153,[1]Enforcements!$C$7:$K$11,8,0)</f>
        <v>#N/A</v>
      </c>
      <c r="AC153" s="51" t="e">
        <f>VLOOKUP(A153,[1]Enforcements!$C$7:$E$11,3,0)</f>
        <v>#N/A</v>
      </c>
      <c r="AD153" s="178">
        <f t="shared" si="107"/>
        <v>239</v>
      </c>
      <c r="AE153" s="77" t="str">
        <f t="shared" si="108"/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AF153" s="74" t="str">
        <f t="shared" si="109"/>
        <v>"C:\Program Files (x86)\AstroGrep\AstroGrep.exe" /e /r /s /spath="%USERPROFILE%\AppData\Local\Temp\OnboardLogs" /stypes="app*4026*20170927*" /stext=" 06:.+((SYSTEM_STATE.+slice.+state.+changed )|(ment ac)|(multiple cpu faults)|(system.+state.+changed )|(\[timeout)|(PRM\|1\|D)|(kpr)|(kdp)|(train st.+moving)|(\|lc)|(penalty))"</v>
      </c>
      <c r="AG153" s="181" t="str">
        <f t="shared" si="110"/>
        <v>EC</v>
      </c>
      <c r="AH153" s="78" t="str">
        <f t="shared" si="127"/>
        <v>"%USERPROFILE%\Documents\GitHub\eaglep3\Utilities\RefineRTDCRunTimes.py" --tripid 239-26 --locoid 4026 --swversion DE.1.0.9.0 --startMP 204:447 --initTime 2017-09-26T23:10:59 --startdatetime 2017-09-26T23:30:26 --delay 67 --endMP 204:233308 --enddatetime 2017-09-27T00:04:40 --enforcementcount 0 &gt;&gt;c:\users\stu\Documents\GitHub\eaglep3-reporting\EC\2017-09-26-refined-times.txt</v>
      </c>
      <c r="AI153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{"issue":{"subject":"","project_id":79,"tracker_id":40,"status_id":1,"priority_id":2,"assigned_to_id":338,"start_date":"2017-09-27","description":"","custom_fields":[{"id":1,"name":"Subdivision","value":"EC"},{"id":4,"name":"Milepost","value":"23.3308"},{"id":17,"name":"Train ID","value":"239-26"},{"id":16,"name":"Locomotive ID","value":"4026"},{"id":130,"name":"Impact","value":""},{"id":150,"name":"Time of Event (Mountain Time)","value":"00:04:40"},{"id":151,"name":"Denver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29"/>
        <v>start /low /b %USERPROFILE%\Documents\GitHub\eaglep3\Utilities\DownloadLogsFromS3.py --loco 4026 --day 2017-09-26</v>
      </c>
      <c r="AN153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06:04:40"},{"id":29,"name":"Sharepoint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7" t="str">
        <f t="shared" si="131"/>
        <v>https://d0f6bd738d7f1b3e5a7ca70fe4ff75f0.us-east-1.aws.found.io/app/kibana#/discover/Steve-Slow-Train-Analysis-(2080s-and-2083s)?_g=(refreshInterval:(display:Off,pause:!f,section:0,value:0),time:(from:'2017-09-26T22:10:59-0600',mode:absolute,to:'2017-09-27T01:04:40-0600'))&amp;_a=(columns:!('Message%20ID',Summary),filters:!(),index:'emp_*',interval:auto,query:(query_string:(analyze_wildcard:!t,query:'%22rtdc.l.rtdc.4026%22')),sort:!(Time.ISO8601,asc))</v>
      </c>
    </row>
    <row r="154" spans="1:91" s="20" customFormat="1" x14ac:dyDescent="0.25">
      <c r="A154" s="32" t="s">
        <v>844</v>
      </c>
      <c r="B154" s="7">
        <v>4025</v>
      </c>
      <c r="C154" s="21" t="s">
        <v>196</v>
      </c>
      <c r="D154" s="21" t="s">
        <v>393</v>
      </c>
      <c r="E154" s="13">
        <v>43005.01635416667</v>
      </c>
      <c r="F154" s="13">
        <v>43005.01898148148</v>
      </c>
      <c r="G154" s="7">
        <v>103</v>
      </c>
      <c r="H154" s="21" t="s">
        <v>370</v>
      </c>
      <c r="I154" s="13">
        <v>43005.04414351852</v>
      </c>
      <c r="J154" s="7">
        <v>0</v>
      </c>
      <c r="K154" s="89" t="str">
        <f t="shared" si="101"/>
        <v>4025/4026</v>
      </c>
      <c r="L154" s="184" t="str">
        <f>VLOOKUP(A154,'[1]Trips&amp;Operators'!$C$1:$G$99911,5,FALSE)</f>
        <v>LOZA FIDEL</v>
      </c>
      <c r="M154" s="6">
        <f t="shared" si="102"/>
        <v>2.5162037039990537E-2</v>
      </c>
      <c r="N154" s="7">
        <f t="shared" si="116"/>
        <v>36.233333337586373</v>
      </c>
      <c r="O154" s="7"/>
      <c r="P154" s="7"/>
      <c r="Q154" s="22"/>
      <c r="R154" s="173"/>
      <c r="S154" s="220">
        <f t="shared" si="77"/>
        <v>1</v>
      </c>
      <c r="T154" s="173" t="str">
        <f t="shared" si="103"/>
        <v>Southbound</v>
      </c>
      <c r="U154" s="197">
        <f>IF(AG154="EC",COUNTIFS([1]Variables!$M$2:$M$19,IF(T154="NorthBound","&gt;=","&lt;=")&amp;Y154,[1]Variables!$M$2:$M$19,IF(T154="NorthBound","&lt;=","&gt;=")&amp;Z154),COUNTIFS([1]Variables!$P$2:$P$19,IF(T154="NorthBound","&gt;=","&lt;=")&amp;Y154,[1]Variables!$P$2:$P$19,IF(T154="NorthBound","&lt;=","&gt;=")&amp;Z154))</f>
        <v>12</v>
      </c>
      <c r="V154" s="215" t="str">
        <f t="shared" si="104"/>
        <v>https://d0f6bd738d7f1b3e5a7ca70fe4ff75f0.us-east-1.aws.found.io/app/kibana#/discover/Steve-Slow-Train-Analysis-(2080s-and-2083s)?_g=(refreshInterval:(display:Off,pause:!f,section:0,value:0),time:(from:'2017-09-26T23:23:33-0600',mode:absolute,to:'2017-09-27T02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03" t="str">
        <f>IF(AA154&lt;VLOOKUP(AG154,[1]Variables!$AC$3:$AD$8,2,FALSE),"Y","N")</f>
        <v>N</v>
      </c>
      <c r="X154" s="203">
        <f t="shared" si="105"/>
        <v>1</v>
      </c>
      <c r="Y154" s="203">
        <f t="shared" si="142"/>
        <v>23.301300000000001</v>
      </c>
      <c r="Z154" s="203">
        <f t="shared" si="143"/>
        <v>1.61E-2</v>
      </c>
      <c r="AA154" s="203">
        <f t="shared" si="106"/>
        <v>23.2852</v>
      </c>
      <c r="AB154" s="54" t="e">
        <f>VLOOKUP(A154,[1]Enforcements!$C$7:$K$11,8,0)</f>
        <v>#N/A</v>
      </c>
      <c r="AC154" s="51" t="e">
        <f>VLOOKUP(A154,[1]Enforcements!$C$7:$E$11,3,0)</f>
        <v>#N/A</v>
      </c>
      <c r="AD154" s="178">
        <f t="shared" si="107"/>
        <v>240</v>
      </c>
      <c r="AE154" s="77" t="str">
        <f t="shared" si="108"/>
        <v>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 &amp; aws s3 cp s3://rtdc.mdm.uploadarchive.raw/RTDC4025/ "%USERPROFILE%\AppData\Local\Temp\OnboardLogs"\RTDC4025\2017-09-28 --exclude "*" --recursive --include "*20170928*" &amp; "%USERPROFILE%\Documents\GitHub\mrs-test-scripts\Headless Mode &amp; Sideloading\WalkAndUnGZ.bat" "%USERPROFILE%\AppData\Local\Temp\OnboardLogs"\RTDC4025\2017-09-28</v>
      </c>
      <c r="AF154" s="74" t="str">
        <f t="shared" si="109"/>
        <v>"C:\Program Files (x86)\AstroGrep\AstroGrep.exe" /e /r /s /spath="%USERPROFILE%\AppData\Local\Temp\OnboardLogs" /stypes="app*4025*20170927*" /stext=" 07:.+((SYSTEM_STATE.+slice.+state.+changed )|(ment ac)|(multiple cpu faults)|(system.+state.+changed )|(\[timeout)|(PRM\|1\|D)|(kpr)|(kdp)|(train st.+moving)|(\|lc)|(penalty))"</v>
      </c>
      <c r="AG154" s="181" t="str">
        <f t="shared" si="110"/>
        <v>EC</v>
      </c>
      <c r="AH154" s="78" t="str">
        <f t="shared" si="127"/>
        <v>"%USERPROFILE%\Documents\GitHub\eaglep3\Utilities\RefineRTDCRunTimes.py" --tripid 240-26 --locoid 4025 --swversion DE.1.0.9.0 --startMP 204:233013 --initTime 2017-09-27T00:23:33 --startdatetime 2017-09-27T00:27:20 --delay 103 --endMP 204:161 --enddatetime 2017-09-27T01:03:34 --enforcementcount 0 &gt;&gt;c:\users\stu\Documents\GitHub\eaglep3-reporting\EC\2017-09-26-refined-times.txt</v>
      </c>
      <c r="AI154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{"issue":{"subject":"","project_id":79,"tracker_id":40,"status_id":1,"priority_id":2,"assigned_to_id":338,"start_date":"2017-09-27","description":"","custom_fields":[{"id":1,"name":"Subdivision","value":"EC"},{"id":4,"name":"Milepost","value":"0.0161"},{"id":17,"name":"Train ID","value":"240-26"},{"id":16,"name":"Locomotive ID","value":"4025"},{"id":130,"name":"Impact","value":""},{"id":150,"name":"Time of Event (Mountain Time)","value":"01:03:34"},{"id":151,"name":"Denver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29"/>
        <v>start /low /b %USERPROFILE%\Documents\GitHub\eaglep3\Utilities\DownloadLogsFromS3.py --loco 4025 --day 2017-09-27</v>
      </c>
      <c r="AN154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07:03:34"},{"id":29,"name":"Sharepoint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7" t="str">
        <f t="shared" si="131"/>
        <v>https://d0f6bd738d7f1b3e5a7ca70fe4ff75f0.us-east-1.aws.found.io/app/kibana#/discover/Steve-Slow-Train-Analysis-(2080s-and-2083s)?_g=(refreshInterval:(display:Off,pause:!f,section:0,value:0),time:(from:'2017-09-26T23:23:33-0600',mode:absolute,to:'2017-09-27T02:03:34-0600'))&amp;_a=(columns:!('Message%20ID',Summary),filters:!(),index:'emp_*',interval:auto,query:(query_string:(analyze_wildcard:!t,query:'%22rtdc.l.rtdc.4025%22')),sort:!(Time.ISO8601,asc))</v>
      </c>
    </row>
    <row r="155" spans="1:91" s="20" customFormat="1" x14ac:dyDescent="0.25">
      <c r="A155" s="32" t="s">
        <v>842</v>
      </c>
      <c r="B155" s="7">
        <v>4024</v>
      </c>
      <c r="C155" s="21" t="s">
        <v>196</v>
      </c>
      <c r="D155" s="21" t="s">
        <v>336</v>
      </c>
      <c r="E155" s="13">
        <v>43004.985300925924</v>
      </c>
      <c r="F155" s="13">
        <v>43005.000173611108</v>
      </c>
      <c r="G155" s="7">
        <v>83</v>
      </c>
      <c r="H155" s="21" t="s">
        <v>416</v>
      </c>
      <c r="I155" s="13">
        <v>43005.02542824074</v>
      </c>
      <c r="J155" s="7">
        <v>0</v>
      </c>
      <c r="K155" s="89" t="str">
        <f t="shared" si="101"/>
        <v>4023/4024</v>
      </c>
      <c r="L155" s="184" t="str">
        <f>VLOOKUP(A155,'[1]Trips&amp;Operators'!$C$1:$G$99911,5,FALSE)</f>
        <v>PERKINS DARREN</v>
      </c>
      <c r="M155" s="6">
        <f t="shared" si="102"/>
        <v>2.5254629632399883E-2</v>
      </c>
      <c r="N155" s="7">
        <f t="shared" si="116"/>
        <v>36.366666670655832</v>
      </c>
      <c r="O155" s="7"/>
      <c r="P155" s="7"/>
      <c r="Q155" s="22"/>
      <c r="R155" s="173"/>
      <c r="S155" s="220">
        <f t="shared" si="77"/>
        <v>1</v>
      </c>
      <c r="T155" s="173" t="str">
        <f t="shared" si="103"/>
        <v>NorthBound</v>
      </c>
      <c r="U155" s="197">
        <f>IF(AG155="EC",COUNTIFS([1]Variables!$M$2:$M$19,IF(T155="NorthBound","&gt;=","&lt;=")&amp;Y155,[1]Variables!$M$2:$M$19,IF(T155="NorthBound","&lt;=","&gt;=")&amp;Z155),COUNTIFS([1]Variables!$P$2:$P$19,IF(T155="NorthBound","&gt;=","&lt;=")&amp;Y155,[1]Variables!$P$2:$P$19,IF(T155="NorthBound","&lt;=","&gt;=")&amp;Z155))</f>
        <v>12</v>
      </c>
      <c r="V155" s="215" t="str">
        <f t="shared" si="104"/>
        <v>https://d0f6bd738d7f1b3e5a7ca70fe4ff75f0.us-east-1.aws.found.io/app/kibana#/discover/Steve-Slow-Train-Analysis-(2080s-and-2083s)?_g=(refreshInterval:(display:Off,pause:!f,section:0,value:0),time:(from:'2017-09-26T22:38:50-0600',mode:absolute,to:'2017-09-27T01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5" s="203" t="str">
        <f>IF(AA155&lt;VLOOKUP(AG155,[1]Variables!$AC$3:$AD$8,2,FALSE),"Y","N")</f>
        <v>N</v>
      </c>
      <c r="X155" s="203">
        <f t="shared" si="105"/>
        <v>1</v>
      </c>
      <c r="Y155" s="203">
        <f t="shared" si="142"/>
        <v>4.4600000000000001E-2</v>
      </c>
      <c r="Z155" s="203">
        <f t="shared" si="143"/>
        <v>23.331</v>
      </c>
      <c r="AA155" s="203">
        <f t="shared" si="106"/>
        <v>23.2864</v>
      </c>
      <c r="AB155" s="54" t="e">
        <f>VLOOKUP(A155,[1]Enforcements!$C$7:$K$11,8,0)</f>
        <v>#N/A</v>
      </c>
      <c r="AC155" s="51" t="e">
        <f>VLOOKUP(A155,[1]Enforcements!$C$7:$E$11,3,0)</f>
        <v>#N/A</v>
      </c>
      <c r="AD155" s="178">
        <f t="shared" si="107"/>
        <v>241</v>
      </c>
      <c r="AE155" s="77" t="str">
        <f t="shared" si="108"/>
        <v>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 &amp; aws s3 cp s3://rtdc.mdm.uploadarchive.raw/RTDC4024/ "%USERPROFILE%\AppData\Local\Temp\OnboardLogs"\RTDC4024\2017-09-28 --exclude "*" --recursive --include "*20170928*" &amp; "%USERPROFILE%\Documents\GitHub\mrs-test-scripts\Headless Mode &amp; Sideloading\WalkAndUnGZ.bat" "%USERPROFILE%\AppData\Local\Temp\OnboardLogs"\RTDC4024\2017-09-28</v>
      </c>
      <c r="AF155" s="74" t="str">
        <f t="shared" si="109"/>
        <v>"C:\Program Files (x86)\AstroGrep\AstroGrep.exe" /e /r /s /spath="%USERPROFILE%\AppData\Local\Temp\OnboardLogs" /stypes="app*4024*20170927*" /stext=" 06:.+((SYSTEM_STATE.+slice.+state.+changed )|(ment ac)|(multiple cpu faults)|(system.+state.+changed )|(\[timeout)|(PRM\|1\|D)|(kpr)|(kdp)|(train st.+moving)|(\|lc)|(penalty))"</v>
      </c>
      <c r="AG155" s="181" t="str">
        <f t="shared" si="110"/>
        <v>EC</v>
      </c>
      <c r="AH155" s="78" t="str">
        <f t="shared" si="127"/>
        <v>"%USERPROFILE%\Documents\GitHub\eaglep3\Utilities\RefineRTDCRunTimes.py" --tripid 241-26 --locoid 4024 --swversion DE.1.0.9.0 --startMP 204:446 --initTime 2017-09-26T23:38:50 --startdatetime 2017-09-27T00:00:15 --delay 83 --endMP 204:233310 --enddatetime 2017-09-27T00:36:37 --enforcementcount 0 &gt;&gt;c:\users\stu\Documents\GitHub\eaglep3-reporting\EC\2017-09-26-refined-times.txt</v>
      </c>
      <c r="AI155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{"issue":{"subject":"","project_id":79,"tracker_id":40,"status_id":1,"priority_id":2,"assigned_to_id":338,"start_date":"2017-09-27","description":"","custom_fields":[{"id":1,"name":"Subdivision","value":"EC"},{"id":4,"name":"Milepost","value":"23.331"},{"id":17,"name":"Train ID","value":"241-26"},{"id":16,"name":"Locomotive ID","value":"4024"},{"id":130,"name":"Impact","value":""},{"id":150,"name":"Time of Event (Mountain Time)","value":"00:36:37"},{"id":151,"name":"Denver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29"/>
        <v>start /low /b %USERPROFILE%\Documents\GitHub\eaglep3\Utilities\DownloadLogsFromS3.py --loco 4024 --day 2017-09-27</v>
      </c>
      <c r="AN155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7" t="str">
        <f t="shared" si="131"/>
        <v>https://d0f6bd738d7f1b3e5a7ca70fe4ff75f0.us-east-1.aws.found.io/app/kibana#/discover/Steve-Slow-Train-Analysis-(2080s-and-2083s)?_g=(refreshInterval:(display:Off,pause:!f,section:0,value:0),time:(from:'2017-09-26T22:38:50-0600',mode:absolute,to:'2017-09-27T01:36:37-0600'))&amp;_a=(columns:!('Message%20ID',Summary),filters:!(),index:'emp_*',interval:auto,query:(query_string:(analyze_wildcard:!t,query:'%22rtdc.l.rtdc.4024%22')),sort:!(Time.ISO8601,asc))</v>
      </c>
    </row>
    <row r="156" spans="1:91" s="20" customFormat="1" x14ac:dyDescent="0.25">
      <c r="A156" s="32" t="s">
        <v>847</v>
      </c>
      <c r="B156" s="7">
        <v>4023</v>
      </c>
      <c r="C156" s="21" t="s">
        <v>196</v>
      </c>
      <c r="D156" s="21" t="s">
        <v>864</v>
      </c>
      <c r="E156" s="13">
        <v>43005.034930555557</v>
      </c>
      <c r="F156" s="13">
        <v>43005.039814814816</v>
      </c>
      <c r="G156" s="7">
        <v>67</v>
      </c>
      <c r="H156" s="21" t="s">
        <v>905</v>
      </c>
      <c r="I156" s="13">
        <v>43005.06585648148</v>
      </c>
      <c r="J156" s="7">
        <v>0</v>
      </c>
      <c r="K156" s="89" t="str">
        <f t="shared" si="101"/>
        <v>4023/4024</v>
      </c>
      <c r="L156" s="184" t="str">
        <f>VLOOKUP(A156,'[1]Trips&amp;Operators'!$C$1:$G$99911,5,FALSE)</f>
        <v>PERKINS DARREN</v>
      </c>
      <c r="M156" s="6">
        <f t="shared" si="102"/>
        <v>2.6041666664241347E-2</v>
      </c>
      <c r="N156" s="7">
        <f t="shared" si="116"/>
        <v>37.49999999650754</v>
      </c>
      <c r="O156" s="7"/>
      <c r="P156" s="7"/>
      <c r="Q156" s="22"/>
      <c r="R156" s="173"/>
      <c r="S156" s="220">
        <f t="shared" si="77"/>
        <v>1</v>
      </c>
      <c r="T156" s="173" t="str">
        <f t="shared" si="103"/>
        <v>Southbound</v>
      </c>
      <c r="U156" s="197">
        <f>IF(AG156="EC",COUNTIFS([1]Variables!$M$2:$M$19,IF(T156="NorthBound","&gt;=","&lt;=")&amp;Y156,[1]Variables!$M$2:$M$19,IF(T156="NorthBound","&lt;=","&gt;=")&amp;Z156),COUNTIFS([1]Variables!$P$2:$P$19,IF(T156="NorthBound","&gt;=","&lt;=")&amp;Y156,[1]Variables!$P$2:$P$19,IF(T156="NorthBound","&lt;=","&gt;=")&amp;Z156))</f>
        <v>12</v>
      </c>
      <c r="V156" s="215" t="str">
        <f t="shared" si="104"/>
        <v>https://d0f6bd738d7f1b3e5a7ca70fe4ff75f0.us-east-1.aws.found.io/app/kibana#/discover/Steve-Slow-Train-Analysis-(2080s-and-2083s)?_g=(refreshInterval:(display:Off,pause:!f,section:0,value:0),time:(from:'2017-09-26T23:50:18-0600',mode:absolute,to:'2017-09-27T02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6" s="203" t="str">
        <f>IF(AA156&lt;VLOOKUP(AG156,[1]Variables!$AC$3:$AD$8,2,FALSE),"Y","N")</f>
        <v>N</v>
      </c>
      <c r="X156" s="203">
        <f t="shared" si="105"/>
        <v>1</v>
      </c>
      <c r="Y156" s="203">
        <f t="shared" si="142"/>
        <v>23.299099999999999</v>
      </c>
      <c r="Z156" s="203">
        <f t="shared" si="143"/>
        <v>1.2699999999999999E-2</v>
      </c>
      <c r="AA156" s="203">
        <f t="shared" si="106"/>
        <v>23.2864</v>
      </c>
      <c r="AB156" s="54" t="e">
        <f>VLOOKUP(A156,[1]Enforcements!$C$7:$K$11,8,0)</f>
        <v>#N/A</v>
      </c>
      <c r="AC156" s="51" t="e">
        <f>VLOOKUP(A156,[1]Enforcements!$C$7:$E$11,3,0)</f>
        <v>#N/A</v>
      </c>
      <c r="AD156" s="178">
        <f t="shared" si="107"/>
        <v>242</v>
      </c>
      <c r="AE156" s="77" t="str">
        <f t="shared" si="108"/>
        <v>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 &amp; aws s3 cp s3://rtdc.mdm.uploadarchive.raw/RTDC4023/ "%USERPROFILE%\AppData\Local\Temp\OnboardLogs"\RTDC4023\2017-09-28 --exclude "*" --recursive --include "*20170928*" &amp; "%USERPROFILE%\Documents\GitHub\mrs-test-scripts\Headless Mode &amp; Sideloading\WalkAndUnGZ.bat" "%USERPROFILE%\AppData\Local\Temp\OnboardLogs"\RTDC4023\2017-09-28</v>
      </c>
      <c r="AF156" s="74" t="str">
        <f t="shared" si="109"/>
        <v>"C:\Program Files (x86)\AstroGrep\AstroGrep.exe" /e /r /s /spath="%USERPROFILE%\AppData\Local\Temp\OnboardLogs" /stypes="app*4023*20170927*" /stext=" 07:.+((SYSTEM_STATE.+slice.+state.+changed )|(ment ac)|(multiple cpu faults)|(system.+state.+changed )|(\[timeout)|(PRM\|1\|D)|(kpr)|(kdp)|(train st.+moving)|(\|lc)|(penalty))"</v>
      </c>
      <c r="AG156" s="181" t="str">
        <f t="shared" si="110"/>
        <v>EC</v>
      </c>
      <c r="AH156" s="78" t="str">
        <f t="shared" si="127"/>
        <v>"%USERPROFILE%\Documents\GitHub\eaglep3\Utilities\RefineRTDCRunTimes.py" --tripid 242-26 --locoid 4023 --swversion DE.1.0.9.0 --startMP 204:232991 --initTime 2017-09-27T00:50:18 --startdatetime 2017-09-27T00:57:20 --delay 67 --endMP 204:127 --enddatetime 2017-09-27T01:34:50 --enforcementcount 0 &gt;&gt;c:\users\stu\Documents\GitHub\eaglep3-reporting\EC\2017-09-26-refined-times.txt</v>
      </c>
      <c r="AI156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{"issue":{"subject":"","project_id":79,"tracker_id":40,"status_id":1,"priority_id":2,"assigned_to_id":338,"start_date":"2017-09-27","description":"","custom_fields":[{"id":1,"name":"Subdivision","value":"EC"},{"id":4,"name":"Milepost","value":"0.0127"},{"id":17,"name":"Train ID","value":"242-26"},{"id":16,"name":"Locomotive ID","value":"4023"},{"id":130,"name":"Impact","value":""},{"id":150,"name":"Time of Event (Mountain Time)","value":"01:34:50"},{"id":151,"name":"Denver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29"/>
        <v>start /low /b %USERPROFILE%\Documents\GitHub\eaglep3\Utilities\DownloadLogsFromS3.py --loco 4023 --day 2017-09-27</v>
      </c>
      <c r="AN156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7" t="str">
        <f t="shared" si="131"/>
        <v>https://d0f6bd738d7f1b3e5a7ca70fe4ff75f0.us-east-1.aws.found.io/app/kibana#/discover/Steve-Slow-Train-Analysis-(2080s-and-2083s)?_g=(refreshInterval:(display:Off,pause:!f,section:0,value:0),time:(from:'2017-09-26T23:50:18-0600',mode:absolute,to:'2017-09-27T02:34:50-0600'))&amp;_a=(columns:!('Message%20ID',Summary),filters:!(),index:'emp_*',interval:auto,query:(query_string:(analyze_wildcard:!t,query:'%22rtdc.l.rtdc.4023%22')),sort:!(Time.ISO8601,asc))</v>
      </c>
    </row>
    <row r="157" spans="1:91" s="20" customFormat="1" x14ac:dyDescent="0.25">
      <c r="A157" s="32" t="s">
        <v>845</v>
      </c>
      <c r="B157" s="7">
        <v>4010</v>
      </c>
      <c r="C157" s="21" t="s">
        <v>196</v>
      </c>
      <c r="D157" s="21" t="s">
        <v>561</v>
      </c>
      <c r="E157" s="13">
        <v>43005.017592592594</v>
      </c>
      <c r="F157" s="13">
        <v>43005.021087962959</v>
      </c>
      <c r="G157" s="7">
        <v>65</v>
      </c>
      <c r="H157" s="21" t="s">
        <v>400</v>
      </c>
      <c r="I157" s="13">
        <v>43005.044803240744</v>
      </c>
      <c r="J157" s="7">
        <v>0</v>
      </c>
      <c r="K157" s="89" t="str">
        <f t="shared" si="101"/>
        <v>4009/4010</v>
      </c>
      <c r="L157" s="184" t="str">
        <f>VLOOKUP(A157,'[1]Trips&amp;Operators'!$C$1:$G$99911,5,FALSE)</f>
        <v>HART KEVIN</v>
      </c>
      <c r="M157" s="6">
        <f t="shared" si="102"/>
        <v>2.3715277784503996E-2</v>
      </c>
      <c r="N157" s="7">
        <f t="shared" si="116"/>
        <v>34.150000009685755</v>
      </c>
      <c r="O157" s="7"/>
      <c r="P157" s="7"/>
      <c r="Q157" s="22"/>
      <c r="R157" s="173"/>
      <c r="S157" s="220">
        <f t="shared" si="77"/>
        <v>1</v>
      </c>
      <c r="T157" s="173" t="str">
        <f t="shared" si="103"/>
        <v>NorthBound</v>
      </c>
      <c r="U157" s="197">
        <f>IF(AG157="EC",COUNTIFS([1]Variables!$M$2:$M$19,IF(T157="NorthBound","&gt;=","&lt;=")&amp;Y157,[1]Variables!$M$2:$M$19,IF(T157="NorthBound","&lt;=","&gt;=")&amp;Z157),COUNTIFS([1]Variables!$P$2:$P$19,IF(T157="NorthBound","&gt;=","&lt;=")&amp;Y157,[1]Variables!$P$2:$P$19,IF(T157="NorthBound","&lt;=","&gt;=")&amp;Z157))</f>
        <v>12</v>
      </c>
      <c r="V157" s="215" t="str">
        <f t="shared" si="104"/>
        <v>https://d0f6bd738d7f1b3e5a7ca70fe4ff75f0.us-east-1.aws.found.io/app/kibana#/discover/Steve-Slow-Train-Analysis-(2080s-and-2083s)?_g=(refreshInterval:(display:Off,pause:!f,section:0,value:0),time:(from:'2017-09-26T23:25:20-0600',mode:absolute,to:'2017-09-27T02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7" s="203" t="str">
        <f>IF(AA157&lt;VLOOKUP(AG157,[1]Variables!$AC$3:$AD$8,2,FALSE),"Y","N")</f>
        <v>N</v>
      </c>
      <c r="X157" s="203">
        <f t="shared" si="105"/>
        <v>1</v>
      </c>
      <c r="Y157" s="203">
        <f t="shared" si="142"/>
        <v>4.3799999999999999E-2</v>
      </c>
      <c r="Z157" s="203">
        <f t="shared" si="143"/>
        <v>23.3293</v>
      </c>
      <c r="AA157" s="203">
        <f t="shared" si="106"/>
        <v>23.285499999999999</v>
      </c>
      <c r="AB157" s="54" t="e">
        <f>VLOOKUP(A157,[1]Enforcements!$C$7:$K$11,8,0)</f>
        <v>#N/A</v>
      </c>
      <c r="AC157" s="51" t="e">
        <f>VLOOKUP(A157,[1]Enforcements!$C$7:$E$11,3,0)</f>
        <v>#N/A</v>
      </c>
      <c r="AD157" s="178">
        <f t="shared" si="107"/>
        <v>243</v>
      </c>
      <c r="AE157" s="77" t="str">
        <f t="shared" si="108"/>
        <v>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 &amp; aws s3 cp s3://rtdc.mdm.uploadarchive.raw/RTDC4010/ "%USERPROFILE%\AppData\Local\Temp\OnboardLogs"\RTDC4010\2017-09-28 --exclude "*" --recursive --include "*20170928*" &amp; "%USERPROFILE%\Documents\GitHub\mrs-test-scripts\Headless Mode &amp; Sideloading\WalkAndUnGZ.bat" "%USERPROFILE%\AppData\Local\Temp\OnboardLogs"\RTDC4010\2017-09-28</v>
      </c>
      <c r="AF157" s="74" t="str">
        <f t="shared" si="109"/>
        <v>"C:\Program Files (x86)\AstroGrep\AstroGrep.exe" /e /r /s /spath="%USERPROFILE%\AppData\Local\Temp\OnboardLogs" /stypes="app*4010*20170927*" /stext=" 07:.+((SYSTEM_STATE.+slice.+state.+changed )|(ment ac)|(multiple cpu faults)|(system.+state.+changed )|(\[timeout)|(PRM\|1\|D)|(kpr)|(kdp)|(train st.+moving)|(\|lc)|(penalty))"</v>
      </c>
      <c r="AG157" s="181" t="str">
        <f t="shared" si="110"/>
        <v>EC</v>
      </c>
      <c r="AH157" s="78" t="str">
        <f t="shared" si="127"/>
        <v>"%USERPROFILE%\Documents\GitHub\eaglep3\Utilities\RefineRTDCRunTimes.py" --tripid 243-26 --locoid 4010 --swversion DE.1.0.9.0 --startMP 204:438 --initTime 2017-09-27T00:25:20 --startdatetime 2017-09-27T00:30:22 --delay 65 --endMP 204:233293 --enddatetime 2017-09-27T01:04:31 --enforcementcount 0 &gt;&gt;c:\users\stu\Documents\GitHub\eaglep3-reporting\EC\2017-09-26-refined-times.txt</v>
      </c>
      <c r="AI157" s="96" t="str">
        <f t="shared" si="128"/>
        <v>echo {"issue":{"subject":"","project_id":79,"tracker_id":40,"status_id":1,"priority_id":2,"assigned_to_id":338,"start_date":"2017-09-27","description":"","custom_fields":[{"id":1,"name":"Subdivision","value":"EC"},{"id":4,"name":"Milepost","value":"23.3293"},{"id":17,"name":"Train ID","value":"243-26"},{"id":16,"name":"Locomotive ID","value":"4010"},{"id":130,"name":"Impact","value":""},{"id":150,"name":"Time of Event (Mountain Time)","value":"01:04:31"},{"id":151,"name":"Denver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29"/>
        <v>start /low /b %USERPROFILE%\Documents\GitHub\eaglep3\Utilities\DownloadLogsFromS3.py --loco 4010 --day 2017-09-27</v>
      </c>
      <c r="AN157" s="151" t="str">
        <f t="shared" si="1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7" t="str">
        <f t="shared" si="131"/>
        <v>https://d0f6bd738d7f1b3e5a7ca70fe4ff75f0.us-east-1.aws.found.io/app/kibana#/discover/Steve-Slow-Train-Analysis-(2080s-and-2083s)?_g=(refreshInterval:(display:Off,pause:!f,section:0,value:0),time:(from:'2017-09-26T23:25:20-0600',mode:absolute,to:'2017-09-27T02:04:31-0600'))&amp;_a=(columns:!('Message%20ID',Summary),filters:!(),index:'emp_*',interval:auto,query:(query_string:(analyze_wildcard:!t,query:'%22rtdc.l.rtdc.4010%22')),sort:!(Time.ISO8601,asc))</v>
      </c>
    </row>
    <row r="158" spans="1:91" s="20" customFormat="1" x14ac:dyDescent="0.25">
      <c r="A158" s="32" t="s">
        <v>637</v>
      </c>
      <c r="B158" s="7">
        <v>4009</v>
      </c>
      <c r="C158" s="21" t="s">
        <v>196</v>
      </c>
      <c r="D158" s="21" t="s">
        <v>561</v>
      </c>
      <c r="E158" s="13">
        <v>43005.017592592594</v>
      </c>
      <c r="F158" s="13">
        <v>43005.060671296298</v>
      </c>
      <c r="G158" s="7">
        <v>65</v>
      </c>
      <c r="H158" s="21" t="s">
        <v>400</v>
      </c>
      <c r="I158" s="13">
        <v>43005.086157407408</v>
      </c>
      <c r="J158" s="7">
        <v>0</v>
      </c>
      <c r="K158" s="89" t="str">
        <f t="shared" si="101"/>
        <v>4009/4010</v>
      </c>
      <c r="L158" s="184" t="str">
        <f>VLOOKUP(A158,'[1]Trips&amp;Operators'!$C$1:$G$99911,5,FALSE)</f>
        <v>HART KEVIN</v>
      </c>
      <c r="M158" s="6">
        <f t="shared" si="102"/>
        <v>2.548611110978527E-2</v>
      </c>
      <c r="N158" s="7">
        <f t="shared" si="116"/>
        <v>36.699999998090789</v>
      </c>
      <c r="O158" s="7"/>
      <c r="P158" s="7"/>
      <c r="Q158" s="22"/>
      <c r="R158" s="173"/>
      <c r="S158" s="220">
        <f t="shared" si="77"/>
        <v>1</v>
      </c>
      <c r="T158" s="173" t="str">
        <f t="shared" si="103"/>
        <v>Southbound</v>
      </c>
      <c r="U158" s="197">
        <f>IF(AG158="EC",COUNTIFS([1]Variables!$M$2:$M$19,IF(T158="NorthBound","&gt;=","&lt;=")&amp;Y158,[1]Variables!$M$2:$M$19,IF(T158="NorthBound","&lt;=","&gt;=")&amp;Z158),COUNTIFS([1]Variables!$P$2:$P$19,IF(T158="NorthBound","&gt;=","&lt;=")&amp;Y158,[1]Variables!$P$2:$P$19,IF(T158="NorthBound","&lt;=","&gt;=")&amp;Z158))</f>
        <v>12</v>
      </c>
      <c r="V158" s="215" t="str">
        <f t="shared" si="104"/>
        <v>https://d0f6bd738d7f1b3e5a7ca70fe4ff75f0.us-east-1.aws.found.io/app/kibana#/discover/Steve-Slow-Train-Analysis-(2080s-and-2083s)?_g=(refreshInterval:(display:Off,pause:!f,section:0,value:0),time:(from:'2017-09-26T23:25:20-0600',mode:absolute,to:'2017-09-27T03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8" s="203" t="str">
        <f>IF(AA158&lt;VLOOKUP(AG158,[1]Variables!$AC$3:$AD$8,2,FALSE),"Y","N")</f>
        <v>N</v>
      </c>
      <c r="X158" s="203">
        <f t="shared" si="105"/>
        <v>1</v>
      </c>
      <c r="Y158" s="203">
        <v>23.299099999999999</v>
      </c>
      <c r="Z158" s="203">
        <v>1.2699999999999999E-2</v>
      </c>
      <c r="AA158" s="203">
        <f t="shared" si="106"/>
        <v>23.2864</v>
      </c>
      <c r="AB158" s="54" t="e">
        <f>VLOOKUP(A158,[1]Enforcements!$C$7:$K$11,8,0)</f>
        <v>#N/A</v>
      </c>
      <c r="AC158" s="51" t="e">
        <f>VLOOKUP(A158,[1]Enforcements!$C$7:$E$11,3,0)</f>
        <v>#N/A</v>
      </c>
      <c r="AD158" s="178">
        <f t="shared" si="107"/>
        <v>244</v>
      </c>
      <c r="AE158" s="77" t="str">
        <f t="shared" si="108"/>
        <v>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 &amp; 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</v>
      </c>
      <c r="AF158" s="74" t="str">
        <f t="shared" si="109"/>
        <v>"C:\Program Files (x86)\AstroGrep\AstroGrep.exe" /e /r /s /spath="%USERPROFILE%\AppData\Local\Temp\OnboardLogs" /stypes="app*4009*20170927*" /stext=" 08:.+((SYSTEM_STATE.+slice.+state.+changed )|(ment ac)|(multiple cpu faults)|(system.+state.+changed )|(\[timeout)|(PRM\|1\|D)|(kpr)|(kdp)|(train st.+moving)|(\|lc)|(penalty))"</v>
      </c>
      <c r="AG158" s="181" t="str">
        <f t="shared" si="110"/>
        <v>EC</v>
      </c>
      <c r="AH158" s="78" t="str">
        <f t="shared" ref="AH158" si="144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244-26 --locoid 4009 --swversion DE.1.0.9.0 --startMP 204:438 --initTime 2017-09-27T00:25:20 --startdatetime 2017-09-27T01:27:22 --delay 65 --endMP 204:233293 --enddatetime 2017-09-27T02:04:04 --enforcementcount 0 &gt;&gt;c:\users\stu\Documents\GitHub\eaglep3-reporting\EC\2017-09-26-refined-times.txt</v>
      </c>
      <c r="AI158" s="96" t="str">
        <f t="shared" ref="AI158" si="145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{"issue":{"subject":"","project_id":79,"tracker_id":40,"status_id":1,"priority_id":2,"assigned_to_id":338,"start_date":"2017-09-27","description":"","custom_fields":[{"id":1,"name":"Subdivision","value":"EC"},{"id":4,"name":"Milepost","value":"0.0127"},{"id":17,"name":"Train ID","value":"244-26"},{"id":16,"name":"Locomotive ID","value":"4009"},{"id":130,"name":"Impact","value":""},{"id":150,"name":"Time of Event (Mountain Time)","value":"02:04:04"},{"id":151,"name":"Denver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ref="AM158" si="146">"start /low /b "&amp;dls3logs&amp;" --loco "&amp;B158&amp;" --day "&amp;TEXT(F158,"YYYY-MM-DD")</f>
        <v>start /low /b %USERPROFILE%\Documents\GitHub\eaglep3\Utilities\DownloadLogsFromS3.py --loco 4009 --day 2017-09-27</v>
      </c>
      <c r="AN158" s="151" t="str">
        <f t="shared" ref="AN158" si="147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08:04:04"},{"id":29,"name":"Sharepoint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7" t="str">
        <f t="shared" ref="AO158" si="148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-26T23:25:20-0600',mode:absolute,to:'2017-09-27T03:04:04-0600'))&amp;_a=(columns:!('Message%20ID',Summary),filters:!(),index:'emp_*',interval:auto,query:(query_string:(analyze_wildcard:!t,query:'%22rtdc.l.rtdc.4009%22')),sort:!(Time.ISO8601,asc))</v>
      </c>
    </row>
    <row r="159" spans="1:91" s="20" customFormat="1" x14ac:dyDescent="0.25">
      <c r="A159" s="32" t="s">
        <v>661</v>
      </c>
      <c r="B159" s="7">
        <v>4063</v>
      </c>
      <c r="C159" s="21" t="s">
        <v>196</v>
      </c>
      <c r="D159" s="21" t="s">
        <v>596</v>
      </c>
      <c r="E159" s="13">
        <v>43004.215381944443</v>
      </c>
      <c r="F159" s="13">
        <v>43004.216921296298</v>
      </c>
      <c r="G159" s="7">
        <v>78</v>
      </c>
      <c r="H159" s="21" t="s">
        <v>482</v>
      </c>
      <c r="I159" s="13">
        <v>43004.227395833332</v>
      </c>
      <c r="J159" s="7">
        <v>0</v>
      </c>
      <c r="K159" s="89" t="str">
        <f t="shared" ref="K159:K210" si="149">IF(ISEVEN(B159),(B159-1)&amp;"/"&amp;B159,B159&amp;"/"&amp;(B159+1))</f>
        <v>4063/4064</v>
      </c>
      <c r="L159" s="184" t="str">
        <f>VLOOKUP(A159,'Trips&amp;Operators'!$C$1:$G$99911,5,FALSE)</f>
        <v>YANG JAN</v>
      </c>
      <c r="M159" s="6">
        <f t="shared" ref="M159:M210" si="150">I159-F159</f>
        <v>1.0474537033587694E-2</v>
      </c>
      <c r="N159" s="7">
        <f t="shared" ref="N159:N189" si="151">24*60*SUM($M159:$M159)</f>
        <v>15.08333332836628</v>
      </c>
      <c r="O159" s="7"/>
      <c r="P159" s="7"/>
      <c r="Q159" s="22"/>
      <c r="R159" s="173"/>
      <c r="S159" s="220">
        <f t="shared" ref="S159:S210" si="152">1/IF(AG159="EC",12,1)*SUM(U159:U159)</f>
        <v>1</v>
      </c>
      <c r="T159" s="173" t="str">
        <f t="shared" ref="T159:T210" si="153">IF(ISEVEN(LEFT(AD159,4)),"Southbound","NorthBound")</f>
        <v>Southbound</v>
      </c>
      <c r="U159" s="19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5" t="str">
        <f t="shared" ref="V159:V210" si="154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-26T04:10:09-0600',mode:absolute,to:'2017-09-26T06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03" t="str">
        <f>IF(AA159&lt;VLOOKUP(AG159,Variables!$AC$3:$AD$8,2,FALSE),"Y","N")</f>
        <v>N</v>
      </c>
      <c r="X159" s="203">
        <f t="shared" si="105"/>
        <v>556</v>
      </c>
      <c r="Y159" s="203">
        <f t="shared" ref="Y159:Y210" si="155">RIGHT(D159,LEN(D159)-4)/10000</f>
        <v>5.8654999999999999</v>
      </c>
      <c r="Z159" s="203">
        <f t="shared" ref="Z159:Z210" si="156">RIGHT(H159,LEN(H159)-4)/10000</f>
        <v>6.7100000000000007E-2</v>
      </c>
      <c r="AA159" s="203">
        <f t="shared" ref="AA159:AA210" si="157">ABS(Z159-Y159)</f>
        <v>5.7984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8">
        <f t="shared" ref="AD159:AD210" si="158">VALUE(LEFT(A159,LEN(A159)-3))</f>
        <v>800</v>
      </c>
      <c r="AE159" s="77" t="str">
        <f t="shared" ref="AE159:AE210" si="159"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59" s="74" t="str">
        <f t="shared" ref="AF159:AF210" si="160"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/stypes="app*4063*20170926*" /stext=" 11:.+((SYSTEM_STATE.+slice.+state.+changed )|(ment ac)|(multiple cpu faults)|(system.+state.+changed )|(\[timeout)|(PRM\|1\|D)|(kpr)|(kdp)|(train st.+moving)|(\|lc)|(penalty))"</v>
      </c>
      <c r="AG159" s="181" t="str">
        <f t="shared" ref="AG159:AG210" si="161">DetSubdiv(A159)</f>
        <v>NW</v>
      </c>
      <c r="AH159" s="78" t="str">
        <f t="shared" ref="AH159:AH212" si="162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800-26 --locoid 4063 --swversion DE.1.0.9.0 --startMP 300:58655 --initTime 2017-09-26T05:10:09 --startdatetime 2017-09-26T05:12:22 --delay 78 --endMP 204:671 --enddatetime 2017-09-26T05:27:27 --enforcementcount 0 &gt;&gt;c:\users\stu\Documents\GitHub\eaglep3-reporting\EC\2017-09-26-refined-times.txt</v>
      </c>
      <c r="AI159" s="96" t="str">
        <f t="shared" ref="AI159:AI212" si="163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{"issue":{"subject":"","project_id":79,"tracker_id":40,"status_id":1,"priority_id":2,"assigned_to_id":338,"start_date":"2017-09-26","description":"","custom_fields":[{"id":1,"name":"Subdivision","value":"NW"},{"id":4,"name":"Milepost","value":"0.0671"},{"id":17,"name":"Train ID","value":"800-26"},{"id":16,"name":"Locomotive ID","value":"4063"},{"id":130,"name":"Impact","value":""},{"id":150,"name":"Time of Event (Mountain Time)","value":"05:27:27"},{"id":151,"name":"Denver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ref="AM159:AM212" si="164">"start /low /b "&amp;dls3logs&amp;" --loco "&amp;B159&amp;" --day "&amp;TEXT(F159,"YYYY-MM-DD")</f>
        <v>start /low /b %USERPROFILE%\Documents\GitHub\eaglep3\Utilities\DownloadLogsFromS3.py --loco 4063 --day 2017-09-26</v>
      </c>
      <c r="AN159" s="151" t="str">
        <f t="shared" ref="AN159:AN212" si="165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7" t="str">
        <f t="shared" ref="AO159:AO212" si="166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-26T04:10:09-0600',mode:absolute,to:'2017-09-26T06:27:27-0600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665</v>
      </c>
      <c r="B160" s="7">
        <v>4064</v>
      </c>
      <c r="C160" s="21" t="s">
        <v>196</v>
      </c>
      <c r="D160" s="21" t="s">
        <v>937</v>
      </c>
      <c r="E160" s="13">
        <v>43004.232349537036</v>
      </c>
      <c r="F160" s="13">
        <v>43004.23578703704</v>
      </c>
      <c r="G160" s="7">
        <v>144</v>
      </c>
      <c r="H160" s="21" t="s">
        <v>938</v>
      </c>
      <c r="I160" s="13">
        <v>43004.247430555559</v>
      </c>
      <c r="J160" s="7">
        <v>0</v>
      </c>
      <c r="K160" s="89" t="str">
        <f t="shared" si="149"/>
        <v>4063/4064</v>
      </c>
      <c r="L160" s="184" t="str">
        <f>VLOOKUP(A160,'Trips&amp;Operators'!$C$1:$G$99911,5,FALSE)</f>
        <v>YANG JAN</v>
      </c>
      <c r="M160" s="6">
        <f t="shared" si="150"/>
        <v>1.1643518519122154E-2</v>
      </c>
      <c r="N160" s="7">
        <f t="shared" si="151"/>
        <v>16.766666667535901</v>
      </c>
      <c r="O160" s="7"/>
      <c r="P160" s="7"/>
      <c r="Q160" s="22"/>
      <c r="R160" s="173"/>
      <c r="S160" s="220">
        <f t="shared" si="152"/>
        <v>1</v>
      </c>
      <c r="T160" s="173" t="str">
        <f t="shared" si="153"/>
        <v>NorthBound</v>
      </c>
      <c r="U160" s="19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5" t="str">
        <f t="shared" si="154"/>
        <v>https://d0f6bd738d7f1b3e5a7ca70fe4ff75f0.us-east-1.aws.found.io/app/kibana#/discover/Steve-Slow-Train-Analysis-(2080s-and-2083s)?_g=(refreshInterval:(display:Off,pause:!f,section:0,value:0),time:(from:'2017-09-26T04:34:35-0600',mode:absolute,to:'2017-09-26T06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0" s="203" t="str">
        <f>IF(AA160&lt;VLOOKUP(AG160,Variables!$AC$3:$AD$8,2,FALSE),"Y","N")</f>
        <v>N</v>
      </c>
      <c r="X160" s="203">
        <f t="shared" si="105"/>
        <v>1</v>
      </c>
      <c r="Y160" s="203">
        <f t="shared" si="155"/>
        <v>9.8299999999999998E-2</v>
      </c>
      <c r="Z160" s="203">
        <f t="shared" si="156"/>
        <v>5.8949999999999996</v>
      </c>
      <c r="AA160" s="203">
        <f t="shared" si="157"/>
        <v>5.7966999999999995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8">
        <f t="shared" si="158"/>
        <v>801</v>
      </c>
      <c r="AE160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60" s="74" t="str">
        <f t="shared" si="160"/>
        <v>"C:\Program Files (x86)\AstroGrep\AstroGrep.exe" /e /r /s /spath="%USERPROFILE%\AppData\Local\Temp\OnboardLogs" /stypes="app*4064*20170926*" /stext=" 11:.+((SYSTEM_STATE.+slice.+state.+changed )|(ment ac)|(multiple cpu faults)|(system.+state.+changed )|(\[timeout)|(PRM\|1\|D)|(kpr)|(kdp)|(train st.+moving)|(\|lc)|(penalty))"</v>
      </c>
      <c r="AG160" s="181" t="str">
        <f t="shared" si="161"/>
        <v>NW</v>
      </c>
      <c r="AH160" s="78" t="str">
        <f t="shared" si="162"/>
        <v>"%USERPROFILE%\Documents\GitHub\eaglep3\Utilities\RefineRTDCRunTimes.py" --tripid 801-26 --locoid 4064 --swversion DE.1.0.9.0 --startMP 204:983 --initTime 2017-09-26T05:34:35 --startdatetime 2017-09-26T05:39:32 --delay 144 --endMP 300:58950 --enddatetime 2017-09-26T05:56:18 --enforcementcount 0 &gt;&gt;c:\users\stu\Documents\GitHub\eaglep3-reporting\EC\2017-09-26-refined-times.txt</v>
      </c>
      <c r="AI160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{"issue":{"subject":"","project_id":79,"tracker_id":40,"status_id":1,"priority_id":2,"assigned_to_id":338,"start_date":"2017-09-26","description":"","custom_fields":[{"id":1,"name":"Subdivision","value":"NW"},{"id":4,"name":"Milepost","value":"5.895"},{"id":17,"name":"Train ID","value":"801-26"},{"id":16,"name":"Locomotive ID","value":"4064"},{"id":130,"name":"Impact","value":""},{"id":150,"name":"Time of Event (Mountain Time)","value":"05:56:18"},{"id":151,"name":"Denver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64"/>
        <v>start /low /b %USERPROFILE%\Documents\GitHub\eaglep3\Utilities\DownloadLogsFromS3.py --loco 4064 --day 2017-09-26</v>
      </c>
      <c r="AN160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7" t="str">
        <f t="shared" si="166"/>
        <v>https://d0f6bd738d7f1b3e5a7ca70fe4ff75f0.us-east-1.aws.found.io/app/kibana#/discover/Steve-Slow-Train-Analysis-(2080s-and-2083s)?_g=(refreshInterval:(display:Off,pause:!f,section:0,value:0),time:(from:'2017-09-26T04:34:35-0600',mode:absolute,to:'2017-09-26T06:56:18-0600'))&amp;_a=(columns:!('Message%20ID',Summary),filters:!(),index:'emp_*',interval:auto,query:(query_string:(analyze_wildcard:!t,query:'%22rtdc.l.rtdc.4064%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674</v>
      </c>
      <c r="B161" s="7">
        <v>4063</v>
      </c>
      <c r="C161" s="21" t="s">
        <v>196</v>
      </c>
      <c r="D161" s="21" t="s">
        <v>939</v>
      </c>
      <c r="E161" s="13">
        <v>43004.249745370369</v>
      </c>
      <c r="F161" s="13">
        <v>43004.254849537036</v>
      </c>
      <c r="G161" s="7">
        <v>68</v>
      </c>
      <c r="H161" s="21" t="s">
        <v>586</v>
      </c>
      <c r="I161" s="13">
        <v>43004.26730324074</v>
      </c>
      <c r="J161" s="7">
        <v>0</v>
      </c>
      <c r="K161" s="89" t="str">
        <f t="shared" si="149"/>
        <v>4063/4064</v>
      </c>
      <c r="L161" s="184" t="str">
        <f>VLOOKUP(A161,'Trips&amp;Operators'!$C$1:$G$99911,5,FALSE)</f>
        <v>YANG JAN</v>
      </c>
      <c r="M161" s="6">
        <f t="shared" si="150"/>
        <v>1.2453703704522923E-2</v>
      </c>
      <c r="N161" s="7">
        <f t="shared" si="151"/>
        <v>17.933333334513009</v>
      </c>
      <c r="O161" s="7"/>
      <c r="P161" s="7"/>
      <c r="Q161" s="22"/>
      <c r="R161" s="173"/>
      <c r="S161" s="220">
        <f t="shared" si="152"/>
        <v>1</v>
      </c>
      <c r="T161" s="173" t="str">
        <f t="shared" si="153"/>
        <v>Southbound</v>
      </c>
      <c r="U161" s="19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154"/>
        <v>https://d0f6bd738d7f1b3e5a7ca70fe4ff75f0.us-east-1.aws.found.io/app/kibana#/discover/Steve-Slow-Train-Analysis-(2080s-and-2083s)?_g=(refreshInterval:(display:Off,pause:!f,section:0,value:0),time:(from:'2017-09-26T04:59:38-0600',mode:absolute,to:'2017-09-26T07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1" s="203" t="str">
        <f>IF(AA161&lt;VLOOKUP(AG161,Variables!$AC$3:$AD$8,2,FALSE),"Y","N")</f>
        <v>N</v>
      </c>
      <c r="X161" s="203">
        <f t="shared" ref="X161:X179" si="167">VALUE(LEFT(AD161,4))-VALUE(LEFT(AD160,4))</f>
        <v>1</v>
      </c>
      <c r="Y161" s="203">
        <f t="shared" si="155"/>
        <v>5.8635999999999999</v>
      </c>
      <c r="Z161" s="203">
        <f t="shared" si="156"/>
        <v>6.9099999999999995E-2</v>
      </c>
      <c r="AA161" s="203">
        <f t="shared" si="157"/>
        <v>5.7945000000000002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8">
        <f t="shared" si="158"/>
        <v>802</v>
      </c>
      <c r="AE161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61" s="74" t="str">
        <f t="shared" si="160"/>
        <v>"C:\Program Files (x86)\AstroGrep\AstroGrep.exe" /e /r /s /spath="%USERPROFILE%\AppData\Local\Temp\OnboardLogs" /stypes="app*4063*20170926*" /stext=" 12:.+((SYSTEM_STATE.+slice.+state.+changed )|(ment ac)|(multiple cpu faults)|(system.+state.+changed )|(\[timeout)|(PRM\|1\|D)|(kpr)|(kdp)|(train st.+moving)|(\|lc)|(penalty))"</v>
      </c>
      <c r="AG161" s="181" t="str">
        <f t="shared" si="161"/>
        <v>NW</v>
      </c>
      <c r="AH161" s="78" t="str">
        <f t="shared" si="162"/>
        <v>"%USERPROFILE%\Documents\GitHub\eaglep3\Utilities\RefineRTDCRunTimes.py" --tripid 802-26 --locoid 4063 --swversion DE.1.0.9.0 --startMP 300:58636 --initTime 2017-09-26T05:59:38 --startdatetime 2017-09-26T06:06:59 --delay 68 --endMP 204:691 --enddatetime 2017-09-26T06:24:55 --enforcementcount 0 &gt;&gt;c:\users\stu\Documents\GitHub\eaglep3-reporting\EC\2017-09-26-refined-times.txt</v>
      </c>
      <c r="AI161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{"issue":{"subject":"","project_id":79,"tracker_id":40,"status_id":1,"priority_id":2,"assigned_to_id":338,"start_date":"2017-09-26","description":"","custom_fields":[{"id":1,"name":"Subdivision","value":"NW"},{"id":4,"name":"Milepost","value":"0.0691"},{"id":17,"name":"Train ID","value":"802-26"},{"id":16,"name":"Locomotive ID","value":"4063"},{"id":130,"name":"Impact","value":""},{"id":150,"name":"Time of Event (Mountain Time)","value":"06:24:55"},{"id":151,"name":"Denver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64"/>
        <v>start /low /b %USERPROFILE%\Documents\GitHub\eaglep3\Utilities\DownloadLogsFromS3.py --loco 4063 --day 2017-09-26</v>
      </c>
      <c r="AN161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7" t="str">
        <f t="shared" si="166"/>
        <v>https://d0f6bd738d7f1b3e5a7ca70fe4ff75f0.us-east-1.aws.found.io/app/kibana#/discover/Steve-Slow-Train-Analysis-(2080s-and-2083s)?_g=(refreshInterval:(display:Off,pause:!f,section:0,value:0),time:(from:'2017-09-26T04:59:38-0600',mode:absolute,to:'2017-09-26T07:24:55-0600'))&amp;_a=(columns:!('Message%20ID',Summary),filters:!(),index:'emp_*',interval:auto,query:(query_string:(analyze_wildcard:!t,query:'%22rtdc.l.rtdc.4063%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675</v>
      </c>
      <c r="B162" s="7">
        <v>4066</v>
      </c>
      <c r="C162" s="21" t="s">
        <v>196</v>
      </c>
      <c r="D162" s="21" t="s">
        <v>483</v>
      </c>
      <c r="E162" s="13">
        <v>43004.251226851855</v>
      </c>
      <c r="F162" s="13">
        <v>43004.256469907406</v>
      </c>
      <c r="G162" s="7">
        <v>60</v>
      </c>
      <c r="H162" s="21" t="s">
        <v>940</v>
      </c>
      <c r="I162" s="13">
        <v>43004.268495370372</v>
      </c>
      <c r="J162" s="7">
        <v>0</v>
      </c>
      <c r="K162" s="89" t="str">
        <f t="shared" si="149"/>
        <v>4065/4066</v>
      </c>
      <c r="L162" s="184" t="str">
        <f>VLOOKUP(A162,'Trips&amp;Operators'!$C$1:$G$99911,5,FALSE)</f>
        <v>FORTUNATO FRANK</v>
      </c>
      <c r="M162" s="6">
        <f t="shared" si="150"/>
        <v>1.2025462965539191E-2</v>
      </c>
      <c r="N162" s="7">
        <f t="shared" si="151"/>
        <v>17.316666670376435</v>
      </c>
      <c r="O162" s="7"/>
      <c r="P162" s="7"/>
      <c r="Q162" s="22"/>
      <c r="R162" s="173"/>
      <c r="S162" s="220">
        <f t="shared" si="152"/>
        <v>1</v>
      </c>
      <c r="T162" s="173" t="str">
        <f t="shared" si="153"/>
        <v>NorthBound</v>
      </c>
      <c r="U162" s="19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154"/>
        <v>https://d0f6bd738d7f1b3e5a7ca70fe4ff75f0.us-east-1.aws.found.io/app/kibana#/discover/Steve-Slow-Train-Analysis-(2080s-and-2083s)?_g=(refreshInterval:(display:Off,pause:!f,section:0,value:0),time:(from:'2017-09-26T05:01:46-0600',mode:absolute,to:'2017-09-26T07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2" s="203" t="str">
        <f>IF(AA162&lt;VLOOKUP(AG162,Variables!$AC$3:$AD$8,2,FALSE),"Y","N")</f>
        <v>N</v>
      </c>
      <c r="X162" s="203">
        <f t="shared" si="167"/>
        <v>1</v>
      </c>
      <c r="Y162" s="203">
        <f t="shared" si="155"/>
        <v>9.74E-2</v>
      </c>
      <c r="Z162" s="203">
        <f t="shared" si="156"/>
        <v>5.8960999999999997</v>
      </c>
      <c r="AA162" s="203">
        <f t="shared" si="157"/>
        <v>5.7986999999999993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8">
        <f t="shared" si="158"/>
        <v>803</v>
      </c>
      <c r="AE162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62" s="74" t="str">
        <f t="shared" si="160"/>
        <v>"C:\Program Files (x86)\AstroGrep\AstroGrep.exe" /e /r /s /spath="%USERPROFILE%\AppData\Local\Temp\OnboardLogs" /stypes="app*4066*20170926*" /stext=" 12:.+((SYSTEM_STATE.+slice.+state.+changed )|(ment ac)|(multiple cpu faults)|(system.+state.+changed )|(\[timeout)|(PRM\|1\|D)|(kpr)|(kdp)|(train st.+moving)|(\|lc)|(penalty))"</v>
      </c>
      <c r="AG162" s="181" t="str">
        <f t="shared" si="161"/>
        <v>NW</v>
      </c>
      <c r="AH162" s="78" t="str">
        <f t="shared" si="162"/>
        <v>"%USERPROFILE%\Documents\GitHub\eaglep3\Utilities\RefineRTDCRunTimes.py" --tripid 803-26 --locoid 4066 --swversion DE.1.0.9.0 --startMP 204:974 --initTime 2017-09-26T06:01:46 --startdatetime 2017-09-26T06:09:19 --delay 60 --endMP 300:58961 --enddatetime 2017-09-26T06:26:38 --enforcementcount 0 &gt;&gt;c:\users\stu\Documents\GitHub\eaglep3-reporting\EC\2017-09-26-refined-times.txt</v>
      </c>
      <c r="AI162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{"issue":{"subject":"","project_id":79,"tracker_id":40,"status_id":1,"priority_id":2,"assigned_to_id":338,"start_date":"2017-09-26","description":"","custom_fields":[{"id":1,"name":"Subdivision","value":"NW"},{"id":4,"name":"Milepost","value":"5.8961"},{"id":17,"name":"Train ID","value":"803-26"},{"id":16,"name":"Locomotive ID","value":"4066"},{"id":130,"name":"Impact","value":""},{"id":150,"name":"Time of Event (Mountain Time)","value":"06:26:38"},{"id":151,"name":"Denver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64"/>
        <v>start /low /b %USERPROFILE%\Documents\GitHub\eaglep3\Utilities\DownloadLogsFromS3.py --loco 4066 --day 2017-09-26</v>
      </c>
      <c r="AN162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7" t="str">
        <f t="shared" si="166"/>
        <v>https://d0f6bd738d7f1b3e5a7ca70fe4ff75f0.us-east-1.aws.found.io/app/kibana#/discover/Steve-Slow-Train-Analysis-(2080s-and-2083s)?_g=(refreshInterval:(display:Off,pause:!f,section:0,value:0),time:(from:'2017-09-26T05:01:46-0600',mode:absolute,to:'2017-09-26T07:26:38-0600'))&amp;_a=(columns:!('Message%20ID',Summary),filters:!(),index:'emp_*',interval:auto,query:(query_string:(analyze_wildcard:!t,query:'%22rtdc.l.rtdc.4066%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679</v>
      </c>
      <c r="B163" s="7">
        <v>4065</v>
      </c>
      <c r="C163" s="21" t="s">
        <v>196</v>
      </c>
      <c r="D163" s="21" t="s">
        <v>941</v>
      </c>
      <c r="E163" s="13">
        <v>43004.269988425927</v>
      </c>
      <c r="F163" s="13">
        <v>43004.272962962961</v>
      </c>
      <c r="G163" s="7">
        <v>59</v>
      </c>
      <c r="H163" s="21" t="s">
        <v>582</v>
      </c>
      <c r="I163" s="13">
        <v>43004.2887962963</v>
      </c>
      <c r="J163" s="7">
        <v>0</v>
      </c>
      <c r="K163" s="89" t="str">
        <f t="shared" si="149"/>
        <v>4065/4066</v>
      </c>
      <c r="L163" s="184" t="str">
        <f>VLOOKUP(A163,'Trips&amp;Operators'!$C$1:$G$99911,5,FALSE)</f>
        <v>FORTUNATO FRANK</v>
      </c>
      <c r="M163" s="6">
        <f t="shared" si="150"/>
        <v>1.5833333338377997E-2</v>
      </c>
      <c r="N163" s="7">
        <f t="shared" si="151"/>
        <v>22.800000007264316</v>
      </c>
      <c r="O163" s="7"/>
      <c r="P163" s="7"/>
      <c r="Q163" s="22"/>
      <c r="R163" s="173"/>
      <c r="S163" s="220">
        <f t="shared" si="152"/>
        <v>1</v>
      </c>
      <c r="T163" s="173" t="str">
        <f t="shared" si="153"/>
        <v>Southbound</v>
      </c>
      <c r="U163" s="19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154"/>
        <v>https://d0f6bd738d7f1b3e5a7ca70fe4ff75f0.us-east-1.aws.found.io/app/kibana#/discover/Steve-Slow-Train-Analysis-(2080s-and-2083s)?_g=(refreshInterval:(display:Off,pause:!f,section:0,value:0),time:(from:'2017-09-26T05:28:47-0600',mode:absolute,to:'2017-09-26T07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3" s="203" t="str">
        <f>IF(AA163&lt;VLOOKUP(AG163,Variables!$AC$3:$AD$8,2,FALSE),"Y","N")</f>
        <v>N</v>
      </c>
      <c r="X163" s="203">
        <f t="shared" si="167"/>
        <v>1</v>
      </c>
      <c r="Y163" s="203">
        <f t="shared" si="155"/>
        <v>5.8644999999999996</v>
      </c>
      <c r="Z163" s="203">
        <f t="shared" si="156"/>
        <v>6.7799999999999999E-2</v>
      </c>
      <c r="AA163" s="203">
        <f t="shared" si="157"/>
        <v>5.7966999999999995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8">
        <f t="shared" si="158"/>
        <v>804</v>
      </c>
      <c r="AE163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63" s="74" t="str">
        <f t="shared" si="160"/>
        <v>"C:\Program Files (x86)\AstroGrep\AstroGrep.exe" /e /r /s /spath="%USERPROFILE%\AppData\Local\Temp\OnboardLogs" /stypes="app*4065*20170926*" /stext=" 12:.+((SYSTEM_STATE.+slice.+state.+changed )|(ment ac)|(multiple cpu faults)|(system.+state.+changed )|(\[timeout)|(PRM\|1\|D)|(kpr)|(kdp)|(train st.+moving)|(\|lc)|(penalty))"</v>
      </c>
      <c r="AG163" s="181" t="str">
        <f t="shared" si="161"/>
        <v>NW</v>
      </c>
      <c r="AH163" s="78" t="str">
        <f t="shared" si="162"/>
        <v>"%USERPROFILE%\Documents\GitHub\eaglep3\Utilities\RefineRTDCRunTimes.py" --tripid 804-26 --locoid 4065 --swversion DE.1.0.9.0 --startMP 300:58645 --initTime 2017-09-26T06:28:47 --startdatetime 2017-09-26T06:33:04 --delay 59 --endMP 204:678 --enddatetime 2017-09-26T06:55:52 --enforcementcount 0 &gt;&gt;c:\users\stu\Documents\GitHub\eaglep3-reporting\EC\2017-09-26-refined-times.txt</v>
      </c>
      <c r="AI163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{"issue":{"subject":"","project_id":79,"tracker_id":40,"status_id":1,"priority_id":2,"assigned_to_id":338,"start_date":"2017-09-26","description":"","custom_fields":[{"id":1,"name":"Subdivision","value":"NW"},{"id":4,"name":"Milepost","value":"0.0678"},{"id":17,"name":"Train ID","value":"804-26"},{"id":16,"name":"Locomotive ID","value":"4065"},{"id":130,"name":"Impact","value":""},{"id":150,"name":"Time of Event (Mountain Time)","value":"06:55:52"},{"id":151,"name":"Denver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64"/>
        <v>start /low /b %USERPROFILE%\Documents\GitHub\eaglep3\Utilities\DownloadLogsFromS3.py --loco 4065 --day 2017-09-26</v>
      </c>
      <c r="AN163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7" t="str">
        <f t="shared" si="166"/>
        <v>https://d0f6bd738d7f1b3e5a7ca70fe4ff75f0.us-east-1.aws.found.io/app/kibana#/discover/Steve-Slow-Train-Analysis-(2080s-and-2083s)?_g=(refreshInterval:(display:Off,pause:!f,section:0,value:0),time:(from:'2017-09-26T05:28:47-0600',mode:absolute,to:'2017-09-26T07:55:52-0600'))&amp;_a=(columns:!('Message%20ID',Summary),filters:!(),index:'emp_*',interval:auto,query:(query_string:(analyze_wildcard:!t,query:'%22rtdc.l.rtdc.4065%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680</v>
      </c>
      <c r="B164" s="7">
        <v>4064</v>
      </c>
      <c r="C164" s="21" t="s">
        <v>196</v>
      </c>
      <c r="D164" s="21" t="s">
        <v>483</v>
      </c>
      <c r="E164" s="13">
        <v>43004.273460648146</v>
      </c>
      <c r="F164" s="13">
        <v>43004.277280092596</v>
      </c>
      <c r="G164" s="7">
        <v>60</v>
      </c>
      <c r="H164" s="21" t="s">
        <v>591</v>
      </c>
      <c r="I164" s="13">
        <v>43004.287777777776</v>
      </c>
      <c r="J164" s="7">
        <v>0</v>
      </c>
      <c r="K164" s="89" t="str">
        <f t="shared" si="149"/>
        <v>4063/4064</v>
      </c>
      <c r="L164" s="184" t="str">
        <f>VLOOKUP(A164,'Trips&amp;Operators'!$C$1:$G$99911,5,FALSE)</f>
        <v>YANG JAN</v>
      </c>
      <c r="M164" s="6">
        <f t="shared" si="150"/>
        <v>1.0497685179871041E-2</v>
      </c>
      <c r="N164" s="7">
        <f t="shared" si="151"/>
        <v>15.1166666590143</v>
      </c>
      <c r="O164" s="7"/>
      <c r="P164" s="7"/>
      <c r="Q164" s="22"/>
      <c r="R164" s="173"/>
      <c r="S164" s="220">
        <f t="shared" si="152"/>
        <v>1</v>
      </c>
      <c r="T164" s="173" t="str">
        <f t="shared" si="153"/>
        <v>NorthBound</v>
      </c>
      <c r="U164" s="19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154"/>
        <v>https://d0f6bd738d7f1b3e5a7ca70fe4ff75f0.us-east-1.aws.found.io/app/kibana#/discover/Steve-Slow-Train-Analysis-(2080s-and-2083s)?_g=(refreshInterval:(display:Off,pause:!f,section:0,value:0),time:(from:'2017-09-26T05:33:47-0600',mode:absolute,to:'2017-09-26T07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03" t="str">
        <f>IF(AA164&lt;VLOOKUP(AG164,Variables!$AC$3:$AD$8,2,FALSE),"Y","N")</f>
        <v>N</v>
      </c>
      <c r="X164" s="203">
        <f t="shared" si="167"/>
        <v>1</v>
      </c>
      <c r="Y164" s="203">
        <f t="shared" si="155"/>
        <v>9.74E-2</v>
      </c>
      <c r="Z164" s="203">
        <f t="shared" si="156"/>
        <v>5.8940999999999999</v>
      </c>
      <c r="AA164" s="203">
        <f t="shared" si="157"/>
        <v>5.7966999999999995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8">
        <f t="shared" si="158"/>
        <v>805</v>
      </c>
      <c r="AE164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64" s="74" t="str">
        <f t="shared" si="160"/>
        <v>"C:\Program Files (x86)\AstroGrep\AstroGrep.exe" /e /r /s /spath="%USERPROFILE%\AppData\Local\Temp\OnboardLogs" /stypes="app*4064*20170926*" /stext=" 12:.+((SYSTEM_STATE.+slice.+state.+changed )|(ment ac)|(multiple cpu faults)|(system.+state.+changed )|(\[timeout)|(PRM\|1\|D)|(kpr)|(kdp)|(train st.+moving)|(\|lc)|(penalty))"</v>
      </c>
      <c r="AG164" s="181" t="str">
        <f t="shared" si="161"/>
        <v>NW</v>
      </c>
      <c r="AH164" s="78" t="str">
        <f t="shared" si="162"/>
        <v>"%USERPROFILE%\Documents\GitHub\eaglep3\Utilities\RefineRTDCRunTimes.py" --tripid 805-26 --locoid 4064 --swversion DE.1.0.9.0 --startMP 204:974 --initTime 2017-09-26T06:33:47 --startdatetime 2017-09-26T06:39:17 --delay 60 --endMP 300:58941 --enddatetime 2017-09-26T06:54:24 --enforcementcount 0 &gt;&gt;c:\users\stu\Documents\GitHub\eaglep3-reporting\EC\2017-09-26-refined-times.txt</v>
      </c>
      <c r="AI164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{"issue":{"subject":"","project_id":79,"tracker_id":40,"status_id":1,"priority_id":2,"assigned_to_id":338,"start_date":"2017-09-26","description":"","custom_fields":[{"id":1,"name":"Subdivision","value":"NW"},{"id":4,"name":"Milepost","value":"5.8941"},{"id":17,"name":"Train ID","value":"805-26"},{"id":16,"name":"Locomotive ID","value":"4064"},{"id":130,"name":"Impact","value":""},{"id":150,"name":"Time of Event (Mountain Time)","value":"06:54:24"},{"id":151,"name":"Denver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64"/>
        <v>start /low /b %USERPROFILE%\Documents\GitHub\eaglep3\Utilities\DownloadLogsFromS3.py --loco 4064 --day 2017-09-26</v>
      </c>
      <c r="AN164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7" t="str">
        <f t="shared" si="166"/>
        <v>https://d0f6bd738d7f1b3e5a7ca70fe4ff75f0.us-east-1.aws.found.io/app/kibana#/discover/Steve-Slow-Train-Analysis-(2080s-and-2083s)?_g=(refreshInterval:(display:Off,pause:!f,section:0,value:0),time:(from:'2017-09-26T05:33:47-0600',mode:absolute,to:'2017-09-26T07:54:24-0600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686</v>
      </c>
      <c r="B165" s="7">
        <v>4063</v>
      </c>
      <c r="C165" s="21" t="s">
        <v>196</v>
      </c>
      <c r="D165" s="21" t="s">
        <v>942</v>
      </c>
      <c r="E165" s="13">
        <v>43004.290717592594</v>
      </c>
      <c r="F165" s="13">
        <v>43004.296446759261</v>
      </c>
      <c r="G165" s="7">
        <v>76</v>
      </c>
      <c r="H165" s="21" t="s">
        <v>943</v>
      </c>
      <c r="I165" s="13">
        <v>43004.309039351851</v>
      </c>
      <c r="J165" s="7">
        <v>0</v>
      </c>
      <c r="K165" s="89" t="str">
        <f t="shared" si="149"/>
        <v>4063/4064</v>
      </c>
      <c r="L165" s="184" t="str">
        <f>VLOOKUP(A165,'Trips&amp;Operators'!$C$1:$G$99911,5,FALSE)</f>
        <v>YANG JAN</v>
      </c>
      <c r="M165" s="6">
        <f t="shared" si="150"/>
        <v>1.2592592589498963E-2</v>
      </c>
      <c r="N165" s="7">
        <f t="shared" si="151"/>
        <v>18.133333328878507</v>
      </c>
      <c r="O165" s="7"/>
      <c r="P165" s="7"/>
      <c r="Q165" s="22"/>
      <c r="R165" s="173"/>
      <c r="S165" s="220">
        <f t="shared" si="152"/>
        <v>1</v>
      </c>
      <c r="T165" s="173" t="str">
        <f t="shared" si="153"/>
        <v>Southbound</v>
      </c>
      <c r="U165" s="19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5" t="str">
        <f t="shared" si="154"/>
        <v>https://d0f6bd738d7f1b3e5a7ca70fe4ff75f0.us-east-1.aws.found.io/app/kibana#/discover/Steve-Slow-Train-Analysis-(2080s-and-2083s)?_g=(refreshInterval:(display:Off,pause:!f,section:0,value:0),time:(from:'2017-09-26T05:58:38-0600',mode:absolute,to:'2017-09-26T08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03" t="str">
        <f>IF(AA165&lt;VLOOKUP(AG165,Variables!$AC$3:$AD$8,2,FALSE),"Y","N")</f>
        <v>N</v>
      </c>
      <c r="X165" s="203">
        <f t="shared" si="167"/>
        <v>1</v>
      </c>
      <c r="Y165" s="203">
        <f t="shared" si="155"/>
        <v>5.8628</v>
      </c>
      <c r="Z165" s="203">
        <f t="shared" si="156"/>
        <v>6.8400000000000002E-2</v>
      </c>
      <c r="AA165" s="203">
        <f t="shared" si="157"/>
        <v>5.7944000000000004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8">
        <f t="shared" si="158"/>
        <v>806</v>
      </c>
      <c r="AE165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65" s="74" t="str">
        <f t="shared" si="160"/>
        <v>"C:\Program Files (x86)\AstroGrep\AstroGrep.exe" /e /r /s /spath="%USERPROFILE%\AppData\Local\Temp\OnboardLogs" /stypes="app*4063*20170926*" /stext=" 13:.+((SYSTEM_STATE.+slice.+state.+changed )|(ment ac)|(multiple cpu faults)|(system.+state.+changed )|(\[timeout)|(PRM\|1\|D)|(kpr)|(kdp)|(train st.+moving)|(\|lc)|(penalty))"</v>
      </c>
      <c r="AG165" s="181" t="str">
        <f t="shared" si="161"/>
        <v>NW</v>
      </c>
      <c r="AH165" s="78" t="str">
        <f t="shared" si="162"/>
        <v>"%USERPROFILE%\Documents\GitHub\eaglep3\Utilities\RefineRTDCRunTimes.py" --tripid 806-26 --locoid 4063 --swversion DE.1.0.9.0 --startMP 300:58628 --initTime 2017-09-26T06:58:38 --startdatetime 2017-09-26T07:06:53 --delay 76 --endMP 204:684 --enddatetime 2017-09-26T07:25:01 --enforcementcount 0 &gt;&gt;c:\users\stu\Documents\GitHub\eaglep3-reporting\EC\2017-09-26-refined-times.txt</v>
      </c>
      <c r="AI165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{"issue":{"subject":"","project_id":79,"tracker_id":40,"status_id":1,"priority_id":2,"assigned_to_id":338,"start_date":"2017-09-26","description":"","custom_fields":[{"id":1,"name":"Subdivision","value":"NW"},{"id":4,"name":"Milepost","value":"0.0684"},{"id":17,"name":"Train ID","value":"806-26"},{"id":16,"name":"Locomotive ID","value":"4063"},{"id":130,"name":"Impact","value":""},{"id":150,"name":"Time of Event (Mountain Time)","value":"07:25:01"},{"id":151,"name":"Denver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64"/>
        <v>start /low /b %USERPROFILE%\Documents\GitHub\eaglep3\Utilities\DownloadLogsFromS3.py --loco 4063 --day 2017-09-26</v>
      </c>
      <c r="AN165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7" t="str">
        <f t="shared" si="166"/>
        <v>https://d0f6bd738d7f1b3e5a7ca70fe4ff75f0.us-east-1.aws.found.io/app/kibana#/discover/Steve-Slow-Train-Analysis-(2080s-and-2083s)?_g=(refreshInterval:(display:Off,pause:!f,section:0,value:0),time:(from:'2017-09-26T05:58:38-0600',mode:absolute,to:'2017-09-26T08:25:01-0600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685</v>
      </c>
      <c r="B166" s="7">
        <v>4066</v>
      </c>
      <c r="C166" s="21" t="s">
        <v>196</v>
      </c>
      <c r="D166" s="21" t="s">
        <v>944</v>
      </c>
      <c r="E166" s="13">
        <v>43004.290324074071</v>
      </c>
      <c r="F166" s="13">
        <v>43004.298067129632</v>
      </c>
      <c r="G166" s="7">
        <v>61</v>
      </c>
      <c r="H166" s="21" t="s">
        <v>597</v>
      </c>
      <c r="I166" s="13">
        <v>43004.308715277781</v>
      </c>
      <c r="J166" s="7">
        <v>0</v>
      </c>
      <c r="K166" s="89" t="str">
        <f t="shared" si="149"/>
        <v>4065/4066</v>
      </c>
      <c r="L166" s="184" t="str">
        <f>VLOOKUP(A166,'Trips&amp;Operators'!$C$1:$G$99911,5,FALSE)</f>
        <v>FORTUNATO FRANK</v>
      </c>
      <c r="M166" s="6">
        <f t="shared" si="150"/>
        <v>1.0648148148902692E-2</v>
      </c>
      <c r="N166" s="7">
        <f t="shared" si="151"/>
        <v>15.333333334419876</v>
      </c>
      <c r="O166" s="7"/>
      <c r="P166" s="7"/>
      <c r="Q166" s="22"/>
      <c r="R166" s="173"/>
      <c r="S166" s="220">
        <f t="shared" si="152"/>
        <v>1</v>
      </c>
      <c r="T166" s="173" t="str">
        <f t="shared" si="153"/>
        <v>NorthBound</v>
      </c>
      <c r="U166" s="19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154"/>
        <v>https://d0f6bd738d7f1b3e5a7ca70fe4ff75f0.us-east-1.aws.found.io/app/kibana#/discover/Steve-Slow-Train-Analysis-(2080s-and-2083s)?_g=(refreshInterval:(display:Off,pause:!f,section:0,value:0),time:(from:'2017-09-26T05:58:04-0600',mode:absolute,to:'2017-09-26T08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6" s="203" t="str">
        <f>IF(AA166&lt;VLOOKUP(AG166,Variables!$AC$3:$AD$8,2,FALSE),"Y","N")</f>
        <v>N</v>
      </c>
      <c r="X166" s="203">
        <f t="shared" si="167"/>
        <v>1</v>
      </c>
      <c r="Y166" s="203">
        <f t="shared" si="155"/>
        <v>9.7600000000000006E-2</v>
      </c>
      <c r="Z166" s="203">
        <f t="shared" si="156"/>
        <v>5.8994999999999997</v>
      </c>
      <c r="AA166" s="203">
        <f t="shared" si="157"/>
        <v>5.8018999999999998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8">
        <f t="shared" si="158"/>
        <v>807</v>
      </c>
      <c r="AE166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66" s="74" t="str">
        <f t="shared" si="160"/>
        <v>"C:\Program Files (x86)\AstroGrep\AstroGrep.exe" /e /r /s /spath="%USERPROFILE%\AppData\Local\Temp\OnboardLogs" /stypes="app*4066*20170926*" /stext=" 13:.+((SYSTEM_STATE.+slice.+state.+changed )|(ment ac)|(multiple cpu faults)|(system.+state.+changed )|(\[timeout)|(PRM\|1\|D)|(kpr)|(kdp)|(train st.+moving)|(\|lc)|(penalty))"</v>
      </c>
      <c r="AG166" s="181" t="str">
        <f t="shared" si="161"/>
        <v>NW</v>
      </c>
      <c r="AH166" s="78" t="str">
        <f t="shared" si="162"/>
        <v>"%USERPROFILE%\Documents\GitHub\eaglep3\Utilities\RefineRTDCRunTimes.py" --tripid 807-26 --locoid 4066 --swversion DE.1.0.9.0 --startMP 204:976 --initTime 2017-09-26T06:58:04 --startdatetime 2017-09-26T07:09:13 --delay 61 --endMP 300:58995 --enddatetime 2017-09-26T07:24:33 --enforcementcount 0 &gt;&gt;c:\users\stu\Documents\GitHub\eaglep3-reporting\EC\2017-09-26-refined-times.txt</v>
      </c>
      <c r="AI166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{"issue":{"subject":"","project_id":79,"tracker_id":40,"status_id":1,"priority_id":2,"assigned_to_id":338,"start_date":"2017-09-26","description":"","custom_fields":[{"id":1,"name":"Subdivision","value":"NW"},{"id":4,"name":"Milepost","value":"5.8995"},{"id":17,"name":"Train ID","value":"807-26"},{"id":16,"name":"Locomotive ID","value":"4066"},{"id":130,"name":"Impact","value":""},{"id":150,"name":"Time of Event (Mountain Time)","value":"07:24:33"},{"id":151,"name":"Denver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64"/>
        <v>start /low /b %USERPROFILE%\Documents\GitHub\eaglep3\Utilities\DownloadLogsFromS3.py --loco 4066 --day 2017-09-26</v>
      </c>
      <c r="AN166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7" t="str">
        <f t="shared" si="166"/>
        <v>https://d0f6bd738d7f1b3e5a7ca70fe4ff75f0.us-east-1.aws.found.io/app/kibana#/discover/Steve-Slow-Train-Analysis-(2080s-and-2083s)?_g=(refreshInterval:(display:Off,pause:!f,section:0,value:0),time:(from:'2017-09-26T05:58:04-0600',mode:absolute,to:'2017-09-26T08:24:33-0600'))&amp;_a=(columns:!('Message%20ID',Summary),filters:!(),index:'emp_*',interval:auto,query:(query_string:(analyze_wildcard:!t,query:'%22rtdc.l.rtdc.4066%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609</v>
      </c>
      <c r="B167" s="7">
        <v>4065</v>
      </c>
      <c r="C167" s="21" t="s">
        <v>196</v>
      </c>
      <c r="D167" s="21" t="s">
        <v>945</v>
      </c>
      <c r="E167" s="13">
        <v>43004.310370370367</v>
      </c>
      <c r="F167" s="13">
        <v>43004.321898148148</v>
      </c>
      <c r="G167" s="7">
        <v>55</v>
      </c>
      <c r="H167" s="21" t="s">
        <v>601</v>
      </c>
      <c r="I167" s="13">
        <v>43004.330891203703</v>
      </c>
      <c r="J167" s="7">
        <v>0</v>
      </c>
      <c r="K167" s="89" t="str">
        <f t="shared" si="149"/>
        <v>4065/4066</v>
      </c>
      <c r="L167" s="184" t="str">
        <f>VLOOKUP(A167,'Trips&amp;Operators'!$C$1:$G$99911,5,FALSE)</f>
        <v>FORTUNATO FRANK</v>
      </c>
      <c r="M167" s="6">
        <f t="shared" si="150"/>
        <v>8.9930555550381541E-3</v>
      </c>
      <c r="N167" s="7">
        <f t="shared" si="151"/>
        <v>12.949999999254942</v>
      </c>
      <c r="O167" s="7"/>
      <c r="P167" s="7"/>
      <c r="Q167" s="22"/>
      <c r="R167" s="173"/>
      <c r="S167" s="220">
        <f t="shared" si="152"/>
        <v>1</v>
      </c>
      <c r="T167" s="173" t="str">
        <f t="shared" si="153"/>
        <v>Southbound</v>
      </c>
      <c r="U167" s="19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154"/>
        <v>https://d0f6bd738d7f1b3e5a7ca70fe4ff75f0.us-east-1.aws.found.io/app/kibana#/discover/Steve-Slow-Train-Analysis-(2080s-and-2083s)?_g=(refreshInterval:(display:Off,pause:!f,section:0,value:0),time:(from:'2017-09-26T06:26:56-0600',mode:absolute,to:'2017-09-26T08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7" s="203" t="str">
        <f>IF(AA167&lt;VLOOKUP(AG167,Variables!$AC$3:$AD$8,2,FALSE),"Y","N")</f>
        <v>N</v>
      </c>
      <c r="X167" s="203">
        <f t="shared" si="167"/>
        <v>1</v>
      </c>
      <c r="Y167" s="203">
        <f t="shared" si="155"/>
        <v>5.8681000000000001</v>
      </c>
      <c r="Z167" s="203">
        <f t="shared" si="156"/>
        <v>6.8699999999999997E-2</v>
      </c>
      <c r="AA167" s="203">
        <f t="shared" si="157"/>
        <v>5.7994000000000003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8">
        <f t="shared" si="158"/>
        <v>808</v>
      </c>
      <c r="AE167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67" s="74" t="str">
        <f t="shared" si="160"/>
        <v>"C:\Program Files (x86)\AstroGrep\AstroGrep.exe" /e /r /s /spath="%USERPROFILE%\AppData\Local\Temp\OnboardLogs" /stypes="app*4065*20170926*" /stext=" 13:.+((SYSTEM_STATE.+slice.+state.+changed )|(ment ac)|(multiple cpu faults)|(system.+state.+changed )|(\[timeout)|(PRM\|1\|D)|(kpr)|(kdp)|(train st.+moving)|(\|lc)|(penalty))"</v>
      </c>
      <c r="AG167" s="181" t="str">
        <f t="shared" si="161"/>
        <v>NW</v>
      </c>
      <c r="AH167" s="78" t="str">
        <f t="shared" si="162"/>
        <v>"%USERPROFILE%\Documents\GitHub\eaglep3\Utilities\RefineRTDCRunTimes.py" --tripid 808-26 --locoid 4065 --swversion DE.1.0.9.0 --startMP 300:58681 --initTime 2017-09-26T07:26:56 --startdatetime 2017-09-26T07:43:32 --delay 55 --endMP 204:687 --enddatetime 2017-09-26T07:56:29 --enforcementcount 0 &gt;&gt;c:\users\stu\Documents\GitHub\eaglep3-reporting\EC\2017-09-26-refined-times.txt</v>
      </c>
      <c r="AI167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{"issue":{"subject":"","project_id":79,"tracker_id":40,"status_id":1,"priority_id":2,"assigned_to_id":338,"start_date":"2017-09-26","description":"","custom_fields":[{"id":1,"name":"Subdivision","value":"NW"},{"id":4,"name":"Milepost","value":"0.0687"},{"id":17,"name":"Train ID","value":"808-26"},{"id":16,"name":"Locomotive ID","value":"4065"},{"id":130,"name":"Impact","value":""},{"id":150,"name":"Time of Event (Mountain Time)","value":"07:56:29"},{"id":151,"name":"Denver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64"/>
        <v>start /low /b %USERPROFILE%\Documents\GitHub\eaglep3\Utilities\DownloadLogsFromS3.py --loco 4065 --day 2017-09-26</v>
      </c>
      <c r="AN167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7" t="str">
        <f t="shared" si="166"/>
        <v>https://d0f6bd738d7f1b3e5a7ca70fe4ff75f0.us-east-1.aws.found.io/app/kibana#/discover/Steve-Slow-Train-Analysis-(2080s-and-2083s)?_g=(refreshInterval:(display:Off,pause:!f,section:0,value:0),time:(from:'2017-09-26T06:26:56-0600',mode:absolute,to:'2017-09-26T08:56:29-0600'))&amp;_a=(columns:!('Message%20ID',Summary),filters:!(),index:'emp_*',interval:auto,query:(query_string:(analyze_wildcard:!t,query:'%22rtdc.l.rtdc.4065%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691</v>
      </c>
      <c r="B168" s="7">
        <v>4064</v>
      </c>
      <c r="C168" s="21" t="s">
        <v>196</v>
      </c>
      <c r="D168" s="21" t="s">
        <v>944</v>
      </c>
      <c r="E168" s="13">
        <v>43004.315405092595</v>
      </c>
      <c r="F168" s="13">
        <v>43004.318981481483</v>
      </c>
      <c r="G168" s="7">
        <v>67</v>
      </c>
      <c r="H168" s="21" t="s">
        <v>946</v>
      </c>
      <c r="I168" s="13">
        <v>43004.32980324074</v>
      </c>
      <c r="J168" s="7">
        <v>0</v>
      </c>
      <c r="K168" s="89" t="str">
        <f t="shared" si="149"/>
        <v>4063/4064</v>
      </c>
      <c r="L168" s="184" t="str">
        <f>VLOOKUP(A168,'Trips&amp;Operators'!$C$1:$G$99911,5,FALSE)</f>
        <v>YANG JAN</v>
      </c>
      <c r="M168" s="6">
        <f t="shared" si="150"/>
        <v>1.0821759256941732E-2</v>
      </c>
      <c r="N168" s="7">
        <f t="shared" si="151"/>
        <v>15.583333329996094</v>
      </c>
      <c r="O168" s="7"/>
      <c r="P168" s="7"/>
      <c r="Q168" s="22"/>
      <c r="R168" s="173"/>
      <c r="S168" s="220">
        <f t="shared" si="152"/>
        <v>1</v>
      </c>
      <c r="T168" s="173" t="str">
        <f t="shared" si="153"/>
        <v>NorthBound</v>
      </c>
      <c r="U168" s="19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154"/>
        <v>https://d0f6bd738d7f1b3e5a7ca70fe4ff75f0.us-east-1.aws.found.io/app/kibana#/discover/Steve-Slow-Train-Analysis-(2080s-and-2083s)?_g=(refreshInterval:(display:Off,pause:!f,section:0,value:0),time:(from:'2017-09-26T06:34:11-0600',mode:absolute,to:'2017-09-26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03" t="str">
        <f>IF(AA168&lt;VLOOKUP(AG168,Variables!$AC$3:$AD$8,2,FALSE),"Y","N")</f>
        <v>N</v>
      </c>
      <c r="X168" s="203">
        <f t="shared" si="167"/>
        <v>1</v>
      </c>
      <c r="Y168" s="203">
        <f t="shared" si="155"/>
        <v>9.7600000000000006E-2</v>
      </c>
      <c r="Z168" s="203">
        <f t="shared" si="156"/>
        <v>5.8968999999999996</v>
      </c>
      <c r="AA168" s="203">
        <f t="shared" si="157"/>
        <v>5.7992999999999997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8">
        <f t="shared" si="158"/>
        <v>809</v>
      </c>
      <c r="AE168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68" s="74" t="str">
        <f t="shared" si="160"/>
        <v>"C:\Program Files (x86)\AstroGrep\AstroGrep.exe" /e /r /s /spath="%USERPROFILE%\AppData\Local\Temp\OnboardLogs" /stypes="app*4064*20170926*" /stext=" 13:.+((SYSTEM_STATE.+slice.+state.+changed )|(ment ac)|(multiple cpu faults)|(system.+state.+changed )|(\[timeout)|(PRM\|1\|D)|(kpr)|(kdp)|(train st.+moving)|(\|lc)|(penalty))"</v>
      </c>
      <c r="AG168" s="181" t="str">
        <f t="shared" si="161"/>
        <v>NW</v>
      </c>
      <c r="AH168" s="78" t="str">
        <f t="shared" si="162"/>
        <v>"%USERPROFILE%\Documents\GitHub\eaglep3\Utilities\RefineRTDCRunTimes.py" --tripid 809-26 --locoid 4064 --swversion DE.1.0.9.0 --startMP 204:976 --initTime 2017-09-26T07:34:11 --startdatetime 2017-09-26T07:39:20 --delay 67 --endMP 300:58969 --enddatetime 2017-09-26T07:54:55 --enforcementcount 0 &gt;&gt;c:\users\stu\Documents\GitHub\eaglep3-reporting\EC\2017-09-26-refined-times.txt</v>
      </c>
      <c r="AI168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{"issue":{"subject":"","project_id":79,"tracker_id":40,"status_id":1,"priority_id":2,"assigned_to_id":338,"start_date":"2017-09-26","description":"","custom_fields":[{"id":1,"name":"Subdivision","value":"NW"},{"id":4,"name":"Milepost","value":"5.8969"},{"id":17,"name":"Train ID","value":"809-26"},{"id":16,"name":"Locomotive ID","value":"4064"},{"id":130,"name":"Impact","value":""},{"id":150,"name":"Time of Event (Mountain Time)","value":"07:54:55"},{"id":151,"name":"Denver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64"/>
        <v>start /low /b %USERPROFILE%\Documents\GitHub\eaglep3\Utilities\DownloadLogsFromS3.py --loco 4064 --day 2017-09-26</v>
      </c>
      <c r="AN168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7" t="str">
        <f t="shared" si="166"/>
        <v>https://d0f6bd738d7f1b3e5a7ca70fe4ff75f0.us-east-1.aws.found.io/app/kibana#/discover/Steve-Slow-Train-Analysis-(2080s-and-2083s)?_g=(refreshInterval:(display:Off,pause:!f,section:0,value:0),time:(from:'2017-09-26T06:34:11-0600',mode:absolute,to:'2017-09-26T08:54:55-0600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698</v>
      </c>
      <c r="B169" s="7">
        <v>4063</v>
      </c>
      <c r="C169" s="21" t="s">
        <v>196</v>
      </c>
      <c r="D169" s="21" t="s">
        <v>947</v>
      </c>
      <c r="E169" s="13">
        <v>43004.335775462961</v>
      </c>
      <c r="F169" s="13">
        <v>43004.338009259256</v>
      </c>
      <c r="G169" s="7">
        <v>98</v>
      </c>
      <c r="H169" s="21" t="s">
        <v>601</v>
      </c>
      <c r="I169" s="13">
        <v>43004.350798611114</v>
      </c>
      <c r="J169" s="7">
        <v>0</v>
      </c>
      <c r="K169" s="89" t="str">
        <f t="shared" si="149"/>
        <v>4063/4064</v>
      </c>
      <c r="L169" s="184" t="str">
        <f>VLOOKUP(A169,'Trips&amp;Operators'!$C$1:$G$99911,5,FALSE)</f>
        <v>YANG JAN</v>
      </c>
      <c r="M169" s="6">
        <f t="shared" si="150"/>
        <v>1.2789351858373266E-2</v>
      </c>
      <c r="N169" s="7">
        <f t="shared" si="151"/>
        <v>18.416666676057503</v>
      </c>
      <c r="O169" s="7"/>
      <c r="P169" s="7"/>
      <c r="Q169" s="22"/>
      <c r="R169" s="173"/>
      <c r="S169" s="220">
        <f t="shared" si="152"/>
        <v>1</v>
      </c>
      <c r="T169" s="173" t="str">
        <f t="shared" si="153"/>
        <v>Southbound</v>
      </c>
      <c r="U169" s="19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154"/>
        <v>https://d0f6bd738d7f1b3e5a7ca70fe4ff75f0.us-east-1.aws.found.io/app/kibana#/discover/Steve-Slow-Train-Analysis-(2080s-and-2083s)?_g=(refreshInterval:(display:Off,pause:!f,section:0,value:0),time:(from:'2017-09-26T07:03:31-0600',mode:absolute,to:'2017-09-26T09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03" t="str">
        <f>IF(AA169&lt;VLOOKUP(AG169,Variables!$AC$3:$AD$8,2,FALSE),"Y","N")</f>
        <v>N</v>
      </c>
      <c r="X169" s="203">
        <f t="shared" si="167"/>
        <v>1</v>
      </c>
      <c r="Y169" s="203">
        <f t="shared" si="155"/>
        <v>5.8651</v>
      </c>
      <c r="Z169" s="203">
        <f t="shared" si="156"/>
        <v>6.8699999999999997E-2</v>
      </c>
      <c r="AA169" s="203">
        <f t="shared" si="157"/>
        <v>5.7964000000000002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8">
        <f t="shared" si="158"/>
        <v>810</v>
      </c>
      <c r="AE169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69" s="74" t="str">
        <f t="shared" si="160"/>
        <v>"C:\Program Files (x86)\AstroGrep\AstroGrep.exe" /e /r /s /spath="%USERPROFILE%\AppData\Local\Temp\OnboardLogs" /stypes="app*4063*20170926*" /stext=" 14:.+((SYSTEM_STATE.+slice.+state.+changed )|(ment ac)|(multiple cpu faults)|(system.+state.+changed )|(\[timeout)|(PRM\|1\|D)|(kpr)|(kdp)|(train st.+moving)|(\|lc)|(penalty))"</v>
      </c>
      <c r="AG169" s="181" t="str">
        <f t="shared" si="161"/>
        <v>NW</v>
      </c>
      <c r="AH169" s="78" t="str">
        <f t="shared" si="162"/>
        <v>"%USERPROFILE%\Documents\GitHub\eaglep3\Utilities\RefineRTDCRunTimes.py" --tripid 810-26 --locoid 4063 --swversion DE.1.0.9.0 --startMP 300:58651 --initTime 2017-09-26T08:03:31 --startdatetime 2017-09-26T08:06:44 --delay 98 --endMP 204:687 --enddatetime 2017-09-26T08:25:09 --enforcementcount 0 &gt;&gt;c:\users\stu\Documents\GitHub\eaglep3-reporting\EC\2017-09-26-refined-times.txt</v>
      </c>
      <c r="AI169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{"issue":{"subject":"","project_id":79,"tracker_id":40,"status_id":1,"priority_id":2,"assigned_to_id":338,"start_date":"2017-09-26","description":"","custom_fields":[{"id":1,"name":"Subdivision","value":"NW"},{"id":4,"name":"Milepost","value":"0.0687"},{"id":17,"name":"Train ID","value":"810-26"},{"id":16,"name":"Locomotive ID","value":"4063"},{"id":130,"name":"Impact","value":""},{"id":150,"name":"Time of Event (Mountain Time)","value":"08:25:09"},{"id":151,"name":"Denver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64"/>
        <v>start /low /b %USERPROFILE%\Documents\GitHub\eaglep3\Utilities\DownloadLogsFromS3.py --loco 4063 --day 2017-09-26</v>
      </c>
      <c r="AN169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7" t="str">
        <f t="shared" si="166"/>
        <v>https://d0f6bd738d7f1b3e5a7ca70fe4ff75f0.us-east-1.aws.found.io/app/kibana#/discover/Steve-Slow-Train-Analysis-(2080s-and-2083s)?_g=(refreshInterval:(display:Off,pause:!f,section:0,value:0),time:(from:'2017-09-26T07:03:31-0600',mode:absolute,to:'2017-09-26T09:25:09-0600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695</v>
      </c>
      <c r="B170" s="7">
        <v>4066</v>
      </c>
      <c r="C170" s="21" t="s">
        <v>196</v>
      </c>
      <c r="D170" s="21" t="s">
        <v>948</v>
      </c>
      <c r="E170" s="13">
        <v>43004.335092592592</v>
      </c>
      <c r="F170" s="13">
        <v>43004.339814814812</v>
      </c>
      <c r="G170" s="7">
        <v>74</v>
      </c>
      <c r="H170" s="21" t="s">
        <v>591</v>
      </c>
      <c r="I170" s="13">
        <v>43004.352789351855</v>
      </c>
      <c r="J170" s="7">
        <v>0</v>
      </c>
      <c r="K170" s="89" t="str">
        <f t="shared" si="149"/>
        <v>4065/4066</v>
      </c>
      <c r="L170" s="184" t="str">
        <f>VLOOKUP(A170,'Trips&amp;Operators'!$C$1:$G$99911,5,FALSE)</f>
        <v>LANGERAK WILLIAM</v>
      </c>
      <c r="M170" s="6">
        <f t="shared" si="150"/>
        <v>1.2974537043191958E-2</v>
      </c>
      <c r="N170" s="7">
        <f t="shared" si="151"/>
        <v>18.68333334219642</v>
      </c>
      <c r="O170" s="7"/>
      <c r="P170" s="7"/>
      <c r="Q170" s="22"/>
      <c r="R170" s="173"/>
      <c r="S170" s="220">
        <f t="shared" si="152"/>
        <v>1</v>
      </c>
      <c r="T170" s="173" t="str">
        <f t="shared" si="153"/>
        <v>NorthBound</v>
      </c>
      <c r="U170" s="19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154"/>
        <v>https://d0f6bd738d7f1b3e5a7ca70fe4ff75f0.us-east-1.aws.found.io/app/kibana#/discover/Steve-Slow-Train-Analysis-(2080s-and-2083s)?_g=(refreshInterval:(display:Off,pause:!f,section:0,value:0),time:(from:'2017-09-26T07:02:32-0600',mode:absolute,to:'2017-09-26T09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0" s="203" t="str">
        <f>IF(AA170&lt;VLOOKUP(AG170,Variables!$AC$3:$AD$8,2,FALSE),"Y","N")</f>
        <v>N</v>
      </c>
      <c r="X170" s="203">
        <f t="shared" si="167"/>
        <v>1</v>
      </c>
      <c r="Y170" s="203">
        <f t="shared" si="155"/>
        <v>9.9000000000000005E-2</v>
      </c>
      <c r="Z170" s="203">
        <f t="shared" si="156"/>
        <v>5.8940999999999999</v>
      </c>
      <c r="AA170" s="203">
        <f t="shared" si="157"/>
        <v>5.7950999999999997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8">
        <f t="shared" si="158"/>
        <v>811</v>
      </c>
      <c r="AE170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70" s="74" t="str">
        <f t="shared" si="160"/>
        <v>"C:\Program Files (x86)\AstroGrep\AstroGrep.exe" /e /r /s /spath="%USERPROFILE%\AppData\Local\Temp\OnboardLogs" /stypes="app*4066*20170926*" /stext=" 14:.+((SYSTEM_STATE.+slice.+state.+changed )|(ment ac)|(multiple cpu faults)|(system.+state.+changed )|(\[timeout)|(PRM\|1\|D)|(kpr)|(kdp)|(train st.+moving)|(\|lc)|(penalty))"</v>
      </c>
      <c r="AG170" s="181" t="str">
        <f t="shared" si="161"/>
        <v>NW</v>
      </c>
      <c r="AH170" s="78" t="str">
        <f t="shared" si="162"/>
        <v>"%USERPROFILE%\Documents\GitHub\eaglep3\Utilities\RefineRTDCRunTimes.py" --tripid 811-26 --locoid 4066 --swversion DE.1.0.9.0 --startMP 204:990 --initTime 2017-09-26T08:02:32 --startdatetime 2017-09-26T08:09:20 --delay 74 --endMP 300:58941 --enddatetime 2017-09-26T08:28:01 --enforcementcount 0 &gt;&gt;c:\users\stu\Documents\GitHub\eaglep3-reporting\EC\2017-09-26-refined-times.txt</v>
      </c>
      <c r="AI170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{"issue":{"subject":"","project_id":79,"tracker_id":40,"status_id":1,"priority_id":2,"assigned_to_id":338,"start_date":"2017-09-26","description":"","custom_fields":[{"id":1,"name":"Subdivision","value":"NW"},{"id":4,"name":"Milepost","value":"5.8941"},{"id":17,"name":"Train ID","value":"811-26"},{"id":16,"name":"Locomotive ID","value":"4066"},{"id":130,"name":"Impact","value":""},{"id":150,"name":"Time of Event (Mountain Time)","value":"08:28:01"},{"id":151,"name":"Denver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64"/>
        <v>start /low /b %USERPROFILE%\Documents\GitHub\eaglep3\Utilities\DownloadLogsFromS3.py --loco 4066 --day 2017-09-26</v>
      </c>
      <c r="AN170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14:28:01"},{"id":29,"name":"Sharepoint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7" t="str">
        <f t="shared" si="166"/>
        <v>https://d0f6bd738d7f1b3e5a7ca70fe4ff75f0.us-east-1.aws.found.io/app/kibana#/discover/Steve-Slow-Train-Analysis-(2080s-and-2083s)?_g=(refreshInterval:(display:Off,pause:!f,section:0,value:0),time:(from:'2017-09-26T07:02:32-0600',mode:absolute,to:'2017-09-26T09:28:01-0600'))&amp;_a=(columns:!('Message%20ID',Summary),filters:!(),index:'emp_*',interval:auto,query:(query_string:(analyze_wildcard:!t,query:'%22rtdc.l.rtdc.4066%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704</v>
      </c>
      <c r="B171" s="7">
        <v>4065</v>
      </c>
      <c r="C171" s="21" t="s">
        <v>196</v>
      </c>
      <c r="D171" s="21" t="s">
        <v>949</v>
      </c>
      <c r="E171" s="13">
        <v>43004.353854166664</v>
      </c>
      <c r="F171" s="13">
        <v>43004.363402777781</v>
      </c>
      <c r="G171" s="7">
        <v>90</v>
      </c>
      <c r="H171" s="21" t="s">
        <v>949</v>
      </c>
      <c r="I171" s="13">
        <v>43004.373796296299</v>
      </c>
      <c r="J171" s="7">
        <v>0</v>
      </c>
      <c r="K171" s="89" t="str">
        <f t="shared" si="149"/>
        <v>4065/4066</v>
      </c>
      <c r="L171" s="184" t="str">
        <f>VLOOKUP(A171,'Trips&amp;Operators'!$C$1:$G$99911,5,FALSE)</f>
        <v>LANGERAK WILLIAM</v>
      </c>
      <c r="M171" s="6">
        <f t="shared" si="150"/>
        <v>1.0393518517958E-2</v>
      </c>
      <c r="N171" s="7"/>
      <c r="O171" s="7"/>
      <c r="P171" s="7"/>
      <c r="Q171" s="22"/>
      <c r="R171" s="173"/>
      <c r="S171" s="220"/>
      <c r="T171" s="173" t="str">
        <f t="shared" si="153"/>
        <v>Southbound</v>
      </c>
      <c r="U171" s="19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15" t="str">
        <f t="shared" si="154"/>
        <v>https://d0f6bd738d7f1b3e5a7ca70fe4ff75f0.us-east-1.aws.found.io/app/kibana#/discover/Steve-Slow-Train-Analysis-(2080s-and-2083s)?_g=(refreshInterval:(display:Off,pause:!f,section:0,value:0),time:(from:'2017-09-26T07:29:33-0600',mode:absolute,to:'2017-09-26T09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1" s="203" t="str">
        <f>IF(AA171&lt;VLOOKUP(AG171,Variables!$AC$3:$AD$8,2,FALSE),"Y","N")</f>
        <v>Y</v>
      </c>
      <c r="X171" s="203">
        <f t="shared" si="167"/>
        <v>1</v>
      </c>
      <c r="Y171" s="203">
        <f t="shared" si="155"/>
        <v>5.8630000000000004</v>
      </c>
      <c r="Z171" s="203">
        <f t="shared" si="156"/>
        <v>5.8630000000000004</v>
      </c>
      <c r="AA171" s="203">
        <f t="shared" si="157"/>
        <v>0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8">
        <f t="shared" si="158"/>
        <v>812</v>
      </c>
      <c r="AE171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71" s="74" t="str">
        <f t="shared" si="160"/>
        <v>"C:\Program Files (x86)\AstroGrep\AstroGrep.exe" /e /r /s /spath="%USERPROFILE%\AppData\Local\Temp\OnboardLogs" /stypes="app*4065*20170926*" /stext=" 14:.+((SYSTEM_STATE.+slice.+state.+changed )|(ment ac)|(multiple cpu faults)|(system.+state.+changed )|(\[timeout)|(PRM\|1\|D)|(kpr)|(kdp)|(train st.+moving)|(\|lc)|(penalty))"</v>
      </c>
      <c r="AG171" s="181" t="str">
        <f t="shared" si="161"/>
        <v>NW</v>
      </c>
      <c r="AH171" s="78" t="str">
        <f t="shared" si="162"/>
        <v>"%USERPROFILE%\Documents\GitHub\eaglep3\Utilities\RefineRTDCRunTimes.py" --tripid 812-26 --locoid 4065 --swversion DE.1.0.9.0 --startMP 300:58630 --initTime 2017-09-26T08:29:33 --startdatetime 2017-09-26T08:43:18 --delay 90 --endMP 300:58630 --enddatetime 2017-09-26T08:58:16 --enforcementcount 0 &gt;&gt;c:\users\stu\Documents\GitHub\eaglep3-reporting\EC\2017-09-26-refined-times.txt</v>
      </c>
      <c r="AI171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{"issue":{"subject":"","project_id":79,"tracker_id":40,"status_id":1,"priority_id":2,"assigned_to_id":338,"start_date":"2017-09-26","description":"","custom_fields":[{"id":1,"name":"Subdivision","value":"NW"},{"id":4,"name":"Milepost","value":"5.863"},{"id":17,"name":"Train ID","value":"812-26"},{"id":16,"name":"Locomotive ID","value":"4065"},{"id":130,"name":"Impact","value":""},{"id":150,"name":"Time of Event (Mountain Time)","value":"08:58:16"},{"id":151,"name":"Denver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64"/>
        <v>start /low /b %USERPROFILE%\Documents\GitHub\eaglep3\Utilities\DownloadLogsFromS3.py --loco 4065 --day 2017-09-26</v>
      </c>
      <c r="AN171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7" t="str">
        <f t="shared" si="166"/>
        <v>https://d0f6bd738d7f1b3e5a7ca70fe4ff75f0.us-east-1.aws.found.io/app/kibana#/discover/Steve-Slow-Train-Analysis-(2080s-and-2083s)?_g=(refreshInterval:(display:Off,pause:!f,section:0,value:0),time:(from:'2017-09-26T07:29:33-0600',mode:absolute,to:'2017-09-26T09:58:16-0600'))&amp;_a=(columns:!('Message%20ID',Summary),filters:!(),index:'emp_*',interval:auto,query:(query_string:(analyze_wildcard:!t,query:'%22rtdc.l.rtdc.4065%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704</v>
      </c>
      <c r="B172" s="7">
        <v>4065</v>
      </c>
      <c r="C172" s="21" t="s">
        <v>196</v>
      </c>
      <c r="D172" s="21" t="s">
        <v>950</v>
      </c>
      <c r="E172" s="13">
        <v>43004.359212962961</v>
      </c>
      <c r="F172" s="13">
        <v>43004.363402777781</v>
      </c>
      <c r="G172" s="7">
        <v>59</v>
      </c>
      <c r="H172" s="21" t="s">
        <v>951</v>
      </c>
      <c r="I172" s="13">
        <v>43004.373796296299</v>
      </c>
      <c r="J172" s="7">
        <v>0</v>
      </c>
      <c r="K172" s="89" t="str">
        <f t="shared" si="149"/>
        <v>4065/4066</v>
      </c>
      <c r="L172" s="184" t="str">
        <f>VLOOKUP(A172,'Trips&amp;Operators'!$C$1:$G$99911,5,FALSE)</f>
        <v>LANGERAK WILLIAM</v>
      </c>
      <c r="M172" s="6">
        <f t="shared" si="150"/>
        <v>1.0393518517958E-2</v>
      </c>
      <c r="N172" s="7">
        <f t="shared" si="151"/>
        <v>14.96666666585952</v>
      </c>
      <c r="O172" s="7"/>
      <c r="P172" s="7"/>
      <c r="Q172" s="22"/>
      <c r="R172" s="173"/>
      <c r="S172" s="220">
        <f t="shared" si="152"/>
        <v>1</v>
      </c>
      <c r="T172" s="173" t="str">
        <f t="shared" si="153"/>
        <v>Southbound</v>
      </c>
      <c r="U172" s="19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154"/>
        <v>https://d0f6bd738d7f1b3e5a7ca70fe4ff75f0.us-east-1.aws.found.io/app/kibana#/discover/Steve-Slow-Train-Analysis-(2080s-and-2083s)?_g=(refreshInterval:(display:Off,pause:!f,section:0,value:0),time:(from:'2017-09-26T07:37:16-0600',mode:absolute,to:'2017-09-26T09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2" s="203" t="str">
        <f>IF(AA172&lt;VLOOKUP(AG172,Variables!$AC$3:$AD$8,2,FALSE),"Y","N")</f>
        <v>N</v>
      </c>
      <c r="X172" s="203">
        <f t="shared" si="167"/>
        <v>0</v>
      </c>
      <c r="Y172" s="203">
        <f t="shared" si="155"/>
        <v>5.7339000000000002</v>
      </c>
      <c r="Z172" s="203">
        <f t="shared" si="156"/>
        <v>7.1999999999999995E-2</v>
      </c>
      <c r="AA172" s="203">
        <f t="shared" si="157"/>
        <v>5.6619000000000002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8">
        <f t="shared" si="158"/>
        <v>812</v>
      </c>
      <c r="AE172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72" s="74" t="str">
        <f t="shared" si="160"/>
        <v>"C:\Program Files (x86)\AstroGrep\AstroGrep.exe" /e /r /s /spath="%USERPROFILE%\AppData\Local\Temp\OnboardLogs" /stypes="app*4065*20170926*" /stext=" 14:.+((SYSTEM_STATE.+slice.+state.+changed )|(ment ac)|(multiple cpu faults)|(system.+state.+changed )|(\[timeout)|(PRM\|1\|D)|(kpr)|(kdp)|(train st.+moving)|(\|lc)|(penalty))"</v>
      </c>
      <c r="AG172" s="181" t="str">
        <f t="shared" si="161"/>
        <v>NW</v>
      </c>
      <c r="AH172" s="78" t="str">
        <f t="shared" si="162"/>
        <v>"%USERPROFILE%\Documents\GitHub\eaglep3\Utilities\RefineRTDCRunTimes.py" --tripid 812-26 --locoid 4065 --swversion DE.1.0.9.0 --startMP 300:57339 --initTime 2017-09-26T08:37:16 --startdatetime 2017-09-26T08:43:18 --delay 59 --endMP 204:720 --enddatetime 2017-09-26T08:58:16 --enforcementcount 0 &gt;&gt;c:\users\stu\Documents\GitHub\eaglep3-reporting\EC\2017-09-26-refined-times.txt</v>
      </c>
      <c r="AI172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{"issue":{"subject":"","project_id":79,"tracker_id":40,"status_id":1,"priority_id":2,"assigned_to_id":338,"start_date":"2017-09-26","description":"","custom_fields":[{"id":1,"name":"Subdivision","value":"NW"},{"id":4,"name":"Milepost","value":"0.072"},{"id":17,"name":"Train ID","value":"812-26"},{"id":16,"name":"Locomotive ID","value":"4065"},{"id":130,"name":"Impact","value":""},{"id":150,"name":"Time of Event (Mountain Time)","value":"08:58:16"},{"id":151,"name":"Denver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64"/>
        <v>start /low /b %USERPROFILE%\Documents\GitHub\eaglep3\Utilities\DownloadLogsFromS3.py --loco 4065 --day 2017-09-26</v>
      </c>
      <c r="AN172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7" t="str">
        <f t="shared" si="166"/>
        <v>https://d0f6bd738d7f1b3e5a7ca70fe4ff75f0.us-east-1.aws.found.io/app/kibana#/discover/Steve-Slow-Train-Analysis-(2080s-and-2083s)?_g=(refreshInterval:(display:Off,pause:!f,section:0,value:0),time:(from:'2017-09-26T07:37:16-0600',mode:absolute,to:'2017-09-26T09:58:16-0600'))&amp;_a=(columns:!('Message%20ID',Summary),filters:!(),index:'emp_*',interval:auto,query:(query_string:(analyze_wildcard:!t,query:'%22rtdc.l.rtdc.4065%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613</v>
      </c>
      <c r="B173" s="7">
        <v>4066</v>
      </c>
      <c r="C173" s="21" t="s">
        <v>196</v>
      </c>
      <c r="D173" s="21" t="s">
        <v>523</v>
      </c>
      <c r="E173" s="13">
        <v>43004.376342592594</v>
      </c>
      <c r="F173" s="13">
        <v>43004.3828587963</v>
      </c>
      <c r="G173" s="7">
        <v>72</v>
      </c>
      <c r="H173" s="21" t="s">
        <v>952</v>
      </c>
      <c r="I173" s="13">
        <v>43004.392905092594</v>
      </c>
      <c r="J173" s="7">
        <v>0</v>
      </c>
      <c r="K173" s="89" t="str">
        <f t="shared" si="149"/>
        <v>4065/4066</v>
      </c>
      <c r="L173" s="184" t="str">
        <f>VLOOKUP(A173,'Trips&amp;Operators'!$C$1:$G$99911,5,FALSE)</f>
        <v>LANGERAK WILLIAM</v>
      </c>
      <c r="M173" s="6">
        <f t="shared" si="150"/>
        <v>1.0046296294603962E-2</v>
      </c>
      <c r="N173" s="7">
        <f t="shared" si="151"/>
        <v>14.466666664229706</v>
      </c>
      <c r="O173" s="7"/>
      <c r="P173" s="7"/>
      <c r="Q173" s="22"/>
      <c r="R173" s="173"/>
      <c r="S173" s="220">
        <f t="shared" si="152"/>
        <v>1</v>
      </c>
      <c r="T173" s="173" t="str">
        <f t="shared" si="153"/>
        <v>NorthBound</v>
      </c>
      <c r="U173" s="19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5" t="str">
        <f t="shared" si="154"/>
        <v>https://d0f6bd738d7f1b3e5a7ca70fe4ff75f0.us-east-1.aws.found.io/app/kibana#/discover/Steve-Slow-Train-Analysis-(2080s-and-2083s)?_g=(refreshInterval:(display:Off,pause:!f,section:0,value:0),time:(from:'2017-09-26T08:01:56-0600',mode:absolute,to:'2017-09-26T10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3" s="203" t="str">
        <f>IF(AA173&lt;VLOOKUP(AG173,Variables!$AC$3:$AD$8,2,FALSE),"Y","N")</f>
        <v>N</v>
      </c>
      <c r="X173" s="203">
        <f t="shared" si="167"/>
        <v>1</v>
      </c>
      <c r="Y173" s="203">
        <f t="shared" si="155"/>
        <v>9.9299999999999999E-2</v>
      </c>
      <c r="Z173" s="203">
        <f t="shared" si="156"/>
        <v>5.8935000000000004</v>
      </c>
      <c r="AA173" s="203">
        <f t="shared" si="157"/>
        <v>5.7942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8">
        <f t="shared" si="158"/>
        <v>813</v>
      </c>
      <c r="AE173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73" s="74" t="str">
        <f t="shared" si="160"/>
        <v>"C:\Program Files (x86)\AstroGrep\AstroGrep.exe" /e /r /s /spath="%USERPROFILE%\AppData\Local\Temp\OnboardLogs" /stypes="app*4066*20170926*" /stext=" 15:.+((SYSTEM_STATE.+slice.+state.+changed )|(ment ac)|(multiple cpu faults)|(system.+state.+changed )|(\[timeout)|(PRM\|1\|D)|(kpr)|(kdp)|(train st.+moving)|(\|lc)|(penalty))"</v>
      </c>
      <c r="AG173" s="181" t="str">
        <f t="shared" si="161"/>
        <v>NW</v>
      </c>
      <c r="AH173" s="78" t="str">
        <f t="shared" si="162"/>
        <v>"%USERPROFILE%\Documents\GitHub\eaglep3\Utilities\RefineRTDCRunTimes.py" --tripid 813-26 --locoid 4066 --swversion DE.1.0.9.0 --startMP 204:993 --initTime 2017-09-26T09:01:56 --startdatetime 2017-09-26T09:11:19 --delay 72 --endMP 300:58935 --enddatetime 2017-09-26T09:25:47 --enforcementcount 0 &gt;&gt;c:\users\stu\Documents\GitHub\eaglep3-reporting\EC\2017-09-26-refined-times.txt</v>
      </c>
      <c r="AI173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{"issue":{"subject":"","project_id":79,"tracker_id":40,"status_id":1,"priority_id":2,"assigned_to_id":338,"start_date":"2017-09-26","description":"","custom_fields":[{"id":1,"name":"Subdivision","value":"NW"},{"id":4,"name":"Milepost","value":"5.8935"},{"id":17,"name":"Train ID","value":"813-26"},{"id":16,"name":"Locomotive ID","value":"4066"},{"id":130,"name":"Impact","value":""},{"id":150,"name":"Time of Event (Mountain Time)","value":"09:25:47"},{"id":151,"name":"Denver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64"/>
        <v>start /low /b %USERPROFILE%\Documents\GitHub\eaglep3\Utilities\DownloadLogsFromS3.py --loco 4066 --day 2017-09-26</v>
      </c>
      <c r="AN173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7" t="str">
        <f t="shared" si="166"/>
        <v>https://d0f6bd738d7f1b3e5a7ca70fe4ff75f0.us-east-1.aws.found.io/app/kibana#/discover/Steve-Slow-Train-Analysis-(2080s-and-2083s)?_g=(refreshInterval:(display:Off,pause:!f,section:0,value:0),time:(from:'2017-09-26T08:01:56-0600',mode:absolute,to:'2017-09-26T10:25:47-0600'))&amp;_a=(columns:!('Message%20ID',Summary),filters:!(),index:'emp_*',interval:auto,query:(query_string:(analyze_wildcard:!t,query:'%22rtdc.l.rtdc.4066%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711</v>
      </c>
      <c r="B174" s="7">
        <v>4065</v>
      </c>
      <c r="C174" s="21" t="s">
        <v>196</v>
      </c>
      <c r="D174" s="21" t="s">
        <v>953</v>
      </c>
      <c r="E174" s="13">
        <v>43004.394375000003</v>
      </c>
      <c r="F174" s="13">
        <v>43004.405277777776</v>
      </c>
      <c r="G174" s="7">
        <v>57</v>
      </c>
      <c r="H174" s="21" t="s">
        <v>954</v>
      </c>
      <c r="I174" s="13">
        <v>43004.413912037038</v>
      </c>
      <c r="J174" s="7">
        <v>0</v>
      </c>
      <c r="K174" s="89" t="str">
        <f t="shared" si="149"/>
        <v>4065/4066</v>
      </c>
      <c r="L174" s="184" t="str">
        <f>VLOOKUP(A174,'Trips&amp;Operators'!$C$1:$G$99911,5,FALSE)</f>
        <v>LANGERAK WILLIAM</v>
      </c>
      <c r="M174" s="6">
        <f t="shared" si="150"/>
        <v>8.6342592621804215E-3</v>
      </c>
      <c r="N174" s="7">
        <f t="shared" si="151"/>
        <v>12.433333337539807</v>
      </c>
      <c r="O174" s="7"/>
      <c r="P174" s="7"/>
      <c r="Q174" s="22"/>
      <c r="R174" s="173"/>
      <c r="S174" s="220">
        <f t="shared" si="152"/>
        <v>1</v>
      </c>
      <c r="T174" s="173" t="str">
        <f t="shared" si="153"/>
        <v>Southbound</v>
      </c>
      <c r="U174" s="19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154"/>
        <v>https://d0f6bd738d7f1b3e5a7ca70fe4ff75f0.us-east-1.aws.found.io/app/kibana#/discover/Steve-Slow-Train-Analysis-(2080s-and-2083s)?_g=(refreshInterval:(display:Off,pause:!f,section:0,value:0),time:(from:'2017-09-26T08:27:54-0600',mode:absolute,to:'2017-09-26T10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4" s="203" t="str">
        <f>IF(AA174&lt;VLOOKUP(AG174,Variables!$AC$3:$AD$8,2,FALSE),"Y","N")</f>
        <v>N</v>
      </c>
      <c r="X174" s="203">
        <f t="shared" si="167"/>
        <v>1</v>
      </c>
      <c r="Y174" s="203">
        <f t="shared" si="155"/>
        <v>5.8624000000000001</v>
      </c>
      <c r="Z174" s="203">
        <f t="shared" si="156"/>
        <v>7.4700000000000003E-2</v>
      </c>
      <c r="AA174" s="203">
        <f t="shared" si="157"/>
        <v>5.7877000000000001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8">
        <f t="shared" si="158"/>
        <v>814</v>
      </c>
      <c r="AE174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74" s="74" t="str">
        <f t="shared" si="160"/>
        <v>"C:\Program Files (x86)\AstroGrep\AstroGrep.exe" /e /r /s /spath="%USERPROFILE%\AppData\Local\Temp\OnboardLogs" /stypes="app*4065*20170926*" /stext=" 15:.+((SYSTEM_STATE.+slice.+state.+changed )|(ment ac)|(multiple cpu faults)|(system.+state.+changed )|(\[timeout)|(PRM\|1\|D)|(kpr)|(kdp)|(train st.+moving)|(\|lc)|(penalty))"</v>
      </c>
      <c r="AG174" s="181" t="str">
        <f t="shared" si="161"/>
        <v>NW</v>
      </c>
      <c r="AH174" s="78" t="str">
        <f t="shared" si="162"/>
        <v>"%USERPROFILE%\Documents\GitHub\eaglep3\Utilities\RefineRTDCRunTimes.py" --tripid 814-26 --locoid 4065 --swversion DE.1.0.9.0 --startMP 300:58624 --initTime 2017-09-26T09:27:54 --startdatetime 2017-09-26T09:43:36 --delay 57 --endMP 204:747 --enddatetime 2017-09-26T09:56:02 --enforcementcount 0 &gt;&gt;c:\users\stu\Documents\GitHub\eaglep3-reporting\EC\2017-09-26-refined-times.txt</v>
      </c>
      <c r="AI174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{"issue":{"subject":"","project_id":79,"tracker_id":40,"status_id":1,"priority_id":2,"assigned_to_id":338,"start_date":"2017-09-26","description":"","custom_fields":[{"id":1,"name":"Subdivision","value":"NW"},{"id":4,"name":"Milepost","value":"0.0747"},{"id":17,"name":"Train ID","value":"814-26"},{"id":16,"name":"Locomotive ID","value":"4065"},{"id":130,"name":"Impact","value":""},{"id":150,"name":"Time of Event (Mountain Time)","value":"09:56:02"},{"id":151,"name":"Denver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64"/>
        <v>start /low /b %USERPROFILE%\Documents\GitHub\eaglep3\Utilities\DownloadLogsFromS3.py --loco 4065 --day 2017-09-26</v>
      </c>
      <c r="AN174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7" t="str">
        <f t="shared" si="166"/>
        <v>https://d0f6bd738d7f1b3e5a7ca70fe4ff75f0.us-east-1.aws.found.io/app/kibana#/discover/Steve-Slow-Train-Analysis-(2080s-and-2083s)?_g=(refreshInterval:(display:Off,pause:!f,section:0,value:0),time:(from:'2017-09-26T08:27:54-0600',mode:absolute,to:'2017-09-26T10:56:02-0600'))&amp;_a=(columns:!('Message%20ID',Summary),filters:!(),index:'emp_*',interval:auto,query:(query_string:(analyze_wildcard:!t,query:'%22rtdc.l.rtdc.4065%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717</v>
      </c>
      <c r="B175" s="7">
        <v>4066</v>
      </c>
      <c r="C175" s="21" t="s">
        <v>196</v>
      </c>
      <c r="D175" s="21" t="s">
        <v>580</v>
      </c>
      <c r="E175" s="13">
        <v>43004.418263888889</v>
      </c>
      <c r="F175" s="13">
        <v>43004.423182870371</v>
      </c>
      <c r="G175" s="7">
        <v>199</v>
      </c>
      <c r="H175" s="21" t="s">
        <v>587</v>
      </c>
      <c r="I175" s="13">
        <v>43004.434513888889</v>
      </c>
      <c r="J175" s="7">
        <v>0</v>
      </c>
      <c r="K175" s="89" t="str">
        <f t="shared" si="149"/>
        <v>4065/4066</v>
      </c>
      <c r="L175" s="184" t="str">
        <f>VLOOKUP(A175,'Trips&amp;Operators'!$C$1:$G$99911,5,FALSE)</f>
        <v>LANGERAK WILLIAM</v>
      </c>
      <c r="M175" s="6">
        <f t="shared" si="150"/>
        <v>1.1331018518831115E-2</v>
      </c>
      <c r="N175" s="7">
        <f t="shared" si="151"/>
        <v>16.316666667116806</v>
      </c>
      <c r="O175" s="7"/>
      <c r="P175" s="7"/>
      <c r="Q175" s="22"/>
      <c r="R175" s="173"/>
      <c r="S175" s="220">
        <f t="shared" si="152"/>
        <v>1</v>
      </c>
      <c r="T175" s="173" t="str">
        <f t="shared" si="153"/>
        <v>NorthBound</v>
      </c>
      <c r="U175" s="19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5" t="str">
        <f t="shared" si="154"/>
        <v>https://d0f6bd738d7f1b3e5a7ca70fe4ff75f0.us-east-1.aws.found.io/app/kibana#/discover/Steve-Slow-Train-Analysis-(2080s-and-2083s)?_g=(refreshInterval:(display:Off,pause:!f,section:0,value:0),time:(from:'2017-09-26T09:02:18-0600',mode:absolute,to:'2017-09-26T11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5" s="203" t="str">
        <f>IF(AA175&lt;VLOOKUP(AG175,Variables!$AC$3:$AD$8,2,FALSE),"Y","N")</f>
        <v>N</v>
      </c>
      <c r="X175" s="203">
        <f t="shared" si="167"/>
        <v>1</v>
      </c>
      <c r="Y175" s="203">
        <f t="shared" si="155"/>
        <v>0.1013</v>
      </c>
      <c r="Z175" s="203">
        <f t="shared" si="156"/>
        <v>5.8933</v>
      </c>
      <c r="AA175" s="203">
        <f t="shared" si="157"/>
        <v>5.7919999999999998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8">
        <f t="shared" si="158"/>
        <v>815</v>
      </c>
      <c r="AE175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75" s="74" t="str">
        <f t="shared" si="160"/>
        <v>"C:\Program Files (x86)\AstroGrep\AstroGrep.exe" /e /r /s /spath="%USERPROFILE%\AppData\Local\Temp\OnboardLogs" /stypes="app*4066*20170926*" /stext=" 16:.+((SYSTEM_STATE.+slice.+state.+changed )|(ment ac)|(multiple cpu faults)|(system.+state.+changed )|(\[timeout)|(PRM\|1\|D)|(kpr)|(kdp)|(train st.+moving)|(\|lc)|(penalty))"</v>
      </c>
      <c r="AG175" s="181" t="str">
        <f t="shared" si="161"/>
        <v>NW</v>
      </c>
      <c r="AH175" s="78" t="str">
        <f t="shared" si="162"/>
        <v>"%USERPROFILE%\Documents\GitHub\eaglep3\Utilities\RefineRTDCRunTimes.py" --tripid 815-26 --locoid 4066 --swversion DE.1.0.9.0 --startMP 204:1013 --initTime 2017-09-26T10:02:18 --startdatetime 2017-09-26T10:09:23 --delay 199 --endMP 300:58933 --enddatetime 2017-09-26T10:25:42 --enforcementcount 0 &gt;&gt;c:\users\stu\Documents\GitHub\eaglep3-reporting\EC\2017-09-26-refined-times.txt</v>
      </c>
      <c r="AI175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{"issue":{"subject":"","project_id":79,"tracker_id":40,"status_id":1,"priority_id":2,"assigned_to_id":338,"start_date":"2017-09-26","description":"","custom_fields":[{"id":1,"name":"Subdivision","value":"NW"},{"id":4,"name":"Milepost","value":"5.8933"},{"id":17,"name":"Train ID","value":"815-26"},{"id":16,"name":"Locomotive ID","value":"4066"},{"id":130,"name":"Impact","value":""},{"id":150,"name":"Time of Event (Mountain Time)","value":"10:25:42"},{"id":151,"name":"Denver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64"/>
        <v>start /low /b %USERPROFILE%\Documents\GitHub\eaglep3\Utilities\DownloadLogsFromS3.py --loco 4066 --day 2017-09-26</v>
      </c>
      <c r="AN175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7" t="str">
        <f t="shared" si="166"/>
        <v>https://d0f6bd738d7f1b3e5a7ca70fe4ff75f0.us-east-1.aws.found.io/app/kibana#/discover/Steve-Slow-Train-Analysis-(2080s-and-2083s)?_g=(refreshInterval:(display:Off,pause:!f,section:0,value:0),time:(from:'2017-09-26T09:02:18-0600',mode:absolute,to:'2017-09-26T11:25:42-0600'))&amp;_a=(columns:!('Message%20ID',Summary),filters:!(),index:'emp_*',interval:auto,query:(query_string:(analyze_wildcard:!t,query:'%22rtdc.l.rtdc.4066%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722</v>
      </c>
      <c r="B176" s="7">
        <v>4065</v>
      </c>
      <c r="C176" s="21" t="s">
        <v>196</v>
      </c>
      <c r="D176" s="21" t="s">
        <v>600</v>
      </c>
      <c r="E176" s="13">
        <v>43004.435532407406</v>
      </c>
      <c r="F176" s="13">
        <v>43004.446620370371</v>
      </c>
      <c r="G176" s="7">
        <v>77</v>
      </c>
      <c r="H176" s="21" t="s">
        <v>955</v>
      </c>
      <c r="I176" s="13">
        <v>43004.455277777779</v>
      </c>
      <c r="J176" s="7">
        <v>0</v>
      </c>
      <c r="K176" s="89" t="str">
        <f t="shared" si="149"/>
        <v>4065/4066</v>
      </c>
      <c r="L176" s="184" t="str">
        <f>VLOOKUP(A176,'Trips&amp;Operators'!$C$1:$G$99911,5,FALSE)</f>
        <v>LANGERAK WILLIAM</v>
      </c>
      <c r="M176" s="6">
        <f t="shared" si="150"/>
        <v>8.6574074084637687E-3</v>
      </c>
      <c r="N176" s="7">
        <f t="shared" si="151"/>
        <v>12.466666668187827</v>
      </c>
      <c r="O176" s="7"/>
      <c r="P176" s="7"/>
      <c r="Q176" s="22"/>
      <c r="R176" s="173"/>
      <c r="S176" s="220">
        <f t="shared" si="152"/>
        <v>1</v>
      </c>
      <c r="T176" s="173" t="str">
        <f t="shared" si="153"/>
        <v>Southbound</v>
      </c>
      <c r="U176" s="19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154"/>
        <v>https://d0f6bd738d7f1b3e5a7ca70fe4ff75f0.us-east-1.aws.found.io/app/kibana#/discover/Steve-Slow-Train-Analysis-(2080s-and-2083s)?_g=(refreshInterval:(display:Off,pause:!f,section:0,value:0),time:(from:'2017-09-26T09:27:10-0600',mode:absolute,to:'2017-09-26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6" s="203" t="str">
        <f>IF(AA176&lt;VLOOKUP(AG176,Variables!$AC$3:$AD$8,2,FALSE),"Y","N")</f>
        <v>N</v>
      </c>
      <c r="X176" s="203">
        <f t="shared" si="167"/>
        <v>1</v>
      </c>
      <c r="Y176" s="203">
        <f t="shared" si="155"/>
        <v>5.8615000000000004</v>
      </c>
      <c r="Z176" s="203">
        <f t="shared" si="156"/>
        <v>7.2900000000000006E-2</v>
      </c>
      <c r="AA176" s="203">
        <f t="shared" si="157"/>
        <v>5.7886000000000006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8">
        <f t="shared" si="158"/>
        <v>816</v>
      </c>
      <c r="AE176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76" s="74" t="str">
        <f t="shared" si="160"/>
        <v>"C:\Program Files (x86)\AstroGrep\AstroGrep.exe" /e /r /s /spath="%USERPROFILE%\AppData\Local\Temp\OnboardLogs" /stypes="app*4065*20170926*" /stext=" 16:.+((SYSTEM_STATE.+slice.+state.+changed )|(ment ac)|(multiple cpu faults)|(system.+state.+changed )|(\[timeout)|(PRM\|1\|D)|(kpr)|(kdp)|(train st.+moving)|(\|lc)|(penalty))"</v>
      </c>
      <c r="AG176" s="181" t="str">
        <f t="shared" si="161"/>
        <v>NW</v>
      </c>
      <c r="AH176" s="78" t="str">
        <f t="shared" si="162"/>
        <v>"%USERPROFILE%\Documents\GitHub\eaglep3\Utilities\RefineRTDCRunTimes.py" --tripid 816-26 --locoid 4065 --swversion DE.1.0.9.0 --startMP 300:58615 --initTime 2017-09-26T10:27:10 --startdatetime 2017-09-26T10:43:08 --delay 77 --endMP 204:729 --enddatetime 2017-09-26T10:55:36 --enforcementcount 0 &gt;&gt;c:\users\stu\Documents\GitHub\eaglep3-reporting\EC\2017-09-26-refined-times.txt</v>
      </c>
      <c r="AI176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{"issue":{"subject":"","project_id":79,"tracker_id":40,"status_id":1,"priority_id":2,"assigned_to_id":338,"start_date":"2017-09-26","description":"","custom_fields":[{"id":1,"name":"Subdivision","value":"NW"},{"id":4,"name":"Milepost","value":"0.0729"},{"id":17,"name":"Train ID","value":"816-26"},{"id":16,"name":"Locomotive ID","value":"4065"},{"id":130,"name":"Impact","value":""},{"id":150,"name":"Time of Event (Mountain Time)","value":"10:55:36"},{"id":151,"name":"Denver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64"/>
        <v>start /low /b %USERPROFILE%\Documents\GitHub\eaglep3\Utilities\DownloadLogsFromS3.py --loco 4065 --day 2017-09-26</v>
      </c>
      <c r="AN176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16:55:36"},{"id":29,"name":"Sharepoint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7" t="str">
        <f t="shared" si="166"/>
        <v>https://d0f6bd738d7f1b3e5a7ca70fe4ff75f0.us-east-1.aws.found.io/app/kibana#/discover/Steve-Slow-Train-Analysis-(2080s-and-2083s)?_g=(refreshInterval:(display:Off,pause:!f,section:0,value:0),time:(from:'2017-09-26T09:27:10-0600',mode:absolute,to:'2017-09-26T11:55:36-0600'))&amp;_a=(columns:!('Message%20ID',Summary),filters:!(),index:'emp_*',interval:auto,query:(query_string:(analyze_wildcard:!t,query:'%22rtdc.l.rtdc.4065%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726</v>
      </c>
      <c r="B177" s="7">
        <v>4066</v>
      </c>
      <c r="C177" s="21" t="s">
        <v>196</v>
      </c>
      <c r="D177" s="21" t="s">
        <v>956</v>
      </c>
      <c r="E177" s="13">
        <v>43004.456087962964</v>
      </c>
      <c r="F177" s="13">
        <v>43004.465185185189</v>
      </c>
      <c r="G177" s="7">
        <v>145</v>
      </c>
      <c r="H177" s="21" t="s">
        <v>957</v>
      </c>
      <c r="I177" s="13">
        <v>43004.475104166668</v>
      </c>
      <c r="J177" s="7">
        <v>0</v>
      </c>
      <c r="K177" s="89" t="str">
        <f t="shared" si="149"/>
        <v>4065/4066</v>
      </c>
      <c r="L177" s="184" t="str">
        <f>VLOOKUP(A177,'Trips&amp;Operators'!$C$1:$G$99911,5,FALSE)</f>
        <v>BARRON PERLA</v>
      </c>
      <c r="M177" s="6">
        <f t="shared" si="150"/>
        <v>9.9189814791316167E-3</v>
      </c>
      <c r="N177" s="7">
        <f t="shared" si="151"/>
        <v>14.283333329949528</v>
      </c>
      <c r="O177" s="7"/>
      <c r="P177" s="7"/>
      <c r="Q177" s="22"/>
      <c r="R177" s="173"/>
      <c r="S177" s="220">
        <f t="shared" si="152"/>
        <v>1</v>
      </c>
      <c r="T177" s="173" t="str">
        <f t="shared" si="153"/>
        <v>NorthBound</v>
      </c>
      <c r="U177" s="19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154"/>
        <v>https://d0f6bd738d7f1b3e5a7ca70fe4ff75f0.us-east-1.aws.found.io/app/kibana#/discover/Steve-Slow-Train-Analysis-(2080s-and-2083s)?_g=(refreshInterval:(display:Off,pause:!f,section:0,value:0),time:(from:'2017-09-26T09:56:46-0600',mode:absolute,to:'2017-09-26T12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7" s="203" t="str">
        <f>IF(AA177&lt;VLOOKUP(AG177,Variables!$AC$3:$AD$8,2,FALSE),"Y","N")</f>
        <v>N</v>
      </c>
      <c r="X177" s="203">
        <f t="shared" si="167"/>
        <v>1</v>
      </c>
      <c r="Y177" s="203">
        <f t="shared" si="155"/>
        <v>0.1009</v>
      </c>
      <c r="Z177" s="203">
        <f t="shared" si="156"/>
        <v>5.8936999999999999</v>
      </c>
      <c r="AA177" s="203">
        <f t="shared" si="157"/>
        <v>5.7927999999999997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8">
        <f t="shared" si="158"/>
        <v>817</v>
      </c>
      <c r="AE177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77" s="74" t="str">
        <f t="shared" si="160"/>
        <v>"C:\Program Files (x86)\AstroGrep\AstroGrep.exe" /e /r /s /spath="%USERPROFILE%\AppData\Local\Temp\OnboardLogs" /stypes="app*4066*20170926*" /stext=" 17:.+((SYSTEM_STATE.+slice.+state.+changed )|(ment ac)|(multiple cpu faults)|(system.+state.+changed )|(\[timeout)|(PRM\|1\|D)|(kpr)|(kdp)|(train st.+moving)|(\|lc)|(penalty))"</v>
      </c>
      <c r="AG177" s="181" t="str">
        <f t="shared" si="161"/>
        <v>NW</v>
      </c>
      <c r="AH177" s="78" t="str">
        <f t="shared" si="162"/>
        <v>"%USERPROFILE%\Documents\GitHub\eaglep3\Utilities\RefineRTDCRunTimes.py" --tripid 817-26 --locoid 4066 --swversion DE.1.0.9.0 --startMP 204:1009 --initTime 2017-09-26T10:56:46 --startdatetime 2017-09-26T11:09:52 --delay 145 --endMP 300:58937 --enddatetime 2017-09-26T11:24:09 --enforcementcount 0 &gt;&gt;c:\users\stu\Documents\GitHub\eaglep3-reporting\EC\2017-09-26-refined-times.txt</v>
      </c>
      <c r="AI177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{"issue":{"subject":"","project_id":79,"tracker_id":40,"status_id":1,"priority_id":2,"assigned_to_id":338,"start_date":"2017-09-26","description":"","custom_fields":[{"id":1,"name":"Subdivision","value":"NW"},{"id":4,"name":"Milepost","value":"5.8937"},{"id":17,"name":"Train ID","value":"817-26"},{"id":16,"name":"Locomotive ID","value":"4066"},{"id":130,"name":"Impact","value":""},{"id":150,"name":"Time of Event (Mountain Time)","value":"11:24:09"},{"id":151,"name":"Denver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64"/>
        <v>start /low /b %USERPROFILE%\Documents\GitHub\eaglep3\Utilities\DownloadLogsFromS3.py --loco 4066 --day 2017-09-26</v>
      </c>
      <c r="AN177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7" t="str">
        <f t="shared" si="166"/>
        <v>https://d0f6bd738d7f1b3e5a7ca70fe4ff75f0.us-east-1.aws.found.io/app/kibana#/discover/Steve-Slow-Train-Analysis-(2080s-and-2083s)?_g=(refreshInterval:(display:Off,pause:!f,section:0,value:0),time:(from:'2017-09-26T09:56:46-0600',mode:absolute,to:'2017-09-26T12:24:09-0600'))&amp;_a=(columns:!('Message%20ID',Summary),filters:!(),index:'emp_*',interval:auto,query:(query_string:(analyze_wildcard:!t,query:'%22rtdc.l.rtdc.4066%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731</v>
      </c>
      <c r="B178" s="7">
        <v>4065</v>
      </c>
      <c r="C178" s="21" t="s">
        <v>196</v>
      </c>
      <c r="D178" s="21" t="s">
        <v>588</v>
      </c>
      <c r="E178" s="13">
        <v>43004.476574074077</v>
      </c>
      <c r="F178" s="13">
        <v>43004.488287037035</v>
      </c>
      <c r="G178" s="7">
        <v>70</v>
      </c>
      <c r="H178" s="21" t="s">
        <v>589</v>
      </c>
      <c r="I178" s="13">
        <v>43004.496990740743</v>
      </c>
      <c r="J178" s="7">
        <v>0</v>
      </c>
      <c r="K178" s="89" t="str">
        <f t="shared" si="149"/>
        <v>4065/4066</v>
      </c>
      <c r="L178" s="184" t="str">
        <f>VLOOKUP(A178,'Trips&amp;Operators'!$C$1:$G$99911,5,FALSE)</f>
        <v>BARRON PERLA</v>
      </c>
      <c r="M178" s="6">
        <f t="shared" si="150"/>
        <v>8.7037037083064206E-3</v>
      </c>
      <c r="N178" s="7">
        <f t="shared" si="151"/>
        <v>12.533333339961246</v>
      </c>
      <c r="O178" s="7"/>
      <c r="P178" s="7"/>
      <c r="Q178" s="22"/>
      <c r="R178" s="173"/>
      <c r="S178" s="220">
        <f t="shared" si="152"/>
        <v>1</v>
      </c>
      <c r="T178" s="173" t="str">
        <f t="shared" si="153"/>
        <v>Southbound</v>
      </c>
      <c r="U178" s="19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154"/>
        <v>https://d0f6bd738d7f1b3e5a7ca70fe4ff75f0.us-east-1.aws.found.io/app/kibana#/discover/Steve-Slow-Train-Analysis-(2080s-and-2083s)?_g=(refreshInterval:(display:Off,pause:!f,section:0,value:0),time:(from:'2017-09-26T10:26:16-0600',mode:absolute,to:'2017-09-26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8" s="203" t="str">
        <f>IF(AA178&lt;VLOOKUP(AG178,Variables!$AC$3:$AD$8,2,FALSE),"Y","N")</f>
        <v>N</v>
      </c>
      <c r="X178" s="203">
        <f t="shared" si="167"/>
        <v>1</v>
      </c>
      <c r="Y178" s="203">
        <f t="shared" si="155"/>
        <v>5.8620999999999999</v>
      </c>
      <c r="Z178" s="203">
        <f t="shared" si="156"/>
        <v>6.6799999999999998E-2</v>
      </c>
      <c r="AA178" s="203">
        <f t="shared" si="157"/>
        <v>5.7953000000000001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8">
        <f t="shared" si="158"/>
        <v>818</v>
      </c>
      <c r="AE178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78" s="74" t="str">
        <f t="shared" si="160"/>
        <v>"C:\Program Files (x86)\AstroGrep\AstroGrep.exe" /e /r /s /spath="%USERPROFILE%\AppData\Local\Temp\OnboardLogs" /stypes="app*4065*20170926*" /stext=" 17:.+((SYSTEM_STATE.+slice.+state.+changed )|(ment ac)|(multiple cpu faults)|(system.+state.+changed )|(\[timeout)|(PRM\|1\|D)|(kpr)|(kdp)|(train st.+moving)|(\|lc)|(penalty))"</v>
      </c>
      <c r="AG178" s="181" t="str">
        <f t="shared" si="161"/>
        <v>NW</v>
      </c>
      <c r="AH178" s="78" t="str">
        <f t="shared" si="162"/>
        <v>"%USERPROFILE%\Documents\GitHub\eaglep3\Utilities\RefineRTDCRunTimes.py" --tripid 818-26 --locoid 4065 --swversion DE.1.0.9.0 --startMP 300:58621 --initTime 2017-09-26T11:26:16 --startdatetime 2017-09-26T11:43:08 --delay 70 --endMP 204:668 --enddatetime 2017-09-26T11:55:40 --enforcementcount 0 &gt;&gt;c:\users\stu\Documents\GitHub\eaglep3-reporting\EC\2017-09-26-refined-times.txt</v>
      </c>
      <c r="AI178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{"issue":{"subject":"","project_id":79,"tracker_id":40,"status_id":1,"priority_id":2,"assigned_to_id":338,"start_date":"2017-09-26","description":"","custom_fields":[{"id":1,"name":"Subdivision","value":"NW"},{"id":4,"name":"Milepost","value":"0.0668"},{"id":17,"name":"Train ID","value":"818-26"},{"id":16,"name":"Locomotive ID","value":"4065"},{"id":130,"name":"Impact","value":""},{"id":150,"name":"Time of Event (Mountain Time)","value":"11:55:40"},{"id":151,"name":"Denver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64"/>
        <v>start /low /b %USERPROFILE%\Documents\GitHub\eaglep3\Utilities\DownloadLogsFromS3.py --loco 4065 --day 2017-09-26</v>
      </c>
      <c r="AN178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7" t="str">
        <f t="shared" si="166"/>
        <v>https://d0f6bd738d7f1b3e5a7ca70fe4ff75f0.us-east-1.aws.found.io/app/kibana#/discover/Steve-Slow-Train-Analysis-(2080s-and-2083s)?_g=(refreshInterval:(display:Off,pause:!f,section:0,value:0),time:(from:'2017-09-26T10:26:16-0600',mode:absolute,to:'2017-09-26T12:55:40-0600'))&amp;_a=(columns:!('Message%20ID',Summary),filters:!(),index:'emp_*',interval:auto,query:(query_string:(analyze_wildcard:!t,query:'%22rtdc.l.rtdc.4065%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739</v>
      </c>
      <c r="B179" s="7">
        <v>4066</v>
      </c>
      <c r="C179" s="21" t="s">
        <v>196</v>
      </c>
      <c r="D179" s="21" t="s">
        <v>958</v>
      </c>
      <c r="E179" s="13">
        <v>43004.499884259261</v>
      </c>
      <c r="F179" s="13">
        <v>43004.509699074071</v>
      </c>
      <c r="G179" s="7">
        <v>264</v>
      </c>
      <c r="H179" s="21" t="s">
        <v>959</v>
      </c>
      <c r="I179" s="13">
        <v>43004.521793981483</v>
      </c>
      <c r="J179" s="7">
        <v>0</v>
      </c>
      <c r="K179" s="89" t="str">
        <f t="shared" si="149"/>
        <v>4065/4066</v>
      </c>
      <c r="L179" s="184" t="str">
        <f>VLOOKUP(A179,'Trips&amp;Operators'!$C$1:$G$99911,5,FALSE)</f>
        <v>DE LA ROSA ALEX</v>
      </c>
      <c r="M179" s="6">
        <f t="shared" si="150"/>
        <v>1.209490741166519E-2</v>
      </c>
      <c r="N179" s="7">
        <f t="shared" si="151"/>
        <v>17.416666672797874</v>
      </c>
      <c r="O179" s="7"/>
      <c r="P179" s="7"/>
      <c r="Q179" s="22"/>
      <c r="R179" s="173"/>
      <c r="S179" s="220">
        <f t="shared" si="152"/>
        <v>1</v>
      </c>
      <c r="T179" s="173" t="str">
        <f t="shared" si="153"/>
        <v>NorthBound</v>
      </c>
      <c r="U179" s="19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154"/>
        <v>https://d0f6bd738d7f1b3e5a7ca70fe4ff75f0.us-east-1.aws.found.io/app/kibana#/discover/Steve-Slow-Train-Analysis-(2080s-and-2083s)?_g=(refreshInterval:(display:Off,pause:!f,section:0,value:0),time:(from:'2017-09-26T10:59:50-0600',mode:absolute,to:'2017-09-26T13:31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9" s="203" t="str">
        <f>IF(AA179&lt;VLOOKUP(AG179,Variables!$AC$3:$AD$8,2,FALSE),"Y","N")</f>
        <v>N</v>
      </c>
      <c r="X179" s="203">
        <f t="shared" si="167"/>
        <v>1</v>
      </c>
      <c r="Y179" s="203">
        <f t="shared" si="155"/>
        <v>9.5500000000000002E-2</v>
      </c>
      <c r="Z179" s="203">
        <f t="shared" si="156"/>
        <v>5.8958000000000004</v>
      </c>
      <c r="AA179" s="203">
        <f t="shared" si="157"/>
        <v>5.8003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8">
        <f t="shared" si="158"/>
        <v>819</v>
      </c>
      <c r="AE179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79" s="74" t="str">
        <f t="shared" si="160"/>
        <v>"C:\Program Files (x86)\AstroGrep\AstroGrep.exe" /e /r /s /spath="%USERPROFILE%\AppData\Local\Temp\OnboardLogs" /stypes="app*4066*20170926*" /stext=" 18:.+((SYSTEM_STATE.+slice.+state.+changed )|(ment ac)|(multiple cpu faults)|(system.+state.+changed )|(\[timeout)|(PRM\|1\|D)|(kpr)|(kdp)|(train st.+moving)|(\|lc)|(penalty))"</v>
      </c>
      <c r="AG179" s="181" t="str">
        <f t="shared" si="161"/>
        <v>NW</v>
      </c>
      <c r="AH179" s="78" t="str">
        <f t="shared" si="162"/>
        <v>"%USERPROFILE%\Documents\GitHub\eaglep3\Utilities\RefineRTDCRunTimes.py" --tripid 819-26 --locoid 4066 --swversion DE.1.0.9.0 --startMP 204:955 --initTime 2017-09-26T11:59:50 --startdatetime 2017-09-26T12:13:58 --delay 264 --endMP 300:58958 --enddatetime 2017-09-26T12:31:23 --enforcementcount 0 &gt;&gt;c:\users\stu\Documents\GitHub\eaglep3-reporting\EC\2017-09-26-refined-times.txt</v>
      </c>
      <c r="AI179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{"issue":{"subject":"","project_id":79,"tracker_id":40,"status_id":1,"priority_id":2,"assigned_to_id":338,"start_date":"2017-09-26","description":"","custom_fields":[{"id":1,"name":"Subdivision","value":"NW"},{"id":4,"name":"Milepost","value":"5.8958"},{"id":17,"name":"Train ID","value":"819-26"},{"id":16,"name":"Locomotive ID","value":"4066"},{"id":130,"name":"Impact","value":""},{"id":150,"name":"Time of Event (Mountain Time)","value":"12:31:23"},{"id":151,"name":"Denver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64"/>
        <v>start /low /b %USERPROFILE%\Documents\GitHub\eaglep3\Utilities\DownloadLogsFromS3.py --loco 4066 --day 2017-09-26</v>
      </c>
      <c r="AN179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18:31:23"},{"id":29,"name":"Sharepoint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7" t="str">
        <f t="shared" si="166"/>
        <v>https://d0f6bd738d7f1b3e5a7ca70fe4ff75f0.us-east-1.aws.found.io/app/kibana#/discover/Steve-Slow-Train-Analysis-(2080s-and-2083s)?_g=(refreshInterval:(display:Off,pause:!f,section:0,value:0),time:(from:'2017-09-26T10:59:50-0600',mode:absolute,to:'2017-09-26T13:31:23-0600'))&amp;_a=(columns:!('Message%20ID',Summary),filters:!(),index:'emp_*',interval:auto,query:(query_string:(analyze_wildcard:!t,query:'%22rtdc.l.rtdc.4066%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745</v>
      </c>
      <c r="B180" s="7">
        <v>4065</v>
      </c>
      <c r="C180" s="21" t="s">
        <v>196</v>
      </c>
      <c r="D180" s="21" t="s">
        <v>594</v>
      </c>
      <c r="E180" s="13">
        <v>43004.523136574076</v>
      </c>
      <c r="F180" s="13">
        <v>43004.52747685185</v>
      </c>
      <c r="G180" s="7">
        <v>92</v>
      </c>
      <c r="H180" s="21" t="s">
        <v>960</v>
      </c>
      <c r="I180" s="13">
        <v>43004.540046296293</v>
      </c>
      <c r="J180" s="7">
        <v>0</v>
      </c>
      <c r="K180" s="89" t="str">
        <f t="shared" si="149"/>
        <v>4065/4066</v>
      </c>
      <c r="L180" s="184" t="str">
        <f>VLOOKUP(A180,'Trips&amp;Operators'!$C$1:$G$99911,5,FALSE)</f>
        <v>DE LA ROSA ALEX</v>
      </c>
      <c r="M180" s="6">
        <f t="shared" si="150"/>
        <v>1.2569444443215616E-2</v>
      </c>
      <c r="N180" s="7">
        <f t="shared" si="151"/>
        <v>18.099999998230487</v>
      </c>
      <c r="O180" s="7"/>
      <c r="P180" s="7"/>
      <c r="Q180" s="22"/>
      <c r="R180" s="173"/>
      <c r="S180" s="220">
        <f t="shared" si="152"/>
        <v>1</v>
      </c>
      <c r="T180" s="173" t="str">
        <f t="shared" si="153"/>
        <v>Southbound</v>
      </c>
      <c r="U180" s="19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154"/>
        <v>https://d0f6bd738d7f1b3e5a7ca70fe4ff75f0.us-east-1.aws.found.io/app/kibana#/discover/Steve-Slow-Train-Analysis-(2080s-and-2083s)?_g=(refreshInterval:(display:Off,pause:!f,section:0,value:0),time:(from:'2017-09-26T11:33:19-0600',mode:absolute,to:'2017-09-26T13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0" s="203" t="str">
        <f>IF(AA180&lt;VLOOKUP(AG180,Variables!$AC$3:$AD$8,2,FALSE),"Y","N")</f>
        <v>N</v>
      </c>
      <c r="X180" s="203">
        <f t="shared" ref="X180:X211" si="168">VALUE(LEFT(AD180,4))-VALUE(LEFT(AD179,4))</f>
        <v>1</v>
      </c>
      <c r="Y180" s="203">
        <f t="shared" si="155"/>
        <v>5.8640999999999996</v>
      </c>
      <c r="Z180" s="203">
        <f t="shared" si="156"/>
        <v>7.1199999999999999E-2</v>
      </c>
      <c r="AA180" s="203">
        <f t="shared" si="157"/>
        <v>5.7928999999999995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8">
        <f t="shared" si="158"/>
        <v>820</v>
      </c>
      <c r="AE180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80" s="74" t="str">
        <f t="shared" si="160"/>
        <v>"C:\Program Files (x86)\AstroGrep\AstroGrep.exe" /e /r /s /spath="%USERPROFILE%\AppData\Local\Temp\OnboardLogs" /stypes="app*4065*20170926*" /stext=" 18:.+((SYSTEM_STATE.+slice.+state.+changed )|(ment ac)|(multiple cpu faults)|(system.+state.+changed )|(\[timeout)|(PRM\|1\|D)|(kpr)|(kdp)|(train st.+moving)|(\|lc)|(penalty))"</v>
      </c>
      <c r="AG180" s="181" t="str">
        <f t="shared" si="161"/>
        <v>NW</v>
      </c>
      <c r="AH180" s="78" t="str">
        <f t="shared" si="162"/>
        <v>"%USERPROFILE%\Documents\GitHub\eaglep3\Utilities\RefineRTDCRunTimes.py" --tripid 820-26 --locoid 4065 --swversion DE.1.0.9.0 --startMP 300:58641 --initTime 2017-09-26T12:33:19 --startdatetime 2017-09-26T12:39:34 --delay 92 --endMP 204:712 --enddatetime 2017-09-26T12:57:40 --enforcementcount 0 &gt;&gt;c:\users\stu\Documents\GitHub\eaglep3-reporting\EC\2017-09-26-refined-times.txt</v>
      </c>
      <c r="AI180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{"issue":{"subject":"","project_id":79,"tracker_id":40,"status_id":1,"priority_id":2,"assigned_to_id":338,"start_date":"2017-09-26","description":"","custom_fields":[{"id":1,"name":"Subdivision","value":"NW"},{"id":4,"name":"Milepost","value":"0.0712"},{"id":17,"name":"Train ID","value":"820-26"},{"id":16,"name":"Locomotive ID","value":"4065"},{"id":130,"name":"Impact","value":""},{"id":150,"name":"Time of Event (Mountain Time)","value":"12:57:40"},{"id":151,"name":"Denver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64"/>
        <v>start /low /b %USERPROFILE%\Documents\GitHub\eaglep3\Utilities\DownloadLogsFromS3.py --loco 4065 --day 2017-09-26</v>
      </c>
      <c r="AN180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7" t="str">
        <f t="shared" si="166"/>
        <v>https://d0f6bd738d7f1b3e5a7ca70fe4ff75f0.us-east-1.aws.found.io/app/kibana#/discover/Steve-Slow-Train-Analysis-(2080s-and-2083s)?_g=(refreshInterval:(display:Off,pause:!f,section:0,value:0),time:(from:'2017-09-26T11:33:19-0600',mode:absolute,to:'2017-09-26T13:57:40-0600'))&amp;_a=(columns:!('Message%20ID',Summary),filters:!(),index:'emp_*',interval:auto,query:(query_string:(analyze_wildcard:!t,query:'%22rtdc.l.rtdc.4065%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750</v>
      </c>
      <c r="B181" s="7">
        <v>4066</v>
      </c>
      <c r="C181" s="21" t="s">
        <v>196</v>
      </c>
      <c r="D181" s="21" t="s">
        <v>483</v>
      </c>
      <c r="E181" s="13">
        <v>43004.541527777779</v>
      </c>
      <c r="F181" s="13">
        <v>43004.548217592594</v>
      </c>
      <c r="G181" s="7">
        <v>95</v>
      </c>
      <c r="H181" s="21" t="s">
        <v>587</v>
      </c>
      <c r="I181" s="13">
        <v>43004.557708333334</v>
      </c>
      <c r="J181" s="7">
        <v>0</v>
      </c>
      <c r="K181" s="89" t="str">
        <f t="shared" si="149"/>
        <v>4065/4066</v>
      </c>
      <c r="L181" s="184" t="str">
        <f>VLOOKUP(A181,'Trips&amp;Operators'!$C$1:$G$99911,5,FALSE)</f>
        <v>GUZMAN DANNY</v>
      </c>
      <c r="M181" s="6">
        <f t="shared" si="150"/>
        <v>9.4907407401478849E-3</v>
      </c>
      <c r="N181" s="7">
        <f t="shared" si="151"/>
        <v>13.666666665812954</v>
      </c>
      <c r="O181" s="7"/>
      <c r="P181" s="7"/>
      <c r="Q181" s="22"/>
      <c r="R181" s="173"/>
      <c r="S181" s="220">
        <f t="shared" si="152"/>
        <v>1</v>
      </c>
      <c r="T181" s="173" t="str">
        <f t="shared" si="153"/>
        <v>NorthBound</v>
      </c>
      <c r="U181" s="19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154"/>
        <v>https://d0f6bd738d7f1b3e5a7ca70fe4ff75f0.us-east-1.aws.found.io/app/kibana#/discover/Steve-Slow-Train-Analysis-(2080s-and-2083s)?_g=(refreshInterval:(display:Off,pause:!f,section:0,value:0),time:(from:'2017-09-26T11:59:48-0600',mode:absolute,to:'2017-09-26T14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1" s="203" t="str">
        <f>IF(AA181&lt;VLOOKUP(AG181,Variables!$AC$3:$AD$8,2,FALSE),"Y","N")</f>
        <v>N</v>
      </c>
      <c r="X181" s="203">
        <f t="shared" si="168"/>
        <v>1</v>
      </c>
      <c r="Y181" s="203">
        <f t="shared" si="155"/>
        <v>9.74E-2</v>
      </c>
      <c r="Z181" s="203">
        <f t="shared" si="156"/>
        <v>5.8933</v>
      </c>
      <c r="AA181" s="203">
        <f t="shared" si="157"/>
        <v>5.7958999999999996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8">
        <f t="shared" si="158"/>
        <v>821</v>
      </c>
      <c r="AE181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81" s="74" t="str">
        <f t="shared" si="160"/>
        <v>"C:\Program Files (x86)\AstroGrep\AstroGrep.exe" /e /r /s /spath="%USERPROFILE%\AppData\Local\Temp\OnboardLogs" /stypes="app*4066*20170926*" /stext=" 19:.+((SYSTEM_STATE.+slice.+state.+changed )|(ment ac)|(multiple cpu faults)|(system.+state.+changed )|(\[timeout)|(PRM\|1\|D)|(kpr)|(kdp)|(train st.+moving)|(\|lc)|(penalty))"</v>
      </c>
      <c r="AG181" s="181" t="str">
        <f t="shared" si="161"/>
        <v>NW</v>
      </c>
      <c r="AH181" s="78" t="str">
        <f t="shared" si="162"/>
        <v>"%USERPROFILE%\Documents\GitHub\eaglep3\Utilities\RefineRTDCRunTimes.py" --tripid 821-26 --locoid 4066 --swversion DE.1.0.9.0 --startMP 204:974 --initTime 2017-09-26T12:59:48 --startdatetime 2017-09-26T13:09:26 --delay 95 --endMP 300:58933 --enddatetime 2017-09-26T13:23:06 --enforcementcount 0 &gt;&gt;c:\users\stu\Documents\GitHub\eaglep3-reporting\EC\2017-09-26-refined-times.txt</v>
      </c>
      <c r="AI181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{"issue":{"subject":"","project_id":79,"tracker_id":40,"status_id":1,"priority_id":2,"assigned_to_id":338,"start_date":"2017-09-26","description":"","custom_fields":[{"id":1,"name":"Subdivision","value":"NW"},{"id":4,"name":"Milepost","value":"5.8933"},{"id":17,"name":"Train ID","value":"821-26"},{"id":16,"name":"Locomotive ID","value":"4066"},{"id":130,"name":"Impact","value":""},{"id":150,"name":"Time of Event (Mountain Time)","value":"13:23:06"},{"id":151,"name":"Denver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64"/>
        <v>start /low /b %USERPROFILE%\Documents\GitHub\eaglep3\Utilities\DownloadLogsFromS3.py --loco 4066 --day 2017-09-26</v>
      </c>
      <c r="AN181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7" t="str">
        <f t="shared" si="166"/>
        <v>https://d0f6bd738d7f1b3e5a7ca70fe4ff75f0.us-east-1.aws.found.io/app/kibana#/discover/Steve-Slow-Train-Analysis-(2080s-and-2083s)?_g=(refreshInterval:(display:Off,pause:!f,section:0,value:0),time:(from:'2017-09-26T11:59:48-0600',mode:absolute,to:'2017-09-26T14:23:06-0600'))&amp;_a=(columns:!('Message%20ID',Summary),filters:!(),index:'emp_*',interval:auto,query:(query_string:(analyze_wildcard:!t,query:'%22rtdc.l.rtdc.4066%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755</v>
      </c>
      <c r="B182" s="7">
        <v>4065</v>
      </c>
      <c r="C182" s="21" t="s">
        <v>196</v>
      </c>
      <c r="D182" s="21" t="s">
        <v>588</v>
      </c>
      <c r="E182" s="13">
        <v>43004.561851851853</v>
      </c>
      <c r="F182" s="13">
        <v>43004.56827546296</v>
      </c>
      <c r="G182" s="7">
        <v>134</v>
      </c>
      <c r="H182" s="21" t="s">
        <v>601</v>
      </c>
      <c r="I182" s="13">
        <v>43004.58084490741</v>
      </c>
      <c r="J182" s="7">
        <v>0</v>
      </c>
      <c r="K182" s="89" t="str">
        <f t="shared" si="149"/>
        <v>4065/4066</v>
      </c>
      <c r="L182" s="184" t="str">
        <f>VLOOKUP(A182,'Trips&amp;Operators'!$C$1:$G$99911,5,FALSE)</f>
        <v>GUZMAN DANNY</v>
      </c>
      <c r="M182" s="6">
        <f t="shared" si="150"/>
        <v>1.2569444450491574E-2</v>
      </c>
      <c r="N182" s="7">
        <f t="shared" si="151"/>
        <v>18.100000008707866</v>
      </c>
      <c r="O182" s="7"/>
      <c r="P182" s="7"/>
      <c r="Q182" s="22"/>
      <c r="R182" s="173"/>
      <c r="S182" s="220">
        <f t="shared" si="152"/>
        <v>1</v>
      </c>
      <c r="T182" s="173" t="str">
        <f t="shared" si="153"/>
        <v>Southbound</v>
      </c>
      <c r="U182" s="19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154"/>
        <v>https://d0f6bd738d7f1b3e5a7ca70fe4ff75f0.us-east-1.aws.found.io/app/kibana#/discover/Steve-Slow-Train-Analysis-(2080s-and-2083s)?_g=(refreshInterval:(display:Off,pause:!f,section:0,value:0),time:(from:'2017-09-26T12:29:04-0600',mode:absolute,to:'2017-09-26T14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2" s="203" t="str">
        <f>IF(AA182&lt;VLOOKUP(AG182,Variables!$AC$3:$AD$8,2,FALSE),"Y","N")</f>
        <v>N</v>
      </c>
      <c r="X182" s="203">
        <f t="shared" si="168"/>
        <v>1</v>
      </c>
      <c r="Y182" s="203">
        <f t="shared" si="155"/>
        <v>5.8620999999999999</v>
      </c>
      <c r="Z182" s="203">
        <f t="shared" si="156"/>
        <v>6.8699999999999997E-2</v>
      </c>
      <c r="AA182" s="203">
        <f t="shared" si="157"/>
        <v>5.7934000000000001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8">
        <f t="shared" si="158"/>
        <v>822</v>
      </c>
      <c r="AE182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82" s="74" t="str">
        <f t="shared" si="160"/>
        <v>"C:\Program Files (x86)\AstroGrep\AstroGrep.exe" /e /r /s /spath="%USERPROFILE%\AppData\Local\Temp\OnboardLogs" /stypes="app*4065*20170926*" /stext=" 19:.+((SYSTEM_STATE.+slice.+state.+changed )|(ment ac)|(multiple cpu faults)|(system.+state.+changed )|(\[timeout)|(PRM\|1\|D)|(kpr)|(kdp)|(train st.+moving)|(\|lc)|(penalty))"</v>
      </c>
      <c r="AG182" s="181" t="str">
        <f t="shared" si="161"/>
        <v>NW</v>
      </c>
      <c r="AH182" s="78" t="str">
        <f t="shared" si="162"/>
        <v>"%USERPROFILE%\Documents\GitHub\eaglep3\Utilities\RefineRTDCRunTimes.py" --tripid 822-26 --locoid 4065 --swversion DE.1.0.9.0 --startMP 300:58621 --initTime 2017-09-26T13:29:04 --startdatetime 2017-09-26T13:38:19 --delay 134 --endMP 204:687 --enddatetime 2017-09-26T13:56:25 --enforcementcount 0 &gt;&gt;c:\users\stu\Documents\GitHub\eaglep3-reporting\EC\2017-09-26-refined-times.txt</v>
      </c>
      <c r="AI182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{"issue":{"subject":"","project_id":79,"tracker_id":40,"status_id":1,"priority_id":2,"assigned_to_id":338,"start_date":"2017-09-26","description":"","custom_fields":[{"id":1,"name":"Subdivision","value":"NW"},{"id":4,"name":"Milepost","value":"0.0687"},{"id":17,"name":"Train ID","value":"822-26"},{"id":16,"name":"Locomotive ID","value":"4065"},{"id":130,"name":"Impact","value":""},{"id":150,"name":"Time of Event (Mountain Time)","value":"13:56:25"},{"id":151,"name":"Denver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64"/>
        <v>start /low /b %USERPROFILE%\Documents\GitHub\eaglep3\Utilities\DownloadLogsFromS3.py --loco 4065 --day 2017-09-26</v>
      </c>
      <c r="AN182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19:56:25"},{"id":29,"name":"Sharepoint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7" t="str">
        <f t="shared" si="166"/>
        <v>https://d0f6bd738d7f1b3e5a7ca70fe4ff75f0.us-east-1.aws.found.io/app/kibana#/discover/Steve-Slow-Train-Analysis-(2080s-and-2083s)?_g=(refreshInterval:(display:Off,pause:!f,section:0,value:0),time:(from:'2017-09-26T12:29:04-0600',mode:absolute,to:'2017-09-26T14:56:25-0600'))&amp;_a=(columns:!('Message%20ID',Summary),filters:!(),index:'emp_*',interval:auto,query:(query_string:(analyze_wildcard:!t,query:'%22rtdc.l.rtdc.4065%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759</v>
      </c>
      <c r="B183" s="7">
        <v>4066</v>
      </c>
      <c r="C183" s="21" t="s">
        <v>196</v>
      </c>
      <c r="D183" s="21" t="s">
        <v>961</v>
      </c>
      <c r="E183" s="13">
        <v>43004.58488425926</v>
      </c>
      <c r="F183" s="13">
        <v>43004.590046296296</v>
      </c>
      <c r="G183" s="7">
        <v>79</v>
      </c>
      <c r="H183" s="21" t="s">
        <v>962</v>
      </c>
      <c r="I183" s="13">
        <v>43004.599456018521</v>
      </c>
      <c r="J183" s="7">
        <v>0</v>
      </c>
      <c r="K183" s="89" t="str">
        <f t="shared" si="149"/>
        <v>4065/4066</v>
      </c>
      <c r="L183" s="184" t="str">
        <f>VLOOKUP(A183,'Trips&amp;Operators'!$C$1:$G$99911,5,FALSE)</f>
        <v>GUZMAN DANNY</v>
      </c>
      <c r="M183" s="6">
        <f t="shared" si="150"/>
        <v>9.4097222245181911E-3</v>
      </c>
      <c r="N183" s="7">
        <f t="shared" si="151"/>
        <v>13.550000003306195</v>
      </c>
      <c r="O183" s="7"/>
      <c r="P183" s="7"/>
      <c r="Q183" s="22"/>
      <c r="R183" s="173"/>
      <c r="S183" s="220">
        <f t="shared" si="152"/>
        <v>1</v>
      </c>
      <c r="T183" s="173" t="str">
        <f t="shared" si="153"/>
        <v>NorthBound</v>
      </c>
      <c r="U183" s="19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154"/>
        <v>https://d0f6bd738d7f1b3e5a7ca70fe4ff75f0.us-east-1.aws.found.io/app/kibana#/discover/Steve-Slow-Train-Analysis-(2080s-and-2083s)?_g=(refreshInterval:(display:Off,pause:!f,section:0,value:0),time:(from:'2017-09-26T13:02:14-0600',mode:absolute,to:'2017-09-26T15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3" s="203" t="str">
        <f>IF(AA183&lt;VLOOKUP(AG183,Variables!$AC$3:$AD$8,2,FALSE),"Y","N")</f>
        <v>N</v>
      </c>
      <c r="X183" s="203">
        <f t="shared" si="168"/>
        <v>1</v>
      </c>
      <c r="Y183" s="203">
        <f t="shared" si="155"/>
        <v>9.8799999999999999E-2</v>
      </c>
      <c r="Z183" s="203">
        <f t="shared" si="156"/>
        <v>5.8930999999999996</v>
      </c>
      <c r="AA183" s="203">
        <f t="shared" si="157"/>
        <v>5.7942999999999998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8">
        <f t="shared" si="158"/>
        <v>823</v>
      </c>
      <c r="AE183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83" s="74" t="str">
        <f t="shared" si="160"/>
        <v>"C:\Program Files (x86)\AstroGrep\AstroGrep.exe" /e /r /s /spath="%USERPROFILE%\AppData\Local\Temp\OnboardLogs" /stypes="app*4066*20170926*" /stext=" 20:.+((SYSTEM_STATE.+slice.+state.+changed )|(ment ac)|(multiple cpu faults)|(system.+state.+changed )|(\[timeout)|(PRM\|1\|D)|(kpr)|(kdp)|(train st.+moving)|(\|lc)|(penalty))"</v>
      </c>
      <c r="AG183" s="181" t="str">
        <f t="shared" si="161"/>
        <v>NW</v>
      </c>
      <c r="AH183" s="78" t="str">
        <f t="shared" si="162"/>
        <v>"%USERPROFILE%\Documents\GitHub\eaglep3\Utilities\RefineRTDCRunTimes.py" --tripid 823-26 --locoid 4066 --swversion DE.1.0.9.0 --startMP 204:988 --initTime 2017-09-26T14:02:14 --startdatetime 2017-09-26T14:09:40 --delay 79 --endMP 300:58931 --enddatetime 2017-09-26T14:23:13 --enforcementcount 0 &gt;&gt;c:\users\stu\Documents\GitHub\eaglep3-reporting\EC\2017-09-26-refined-times.txt</v>
      </c>
      <c r="AI183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{"issue":{"subject":"","project_id":79,"tracker_id":40,"status_id":1,"priority_id":2,"assigned_to_id":338,"start_date":"2017-09-26","description":"","custom_fields":[{"id":1,"name":"Subdivision","value":"NW"},{"id":4,"name":"Milepost","value":"5.8931"},{"id":17,"name":"Train ID","value":"823-26"},{"id":16,"name":"Locomotive ID","value":"4066"},{"id":130,"name":"Impact","value":""},{"id":150,"name":"Time of Event (Mountain Time)","value":"14:23:13"},{"id":151,"name":"Denver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64"/>
        <v>start /low /b %USERPROFILE%\Documents\GitHub\eaglep3\Utilities\DownloadLogsFromS3.py --loco 4066 --day 2017-09-26</v>
      </c>
      <c r="AN183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7" t="str">
        <f t="shared" si="166"/>
        <v>https://d0f6bd738d7f1b3e5a7ca70fe4ff75f0.us-east-1.aws.found.io/app/kibana#/discover/Steve-Slow-Train-Analysis-(2080s-and-2083s)?_g=(refreshInterval:(display:Off,pause:!f,section:0,value:0),time:(from:'2017-09-26T13:02:14-0600',mode:absolute,to:'2017-09-26T15:23:13-0600'))&amp;_a=(columns:!('Message%20ID',Summary),filters:!(),index:'emp_*',interval:auto,query:(query_string:(analyze_wildcard:!t,query:'%22rtdc.l.rtdc.4066%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763</v>
      </c>
      <c r="B184" s="7">
        <v>4065</v>
      </c>
      <c r="C184" s="21" t="s">
        <v>196</v>
      </c>
      <c r="D184" s="21" t="s">
        <v>600</v>
      </c>
      <c r="E184" s="13">
        <v>43004.601145833331</v>
      </c>
      <c r="F184" s="13">
        <v>43004.609351851854</v>
      </c>
      <c r="G184" s="7">
        <v>67</v>
      </c>
      <c r="H184" s="21" t="s">
        <v>482</v>
      </c>
      <c r="I184" s="13">
        <v>43004.622407407405</v>
      </c>
      <c r="J184" s="7">
        <v>0</v>
      </c>
      <c r="K184" s="89" t="str">
        <f t="shared" si="149"/>
        <v>4065/4066</v>
      </c>
      <c r="L184" s="184" t="str">
        <f>VLOOKUP(A184,'Trips&amp;Operators'!$C$1:$G$99911,5,FALSE)</f>
        <v>GUZMAN DANNY</v>
      </c>
      <c r="M184" s="6">
        <f t="shared" si="150"/>
        <v>1.3055555551545694E-2</v>
      </c>
      <c r="N184" s="7">
        <f t="shared" si="151"/>
        <v>18.7999999942258</v>
      </c>
      <c r="O184" s="7"/>
      <c r="P184" s="7"/>
      <c r="Q184" s="22"/>
      <c r="R184" s="173"/>
      <c r="S184" s="220">
        <f t="shared" si="152"/>
        <v>1</v>
      </c>
      <c r="T184" s="173" t="str">
        <f t="shared" si="153"/>
        <v>Southbound</v>
      </c>
      <c r="U184" s="19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154"/>
        <v>https://d0f6bd738d7f1b3e5a7ca70fe4ff75f0.us-east-1.aws.found.io/app/kibana#/discover/Steve-Slow-Train-Analysis-(2080s-and-2083s)?_g=(refreshInterval:(display:Off,pause:!f,section:0,value:0),time:(from:'2017-09-26T13:25:39-0600',mode:absolute,to:'2017-09-26T15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4" s="203" t="str">
        <f>IF(AA184&lt;VLOOKUP(AG184,Variables!$AC$3:$AD$8,2,FALSE),"Y","N")</f>
        <v>N</v>
      </c>
      <c r="X184" s="203">
        <f t="shared" si="168"/>
        <v>1</v>
      </c>
      <c r="Y184" s="203">
        <f t="shared" si="155"/>
        <v>5.8615000000000004</v>
      </c>
      <c r="Z184" s="203">
        <f t="shared" si="156"/>
        <v>6.7100000000000007E-2</v>
      </c>
      <c r="AA184" s="203">
        <f t="shared" si="157"/>
        <v>5.7944000000000004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8">
        <f t="shared" si="158"/>
        <v>824</v>
      </c>
      <c r="AE184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84" s="74" t="str">
        <f t="shared" si="160"/>
        <v>"C:\Program Files (x86)\AstroGrep\AstroGrep.exe" /e /r /s /spath="%USERPROFILE%\AppData\Local\Temp\OnboardLogs" /stypes="app*4065*20170926*" /stext=" 20:.+((SYSTEM_STATE.+slice.+state.+changed )|(ment ac)|(multiple cpu faults)|(system.+state.+changed )|(\[timeout)|(PRM\|1\|D)|(kpr)|(kdp)|(train st.+moving)|(\|lc)|(penalty))"</v>
      </c>
      <c r="AG184" s="181" t="str">
        <f t="shared" si="161"/>
        <v>NW</v>
      </c>
      <c r="AH184" s="78" t="str">
        <f t="shared" si="162"/>
        <v>"%USERPROFILE%\Documents\GitHub\eaglep3\Utilities\RefineRTDCRunTimes.py" --tripid 824-26 --locoid 4065 --swversion DE.1.0.9.0 --startMP 300:58615 --initTime 2017-09-26T14:25:39 --startdatetime 2017-09-26T14:37:28 --delay 67 --endMP 204:671 --enddatetime 2017-09-26T14:56:16 --enforcementcount 0 &gt;&gt;c:\users\stu\Documents\GitHub\eaglep3-reporting\EC\2017-09-26-refined-times.txt</v>
      </c>
      <c r="AI184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{"issue":{"subject":"","project_id":79,"tracker_id":40,"status_id":1,"priority_id":2,"assigned_to_id":338,"start_date":"2017-09-26","description":"","custom_fields":[{"id":1,"name":"Subdivision","value":"NW"},{"id":4,"name":"Milepost","value":"0.0671"},{"id":17,"name":"Train ID","value":"824-26"},{"id":16,"name":"Locomotive ID","value":"4065"},{"id":130,"name":"Impact","value":""},{"id":150,"name":"Time of Event (Mountain Time)","value":"14:56:16"},{"id":151,"name":"Denver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64"/>
        <v>start /low /b %USERPROFILE%\Documents\GitHub\eaglep3\Utilities\DownloadLogsFromS3.py --loco 4065 --day 2017-09-26</v>
      </c>
      <c r="AN184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20:56:16"},{"id":29,"name":"Sharepoint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7" t="str">
        <f t="shared" si="166"/>
        <v>https://d0f6bd738d7f1b3e5a7ca70fe4ff75f0.us-east-1.aws.found.io/app/kibana#/discover/Steve-Slow-Train-Analysis-(2080s-and-2083s)?_g=(refreshInterval:(display:Off,pause:!f,section:0,value:0),time:(from:'2017-09-26T13:25:39-0600',mode:absolute,to:'2017-09-26T15:56:16-0600'))&amp;_a=(columns:!('Message%20ID',Summary),filters:!(),index:'emp_*',interval:auto,query:(query_string:(analyze_wildcard:!t,query:'%22rtdc.l.rtdc.4065%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768</v>
      </c>
      <c r="B185" s="7">
        <v>4066</v>
      </c>
      <c r="C185" s="21" t="s">
        <v>196</v>
      </c>
      <c r="D185" s="21" t="s">
        <v>483</v>
      </c>
      <c r="E185" s="13">
        <v>43004.626064814816</v>
      </c>
      <c r="F185" s="13">
        <v>43004.631597222222</v>
      </c>
      <c r="G185" s="7">
        <v>93</v>
      </c>
      <c r="H185" s="21" t="s">
        <v>963</v>
      </c>
      <c r="I185" s="13">
        <v>43004.640983796293</v>
      </c>
      <c r="J185" s="7">
        <v>0</v>
      </c>
      <c r="K185" s="89" t="str">
        <f t="shared" si="149"/>
        <v>4065/4066</v>
      </c>
      <c r="L185" s="184" t="str">
        <f>VLOOKUP(A185,'Trips&amp;Operators'!$C$1:$G$99911,5,FALSE)</f>
        <v>GUZMAN DANNY</v>
      </c>
      <c r="M185" s="6">
        <f t="shared" si="150"/>
        <v>9.3865740709588863E-3</v>
      </c>
      <c r="N185" s="7">
        <f t="shared" si="151"/>
        <v>13.516666662180796</v>
      </c>
      <c r="O185" s="7"/>
      <c r="P185" s="7"/>
      <c r="Q185" s="22"/>
      <c r="R185" s="173"/>
      <c r="S185" s="220">
        <f t="shared" si="152"/>
        <v>1</v>
      </c>
      <c r="T185" s="173" t="str">
        <f t="shared" si="153"/>
        <v>NorthBound</v>
      </c>
      <c r="U185" s="19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154"/>
        <v>https://d0f6bd738d7f1b3e5a7ca70fe4ff75f0.us-east-1.aws.found.io/app/kibana#/discover/Steve-Slow-Train-Analysis-(2080s-and-2083s)?_g=(refreshInterval:(display:Off,pause:!f,section:0,value:0),time:(from:'2017-09-26T14:01:32-0600',mode:absolute,to:'2017-09-26T16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5" s="203" t="str">
        <f>IF(AA185&lt;VLOOKUP(AG185,Variables!$AC$3:$AD$8,2,FALSE),"Y","N")</f>
        <v>N</v>
      </c>
      <c r="X185" s="203">
        <f t="shared" si="168"/>
        <v>1</v>
      </c>
      <c r="Y185" s="203">
        <f t="shared" si="155"/>
        <v>9.74E-2</v>
      </c>
      <c r="Z185" s="203">
        <f t="shared" si="156"/>
        <v>5.8914</v>
      </c>
      <c r="AA185" s="203">
        <f t="shared" si="157"/>
        <v>5.7939999999999996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8">
        <f t="shared" si="158"/>
        <v>825</v>
      </c>
      <c r="AE185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85" s="74" t="str">
        <f t="shared" si="160"/>
        <v>"C:\Program Files (x86)\AstroGrep\AstroGrep.exe" /e /r /s /spath="%USERPROFILE%\AppData\Local\Temp\OnboardLogs" /stypes="app*4066*20170926*" /stext=" 21:.+((SYSTEM_STATE.+slice.+state.+changed )|(ment ac)|(multiple cpu faults)|(system.+state.+changed )|(\[timeout)|(PRM\|1\|D)|(kpr)|(kdp)|(train st.+moving)|(\|lc)|(penalty))"</v>
      </c>
      <c r="AG185" s="181" t="str">
        <f t="shared" si="161"/>
        <v>NW</v>
      </c>
      <c r="AH185" s="78" t="str">
        <f t="shared" si="162"/>
        <v>"%USERPROFILE%\Documents\GitHub\eaglep3\Utilities\RefineRTDCRunTimes.py" --tripid 825-26 --locoid 4066 --swversion DE.1.0.9.0 --startMP 204:974 --initTime 2017-09-26T15:01:32 --startdatetime 2017-09-26T15:09:30 --delay 93 --endMP 300:58914 --enddatetime 2017-09-26T15:23:01 --enforcementcount 0 &gt;&gt;c:\users\stu\Documents\GitHub\eaglep3-reporting\EC\2017-09-26-refined-times.txt</v>
      </c>
      <c r="AI185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{"issue":{"subject":"","project_id":79,"tracker_id":40,"status_id":1,"priority_id":2,"assigned_to_id":338,"start_date":"2017-09-26","description":"","custom_fields":[{"id":1,"name":"Subdivision","value":"NW"},{"id":4,"name":"Milepost","value":"5.8914"},{"id":17,"name":"Train ID","value":"825-26"},{"id":16,"name":"Locomotive ID","value":"4066"},{"id":130,"name":"Impact","value":""},{"id":150,"name":"Time of Event (Mountain Time)","value":"15:23:01"},{"id":151,"name":"Denver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64"/>
        <v>start /low /b %USERPROFILE%\Documents\GitHub\eaglep3\Utilities\DownloadLogsFromS3.py --loco 4066 --day 2017-09-26</v>
      </c>
      <c r="AN185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7" t="str">
        <f t="shared" si="166"/>
        <v>https://d0f6bd738d7f1b3e5a7ca70fe4ff75f0.us-east-1.aws.found.io/app/kibana#/discover/Steve-Slow-Train-Analysis-(2080s-and-2083s)?_g=(refreshInterval:(display:Off,pause:!f,section:0,value:0),time:(from:'2017-09-26T14:01:32-0600',mode:absolute,to:'2017-09-26T16:23:01-0600'))&amp;_a=(columns:!('Message%20ID',Summary),filters:!(),index:'emp_*',interval:auto,query:(query_string:(analyze_wildcard:!t,query:'%22rtdc.l.rtdc.4066%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773</v>
      </c>
      <c r="B186" s="7">
        <v>4065</v>
      </c>
      <c r="C186" s="21" t="s">
        <v>196</v>
      </c>
      <c r="D186" s="21" t="s">
        <v>598</v>
      </c>
      <c r="E186" s="13">
        <v>43004.642118055555</v>
      </c>
      <c r="F186" s="13">
        <v>43004.651666666665</v>
      </c>
      <c r="G186" s="7">
        <v>77</v>
      </c>
      <c r="H186" s="21" t="s">
        <v>964</v>
      </c>
      <c r="I186" s="13">
        <v>43004.663888888892</v>
      </c>
      <c r="J186" s="7">
        <v>0</v>
      </c>
      <c r="K186" s="89" t="str">
        <f t="shared" si="149"/>
        <v>4065/4066</v>
      </c>
      <c r="L186" s="184" t="str">
        <f>VLOOKUP(A186,'Trips&amp;Operators'!$C$1:$G$99911,5,FALSE)</f>
        <v>GUZMAN DANNY</v>
      </c>
      <c r="M186" s="6">
        <f t="shared" si="150"/>
        <v>1.2222222227137536E-2</v>
      </c>
      <c r="N186" s="7">
        <f t="shared" si="151"/>
        <v>17.600000007078052</v>
      </c>
      <c r="O186" s="7"/>
      <c r="P186" s="7"/>
      <c r="Q186" s="22"/>
      <c r="R186" s="173"/>
      <c r="S186" s="220">
        <f t="shared" si="152"/>
        <v>1</v>
      </c>
      <c r="T186" s="173" t="str">
        <f t="shared" si="153"/>
        <v>Southbound</v>
      </c>
      <c r="U186" s="19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154"/>
        <v>https://d0f6bd738d7f1b3e5a7ca70fe4ff75f0.us-east-1.aws.found.io/app/kibana#/discover/Steve-Slow-Train-Analysis-(2080s-and-2083s)?_g=(refreshInterval:(display:Off,pause:!f,section:0,value:0),time:(from:'2017-09-26T14:24:39-0600',mode:absolute,to:'2017-09-26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6" s="203" t="str">
        <f>IF(AA186&lt;VLOOKUP(AG186,Variables!$AC$3:$AD$8,2,FALSE),"Y","N")</f>
        <v>N</v>
      </c>
      <c r="X186" s="203">
        <f t="shared" si="168"/>
        <v>1</v>
      </c>
      <c r="Y186" s="203">
        <f t="shared" si="155"/>
        <v>5.8619000000000003</v>
      </c>
      <c r="Z186" s="203">
        <f t="shared" si="156"/>
        <v>6.9599999999999995E-2</v>
      </c>
      <c r="AA186" s="203">
        <f t="shared" si="157"/>
        <v>5.7923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8">
        <f t="shared" si="158"/>
        <v>826</v>
      </c>
      <c r="AE186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86" s="74" t="str">
        <f t="shared" si="160"/>
        <v>"C:\Program Files (x86)\AstroGrep\AstroGrep.exe" /e /r /s /spath="%USERPROFILE%\AppData\Local\Temp\OnboardLogs" /stypes="app*4065*20170926*" /stext=" 21:.+((SYSTEM_STATE.+slice.+state.+changed )|(ment ac)|(multiple cpu faults)|(system.+state.+changed )|(\[timeout)|(PRM\|1\|D)|(kpr)|(kdp)|(train st.+moving)|(\|lc)|(penalty))"</v>
      </c>
      <c r="AG186" s="181" t="str">
        <f t="shared" si="161"/>
        <v>NW</v>
      </c>
      <c r="AH186" s="78" t="str">
        <f t="shared" si="162"/>
        <v>"%USERPROFILE%\Documents\GitHub\eaglep3\Utilities\RefineRTDCRunTimes.py" --tripid 826-26 --locoid 4065 --swversion DE.1.0.9.0 --startMP 300:58619 --initTime 2017-09-26T15:24:39 --startdatetime 2017-09-26T15:38:24 --delay 77 --endMP 204:696 --enddatetime 2017-09-26T15:56:00 --enforcementcount 0 &gt;&gt;c:\users\stu\Documents\GitHub\eaglep3-reporting\EC\2017-09-26-refined-times.txt</v>
      </c>
      <c r="AI186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{"issue":{"subject":"","project_id":79,"tracker_id":40,"status_id":1,"priority_id":2,"assigned_to_id":338,"start_date":"2017-09-26","description":"","custom_fields":[{"id":1,"name":"Subdivision","value":"NW"},{"id":4,"name":"Milepost","value":"0.0696"},{"id":17,"name":"Train ID","value":"826-26"},{"id":16,"name":"Locomotive ID","value":"4065"},{"id":130,"name":"Impact","value":""},{"id":150,"name":"Time of Event (Mountain Time)","value":"15:56:00"},{"id":151,"name":"Denver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64"/>
        <v>start /low /b %USERPROFILE%\Documents\GitHub\eaglep3\Utilities\DownloadLogsFromS3.py --loco 4065 --day 2017-09-26</v>
      </c>
      <c r="AN186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7" t="str">
        <f t="shared" si="166"/>
        <v>https://d0f6bd738d7f1b3e5a7ca70fe4ff75f0.us-east-1.aws.found.io/app/kibana#/discover/Steve-Slow-Train-Analysis-(2080s-and-2083s)?_g=(refreshInterval:(display:Off,pause:!f,section:0,value:0),time:(from:'2017-09-26T14:24:39-0600',mode:absolute,to:'2017-09-26T16:56:00-0600'))&amp;_a=(columns:!('Message%20ID',Summary),filters:!(),index:'emp_*',interval:auto,query:(query_string:(analyze_wildcard:!t,query:'%22rtdc.l.rtdc.4065%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622</v>
      </c>
      <c r="B187" s="7">
        <v>4064</v>
      </c>
      <c r="C187" s="21" t="s">
        <v>196</v>
      </c>
      <c r="D187" s="21" t="s">
        <v>524</v>
      </c>
      <c r="E187" s="13">
        <v>43004.650787037041</v>
      </c>
      <c r="F187" s="13">
        <v>43004.652766203704</v>
      </c>
      <c r="G187" s="7">
        <v>85</v>
      </c>
      <c r="H187" s="21" t="s">
        <v>965</v>
      </c>
      <c r="I187" s="13">
        <v>43004.662164351852</v>
      </c>
      <c r="J187" s="7">
        <v>0</v>
      </c>
      <c r="K187" s="89" t="str">
        <f t="shared" si="149"/>
        <v>4063/4064</v>
      </c>
      <c r="L187" s="184" t="str">
        <f>VLOOKUP(A187,'Trips&amp;Operators'!$C$1:$G$99911,5,FALSE)</f>
        <v>STAMBAUGH JAMES</v>
      </c>
      <c r="M187" s="6">
        <f t="shared" si="150"/>
        <v>9.3981481477385387E-3</v>
      </c>
      <c r="N187" s="7">
        <f t="shared" si="151"/>
        <v>13.533333332743496</v>
      </c>
      <c r="O187" s="7"/>
      <c r="P187" s="7"/>
      <c r="Q187" s="22"/>
      <c r="R187" s="173"/>
      <c r="S187" s="220">
        <f t="shared" si="152"/>
        <v>1</v>
      </c>
      <c r="T187" s="173" t="str">
        <f t="shared" si="153"/>
        <v>NorthBound</v>
      </c>
      <c r="U187" s="19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5" t="str">
        <f t="shared" si="154"/>
        <v>https://d0f6bd738d7f1b3e5a7ca70fe4ff75f0.us-east-1.aws.found.io/app/kibana#/discover/Steve-Slow-Train-Analysis-(2080s-and-2083s)?_g=(refreshInterval:(display:Off,pause:!f,section:0,value:0),time:(from:'2017-09-26T14:37:08-0600',mode:absolute,to:'2017-09-26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203" t="str">
        <f>IF(AA187&lt;VLOOKUP(AG187,Variables!$AC$3:$AD$8,2,FALSE),"Y","N")</f>
        <v>N</v>
      </c>
      <c r="X187" s="203">
        <f t="shared" si="168"/>
        <v>1</v>
      </c>
      <c r="Y187" s="203">
        <f t="shared" si="155"/>
        <v>9.5699999999999993E-2</v>
      </c>
      <c r="Z187" s="203">
        <f t="shared" si="156"/>
        <v>5.8902999999999999</v>
      </c>
      <c r="AA187" s="203">
        <f t="shared" si="157"/>
        <v>5.7946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8">
        <f t="shared" si="158"/>
        <v>827</v>
      </c>
      <c r="AE187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87" s="74" t="str">
        <f t="shared" si="160"/>
        <v>"C:\Program Files (x86)\AstroGrep\AstroGrep.exe" /e /r /s /spath="%USERPROFILE%\AppData\Local\Temp\OnboardLogs" /stypes="app*4064*20170926*" /stext=" 21:.+((SYSTEM_STATE.+slice.+state.+changed )|(ment ac)|(multiple cpu faults)|(system.+state.+changed )|(\[timeout)|(PRM\|1\|D)|(kpr)|(kdp)|(train st.+moving)|(\|lc)|(penalty))"</v>
      </c>
      <c r="AG187" s="181" t="str">
        <f t="shared" si="161"/>
        <v>NW</v>
      </c>
      <c r="AH187" s="78" t="str">
        <f t="shared" si="162"/>
        <v>"%USERPROFILE%\Documents\GitHub\eaglep3\Utilities\RefineRTDCRunTimes.py" --tripid 827-26 --locoid 4064 --swversion DE.1.0.9.0 --startMP 204:957 --initTime 2017-09-26T15:37:08 --startdatetime 2017-09-26T15:39:59 --delay 85 --endMP 300:58903 --enddatetime 2017-09-26T15:53:31 --enforcementcount 0 &gt;&gt;c:\users\stu\Documents\GitHub\eaglep3-reporting\EC\2017-09-26-refined-times.txt</v>
      </c>
      <c r="AI187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{"issue":{"subject":"","project_id":79,"tracker_id":40,"status_id":1,"priority_id":2,"assigned_to_id":338,"start_date":"2017-09-26","description":"","custom_fields":[{"id":1,"name":"Subdivision","value":"NW"},{"id":4,"name":"Milepost","value":"5.8903"},{"id":17,"name":"Train ID","value":"827-26"},{"id":16,"name":"Locomotive ID","value":"4064"},{"id":130,"name":"Impact","value":""},{"id":150,"name":"Time of Event (Mountain Time)","value":"15:53:31"},{"id":151,"name":"Denver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64"/>
        <v>start /low /b %USERPROFILE%\Documents\GitHub\eaglep3\Utilities\DownloadLogsFromS3.py --loco 4064 --day 2017-09-26</v>
      </c>
      <c r="AN187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7" t="str">
        <f t="shared" si="166"/>
        <v>https://d0f6bd738d7f1b3e5a7ca70fe4ff75f0.us-east-1.aws.found.io/app/kibana#/discover/Steve-Slow-Train-Analysis-(2080s-and-2083s)?_g=(refreshInterval:(display:Off,pause:!f,section:0,value:0),time:(from:'2017-09-26T14:37:08-0600',mode:absolute,to:'2017-09-26T16:53:31-0600'))&amp;_a=(columns:!('Message%20ID',Summary),filters:!(),index:'emp_*',interval:auto,query:(query_string:(analyze_wildcard:!t,query:'%22rtdc.l.rtdc.4064%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625</v>
      </c>
      <c r="B188" s="7">
        <v>4063</v>
      </c>
      <c r="C188" s="21" t="s">
        <v>196</v>
      </c>
      <c r="D188" s="21" t="s">
        <v>966</v>
      </c>
      <c r="E188" s="13">
        <v>43004.663055555553</v>
      </c>
      <c r="F188" s="13">
        <v>43004.674687500003</v>
      </c>
      <c r="G188" s="7">
        <v>60</v>
      </c>
      <c r="H188" s="21" t="s">
        <v>967</v>
      </c>
      <c r="I188" s="13">
        <v>43004.682847222219</v>
      </c>
      <c r="J188" s="7">
        <v>0</v>
      </c>
      <c r="K188" s="89" t="str">
        <f t="shared" si="149"/>
        <v>4063/4064</v>
      </c>
      <c r="L188" s="184" t="str">
        <f>VLOOKUP(A188,'Trips&amp;Operators'!$C$1:$G$99911,5,FALSE)</f>
        <v>STAMBAUGH JAMES</v>
      </c>
      <c r="M188" s="6">
        <f t="shared" si="150"/>
        <v>8.1597222160780802E-3</v>
      </c>
      <c r="N188" s="7">
        <f t="shared" si="151"/>
        <v>11.749999991152436</v>
      </c>
      <c r="O188" s="7"/>
      <c r="P188" s="7"/>
      <c r="Q188" s="22"/>
      <c r="R188" s="173"/>
      <c r="S188" s="220">
        <f t="shared" si="152"/>
        <v>1</v>
      </c>
      <c r="T188" s="173" t="str">
        <f t="shared" si="153"/>
        <v>Southbound</v>
      </c>
      <c r="U188" s="19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154"/>
        <v>https://d0f6bd738d7f1b3e5a7ca70fe4ff75f0.us-east-1.aws.found.io/app/kibana#/discover/Steve-Slow-Train-Analysis-(2080s-and-2083s)?_g=(refreshInterval:(display:Off,pause:!f,section:0,value:0),time:(from:'2017-09-26T14:54:48-0600',mode:absolute,to:'2017-09-26T17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203" t="str">
        <f>IF(AA188&lt;VLOOKUP(AG188,Variables!$AC$3:$AD$8,2,FALSE),"Y","N")</f>
        <v>Y</v>
      </c>
      <c r="X188" s="203">
        <f t="shared" si="168"/>
        <v>1</v>
      </c>
      <c r="Y188" s="203">
        <f t="shared" si="155"/>
        <v>5.8585000000000003</v>
      </c>
      <c r="Z188" s="203">
        <f t="shared" si="156"/>
        <v>0.46360000000000001</v>
      </c>
      <c r="AA188" s="203">
        <f t="shared" si="157"/>
        <v>5.3948999999999998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8">
        <f t="shared" si="158"/>
        <v>828</v>
      </c>
      <c r="AE188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88" s="74" t="str">
        <f t="shared" si="160"/>
        <v>"C:\Program Files (x86)\AstroGrep\AstroGrep.exe" /e /r /s /spath="%USERPROFILE%\AppData\Local\Temp\OnboardLogs" /stypes="app*4063*20170926*" /stext=" 22:.+((SYSTEM_STATE.+slice.+state.+changed )|(ment ac)|(multiple cpu faults)|(system.+state.+changed )|(\[timeout)|(PRM\|1\|D)|(kpr)|(kdp)|(train st.+moving)|(\|lc)|(penalty))"</v>
      </c>
      <c r="AG188" s="181" t="str">
        <f t="shared" si="161"/>
        <v>NW</v>
      </c>
      <c r="AH188" s="78" t="str">
        <f t="shared" si="162"/>
        <v>"%USERPROFILE%\Documents\GitHub\eaglep3\Utilities\RefineRTDCRunTimes.py" --tripid 828-26 --locoid 4063 --swversion DE.1.0.9.0 --startMP 300:58585 --initTime 2017-09-26T15:54:48 --startdatetime 2017-09-26T16:11:33 --delay 60 --endMP 204:4636 --enddatetime 2017-09-26T16:23:18 --enforcementcount 0 &gt;&gt;c:\users\stu\Documents\GitHub\eaglep3-reporting\EC\2017-09-26-refined-times.txt</v>
      </c>
      <c r="AI188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{"issue":{"subject":"","project_id":79,"tracker_id":40,"status_id":1,"priority_id":2,"assigned_to_id":338,"start_date":"2017-09-26","description":"","custom_fields":[{"id":1,"name":"Subdivision","value":"NW"},{"id":4,"name":"Milepost","value":"0.4636"},{"id":17,"name":"Train ID","value":"828-26"},{"id":16,"name":"Locomotive ID","value":"4063"},{"id":130,"name":"Impact","value":""},{"id":150,"name":"Time of Event (Mountain Time)","value":"16:23:18"},{"id":151,"name":"Denver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64"/>
        <v>start /low /b %USERPROFILE%\Documents\GitHub\eaglep3\Utilities\DownloadLogsFromS3.py --loco 4063 --day 2017-09-26</v>
      </c>
      <c r="AN188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7" t="str">
        <f t="shared" si="166"/>
        <v>https://d0f6bd738d7f1b3e5a7ca70fe4ff75f0.us-east-1.aws.found.io/app/kibana#/discover/Steve-Slow-Train-Analysis-(2080s-and-2083s)?_g=(refreshInterval:(display:Off,pause:!f,section:0,value:0),time:(from:'2017-09-26T14:54:48-0600',mode:absolute,to:'2017-09-26T17:23:18-0600'))&amp;_a=(columns:!('Message%20ID',Summary),filters:!(),index:'emp_*',interval:auto,query:(query_string:(analyze_wildcard:!t,query:'%22rtdc.l.rtdc.4063%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777</v>
      </c>
      <c r="B189" s="7">
        <v>4066</v>
      </c>
      <c r="C189" s="21" t="s">
        <v>196</v>
      </c>
      <c r="D189" s="21" t="s">
        <v>968</v>
      </c>
      <c r="E189" s="13">
        <v>43004.667893518519</v>
      </c>
      <c r="F189" s="13">
        <v>43004.673090277778</v>
      </c>
      <c r="G189" s="7">
        <v>58</v>
      </c>
      <c r="H189" s="21" t="s">
        <v>579</v>
      </c>
      <c r="I189" s="13">
        <v>43004.682881944442</v>
      </c>
      <c r="J189" s="7">
        <v>0</v>
      </c>
      <c r="K189" s="89" t="str">
        <f t="shared" si="149"/>
        <v>4065/4066</v>
      </c>
      <c r="L189" s="184" t="str">
        <f>VLOOKUP(A189,'Trips&amp;Operators'!$C$1:$G$99911,5,FALSE)</f>
        <v>GUZMAN DANNY</v>
      </c>
      <c r="M189" s="6">
        <f t="shared" si="150"/>
        <v>9.7916666636592709E-3</v>
      </c>
      <c r="N189" s="7">
        <f t="shared" si="151"/>
        <v>14.09999999566935</v>
      </c>
      <c r="O189" s="7"/>
      <c r="P189" s="7"/>
      <c r="Q189" s="22"/>
      <c r="R189" s="173"/>
      <c r="S189" s="220">
        <f t="shared" si="152"/>
        <v>1</v>
      </c>
      <c r="T189" s="173" t="str">
        <f t="shared" si="153"/>
        <v>NorthBound</v>
      </c>
      <c r="U189" s="19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154"/>
        <v>https://d0f6bd738d7f1b3e5a7ca70fe4ff75f0.us-east-1.aws.found.io/app/kibana#/discover/Steve-Slow-Train-Analysis-(2080s-and-2083s)?_g=(refreshInterval:(display:Off,pause:!f,section:0,value:0),time:(from:'2017-09-26T15:01:46-0600',mode:absolute,to:'2017-09-26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9" s="203" t="str">
        <f>IF(AA189&lt;VLOOKUP(AG189,Variables!$AC$3:$AD$8,2,FALSE),"Y","N")</f>
        <v>N</v>
      </c>
      <c r="X189" s="203">
        <f t="shared" si="168"/>
        <v>1</v>
      </c>
      <c r="Y189" s="203">
        <f t="shared" si="155"/>
        <v>9.7900000000000001E-2</v>
      </c>
      <c r="Z189" s="203">
        <f t="shared" si="156"/>
        <v>5.8925999999999998</v>
      </c>
      <c r="AA189" s="203">
        <f t="shared" si="157"/>
        <v>5.7946999999999997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8">
        <f t="shared" si="158"/>
        <v>829</v>
      </c>
      <c r="AE189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89" s="74" t="str">
        <f t="shared" si="160"/>
        <v>"C:\Program Files (x86)\AstroGrep\AstroGrep.exe" /e /r /s /spath="%USERPROFILE%\AppData\Local\Temp\OnboardLogs" /stypes="app*4066*20170926*" /stext=" 22:.+((SYSTEM_STATE.+slice.+state.+changed )|(ment ac)|(multiple cpu faults)|(system.+state.+changed )|(\[timeout)|(PRM\|1\|D)|(kpr)|(kdp)|(train st.+moving)|(\|lc)|(penalty))"</v>
      </c>
      <c r="AG189" s="181" t="str">
        <f t="shared" si="161"/>
        <v>NW</v>
      </c>
      <c r="AH189" s="78" t="str">
        <f t="shared" si="162"/>
        <v>"%USERPROFILE%\Documents\GitHub\eaglep3\Utilities\RefineRTDCRunTimes.py" --tripid 829-26 --locoid 4066 --swversion DE.1.0.9.0 --startMP 204:979 --initTime 2017-09-26T16:01:46 --startdatetime 2017-09-26T16:09:15 --delay 58 --endMP 300:58926 --enddatetime 2017-09-26T16:23:21 --enforcementcount 0 &gt;&gt;c:\users\stu\Documents\GitHub\eaglep3-reporting\EC\2017-09-26-refined-times.txt</v>
      </c>
      <c r="AI189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{"issue":{"subject":"","project_id":79,"tracker_id":40,"status_id":1,"priority_id":2,"assigned_to_id":338,"start_date":"2017-09-26","description":"","custom_fields":[{"id":1,"name":"Subdivision","value":"NW"},{"id":4,"name":"Milepost","value":"5.8926"},{"id":17,"name":"Train ID","value":"829-26"},{"id":16,"name":"Locomotive ID","value":"4066"},{"id":130,"name":"Impact","value":""},{"id":150,"name":"Time of Event (Mountain Time)","value":"16:23:21"},{"id":151,"name":"Denver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64"/>
        <v>start /low /b %USERPROFILE%\Documents\GitHub\eaglep3\Utilities\DownloadLogsFromS3.py --loco 4066 --day 2017-09-26</v>
      </c>
      <c r="AN189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7" t="str">
        <f t="shared" si="166"/>
        <v>https://d0f6bd738d7f1b3e5a7ca70fe4ff75f0.us-east-1.aws.found.io/app/kibana#/discover/Steve-Slow-Train-Analysis-(2080s-and-2083s)?_g=(refreshInterval:(display:Off,pause:!f,section:0,value:0),time:(from:'2017-09-26T15:01:46-0600',mode:absolute,to:'2017-09-26T17:23:21-0600'))&amp;_a=(columns:!('Message%20ID',Summary),filters:!(),index:'emp_*',interval:auto,query:(query_string:(analyze_wildcard:!t,query:'%22rtdc.l.rtdc.4066%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627</v>
      </c>
      <c r="B190" s="7">
        <v>4065</v>
      </c>
      <c r="C190" s="21" t="s">
        <v>196</v>
      </c>
      <c r="D190" s="21" t="s">
        <v>598</v>
      </c>
      <c r="E190" s="13">
        <v>43004.684270833335</v>
      </c>
      <c r="F190" s="13">
        <v>43004.693298611113</v>
      </c>
      <c r="G190" s="7">
        <v>66</v>
      </c>
      <c r="H190" s="21" t="s">
        <v>969</v>
      </c>
      <c r="I190" s="13">
        <v>43004.703819444447</v>
      </c>
      <c r="J190" s="7">
        <v>0</v>
      </c>
      <c r="K190" s="89" t="str">
        <f t="shared" si="149"/>
        <v>4065/4066</v>
      </c>
      <c r="L190" s="184" t="str">
        <f>VLOOKUP(A190,'Trips&amp;Operators'!$C$1:$G$99911,5,FALSE)</f>
        <v>GUZMAN DANNY</v>
      </c>
      <c r="M190" s="6">
        <f t="shared" si="150"/>
        <v>1.0520833333430346E-2</v>
      </c>
      <c r="N190" s="7">
        <f t="shared" ref="N190:N221" si="169">24*60*SUM($M190:$M190)</f>
        <v>15.150000000139698</v>
      </c>
      <c r="O190" s="7"/>
      <c r="P190" s="7"/>
      <c r="Q190" s="22"/>
      <c r="R190" s="173"/>
      <c r="S190" s="220">
        <f t="shared" si="152"/>
        <v>1</v>
      </c>
      <c r="T190" s="173" t="str">
        <f t="shared" si="153"/>
        <v>Southbound</v>
      </c>
      <c r="U190" s="19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154"/>
        <v>https://d0f6bd738d7f1b3e5a7ca70fe4ff75f0.us-east-1.aws.found.io/app/kibana#/discover/Steve-Slow-Train-Analysis-(2080s-and-2083s)?_g=(refreshInterval:(display:Off,pause:!f,section:0,value:0),time:(from:'2017-09-26T15:25:21-0600',mode:absolute,to:'2017-09-26T17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0" s="203" t="str">
        <f>IF(AA190&lt;VLOOKUP(AG190,Variables!$AC$3:$AD$8,2,FALSE),"Y","N")</f>
        <v>Y</v>
      </c>
      <c r="X190" s="203">
        <f t="shared" si="168"/>
        <v>1</v>
      </c>
      <c r="Y190" s="203">
        <f t="shared" si="155"/>
        <v>5.8619000000000003</v>
      </c>
      <c r="Z190" s="203">
        <f t="shared" si="156"/>
        <v>0.45950000000000002</v>
      </c>
      <c r="AA190" s="203">
        <f t="shared" si="157"/>
        <v>5.4024000000000001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8">
        <f t="shared" si="158"/>
        <v>830</v>
      </c>
      <c r="AE190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90" s="74" t="str">
        <f t="shared" si="160"/>
        <v>"C:\Program Files (x86)\AstroGrep\AstroGrep.exe" /e /r /s /spath="%USERPROFILE%\AppData\Local\Temp\OnboardLogs" /stypes="app*4065*20170926*" /stext=" 22:.+((SYSTEM_STATE.+slice.+state.+changed )|(ment ac)|(multiple cpu faults)|(system.+state.+changed )|(\[timeout)|(PRM\|1\|D)|(kpr)|(kdp)|(train st.+moving)|(\|lc)|(penalty))"</v>
      </c>
      <c r="AG190" s="181" t="str">
        <f t="shared" si="161"/>
        <v>NW</v>
      </c>
      <c r="AH190" s="78" t="str">
        <f t="shared" si="162"/>
        <v>"%USERPROFILE%\Documents\GitHub\eaglep3\Utilities\RefineRTDCRunTimes.py" --tripid 830-26 --locoid 4065 --swversion DE.1.0.9.0 --startMP 300:58619 --initTime 2017-09-26T16:25:21 --startdatetime 2017-09-26T16:38:21 --delay 66 --endMP 204:4595 --enddatetime 2017-09-26T16:53:30 --enforcementcount 0 &gt;&gt;c:\users\stu\Documents\GitHub\eaglep3-reporting\EC\2017-09-26-refined-times.txt</v>
      </c>
      <c r="AI190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{"issue":{"subject":"","project_id":79,"tracker_id":40,"status_id":1,"priority_id":2,"assigned_to_id":338,"start_date":"2017-09-26","description":"","custom_fields":[{"id":1,"name":"Subdivision","value":"NW"},{"id":4,"name":"Milepost","value":"0.4595"},{"id":17,"name":"Train ID","value":"830-26"},{"id":16,"name":"Locomotive ID","value":"4065"},{"id":130,"name":"Impact","value":""},{"id":150,"name":"Time of Event (Mountain Time)","value":"16:53:30"},{"id":151,"name":"Denver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64"/>
        <v>start /low /b %USERPROFILE%\Documents\GitHub\eaglep3\Utilities\DownloadLogsFromS3.py --loco 4065 --day 2017-09-26</v>
      </c>
      <c r="AN190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7" t="str">
        <f t="shared" si="166"/>
        <v>https://d0f6bd738d7f1b3e5a7ca70fe4ff75f0.us-east-1.aws.found.io/app/kibana#/discover/Steve-Slow-Train-Analysis-(2080s-and-2083s)?_g=(refreshInterval:(display:Off,pause:!f,section:0,value:0),time:(from:'2017-09-26T15:25:21-0600',mode:absolute,to:'2017-09-26T17:53:30-0600'))&amp;_a=(columns:!('Message%20ID',Summary),filters:!(),index:'emp_*',interval:auto,query:(query_string:(analyze_wildcard:!t,query:'%22rtdc.l.rtdc.4065%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786</v>
      </c>
      <c r="B191" s="7">
        <v>4064</v>
      </c>
      <c r="C191" s="21" t="s">
        <v>196</v>
      </c>
      <c r="D191" s="21" t="s">
        <v>970</v>
      </c>
      <c r="E191" s="13">
        <v>43004.692453703705</v>
      </c>
      <c r="F191" s="13">
        <v>43004.694201388891</v>
      </c>
      <c r="G191" s="7">
        <v>71</v>
      </c>
      <c r="H191" s="21" t="s">
        <v>593</v>
      </c>
      <c r="I191" s="13">
        <v>43004.703564814816</v>
      </c>
      <c r="J191" s="7">
        <v>0</v>
      </c>
      <c r="K191" s="89" t="str">
        <f t="shared" si="149"/>
        <v>4063/4064</v>
      </c>
      <c r="L191" s="184" t="str">
        <f>VLOOKUP(A191,'Trips&amp;Operators'!$C$1:$G$99911,5,FALSE)</f>
        <v>STAMBAUGH JAMES</v>
      </c>
      <c r="M191" s="6">
        <f t="shared" si="150"/>
        <v>9.3634259246755391E-3</v>
      </c>
      <c r="N191" s="7">
        <f t="shared" si="169"/>
        <v>13.483333331532776</v>
      </c>
      <c r="O191" s="7"/>
      <c r="P191" s="7"/>
      <c r="Q191" s="22"/>
      <c r="R191" s="173"/>
      <c r="S191" s="220">
        <f t="shared" si="152"/>
        <v>1</v>
      </c>
      <c r="T191" s="173" t="str">
        <f t="shared" si="153"/>
        <v>NorthBound</v>
      </c>
      <c r="U191" s="19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154"/>
        <v>https://d0f6bd738d7f1b3e5a7ca70fe4ff75f0.us-east-1.aws.found.io/app/kibana#/discover/Steve-Slow-Train-Analysis-(2080s-and-2083s)?_g=(refreshInterval:(display:Off,pause:!f,section:0,value:0),time:(from:'2017-09-26T15:37:08-0600',mode:absolute,to:'2017-09-26T17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203" t="str">
        <f>IF(AA191&lt;VLOOKUP(AG191,Variables!$AC$3:$AD$8,2,FALSE),"Y","N")</f>
        <v>N</v>
      </c>
      <c r="X191" s="203">
        <f t="shared" si="168"/>
        <v>1</v>
      </c>
      <c r="Y191" s="203">
        <f t="shared" si="155"/>
        <v>8.9399999999999993E-2</v>
      </c>
      <c r="Z191" s="203">
        <f t="shared" si="156"/>
        <v>5.8952</v>
      </c>
      <c r="AA191" s="203">
        <f t="shared" si="157"/>
        <v>5.8057999999999996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8">
        <f t="shared" si="158"/>
        <v>831</v>
      </c>
      <c r="AE191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91" s="74" t="str">
        <f t="shared" si="160"/>
        <v>"C:\Program Files (x86)\AstroGrep\AstroGrep.exe" /e /r /s /spath="%USERPROFILE%\AppData\Local\Temp\OnboardLogs" /stypes="app*4064*20170926*" /stext=" 22:.+((SYSTEM_STATE.+slice.+state.+changed )|(ment ac)|(multiple cpu faults)|(system.+state.+changed )|(\[timeout)|(PRM\|1\|D)|(kpr)|(kdp)|(train st.+moving)|(\|lc)|(penalty))"</v>
      </c>
      <c r="AG191" s="181" t="str">
        <f t="shared" si="161"/>
        <v>NW</v>
      </c>
      <c r="AH191" s="78" t="str">
        <f t="shared" si="162"/>
        <v>"%USERPROFILE%\Documents\GitHub\eaglep3\Utilities\RefineRTDCRunTimes.py" --tripid 831-26 --locoid 4064 --swversion DE.1.0.9.0 --startMP 204:894 --initTime 2017-09-26T16:37:08 --startdatetime 2017-09-26T16:39:39 --delay 71 --endMP 300:58952 --enddatetime 2017-09-26T16:53:08 --enforcementcount 0 &gt;&gt;c:\users\stu\Documents\GitHub\eaglep3-reporting\EC\2017-09-26-refined-times.txt</v>
      </c>
      <c r="AI191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{"issue":{"subject":"","project_id":79,"tracker_id":40,"status_id":1,"priority_id":2,"assigned_to_id":338,"start_date":"2017-09-26","description":"","custom_fields":[{"id":1,"name":"Subdivision","value":"NW"},{"id":4,"name":"Milepost","value":"5.8952"},{"id":17,"name":"Train ID","value":"831-26"},{"id":16,"name":"Locomotive ID","value":"4064"},{"id":130,"name":"Impact","value":""},{"id":150,"name":"Time of Event (Mountain Time)","value":"16:53:08"},{"id":151,"name":"Denver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164"/>
        <v>start /low /b %USERPROFILE%\Documents\GitHub\eaglep3\Utilities\DownloadLogsFromS3.py --loco 4064 --day 2017-09-26</v>
      </c>
      <c r="AN191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7" t="str">
        <f t="shared" si="166"/>
        <v>https://d0f6bd738d7f1b3e5a7ca70fe4ff75f0.us-east-1.aws.found.io/app/kibana#/discover/Steve-Slow-Train-Analysis-(2080s-and-2083s)?_g=(refreshInterval:(display:Off,pause:!f,section:0,value:0),time:(from:'2017-09-26T15:37:08-0600',mode:absolute,to:'2017-09-26T17:53:08-0600'))&amp;_a=(columns:!('Message%20ID',Summary),filters:!(),index:'emp_*',interval:auto,query:(query_string:(analyze_wildcard:!t,query:'%22rtdc.l.rtdc.4064%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789</v>
      </c>
      <c r="B192" s="7">
        <v>4063</v>
      </c>
      <c r="C192" s="21" t="s">
        <v>196</v>
      </c>
      <c r="D192" s="21" t="s">
        <v>583</v>
      </c>
      <c r="E192" s="13">
        <v>43004.704641203702</v>
      </c>
      <c r="F192" s="13">
        <v>43004.715740740743</v>
      </c>
      <c r="G192" s="7">
        <v>80</v>
      </c>
      <c r="H192" s="21" t="s">
        <v>582</v>
      </c>
      <c r="I192" s="13">
        <v>43004.726122685184</v>
      </c>
      <c r="J192" s="7">
        <v>0</v>
      </c>
      <c r="K192" s="89" t="str">
        <f t="shared" si="149"/>
        <v>4063/4064</v>
      </c>
      <c r="L192" s="184" t="str">
        <f>VLOOKUP(A192,'Trips&amp;Operators'!$C$1:$G$99911,5,FALSE)</f>
        <v>STAMBAUGH JAMES</v>
      </c>
      <c r="M192" s="6">
        <f t="shared" si="150"/>
        <v>1.0381944441178348E-2</v>
      </c>
      <c r="N192" s="7">
        <f t="shared" si="169"/>
        <v>14.949999995296821</v>
      </c>
      <c r="O192" s="7"/>
      <c r="P192" s="7"/>
      <c r="Q192" s="22"/>
      <c r="R192" s="173"/>
      <c r="S192" s="220">
        <f t="shared" si="152"/>
        <v>1</v>
      </c>
      <c r="T192" s="173" t="str">
        <f t="shared" si="153"/>
        <v>Southbound</v>
      </c>
      <c r="U192" s="19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154"/>
        <v>https://d0f6bd738d7f1b3e5a7ca70fe4ff75f0.us-east-1.aws.found.io/app/kibana#/discover/Steve-Slow-Train-Analysis-(2080s-and-2083s)?_g=(refreshInterval:(display:Off,pause:!f,section:0,value:0),time:(from:'2017-09-26T15:54:41-0600',mode:absolute,to:'2017-09-26T18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203" t="str">
        <f>IF(AA192&lt;VLOOKUP(AG192,Variables!$AC$3:$AD$8,2,FALSE),"Y","N")</f>
        <v>N</v>
      </c>
      <c r="X192" s="203">
        <f t="shared" si="168"/>
        <v>1</v>
      </c>
      <c r="Y192" s="203">
        <f t="shared" si="155"/>
        <v>5.8643000000000001</v>
      </c>
      <c r="Z192" s="203">
        <f t="shared" si="156"/>
        <v>6.7799999999999999E-2</v>
      </c>
      <c r="AA192" s="203">
        <f t="shared" si="157"/>
        <v>5.7965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8">
        <f t="shared" si="158"/>
        <v>832</v>
      </c>
      <c r="AE192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92" s="74" t="str">
        <f t="shared" si="160"/>
        <v>"C:\Program Files (x86)\AstroGrep\AstroGrep.exe" /e /r /s /spath="%USERPROFILE%\AppData\Local\Temp\OnboardLogs" /stypes="app*4063*20170926*" /stext=" 23:.+((SYSTEM_STATE.+slice.+state.+changed )|(ment ac)|(multiple cpu faults)|(system.+state.+changed )|(\[timeout)|(PRM\|1\|D)|(kpr)|(kdp)|(train st.+moving)|(\|lc)|(penalty))"</v>
      </c>
      <c r="AG192" s="181" t="str">
        <f t="shared" si="161"/>
        <v>NW</v>
      </c>
      <c r="AH192" s="78" t="str">
        <f t="shared" si="162"/>
        <v>"%USERPROFILE%\Documents\GitHub\eaglep3\Utilities\RefineRTDCRunTimes.py" --tripid 832-26 --locoid 4063 --swversion DE.1.0.9.0 --startMP 300:58643 --initTime 2017-09-26T16:54:41 --startdatetime 2017-09-26T17:10:40 --delay 80 --endMP 204:678 --enddatetime 2017-09-26T17:25:37 --enforcementcount 0 &gt;&gt;c:\users\stu\Documents\GitHub\eaglep3-reporting\EC\2017-09-26-refined-times.txt</v>
      </c>
      <c r="AI192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{"issue":{"subject":"","project_id":79,"tracker_id":40,"status_id":1,"priority_id":2,"assigned_to_id":338,"start_date":"2017-09-26","description":"","custom_fields":[{"id":1,"name":"Subdivision","value":"NW"},{"id":4,"name":"Milepost","value":"0.0678"},{"id":17,"name":"Train ID","value":"832-26"},{"id":16,"name":"Locomotive ID","value":"4063"},{"id":130,"name":"Impact","value":""},{"id":150,"name":"Time of Event (Mountain Time)","value":"17:25:37"},{"id":151,"name":"Denver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64"/>
        <v>start /low /b %USERPROFILE%\Documents\GitHub\eaglep3\Utilities\DownloadLogsFromS3.py --loco 4063 --day 2017-09-26</v>
      </c>
      <c r="AN192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7" t="str">
        <f t="shared" si="166"/>
        <v>https://d0f6bd738d7f1b3e5a7ca70fe4ff75f0.us-east-1.aws.found.io/app/kibana#/discover/Steve-Slow-Train-Analysis-(2080s-and-2083s)?_g=(refreshInterval:(display:Off,pause:!f,section:0,value:0),time:(from:'2017-09-26T15:54:41-0600',mode:absolute,to:'2017-09-26T18:25:37-0600'))&amp;_a=(columns:!('Message%20ID',Summary),filters:!(),index:'emp_*',interval:auto,query:(query_string:(analyze_wildcard:!t,query:'%22rtdc.l.rtdc.4063%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791</v>
      </c>
      <c r="B193" s="7">
        <v>4066</v>
      </c>
      <c r="C193" s="21" t="s">
        <v>196</v>
      </c>
      <c r="D193" s="21" t="s">
        <v>971</v>
      </c>
      <c r="E193" s="13">
        <v>43004.712141203701</v>
      </c>
      <c r="F193" s="13">
        <v>43004.714814814812</v>
      </c>
      <c r="G193" s="7">
        <v>90</v>
      </c>
      <c r="H193" s="21" t="s">
        <v>484</v>
      </c>
      <c r="I193" s="13">
        <v>43004.725601851853</v>
      </c>
      <c r="J193" s="7">
        <v>0</v>
      </c>
      <c r="K193" s="89" t="str">
        <f t="shared" si="149"/>
        <v>4065/4066</v>
      </c>
      <c r="L193" s="184" t="str">
        <f>VLOOKUP(A193,'Trips&amp;Operators'!$C$1:$G$99911,5,FALSE)</f>
        <v>GUZMAN DANNY</v>
      </c>
      <c r="M193" s="6">
        <f t="shared" si="150"/>
        <v>1.078703704115469E-2</v>
      </c>
      <c r="N193" s="7">
        <f t="shared" si="169"/>
        <v>15.533333339262754</v>
      </c>
      <c r="O193" s="7"/>
      <c r="P193" s="7"/>
      <c r="Q193" s="22"/>
      <c r="R193" s="173"/>
      <c r="S193" s="220">
        <f t="shared" si="152"/>
        <v>1</v>
      </c>
      <c r="T193" s="173" t="str">
        <f t="shared" si="153"/>
        <v>NorthBound</v>
      </c>
      <c r="U193" s="19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154"/>
        <v>https://d0f6bd738d7f1b3e5a7ca70fe4ff75f0.us-east-1.aws.found.io/app/kibana#/discover/Steve-Slow-Train-Analysis-(2080s-and-2083s)?_g=(refreshInterval:(display:Off,pause:!f,section:0,value:0),time:(from:'2017-09-26T16:05:29-0600',mode:absolute,to:'2017-09-26T18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3" s="203" t="str">
        <f>IF(AA193&lt;VLOOKUP(AG193,Variables!$AC$3:$AD$8,2,FALSE),"Y","N")</f>
        <v>N</v>
      </c>
      <c r="X193" s="203">
        <f t="shared" si="168"/>
        <v>1</v>
      </c>
      <c r="Y193" s="203">
        <f t="shared" si="155"/>
        <v>9.2999999999999999E-2</v>
      </c>
      <c r="Z193" s="203">
        <f t="shared" si="156"/>
        <v>5.8924000000000003</v>
      </c>
      <c r="AA193" s="203">
        <f t="shared" si="157"/>
        <v>5.7994000000000003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8">
        <f t="shared" si="158"/>
        <v>833</v>
      </c>
      <c r="AE193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93" s="74" t="str">
        <f t="shared" si="160"/>
        <v>"C:\Program Files (x86)\AstroGrep\AstroGrep.exe" /e /r /s /spath="%USERPROFILE%\AppData\Local\Temp\OnboardLogs" /stypes="app*4066*20170926*" /stext=" 23:.+((SYSTEM_STATE.+slice.+state.+changed )|(ment ac)|(multiple cpu faults)|(system.+state.+changed )|(\[timeout)|(PRM\|1\|D)|(kpr)|(kdp)|(train st.+moving)|(\|lc)|(penalty))"</v>
      </c>
      <c r="AG193" s="181" t="str">
        <f t="shared" si="161"/>
        <v>NW</v>
      </c>
      <c r="AH193" s="78" t="str">
        <f t="shared" si="162"/>
        <v>"%USERPROFILE%\Documents\GitHub\eaglep3\Utilities\RefineRTDCRunTimes.py" --tripid 833-26 --locoid 4066 --swversion DE.1.0.9.0 --startMP 204:930 --initTime 2017-09-26T17:05:29 --startdatetime 2017-09-26T17:09:20 --delay 90 --endMP 300:58924 --enddatetime 2017-09-26T17:24:52 --enforcementcount 0 &gt;&gt;c:\users\stu\Documents\GitHub\eaglep3-reporting\EC\2017-09-26-refined-times.txt</v>
      </c>
      <c r="AI193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{"issue":{"subject":"","project_id":79,"tracker_id":40,"status_id":1,"priority_id":2,"assigned_to_id":338,"start_date":"2017-09-26","description":"","custom_fields":[{"id":1,"name":"Subdivision","value":"NW"},{"id":4,"name":"Milepost","value":"5.8924"},{"id":17,"name":"Train ID","value":"833-26"},{"id":16,"name":"Locomotive ID","value":"4066"},{"id":130,"name":"Impact","value":""},{"id":150,"name":"Time of Event (Mountain Time)","value":"17:24:52"},{"id":151,"name":"Denver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164"/>
        <v>start /low /b %USERPROFILE%\Documents\GitHub\eaglep3\Utilities\DownloadLogsFromS3.py --loco 4066 --day 2017-09-26</v>
      </c>
      <c r="AN193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7" t="str">
        <f t="shared" si="166"/>
        <v>https://d0f6bd738d7f1b3e5a7ca70fe4ff75f0.us-east-1.aws.found.io/app/kibana#/discover/Steve-Slow-Train-Analysis-(2080s-and-2083s)?_g=(refreshInterval:(display:Off,pause:!f,section:0,value:0),time:(from:'2017-09-26T16:05:29-0600',mode:absolute,to:'2017-09-26T18:24:52-0600'))&amp;_a=(columns:!('Message%20ID',Summary),filters:!(),index:'emp_*',interval:auto,query:(query_string:(analyze_wildcard:!t,query:'%22rtdc.l.rtdc.4066%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796</v>
      </c>
      <c r="B194" s="7">
        <v>4065</v>
      </c>
      <c r="C194" s="21" t="s">
        <v>196</v>
      </c>
      <c r="D194" s="21" t="s">
        <v>972</v>
      </c>
      <c r="E194" s="13">
        <v>43004.726840277777</v>
      </c>
      <c r="F194" s="13">
        <v>43004.734409722223</v>
      </c>
      <c r="G194" s="7">
        <v>59</v>
      </c>
      <c r="H194" s="21" t="s">
        <v>973</v>
      </c>
      <c r="I194" s="13">
        <v>43004.748194444444</v>
      </c>
      <c r="J194" s="7">
        <v>0</v>
      </c>
      <c r="K194" s="89" t="str">
        <f t="shared" si="149"/>
        <v>4065/4066</v>
      </c>
      <c r="L194" s="184" t="str">
        <f>VLOOKUP(A194,'Trips&amp;Operators'!$C$1:$G$99911,5,FALSE)</f>
        <v>GUZMAN DANNY</v>
      </c>
      <c r="M194" s="6">
        <f t="shared" si="150"/>
        <v>1.378472222131677E-2</v>
      </c>
      <c r="N194" s="7">
        <f t="shared" si="169"/>
        <v>19.849999998696148</v>
      </c>
      <c r="O194" s="7"/>
      <c r="P194" s="7"/>
      <c r="Q194" s="22"/>
      <c r="R194" s="173"/>
      <c r="S194" s="220">
        <f t="shared" si="152"/>
        <v>1</v>
      </c>
      <c r="T194" s="173" t="str">
        <f t="shared" si="153"/>
        <v>Southbound</v>
      </c>
      <c r="U194" s="19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154"/>
        <v>https://d0f6bd738d7f1b3e5a7ca70fe4ff75f0.us-east-1.aws.found.io/app/kibana#/discover/Steve-Slow-Train-Analysis-(2080s-and-2083s)?_g=(refreshInterval:(display:Off,pause:!f,section:0,value:0),time:(from:'2017-09-26T16:26:39-0600',mode:absolute,to:'2017-09-26T18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4" s="203" t="str">
        <f>IF(AA194&lt;VLOOKUP(AG194,Variables!$AC$3:$AD$8,2,FALSE),"Y","N")</f>
        <v>N</v>
      </c>
      <c r="X194" s="203">
        <f t="shared" si="168"/>
        <v>1</v>
      </c>
      <c r="Y194" s="203">
        <f t="shared" si="155"/>
        <v>5.8611000000000004</v>
      </c>
      <c r="Z194" s="203">
        <f t="shared" si="156"/>
        <v>6.8900000000000003E-2</v>
      </c>
      <c r="AA194" s="203">
        <f t="shared" si="157"/>
        <v>5.7922000000000002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8">
        <f t="shared" si="158"/>
        <v>834</v>
      </c>
      <c r="AE194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94" s="74" t="str">
        <f t="shared" si="160"/>
        <v>"C:\Program Files (x86)\AstroGrep\AstroGrep.exe" /e /r /s /spath="%USERPROFILE%\AppData\Local\Temp\OnboardLogs" /stypes="app*4065*20170926*" /stext=" 23:.+((SYSTEM_STATE.+slice.+state.+changed )|(ment ac)|(multiple cpu faults)|(system.+state.+changed )|(\[timeout)|(PRM\|1\|D)|(kpr)|(kdp)|(train st.+moving)|(\|lc)|(penalty))"</v>
      </c>
      <c r="AG194" s="181" t="str">
        <f t="shared" si="161"/>
        <v>NW</v>
      </c>
      <c r="AH194" s="78" t="str">
        <f t="shared" si="162"/>
        <v>"%USERPROFILE%\Documents\GitHub\eaglep3\Utilities\RefineRTDCRunTimes.py" --tripid 834-26 --locoid 4065 --swversion DE.1.0.9.0 --startMP 300:58611 --initTime 2017-09-26T17:26:39 --startdatetime 2017-09-26T17:37:33 --delay 59 --endMP 204:689 --enddatetime 2017-09-26T17:57:24 --enforcementcount 0 &gt;&gt;c:\users\stu\Documents\GitHub\eaglep3-reporting\EC\2017-09-26-refined-times.txt</v>
      </c>
      <c r="AI194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{"issue":{"subject":"","project_id":79,"tracker_id":40,"status_id":1,"priority_id":2,"assigned_to_id":338,"start_date":"2017-09-26","description":"","custom_fields":[{"id":1,"name":"Subdivision","value":"NW"},{"id":4,"name":"Milepost","value":"0.0689"},{"id":17,"name":"Train ID","value":"834-26"},{"id":16,"name":"Locomotive ID","value":"4065"},{"id":130,"name":"Impact","value":""},{"id":150,"name":"Time of Event (Mountain Time)","value":"17:57:24"},{"id":151,"name":"Denver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64"/>
        <v>start /low /b %USERPROFILE%\Documents\GitHub\eaglep3\Utilities\DownloadLogsFromS3.py --loco 4065 --day 2017-09-26</v>
      </c>
      <c r="AN194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7" t="str">
        <f t="shared" si="166"/>
        <v>https://d0f6bd738d7f1b3e5a7ca70fe4ff75f0.us-east-1.aws.found.io/app/kibana#/discover/Steve-Slow-Train-Analysis-(2080s-and-2083s)?_g=(refreshInterval:(display:Off,pause:!f,section:0,value:0),time:(from:'2017-09-26T16:26:39-0600',mode:absolute,to:'2017-09-26T18:57:24-0600'))&amp;_a=(columns:!('Message%20ID',Summary),filters:!(),index:'emp_*',interval:auto,query:(query_string:(analyze_wildcard:!t,query:'%22rtdc.l.rtdc.4065%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799</v>
      </c>
      <c r="B195" s="7">
        <v>4064</v>
      </c>
      <c r="C195" s="21" t="s">
        <v>196</v>
      </c>
      <c r="D195" s="21" t="s">
        <v>578</v>
      </c>
      <c r="E195" s="13">
        <v>43004.733726851853</v>
      </c>
      <c r="F195" s="13">
        <v>43004.736157407409</v>
      </c>
      <c r="G195" s="7">
        <v>64</v>
      </c>
      <c r="H195" s="21" t="s">
        <v>584</v>
      </c>
      <c r="I195" s="13">
        <v>43004.745682870373</v>
      </c>
      <c r="J195" s="7">
        <v>0</v>
      </c>
      <c r="K195" s="89" t="str">
        <f t="shared" si="149"/>
        <v>4063/4064</v>
      </c>
      <c r="L195" s="184" t="str">
        <f>VLOOKUP(A195,'Trips&amp;Operators'!$C$1:$G$99911,5,FALSE)</f>
        <v>STAMBAUGH JAMES</v>
      </c>
      <c r="M195" s="6">
        <f t="shared" si="150"/>
        <v>9.5254629632108845E-3</v>
      </c>
      <c r="N195" s="7">
        <f t="shared" si="169"/>
        <v>13.716666667023674</v>
      </c>
      <c r="O195" s="7"/>
      <c r="P195" s="7"/>
      <c r="Q195" s="22"/>
      <c r="R195" s="173"/>
      <c r="S195" s="220">
        <f t="shared" si="152"/>
        <v>1</v>
      </c>
      <c r="T195" s="173" t="str">
        <f t="shared" si="153"/>
        <v>NorthBound</v>
      </c>
      <c r="U195" s="19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5" t="str">
        <f t="shared" si="154"/>
        <v>https://d0f6bd738d7f1b3e5a7ca70fe4ff75f0.us-east-1.aws.found.io/app/kibana#/discover/Steve-Slow-Train-Analysis-(2080s-and-2083s)?_g=(refreshInterval:(display:Off,pause:!f,section:0,value:0),time:(from:'2017-09-26T16:36:34-0600',mode:absolute,to:'2017-09-26T18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203" t="str">
        <f>IF(AA195&lt;VLOOKUP(AG195,Variables!$AC$3:$AD$8,2,FALSE),"Y","N")</f>
        <v>N</v>
      </c>
      <c r="X195" s="203">
        <f t="shared" si="168"/>
        <v>1</v>
      </c>
      <c r="Y195" s="203">
        <f t="shared" si="155"/>
        <v>9.5799999999999996E-2</v>
      </c>
      <c r="Z195" s="203">
        <f t="shared" si="156"/>
        <v>5.8945999999999996</v>
      </c>
      <c r="AA195" s="203">
        <f t="shared" si="157"/>
        <v>5.7988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8">
        <f t="shared" si="158"/>
        <v>835</v>
      </c>
      <c r="AE195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95" s="74" t="str">
        <f t="shared" si="160"/>
        <v>"C:\Program Files (x86)\AstroGrep\AstroGrep.exe" /e /r /s /spath="%USERPROFILE%\AppData\Local\Temp\OnboardLogs" /stypes="app*4064*20170926*" /stext=" 23:.+((SYSTEM_STATE.+slice.+state.+changed )|(ment ac)|(multiple cpu faults)|(system.+state.+changed )|(\[timeout)|(PRM\|1\|D)|(kpr)|(kdp)|(train st.+moving)|(\|lc)|(penalty))"</v>
      </c>
      <c r="AG195" s="181" t="str">
        <f t="shared" si="161"/>
        <v>NW</v>
      </c>
      <c r="AH195" s="78" t="str">
        <f t="shared" si="162"/>
        <v>"%USERPROFILE%\Documents\GitHub\eaglep3\Utilities\RefineRTDCRunTimes.py" --tripid 835-26 --locoid 4064 --swversion DE.1.0.9.0 --startMP 204:958 --initTime 2017-09-26T17:36:34 --startdatetime 2017-09-26T17:40:04 --delay 64 --endMP 300:58946 --enddatetime 2017-09-26T17:53:47 --enforcementcount 0 &gt;&gt;c:\users\stu\Documents\GitHub\eaglep3-reporting\EC\2017-09-26-refined-times.txt</v>
      </c>
      <c r="AI195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{"issue":{"subject":"","project_id":79,"tracker_id":40,"status_id":1,"priority_id":2,"assigned_to_id":338,"start_date":"2017-09-26","description":"","custom_fields":[{"id":1,"name":"Subdivision","value":"NW"},{"id":4,"name":"Milepost","value":"5.8946"},{"id":17,"name":"Train ID","value":"835-26"},{"id":16,"name":"Locomotive ID","value":"4064"},{"id":130,"name":"Impact","value":""},{"id":150,"name":"Time of Event (Mountain Time)","value":"17:53:47"},{"id":151,"name":"Denver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64"/>
        <v>start /low /b %USERPROFILE%\Documents\GitHub\eaglep3\Utilities\DownloadLogsFromS3.py --loco 4064 --day 2017-09-26</v>
      </c>
      <c r="AN195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7" t="str">
        <f t="shared" si="166"/>
        <v>https://d0f6bd738d7f1b3e5a7ca70fe4ff75f0.us-east-1.aws.found.io/app/kibana#/discover/Steve-Slow-Train-Analysis-(2080s-and-2083s)?_g=(refreshInterval:(display:Off,pause:!f,section:0,value:0),time:(from:'2017-09-26T16:36:34-0600',mode:absolute,to:'2017-09-26T18:53:47-0600'))&amp;_a=(columns:!('Message%20ID',Summary),filters:!(),index:'emp_*',interval:auto,query:(query_string:(analyze_wildcard:!t,query:'%22rtdc.l.rtdc.4064%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803</v>
      </c>
      <c r="B196" s="7">
        <v>4063</v>
      </c>
      <c r="C196" s="21" t="s">
        <v>196</v>
      </c>
      <c r="D196" s="21" t="s">
        <v>974</v>
      </c>
      <c r="E196" s="13">
        <v>43004.746469907404</v>
      </c>
      <c r="F196" s="13">
        <v>43004.757835648146</v>
      </c>
      <c r="G196" s="7">
        <v>70</v>
      </c>
      <c r="H196" s="21" t="s">
        <v>592</v>
      </c>
      <c r="I196" s="13">
        <v>43004.767962962964</v>
      </c>
      <c r="J196" s="7">
        <v>0</v>
      </c>
      <c r="K196" s="89" t="str">
        <f t="shared" si="149"/>
        <v>4063/4064</v>
      </c>
      <c r="L196" s="184" t="str">
        <f>VLOOKUP(A196,'Trips&amp;Operators'!$C$1:$G$99911,5,FALSE)</f>
        <v>STAMBAUGH JAMES</v>
      </c>
      <c r="M196" s="6">
        <f t="shared" si="150"/>
        <v>1.0127314817509614E-2</v>
      </c>
      <c r="N196" s="7">
        <f t="shared" si="169"/>
        <v>14.583333337213844</v>
      </c>
      <c r="O196" s="7"/>
      <c r="P196" s="7"/>
      <c r="Q196" s="22"/>
      <c r="R196" s="173"/>
      <c r="S196" s="220">
        <f t="shared" si="152"/>
        <v>1</v>
      </c>
      <c r="T196" s="173" t="str">
        <f t="shared" si="153"/>
        <v>Southbound</v>
      </c>
      <c r="U196" s="19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154"/>
        <v>https://d0f6bd738d7f1b3e5a7ca70fe4ff75f0.us-east-1.aws.found.io/app/kibana#/discover/Steve-Slow-Train-Analysis-(2080s-and-2083s)?_g=(refreshInterval:(display:Off,pause:!f,section:0,value:0),time:(from:'2017-09-26T16:54:55-0600',mode:absolute,to:'2017-09-26T19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203" t="str">
        <f>IF(AA196&lt;VLOOKUP(AG196,Variables!$AC$3:$AD$8,2,FALSE),"Y","N")</f>
        <v>N</v>
      </c>
      <c r="X196" s="203">
        <f t="shared" si="168"/>
        <v>1</v>
      </c>
      <c r="Y196" s="203">
        <f t="shared" si="155"/>
        <v>5.8634000000000004</v>
      </c>
      <c r="Z196" s="203">
        <f t="shared" si="156"/>
        <v>6.7699999999999996E-2</v>
      </c>
      <c r="AA196" s="203">
        <f t="shared" si="157"/>
        <v>5.7957000000000001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8">
        <f t="shared" si="158"/>
        <v>836</v>
      </c>
      <c r="AE196" s="77" t="str">
        <f t="shared" si="15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196" s="74" t="str">
        <f t="shared" si="160"/>
        <v>"C:\Program Files (x86)\AstroGrep\AstroGrep.exe" /e /r /s /spath="%USERPROFILE%\AppData\Local\Temp\OnboardLogs" /stypes="app*4063*20170927*" /stext=" 00:.+((SYSTEM_STATE.+slice.+state.+changed )|(ment ac)|(multiple cpu faults)|(system.+state.+changed )|(\[timeout)|(PRM\|1\|D)|(kpr)|(kdp)|(train st.+moving)|(\|lc)|(penalty))"</v>
      </c>
      <c r="AG196" s="181" t="str">
        <f t="shared" si="161"/>
        <v>NW</v>
      </c>
      <c r="AH196" s="78" t="str">
        <f t="shared" si="162"/>
        <v>"%USERPROFILE%\Documents\GitHub\eaglep3\Utilities\RefineRTDCRunTimes.py" --tripid 836-26 --locoid 4063 --swversion DE.1.0.9.0 --startMP 300:58634 --initTime 2017-09-26T17:54:55 --startdatetime 2017-09-26T18:11:17 --delay 70 --endMP 204:677 --enddatetime 2017-09-26T18:25:52 --enforcementcount 0 &gt;&gt;c:\users\stu\Documents\GitHub\eaglep3-reporting\EC\2017-09-26-refined-times.txt</v>
      </c>
      <c r="AI196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{"issue":{"subject":"","project_id":79,"tracker_id":40,"status_id":1,"priority_id":2,"assigned_to_id":338,"start_date":"2017-09-26","description":"","custom_fields":[{"id":1,"name":"Subdivision","value":"NW"},{"id":4,"name":"Milepost","value":"0.0677"},{"id":17,"name":"Train ID","value":"836-26"},{"id":16,"name":"Locomotive ID","value":"4063"},{"id":130,"name":"Impact","value":""},{"id":150,"name":"Time of Event (Mountain Time)","value":"18:25:52"},{"id":151,"name":"Denver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64"/>
        <v>start /low /b %USERPROFILE%\Documents\GitHub\eaglep3\Utilities\DownloadLogsFromS3.py --loco 4063 --day 2017-09-26</v>
      </c>
      <c r="AN196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7" t="str">
        <f t="shared" si="166"/>
        <v>https://d0f6bd738d7f1b3e5a7ca70fe4ff75f0.us-east-1.aws.found.io/app/kibana#/discover/Steve-Slow-Train-Analysis-(2080s-and-2083s)?_g=(refreshInterval:(display:Off,pause:!f,section:0,value:0),time:(from:'2017-09-26T16:54:55-0600',mode:absolute,to:'2017-09-26T19:25:52-0600'))&amp;_a=(columns:!('Message%20ID',Summary),filters:!(),index:'emp_*',interval:auto,query:(query_string:(analyze_wildcard:!t,query:'%22rtdc.l.rtdc.4063%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805</v>
      </c>
      <c r="B197" s="7">
        <v>4066</v>
      </c>
      <c r="C197" s="21" t="s">
        <v>196</v>
      </c>
      <c r="D197" s="21" t="s">
        <v>599</v>
      </c>
      <c r="E197" s="13">
        <v>43004.753518518519</v>
      </c>
      <c r="F197" s="13">
        <v>43004.756423611114</v>
      </c>
      <c r="G197" s="7">
        <v>75</v>
      </c>
      <c r="H197" s="21" t="s">
        <v>975</v>
      </c>
      <c r="I197" s="13">
        <v>43004.76734953704</v>
      </c>
      <c r="J197" s="7">
        <v>0</v>
      </c>
      <c r="K197" s="89" t="str">
        <f t="shared" si="149"/>
        <v>4065/4066</v>
      </c>
      <c r="L197" s="184" t="str">
        <f>VLOOKUP(A197,'Trips&amp;Operators'!$C$1:$G$99911,5,FALSE)</f>
        <v>GUZMAN DANNY</v>
      </c>
      <c r="M197" s="6">
        <f t="shared" si="150"/>
        <v>1.0925925926130731E-2</v>
      </c>
      <c r="N197" s="7">
        <f t="shared" si="169"/>
        <v>15.733333333628252</v>
      </c>
      <c r="O197" s="7"/>
      <c r="P197" s="7"/>
      <c r="Q197" s="22"/>
      <c r="R197" s="173"/>
      <c r="S197" s="220">
        <f t="shared" si="152"/>
        <v>1</v>
      </c>
      <c r="T197" s="173" t="str">
        <f t="shared" si="153"/>
        <v>NorthBound</v>
      </c>
      <c r="U197" s="19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154"/>
        <v>https://d0f6bd738d7f1b3e5a7ca70fe4ff75f0.us-east-1.aws.found.io/app/kibana#/discover/Steve-Slow-Train-Analysis-(2080s-and-2083s)?_g=(refreshInterval:(display:Off,pause:!f,section:0,value:0),time:(from:'2017-09-26T17:05:04-0600',mode:absolute,to:'2017-09-26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7" s="203" t="str">
        <f>IF(AA197&lt;VLOOKUP(AG197,Variables!$AC$3:$AD$8,2,FALSE),"Y","N")</f>
        <v>N</v>
      </c>
      <c r="X197" s="203">
        <f t="shared" si="168"/>
        <v>1</v>
      </c>
      <c r="Y197" s="203">
        <f t="shared" si="155"/>
        <v>9.9500000000000005E-2</v>
      </c>
      <c r="Z197" s="203">
        <f t="shared" si="156"/>
        <v>5.8921999999999999</v>
      </c>
      <c r="AA197" s="203">
        <f t="shared" si="157"/>
        <v>5.7927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8">
        <f t="shared" si="158"/>
        <v>837</v>
      </c>
      <c r="AE197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197" s="74" t="str">
        <f t="shared" si="160"/>
        <v>"C:\Program Files (x86)\AstroGrep\AstroGrep.exe" /e /r /s /spath="%USERPROFILE%\AppData\Local\Temp\OnboardLogs" /stypes="app*4066*20170927*" /stext=" 00:.+((SYSTEM_STATE.+slice.+state.+changed )|(ment ac)|(multiple cpu faults)|(system.+state.+changed )|(\[timeout)|(PRM\|1\|D)|(kpr)|(kdp)|(train st.+moving)|(\|lc)|(penalty))"</v>
      </c>
      <c r="AG197" s="181" t="str">
        <f t="shared" si="161"/>
        <v>NW</v>
      </c>
      <c r="AH197" s="78" t="str">
        <f t="shared" si="162"/>
        <v>"%USERPROFILE%\Documents\GitHub\eaglep3\Utilities\RefineRTDCRunTimes.py" --tripid 837-26 --locoid 4066 --swversion DE.1.0.9.0 --startMP 204:995 --initTime 2017-09-26T18:05:04 --startdatetime 2017-09-26T18:09:15 --delay 75 --endMP 300:58922 --enddatetime 2017-09-26T18:24:59 --enforcementcount 0 &gt;&gt;c:\users\stu\Documents\GitHub\eaglep3-reporting\EC\2017-09-26-refined-times.txt</v>
      </c>
      <c r="AI197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{"issue":{"subject":"","project_id":79,"tracker_id":40,"status_id":1,"priority_id":2,"assigned_to_id":338,"start_date":"2017-09-26","description":"","custom_fields":[{"id":1,"name":"Subdivision","value":"NW"},{"id":4,"name":"Milepost","value":"5.8922"},{"id":17,"name":"Train ID","value":"837-26"},{"id":16,"name":"Locomotive ID","value":"4066"},{"id":130,"name":"Impact","value":""},{"id":150,"name":"Time of Event (Mountain Time)","value":"18:24:59"},{"id":151,"name":"Denver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64"/>
        <v>start /low /b %USERPROFILE%\Documents\GitHub\eaglep3\Utilities\DownloadLogsFromS3.py --loco 4066 --day 2017-09-26</v>
      </c>
      <c r="AN197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7" t="str">
        <f t="shared" si="166"/>
        <v>https://d0f6bd738d7f1b3e5a7ca70fe4ff75f0.us-east-1.aws.found.io/app/kibana#/discover/Steve-Slow-Train-Analysis-(2080s-and-2083s)?_g=(refreshInterval:(display:Off,pause:!f,section:0,value:0),time:(from:'2017-09-26T17:05:04-0600',mode:absolute,to:'2017-09-26T19:24:59-0600'))&amp;_a=(columns:!('Message%20ID',Summary),filters:!(),index:'emp_*',interval:auto,query:(query_string:(analyze_wildcard:!t,query:'%22rtdc.l.rtdc.4066%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810</v>
      </c>
      <c r="B198" s="7">
        <v>4065</v>
      </c>
      <c r="C198" s="21" t="s">
        <v>196</v>
      </c>
      <c r="D198" s="21" t="s">
        <v>595</v>
      </c>
      <c r="E198" s="13">
        <v>43004.768414351849</v>
      </c>
      <c r="F198" s="13">
        <v>43004.776006944441</v>
      </c>
      <c r="G198" s="7">
        <v>64</v>
      </c>
      <c r="H198" s="21" t="s">
        <v>976</v>
      </c>
      <c r="I198" s="13">
        <v>43004.789965277778</v>
      </c>
      <c r="J198" s="7">
        <v>0</v>
      </c>
      <c r="K198" s="89" t="str">
        <f t="shared" si="149"/>
        <v>4065/4066</v>
      </c>
      <c r="L198" s="184" t="str">
        <f>VLOOKUP(A198,'Trips&amp;Operators'!$C$1:$G$99911,5,FALSE)</f>
        <v>GUZMAN DANNY</v>
      </c>
      <c r="M198" s="6">
        <f t="shared" si="150"/>
        <v>1.3958333336631767E-2</v>
      </c>
      <c r="N198" s="7">
        <f t="shared" si="169"/>
        <v>20.100000004749745</v>
      </c>
      <c r="O198" s="7"/>
      <c r="P198" s="7"/>
      <c r="Q198" s="22"/>
      <c r="R198" s="173"/>
      <c r="S198" s="220">
        <f t="shared" si="152"/>
        <v>1</v>
      </c>
      <c r="T198" s="173" t="str">
        <f t="shared" si="153"/>
        <v>Southbound</v>
      </c>
      <c r="U198" s="19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154"/>
        <v>https://d0f6bd738d7f1b3e5a7ca70fe4ff75f0.us-east-1.aws.found.io/app/kibana#/discover/Steve-Slow-Train-Analysis-(2080s-and-2083s)?_g=(refreshInterval:(display:Off,pause:!f,section:0,value:0),time:(from:'2017-09-26T17:26:31-0600',mode:absolute,to:'2017-09-26T19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8" s="203" t="str">
        <f>IF(AA198&lt;VLOOKUP(AG198,Variables!$AC$3:$AD$8,2,FALSE),"Y","N")</f>
        <v>N</v>
      </c>
      <c r="X198" s="203">
        <f t="shared" si="168"/>
        <v>1</v>
      </c>
      <c r="Y198" s="203">
        <f t="shared" si="155"/>
        <v>5.8616999999999999</v>
      </c>
      <c r="Z198" s="203">
        <f t="shared" si="156"/>
        <v>7.1300000000000002E-2</v>
      </c>
      <c r="AA198" s="203">
        <f t="shared" si="157"/>
        <v>5.7904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8">
        <f t="shared" si="158"/>
        <v>838</v>
      </c>
      <c r="AE198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198" s="74" t="str">
        <f t="shared" si="160"/>
        <v>"C:\Program Files (x86)\AstroGrep\AstroGrep.exe" /e /r /s /spath="%USERPROFILE%\AppData\Local\Temp\OnboardLogs" /stypes="app*4065*20170927*" /stext=" 00:.+((SYSTEM_STATE.+slice.+state.+changed )|(ment ac)|(multiple cpu faults)|(system.+state.+changed )|(\[timeout)|(PRM\|1\|D)|(kpr)|(kdp)|(train st.+moving)|(\|lc)|(penalty))"</v>
      </c>
      <c r="AG198" s="181" t="str">
        <f t="shared" si="161"/>
        <v>NW</v>
      </c>
      <c r="AH198" s="78" t="str">
        <f t="shared" si="162"/>
        <v>"%USERPROFILE%\Documents\GitHub\eaglep3\Utilities\RefineRTDCRunTimes.py" --tripid 838-26 --locoid 4065 --swversion DE.1.0.9.0 --startMP 300:58617 --initTime 2017-09-26T18:26:31 --startdatetime 2017-09-26T18:37:27 --delay 64 --endMP 204:713 --enddatetime 2017-09-26T18:57:33 --enforcementcount 0 &gt;&gt;c:\users\stu\Documents\GitHub\eaglep3-reporting\EC\2017-09-26-refined-times.txt</v>
      </c>
      <c r="AI198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{"issue":{"subject":"","project_id":79,"tracker_id":40,"status_id":1,"priority_id":2,"assigned_to_id":338,"start_date":"2017-09-26","description":"","custom_fields":[{"id":1,"name":"Subdivision","value":"NW"},{"id":4,"name":"Milepost","value":"0.0713"},{"id":17,"name":"Train ID","value":"838-26"},{"id":16,"name":"Locomotive ID","value":"4065"},{"id":130,"name":"Impact","value":""},{"id":150,"name":"Time of Event (Mountain Time)","value":"18:57:33"},{"id":151,"name":"Denver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64"/>
        <v>start /low /b %USERPROFILE%\Documents\GitHub\eaglep3\Utilities\DownloadLogsFromS3.py --loco 4065 --day 2017-09-26</v>
      </c>
      <c r="AN198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7" t="str">
        <f t="shared" si="166"/>
        <v>https://d0f6bd738d7f1b3e5a7ca70fe4ff75f0.us-east-1.aws.found.io/app/kibana#/discover/Steve-Slow-Train-Analysis-(2080s-and-2083s)?_g=(refreshInterval:(display:Off,pause:!f,section:0,value:0),time:(from:'2017-09-26T17:26:31-0600',mode:absolute,to:'2017-09-26T19:57:33-0600'))&amp;_a=(columns:!('Message%20ID',Summary),filters:!(),index:'emp_*',interval:auto,query:(query_string:(analyze_wildcard:!t,query:'%22rtdc.l.rtdc.4065%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811</v>
      </c>
      <c r="B199" s="7">
        <v>4064</v>
      </c>
      <c r="C199" s="21" t="s">
        <v>196</v>
      </c>
      <c r="D199" s="21" t="s">
        <v>958</v>
      </c>
      <c r="E199" s="13">
        <v>43004.775856481479</v>
      </c>
      <c r="F199" s="13">
        <v>43004.777858796297</v>
      </c>
      <c r="G199" s="7">
        <v>54</v>
      </c>
      <c r="H199" s="21" t="s">
        <v>584</v>
      </c>
      <c r="I199" s="13">
        <v>43004.788368055553</v>
      </c>
      <c r="J199" s="7">
        <v>0</v>
      </c>
      <c r="K199" s="89" t="str">
        <f t="shared" si="149"/>
        <v>4063/4064</v>
      </c>
      <c r="L199" s="184" t="str">
        <f>VLOOKUP(A199,'Trips&amp;Operators'!$C$1:$G$99911,5,FALSE)</f>
        <v>STAMBAUGH JAMES</v>
      </c>
      <c r="M199" s="6">
        <f t="shared" si="150"/>
        <v>1.0509259256650694E-2</v>
      </c>
      <c r="N199" s="7">
        <f t="shared" si="169"/>
        <v>15.133333329576999</v>
      </c>
      <c r="O199" s="7"/>
      <c r="P199" s="7"/>
      <c r="Q199" s="22"/>
      <c r="R199" s="173"/>
      <c r="S199" s="220">
        <f t="shared" si="152"/>
        <v>1</v>
      </c>
      <c r="T199" s="173" t="str">
        <f t="shared" si="153"/>
        <v>NorthBound</v>
      </c>
      <c r="U199" s="19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154"/>
        <v>https://d0f6bd738d7f1b3e5a7ca70fe4ff75f0.us-east-1.aws.found.io/app/kibana#/discover/Steve-Slow-Train-Analysis-(2080s-and-2083s)?_g=(refreshInterval:(display:Off,pause:!f,section:0,value:0),time:(from:'2017-09-26T17:37:14-0600',mode:absolute,to:'2017-09-26T19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203" t="str">
        <f>IF(AA199&lt;VLOOKUP(AG199,Variables!$AC$3:$AD$8,2,FALSE),"Y","N")</f>
        <v>N</v>
      </c>
      <c r="X199" s="203">
        <f t="shared" si="168"/>
        <v>1</v>
      </c>
      <c r="Y199" s="203">
        <f t="shared" si="155"/>
        <v>9.5500000000000002E-2</v>
      </c>
      <c r="Z199" s="203">
        <f t="shared" si="156"/>
        <v>5.8945999999999996</v>
      </c>
      <c r="AA199" s="203">
        <f t="shared" si="157"/>
        <v>5.7990999999999993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8">
        <f t="shared" si="158"/>
        <v>839</v>
      </c>
      <c r="AE199" s="77" t="str">
        <f t="shared" si="15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199" s="74" t="str">
        <f t="shared" si="160"/>
        <v>"C:\Program Files (x86)\AstroGrep\AstroGrep.exe" /e /r /s /spath="%USERPROFILE%\AppData\Local\Temp\OnboardLogs" /stypes="app*4064*20170927*" /stext=" 00:.+((SYSTEM_STATE.+slice.+state.+changed )|(ment ac)|(multiple cpu faults)|(system.+state.+changed )|(\[timeout)|(PRM\|1\|D)|(kpr)|(kdp)|(train st.+moving)|(\|lc)|(penalty))"</v>
      </c>
      <c r="AG199" s="181" t="str">
        <f t="shared" si="161"/>
        <v>NW</v>
      </c>
      <c r="AH199" s="78" t="str">
        <f t="shared" si="162"/>
        <v>"%USERPROFILE%\Documents\GitHub\eaglep3\Utilities\RefineRTDCRunTimes.py" --tripid 839-26 --locoid 4064 --swversion DE.1.0.9.0 --startMP 204:955 --initTime 2017-09-26T18:37:14 --startdatetime 2017-09-26T18:40:07 --delay 54 --endMP 300:58946 --enddatetime 2017-09-26T18:55:15 --enforcementcount 0 &gt;&gt;c:\users\stu\Documents\GitHub\eaglep3-reporting\EC\2017-09-26-refined-times.txt</v>
      </c>
      <c r="AI199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{"issue":{"subject":"","project_id":79,"tracker_id":40,"status_id":1,"priority_id":2,"assigned_to_id":338,"start_date":"2017-09-26","description":"","custom_fields":[{"id":1,"name":"Subdivision","value":"NW"},{"id":4,"name":"Milepost","value":"5.8946"},{"id":17,"name":"Train ID","value":"839-26"},{"id":16,"name":"Locomotive ID","value":"4064"},{"id":130,"name":"Impact","value":""},{"id":150,"name":"Time of Event (Mountain Time)","value":"18:55:15"},{"id":151,"name":"Denver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164"/>
        <v>start /low /b %USERPROFILE%\Documents\GitHub\eaglep3\Utilities\DownloadLogsFromS3.py --loco 4064 --day 2017-09-26</v>
      </c>
      <c r="AN199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7" t="str">
        <f t="shared" si="166"/>
        <v>https://d0f6bd738d7f1b3e5a7ca70fe4ff75f0.us-east-1.aws.found.io/app/kibana#/discover/Steve-Slow-Train-Analysis-(2080s-and-2083s)?_g=(refreshInterval:(display:Off,pause:!f,section:0,value:0),time:(from:'2017-09-26T17:37:14-0600',mode:absolute,to:'2017-09-26T19:55:15-0600'))&amp;_a=(columns:!('Message%20ID',Summary),filters:!(),index:'emp_*',interval:auto,query:(query_string:(analyze_wildcard:!t,query:'%22rtdc.l.rtdc.4064%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819</v>
      </c>
      <c r="B200" s="7">
        <v>4065</v>
      </c>
      <c r="C200" s="21" t="s">
        <v>196</v>
      </c>
      <c r="D200" s="21" t="s">
        <v>972</v>
      </c>
      <c r="E200" s="13">
        <v>43004.810231481482</v>
      </c>
      <c r="F200" s="13">
        <v>43004.818136574075</v>
      </c>
      <c r="G200" s="7">
        <v>60</v>
      </c>
      <c r="H200" s="21" t="s">
        <v>964</v>
      </c>
      <c r="I200" s="13">
        <v>43004.831643518519</v>
      </c>
      <c r="J200" s="7">
        <v>0</v>
      </c>
      <c r="K200" s="89" t="str">
        <f t="shared" si="149"/>
        <v>4065/4066</v>
      </c>
      <c r="L200" s="184" t="str">
        <f>VLOOKUP(A200,'Trips&amp;Operators'!$C$1:$G$99911,5,FALSE)</f>
        <v>GUZMAN DANNY</v>
      </c>
      <c r="M200" s="6">
        <f t="shared" si="150"/>
        <v>1.3506944444088731E-2</v>
      </c>
      <c r="N200" s="7">
        <f t="shared" si="169"/>
        <v>19.449999999487773</v>
      </c>
      <c r="O200" s="7"/>
      <c r="P200" s="7"/>
      <c r="Q200" s="22"/>
      <c r="R200" s="173"/>
      <c r="S200" s="220">
        <f t="shared" si="152"/>
        <v>1</v>
      </c>
      <c r="T200" s="173" t="str">
        <f t="shared" si="153"/>
        <v>Southbound</v>
      </c>
      <c r="U200" s="19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154"/>
        <v>https://d0f6bd738d7f1b3e5a7ca70fe4ff75f0.us-east-1.aws.found.io/app/kibana#/discover/Steve-Slow-Train-Analysis-(2080s-and-2083s)?_g=(refreshInterval:(display:Off,pause:!f,section:0,value:0),time:(from:'2017-09-26T18:26:44-0600',mode:absolute,to:'2017-09-26T20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0" s="203" t="str">
        <f>IF(AA200&lt;VLOOKUP(AG200,Variables!$AC$3:$AD$8,2,FALSE),"Y","N")</f>
        <v>N</v>
      </c>
      <c r="X200" s="203">
        <f t="shared" si="168"/>
        <v>1</v>
      </c>
      <c r="Y200" s="203">
        <f t="shared" si="155"/>
        <v>5.8611000000000004</v>
      </c>
      <c r="Z200" s="203">
        <f t="shared" si="156"/>
        <v>6.9599999999999995E-2</v>
      </c>
      <c r="AA200" s="203">
        <f t="shared" si="157"/>
        <v>5.7915000000000001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8">
        <f t="shared" si="158"/>
        <v>840</v>
      </c>
      <c r="AE200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00" s="74" t="str">
        <f t="shared" si="160"/>
        <v>"C:\Program Files (x86)\AstroGrep\AstroGrep.exe" /e /r /s /spath="%USERPROFILE%\AppData\Local\Temp\OnboardLogs" /stypes="app*4065*20170927*" /stext=" 01:.+((SYSTEM_STATE.+slice.+state.+changed )|(ment ac)|(multiple cpu faults)|(system.+state.+changed )|(\[timeout)|(PRM\|1\|D)|(kpr)|(kdp)|(train st.+moving)|(\|lc)|(penalty))"</v>
      </c>
      <c r="AG200" s="181" t="str">
        <f t="shared" si="161"/>
        <v>NW</v>
      </c>
      <c r="AH200" s="78" t="str">
        <f t="shared" si="162"/>
        <v>"%USERPROFILE%\Documents\GitHub\eaglep3\Utilities\RefineRTDCRunTimes.py" --tripid 840-26 --locoid 4065 --swversion DE.1.0.9.0 --startMP 300:58611 --initTime 2017-09-26T19:26:44 --startdatetime 2017-09-26T19:38:07 --delay 60 --endMP 204:696 --enddatetime 2017-09-26T19:57:34 --enforcementcount 0 &gt;&gt;c:\users\stu\Documents\GitHub\eaglep3-reporting\EC\2017-09-26-refined-times.txt</v>
      </c>
      <c r="AI200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{"issue":{"subject":"","project_id":79,"tracker_id":40,"status_id":1,"priority_id":2,"assigned_to_id":338,"start_date":"2017-09-26","description":"","custom_fields":[{"id":1,"name":"Subdivision","value":"NW"},{"id":4,"name":"Milepost","value":"0.0696"},{"id":17,"name":"Train ID","value":"840-26"},{"id":16,"name":"Locomotive ID","value":"4065"},{"id":130,"name":"Impact","value":""},{"id":150,"name":"Time of Event (Mountain Time)","value":"19:57:34"},{"id":151,"name":"Denver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164"/>
        <v>start /low /b %USERPROFILE%\Documents\GitHub\eaglep3\Utilities\DownloadLogsFromS3.py --loco 4065 --day 2017-09-26</v>
      </c>
      <c r="AN200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7" t="str">
        <f t="shared" si="166"/>
        <v>https://d0f6bd738d7f1b3e5a7ca70fe4ff75f0.us-east-1.aws.found.io/app/kibana#/discover/Steve-Slow-Train-Analysis-(2080s-and-2083s)?_g=(refreshInterval:(display:Off,pause:!f,section:0,value:0),time:(from:'2017-09-26T18:26:44-0600',mode:absolute,to:'2017-09-26T20:57:34-0600'))&amp;_a=(columns:!('Message%20ID',Summary),filters:!(),index:'emp_*',interval:auto,query:(query_string:(analyze_wildcard:!t,query:'%22rtdc.l.rtdc.4065%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816</v>
      </c>
      <c r="B201" s="7">
        <v>4066</v>
      </c>
      <c r="C201" s="21" t="s">
        <v>196</v>
      </c>
      <c r="D201" s="21" t="s">
        <v>977</v>
      </c>
      <c r="E201" s="13">
        <v>43004.791689814818</v>
      </c>
      <c r="F201" s="13">
        <v>43004.798194444447</v>
      </c>
      <c r="G201" s="7">
        <v>64</v>
      </c>
      <c r="H201" s="21" t="s">
        <v>978</v>
      </c>
      <c r="I201" s="13">
        <v>43004.809421296297</v>
      </c>
      <c r="J201" s="7">
        <v>0</v>
      </c>
      <c r="K201" s="89" t="str">
        <f t="shared" si="149"/>
        <v>4065/4066</v>
      </c>
      <c r="L201" s="184" t="str">
        <f>VLOOKUP(A201,'Trips&amp;Operators'!$C$1:$G$99911,5,FALSE)</f>
        <v>GUZMAN DANNY</v>
      </c>
      <c r="M201" s="6">
        <f t="shared" si="150"/>
        <v>1.1226851849642117E-2</v>
      </c>
      <c r="N201" s="7">
        <f t="shared" si="169"/>
        <v>16.166666663484648</v>
      </c>
      <c r="O201" s="7"/>
      <c r="P201" s="7"/>
      <c r="Q201" s="22"/>
      <c r="R201" s="173"/>
      <c r="S201" s="220">
        <f t="shared" si="152"/>
        <v>1</v>
      </c>
      <c r="T201" s="173" t="str">
        <f t="shared" si="153"/>
        <v>NorthBound</v>
      </c>
      <c r="U201" s="19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154"/>
        <v>https://d0f6bd738d7f1b3e5a7ca70fe4ff75f0.us-east-1.aws.found.io/app/kibana#/discover/Steve-Slow-Train-Analysis-(2080s-and-2083s)?_g=(refreshInterval:(display:Off,pause:!f,section:0,value:0),time:(from:'2017-09-26T18:00:02-0600',mode:absolute,to:'2017-09-26T20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1" s="203" t="str">
        <f>IF(AA201&lt;VLOOKUP(AG201,Variables!$AC$3:$AD$8,2,FALSE),"Y","N")</f>
        <v>N</v>
      </c>
      <c r="X201" s="203">
        <f t="shared" si="168"/>
        <v>1</v>
      </c>
      <c r="Y201" s="203">
        <f t="shared" si="155"/>
        <v>9.9699999999999997E-2</v>
      </c>
      <c r="Z201" s="203">
        <f t="shared" si="156"/>
        <v>5.8928000000000003</v>
      </c>
      <c r="AA201" s="203">
        <f t="shared" si="157"/>
        <v>5.7930999999999999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8">
        <f t="shared" si="158"/>
        <v>841</v>
      </c>
      <c r="AE201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201" s="74" t="str">
        <f t="shared" si="160"/>
        <v>"C:\Program Files (x86)\AstroGrep\AstroGrep.exe" /e /r /s /spath="%USERPROFILE%\AppData\Local\Temp\OnboardLogs" /stypes="app*4066*20170927*" /stext=" 01:.+((SYSTEM_STATE.+slice.+state.+changed )|(ment ac)|(multiple cpu faults)|(system.+state.+changed )|(\[timeout)|(PRM\|1\|D)|(kpr)|(kdp)|(train st.+moving)|(\|lc)|(penalty))"</v>
      </c>
      <c r="AG201" s="181" t="str">
        <f t="shared" si="161"/>
        <v>NW</v>
      </c>
      <c r="AH201" s="78" t="str">
        <f t="shared" si="162"/>
        <v>"%USERPROFILE%\Documents\GitHub\eaglep3\Utilities\RefineRTDCRunTimes.py" --tripid 841-26 --locoid 4066 --swversion DE.1.0.9.0 --startMP 204:997 --initTime 2017-09-26T19:00:02 --startdatetime 2017-09-26T19:09:24 --delay 64 --endMP 300:58928 --enddatetime 2017-09-26T19:25:34 --enforcementcount 0 &gt;&gt;c:\users\stu\Documents\GitHub\eaglep3-reporting\EC\2017-09-26-refined-times.txt</v>
      </c>
      <c r="AI201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{"issue":{"subject":"","project_id":79,"tracker_id":40,"status_id":1,"priority_id":2,"assigned_to_id":338,"start_date":"2017-09-26","description":"","custom_fields":[{"id":1,"name":"Subdivision","value":"NW"},{"id":4,"name":"Milepost","value":"5.8928"},{"id":17,"name":"Train ID","value":"841-26"},{"id":16,"name":"Locomotive ID","value":"4066"},{"id":130,"name":"Impact","value":""},{"id":150,"name":"Time of Event (Mountain Time)","value":"19:25:34"},{"id":151,"name":"Denver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64"/>
        <v>start /low /b %USERPROFILE%\Documents\GitHub\eaglep3\Utilities\DownloadLogsFromS3.py --loco 4066 --day 2017-09-26</v>
      </c>
      <c r="AN201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7" t="str">
        <f t="shared" si="166"/>
        <v>https://d0f6bd738d7f1b3e5a7ca70fe4ff75f0.us-east-1.aws.found.io/app/kibana#/discover/Steve-Slow-Train-Analysis-(2080s-and-2083s)?_g=(refreshInterval:(display:Off,pause:!f,section:0,value:0),time:(from:'2017-09-26T18:00:02-0600',mode:absolute,to:'2017-09-26T20:25:34-0600'))&amp;_a=(columns:!('Message%20ID',Summary),filters:!(),index:'emp_*',interval:auto,query:(query_string:(analyze_wildcard:!t,query:'%22rtdc.l.rtdc.4066%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826</v>
      </c>
      <c r="B202" s="7">
        <v>4065</v>
      </c>
      <c r="C202" s="21" t="s">
        <v>196</v>
      </c>
      <c r="D202" s="21" t="s">
        <v>585</v>
      </c>
      <c r="E202" s="13">
        <v>43004.853414351855</v>
      </c>
      <c r="F202" s="13">
        <v>43004.857499999998</v>
      </c>
      <c r="G202" s="7">
        <v>100</v>
      </c>
      <c r="H202" s="21" t="s">
        <v>976</v>
      </c>
      <c r="I202" s="13">
        <v>43004.873032407406</v>
      </c>
      <c r="J202" s="7">
        <v>0</v>
      </c>
      <c r="K202" s="89" t="str">
        <f t="shared" si="149"/>
        <v>4065/4066</v>
      </c>
      <c r="L202" s="184" t="str">
        <f>VLOOKUP(A202,'Trips&amp;Operators'!$C$1:$G$99911,5,FALSE)</f>
        <v>ZEWDU DEREJE</v>
      </c>
      <c r="M202" s="6">
        <f t="shared" si="150"/>
        <v>1.5532407407590654E-2</v>
      </c>
      <c r="N202" s="7">
        <f t="shared" si="169"/>
        <v>22.366666666930541</v>
      </c>
      <c r="O202" s="7"/>
      <c r="P202" s="7"/>
      <c r="Q202" s="22"/>
      <c r="R202" s="173"/>
      <c r="S202" s="220">
        <f t="shared" si="152"/>
        <v>1</v>
      </c>
      <c r="T202" s="173" t="str">
        <f t="shared" si="153"/>
        <v>Southbound</v>
      </c>
      <c r="U202" s="19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154"/>
        <v>https://d0f6bd738d7f1b3e5a7ca70fe4ff75f0.us-east-1.aws.found.io/app/kibana#/discover/Steve-Slow-Train-Analysis-(2080s-and-2083s)?_g=(refreshInterval:(display:Off,pause:!f,section:0,value:0),time:(from:'2017-09-26T19:28:55-0600',mode:absolute,to:'2017-09-26T21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2" s="203" t="str">
        <f>IF(AA202&lt;VLOOKUP(AG202,Variables!$AC$3:$AD$8,2,FALSE),"Y","N")</f>
        <v>N</v>
      </c>
      <c r="X202" s="203">
        <f t="shared" si="168"/>
        <v>1</v>
      </c>
      <c r="Y202" s="203">
        <f t="shared" si="155"/>
        <v>5.8653000000000004</v>
      </c>
      <c r="Z202" s="203">
        <f t="shared" si="156"/>
        <v>7.1300000000000002E-2</v>
      </c>
      <c r="AA202" s="203">
        <f t="shared" si="157"/>
        <v>5.7940000000000005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8">
        <f t="shared" si="158"/>
        <v>842</v>
      </c>
      <c r="AE202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02" s="74" t="str">
        <f t="shared" si="160"/>
        <v>"C:\Program Files (x86)\AstroGrep\AstroGrep.exe" /e /r /s /spath="%USERPROFILE%\AppData\Local\Temp\OnboardLogs" /stypes="app*4065*20170927*" /stext=" 02:.+((SYSTEM_STATE.+slice.+state.+changed )|(ment ac)|(multiple cpu faults)|(system.+state.+changed )|(\[timeout)|(PRM\|1\|D)|(kpr)|(kdp)|(train st.+moving)|(\|lc)|(penalty))"</v>
      </c>
      <c r="AG202" s="181" t="str">
        <f t="shared" si="161"/>
        <v>NW</v>
      </c>
      <c r="AH202" s="78" t="str">
        <f t="shared" si="162"/>
        <v>"%USERPROFILE%\Documents\GitHub\eaglep3\Utilities\RefineRTDCRunTimes.py" --tripid 842-26 --locoid 4065 --swversion DE.1.0.9.0 --startMP 300:58653 --initTime 2017-09-26T20:28:55 --startdatetime 2017-09-26T20:34:48 --delay 100 --endMP 204:713 --enddatetime 2017-09-26T20:57:10 --enforcementcount 0 &gt;&gt;c:\users\stu\Documents\GitHub\eaglep3-reporting\EC\2017-09-26-refined-times.txt</v>
      </c>
      <c r="AI202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{"issue":{"subject":"","project_id":79,"tracker_id":40,"status_id":1,"priority_id":2,"assigned_to_id":338,"start_date":"2017-09-26","description":"","custom_fields":[{"id":1,"name":"Subdivision","value":"NW"},{"id":4,"name":"Milepost","value":"0.0713"},{"id":17,"name":"Train ID","value":"842-26"},{"id":16,"name":"Locomotive ID","value":"4065"},{"id":130,"name":"Impact","value":""},{"id":150,"name":"Time of Event (Mountain Time)","value":"20:57:10"},{"id":151,"name":"Denver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64"/>
        <v>start /low /b %USERPROFILE%\Documents\GitHub\eaglep3\Utilities\DownloadLogsFromS3.py --loco 4065 --day 2017-09-26</v>
      </c>
      <c r="AN202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7" t="str">
        <f t="shared" si="166"/>
        <v>https://d0f6bd738d7f1b3e5a7ca70fe4ff75f0.us-east-1.aws.found.io/app/kibana#/discover/Steve-Slow-Train-Analysis-(2080s-and-2083s)?_g=(refreshInterval:(display:Off,pause:!f,section:0,value:0),time:(from:'2017-09-26T19:28:55-0600',mode:absolute,to:'2017-09-26T21:57:10-0600'))&amp;_a=(columns:!('Message%20ID',Summary),filters:!(),index:'emp_*',interval:auto,query:(query_string:(analyze_wildcard:!t,query:'%22rtdc.l.rtdc.4065%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824</v>
      </c>
      <c r="B203" s="7">
        <v>4066</v>
      </c>
      <c r="C203" s="21" t="s">
        <v>196</v>
      </c>
      <c r="D203" s="21" t="s">
        <v>961</v>
      </c>
      <c r="E203" s="13">
        <v>43004.835763888892</v>
      </c>
      <c r="F203" s="13">
        <v>43004.839780092596</v>
      </c>
      <c r="G203" s="7">
        <v>99</v>
      </c>
      <c r="H203" s="21" t="s">
        <v>979</v>
      </c>
      <c r="I203" s="13">
        <v>43004.850231481483</v>
      </c>
      <c r="J203" s="7">
        <v>0</v>
      </c>
      <c r="K203" s="89" t="str">
        <f t="shared" si="149"/>
        <v>4065/4066</v>
      </c>
      <c r="L203" s="184" t="str">
        <f>VLOOKUP(A203,'Trips&amp;Operators'!$C$1:$G$99911,5,FALSE)</f>
        <v>ZEWDU DEREJE</v>
      </c>
      <c r="M203" s="6">
        <f t="shared" si="150"/>
        <v>1.0451388887304347E-2</v>
      </c>
      <c r="N203" s="7">
        <f t="shared" si="169"/>
        <v>15.04999999771826</v>
      </c>
      <c r="O203" s="7"/>
      <c r="P203" s="7"/>
      <c r="Q203" s="22"/>
      <c r="R203" s="173"/>
      <c r="S203" s="220">
        <f t="shared" si="152"/>
        <v>1</v>
      </c>
      <c r="T203" s="173" t="str">
        <f t="shared" si="153"/>
        <v>NorthBound</v>
      </c>
      <c r="U203" s="19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154"/>
        <v>https://d0f6bd738d7f1b3e5a7ca70fe4ff75f0.us-east-1.aws.found.io/app/kibana#/discover/Steve-Slow-Train-Analysis-(2080s-and-2083s)?_g=(refreshInterval:(display:Off,pause:!f,section:0,value:0),time:(from:'2017-09-26T19:03:30-0600',mode:absolute,to:'2017-09-26T21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3" s="203" t="str">
        <f>IF(AA203&lt;VLOOKUP(AG203,Variables!$AC$3:$AD$8,2,FALSE),"Y","N")</f>
        <v>N</v>
      </c>
      <c r="X203" s="203">
        <f t="shared" si="168"/>
        <v>1</v>
      </c>
      <c r="Y203" s="203">
        <f t="shared" si="155"/>
        <v>9.8799999999999999E-2</v>
      </c>
      <c r="Z203" s="203">
        <f t="shared" si="156"/>
        <v>5.8967000000000001</v>
      </c>
      <c r="AA203" s="203">
        <f t="shared" si="157"/>
        <v>5.7979000000000003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8">
        <f t="shared" si="158"/>
        <v>843</v>
      </c>
      <c r="AE203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203" s="74" t="str">
        <f t="shared" si="160"/>
        <v>"C:\Program Files (x86)\AstroGrep\AstroGrep.exe" /e /r /s /spath="%USERPROFILE%\AppData\Local\Temp\OnboardLogs" /stypes="app*4066*20170927*" /stext=" 02:.+((SYSTEM_STATE.+slice.+state.+changed )|(ment ac)|(multiple cpu faults)|(system.+state.+changed )|(\[timeout)|(PRM\|1\|D)|(kpr)|(kdp)|(train st.+moving)|(\|lc)|(penalty))"</v>
      </c>
      <c r="AG203" s="181" t="str">
        <f t="shared" si="161"/>
        <v>NW</v>
      </c>
      <c r="AH203" s="78" t="str">
        <f t="shared" si="162"/>
        <v>"%USERPROFILE%\Documents\GitHub\eaglep3\Utilities\RefineRTDCRunTimes.py" --tripid 843-26 --locoid 4066 --swversion DE.1.0.9.0 --startMP 204:988 --initTime 2017-09-26T20:03:30 --startdatetime 2017-09-26T20:09:17 --delay 99 --endMP 300:58967 --enddatetime 2017-09-26T20:24:20 --enforcementcount 0 &gt;&gt;c:\users\stu\Documents\GitHub\eaglep3-reporting\EC\2017-09-26-refined-times.txt</v>
      </c>
      <c r="AI203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{"issue":{"subject":"","project_id":79,"tracker_id":40,"status_id":1,"priority_id":2,"assigned_to_id":338,"start_date":"2017-09-26","description":"","custom_fields":[{"id":1,"name":"Subdivision","value":"NW"},{"id":4,"name":"Milepost","value":"5.8967"},{"id":17,"name":"Train ID","value":"843-26"},{"id":16,"name":"Locomotive ID","value":"4066"},{"id":130,"name":"Impact","value":""},{"id":150,"name":"Time of Event (Mountain Time)","value":"20:24:20"},{"id":151,"name":"Denver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164"/>
        <v>start /low /b %USERPROFILE%\Documents\GitHub\eaglep3\Utilities\DownloadLogsFromS3.py --loco 4066 --day 2017-09-26</v>
      </c>
      <c r="AN203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7" t="str">
        <f t="shared" si="166"/>
        <v>https://d0f6bd738d7f1b3e5a7ca70fe4ff75f0.us-east-1.aws.found.io/app/kibana#/discover/Steve-Slow-Train-Analysis-(2080s-and-2083s)?_g=(refreshInterval:(display:Off,pause:!f,section:0,value:0),time:(from:'2017-09-26T19:03:30-0600',mode:absolute,to:'2017-09-26T21:24:20-0600'))&amp;_a=(columns:!('Message%20ID',Summary),filters:!(),index:'emp_*',interval:auto,query:(query_string:(analyze_wildcard:!t,query:'%22rtdc.l.rtdc.4066%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635</v>
      </c>
      <c r="B204" s="7">
        <v>4065</v>
      </c>
      <c r="C204" s="21" t="s">
        <v>196</v>
      </c>
      <c r="D204" s="21" t="s">
        <v>949</v>
      </c>
      <c r="E204" s="13">
        <v>43004.893113425926</v>
      </c>
      <c r="F204" s="13">
        <v>43004.903865740744</v>
      </c>
      <c r="G204" s="7">
        <v>69</v>
      </c>
      <c r="H204" s="21" t="s">
        <v>980</v>
      </c>
      <c r="I204" s="13">
        <v>43004.91201388889</v>
      </c>
      <c r="J204" s="7">
        <v>0</v>
      </c>
      <c r="K204" s="89" t="str">
        <f t="shared" si="149"/>
        <v>4065/4066</v>
      </c>
      <c r="L204" s="184" t="str">
        <f>VLOOKUP(A204,'Trips&amp;Operators'!$C$1:$G$99911,5,FALSE)</f>
        <v>STAMBAUGH JAMES</v>
      </c>
      <c r="M204" s="6">
        <f t="shared" si="150"/>
        <v>8.1481481465743855E-3</v>
      </c>
      <c r="N204" s="7">
        <f t="shared" si="169"/>
        <v>11.733333331067115</v>
      </c>
      <c r="O204" s="7"/>
      <c r="P204" s="7"/>
      <c r="Q204" s="22"/>
      <c r="R204" s="173"/>
      <c r="S204" s="220">
        <f t="shared" si="152"/>
        <v>1</v>
      </c>
      <c r="T204" s="173" t="str">
        <f t="shared" si="153"/>
        <v>Southbound</v>
      </c>
      <c r="U204" s="19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154"/>
        <v>https://d0f6bd738d7f1b3e5a7ca70fe4ff75f0.us-east-1.aws.found.io/app/kibana#/discover/Steve-Slow-Train-Analysis-(2080s-and-2083s)?_g=(refreshInterval:(display:Off,pause:!f,section:0,value:0),time:(from:'2017-09-26T20:26:05-0600',mode:absolute,to:'2017-09-26T22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4" s="203" t="str">
        <f>IF(AA204&lt;VLOOKUP(AG204,Variables!$AC$3:$AD$8,2,FALSE),"Y","N")</f>
        <v>Y</v>
      </c>
      <c r="X204" s="203">
        <f t="shared" si="168"/>
        <v>1</v>
      </c>
      <c r="Y204" s="203">
        <f t="shared" si="155"/>
        <v>5.8630000000000004</v>
      </c>
      <c r="Z204" s="203">
        <f t="shared" si="156"/>
        <v>0.46339999999999998</v>
      </c>
      <c r="AA204" s="203">
        <f t="shared" si="157"/>
        <v>5.3996000000000004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8">
        <f t="shared" si="158"/>
        <v>844</v>
      </c>
      <c r="AE204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04" s="74" t="str">
        <f t="shared" si="160"/>
        <v>"C:\Program Files (x86)\AstroGrep\AstroGrep.exe" /e /r /s /spath="%USERPROFILE%\AppData\Local\Temp\OnboardLogs" /stypes="app*4065*20170927*" /stext=" 03:.+((SYSTEM_STATE.+slice.+state.+changed )|(ment ac)|(multiple cpu faults)|(system.+state.+changed )|(\[timeout)|(PRM\|1\|D)|(kpr)|(kdp)|(train st.+moving)|(\|lc)|(penalty))"</v>
      </c>
      <c r="AG204" s="181" t="str">
        <f t="shared" si="161"/>
        <v>NW</v>
      </c>
      <c r="AH204" s="78" t="str">
        <f t="shared" si="162"/>
        <v>"%USERPROFILE%\Documents\GitHub\eaglep3\Utilities\RefineRTDCRunTimes.py" --tripid 844-26 --locoid 4065 --swversion DE.1.0.9.0 --startMP 300:58630 --initTime 2017-09-26T21:26:05 --startdatetime 2017-09-26T21:41:34 --delay 69 --endMP 204:4634 --enddatetime 2017-09-26T21:53:18 --enforcementcount 0 &gt;&gt;c:\users\stu\Documents\GitHub\eaglep3-reporting\EC\2017-09-26-refined-times.txt</v>
      </c>
      <c r="AI204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{"issue":{"subject":"","project_id":79,"tracker_id":40,"status_id":1,"priority_id":2,"assigned_to_id":338,"start_date":"2017-09-26","description":"","custom_fields":[{"id":1,"name":"Subdivision","value":"NW"},{"id":4,"name":"Milepost","value":"0.4634"},{"id":17,"name":"Train ID","value":"844-26"},{"id":16,"name":"Locomotive ID","value":"4065"},{"id":130,"name":"Impact","value":""},{"id":150,"name":"Time of Event (Mountain Time)","value":"21:53:18"},{"id":151,"name":"Denver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64"/>
        <v>start /low /b %USERPROFILE%\Documents\GitHub\eaglep3\Utilities\DownloadLogsFromS3.py --loco 4065 --day 2017-09-26</v>
      </c>
      <c r="AN204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7" t="str">
        <f t="shared" si="166"/>
        <v>https://d0f6bd738d7f1b3e5a7ca70fe4ff75f0.us-east-1.aws.found.io/app/kibana#/discover/Steve-Slow-Train-Analysis-(2080s-and-2083s)?_g=(refreshInterval:(display:Off,pause:!f,section:0,value:0),time:(from:'2017-09-26T20:26:05-0600',mode:absolute,to:'2017-09-26T22:53:18-0600'))&amp;_a=(columns:!('Message%20ID',Summary),filters:!(),index:'emp_*',interval:auto,query:(query_string:(analyze_wildcard:!t,query:'%22rtdc.l.rtdc.4065%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634</v>
      </c>
      <c r="B205" s="7">
        <v>4066</v>
      </c>
      <c r="C205" s="21" t="s">
        <v>196</v>
      </c>
      <c r="D205" s="21" t="s">
        <v>523</v>
      </c>
      <c r="E205" s="13">
        <v>43004.876759259256</v>
      </c>
      <c r="F205" s="13">
        <v>43004.881736111114</v>
      </c>
      <c r="G205" s="7">
        <v>112</v>
      </c>
      <c r="H205" s="21" t="s">
        <v>584</v>
      </c>
      <c r="I205" s="13">
        <v>43004.892118055555</v>
      </c>
      <c r="J205" s="7">
        <v>0</v>
      </c>
      <c r="K205" s="89" t="str">
        <f t="shared" si="149"/>
        <v>4065/4066</v>
      </c>
      <c r="L205" s="184" t="str">
        <f>VLOOKUP(A205,'Trips&amp;Operators'!$C$1:$G$99911,5,FALSE)</f>
        <v>STAMBAUGH JAMES</v>
      </c>
      <c r="M205" s="6">
        <f t="shared" si="150"/>
        <v>1.0381944441178348E-2</v>
      </c>
      <c r="N205" s="7">
        <f t="shared" si="169"/>
        <v>14.949999995296821</v>
      </c>
      <c r="O205" s="7"/>
      <c r="P205" s="7"/>
      <c r="Q205" s="22"/>
      <c r="R205" s="173"/>
      <c r="S205" s="220">
        <f t="shared" si="152"/>
        <v>1</v>
      </c>
      <c r="T205" s="173" t="str">
        <f t="shared" si="153"/>
        <v>NorthBound</v>
      </c>
      <c r="U205" s="19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si="154"/>
        <v>https://d0f6bd738d7f1b3e5a7ca70fe4ff75f0.us-east-1.aws.found.io/app/kibana#/discover/Steve-Slow-Train-Analysis-(2080s-and-2083s)?_g=(refreshInterval:(display:Off,pause:!f,section:0,value:0),time:(from:'2017-09-26T20:02:32-0600',mode:absolute,to:'2017-09-26T22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5" s="203" t="str">
        <f>IF(AA205&lt;VLOOKUP(AG205,Variables!$AC$3:$AD$8,2,FALSE),"Y","N")</f>
        <v>N</v>
      </c>
      <c r="X205" s="203">
        <f t="shared" si="168"/>
        <v>1</v>
      </c>
      <c r="Y205" s="203">
        <f t="shared" si="155"/>
        <v>9.9299999999999999E-2</v>
      </c>
      <c r="Z205" s="203">
        <f t="shared" si="156"/>
        <v>5.8945999999999996</v>
      </c>
      <c r="AA205" s="203">
        <f t="shared" si="157"/>
        <v>5.7952999999999992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8">
        <f t="shared" si="158"/>
        <v>845</v>
      </c>
      <c r="AE205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205" s="74" t="str">
        <f t="shared" si="160"/>
        <v>"C:\Program Files (x86)\AstroGrep\AstroGrep.exe" /e /r /s /spath="%USERPROFILE%\AppData\Local\Temp\OnboardLogs" /stypes="app*4066*20170927*" /stext=" 03:.+((SYSTEM_STATE.+slice.+state.+changed )|(ment ac)|(multiple cpu faults)|(system.+state.+changed )|(\[timeout)|(PRM\|1\|D)|(kpr)|(kdp)|(train st.+moving)|(\|lc)|(penalty))"</v>
      </c>
      <c r="AG205" s="181" t="str">
        <f t="shared" si="161"/>
        <v>NW</v>
      </c>
      <c r="AH205" s="78" t="str">
        <f t="shared" si="162"/>
        <v>"%USERPROFILE%\Documents\GitHub\eaglep3\Utilities\RefineRTDCRunTimes.py" --tripid 845-26 --locoid 4066 --swversion DE.1.0.9.0 --startMP 204:993 --initTime 2017-09-26T21:02:32 --startdatetime 2017-09-26T21:09:42 --delay 112 --endMP 300:58946 --enddatetime 2017-09-26T21:24:39 --enforcementcount 0 &gt;&gt;c:\users\stu\Documents\GitHub\eaglep3-reporting\EC\2017-09-26-refined-times.txt</v>
      </c>
      <c r="AI205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{"issue":{"subject":"","project_id":79,"tracker_id":40,"status_id":1,"priority_id":2,"assigned_to_id":338,"start_date":"2017-09-26","description":"","custom_fields":[{"id":1,"name":"Subdivision","value":"NW"},{"id":4,"name":"Milepost","value":"5.8946"},{"id":17,"name":"Train ID","value":"845-26"},{"id":16,"name":"Locomotive ID","value":"4066"},{"id":130,"name":"Impact","value":""},{"id":150,"name":"Time of Event (Mountain Time)","value":"21:24:39"},{"id":151,"name":"Denver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64"/>
        <v>start /low /b %USERPROFILE%\Documents\GitHub\eaglep3\Utilities\DownloadLogsFromS3.py --loco 4066 --day 2017-09-26</v>
      </c>
      <c r="AN205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7" t="str">
        <f t="shared" si="166"/>
        <v>https://d0f6bd738d7f1b3e5a7ca70fe4ff75f0.us-east-1.aws.found.io/app/kibana#/discover/Steve-Slow-Train-Analysis-(2080s-and-2083s)?_g=(refreshInterval:(display:Off,pause:!f,section:0,value:0),time:(from:'2017-09-26T20:02:32-0600',mode:absolute,to:'2017-09-26T22:24:39-0600'))&amp;_a=(columns:!('Message%20ID',Summary),filters:!(),index:'emp_*',interval:auto,query:(query_string:(analyze_wildcard:!t,query:'%22rtdc.l.rtdc.4066%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835</v>
      </c>
      <c r="B206" s="7">
        <v>4065</v>
      </c>
      <c r="C206" s="21" t="s">
        <v>196</v>
      </c>
      <c r="D206" s="21" t="s">
        <v>974</v>
      </c>
      <c r="E206" s="13">
        <v>43004.934513888889</v>
      </c>
      <c r="F206" s="13">
        <v>43004.945474537039</v>
      </c>
      <c r="G206" s="7">
        <v>81</v>
      </c>
      <c r="H206" s="21" t="s">
        <v>403</v>
      </c>
      <c r="I206" s="13">
        <v>43004.955324074072</v>
      </c>
      <c r="J206" s="7">
        <v>0</v>
      </c>
      <c r="K206" s="89" t="str">
        <f t="shared" si="149"/>
        <v>4065/4066</v>
      </c>
      <c r="L206" s="184" t="str">
        <f>VLOOKUP(A206,'Trips&amp;Operators'!$C$1:$G$99911,5,FALSE)</f>
        <v>STAMBAUGH JAMES</v>
      </c>
      <c r="M206" s="6">
        <f t="shared" si="150"/>
        <v>9.8495370330056176E-3</v>
      </c>
      <c r="N206" s="7">
        <f t="shared" si="169"/>
        <v>14.183333327528089</v>
      </c>
      <c r="O206" s="7"/>
      <c r="P206" s="7"/>
      <c r="Q206" s="22"/>
      <c r="R206" s="173"/>
      <c r="S206" s="220">
        <f t="shared" si="152"/>
        <v>1</v>
      </c>
      <c r="T206" s="173" t="str">
        <f t="shared" si="153"/>
        <v>Southbound</v>
      </c>
      <c r="U206" s="19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154"/>
        <v>https://d0f6bd738d7f1b3e5a7ca70fe4ff75f0.us-east-1.aws.found.io/app/kibana#/discover/Steve-Slow-Train-Analysis-(2080s-and-2083s)?_g=(refreshInterval:(display:Off,pause:!f,section:0,value:0),time:(from:'2017-09-26T21:25:42-0600',mode:absolute,to:'2017-09-26T23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6" s="203" t="str">
        <f>IF(AA206&lt;VLOOKUP(AG206,Variables!$AC$3:$AD$8,2,FALSE),"Y","N")</f>
        <v>N</v>
      </c>
      <c r="X206" s="203">
        <f t="shared" si="168"/>
        <v>1</v>
      </c>
      <c r="Y206" s="203">
        <f t="shared" si="155"/>
        <v>5.8634000000000004</v>
      </c>
      <c r="Z206" s="203">
        <f t="shared" si="156"/>
        <v>6.8500000000000005E-2</v>
      </c>
      <c r="AA206" s="203">
        <f t="shared" si="157"/>
        <v>5.7949000000000002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8">
        <f t="shared" si="158"/>
        <v>846</v>
      </c>
      <c r="AE206" s="77" t="str">
        <f t="shared" si="15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06" s="74" t="str">
        <f t="shared" si="160"/>
        <v>"C:\Program Files (x86)\AstroGrep\AstroGrep.exe" /e /r /s /spath="%USERPROFILE%\AppData\Local\Temp\OnboardLogs" /stypes="app*4065*20170927*" /stext=" 04:.+((SYSTEM_STATE.+slice.+state.+changed )|(ment ac)|(multiple cpu faults)|(system.+state.+changed )|(\[timeout)|(PRM\|1\|D)|(kpr)|(kdp)|(train st.+moving)|(\|lc)|(penalty))"</v>
      </c>
      <c r="AG206" s="181" t="str">
        <f t="shared" si="161"/>
        <v>NW</v>
      </c>
      <c r="AH206" s="78" t="str">
        <f t="shared" si="162"/>
        <v>"%USERPROFILE%\Documents\GitHub\eaglep3\Utilities\RefineRTDCRunTimes.py" --tripid 846-26 --locoid 4065 --swversion DE.1.0.9.0 --startMP 300:58634 --initTime 2017-09-26T22:25:42 --startdatetime 2017-09-26T22:41:29 --delay 81 --endMP 204:685 --enddatetime 2017-09-26T22:55:40 --enforcementcount 0 &gt;&gt;c:\users\stu\Documents\GitHub\eaglep3-reporting\EC\2017-09-26-refined-times.txt</v>
      </c>
      <c r="AI206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{"issue":{"subject":"","project_id":79,"tracker_id":40,"status_id":1,"priority_id":2,"assigned_to_id":338,"start_date":"2017-09-26","description":"","custom_fields":[{"id":1,"name":"Subdivision","value":"NW"},{"id":4,"name":"Milepost","value":"0.0685"},{"id":17,"name":"Train ID","value":"846-26"},{"id":16,"name":"Locomotive ID","value":"4065"},{"id":130,"name":"Impact","value":""},{"id":150,"name":"Time of Event (Mountain Time)","value":"22:55:40"},{"id":151,"name":"Denver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64"/>
        <v>start /low /b %USERPROFILE%\Documents\GitHub\eaglep3\Utilities\DownloadLogsFromS3.py --loco 4065 --day 2017-09-26</v>
      </c>
      <c r="AN206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7" t="str">
        <f t="shared" si="166"/>
        <v>https://d0f6bd738d7f1b3e5a7ca70fe4ff75f0.us-east-1.aws.found.io/app/kibana#/discover/Steve-Slow-Train-Analysis-(2080s-and-2083s)?_g=(refreshInterval:(display:Off,pause:!f,section:0,value:0),time:(from:'2017-09-26T21:25:42-0600',mode:absolute,to:'2017-09-26T23:55:40-0600'))&amp;_a=(columns:!('Message%20ID',Summary),filters:!(),index:'emp_*',interval:auto,query:(query_string:(analyze_wildcard:!t,query:'%22rtdc.l.rtdc.4065%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833</v>
      </c>
      <c r="B207" s="7">
        <v>4066</v>
      </c>
      <c r="C207" s="21" t="s">
        <v>196</v>
      </c>
      <c r="D207" s="21" t="s">
        <v>981</v>
      </c>
      <c r="E207" s="13">
        <v>43004.921458333331</v>
      </c>
      <c r="F207" s="13">
        <v>43004.923807870371</v>
      </c>
      <c r="G207" s="7">
        <v>60</v>
      </c>
      <c r="H207" s="21" t="s">
        <v>982</v>
      </c>
      <c r="I207" s="13">
        <v>43004.933067129627</v>
      </c>
      <c r="J207" s="7">
        <v>0</v>
      </c>
      <c r="K207" s="89" t="str">
        <f t="shared" si="149"/>
        <v>4065/4066</v>
      </c>
      <c r="L207" s="184" t="str">
        <f>VLOOKUP(A207,'Trips&amp;Operators'!$C$1:$G$99911,5,FALSE)</f>
        <v>STAMBAUGH JAMES</v>
      </c>
      <c r="M207" s="6">
        <f t="shared" si="150"/>
        <v>9.2592592554865405E-3</v>
      </c>
      <c r="N207" s="7">
        <f t="shared" si="169"/>
        <v>13.333333327900618</v>
      </c>
      <c r="O207" s="7"/>
      <c r="P207" s="7"/>
      <c r="Q207" s="22"/>
      <c r="R207" s="173"/>
      <c r="S207" s="220">
        <f t="shared" si="152"/>
        <v>1</v>
      </c>
      <c r="T207" s="173" t="str">
        <f t="shared" si="153"/>
        <v>NorthBound</v>
      </c>
      <c r="U207" s="19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5" t="str">
        <f t="shared" si="154"/>
        <v>https://d0f6bd738d7f1b3e5a7ca70fe4ff75f0.us-east-1.aws.found.io/app/kibana#/discover/Steve-Slow-Train-Analysis-(2080s-and-2083s)?_g=(refreshInterval:(display:Off,pause:!f,section:0,value:0),time:(from:'2017-09-26T21:06:54-0600',mode:absolute,to:'2017-09-26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7" s="203" t="str">
        <f>IF(AA207&lt;VLOOKUP(AG207,Variables!$AC$3:$AD$8,2,FALSE),"Y","N")</f>
        <v>N</v>
      </c>
      <c r="X207" s="203">
        <f t="shared" si="168"/>
        <v>1</v>
      </c>
      <c r="Y207" s="203">
        <f t="shared" si="155"/>
        <v>9.6199999999999994E-2</v>
      </c>
      <c r="Z207" s="203">
        <f t="shared" si="156"/>
        <v>5.8954000000000004</v>
      </c>
      <c r="AA207" s="203">
        <f t="shared" si="157"/>
        <v>5.7992000000000008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8">
        <f t="shared" si="158"/>
        <v>847</v>
      </c>
      <c r="AE207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207" s="74" t="str">
        <f t="shared" si="160"/>
        <v>"C:\Program Files (x86)\AstroGrep\AstroGrep.exe" /e /r /s /spath="%USERPROFILE%\AppData\Local\Temp\OnboardLogs" /stypes="app*4066*20170927*" /stext=" 04:.+((SYSTEM_STATE.+slice.+state.+changed )|(ment ac)|(multiple cpu faults)|(system.+state.+changed )|(\[timeout)|(PRM\|1\|D)|(kpr)|(kdp)|(train st.+moving)|(\|lc)|(penalty))"</v>
      </c>
      <c r="AG207" s="181" t="str">
        <f t="shared" si="161"/>
        <v>NW</v>
      </c>
      <c r="AH207" s="78" t="str">
        <f t="shared" si="162"/>
        <v>"%USERPROFILE%\Documents\GitHub\eaglep3\Utilities\RefineRTDCRunTimes.py" --tripid 847-26 --locoid 4066 --swversion DE.1.0.9.0 --startMP 204:962 --initTime 2017-09-26T22:06:54 --startdatetime 2017-09-26T22:10:17 --delay 60 --endMP 300:58954 --enddatetime 2017-09-26T22:23:37 --enforcementcount 0 &gt;&gt;c:\users\stu\Documents\GitHub\eaglep3-reporting\EC\2017-09-26-refined-times.txt</v>
      </c>
      <c r="AI207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{"issue":{"subject":"","project_id":79,"tracker_id":40,"status_id":1,"priority_id":2,"assigned_to_id":338,"start_date":"2017-09-26","description":"","custom_fields":[{"id":1,"name":"Subdivision","value":"NW"},{"id":4,"name":"Milepost","value":"5.8954"},{"id":17,"name":"Train ID","value":"847-26"},{"id":16,"name":"Locomotive ID","value":"4066"},{"id":130,"name":"Impact","value":""},{"id":150,"name":"Time of Event (Mountain Time)","value":"22:23:37"},{"id":151,"name":"Denver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64"/>
        <v>start /low /b %USERPROFILE%\Documents\GitHub\eaglep3\Utilities\DownloadLogsFromS3.py --loco 4066 --day 2017-09-26</v>
      </c>
      <c r="AN207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04:23:37"},{"id":29,"name":"Sharepoint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7" t="str">
        <f t="shared" si="166"/>
        <v>https://d0f6bd738d7f1b3e5a7ca70fe4ff75f0.us-east-1.aws.found.io/app/kibana#/discover/Steve-Slow-Train-Analysis-(2080s-and-2083s)?_g=(refreshInterval:(display:Off,pause:!f,section:0,value:0),time:(from:'2017-09-26T21:06:54-0600',mode:absolute,to:'2017-09-26T23:23:37-0600'))&amp;_a=(columns:!('Message%20ID',Summary),filters:!(),index:'emp_*',interval:auto,query:(query_string:(analyze_wildcard:!t,query:'%22rtdc.l.rtdc.4066%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838</v>
      </c>
      <c r="B208" s="7">
        <v>4066</v>
      </c>
      <c r="C208" s="21" t="s">
        <v>196</v>
      </c>
      <c r="D208" s="21" t="s">
        <v>944</v>
      </c>
      <c r="E208" s="13">
        <v>43004.963402777779</v>
      </c>
      <c r="F208" s="13">
        <v>43004.964803240742</v>
      </c>
      <c r="G208" s="7">
        <v>48</v>
      </c>
      <c r="H208" s="21" t="s">
        <v>587</v>
      </c>
      <c r="I208" s="13">
        <v>43004.973576388889</v>
      </c>
      <c r="J208" s="7">
        <v>0</v>
      </c>
      <c r="K208" s="89" t="str">
        <f t="shared" si="149"/>
        <v>4065/4066</v>
      </c>
      <c r="L208" s="184" t="str">
        <f>VLOOKUP(A208,'Trips&amp;Operators'!$C$1:$G$99911,5,FALSE)</f>
        <v>STAMBAUGH JAMES</v>
      </c>
      <c r="M208" s="6">
        <f t="shared" si="150"/>
        <v>8.7731481471564621E-3</v>
      </c>
      <c r="N208" s="7">
        <f t="shared" si="169"/>
        <v>12.633333331905305</v>
      </c>
      <c r="O208" s="7"/>
      <c r="P208" s="7"/>
      <c r="Q208" s="22"/>
      <c r="R208" s="173"/>
      <c r="S208" s="220">
        <f t="shared" si="152"/>
        <v>1</v>
      </c>
      <c r="T208" s="173" t="str">
        <f t="shared" si="153"/>
        <v>NorthBound</v>
      </c>
      <c r="U208" s="19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5" t="str">
        <f t="shared" si="154"/>
        <v>https://d0f6bd738d7f1b3e5a7ca70fe4ff75f0.us-east-1.aws.found.io/app/kibana#/discover/Steve-Slow-Train-Analysis-(2080s-and-2083s)?_g=(refreshInterval:(display:Off,pause:!f,section:0,value:0),time:(from:'2017-09-26T22:07:18-0600',mode:absolute,to:'2017-09-27T00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203" t="str">
        <f>IF(AA208&lt;VLOOKUP(AG208,Variables!$AC$3:$AD$8,2,FALSE),"Y","N")</f>
        <v>N</v>
      </c>
      <c r="X208" s="203">
        <f t="shared" si="168"/>
        <v>2</v>
      </c>
      <c r="Y208" s="203">
        <f t="shared" si="155"/>
        <v>9.7600000000000006E-2</v>
      </c>
      <c r="Z208" s="203">
        <f t="shared" si="156"/>
        <v>5.8933</v>
      </c>
      <c r="AA208" s="203">
        <f t="shared" si="157"/>
        <v>5.7957000000000001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8">
        <f t="shared" si="158"/>
        <v>849</v>
      </c>
      <c r="AE208" s="77" t="str">
        <f t="shared" si="159"/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AF208" s="74" t="str">
        <f t="shared" si="160"/>
        <v>"C:\Program Files (x86)\AstroGrep\AstroGrep.exe" /e /r /s /spath="%USERPROFILE%\AppData\Local\Temp\OnboardLogs" /stypes="app*4066*20170927*" /stext=" 05:.+((SYSTEM_STATE.+slice.+state.+changed )|(ment ac)|(multiple cpu faults)|(system.+state.+changed )|(\[timeout)|(PRM\|1\|D)|(kpr)|(kdp)|(train st.+moving)|(\|lc)|(penalty))"</v>
      </c>
      <c r="AG208" s="181" t="str">
        <f t="shared" si="161"/>
        <v>NW</v>
      </c>
      <c r="AH208" s="78" t="str">
        <f t="shared" si="162"/>
        <v>"%USERPROFILE%\Documents\GitHub\eaglep3\Utilities\RefineRTDCRunTimes.py" --tripid 849-26 --locoid 4066 --swversion DE.1.0.9.0 --startMP 204:976 --initTime 2017-09-26T23:07:18 --startdatetime 2017-09-26T23:09:19 --delay 48 --endMP 300:58933 --enddatetime 2017-09-26T23:21:57 --enforcementcount 0 &gt;&gt;c:\users\stu\Documents\GitHub\eaglep3-reporting\EC\2017-09-26-refined-times.txt</v>
      </c>
      <c r="AI208" s="96" t="str">
        <f t="shared" si="163"/>
        <v>echo {"issue":{"subject":"","project_id":79,"tracker_id":40,"status_id":1,"priority_id":2,"assigned_to_id":338,"start_date":"2017-09-26","description":"","custom_fields":[{"id":1,"name":"Subdivision","value":"NW"},{"id":4,"name":"Milepost","value":"5.8933"},{"id":17,"name":"Train ID","value":"849-26"},{"id":16,"name":"Locomotive ID","value":"4066"},{"id":130,"name":"Impact","value":""},{"id":150,"name":"Time of Event (Mountain Time)","value":"23:21:57"},{"id":151,"name":"Denver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64"/>
        <v>start /low /b %USERPROFILE%\Documents\GitHub\eaglep3\Utilities\DownloadLogsFromS3.py --loco 4066 --day 2017-09-26</v>
      </c>
      <c r="AN208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7" t="str">
        <f t="shared" si="166"/>
        <v>https://d0f6bd738d7f1b3e5a7ca70fe4ff75f0.us-east-1.aws.found.io/app/kibana#/discover/Steve-Slow-Train-Analysis-(2080s-and-2083s)?_g=(refreshInterval:(display:Off,pause:!f,section:0,value:0),time:(from:'2017-09-26T22:07:18-0600',mode:absolute,to:'2017-09-27T00:21:57-0600'))&amp;_a=(columns:!('Message%20ID',Summary),filters:!(),index:'emp_*',interval:auto,query:(query_string:(analyze_wildcard:!t,query:'%22rtdc.l.rtdc.4066%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813</v>
      </c>
      <c r="B209" s="7">
        <v>4018</v>
      </c>
      <c r="C209" s="21" t="s">
        <v>196</v>
      </c>
      <c r="D209" s="21" t="s">
        <v>561</v>
      </c>
      <c r="E209" s="13">
        <v>43004.779641203706</v>
      </c>
      <c r="F209" s="13">
        <v>43004.78125</v>
      </c>
      <c r="G209" s="7">
        <v>65</v>
      </c>
      <c r="H209" s="21" t="s">
        <v>434</v>
      </c>
      <c r="I209" s="13">
        <v>43004.790567129632</v>
      </c>
      <c r="J209" s="7">
        <v>0</v>
      </c>
      <c r="K209" s="89" t="str">
        <f t="shared" si="149"/>
        <v>4017/4018</v>
      </c>
      <c r="L209" s="184" t="str">
        <f>VLOOKUP(A209,'Trips&amp;Operators'!$C$1:$G$99911,5,FALSE)</f>
        <v>SWANSON BRYCE</v>
      </c>
      <c r="M209" s="6">
        <f t="shared" si="150"/>
        <v>9.3171296321088448E-3</v>
      </c>
      <c r="N209" s="7">
        <f t="shared" si="169"/>
        <v>13.416666670236737</v>
      </c>
      <c r="O209" s="7"/>
      <c r="P209" s="7"/>
      <c r="Q209" s="22"/>
      <c r="R209" s="173"/>
      <c r="S209" s="220">
        <f t="shared" si="152"/>
        <v>1</v>
      </c>
      <c r="T209" s="173" t="str">
        <f t="shared" si="153"/>
        <v>NorthBound</v>
      </c>
      <c r="U209" s="19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5" t="str">
        <f t="shared" si="154"/>
        <v>https://d0f6bd738d7f1b3e5a7ca70fe4ff75f0.us-east-1.aws.found.io/app/kibana#/discover/Steve-Slow-Train-Analysis-(2080s-and-2083s)?_g=(refreshInterval:(display:Off,pause:!f,section:0,value:0),time:(from:'2017-09-26T17:42:41-0600',mode:absolute,to:'2017-09-26T19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203" t="str">
        <f>IF(AA209&lt;VLOOKUP(AG209,Variables!$AC$3:$AD$8,2,FALSE),"Y","N")</f>
        <v>Y</v>
      </c>
      <c r="X209" s="203">
        <f t="shared" si="168"/>
        <v>-548</v>
      </c>
      <c r="Y209" s="203">
        <f t="shared" si="155"/>
        <v>4.3799999999999999E-2</v>
      </c>
      <c r="Z209" s="203">
        <f t="shared" si="156"/>
        <v>2.3346</v>
      </c>
      <c r="AA209" s="203">
        <f t="shared" si="157"/>
        <v>2.2907999999999999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8">
        <f t="shared" si="158"/>
        <v>301</v>
      </c>
      <c r="AE209" s="77" t="str">
        <f t="shared" si="159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209" s="74" t="str">
        <f t="shared" si="160"/>
        <v>"C:\Program Files (x86)\AstroGrep\AstroGrep.exe" /e /r /s /spath="%USERPROFILE%\AppData\Local\Temp\OnboardLogs" /stypes="app*4018*20170927*" /stext=" 00:.+((SYSTEM_STATE.+slice.+state.+changed )|(ment ac)|(multiple cpu faults)|(system.+state.+changed )|(\[timeout)|(PRM\|1\|D)|(kpr)|(kdp)|(train st.+moving)|(\|lc)|(penalty))"</v>
      </c>
      <c r="AG209" s="181" t="str">
        <f t="shared" si="161"/>
        <v>Other</v>
      </c>
      <c r="AH209" s="78" t="str">
        <f t="shared" si="162"/>
        <v>"%USERPROFILE%\Documents\GitHub\eaglep3\Utilities\RefineRTDCRunTimes.py" --tripid 301-26 --locoid 4018 --swversion DE.1.0.9.0 --startMP 204:438 --initTime 2017-09-26T18:42:41 --startdatetime 2017-09-26T18:45:00 --delay 65 --endMP 300:23346 --enddatetime 2017-09-26T18:58:25 --enforcementcount 0 &gt;&gt;c:\users\stu\Documents\GitHub\eaglep3-reporting\EC\2017-09-26-refined-times.txt</v>
      </c>
      <c r="AI209" s="96" t="str">
        <f t="shared" si="163"/>
        <v>echo {"issue":{"subject":"","project_id":79,"tracker_id":40,"status_id":1,"priority_id":2,"assigned_to_id":338,"start_date":"2017-09-26","description":"","custom_fields":[{"id":1,"name":"Subdivision","value":"Other"},{"id":4,"name":"Milepost","value":"2.3346"},{"id":17,"name":"Train ID","value":"301-26"},{"id":16,"name":"Locomotive ID","value":"4018"},{"id":130,"name":"Impact","value":""},{"id":150,"name":"Time of Event (Mountain Time)","value":"18:58:25"},{"id":151,"name":"Denver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64"/>
        <v>start /low /b %USERPROFILE%\Documents\GitHub\eaglep3\Utilities\DownloadLogsFromS3.py --loco 4018 --day 2017-09-26</v>
      </c>
      <c r="AN209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00:58:25"},{"id":29,"name":"Sharepoint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7" t="str">
        <f t="shared" si="166"/>
        <v>https://d0f6bd738d7f1b3e5a7ca70fe4ff75f0.us-east-1.aws.found.io/app/kibana#/discover/Steve-Slow-Train-Analysis-(2080s-and-2083s)?_g=(refreshInterval:(display:Off,pause:!f,section:0,value:0),time:(from:'2017-09-26T17:42:41-0600',mode:absolute,to:'2017-09-26T19:58:25-0600'))&amp;_a=(columns:!('Message%20ID',Summary),filters:!(),index:'emp_*',interval:auto,query:(query_string:(analyze_wildcard:!t,query:'%22rtdc.l.rtdc.4018%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643</v>
      </c>
      <c r="B210" s="7">
        <v>4045</v>
      </c>
      <c r="C210" s="21" t="s">
        <v>196</v>
      </c>
      <c r="D210" s="21" t="s">
        <v>906</v>
      </c>
      <c r="E210" s="13">
        <v>43004.141782407409</v>
      </c>
      <c r="F210" s="13">
        <v>43004.144884259258</v>
      </c>
      <c r="G210" s="7">
        <v>60</v>
      </c>
      <c r="H210" s="21" t="s">
        <v>373</v>
      </c>
      <c r="I210" s="13">
        <v>43004.150254629632</v>
      </c>
      <c r="J210" s="7">
        <v>0</v>
      </c>
      <c r="K210" s="89" t="str">
        <f t="shared" si="149"/>
        <v>4045/4046</v>
      </c>
      <c r="L210" s="184" t="str">
        <f>VLOOKUP(A210,'Trips&amp;Operators'!$C$1:$G$99911,5,FALSE)</f>
        <v>BONDS REYNALDO</v>
      </c>
      <c r="M210" s="6">
        <f t="shared" si="150"/>
        <v>5.3703703742939979E-3</v>
      </c>
      <c r="N210" s="7">
        <f t="shared" si="169"/>
        <v>7.733333338983357</v>
      </c>
      <c r="O210" s="7"/>
      <c r="P210" s="7"/>
      <c r="Q210" s="22"/>
      <c r="R210" s="173"/>
      <c r="S210" s="220">
        <f t="shared" si="152"/>
        <v>1</v>
      </c>
      <c r="T210" s="173" t="str">
        <f t="shared" si="153"/>
        <v>Southbound</v>
      </c>
      <c r="U210" s="19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5" t="str">
        <f t="shared" si="154"/>
        <v>https://d0f6bd738d7f1b3e5a7ca70fe4ff75f0.us-east-1.aws.found.io/app/kibana#/discover/Steve-Slow-Train-Analysis-(2080s-and-2083s)?_g=(refreshInterval:(display:Off,pause:!f,section:0,value:0),time:(from:'2017-09-26T02:24:10-0600',mode:absolute,to:'2017-09-26T04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203" t="str">
        <f>IF(AA210&lt;VLOOKUP(AG210,Variables!$AC$3:$AD$8,2,FALSE),"Y","N")</f>
        <v>Y</v>
      </c>
      <c r="X210" s="203">
        <f t="shared" si="168"/>
        <v>1</v>
      </c>
      <c r="Y210" s="203">
        <f t="shared" si="155"/>
        <v>2.3428</v>
      </c>
      <c r="Z210" s="203">
        <f t="shared" si="156"/>
        <v>1.6E-2</v>
      </c>
      <c r="AA210" s="203">
        <f t="shared" si="157"/>
        <v>2.3268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8">
        <f t="shared" si="158"/>
        <v>302</v>
      </c>
      <c r="AE210" s="77" t="str">
        <f t="shared" si="159"/>
        <v>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 &amp; 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</v>
      </c>
      <c r="AF210" s="74" t="str">
        <f t="shared" si="160"/>
        <v>"C:\Program Files (x86)\AstroGrep\AstroGrep.exe" /e /r /s /spath="%USERPROFILE%\AppData\Local\Temp\OnboardLogs" /stypes="app*4045*20170926*" /stext=" 09:.+((SYSTEM_STATE.+slice.+state.+changed )|(ment ac)|(multiple cpu faults)|(system.+state.+changed )|(\[timeout)|(PRM\|1\|D)|(kpr)|(kdp)|(train st.+moving)|(\|lc)|(penalty))"</v>
      </c>
      <c r="AG210" s="181" t="str">
        <f t="shared" si="161"/>
        <v>Other</v>
      </c>
      <c r="AH210" s="78" t="str">
        <f t="shared" si="162"/>
        <v>"%USERPROFILE%\Documents\GitHub\eaglep3\Utilities\RefineRTDCRunTimes.py" --tripid 302-26 --locoid 4045 --swversion DE.1.0.9.0 --startMP 300:23428 --initTime 2017-09-26T03:24:10 --startdatetime 2017-09-26T03:28:38 --delay 60 --endMP 204:160 --enddatetime 2017-09-26T03:36:22 --enforcementcount 0 &gt;&gt;c:\users\stu\Documents\GitHub\eaglep3-reporting\EC\2017-09-26-refined-times.txt</v>
      </c>
      <c r="AI210" s="96" t="str">
        <f t="shared" si="163"/>
        <v>echo {"issue":{"subject":"","project_id":79,"tracker_id":40,"status_id":1,"priority_id":2,"assigned_to_id":338,"start_date":"2017-09-26","description":"","custom_fields":[{"id":1,"name":"Subdivision","value":"Other"},{"id":4,"name":"Milepost","value":"0.016"},{"id":17,"name":"Train ID","value":"302-26"},{"id":16,"name":"Locomotive ID","value":"4045"},{"id":130,"name":"Impact","value":""},{"id":150,"name":"Time of Event (Mountain Time)","value":"03:36:22"},{"id":151,"name":"Denver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64"/>
        <v>start /low /b %USERPROFILE%\Documents\GitHub\eaglep3\Utilities\DownloadLogsFromS3.py --loco 4045 --day 2017-09-26</v>
      </c>
      <c r="AN210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09:36:22"},{"id":29,"name":"Sharepoint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7" t="str">
        <f t="shared" si="166"/>
        <v>https://d0f6bd738d7f1b3e5a7ca70fe4ff75f0.us-east-1.aws.found.io/app/kibana#/discover/Steve-Slow-Train-Analysis-(2080s-and-2083s)?_g=(refreshInterval:(display:Off,pause:!f,section:0,value:0),time:(from:'2017-09-26T02:24:10-0600',mode:absolute,to:'2017-09-26T04:36:22-0600'))&amp;_a=(columns:!('Message%20ID',Summary),filters:!(),index:'emp_*',interval:auto,query:(query_string:(analyze_wildcard:!t,query:'%22rtdc.l.rtdc.4045%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817</v>
      </c>
      <c r="B211" s="7">
        <v>4062</v>
      </c>
      <c r="C211" s="21" t="s">
        <v>196</v>
      </c>
      <c r="D211" s="21" t="s">
        <v>519</v>
      </c>
      <c r="E211" s="13">
        <v>43004.796412037038</v>
      </c>
      <c r="F211" s="13">
        <v>43004.797986111109</v>
      </c>
      <c r="G211" s="7">
        <v>71</v>
      </c>
      <c r="H211" s="21" t="s">
        <v>907</v>
      </c>
      <c r="I211" s="13">
        <v>43004.806006944447</v>
      </c>
      <c r="J211" s="7">
        <v>0</v>
      </c>
      <c r="K211" s="89" t="str">
        <f t="shared" ref="K211:K239" si="170">IF(ISEVEN(B211),(B211-1)&amp;"/"&amp;B211,B211&amp;"/"&amp;(B211+1))</f>
        <v>4061/4062</v>
      </c>
      <c r="L211" s="184" t="str">
        <f>VLOOKUP(A211,'Trips&amp;Operators'!$C$1:$G$99911,5,FALSE)</f>
        <v>SAFIEF AEIMEN</v>
      </c>
      <c r="M211" s="6">
        <f t="shared" ref="M211:M239" si="171">I211-F211</f>
        <v>8.0208333383779973E-3</v>
      </c>
      <c r="N211" s="7">
        <f t="shared" si="169"/>
        <v>11.550000007264316</v>
      </c>
      <c r="O211" s="7"/>
      <c r="P211" s="7"/>
      <c r="Q211" s="22"/>
      <c r="R211" s="173"/>
      <c r="S211" s="220">
        <f t="shared" ref="S211:S239" si="172">1/IF(AG211="EC",12,1)*SUM(U211:U211)</f>
        <v>1</v>
      </c>
      <c r="T211" s="173" t="str">
        <f t="shared" ref="T211:T239" si="173">IF(ISEVEN(LEFT(AD211,4)),"Southbound","NorthBound")</f>
        <v>NorthBound</v>
      </c>
      <c r="U211" s="19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5" t="str">
        <f t="shared" ref="V211:V239" si="174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-26T18:06:50-0600',mode:absolute,to:'2017-09-26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1" s="203" t="str">
        <f>IF(AA211&lt;VLOOKUP(AG211,Variables!$AC$3:$AD$8,2,FALSE),"Y","N")</f>
        <v>Y</v>
      </c>
      <c r="X211" s="203">
        <f t="shared" si="168"/>
        <v>1</v>
      </c>
      <c r="Y211" s="203">
        <f t="shared" ref="Y211:Y239" si="175">RIGHT(D211,LEN(D211)-4)/10000</f>
        <v>4.4400000000000002E-2</v>
      </c>
      <c r="Z211" s="203">
        <f t="shared" ref="Z211:Z239" si="176">RIGHT(H211,LEN(H211)-4)/10000</f>
        <v>2.331</v>
      </c>
      <c r="AA211" s="203">
        <f t="shared" ref="AA211:AA239" si="177">ABS(Z211-Y211)</f>
        <v>2.2866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8">
        <f t="shared" ref="AD211:AD239" si="178">VALUE(LEFT(A211,LEN(A211)-3))</f>
        <v>303</v>
      </c>
      <c r="AE211" s="77" t="str">
        <f t="shared" ref="AE211:AE239" si="179"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211" s="74" t="str">
        <f t="shared" ref="AF211:AF239" si="180"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/stypes="app*4062*20170927*" /stext=" 01:.+((SYSTEM_STATE.+slice.+state.+changed )|(ment ac)|(multiple cpu faults)|(system.+state.+changed )|(\[timeout)|(PRM\|1\|D)|(kpr)|(kdp)|(train st.+moving)|(\|lc)|(penalty))"</v>
      </c>
      <c r="AG211" s="181" t="str">
        <f t="shared" ref="AG211:AG239" si="181">DetSubdiv(A211)</f>
        <v>Other</v>
      </c>
      <c r="AH211" s="78" t="str">
        <f t="shared" si="162"/>
        <v>"%USERPROFILE%\Documents\GitHub\eaglep3\Utilities\RefineRTDCRunTimes.py" --tripid 303-26 --locoid 4062 --swversion DE.1.0.9.0 --startMP 204:444 --initTime 2017-09-26T19:06:50 --startdatetime 2017-09-26T19:09:06 --delay 71 --endMP 300:23310 --enddatetime 2017-09-26T19:20:39 --enforcementcount 0 &gt;&gt;c:\users\stu\Documents\GitHub\eaglep3-reporting\EC\2017-09-26-refined-times.txt</v>
      </c>
      <c r="AI211" s="96" t="str">
        <f t="shared" si="163"/>
        <v>echo {"issue":{"subject":"","project_id":79,"tracker_id":40,"status_id":1,"priority_id":2,"assigned_to_id":338,"start_date":"2017-09-26","description":"","custom_fields":[{"id":1,"name":"Subdivision","value":"Other"},{"id":4,"name":"Milepost","value":"2.331"},{"id":17,"name":"Train ID","value":"303-26"},{"id":16,"name":"Locomotive ID","value":"4062"},{"id":130,"name":"Impact","value":""},{"id":150,"name":"Time of Event (Mountain Time)","value":"19:20:39"},{"id":151,"name":"Denver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64"/>
        <v>start /low /b %USERPROFILE%\Documents\GitHub\eaglep3\Utilities\DownloadLogsFromS3.py --loco 4062 --day 2017-09-26</v>
      </c>
      <c r="AN211" s="151" t="str">
        <f t="shared" si="165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7" t="str">
        <f t="shared" si="166"/>
        <v>https://d0f6bd738d7f1b3e5a7ca70fe4ff75f0.us-east-1.aws.found.io/app/kibana#/discover/Steve-Slow-Train-Analysis-(2080s-and-2083s)?_g=(refreshInterval:(display:Off,pause:!f,section:0,value:0),time:(from:'2017-09-26T18:06:50-0600',mode:absolute,to:'2017-09-26T20:20:39-0600'))&amp;_a=(columns:!('Message%20ID',Summary),filters:!(),index:'emp_*',interval:auto,query:(query_string:(analyze_wildcard:!t,query:'%22rtdc.l.rtdc.4062%22')),sort:!(Time.ISO8601,asc))</v>
      </c>
    </row>
    <row r="212" spans="1:91" s="20" customFormat="1" x14ac:dyDescent="0.25">
      <c r="A212" s="32" t="s">
        <v>649</v>
      </c>
      <c r="B212" s="7">
        <v>4059</v>
      </c>
      <c r="C212" s="21" t="s">
        <v>196</v>
      </c>
      <c r="D212" s="21" t="s">
        <v>908</v>
      </c>
      <c r="E212" s="13">
        <v>43004.163229166668</v>
      </c>
      <c r="F212" s="13">
        <v>43004.166643518518</v>
      </c>
      <c r="G212" s="7">
        <v>72</v>
      </c>
      <c r="H212" s="21" t="s">
        <v>341</v>
      </c>
      <c r="I212" s="13">
        <v>43004.172372685185</v>
      </c>
      <c r="J212" s="7">
        <v>0</v>
      </c>
      <c r="K212" s="89" t="str">
        <f t="shared" si="170"/>
        <v>4059/4060</v>
      </c>
      <c r="L212" s="184" t="str">
        <f>VLOOKUP(A212,'Trips&amp;Operators'!$C$1:$G$99911,5,FALSE)</f>
        <v>THOMPSON LESTER</v>
      </c>
      <c r="M212" s="6">
        <f t="shared" si="171"/>
        <v>5.7291666671517305E-3</v>
      </c>
      <c r="N212" s="7">
        <f t="shared" si="169"/>
        <v>8.2500000006984919</v>
      </c>
      <c r="O212" s="7"/>
      <c r="P212" s="7"/>
      <c r="Q212" s="22"/>
      <c r="R212" s="173"/>
      <c r="S212" s="220">
        <f t="shared" si="172"/>
        <v>1</v>
      </c>
      <c r="T212" s="173" t="str">
        <f t="shared" si="173"/>
        <v>Southbound</v>
      </c>
      <c r="U212" s="19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5" t="str">
        <f t="shared" si="174"/>
        <v>https://d0f6bd738d7f1b3e5a7ca70fe4ff75f0.us-east-1.aws.found.io/app/kibana#/discover/Steve-Slow-Train-Analysis-(2080s-and-2083s)?_g=(refreshInterval:(display:Off,pause:!f,section:0,value:0),time:(from:'2017-09-26T02:55:03-0600',mode:absolute,to:'2017-09-26T05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2" s="203" t="str">
        <f>IF(AA212&lt;VLOOKUP(AG212,Variables!$AC$3:$AD$8,2,FALSE),"Y","N")</f>
        <v>Y</v>
      </c>
      <c r="X212" s="203">
        <f t="shared" ref="X212:X239" si="182">VALUE(LEFT(AD212,4))-VALUE(LEFT(AD211,4))</f>
        <v>1</v>
      </c>
      <c r="Y212" s="203">
        <f t="shared" si="175"/>
        <v>2.3464</v>
      </c>
      <c r="Z212" s="203">
        <f t="shared" si="176"/>
        <v>1.41E-2</v>
      </c>
      <c r="AA212" s="203">
        <f t="shared" si="177"/>
        <v>2.3323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8">
        <f t="shared" si="178"/>
        <v>304</v>
      </c>
      <c r="AE212" s="77" t="str">
        <f t="shared" si="179"/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AF212" s="74" t="str">
        <f t="shared" si="180"/>
        <v>"C:\Program Files (x86)\AstroGrep\AstroGrep.exe" /e /r /s /spath="%USERPROFILE%\AppData\Local\Temp\OnboardLogs" /stypes="app*4059*20170926*" /stext=" 10:.+((SYSTEM_STATE.+slice.+state.+changed )|(ment ac)|(multiple cpu faults)|(system.+state.+changed )|(\[timeout)|(PRM\|1\|D)|(kpr)|(kdp)|(train st.+moving)|(\|lc)|(penalty))"</v>
      </c>
      <c r="AG212" s="181" t="str">
        <f t="shared" si="181"/>
        <v>Other</v>
      </c>
      <c r="AH212" s="78" t="str">
        <f t="shared" si="162"/>
        <v>"%USERPROFILE%\Documents\GitHub\eaglep3\Utilities\RefineRTDCRunTimes.py" --tripid 304-26 --locoid 4059 --swversion DE.1.0.9.0 --startMP 300:23464 --initTime 2017-09-26T03:55:03 --startdatetime 2017-09-26T03:59:58 --delay 72 --endMP 204:141 --enddatetime 2017-09-26T04:08:13 --enforcementcount 0 &gt;&gt;c:\users\stu\Documents\GitHub\eaglep3-reporting\EC\2017-09-26-refined-times.txt</v>
      </c>
      <c r="AI212" s="96" t="str">
        <f t="shared" si="163"/>
        <v>echo {"issue":{"subject":"","project_id":79,"tracker_id":40,"status_id":1,"priority_id":2,"assigned_to_id":338,"start_date":"2017-09-26","description":"","custom_fields":[{"id":1,"name":"Subdivision","value":"Other"},{"id":4,"name":"Milepost","value":"0.0141"},{"id":17,"name":"Train ID","value":"304-26"},{"id":16,"name":"Locomotive ID","value":"4059"},{"id":130,"name":"Impact","value":""},{"id":150,"name":"Time of Event (Mountain Time)","value":"04:08:13"},{"id":151,"name":"Denver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64"/>
        <v>start /low /b %USERPROFILE%\Documents\GitHub\eaglep3\Utilities\DownloadLogsFromS3.py --loco 4059 --day 2017-09-26</v>
      </c>
      <c r="AN212" s="151" t="str">
        <f t="shared" si="165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7" t="str">
        <f t="shared" si="166"/>
        <v>https://d0f6bd738d7f1b3e5a7ca70fe4ff75f0.us-east-1.aws.found.io/app/kibana#/discover/Steve-Slow-Train-Analysis-(2080s-and-2083s)?_g=(refreshInterval:(display:Off,pause:!f,section:0,value:0),time:(from:'2017-09-26T02:55:03-0600',mode:absolute,to:'2017-09-26T05:08:13-0600'))&amp;_a=(columns:!('Message%20ID',Summary),filters:!(),index:'emp_*',interval:auto,query:(query_string:(analyze_wildcard:!t,query:'%22rtdc.l.rtdc.4059%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821</v>
      </c>
      <c r="B213" s="7">
        <v>4046</v>
      </c>
      <c r="C213" s="21" t="s">
        <v>196</v>
      </c>
      <c r="D213" s="21" t="s">
        <v>883</v>
      </c>
      <c r="E213" s="13">
        <v>43004.818425925929</v>
      </c>
      <c r="F213" s="13">
        <v>43004.820115740738</v>
      </c>
      <c r="G213" s="7">
        <v>75</v>
      </c>
      <c r="H213" s="21" t="s">
        <v>433</v>
      </c>
      <c r="I213" s="13">
        <v>43004.82707175926</v>
      </c>
      <c r="J213" s="7">
        <v>0</v>
      </c>
      <c r="K213" s="89" t="str">
        <f t="shared" si="170"/>
        <v>4045/4046</v>
      </c>
      <c r="L213" s="184" t="str">
        <f>VLOOKUP(A213,'Trips&amp;Operators'!$C$1:$G$99911,5,FALSE)</f>
        <v>SMITH MICHAEL</v>
      </c>
      <c r="M213" s="6">
        <f t="shared" si="171"/>
        <v>6.9560185220325366E-3</v>
      </c>
      <c r="N213" s="7">
        <f t="shared" si="169"/>
        <v>10.016666671726853</v>
      </c>
      <c r="O213" s="7"/>
      <c r="P213" s="7"/>
      <c r="Q213" s="22"/>
      <c r="R213" s="173"/>
      <c r="S213" s="220">
        <f t="shared" si="172"/>
        <v>1</v>
      </c>
      <c r="T213" s="173" t="str">
        <f t="shared" si="173"/>
        <v>NorthBound</v>
      </c>
      <c r="U213" s="19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174"/>
        <v>https://d0f6bd738d7f1b3e5a7ca70fe4ff75f0.us-east-1.aws.found.io/app/kibana#/discover/Steve-Slow-Train-Analysis-(2080s-and-2083s)?_g=(refreshInterval:(display:Off,pause:!f,section:0,value:0),time:(from:'2017-09-26T18:38:32-0600',mode:absolute,to:'2017-09-26T20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203" t="str">
        <f>IF(AA213&lt;VLOOKUP(AG213,Variables!$AC$3:$AD$8,2,FALSE),"Y","N")</f>
        <v>Y</v>
      </c>
      <c r="X213" s="203">
        <f t="shared" si="182"/>
        <v>1</v>
      </c>
      <c r="Y213" s="203">
        <f t="shared" si="175"/>
        <v>4.82E-2</v>
      </c>
      <c r="Z213" s="203">
        <f t="shared" si="176"/>
        <v>2.3306</v>
      </c>
      <c r="AA213" s="203">
        <f t="shared" si="177"/>
        <v>2.2824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8">
        <f t="shared" si="178"/>
        <v>305</v>
      </c>
      <c r="AE213" s="77" t="str">
        <f t="shared" si="179"/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AF213" s="74" t="str">
        <f t="shared" si="180"/>
        <v>"C:\Program Files (x86)\AstroGrep\AstroGrep.exe" /e /r /s /spath="%USERPROFILE%\AppData\Local\Temp\OnboardLogs" /stypes="app*4046*20170927*" /stext=" 01:.+((SYSTEM_STATE.+slice.+state.+changed )|(ment ac)|(multiple cpu faults)|(system.+state.+changed )|(\[timeout)|(PRM\|1\|D)|(kpr)|(kdp)|(train st.+moving)|(\|lc)|(penalty))"</v>
      </c>
      <c r="AG213" s="181" t="str">
        <f t="shared" si="181"/>
        <v>Other</v>
      </c>
      <c r="AH213" s="78" t="str">
        <f t="shared" ref="AH213:AH239" si="183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305-26 --locoid 4046 --swversion DE.1.0.9.0 --startMP 204:482 --initTime 2017-09-26T19:38:32 --startdatetime 2017-09-26T19:40:58 --delay 75 --endMP 300:23306 --enddatetime 2017-09-26T19:50:59 --enforcementcount 0 &gt;&gt;c:\users\stu\Documents\GitHub\eaglep3-reporting\EC\2017-09-26-refined-times.txt</v>
      </c>
      <c r="AI213" s="96" t="str">
        <f t="shared" ref="AI213:AI239" si="184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{"issue":{"subject":"","project_id":79,"tracker_id":40,"status_id":1,"priority_id":2,"assigned_to_id":338,"start_date":"2017-09-26","description":"","custom_fields":[{"id":1,"name":"Subdivision","value":"Other"},{"id":4,"name":"Milepost","value":"2.3306"},{"id":17,"name":"Train ID","value":"305-26"},{"id":16,"name":"Locomotive ID","value":"4046"},{"id":130,"name":"Impact","value":""},{"id":150,"name":"Time of Event (Mountain Time)","value":"19:50:59"},{"id":151,"name":"Denver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ref="AM213:AM239" si="185">"start /low /b "&amp;dls3logs&amp;" --loco "&amp;B213&amp;" --day "&amp;TEXT(F213,"YYYY-MM-DD")</f>
        <v>start /low /b %USERPROFILE%\Documents\GitHub\eaglep3\Utilities\DownloadLogsFromS3.py --loco 4046 --day 2017-09-26</v>
      </c>
      <c r="AN213" s="151" t="str">
        <f t="shared" ref="AN213:AN239" si="186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7" t="str">
        <f t="shared" ref="AO213:AO239" si="187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-26T18:38:32-0600',mode:absolute,to:'2017-09-26T20:50:59-0600'))&amp;_a=(columns:!('Message%20ID',Summary),filters:!(),index:'emp_*',interval:auto,query:(query_string:(analyze_wildcard:!t,query:'%22rtdc.l.rtdc.4046%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650</v>
      </c>
      <c r="B214" s="7">
        <v>4009</v>
      </c>
      <c r="C214" s="21" t="s">
        <v>196</v>
      </c>
      <c r="D214" s="21" t="s">
        <v>909</v>
      </c>
      <c r="E214" s="13">
        <v>43004.168541666666</v>
      </c>
      <c r="F214" s="13">
        <v>43004.173043981478</v>
      </c>
      <c r="G214" s="7">
        <v>66</v>
      </c>
      <c r="H214" s="21" t="s">
        <v>342</v>
      </c>
      <c r="I214" s="13">
        <v>43004.178194444445</v>
      </c>
      <c r="J214" s="7">
        <v>0</v>
      </c>
      <c r="K214" s="89" t="str">
        <f t="shared" si="170"/>
        <v>4009/4010</v>
      </c>
      <c r="L214" s="184" t="str">
        <f>VLOOKUP(A214,'Trips&amp;Operators'!$C$1:$G$99911,5,FALSE)</f>
        <v>LALONDE GREGORY</v>
      </c>
      <c r="M214" s="6">
        <f t="shared" si="171"/>
        <v>5.1504629664123058E-3</v>
      </c>
      <c r="N214" s="7">
        <f t="shared" si="169"/>
        <v>7.4166666716337204</v>
      </c>
      <c r="O214" s="7"/>
      <c r="P214" s="7"/>
      <c r="Q214" s="22"/>
      <c r="R214" s="173"/>
      <c r="S214" s="220">
        <f t="shared" si="172"/>
        <v>1</v>
      </c>
      <c r="T214" s="173" t="str">
        <f t="shared" si="173"/>
        <v>Southbound</v>
      </c>
      <c r="U214" s="19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5" t="str">
        <f t="shared" si="174"/>
        <v>https://d0f6bd738d7f1b3e5a7ca70fe4ff75f0.us-east-1.aws.found.io/app/kibana#/discover/Steve-Slow-Train-Analysis-(2080s-and-2083s)?_g=(refreshInterval:(display:Off,pause:!f,section:0,value:0),time:(from:'2017-09-26T03:02:42-0600',mode:absolute,to:'2017-09-26T05:16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203" t="str">
        <f>IF(AA214&lt;VLOOKUP(AG214,Variables!$AC$3:$AD$8,2,FALSE),"Y","N")</f>
        <v>Y</v>
      </c>
      <c r="X214" s="203">
        <f t="shared" si="182"/>
        <v>1</v>
      </c>
      <c r="Y214" s="203">
        <f t="shared" si="175"/>
        <v>2.3508</v>
      </c>
      <c r="Z214" s="203">
        <f t="shared" si="176"/>
        <v>1.47E-2</v>
      </c>
      <c r="AA214" s="203">
        <f t="shared" si="177"/>
        <v>2.3361000000000001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8">
        <f t="shared" si="178"/>
        <v>306</v>
      </c>
      <c r="AE214" s="77" t="str">
        <f t="shared" si="179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214" s="74" t="str">
        <f t="shared" si="180"/>
        <v>"C:\Program Files (x86)\AstroGrep\AstroGrep.exe" /e /r /s /spath="%USERPROFILE%\AppData\Local\Temp\OnboardLogs" /stypes="app*4009*20170926*" /stext=" 10:.+((SYSTEM_STATE.+slice.+state.+changed )|(ment ac)|(multiple cpu faults)|(system.+state.+changed )|(\[timeout)|(PRM\|1\|D)|(kpr)|(kdp)|(train st.+moving)|(\|lc)|(penalty))"</v>
      </c>
      <c r="AG214" s="181" t="str">
        <f t="shared" si="181"/>
        <v>Other</v>
      </c>
      <c r="AH214" s="78" t="str">
        <f t="shared" si="183"/>
        <v>"%USERPROFILE%\Documents\GitHub\eaglep3\Utilities\RefineRTDCRunTimes.py" --tripid 306-26 --locoid 4009 --swversion DE.1.0.9.0 --startMP 300:23508 --initTime 2017-09-26T04:02:42 --startdatetime 2017-09-26T04:09:11 --delay 66 --endMP 204:147 --enddatetime 2017-09-26T04:16:36 --enforcementcount 0 &gt;&gt;c:\users\stu\Documents\GitHub\eaglep3-reporting\EC\2017-09-26-refined-times.txt</v>
      </c>
      <c r="AI214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{"issue":{"subject":"","project_id":79,"tracker_id":40,"status_id":1,"priority_id":2,"assigned_to_id":338,"start_date":"2017-09-26","description":"","custom_fields":[{"id":1,"name":"Subdivision","value":"Other"},{"id":4,"name":"Milepost","value":"0.0147"},{"id":17,"name":"Train ID","value":"306-26"},{"id":16,"name":"Locomotive ID","value":"4009"},{"id":130,"name":"Impact","value":""},{"id":150,"name":"Time of Event (Mountain Time)","value":"04:16:36"},{"id":151,"name":"Denver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85"/>
        <v>start /low /b %USERPROFILE%\Documents\GitHub\eaglep3\Utilities\DownloadLogsFromS3.py --loco 4009 --day 2017-09-26</v>
      </c>
      <c r="AN214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10:16:36"},{"id":29,"name":"Sharepoint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7" t="str">
        <f t="shared" si="187"/>
        <v>https://d0f6bd738d7f1b3e5a7ca70fe4ff75f0.us-east-1.aws.found.io/app/kibana#/discover/Steve-Slow-Train-Analysis-(2080s-and-2083s)?_g=(refreshInterval:(display:Off,pause:!f,section:0,value:0),time:(from:'2017-09-26T03:02:42-0600',mode:absolute,to:'2017-09-26T05:16:36-0600'))&amp;_a=(columns:!('Message%20ID',Summary),filters:!(),index:'emp_*',interval:auto,query:(query_string:(analyze_wildcard:!t,query:'%22rtdc.l.rtdc.4009%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653</v>
      </c>
      <c r="B215" s="7">
        <v>4053</v>
      </c>
      <c r="C215" s="21" t="s">
        <v>196</v>
      </c>
      <c r="D215" s="21" t="s">
        <v>910</v>
      </c>
      <c r="E215" s="13">
        <v>43004.183819444443</v>
      </c>
      <c r="F215" s="13">
        <v>43004.18822916667</v>
      </c>
      <c r="G215" s="7">
        <v>69</v>
      </c>
      <c r="H215" s="21" t="s">
        <v>338</v>
      </c>
      <c r="I215" s="13">
        <v>43004.193379629629</v>
      </c>
      <c r="J215" s="7">
        <v>0</v>
      </c>
      <c r="K215" s="89" t="str">
        <f t="shared" si="170"/>
        <v>4053/4054</v>
      </c>
      <c r="L215" s="184" t="str">
        <f>VLOOKUP(A215,'Trips&amp;Operators'!$C$1:$G$99911,5,FALSE)</f>
        <v>LAMAR NEKESHA</v>
      </c>
      <c r="M215" s="6">
        <f t="shared" si="171"/>
        <v>5.1504629591363482E-3</v>
      </c>
      <c r="N215" s="7">
        <f t="shared" si="169"/>
        <v>7.4166666611563414</v>
      </c>
      <c r="O215" s="7"/>
      <c r="P215" s="7"/>
      <c r="Q215" s="22"/>
      <c r="R215" s="173"/>
      <c r="S215" s="220">
        <f t="shared" si="172"/>
        <v>1</v>
      </c>
      <c r="T215" s="173" t="str">
        <f t="shared" si="173"/>
        <v>Southbound</v>
      </c>
      <c r="U215" s="19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5" t="str">
        <f t="shared" si="174"/>
        <v>https://d0f6bd738d7f1b3e5a7ca70fe4ff75f0.us-east-1.aws.found.io/app/kibana#/discover/Steve-Slow-Train-Analysis-(2080s-and-2083s)?_g=(refreshInterval:(display:Off,pause:!f,section:0,value:0),time:(from:'2017-09-26T03:24:42-0600',mode:absolute,to:'2017-09-26T05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203" t="str">
        <f>IF(AA215&lt;VLOOKUP(AG215,Variables!$AC$3:$AD$8,2,FALSE),"Y","N")</f>
        <v>Y</v>
      </c>
      <c r="X215" s="203">
        <f t="shared" si="182"/>
        <v>2</v>
      </c>
      <c r="Y215" s="203">
        <f t="shared" si="175"/>
        <v>2.2854999999999999</v>
      </c>
      <c r="Z215" s="203">
        <f t="shared" si="176"/>
        <v>1.49E-2</v>
      </c>
      <c r="AA215" s="203">
        <f t="shared" si="177"/>
        <v>2.2706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8">
        <f t="shared" si="178"/>
        <v>308</v>
      </c>
      <c r="AE215" s="77" t="str">
        <f t="shared" si="179"/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AF215" s="74" t="str">
        <f t="shared" si="180"/>
        <v>"C:\Program Files (x86)\AstroGrep\AstroGrep.exe" /e /r /s /spath="%USERPROFILE%\AppData\Local\Temp\OnboardLogs" /stypes="app*4053*20170926*" /stext=" 10:.+((SYSTEM_STATE.+slice.+state.+changed )|(ment ac)|(multiple cpu faults)|(system.+state.+changed )|(\[timeout)|(PRM\|1\|D)|(kpr)|(kdp)|(train st.+moving)|(\|lc)|(penalty))"</v>
      </c>
      <c r="AG215" s="181" t="str">
        <f t="shared" si="181"/>
        <v>Other</v>
      </c>
      <c r="AH215" s="78" t="str">
        <f t="shared" si="183"/>
        <v>"%USERPROFILE%\Documents\GitHub\eaglep3\Utilities\RefineRTDCRunTimes.py" --tripid 308-26 --locoid 4053 --swversion DE.1.0.9.0 --startMP 300:22855 --initTime 2017-09-26T04:24:42 --startdatetime 2017-09-26T04:31:03 --delay 69 --endMP 204:149 --enddatetime 2017-09-26T04:38:28 --enforcementcount 0 &gt;&gt;c:\users\stu\Documents\GitHub\eaglep3-reporting\EC\2017-09-26-refined-times.txt</v>
      </c>
      <c r="AI215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{"issue":{"subject":"","project_id":79,"tracker_id":40,"status_id":1,"priority_id":2,"assigned_to_id":338,"start_date":"2017-09-26","description":"","custom_fields":[{"id":1,"name":"Subdivision","value":"Other"},{"id":4,"name":"Milepost","value":"0.0149"},{"id":17,"name":"Train ID","value":"308-26"},{"id":16,"name":"Locomotive ID","value":"4053"},{"id":130,"name":"Impact","value":""},{"id":150,"name":"Time of Event (Mountain Time)","value":"04:38:28"},{"id":151,"name":"Denver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85"/>
        <v>start /low /b %USERPROFILE%\Documents\GitHub\eaglep3\Utilities\DownloadLogsFromS3.py --loco 4053 --day 2017-09-26</v>
      </c>
      <c r="AN215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10:38:28"},{"id":29,"name":"Sharepoint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7" t="str">
        <f t="shared" si="187"/>
        <v>https://d0f6bd738d7f1b3e5a7ca70fe4ff75f0.us-east-1.aws.found.io/app/kibana#/discover/Steve-Slow-Train-Analysis-(2080s-and-2083s)?_g=(refreshInterval:(display:Off,pause:!f,section:0,value:0),time:(from:'2017-09-26T03:24:42-0600',mode:absolute,to:'2017-09-26T05:38:28-0600'))&amp;_a=(columns:!('Message%20ID',Summary),filters:!(),index:'emp_*',interval:auto,query:(query_string:(analyze_wildcard:!t,query:'%22rtdc.l.rtdc.4053%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657</v>
      </c>
      <c r="B216" s="7">
        <v>4025</v>
      </c>
      <c r="C216" s="21" t="s">
        <v>196</v>
      </c>
      <c r="D216" s="21" t="s">
        <v>911</v>
      </c>
      <c r="E216" s="13">
        <v>43004.199537037035</v>
      </c>
      <c r="F216" s="13">
        <v>43004.203923611109</v>
      </c>
      <c r="G216" s="7">
        <v>215</v>
      </c>
      <c r="H216" s="21" t="s">
        <v>375</v>
      </c>
      <c r="I216" s="13">
        <v>43004.21329861111</v>
      </c>
      <c r="J216" s="7">
        <v>0</v>
      </c>
      <c r="K216" s="89" t="str">
        <f t="shared" si="170"/>
        <v>4025/4026</v>
      </c>
      <c r="L216" s="184" t="str">
        <f>VLOOKUP(A216,'Trips&amp;Operators'!$C$1:$G$99911,5,FALSE)</f>
        <v>BARRON PERLA</v>
      </c>
      <c r="M216" s="6">
        <f t="shared" si="171"/>
        <v>9.3750000014551915E-3</v>
      </c>
      <c r="N216" s="7">
        <f t="shared" si="169"/>
        <v>13.500000002095476</v>
      </c>
      <c r="O216" s="7"/>
      <c r="P216" s="7"/>
      <c r="Q216" s="22"/>
      <c r="R216" s="173"/>
      <c r="S216" s="220">
        <f t="shared" si="172"/>
        <v>1</v>
      </c>
      <c r="T216" s="173" t="str">
        <f t="shared" si="173"/>
        <v>Southbound</v>
      </c>
      <c r="U216" s="19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5" t="str">
        <f t="shared" si="174"/>
        <v>https://d0f6bd738d7f1b3e5a7ca70fe4ff75f0.us-east-1.aws.found.io/app/kibana#/discover/Steve-Slow-Train-Analysis-(2080s-and-2083s)?_g=(refreshInterval:(display:Off,pause:!f,section:0,value:0),time:(from:'2017-09-26T03:47:20-0600',mode:absolute,to:'2017-09-26T06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203" t="str">
        <f>IF(AA216&lt;VLOOKUP(AG216,Variables!$AC$3:$AD$8,2,FALSE),"Y","N")</f>
        <v>Y</v>
      </c>
      <c r="X216" s="203">
        <f t="shared" si="182"/>
        <v>2</v>
      </c>
      <c r="Y216" s="203">
        <f t="shared" si="175"/>
        <v>2.355</v>
      </c>
      <c r="Z216" s="203">
        <f t="shared" si="176"/>
        <v>1.5800000000000002E-2</v>
      </c>
      <c r="AA216" s="203">
        <f t="shared" si="177"/>
        <v>2.3391999999999999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8">
        <f t="shared" si="178"/>
        <v>310</v>
      </c>
      <c r="AE216" s="77" t="str">
        <f t="shared" si="179"/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AF216" s="74" t="str">
        <f t="shared" si="180"/>
        <v>"C:\Program Files (x86)\AstroGrep\AstroGrep.exe" /e /r /s /spath="%USERPROFILE%\AppData\Local\Temp\OnboardLogs" /stypes="app*4025*20170926*" /stext=" 11:.+((SYSTEM_STATE.+slice.+state.+changed )|(ment ac)|(multiple cpu faults)|(system.+state.+changed )|(\[timeout)|(PRM\|1\|D)|(kpr)|(kdp)|(train st.+moving)|(\|lc)|(penalty))"</v>
      </c>
      <c r="AG216" s="181" t="str">
        <f t="shared" si="181"/>
        <v>Other</v>
      </c>
      <c r="AH216" s="78" t="str">
        <f t="shared" si="183"/>
        <v>"%USERPROFILE%\Documents\GitHub\eaglep3\Utilities\RefineRTDCRunTimes.py" --tripid 310-26 --locoid 4025 --swversion DE.1.0.9.0 --startMP 300:23550 --initTime 2017-09-26T04:47:20 --startdatetime 2017-09-26T04:53:39 --delay 215 --endMP 204:158 --enddatetime 2017-09-26T05:07:09 --enforcementcount 0 &gt;&gt;c:\users\stu\Documents\GitHub\eaglep3-reporting\EC\2017-09-26-refined-times.txt</v>
      </c>
      <c r="AI216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{"issue":{"subject":"","project_id":79,"tracker_id":40,"status_id":1,"priority_id":2,"assigned_to_id":338,"start_date":"2017-09-26","description":"","custom_fields":[{"id":1,"name":"Subdivision","value":"Other"},{"id":4,"name":"Milepost","value":"0.0158"},{"id":17,"name":"Train ID","value":"310-26"},{"id":16,"name":"Locomotive ID","value":"4025"},{"id":130,"name":"Impact","value":""},{"id":150,"name":"Time of Event (Mountain Time)","value":"05:07:09"},{"id":151,"name":"Denver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85"/>
        <v>start /low /b %USERPROFILE%\Documents\GitHub\eaglep3\Utilities\DownloadLogsFromS3.py --loco 4025 --day 2017-09-26</v>
      </c>
      <c r="AN216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7" t="str">
        <f t="shared" si="187"/>
        <v>https://d0f6bd738d7f1b3e5a7ca70fe4ff75f0.us-east-1.aws.found.io/app/kibana#/discover/Steve-Slow-Train-Analysis-(2080s-and-2083s)?_g=(refreshInterval:(display:Off,pause:!f,section:0,value:0),time:(from:'2017-09-26T03:47:20-0600',mode:absolute,to:'2017-09-26T06:07:09-0600'))&amp;_a=(columns:!('Message%20ID',Summary),filters:!(),index:'emp_*',interval:auto,query:(query_string:(analyze_wildcard:!t,query:'%22rtdc.l.rtdc.4025%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663</v>
      </c>
      <c r="B217" s="7">
        <v>4023</v>
      </c>
      <c r="C217" s="21" t="s">
        <v>196</v>
      </c>
      <c r="D217" s="21" t="s">
        <v>912</v>
      </c>
      <c r="E217" s="13">
        <v>43004.221608796295</v>
      </c>
      <c r="F217" s="13">
        <v>43004.226863425924</v>
      </c>
      <c r="G217" s="7">
        <v>68</v>
      </c>
      <c r="H217" s="21" t="s">
        <v>373</v>
      </c>
      <c r="I217" s="13">
        <v>43004.232777777775</v>
      </c>
      <c r="J217" s="7">
        <v>0</v>
      </c>
      <c r="K217" s="89" t="str">
        <f t="shared" si="170"/>
        <v>4023/4024</v>
      </c>
      <c r="L217" s="184" t="str">
        <f>VLOOKUP(A217,'Trips&amp;Operators'!$C$1:$G$99911,5,FALSE)</f>
        <v>MACDONALD THOMAS</v>
      </c>
      <c r="M217" s="6">
        <f t="shared" si="171"/>
        <v>5.914351851970423E-3</v>
      </c>
      <c r="N217" s="7">
        <f t="shared" si="169"/>
        <v>8.5166666668374091</v>
      </c>
      <c r="O217" s="7"/>
      <c r="P217" s="7"/>
      <c r="Q217" s="22"/>
      <c r="R217" s="173"/>
      <c r="S217" s="220">
        <f t="shared" si="172"/>
        <v>1</v>
      </c>
      <c r="T217" s="173" t="str">
        <f t="shared" si="173"/>
        <v>Southbound</v>
      </c>
      <c r="U217" s="19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5" t="str">
        <f t="shared" si="174"/>
        <v>https://d0f6bd738d7f1b3e5a7ca70fe4ff75f0.us-east-1.aws.found.io/app/kibana#/discover/Steve-Slow-Train-Analysis-(2080s-and-2083s)?_g=(refreshInterval:(display:Off,pause:!f,section:0,value:0),time:(from:'2017-09-26T04:19:07-0600',mode:absolute,to:'2017-09-26T06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203" t="str">
        <f>IF(AA217&lt;VLOOKUP(AG217,Variables!$AC$3:$AD$8,2,FALSE),"Y","N")</f>
        <v>Y</v>
      </c>
      <c r="X217" s="203">
        <f t="shared" si="182"/>
        <v>2</v>
      </c>
      <c r="Y217" s="203">
        <f t="shared" si="175"/>
        <v>2.5771999999999999</v>
      </c>
      <c r="Z217" s="203">
        <f t="shared" si="176"/>
        <v>1.6E-2</v>
      </c>
      <c r="AA217" s="203">
        <f t="shared" si="177"/>
        <v>2.5611999999999999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8">
        <f t="shared" si="178"/>
        <v>312</v>
      </c>
      <c r="AE217" s="77" t="str">
        <f t="shared" si="179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217" s="74" t="str">
        <f t="shared" si="180"/>
        <v>"C:\Program Files (x86)\AstroGrep\AstroGrep.exe" /e /r /s /spath="%USERPROFILE%\AppData\Local\Temp\OnboardLogs" /stypes="app*4023*20170926*" /stext=" 11:.+((SYSTEM_STATE.+slice.+state.+changed )|(ment ac)|(multiple cpu faults)|(system.+state.+changed )|(\[timeout)|(PRM\|1\|D)|(kpr)|(kdp)|(train st.+moving)|(\|lc)|(penalty))"</v>
      </c>
      <c r="AG217" s="181" t="str">
        <f t="shared" si="181"/>
        <v>Other</v>
      </c>
      <c r="AH217" s="78" t="str">
        <f t="shared" si="183"/>
        <v>"%USERPROFILE%\Documents\GitHub\eaglep3\Utilities\RefineRTDCRunTimes.py" --tripid 312-26 --locoid 4023 --swversion DE.1.0.9.0 --startMP 300:25772 --initTime 2017-09-26T05:19:07 --startdatetime 2017-09-26T05:26:41 --delay 68 --endMP 204:160 --enddatetime 2017-09-26T05:35:12 --enforcementcount 0 &gt;&gt;c:\users\stu\Documents\GitHub\eaglep3-reporting\EC\2017-09-26-refined-times.txt</v>
      </c>
      <c r="AI217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{"issue":{"subject":"","project_id":79,"tracker_id":40,"status_id":1,"priority_id":2,"assigned_to_id":338,"start_date":"2017-09-26","description":"","custom_fields":[{"id":1,"name":"Subdivision","value":"Other"},{"id":4,"name":"Milepost","value":"0.016"},{"id":17,"name":"Train ID","value":"312-26"},{"id":16,"name":"Locomotive ID","value":"4023"},{"id":130,"name":"Impact","value":""},{"id":150,"name":"Time of Event (Mountain Time)","value":"05:35:12"},{"id":151,"name":"Denver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85"/>
        <v>start /low /b %USERPROFILE%\Documents\GitHub\eaglep3\Utilities\DownloadLogsFromS3.py --loco 4023 --day 2017-09-26</v>
      </c>
      <c r="AN217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7" t="str">
        <f t="shared" si="187"/>
        <v>https://d0f6bd738d7f1b3e5a7ca70fe4ff75f0.us-east-1.aws.found.io/app/kibana#/discover/Steve-Slow-Train-Analysis-(2080s-and-2083s)?_g=(refreshInterval:(display:Off,pause:!f,section:0,value:0),time:(from:'2017-09-26T04:19:07-0600',mode:absolute,to:'2017-09-26T06:35:12-0600'))&amp;_a=(columns:!('Message%20ID',Summary),filters:!(),index:'emp_*',interval:auto,query:(query_string:(analyze_wildcard:!t,query:'%22rtdc.l.rtdc.4023%22')),sort:!(Time.ISO8601,asc))</v>
      </c>
    </row>
    <row r="218" spans="1:91" x14ac:dyDescent="0.25">
      <c r="A218" s="32" t="s">
        <v>846</v>
      </c>
      <c r="B218" s="7">
        <v>4056</v>
      </c>
      <c r="C218" s="21" t="s">
        <v>196</v>
      </c>
      <c r="D218" s="21" t="s">
        <v>883</v>
      </c>
      <c r="E218" s="13">
        <v>43005.026238425926</v>
      </c>
      <c r="F218" s="13">
        <v>43005.028275462966</v>
      </c>
      <c r="G218" s="7">
        <v>65</v>
      </c>
      <c r="H218" s="21" t="s">
        <v>434</v>
      </c>
      <c r="I218" s="13">
        <v>43005.035694444443</v>
      </c>
      <c r="J218" s="7">
        <v>0</v>
      </c>
      <c r="K218" s="89" t="str">
        <f t="shared" si="170"/>
        <v>4055/4056</v>
      </c>
      <c r="L218" s="184" t="str">
        <f>VLOOKUP(A218,'Trips&amp;Operators'!$C$1:$G$99911,5,FALSE)</f>
        <v>DUNCAN SHEILA</v>
      </c>
      <c r="M218" s="6">
        <f t="shared" si="171"/>
        <v>7.4189814768033102E-3</v>
      </c>
      <c r="N218" s="7">
        <f t="shared" si="169"/>
        <v>10.683333326596767</v>
      </c>
      <c r="O218" s="7"/>
      <c r="P218" s="7"/>
      <c r="Q218" s="22"/>
      <c r="R218" s="173"/>
      <c r="S218" s="220">
        <f t="shared" si="172"/>
        <v>1</v>
      </c>
      <c r="T218" s="173" t="str">
        <f t="shared" si="173"/>
        <v>NorthBound</v>
      </c>
      <c r="U218" s="19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5" t="str">
        <f t="shared" si="174"/>
        <v>https://d0f6bd738d7f1b3e5a7ca70fe4ff75f0.us-east-1.aws.found.io/app/kibana#/discover/Steve-Slow-Train-Analysis-(2080s-and-2083s)?_g=(refreshInterval:(display:Off,pause:!f,section:0,value:0),time:(from:'2017-09-26T23:37:47-0600',mode:absolute,to:'2017-09-27T01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8" s="203" t="str">
        <f>IF(AA218&lt;VLOOKUP(AG218,Variables!$AC$3:$AD$8,2,FALSE),"Y","N")</f>
        <v>Y</v>
      </c>
      <c r="X218" s="203">
        <f t="shared" si="182"/>
        <v>1</v>
      </c>
      <c r="Y218" s="203">
        <f t="shared" si="175"/>
        <v>4.82E-2</v>
      </c>
      <c r="Z218" s="203">
        <f t="shared" si="176"/>
        <v>2.3346</v>
      </c>
      <c r="AA218" s="203">
        <f t="shared" si="177"/>
        <v>2.2864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8">
        <f t="shared" si="178"/>
        <v>313</v>
      </c>
      <c r="AE218" s="77" t="str">
        <f t="shared" si="179"/>
        <v>aws s3 cp s3://rtdc.mdm.uploadarchive.raw/RTDC4056/ "%USERPROFILE%\AppData\Local\Temp\OnboardLogs"\RTDC4056\2017-09-27 --exclude "*" --recursive --include "*20170927*" &amp; "%USERPROFILE%\Documents\GitHub\mrs-test-scripts\Headless Mode &amp; Sideloading\WalkAndUnGZ.bat" "%USERPROFILE%\AppData\Local\Temp\OnboardLogs"\RTDC4056\2017-09-27 &amp; aws s3 cp s3://rtdc.mdm.uploadarchive.raw/RTDC4056/ "%USERPROFILE%\AppData\Local\Temp\OnboardLogs"\RTDC4056\2017-09-28 --exclude "*" --recursive --include "*20170928*" &amp; "%USERPROFILE%\Documents\GitHub\mrs-test-scripts\Headless Mode &amp; Sideloading\WalkAndUnGZ.bat" "%USERPROFILE%\AppData\Local\Temp\OnboardLogs"\RTDC4056\2017-09-28</v>
      </c>
      <c r="AF218" s="74" t="str">
        <f t="shared" si="180"/>
        <v>"C:\Program Files (x86)\AstroGrep\AstroGrep.exe" /e /r /s /spath="%USERPROFILE%\AppData\Local\Temp\OnboardLogs" /stypes="app*4056*20170927*" /stext=" 06:.+((SYSTEM_STATE.+slice.+state.+changed )|(ment ac)|(multiple cpu faults)|(system.+state.+changed )|(\[timeout)|(PRM\|1\|D)|(kpr)|(kdp)|(train st.+moving)|(\|lc)|(penalty))"</v>
      </c>
      <c r="AG218" s="181" t="str">
        <f t="shared" si="181"/>
        <v>Other</v>
      </c>
      <c r="AH218" s="78" t="str">
        <f t="shared" si="183"/>
        <v>"%USERPROFILE%\Documents\GitHub\eaglep3\Utilities\RefineRTDCRunTimes.py" --tripid 313-26 --locoid 4056 --swversion DE.1.0.9.0 --startMP 204:482 --initTime 2017-09-27T00:37:47 --startdatetime 2017-09-27T00:40:43 --delay 65 --endMP 300:23346 --enddatetime 2017-09-27T00:51:24 --enforcementcount 0 &gt;&gt;c:\users\stu\Documents\GitHub\eaglep3-reporting\EC\2017-09-26-refined-times.txt</v>
      </c>
      <c r="AI218" s="96" t="str">
        <f t="shared" si="184"/>
        <v>echo {"issue":{"subject":"","project_id":79,"tracker_id":40,"status_id":1,"priority_id":2,"assigned_to_id":338,"start_date":"2017-09-27","description":"","custom_fields":[{"id":1,"name":"Subdivision","value":"Other"},{"id":4,"name":"Milepost","value":"2.3346"},{"id":17,"name":"Train ID","value":"313-26"},{"id":16,"name":"Locomotive ID","value":"4056"},{"id":130,"name":"Impact","value":""},{"id":150,"name":"Time of Event (Mountain Time)","value":"00:51:24"},{"id":151,"name":"Denver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85"/>
        <v>start /low /b %USERPROFILE%\Documents\GitHub\eaglep3\Utilities\DownloadLogsFromS3.py --loco 4056 --day 2017-09-27</v>
      </c>
      <c r="AN218" s="151" t="str">
        <f t="shared" si="18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06:51:24"},{"id":29,"name":"Sharepoint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7" t="str">
        <f t="shared" si="187"/>
        <v>https://d0f6bd738d7f1b3e5a7ca70fe4ff75f0.us-east-1.aws.found.io/app/kibana#/discover/Steve-Slow-Train-Analysis-(2080s-and-2083s)?_g=(refreshInterval:(display:Off,pause:!f,section:0,value:0),time:(from:'2017-09-26T23:37:47-0600',mode:absolute,to:'2017-09-27T01:51:24-0600'))&amp;_a=(columns:!('Message%20ID',Summary),filters:!(),index:'emp_*',interval:auto,query:(query_string:(analyze_wildcard:!t,query:'%22rtdc.l.rtdc.4056%22')),sort:!(Time.ISO8601,asc))</v>
      </c>
    </row>
    <row r="219" spans="1:91" s="20" customFormat="1" x14ac:dyDescent="0.25">
      <c r="A219" s="32" t="s">
        <v>659</v>
      </c>
      <c r="B219" s="7">
        <v>4064</v>
      </c>
      <c r="C219" s="21" t="s">
        <v>196</v>
      </c>
      <c r="D219" s="21" t="s">
        <v>983</v>
      </c>
      <c r="E219" s="13">
        <v>43004.204837962963</v>
      </c>
      <c r="F219" s="13">
        <v>43004.20826388889</v>
      </c>
      <c r="G219" s="7">
        <v>60</v>
      </c>
      <c r="H219" s="21" t="s">
        <v>581</v>
      </c>
      <c r="I219" s="13">
        <v>43004.214259259257</v>
      </c>
      <c r="J219" s="7">
        <v>0</v>
      </c>
      <c r="K219" s="89" t="str">
        <f t="shared" si="170"/>
        <v>4063/4064</v>
      </c>
      <c r="L219" s="184" t="str">
        <f>VLOOKUP(A219,'Trips&amp;Operators'!$C$1:$G$99911,5,FALSE)</f>
        <v>YANG JAN</v>
      </c>
      <c r="M219" s="6">
        <f t="shared" si="171"/>
        <v>5.9953703676001169E-3</v>
      </c>
      <c r="N219" s="7">
        <f t="shared" si="169"/>
        <v>8.6333333293441683</v>
      </c>
      <c r="O219" s="7"/>
      <c r="P219" s="7"/>
      <c r="Q219" s="22"/>
      <c r="R219" s="173"/>
      <c r="S219" s="220">
        <f t="shared" si="172"/>
        <v>0</v>
      </c>
      <c r="T219" s="173" t="str">
        <f t="shared" si="173"/>
        <v>NorthBound</v>
      </c>
      <c r="U219" s="19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5" t="str">
        <f t="shared" si="174"/>
        <v>https://d0f6bd738d7f1b3e5a7ca70fe4ff75f0.us-east-1.aws.found.io/app/kibana#/discover/Steve-Slow-Train-Analysis-(2080s-and-2083s)?_g=(refreshInterval:(display:Off,pause:!f,section:0,value:0),time:(from:'2017-09-26T03:54:58-0600',mode:absolute,to:'2017-09-26T06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03" t="str">
        <f>IF(AA219&lt;VLOOKUP(AG219,Variables!$AC$3:$AD$8,2,FALSE),"Y","N")</f>
        <v>Y</v>
      </c>
      <c r="X219" s="203">
        <f t="shared" si="182"/>
        <v>588</v>
      </c>
      <c r="Y219" s="203">
        <f t="shared" si="175"/>
        <v>2.9653</v>
      </c>
      <c r="Z219" s="203">
        <f t="shared" si="176"/>
        <v>5.8971</v>
      </c>
      <c r="AA219" s="203">
        <f t="shared" si="177"/>
        <v>2.9318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8">
        <f t="shared" si="178"/>
        <v>901</v>
      </c>
      <c r="AE219" s="77" t="str">
        <f t="shared" si="17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219" s="74" t="str">
        <f t="shared" si="180"/>
        <v>"C:\Program Files (x86)\AstroGrep\AstroGrep.exe" /e /r /s /spath="%USERPROFILE%\AppData\Local\Temp\OnboardLogs" /stypes="app*4064*20170926*" /stext=" 11:.+((SYSTEM_STATE.+slice.+state.+changed )|(ment ac)|(multiple cpu faults)|(system.+state.+changed )|(\[timeout)|(PRM\|1\|D)|(kpr)|(kdp)|(train st.+moving)|(\|lc)|(penalty))"</v>
      </c>
      <c r="AG219" s="181" t="str">
        <f t="shared" si="181"/>
        <v>Other</v>
      </c>
      <c r="AH219" s="78" t="str">
        <f t="shared" si="183"/>
        <v>"%USERPROFILE%\Documents\GitHub\eaglep3\Utilities\RefineRTDCRunTimes.py" --tripid 901-26 --locoid 4064 --swversion DE.1.0.9.0 --startMP 300:29653 --initTime 2017-09-26T04:54:58 --startdatetime 2017-09-26T04:59:54 --delay 60 --endMP 300:58971 --enddatetime 2017-09-26T05:08:32 --enforcementcount 0 &gt;&gt;c:\users\stu\Documents\GitHub\eaglep3-reporting\EC\2017-09-26-refined-times.txt</v>
      </c>
      <c r="AI219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{"issue":{"subject":"","project_id":79,"tracker_id":40,"status_id":1,"priority_id":2,"assigned_to_id":338,"start_date":"2017-09-26","description":"","custom_fields":[{"id":1,"name":"Subdivision","value":"Other"},{"id":4,"name":"Milepost","value":"5.8971"},{"id":17,"name":"Train ID","value":"901-26"},{"id":16,"name":"Locomotive ID","value":"4064"},{"id":130,"name":"Impact","value":""},{"id":150,"name":"Time of Event (Mountain Time)","value":"05:08:32"},{"id":151,"name":"Denver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85"/>
        <v>start /low /b %USERPROFILE%\Documents\GitHub\eaglep3\Utilities\DownloadLogsFromS3.py --loco 4064 --day 2017-09-26</v>
      </c>
      <c r="AN219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7" t="str">
        <f t="shared" si="187"/>
        <v>https://d0f6bd738d7f1b3e5a7ca70fe4ff75f0.us-east-1.aws.found.io/app/kibana#/discover/Steve-Slow-Train-Analysis-(2080s-and-2083s)?_g=(refreshInterval:(display:Off,pause:!f,section:0,value:0),time:(from:'2017-09-26T03:54:58-0600',mode:absolute,to:'2017-09-26T06:08:32-0600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607</v>
      </c>
      <c r="B220" s="7">
        <v>4065</v>
      </c>
      <c r="C220" s="21" t="s">
        <v>196</v>
      </c>
      <c r="D220" s="21" t="s">
        <v>984</v>
      </c>
      <c r="E220" s="13">
        <v>43004.238043981481</v>
      </c>
      <c r="F220" s="13">
        <v>43004.242314814815</v>
      </c>
      <c r="G220" s="7">
        <v>218</v>
      </c>
      <c r="H220" s="21" t="s">
        <v>985</v>
      </c>
      <c r="I220" s="13">
        <v>43004.242430555554</v>
      </c>
      <c r="J220" s="7">
        <v>0</v>
      </c>
      <c r="K220" s="89" t="str">
        <f t="shared" si="170"/>
        <v>4065/4066</v>
      </c>
      <c r="L220" s="184" t="str">
        <f>VLOOKUP(A220,'Trips&amp;Operators'!$C$1:$G$99911,5,FALSE)</f>
        <v>FORTUNATO FRANK</v>
      </c>
      <c r="M220" s="6">
        <f t="shared" si="171"/>
        <v>1.1574073869269341E-4</v>
      </c>
      <c r="N220" s="7">
        <f t="shared" si="169"/>
        <v>0.16666666371747851</v>
      </c>
      <c r="O220" s="7"/>
      <c r="P220" s="7"/>
      <c r="Q220" s="22"/>
      <c r="R220" s="173"/>
      <c r="S220" s="220">
        <f t="shared" si="172"/>
        <v>0</v>
      </c>
      <c r="T220" s="173" t="str">
        <f t="shared" si="173"/>
        <v>Southbound</v>
      </c>
      <c r="U220" s="19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5" t="str">
        <f t="shared" si="174"/>
        <v>https://d0f6bd738d7f1b3e5a7ca70fe4ff75f0.us-east-1.aws.found.io/app/kibana#/discover/Steve-Slow-Train-Analysis-(2080s-and-2083s)?_g=(refreshInterval:(display:Off,pause:!f,section:0,value:0),time:(from:'2017-09-26T04:42:47-0600',mode:absolute,to:'2017-09-26T06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0" s="203" t="str">
        <f>IF(AA220&lt;VLOOKUP(AG220,Variables!$AC$3:$AD$8,2,FALSE),"Y","N")</f>
        <v>Y</v>
      </c>
      <c r="X220" s="203">
        <f t="shared" si="182"/>
        <v>1</v>
      </c>
      <c r="Y220" s="203">
        <f t="shared" si="175"/>
        <v>2.3754</v>
      </c>
      <c r="Z220" s="203">
        <f t="shared" si="176"/>
        <v>2.3408000000000002</v>
      </c>
      <c r="AA220" s="203">
        <f t="shared" si="177"/>
        <v>3.4599999999999742E-2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8">
        <f t="shared" si="178"/>
        <v>902</v>
      </c>
      <c r="AE220" s="77" t="str">
        <f t="shared" si="17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20" s="74" t="str">
        <f t="shared" si="180"/>
        <v>"C:\Program Files (x86)\AstroGrep\AstroGrep.exe" /e /r /s /spath="%USERPROFILE%\AppData\Local\Temp\OnboardLogs" /stypes="app*4065*20170926*" /stext=" 11:.+((SYSTEM_STATE.+slice.+state.+changed )|(ment ac)|(multiple cpu faults)|(system.+state.+changed )|(\[timeout)|(PRM\|1\|D)|(kpr)|(kdp)|(train st.+moving)|(\|lc)|(penalty))"</v>
      </c>
      <c r="AG220" s="181" t="str">
        <f t="shared" si="181"/>
        <v>Other</v>
      </c>
      <c r="AH220" s="78" t="str">
        <f t="shared" si="183"/>
        <v>"%USERPROFILE%\Documents\GitHub\eaglep3\Utilities\RefineRTDCRunTimes.py" --tripid 902-26 --locoid 4065 --swversion DE.1.0.9.0 --startMP 300:23754 --initTime 2017-09-26T05:42:47 --startdatetime 2017-09-26T05:48:56 --delay 218 --endMP 300:23408 --enddatetime 2017-09-26T05:49:06 --enforcementcount 0 &gt;&gt;c:\users\stu\Documents\GitHub\eaglep3-reporting\EC\2017-09-26-refined-times.txt</v>
      </c>
      <c r="AI220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{"issue":{"subject":"","project_id":79,"tracker_id":40,"status_id":1,"priority_id":2,"assigned_to_id":338,"start_date":"2017-09-26","description":"","custom_fields":[{"id":1,"name":"Subdivision","value":"Other"},{"id":4,"name":"Milepost","value":"2.3408"},{"id":17,"name":"Train ID","value":"902-26"},{"id":16,"name":"Locomotive ID","value":"4065"},{"id":130,"name":"Impact","value":""},{"id":150,"name":"Time of Event (Mountain Time)","value":"05:49:06"},{"id":151,"name":"Denver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85"/>
        <v>start /low /b %USERPROFILE%\Documents\GitHub\eaglep3\Utilities\DownloadLogsFromS3.py --loco 4065 --day 2017-09-26</v>
      </c>
      <c r="AN220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7" t="str">
        <f t="shared" si="187"/>
        <v>https://d0f6bd738d7f1b3e5a7ca70fe4ff75f0.us-east-1.aws.found.io/app/kibana#/discover/Steve-Slow-Train-Analysis-(2080s-and-2083s)?_g=(refreshInterval:(display:Off,pause:!f,section:0,value:0),time:(from:'2017-09-26T04:42:47-0600',mode:absolute,to:'2017-09-26T06:49:06-0600'))&amp;_a=(columns:!('Message%20ID',Summary),filters:!(),index:'emp_*',interval:auto,query:(query_string:(analyze_wildcard:!t,query:'%22rtdc.l.rtdc.4065%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702</v>
      </c>
      <c r="B221" s="7">
        <v>4064</v>
      </c>
      <c r="C221" s="21" t="s">
        <v>196</v>
      </c>
      <c r="D221" s="21" t="s">
        <v>590</v>
      </c>
      <c r="E221" s="13">
        <v>43004.353680555556</v>
      </c>
      <c r="F221" s="13">
        <v>43004.356435185182</v>
      </c>
      <c r="G221" s="7">
        <v>63</v>
      </c>
      <c r="H221" s="21" t="s">
        <v>986</v>
      </c>
      <c r="I221" s="13">
        <v>43004.36277777778</v>
      </c>
      <c r="J221" s="7">
        <v>0</v>
      </c>
      <c r="K221" s="89" t="str">
        <f t="shared" si="170"/>
        <v>4063/4064</v>
      </c>
      <c r="L221" s="184" t="str">
        <f>VLOOKUP(A221,'Trips&amp;Operators'!$C$1:$G$99911,5,FALSE)</f>
        <v>YANG JAN</v>
      </c>
      <c r="M221" s="6">
        <f t="shared" si="171"/>
        <v>6.3425925982301123E-3</v>
      </c>
      <c r="N221" s="7">
        <f t="shared" si="169"/>
        <v>9.1333333414513618</v>
      </c>
      <c r="O221" s="7"/>
      <c r="P221" s="7"/>
      <c r="Q221" s="22"/>
      <c r="R221" s="173"/>
      <c r="S221" s="220">
        <f t="shared" si="172"/>
        <v>1</v>
      </c>
      <c r="T221" s="173" t="str">
        <f t="shared" si="173"/>
        <v>NorthBound</v>
      </c>
      <c r="U221" s="19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5" t="str">
        <f t="shared" si="174"/>
        <v>https://d0f6bd738d7f1b3e5a7ca70fe4ff75f0.us-east-1.aws.found.io/app/kibana#/discover/Steve-Slow-Train-Analysis-(2080s-and-2083s)?_g=(refreshInterval:(display:Off,pause:!f,section:0,value:0),time:(from:'2017-09-26T07:29:18-0600',mode:absolute,to:'2017-09-26T09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1" s="203" t="str">
        <f>IF(AA221&lt;VLOOKUP(AG221,Variables!$AC$3:$AD$8,2,FALSE),"Y","N")</f>
        <v>Y</v>
      </c>
      <c r="X221" s="203">
        <f t="shared" si="182"/>
        <v>1</v>
      </c>
      <c r="Y221" s="203">
        <f t="shared" si="175"/>
        <v>9.6500000000000002E-2</v>
      </c>
      <c r="Z221" s="203">
        <f t="shared" si="176"/>
        <v>2.4226000000000001</v>
      </c>
      <c r="AA221" s="203">
        <f t="shared" si="177"/>
        <v>2.3261000000000003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8">
        <f t="shared" si="178"/>
        <v>903</v>
      </c>
      <c r="AE221" s="77" t="str">
        <f t="shared" si="179"/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AF221" s="74" t="str">
        <f t="shared" si="180"/>
        <v>"C:\Program Files (x86)\AstroGrep\AstroGrep.exe" /e /r /s /spath="%USERPROFILE%\AppData\Local\Temp\OnboardLogs" /stypes="app*4064*20170926*" /stext=" 14:.+((SYSTEM_STATE.+slice.+state.+changed )|(ment ac)|(multiple cpu faults)|(system.+state.+changed )|(\[timeout)|(PRM\|1\|D)|(kpr)|(kdp)|(train st.+moving)|(\|lc)|(penalty))"</v>
      </c>
      <c r="AG221" s="181" t="str">
        <f t="shared" si="181"/>
        <v>Other</v>
      </c>
      <c r="AH221" s="78" t="str">
        <f t="shared" si="183"/>
        <v>"%USERPROFILE%\Documents\GitHub\eaglep3\Utilities\RefineRTDCRunTimes.py" --tripid 903-26 --locoid 4064 --swversion DE.1.0.9.0 --startMP 204:965 --initTime 2017-09-26T08:29:18 --startdatetime 2017-09-26T08:33:16 --delay 63 --endMP 300:24226 --enddatetime 2017-09-26T08:42:24 --enforcementcount 0 &gt;&gt;c:\users\stu\Documents\GitHub\eaglep3-reporting\EC\2017-09-26-refined-times.txt</v>
      </c>
      <c r="AI221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{"issue":{"subject":"","project_id":79,"tracker_id":40,"status_id":1,"priority_id":2,"assigned_to_id":338,"start_date":"2017-09-26","description":"","custom_fields":[{"id":1,"name":"Subdivision","value":"Other"},{"id":4,"name":"Milepost","value":"2.4226"},{"id":17,"name":"Train ID","value":"903-26"},{"id":16,"name":"Locomotive ID","value":"4064"},{"id":130,"name":"Impact","value":""},{"id":150,"name":"Time of Event (Mountain Time)","value":"08:42:24"},{"id":151,"name":"Denver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85"/>
        <v>start /low /b %USERPROFILE%\Documents\GitHub\eaglep3\Utilities\DownloadLogsFromS3.py --loco 4064 --day 2017-09-26</v>
      </c>
      <c r="AN221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7" t="str">
        <f t="shared" si="187"/>
        <v>https://d0f6bd738d7f1b3e5a7ca70fe4ff75f0.us-east-1.aws.found.io/app/kibana#/discover/Steve-Slow-Train-Analysis-(2080s-and-2083s)?_g=(refreshInterval:(display:Off,pause:!f,section:0,value:0),time:(from:'2017-09-26T07:29:18-0600',mode:absolute,to:'2017-09-26T09:42:24-0600'))&amp;_a=(columns:!('Message%20ID',Summary),filters:!(),index:'emp_*',interval:auto,query:(query_string:(analyze_wildcard:!t,query:'%22rtdc.l.rtdc.4064%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770</v>
      </c>
      <c r="B222" s="7">
        <v>4063</v>
      </c>
      <c r="C222" s="21" t="s">
        <v>196</v>
      </c>
      <c r="D222" s="21" t="s">
        <v>987</v>
      </c>
      <c r="E222" s="13">
        <v>43004.633148148147</v>
      </c>
      <c r="F222" s="13">
        <v>43004.636770833335</v>
      </c>
      <c r="G222" s="7">
        <v>111</v>
      </c>
      <c r="H222" s="21" t="s">
        <v>988</v>
      </c>
      <c r="I222" s="13">
        <v>43004.642708333333</v>
      </c>
      <c r="J222" s="7">
        <v>0</v>
      </c>
      <c r="K222" s="89" t="str">
        <f t="shared" si="170"/>
        <v>4063/4064</v>
      </c>
      <c r="L222" s="184" t="str">
        <f>VLOOKUP(A222,'Trips&amp;Operators'!$C$1:$G$99911,5,FALSE)</f>
        <v>STAMBAUGH JAMES</v>
      </c>
      <c r="M222" s="6">
        <f t="shared" si="171"/>
        <v>5.9374999982537702E-3</v>
      </c>
      <c r="N222" s="7">
        <f t="shared" ref="N222:N239" si="188">24*60*SUM($M222:$M222)</f>
        <v>8.549999997485429</v>
      </c>
      <c r="O222" s="7"/>
      <c r="P222" s="7"/>
      <c r="Q222" s="22"/>
      <c r="R222" s="173"/>
      <c r="S222" s="220">
        <f t="shared" si="172"/>
        <v>1</v>
      </c>
      <c r="T222" s="173" t="str">
        <f t="shared" si="173"/>
        <v>Southbound</v>
      </c>
      <c r="U222" s="19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5" t="str">
        <f t="shared" si="174"/>
        <v>https://d0f6bd738d7f1b3e5a7ca70fe4ff75f0.us-east-1.aws.found.io/app/kibana#/discover/Steve-Slow-Train-Analysis-(2080s-and-2083s)?_g=(refreshInterval:(display:Off,pause:!f,section:0,value:0),time:(from:'2017-09-26T14:11:44-0600',mode:absolute,to:'2017-09-26T16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203" t="str">
        <f>IF(AA222&lt;VLOOKUP(AG222,Variables!$AC$3:$AD$8,2,FALSE),"Y","N")</f>
        <v>Y</v>
      </c>
      <c r="X222" s="203">
        <f t="shared" si="182"/>
        <v>1</v>
      </c>
      <c r="Y222" s="203">
        <f t="shared" si="175"/>
        <v>2.3584000000000001</v>
      </c>
      <c r="Z222" s="203">
        <f t="shared" si="176"/>
        <v>6.6100000000000006E-2</v>
      </c>
      <c r="AA222" s="203">
        <f t="shared" si="177"/>
        <v>2.2923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8">
        <f t="shared" si="178"/>
        <v>904</v>
      </c>
      <c r="AE222" s="77" t="str">
        <f t="shared" si="17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222" s="74" t="str">
        <f t="shared" si="180"/>
        <v>"C:\Program Files (x86)\AstroGrep\AstroGrep.exe" /e /r /s /spath="%USERPROFILE%\AppData\Local\Temp\OnboardLogs" /stypes="app*4063*20170926*" /stext=" 21:.+((SYSTEM_STATE.+slice.+state.+changed )|(ment ac)|(multiple cpu faults)|(system.+state.+changed )|(\[timeout)|(PRM\|1\|D)|(kpr)|(kdp)|(train st.+moving)|(\|lc)|(penalty))"</v>
      </c>
      <c r="AG222" s="181" t="str">
        <f t="shared" si="181"/>
        <v>Other</v>
      </c>
      <c r="AH222" s="78" t="str">
        <f t="shared" si="183"/>
        <v>"%USERPROFILE%\Documents\GitHub\eaglep3\Utilities\RefineRTDCRunTimes.py" --tripid 904-26 --locoid 4063 --swversion DE.1.0.9.0 --startMP 300:23584 --initTime 2017-09-26T15:11:44 --startdatetime 2017-09-26T15:16:57 --delay 111 --endMP 204:661 --enddatetime 2017-09-26T15:25:30 --enforcementcount 0 &gt;&gt;c:\users\stu\Documents\GitHub\eaglep3-reporting\EC\2017-09-26-refined-times.txt</v>
      </c>
      <c r="AI222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{"issue":{"subject":"","project_id":79,"tracker_id":40,"status_id":1,"priority_id":2,"assigned_to_id":338,"start_date":"2017-09-26","description":"","custom_fields":[{"id":1,"name":"Subdivision","value":"Other"},{"id":4,"name":"Milepost","value":"0.0661"},{"id":17,"name":"Train ID","value":"904-26"},{"id":16,"name":"Locomotive ID","value":"4063"},{"id":130,"name":"Impact","value":""},{"id":150,"name":"Time of Event (Mountain Time)","value":"15:25:30"},{"id":151,"name":"Denver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85"/>
        <v>start /low /b %USERPROFILE%\Documents\GitHub\eaglep3\Utilities\DownloadLogsFromS3.py --loco 4063 --day 2017-09-26</v>
      </c>
      <c r="AN222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21:25:30"},{"id":29,"name":"Sharepoint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7" t="str">
        <f t="shared" si="187"/>
        <v>https://d0f6bd738d7f1b3e5a7ca70fe4ff75f0.us-east-1.aws.found.io/app/kibana#/discover/Steve-Slow-Train-Analysis-(2080s-and-2083s)?_g=(refreshInterval:(display:Off,pause:!f,section:0,value:0),time:(from:'2017-09-26T14:11:44-0600',mode:absolute,to:'2017-09-26T16:25:30-0600'))&amp;_a=(columns:!('Message%20ID',Summary),filters:!(),index:'emp_*',interval:auto,query:(query_string:(analyze_wildcard:!t,query:'%22rtdc.l.rtdc.4063%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631</v>
      </c>
      <c r="B223" s="7">
        <v>4063</v>
      </c>
      <c r="C223" s="21" t="s">
        <v>196</v>
      </c>
      <c r="D223" s="21" t="s">
        <v>974</v>
      </c>
      <c r="E223" s="13">
        <v>43004.7891087963</v>
      </c>
      <c r="F223" s="13">
        <v>43004.790439814817</v>
      </c>
      <c r="G223" s="7">
        <v>57</v>
      </c>
      <c r="H223" s="21" t="s">
        <v>602</v>
      </c>
      <c r="I223" s="13">
        <v>43004.79996527778</v>
      </c>
      <c r="J223" s="7">
        <v>0</v>
      </c>
      <c r="K223" s="89" t="str">
        <f t="shared" si="170"/>
        <v>4063/4064</v>
      </c>
      <c r="L223" s="184" t="str">
        <f>VLOOKUP(A223,'Trips&amp;Operators'!$C$1:$G$99911,5,FALSE)</f>
        <v>STAMBAUGH JAMES</v>
      </c>
      <c r="M223" s="6">
        <f t="shared" si="171"/>
        <v>9.5254629632108845E-3</v>
      </c>
      <c r="N223" s="7">
        <f t="shared" si="188"/>
        <v>13.716666667023674</v>
      </c>
      <c r="O223" s="7"/>
      <c r="P223" s="7"/>
      <c r="Q223" s="22"/>
      <c r="R223" s="173"/>
      <c r="S223" s="220">
        <f t="shared" si="172"/>
        <v>0</v>
      </c>
      <c r="T223" s="173" t="str">
        <f t="shared" si="173"/>
        <v>Southbound</v>
      </c>
      <c r="U223" s="19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5" t="str">
        <f t="shared" si="174"/>
        <v>https://d0f6bd738d7f1b3e5a7ca70fe4ff75f0.us-east-1.aws.found.io/app/kibana#/discover/Steve-Slow-Train-Analysis-(2080s-and-2083s)?_g=(refreshInterval:(display:Off,pause:!f,section:0,value:0),time:(from:'2017-09-26T17:56:19-0600',mode:absolute,to:'2017-09-26T20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03" t="str">
        <f>IF(AA223&lt;VLOOKUP(AG223,Variables!$AC$3:$AD$8,2,FALSE),"Y","N")</f>
        <v>Y</v>
      </c>
      <c r="X223" s="203">
        <f t="shared" si="182"/>
        <v>2</v>
      </c>
      <c r="Y223" s="203">
        <f t="shared" si="175"/>
        <v>5.8634000000000004</v>
      </c>
      <c r="Z223" s="203">
        <f t="shared" si="176"/>
        <v>2.8788999999999998</v>
      </c>
      <c r="AA223" s="203">
        <f t="shared" si="177"/>
        <v>2.9845000000000006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8">
        <f t="shared" si="178"/>
        <v>906</v>
      </c>
      <c r="AE223" s="77" t="str">
        <f t="shared" si="179"/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AF223" s="74" t="str">
        <f t="shared" si="180"/>
        <v>"C:\Program Files (x86)\AstroGrep\AstroGrep.exe" /e /r /s /spath="%USERPROFILE%\AppData\Local\Temp\OnboardLogs" /stypes="app*4063*20170927*" /stext=" 01:.+((SYSTEM_STATE.+slice.+state.+changed )|(ment ac)|(multiple cpu faults)|(system.+state.+changed )|(\[timeout)|(PRM\|1\|D)|(kpr)|(kdp)|(train st.+moving)|(\|lc)|(penalty))"</v>
      </c>
      <c r="AG223" s="181" t="str">
        <f t="shared" si="181"/>
        <v>Other</v>
      </c>
      <c r="AH223" s="78" t="str">
        <f t="shared" si="183"/>
        <v>"%USERPROFILE%\Documents\GitHub\eaglep3\Utilities\RefineRTDCRunTimes.py" --tripid 906-26 --locoid 4063 --swversion DE.1.0.9.0 --startMP 300:58634 --initTime 2017-09-26T18:56:19 --startdatetime 2017-09-26T18:58:14 --delay 57 --endMP 300:28789 --enddatetime 2017-09-26T19:11:57 --enforcementcount 0 &gt;&gt;c:\users\stu\Documents\GitHub\eaglep3-reporting\EC\2017-09-26-refined-times.txt</v>
      </c>
      <c r="AI223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{"issue":{"subject":"","project_id":79,"tracker_id":40,"status_id":1,"priority_id":2,"assigned_to_id":338,"start_date":"2017-09-26","description":"","custom_fields":[{"id":1,"name":"Subdivision","value":"Other"},{"id":4,"name":"Milepost","value":"2.8789"},{"id":17,"name":"Train ID","value":"906-26"},{"id":16,"name":"Locomotive ID","value":"4063"},{"id":130,"name":"Impact","value":""},{"id":150,"name":"Time of Event (Mountain Time)","value":"19:11:57"},{"id":151,"name":"Denver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85"/>
        <v>start /low /b %USERPROFILE%\Documents\GitHub\eaglep3\Utilities\DownloadLogsFromS3.py --loco 4063 --day 2017-09-26</v>
      </c>
      <c r="AN223" s="151" t="str">
        <f t="shared" si="18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01:11:57"},{"id":29,"name":"Sharepoint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7" t="str">
        <f t="shared" si="187"/>
        <v>https://d0f6bd738d7f1b3e5a7ca70fe4ff75f0.us-east-1.aws.found.io/app/kibana#/discover/Steve-Slow-Train-Analysis-(2080s-and-2083s)?_g=(refreshInterval:(display:Off,pause:!f,section:0,value:0),time:(from:'2017-09-26T17:56:19-0600',mode:absolute,to:'2017-09-26T20:11:57-0600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841</v>
      </c>
      <c r="B224" s="7">
        <v>4065</v>
      </c>
      <c r="C224" s="21" t="s">
        <v>196</v>
      </c>
      <c r="D224" s="21" t="s">
        <v>972</v>
      </c>
      <c r="E224" s="13">
        <v>43004.974456018521</v>
      </c>
      <c r="F224" s="13">
        <v>43004.975914351853</v>
      </c>
      <c r="G224" s="7">
        <v>74</v>
      </c>
      <c r="H224" s="21" t="s">
        <v>989</v>
      </c>
      <c r="I224" s="13">
        <v>43004.983124999999</v>
      </c>
      <c r="J224" s="7">
        <v>0</v>
      </c>
      <c r="K224" s="89" t="str">
        <f t="shared" si="170"/>
        <v>4065/4066</v>
      </c>
      <c r="L224" s="184" t="str">
        <f>VLOOKUP(A224,'Trips&amp;Operators'!$C$1:$G$99911,5,FALSE)</f>
        <v>STAMBAUGH JAMES</v>
      </c>
      <c r="M224" s="6">
        <f t="shared" si="171"/>
        <v>7.2106481457012706E-3</v>
      </c>
      <c r="N224" s="7">
        <f t="shared" si="188"/>
        <v>10.38333332980983</v>
      </c>
      <c r="O224" s="7"/>
      <c r="P224" s="7"/>
      <c r="Q224" s="22"/>
      <c r="R224" s="173"/>
      <c r="S224" s="220">
        <f t="shared" si="172"/>
        <v>0</v>
      </c>
      <c r="T224" s="173" t="str">
        <f t="shared" si="173"/>
        <v>Southbound</v>
      </c>
      <c r="U224" s="19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5" t="str">
        <f t="shared" si="174"/>
        <v>https://d0f6bd738d7f1b3e5a7ca70fe4ff75f0.us-east-1.aws.found.io/app/kibana#/discover/Steve-Slow-Train-Analysis-(2080s-and-2083s)?_g=(refreshInterval:(display:Off,pause:!f,section:0,value:0),time:(from:'2017-09-26T22:23:13-0600',mode:absolute,to:'2017-09-27T00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4" s="203" t="str">
        <f>IF(AA224&lt;VLOOKUP(AG224,Variables!$AC$3:$AD$8,2,FALSE),"Y","N")</f>
        <v>Y</v>
      </c>
      <c r="X224" s="203">
        <f t="shared" si="182"/>
        <v>2</v>
      </c>
      <c r="Y224" s="203">
        <f t="shared" si="175"/>
        <v>5.8611000000000004</v>
      </c>
      <c r="Z224" s="203">
        <f t="shared" si="176"/>
        <v>2.8782000000000001</v>
      </c>
      <c r="AA224" s="203">
        <f t="shared" si="177"/>
        <v>2.9829000000000003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8">
        <f t="shared" si="178"/>
        <v>908</v>
      </c>
      <c r="AE224" s="77" t="str">
        <f t="shared" si="179"/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AF224" s="74" t="str">
        <f t="shared" si="180"/>
        <v>"C:\Program Files (x86)\AstroGrep\AstroGrep.exe" /e /r /s /spath="%USERPROFILE%\AppData\Local\Temp\OnboardLogs" /stypes="app*4065*20170927*" /stext=" 05:.+((SYSTEM_STATE.+slice.+state.+changed )|(ment ac)|(multiple cpu faults)|(system.+state.+changed )|(\[timeout)|(PRM\|1\|D)|(kpr)|(kdp)|(train st.+moving)|(\|lc)|(penalty))"</v>
      </c>
      <c r="AG224" s="181" t="str">
        <f t="shared" si="181"/>
        <v>Other</v>
      </c>
      <c r="AH224" s="78" t="str">
        <f t="shared" si="183"/>
        <v>"%USERPROFILE%\Documents\GitHub\eaglep3\Utilities\RefineRTDCRunTimes.py" --tripid 908-26 --locoid 4065 --swversion DE.1.0.9.0 --startMP 300:58611 --initTime 2017-09-26T23:23:13 --startdatetime 2017-09-26T23:25:19 --delay 74 --endMP 300:28782 --enddatetime 2017-09-26T23:35:42 --enforcementcount 0 &gt;&gt;c:\users\stu\Documents\GitHub\eaglep3-reporting\EC\2017-09-26-refined-times.txt</v>
      </c>
      <c r="AI224" s="96" t="str">
        <f t="shared" si="184"/>
        <v>echo {"issue":{"subject":"","project_id":79,"tracker_id":40,"status_id":1,"priority_id":2,"assigned_to_id":338,"start_date":"2017-09-26","description":"","custom_fields":[{"id":1,"name":"Subdivision","value":"Other"},{"id":4,"name":"Milepost","value":"2.8782"},{"id":17,"name":"Train ID","value":"908-26"},{"id":16,"name":"Locomotive ID","value":"4065"},{"id":130,"name":"Impact","value":""},{"id":150,"name":"Time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85"/>
        <v>start /low /b %USERPROFILE%\Documents\GitHub\eaglep3\Utilities\DownloadLogsFromS3.py --loco 4065 --day 2017-09-26</v>
      </c>
      <c r="AN224" s="151" t="str">
        <f t="shared" si="18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7" t="str">
        <f t="shared" si="187"/>
        <v>https://d0f6bd738d7f1b3e5a7ca70fe4ff75f0.us-east-1.aws.found.io/app/kibana#/discover/Steve-Slow-Train-Analysis-(2080s-and-2083s)?_g=(refreshInterval:(display:Off,pause:!f,section:0,value:0),time:(from:'2017-09-26T22:23:13-0600',mode:absolute,to:'2017-09-27T00:35:42-0600'))&amp;_a=(columns:!('Message%20ID',Summary),filters:!(),index:'emp_*',interval:auto,query:(query_string:(analyze_wildcard:!t,query:'%22rtdc.l.rtdc.4065%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701</v>
      </c>
      <c r="B225" s="7">
        <v>4062</v>
      </c>
      <c r="C225" s="21" t="s">
        <v>196</v>
      </c>
      <c r="D225" s="21" t="s">
        <v>913</v>
      </c>
      <c r="E225" s="13">
        <v>43004.348437499997</v>
      </c>
      <c r="F225" s="13">
        <v>43004.353518518517</v>
      </c>
      <c r="G225" s="7">
        <v>67</v>
      </c>
      <c r="H225" s="21" t="s">
        <v>914</v>
      </c>
      <c r="I225" s="13">
        <v>43004.354826388888</v>
      </c>
      <c r="J225" s="7">
        <v>0</v>
      </c>
      <c r="K225" s="89" t="str">
        <f t="shared" si="170"/>
        <v>4061/4062</v>
      </c>
      <c r="L225" s="184" t="str">
        <f>VLOOKUP(A225,'Trips&amp;Operators'!$C$1:$G$99911,5,FALSE)</f>
        <v>SPECTOR MICHAEL</v>
      </c>
      <c r="M225" s="6">
        <f t="shared" si="171"/>
        <v>1.3078703705104999E-3</v>
      </c>
      <c r="N225" s="7">
        <f t="shared" si="188"/>
        <v>1.8833333335351199</v>
      </c>
      <c r="O225" s="7"/>
      <c r="P225" s="7"/>
      <c r="Q225" s="22"/>
      <c r="R225" s="173"/>
      <c r="S225" s="220">
        <f t="shared" si="172"/>
        <v>0</v>
      </c>
      <c r="T225" s="173" t="str">
        <f t="shared" si="173"/>
        <v>Southbound</v>
      </c>
      <c r="U225" s="19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5" t="str">
        <f t="shared" si="174"/>
        <v>https://d0f6bd738d7f1b3e5a7ca70fe4ff75f0.us-east-1.aws.found.io/app/kibana#/discover/Steve-Slow-Train-Analysis-(2080s-and-2083s)?_g=(refreshInterval:(display:Off,pause:!f,section:0,value:0),time:(from:'2017-09-26T07:21:45-0600',mode:absolute,to:'2017-09-26T09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203" t="str">
        <f>IF(AA225&lt;VLOOKUP(AG225,Variables!$AC$3:$AD$8,2,FALSE),"Y","N")</f>
        <v>Y</v>
      </c>
      <c r="X225" s="203">
        <f t="shared" si="182"/>
        <v>-854</v>
      </c>
      <c r="Y225" s="203">
        <f t="shared" si="175"/>
        <v>0.1158</v>
      </c>
      <c r="Z225" s="203">
        <f t="shared" si="176"/>
        <v>0.35680000000000001</v>
      </c>
      <c r="AA225" s="203">
        <f t="shared" si="177"/>
        <v>0.24099999999999999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8">
        <f t="shared" si="178"/>
        <v>54</v>
      </c>
      <c r="AE225" s="77" t="str">
        <f t="shared" si="179"/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AF225" s="74" t="str">
        <f t="shared" si="180"/>
        <v>"C:\Program Files (x86)\AstroGrep\AstroGrep.exe" /e /r /s /spath="%USERPROFILE%\AppData\Local\Temp\OnboardLogs" /stypes="app*4062*20170926*" /stext=" 14:.+((SYSTEM_STATE.+slice.+state.+changed )|(ment ac)|(multiple cpu faults)|(system.+state.+changed )|(\[timeout)|(PRM\|1\|D)|(kpr)|(kdp)|(train st.+moving)|(\|lc)|(penalty))"</v>
      </c>
      <c r="AG225" s="181" t="str">
        <f t="shared" si="181"/>
        <v>Shuttle/Test</v>
      </c>
      <c r="AH225" s="78" t="str">
        <f t="shared" si="183"/>
        <v>"%USERPROFILE%\Documents\GitHub\eaglep3\Utilities\RefineRTDCRunTimes.py" --tripid 54-26 --locoid 4062 --swversion DE.1.0.9.0 --startMP 204:1158 --initTime 2017-09-26T08:21:45 --startdatetime 2017-09-26T08:29:04 --delay 67 --endMP 204:3568 --enddatetime 2017-09-26T08:30:57 --enforcementcount 0 &gt;&gt;c:\users\stu\Documents\GitHub\eaglep3-reporting\EC\2017-09-26-refined-times.txt</v>
      </c>
      <c r="AI225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0.3568"},{"id":17,"name":"Train ID","value":"54-26"},{"id":16,"name":"Locomotive ID","value":"4062"},{"id":130,"name":"Impact","value":""},{"id":150,"name":"Time of Event (Mountain Time)","value":"08:30:57"},{"id":151,"name":"Denver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85"/>
        <v>start /low /b %USERPROFILE%\Documents\GitHub\eaglep3\Utilities\DownloadLogsFromS3.py --loco 4062 --day 2017-09-26</v>
      </c>
      <c r="AN225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7" t="str">
        <f t="shared" si="187"/>
        <v>https://d0f6bd738d7f1b3e5a7ca70fe4ff75f0.us-east-1.aws.found.io/app/kibana#/discover/Steve-Slow-Train-Analysis-(2080s-and-2083s)?_g=(refreshInterval:(display:Off,pause:!f,section:0,value:0),time:(from:'2017-09-26T07:21:45-0600',mode:absolute,to:'2017-09-26T09:30:57-0600'))&amp;_a=(columns:!('Message%20ID',Summary),filters:!(),index:'emp_*',interval:auto,query:(query_string:(analyze_wildcard:!t,query:'%22rtdc.l.rtdc.4062%22')),sort:!(Time.ISO8601,asc))</v>
      </c>
    </row>
    <row r="226" spans="1:91" s="20" customFormat="1" x14ac:dyDescent="0.25">
      <c r="A226" s="32" t="s">
        <v>701</v>
      </c>
      <c r="B226" s="7">
        <v>4061</v>
      </c>
      <c r="C226" s="21" t="s">
        <v>196</v>
      </c>
      <c r="D226" s="21" t="s">
        <v>915</v>
      </c>
      <c r="E226" s="13">
        <v>43004.351620370369</v>
      </c>
      <c r="F226" s="13">
        <v>43004.353518518517</v>
      </c>
      <c r="G226" s="7">
        <v>73</v>
      </c>
      <c r="H226" s="21" t="s">
        <v>362</v>
      </c>
      <c r="I226" s="13">
        <v>43004.354826388888</v>
      </c>
      <c r="J226" s="7">
        <v>0</v>
      </c>
      <c r="K226" s="89" t="str">
        <f t="shared" si="170"/>
        <v>4061/4062</v>
      </c>
      <c r="L226" s="184" t="str">
        <f>VLOOKUP(A226,'Trips&amp;Operators'!$C$1:$G$99911,5,FALSE)</f>
        <v>SPECTOR MICHAEL</v>
      </c>
      <c r="M226" s="6">
        <f t="shared" si="171"/>
        <v>1.3078703705104999E-3</v>
      </c>
      <c r="N226" s="7">
        <f t="shared" si="188"/>
        <v>1.8833333335351199</v>
      </c>
      <c r="O226" s="7"/>
      <c r="P226" s="7"/>
      <c r="Q226" s="22"/>
      <c r="R226" s="173"/>
      <c r="S226" s="220">
        <f t="shared" si="172"/>
        <v>0</v>
      </c>
      <c r="T226" s="173" t="str">
        <f t="shared" si="173"/>
        <v>Southbound</v>
      </c>
      <c r="U226" s="19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5" t="str">
        <f t="shared" si="174"/>
        <v>https://d0f6bd738d7f1b3e5a7ca70fe4ff75f0.us-east-1.aws.found.io/app/kibana#/discover/Steve-Slow-Train-Analysis-(2080s-and-2083s)?_g=(refreshInterval:(display:Off,pause:!f,section:0,value:0),time:(from:'2017-09-26T07:26:20-0600',mode:absolute,to:'2017-09-26T09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203" t="str">
        <f>IF(AA226&lt;VLOOKUP(AG226,Variables!$AC$3:$AD$8,2,FALSE),"Y","N")</f>
        <v>Y</v>
      </c>
      <c r="X226" s="203">
        <f t="shared" si="182"/>
        <v>0</v>
      </c>
      <c r="Y226" s="203">
        <f t="shared" si="175"/>
        <v>0.32290000000000002</v>
      </c>
      <c r="Z226" s="203">
        <f t="shared" si="176"/>
        <v>1.4500000000000001E-2</v>
      </c>
      <c r="AA226" s="203">
        <f t="shared" si="177"/>
        <v>0.30840000000000001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8">
        <f t="shared" si="178"/>
        <v>54</v>
      </c>
      <c r="AE226" s="77" t="str">
        <f t="shared" si="179"/>
        <v>aws s3 cp s3://rtdc.mdm.uploadarchive.raw/RTDC4061/ "%USERPROFILE%\AppData\Local\Temp\OnboardLogs"\RTDC4061\2017-09-26 --exclude "*" --recursive --include "*20170926*" &amp; "%USERPROFILE%\Documents\GitHub\mrs-test-scripts\Headless Mode &amp; Sideloading\WalkAndUnGZ.bat" "%USERPROFILE%\AppData\Local\Temp\OnboardLogs"\RTDC4061\2017-09-26 &amp; aws s3 cp s3://rtdc.mdm.uploadarchive.raw/RTDC4061/ "%USERPROFILE%\AppData\Local\Temp\OnboardLogs"\RTDC4061\2017-09-27 --exclude "*" --recursive --include "*20170927*" &amp; "%USERPROFILE%\Documents\GitHub\mrs-test-scripts\Headless Mode &amp; Sideloading\WalkAndUnGZ.bat" "%USERPROFILE%\AppData\Local\Temp\OnboardLogs"\RTDC4061\2017-09-27</v>
      </c>
      <c r="AF226" s="74" t="str">
        <f t="shared" si="180"/>
        <v>"C:\Program Files (x86)\AstroGrep\AstroGrep.exe" /e /r /s /spath="%USERPROFILE%\AppData\Local\Temp\OnboardLogs" /stypes="app*4061*20170926*" /stext=" 14:.+((SYSTEM_STATE.+slice.+state.+changed )|(ment ac)|(multiple cpu faults)|(system.+state.+changed )|(\[timeout)|(PRM\|1\|D)|(kpr)|(kdp)|(train st.+moving)|(\|lc)|(penalty))"</v>
      </c>
      <c r="AG226" s="181" t="str">
        <f t="shared" si="181"/>
        <v>Shuttle/Test</v>
      </c>
      <c r="AH226" s="78" t="str">
        <f t="shared" si="183"/>
        <v>"%USERPROFILE%\Documents\GitHub\eaglep3\Utilities\RefineRTDCRunTimes.py" --tripid 54-26 --locoid 4061 --swversion DE.1.0.9.0 --startMP 204:3229 --initTime 2017-09-26T08:26:20 --startdatetime 2017-09-26T08:29:04 --delay 73 --endMP 204:145 --enddatetime 2017-09-26T08:30:57 --enforcementcount 0 &gt;&gt;c:\users\stu\Documents\GitHub\eaglep3-reporting\EC\2017-09-26-refined-times.txt</v>
      </c>
      <c r="AI226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0.0145"},{"id":17,"name":"Train ID","value":"54-26"},{"id":16,"name":"Locomotive ID","value":"4061"},{"id":130,"name":"Impact","value":""},{"id":150,"name":"Time of Event (Mountain Time)","value":"08:30:57"},{"id":151,"name":"Denver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85"/>
        <v>start /low /b %USERPROFILE%\Documents\GitHub\eaglep3\Utilities\DownloadLogsFromS3.py --loco 4061 --day 2017-09-26</v>
      </c>
      <c r="AN226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14:30:57"},{"id":29,"name":"Sharepoint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7" t="str">
        <f t="shared" si="187"/>
        <v>https://d0f6bd738d7f1b3e5a7ca70fe4ff75f0.us-east-1.aws.found.io/app/kibana#/discover/Steve-Slow-Train-Analysis-(2080s-and-2083s)?_g=(refreshInterval:(display:Off,pause:!f,section:0,value:0),time:(from:'2017-09-26T07:26:20-0600',mode:absolute,to:'2017-09-26T09:30:57-0600'))&amp;_a=(columns:!('Message%20ID',Summary),filters:!(),index:'emp_*',interval:auto,query:(query_string:(analyze_wildcard:!t,query:'%22rtdc.l.rtdc.4061%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732</v>
      </c>
      <c r="B227" s="7">
        <v>4029</v>
      </c>
      <c r="C227" s="21" t="s">
        <v>196</v>
      </c>
      <c r="D227" s="21" t="s">
        <v>916</v>
      </c>
      <c r="E227" s="13">
        <v>43004.476307870369</v>
      </c>
      <c r="F227" s="13">
        <v>43004.480925925927</v>
      </c>
      <c r="G227" s="7">
        <v>198</v>
      </c>
      <c r="H227" s="21" t="s">
        <v>917</v>
      </c>
      <c r="I227" s="13">
        <v>43004.487812500003</v>
      </c>
      <c r="J227" s="7">
        <v>0</v>
      </c>
      <c r="K227" s="89" t="str">
        <f t="shared" si="170"/>
        <v>4029/4030</v>
      </c>
      <c r="L227" s="184" t="str">
        <f>VLOOKUP(A227,'Trips&amp;Operators'!$C$1:$G$99911,5,FALSE)</f>
        <v>LEVERE CRAIG</v>
      </c>
      <c r="M227" s="6">
        <f t="shared" si="171"/>
        <v>6.8865740759065375E-3</v>
      </c>
      <c r="N227" s="7">
        <f t="shared" si="188"/>
        <v>9.916666669305414</v>
      </c>
      <c r="O227" s="7"/>
      <c r="P227" s="7"/>
      <c r="Q227" s="22"/>
      <c r="R227" s="173"/>
      <c r="S227" s="220">
        <f t="shared" si="172"/>
        <v>1</v>
      </c>
      <c r="T227" s="173" t="str">
        <f t="shared" si="173"/>
        <v>Southbound</v>
      </c>
      <c r="U227" s="19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5" t="str">
        <f t="shared" si="174"/>
        <v>https://d0f6bd738d7f1b3e5a7ca70fe4ff75f0.us-east-1.aws.found.io/app/kibana#/discover/Steve-Slow-Train-Analysis-(2080s-and-2083s)?_g=(refreshInterval:(display:Off,pause:!f,section:0,value:0),time:(from:'2017-09-26T10:25:53-0600',mode:absolute,to:'2017-09-26T12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203" t="str">
        <f>IF(AA227&lt;VLOOKUP(AG227,Variables!$AC$3:$AD$8,2,FALSE),"Y","N")</f>
        <v>Y</v>
      </c>
      <c r="X227" s="203">
        <f t="shared" si="182"/>
        <v>2</v>
      </c>
      <c r="Y227" s="203">
        <f t="shared" si="175"/>
        <v>2.3445999999999998</v>
      </c>
      <c r="Z227" s="203">
        <f t="shared" si="176"/>
        <v>9.9000000000000008E-3</v>
      </c>
      <c r="AA227" s="203">
        <f t="shared" si="177"/>
        <v>2.3346999999999998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8">
        <f t="shared" si="178"/>
        <v>56</v>
      </c>
      <c r="AE227" s="77" t="str">
        <f t="shared" si="179"/>
        <v>aws s3 cp s3://rtdc.mdm.uploadarchive.raw/RTDC4029/ "%USERPROFILE%\AppData\Local\Temp\OnboardLogs"\RTDC4029\2017-09-26 --exclude "*" --recursive --include "*20170926*" &amp; "%USERPROFILE%\Documents\GitHub\mrs-test-scripts\Headless Mode &amp; Sideloading\WalkAndUnGZ.bat" "%USERPROFILE%\AppData\Local\Temp\OnboardLogs"\RTDC4029\2017-09-26 &amp; aws s3 cp s3://rtdc.mdm.uploadarchive.raw/RTDC4029/ "%USERPROFILE%\AppData\Local\Temp\OnboardLogs"\RTDC4029\2017-09-27 --exclude "*" --recursive --include "*20170927*" &amp; "%USERPROFILE%\Documents\GitHub\mrs-test-scripts\Headless Mode &amp; Sideloading\WalkAndUnGZ.bat" "%USERPROFILE%\AppData\Local\Temp\OnboardLogs"\RTDC4029\2017-09-27</v>
      </c>
      <c r="AF227" s="74" t="str">
        <f t="shared" si="180"/>
        <v>"C:\Program Files (x86)\AstroGrep\AstroGrep.exe" /e /r /s /spath="%USERPROFILE%\AppData\Local\Temp\OnboardLogs" /stypes="app*4029*20170926*" /stext=" 17:.+((SYSTEM_STATE.+slice.+state.+changed )|(ment ac)|(multiple cpu faults)|(system.+state.+changed )|(\[timeout)|(PRM\|1\|D)|(kpr)|(kdp)|(train st.+moving)|(\|lc)|(penalty))"</v>
      </c>
      <c r="AG227" s="181" t="str">
        <f t="shared" si="181"/>
        <v>Shuttle/Test</v>
      </c>
      <c r="AH227" s="78" t="str">
        <f t="shared" si="183"/>
        <v>"%USERPROFILE%\Documents\GitHub\eaglep3\Utilities\RefineRTDCRunTimes.py" --tripid 56-26 --locoid 4029 --swversion DE.1.0.9.0 --startMP 300:23446 --initTime 2017-09-26T11:25:53 --startdatetime 2017-09-26T11:32:32 --delay 198 --endMP 204:99 --enddatetime 2017-09-26T11:42:27 --enforcementcount 0 &gt;&gt;c:\users\stu\Documents\GitHub\eaglep3-reporting\EC\2017-09-26-refined-times.txt</v>
      </c>
      <c r="AI227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0.0099"},{"id":17,"name":"Train ID","value":"56-26"},{"id":16,"name":"Locomotive ID","value":"4029"},{"id":130,"name":"Impact","value":""},{"id":150,"name":"Time of Event (Mountain Time)","value":"11:42:27"},{"id":151,"name":"Denver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85"/>
        <v>start /low /b %USERPROFILE%\Documents\GitHub\eaglep3\Utilities\DownloadLogsFromS3.py --loco 4029 --day 2017-09-26</v>
      </c>
      <c r="AN227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17:42:27"},{"id":29,"name":"Sharepoint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7" t="str">
        <f t="shared" si="187"/>
        <v>https://d0f6bd738d7f1b3e5a7ca70fe4ff75f0.us-east-1.aws.found.io/app/kibana#/discover/Steve-Slow-Train-Analysis-(2080s-and-2083s)?_g=(refreshInterval:(display:Off,pause:!f,section:0,value:0),time:(from:'2017-09-26T10:25:53-0600',mode:absolute,to:'2017-09-26T12:42:27-0600'))&amp;_a=(columns:!('Message%20ID',Summary),filters:!(),index:'emp_*',interval:auto,query:(query_string:(analyze_wildcard:!t,query:'%22rtdc.l.rtdc.4029%22')),sort:!(Time.ISO8601,asc))</v>
      </c>
    </row>
    <row r="228" spans="1:91" s="20" customFormat="1" x14ac:dyDescent="0.25">
      <c r="A228" s="32" t="s">
        <v>737</v>
      </c>
      <c r="B228" s="7">
        <v>4030</v>
      </c>
      <c r="C228" s="21" t="s">
        <v>196</v>
      </c>
      <c r="D228" s="21" t="s">
        <v>918</v>
      </c>
      <c r="E228" s="13">
        <v>43004.49796296296</v>
      </c>
      <c r="F228" s="13">
        <v>43004.499756944446</v>
      </c>
      <c r="G228" s="7">
        <v>82</v>
      </c>
      <c r="H228" s="21" t="s">
        <v>919</v>
      </c>
      <c r="I228" s="13">
        <v>43004.50608796296</v>
      </c>
      <c r="J228" s="7">
        <v>0</v>
      </c>
      <c r="K228" s="89" t="str">
        <f t="shared" si="170"/>
        <v>4029/4030</v>
      </c>
      <c r="L228" s="184" t="str">
        <f>VLOOKUP(A228,'Trips&amp;Operators'!$C$1:$G$99911,5,FALSE)</f>
        <v>YANG JAN</v>
      </c>
      <c r="M228" s="6">
        <f t="shared" si="171"/>
        <v>6.3310185141745023E-3</v>
      </c>
      <c r="N228" s="7">
        <f t="shared" si="188"/>
        <v>9.1166666604112834</v>
      </c>
      <c r="O228" s="7"/>
      <c r="P228" s="7"/>
      <c r="Q228" s="22"/>
      <c r="R228" s="173"/>
      <c r="S228" s="220">
        <f t="shared" si="172"/>
        <v>1</v>
      </c>
      <c r="T228" s="173" t="str">
        <f t="shared" si="173"/>
        <v>NorthBound</v>
      </c>
      <c r="U228" s="19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5" t="str">
        <f t="shared" si="174"/>
        <v>https://d0f6bd738d7f1b3e5a7ca70fe4ff75f0.us-east-1.aws.found.io/app/kibana#/discover/Steve-Slow-Train-Analysis-(2080s-and-2083s)?_g=(refreshInterval:(display:Off,pause:!f,section:0,value:0),time:(from:'2017-09-26T10:57:04-0600',mode:absolute,to:'2017-09-26T13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203" t="str">
        <f>IF(AA228&lt;VLOOKUP(AG228,Variables!$AC$3:$AD$8,2,FALSE),"Y","N")</f>
        <v>Y</v>
      </c>
      <c r="X228" s="203">
        <f t="shared" si="182"/>
        <v>1</v>
      </c>
      <c r="Y228" s="203">
        <f t="shared" si="175"/>
        <v>4.0599999999999997E-2</v>
      </c>
      <c r="Z228" s="203">
        <f t="shared" si="176"/>
        <v>2.4209999999999998</v>
      </c>
      <c r="AA228" s="203">
        <f t="shared" si="177"/>
        <v>2.3803999999999998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8">
        <f t="shared" si="178"/>
        <v>57</v>
      </c>
      <c r="AE228" s="77" t="str">
        <f t="shared" si="179"/>
        <v>aws s3 cp s3://rtdc.mdm.uploadarchive.raw/RTDC4030/ "%USERPROFILE%\AppData\Local\Temp\OnboardLogs"\RTDC4030\2017-09-26 --exclude "*" --recursive --include "*20170926*" &amp; "%USERPROFILE%\Documents\GitHub\mrs-test-scripts\Headless Mode &amp; Sideloading\WalkAndUnGZ.bat" "%USERPROFILE%\AppData\Local\Temp\OnboardLogs"\RTDC4030\2017-09-26 &amp; aws s3 cp s3://rtdc.mdm.uploadarchive.raw/RTDC4030/ "%USERPROFILE%\AppData\Local\Temp\OnboardLogs"\RTDC4030\2017-09-27 --exclude "*" --recursive --include "*20170927*" &amp; "%USERPROFILE%\Documents\GitHub\mrs-test-scripts\Headless Mode &amp; Sideloading\WalkAndUnGZ.bat" "%USERPROFILE%\AppData\Local\Temp\OnboardLogs"\RTDC4030\2017-09-27</v>
      </c>
      <c r="AF228" s="74" t="str">
        <f t="shared" si="180"/>
        <v>"C:\Program Files (x86)\AstroGrep\AstroGrep.exe" /e /r /s /spath="%USERPROFILE%\AppData\Local\Temp\OnboardLogs" /stypes="app*4030*20170926*" /stext=" 18:.+((SYSTEM_STATE.+slice.+state.+changed )|(ment ac)|(multiple cpu faults)|(system.+state.+changed )|(\[timeout)|(PRM\|1\|D)|(kpr)|(kdp)|(train st.+moving)|(\|lc)|(penalty))"</v>
      </c>
      <c r="AG228" s="181" t="str">
        <f t="shared" si="181"/>
        <v>Shuttle/Test</v>
      </c>
      <c r="AH228" s="78" t="str">
        <f t="shared" si="183"/>
        <v>"%USERPROFILE%\Documents\GitHub\eaglep3\Utilities\RefineRTDCRunTimes.py" --tripid 57-26 --locoid 4030 --swversion DE.1.0.9.0 --startMP 204:406 --initTime 2017-09-26T11:57:04 --startdatetime 2017-09-26T11:59:39 --delay 82 --endMP 300:24210 --enddatetime 2017-09-26T12:08:46 --enforcementcount 0 &gt;&gt;c:\users\stu\Documents\GitHub\eaglep3-reporting\EC\2017-09-26-refined-times.txt</v>
      </c>
      <c r="AI228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2.421"},{"id":17,"name":"Train ID","value":"57-26"},{"id":16,"name":"Locomotive ID","value":"4030"},{"id":130,"name":"Impact","value":""},{"id":150,"name":"Time of Event (Mountain Time)","value":"12:08:46"},{"id":151,"name":"Denver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85"/>
        <v>start /low /b %USERPROFILE%\Documents\GitHub\eaglep3\Utilities\DownloadLogsFromS3.py --loco 4030 --day 2017-09-26</v>
      </c>
      <c r="AN228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18:08:46"},{"id":29,"name":"Sharepoint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7" t="str">
        <f t="shared" si="187"/>
        <v>https://d0f6bd738d7f1b3e5a7ca70fe4ff75f0.us-east-1.aws.found.io/app/kibana#/discover/Steve-Slow-Train-Analysis-(2080s-and-2083s)?_g=(refreshInterval:(display:Off,pause:!f,section:0,value:0),time:(from:'2017-09-26T10:57:04-0600',mode:absolute,to:'2017-09-26T13:08:46-0600'))&amp;_a=(columns:!('Message%20ID',Summary),filters:!(),index:'emp_*',interval:auto,query:(query_string:(analyze_wildcard:!t,query:'%22rtdc.l.rtdc.4030%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641</v>
      </c>
      <c r="B229" s="7">
        <v>4018</v>
      </c>
      <c r="C229" s="21" t="s">
        <v>196</v>
      </c>
      <c r="D229" s="21" t="s">
        <v>529</v>
      </c>
      <c r="E229" s="13">
        <v>43004.131921296299</v>
      </c>
      <c r="F229" s="13">
        <v>43004.139560185184</v>
      </c>
      <c r="G229" s="7">
        <v>78</v>
      </c>
      <c r="H229" s="21" t="s">
        <v>920</v>
      </c>
      <c r="I229" s="13">
        <v>43004.140648148146</v>
      </c>
      <c r="J229" s="7">
        <v>0</v>
      </c>
      <c r="K229" s="89" t="str">
        <f t="shared" si="170"/>
        <v>4017/4018</v>
      </c>
      <c r="L229" s="184" t="str">
        <f>VLOOKUP(A229,'Trips&amp;Operators'!$C$1:$G$99911,5,FALSE)</f>
        <v>SPECTOR MICHAEL</v>
      </c>
      <c r="M229" s="6">
        <f t="shared" si="171"/>
        <v>1.0879629626288079E-3</v>
      </c>
      <c r="N229" s="7">
        <f t="shared" si="188"/>
        <v>1.5666666661854833</v>
      </c>
      <c r="O229" s="7"/>
      <c r="P229" s="7"/>
      <c r="Q229" s="22"/>
      <c r="R229" s="173"/>
      <c r="S229" s="220">
        <f t="shared" si="172"/>
        <v>0</v>
      </c>
      <c r="T229" s="173" t="str">
        <f t="shared" si="173"/>
        <v>NorthBound</v>
      </c>
      <c r="U229" s="19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5" t="str">
        <f t="shared" si="174"/>
        <v>https://d0f6bd738d7f1b3e5a7ca70fe4ff75f0.us-east-1.aws.found.io/app/kibana#/discover/Steve-Slow-Train-Analysis-(2080s-and-2083s)?_g=(refreshInterval:(display:Off,pause:!f,section:0,value:0),time:(from:'2017-09-26T02:09:58-0600',mode:absolute,to:'2017-09-26T04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203" t="str">
        <f>IF(AA229&lt;VLOOKUP(AG229,Variables!$AC$3:$AD$8,2,FALSE),"Y","N")</f>
        <v>Y</v>
      </c>
      <c r="X229" s="203">
        <f t="shared" si="182"/>
        <v>10</v>
      </c>
      <c r="Y229" s="203">
        <f t="shared" si="175"/>
        <v>4.3099999999999999E-2</v>
      </c>
      <c r="Z229" s="203">
        <f t="shared" si="176"/>
        <v>0.36159999999999998</v>
      </c>
      <c r="AA229" s="203">
        <f t="shared" si="177"/>
        <v>0.31850000000000001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8">
        <f t="shared" si="178"/>
        <v>67</v>
      </c>
      <c r="AE229" s="77" t="str">
        <f t="shared" si="179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229" s="74" t="str">
        <f t="shared" si="180"/>
        <v>"C:\Program Files (x86)\AstroGrep\AstroGrep.exe" /e /r /s /spath="%USERPROFILE%\AppData\Local\Temp\OnboardLogs" /stypes="app*4018*20170926*" /stext=" 09:.+((SYSTEM_STATE.+slice.+state.+changed )|(ment ac)|(multiple cpu faults)|(system.+state.+changed )|(\[timeout)|(PRM\|1\|D)|(kpr)|(kdp)|(train st.+moving)|(\|lc)|(penalty))"</v>
      </c>
      <c r="AG229" s="181" t="str">
        <f t="shared" si="181"/>
        <v>Shuttle/Test</v>
      </c>
      <c r="AH229" s="78" t="str">
        <f t="shared" si="183"/>
        <v>"%USERPROFILE%\Documents\GitHub\eaglep3\Utilities\RefineRTDCRunTimes.py" --tripid 67-26 --locoid 4018 --swversion DE.1.0.9.0 --startMP 204:431 --initTime 2017-09-26T03:09:58 --startdatetime 2017-09-26T03:20:58 --delay 78 --endMP 204:3616 --enddatetime 2017-09-26T03:22:32 --enforcementcount 0 &gt;&gt;c:\users\stu\Documents\GitHub\eaglep3-reporting\EC\2017-09-26-refined-times.txt</v>
      </c>
      <c r="AI229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0.3616"},{"id":17,"name":"Train ID","value":"67-26"},{"id":16,"name":"Locomotive ID","value":"4018"},{"id":130,"name":"Impact","value":""},{"id":150,"name":"Time of Event (Mountain Time)","value":"03:22:32"},{"id":151,"name":"Denver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85"/>
        <v>start /low /b %USERPROFILE%\Documents\GitHub\eaglep3\Utilities\DownloadLogsFromS3.py --loco 4018 --day 2017-09-26</v>
      </c>
      <c r="AN229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09:22:32"},{"id":29,"name":"Sharepoint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7" t="str">
        <f t="shared" si="187"/>
        <v>https://d0f6bd738d7f1b3e5a7ca70fe4ff75f0.us-east-1.aws.found.io/app/kibana#/discover/Steve-Slow-Train-Analysis-(2080s-and-2083s)?_g=(refreshInterval:(display:Off,pause:!f,section:0,value:0),time:(from:'2017-09-26T02:09:58-0600',mode:absolute,to:'2017-09-26T04:22:32-0600'))&amp;_a=(columns:!('Message%20ID',Summary),filters:!(),index:'emp_*',interval:auto,query:(query_string:(analyze_wildcard:!t,query:'%22rtdc.l.rtdc.4018%22')),sort:!(Time.ISO8601,asc))</v>
      </c>
    </row>
    <row r="230" spans="1:91" s="20" customFormat="1" x14ac:dyDescent="0.25">
      <c r="A230" s="32" t="s">
        <v>630</v>
      </c>
      <c r="B230" s="7">
        <v>4017</v>
      </c>
      <c r="C230" s="21" t="s">
        <v>196</v>
      </c>
      <c r="D230" s="21" t="s">
        <v>921</v>
      </c>
      <c r="E230" s="13">
        <v>43004.142025462963</v>
      </c>
      <c r="F230" s="13">
        <v>43004.143495370372</v>
      </c>
      <c r="G230" s="7">
        <v>70</v>
      </c>
      <c r="H230" s="21" t="s">
        <v>922</v>
      </c>
      <c r="I230" s="13">
        <v>43004.144432870373</v>
      </c>
      <c r="J230" s="7">
        <v>0</v>
      </c>
      <c r="K230" s="89" t="str">
        <f t="shared" si="170"/>
        <v>4017/4018</v>
      </c>
      <c r="L230" s="184" t="str">
        <f>VLOOKUP(A230,'Trips&amp;Operators'!$C$1:$G$99911,5,FALSE)</f>
        <v>SPECTOR MICHAEL</v>
      </c>
      <c r="M230" s="6">
        <f t="shared" si="171"/>
        <v>9.3750000087311491E-4</v>
      </c>
      <c r="N230" s="7">
        <f t="shared" si="188"/>
        <v>1.3500000012572855</v>
      </c>
      <c r="O230" s="7"/>
      <c r="P230" s="7"/>
      <c r="Q230" s="22"/>
      <c r="R230" s="173"/>
      <c r="S230" s="220">
        <f t="shared" si="172"/>
        <v>0</v>
      </c>
      <c r="T230" s="173" t="str">
        <f t="shared" si="173"/>
        <v>Southbound</v>
      </c>
      <c r="U230" s="19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5" t="str">
        <f t="shared" si="174"/>
        <v>https://d0f6bd738d7f1b3e5a7ca70fe4ff75f0.us-east-1.aws.found.io/app/kibana#/discover/Steve-Slow-Train-Analysis-(2080s-and-2083s)?_g=(refreshInterval:(display:Off,pause:!f,section:0,value:0),time:(from:'2017-09-26T02:24:31-0600',mode:absolute,to:'2017-09-26T04:27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203" t="str">
        <f>IF(AA230&lt;VLOOKUP(AG230,Variables!$AC$3:$AD$8,2,FALSE),"Y","N")</f>
        <v>Y</v>
      </c>
      <c r="X230" s="203">
        <f t="shared" si="182"/>
        <v>1</v>
      </c>
      <c r="Y230" s="203">
        <f t="shared" si="175"/>
        <v>0.3296</v>
      </c>
      <c r="Z230" s="203">
        <f t="shared" si="176"/>
        <v>0.1171</v>
      </c>
      <c r="AA230" s="203">
        <f t="shared" si="177"/>
        <v>0.21250000000000002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8">
        <f t="shared" si="178"/>
        <v>68</v>
      </c>
      <c r="AE230" s="77" t="str">
        <f t="shared" si="179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230" s="74" t="str">
        <f t="shared" si="180"/>
        <v>"C:\Program Files (x86)\AstroGrep\AstroGrep.exe" /e /r /s /spath="%USERPROFILE%\AppData\Local\Temp\OnboardLogs" /stypes="app*4017*20170926*" /stext=" 09:.+((SYSTEM_STATE.+slice.+state.+changed )|(ment ac)|(multiple cpu faults)|(system.+state.+changed )|(\[timeout)|(PRM\|1\|D)|(kpr)|(kdp)|(train st.+moving)|(\|lc)|(penalty))"</v>
      </c>
      <c r="AG230" s="181" t="str">
        <f t="shared" si="181"/>
        <v>Shuttle/Test</v>
      </c>
      <c r="AH230" s="78" t="str">
        <f t="shared" si="183"/>
        <v>"%USERPROFILE%\Documents\GitHub\eaglep3\Utilities\RefineRTDCRunTimes.py" --tripid 68-26 --locoid 4017 --swversion DE.1.0.9.0 --startMP 204:3296 --initTime 2017-09-26T03:24:31 --startdatetime 2017-09-26T03:26:38 --delay 70 --endMP 204:1171 --enddatetime 2017-09-26T03:27:59 --enforcementcount 0 &gt;&gt;c:\users\stu\Documents\GitHub\eaglep3-reporting\EC\2017-09-26-refined-times.txt</v>
      </c>
      <c r="AI230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0.1171"},{"id":17,"name":"Train ID","value":"68-26"},{"id":16,"name":"Locomotive ID","value":"4017"},{"id":130,"name":"Impact","value":""},{"id":150,"name":"Time of Event (Mountain Time)","value":"03:27:59"},{"id":151,"name":"Denver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185"/>
        <v>start /low /b %USERPROFILE%\Documents\GitHub\eaglep3\Utilities\DownloadLogsFromS3.py --loco 4017 --day 2017-09-26</v>
      </c>
      <c r="AN230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09:27:59"},{"id":29,"name":"Sharepoint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7" t="str">
        <f t="shared" si="187"/>
        <v>https://d0f6bd738d7f1b3e5a7ca70fe4ff75f0.us-east-1.aws.found.io/app/kibana#/discover/Steve-Slow-Train-Analysis-(2080s-and-2083s)?_g=(refreshInterval:(display:Off,pause:!f,section:0,value:0),time:(from:'2017-09-26T02:24:31-0600',mode:absolute,to:'2017-09-26T04:27:59-0600'))&amp;_a=(columns:!('Message%20ID',Summary),filters:!(),index:'emp_*',interval:auto,query:(query_string:(analyze_wildcard:!t,query:'%22rtdc.l.rtdc.4017%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 s="32" t="s">
        <v>630</v>
      </c>
      <c r="B231" s="7">
        <v>4001</v>
      </c>
      <c r="C231" s="21" t="s">
        <v>196</v>
      </c>
      <c r="D231" s="21" t="s">
        <v>923</v>
      </c>
      <c r="E231" s="13">
        <v>43004.733865740738</v>
      </c>
      <c r="F231" s="13">
        <v>43004.736504629633</v>
      </c>
      <c r="G231" s="7">
        <v>82</v>
      </c>
      <c r="H231" s="21" t="s">
        <v>924</v>
      </c>
      <c r="I231" s="13">
        <v>43004.747442129628</v>
      </c>
      <c r="J231" s="7">
        <v>0</v>
      </c>
      <c r="K231" s="89" t="str">
        <f t="shared" si="170"/>
        <v>4001/4002</v>
      </c>
      <c r="L231" s="184" t="str">
        <f>VLOOKUP(A231,'Trips&amp;Operators'!$C$1:$G$99911,5,FALSE)</f>
        <v>SPECTOR MICHAEL</v>
      </c>
      <c r="M231" s="6">
        <f t="shared" si="171"/>
        <v>1.0937499995634425E-2</v>
      </c>
      <c r="N231" s="7">
        <f t="shared" si="188"/>
        <v>15.749999993713573</v>
      </c>
      <c r="O231" s="7"/>
      <c r="P231" s="7"/>
      <c r="Q231" s="22"/>
      <c r="R231" s="173"/>
      <c r="S231" s="220">
        <f t="shared" si="172"/>
        <v>1</v>
      </c>
      <c r="T231" s="173" t="str">
        <f t="shared" si="173"/>
        <v>Southbound</v>
      </c>
      <c r="U231" s="19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5" t="str">
        <f t="shared" si="174"/>
        <v>https://d0f6bd738d7f1b3e5a7ca70fe4ff75f0.us-east-1.aws.found.io/app/kibana#/discover/Steve-Slow-Train-Analysis-(2080s-and-2083s)?_g=(refreshInterval:(display:Off,pause:!f,section:0,value:0),time:(from:'2017-09-26T16:36:46-0600',mode:absolute,to:'2017-09-26T18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203" t="str">
        <f>IF(AA231&lt;VLOOKUP(AG231,Variables!$AC$3:$AD$8,2,FALSE),"Y","N")</f>
        <v>Y</v>
      </c>
      <c r="X231" s="203">
        <f t="shared" si="182"/>
        <v>0</v>
      </c>
      <c r="Y231" s="203">
        <f t="shared" si="175"/>
        <v>2.3614000000000002</v>
      </c>
      <c r="Z231" s="203">
        <f t="shared" si="176"/>
        <v>8.8800000000000004E-2</v>
      </c>
      <c r="AA231" s="203">
        <f t="shared" si="177"/>
        <v>2.2726000000000002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8">
        <f t="shared" si="178"/>
        <v>68</v>
      </c>
      <c r="AE231" s="77" t="str">
        <f t="shared" si="179"/>
        <v>aws s3 cp s3://rtdc.mdm.uploadarchive.raw/RTDC4001/ "%USERPROFILE%\AppData\Local\Temp\OnboardLogs"\RTDC4001\2017-09-26 --exclude "*" --recursive --include "*20170926*" &amp; "%USERPROFILE%\Documents\GitHub\mrs-test-scripts\Headless Mode &amp; Sideloading\WalkAndUnGZ.bat" "%USERPROFILE%\AppData\Local\Temp\OnboardLogs"\RTDC4001\2017-09-26 &amp; aws s3 cp s3://rtdc.mdm.uploadarchive.raw/RTDC4001/ "%USERPROFILE%\AppData\Local\Temp\OnboardLogs"\RTDC4001\2017-09-27 --exclude "*" --recursive --include "*20170927*" &amp; "%USERPROFILE%\Documents\GitHub\mrs-test-scripts\Headless Mode &amp; Sideloading\WalkAndUnGZ.bat" "%USERPROFILE%\AppData\Local\Temp\OnboardLogs"\RTDC4001\2017-09-27</v>
      </c>
      <c r="AF231" s="74" t="str">
        <f t="shared" si="180"/>
        <v>"C:\Program Files (x86)\AstroGrep\AstroGrep.exe" /e /r /s /spath="%USERPROFILE%\AppData\Local\Temp\OnboardLogs" /stypes="app*4001*20170926*" /stext=" 23:.+((SYSTEM_STATE.+slice.+state.+changed )|(ment ac)|(multiple cpu faults)|(system.+state.+changed )|(\[timeout)|(PRM\|1\|D)|(kpr)|(kdp)|(train st.+moving)|(\|lc)|(penalty))"</v>
      </c>
      <c r="AG231" s="181" t="str">
        <f t="shared" si="181"/>
        <v>Shuttle/Test</v>
      </c>
      <c r="AH231" s="78" t="str">
        <f t="shared" si="183"/>
        <v>"%USERPROFILE%\Documents\GitHub\eaglep3\Utilities\RefineRTDCRunTimes.py" --tripid 68-26 --locoid 4001 --swversion DE.1.0.9.0 --startMP 300:23614 --initTime 2017-09-26T17:36:46 --startdatetime 2017-09-26T17:40:34 --delay 82 --endMP 204:888 --enddatetime 2017-09-26T17:56:19 --enforcementcount 0 &gt;&gt;c:\users\stu\Documents\GitHub\eaglep3-reporting\EC\2017-09-26-refined-times.txt</v>
      </c>
      <c r="AI231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0.0888"},{"id":17,"name":"Train ID","value":"68-26"},{"id":16,"name":"Locomotive ID","value":"4001"},{"id":130,"name":"Impact","value":""},{"id":150,"name":"Time of Event (Mountain Time)","value":"17:56:19"},{"id":151,"name":"Denver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85"/>
        <v>start /low /b %USERPROFILE%\Documents\GitHub\eaglep3\Utilities\DownloadLogsFromS3.py --loco 4001 --day 2017-09-26</v>
      </c>
      <c r="AN231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7" t="str">
        <f t="shared" si="187"/>
        <v>https://d0f6bd738d7f1b3e5a7ca70fe4ff75f0.us-east-1.aws.found.io/app/kibana#/discover/Steve-Slow-Train-Analysis-(2080s-and-2083s)?_g=(refreshInterval:(display:Off,pause:!f,section:0,value:0),time:(from:'2017-09-26T16:36:46-0600',mode:absolute,to:'2017-09-26T18:56:19-0600'))&amp;_a=(columns:!('Message%20ID',Summary),filters:!(),index:'emp_*',interval:auto,query:(query_string:(analyze_wildcard:!t,query:'%22rtdc.l.rtdc.4001%22')),sort:!(Time.ISO8601,asc))</v>
      </c>
    </row>
    <row r="232" spans="1:91" s="20" customFormat="1" x14ac:dyDescent="0.25">
      <c r="A232" s="32" t="s">
        <v>793</v>
      </c>
      <c r="B232" s="7">
        <v>4060</v>
      </c>
      <c r="C232" s="21" t="s">
        <v>196</v>
      </c>
      <c r="D232" s="21" t="s">
        <v>925</v>
      </c>
      <c r="E232" s="13">
        <v>43004.716608796298</v>
      </c>
      <c r="F232" s="13">
        <v>43004.719710648147</v>
      </c>
      <c r="G232" s="7">
        <v>165</v>
      </c>
      <c r="H232" s="21" t="s">
        <v>926</v>
      </c>
      <c r="I232" s="13">
        <v>43004.725925925923</v>
      </c>
      <c r="J232" s="7">
        <v>0</v>
      </c>
      <c r="K232" s="89" t="str">
        <f t="shared" si="170"/>
        <v>4059/4060</v>
      </c>
      <c r="L232" s="184" t="str">
        <f>VLOOKUP(A232,'Trips&amp;Operators'!$C$1:$G$99911,5,FALSE)</f>
        <v>NEWELL JAMES</v>
      </c>
      <c r="M232" s="6">
        <f t="shared" si="171"/>
        <v>6.2152777754818089E-3</v>
      </c>
      <c r="N232" s="7">
        <f t="shared" si="188"/>
        <v>8.9499999966938049</v>
      </c>
      <c r="O232" s="7"/>
      <c r="P232" s="7"/>
      <c r="Q232" s="22"/>
      <c r="R232" s="173"/>
      <c r="S232" s="220">
        <f t="shared" si="172"/>
        <v>0</v>
      </c>
      <c r="T232" s="173" t="str">
        <f t="shared" si="173"/>
        <v>Southbound</v>
      </c>
      <c r="U232" s="19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5" t="str">
        <f t="shared" si="174"/>
        <v>https://d0f6bd738d7f1b3e5a7ca70fe4ff75f0.us-east-1.aws.found.io/app/kibana#/discover/Steve-Slow-Train-Analysis-(2080s-and-2083s)?_g=(refreshInterval:(display:Off,pause:!f,section:0,value:0),time:(from:'2017-09-26T16:11:55-0600',mode:absolute,to:'2017-09-26T18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2" s="203" t="str">
        <f>IF(AA232&lt;VLOOKUP(AG232,Variables!$AC$3:$AD$8,2,FALSE),"Y","N")</f>
        <v>Y</v>
      </c>
      <c r="X232" s="203">
        <f t="shared" si="182"/>
        <v>2</v>
      </c>
      <c r="Y232" s="203">
        <f t="shared" si="175"/>
        <v>0.12139999999999999</v>
      </c>
      <c r="Z232" s="203">
        <f t="shared" si="176"/>
        <v>2.3313999999999999</v>
      </c>
      <c r="AA232" s="203">
        <f t="shared" si="177"/>
        <v>2.21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8">
        <f t="shared" si="178"/>
        <v>70</v>
      </c>
      <c r="AE232" s="77" t="str">
        <f t="shared" si="179"/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AF232" s="74" t="str">
        <f t="shared" si="180"/>
        <v>"C:\Program Files (x86)\AstroGrep\AstroGrep.exe" /e /r /s /spath="%USERPROFILE%\AppData\Local\Temp\OnboardLogs" /stypes="app*4060*20170926*" /stext=" 23:.+((SYSTEM_STATE.+slice.+state.+changed )|(ment ac)|(multiple cpu faults)|(system.+state.+changed )|(\[timeout)|(PRM\|1\|D)|(kpr)|(kdp)|(train st.+moving)|(\|lc)|(penalty))"</v>
      </c>
      <c r="AG232" s="181" t="str">
        <f t="shared" si="181"/>
        <v>Shuttle/Test</v>
      </c>
      <c r="AH232" s="78" t="str">
        <f t="shared" si="183"/>
        <v>"%USERPROFILE%\Documents\GitHub\eaglep3\Utilities\RefineRTDCRunTimes.py" --tripid 70-26 --locoid 4060 --swversion DE.1.0.9.0 --startMP 204:1214 --initTime 2017-09-26T17:11:55 --startdatetime 2017-09-26T17:16:23 --delay 165 --endMP 300:23314 --enddatetime 2017-09-26T17:25:20 --enforcementcount 0 &gt;&gt;c:\users\stu\Documents\GitHub\eaglep3-reporting\EC\2017-09-26-refined-times.txt</v>
      </c>
      <c r="AI232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2.3314"},{"id":17,"name":"Train ID","value":"70-26"},{"id":16,"name":"Locomotive ID","value":"4060"},{"id":130,"name":"Impact","value":""},{"id":150,"name":"Time of Event (Mountain Time)","value":"17:25:20"},{"id":151,"name":"Denver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85"/>
        <v>start /low /b %USERPROFILE%\Documents\GitHub\eaglep3\Utilities\DownloadLogsFromS3.py --loco 4060 --day 2017-09-26</v>
      </c>
      <c r="AN232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7" t="str">
        <f t="shared" si="187"/>
        <v>https://d0f6bd738d7f1b3e5a7ca70fe4ff75f0.us-east-1.aws.found.io/app/kibana#/discover/Steve-Slow-Train-Analysis-(2080s-and-2083s)?_g=(refreshInterval:(display:Off,pause:!f,section:0,value:0),time:(from:'2017-09-26T16:11:55-0600',mode:absolute,to:'2017-09-26T18:25:20-0600'))&amp;_a=(columns:!('Message%20ID',Summary),filters:!(),index:'emp_*',interval:auto,query:(query_string:(analyze_wildcard:!t,query:'%22rtdc.l.rtdc.4060%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668</v>
      </c>
      <c r="B233" s="7">
        <v>4018</v>
      </c>
      <c r="C233" s="21" t="s">
        <v>196</v>
      </c>
      <c r="D233" s="21" t="s">
        <v>927</v>
      </c>
      <c r="E233" s="13">
        <v>43004.238865740743</v>
      </c>
      <c r="F233" s="13">
        <v>43004.244849537034</v>
      </c>
      <c r="G233" s="7">
        <v>116</v>
      </c>
      <c r="H233" s="21" t="s">
        <v>928</v>
      </c>
      <c r="I233" s="13">
        <v>43004.245567129627</v>
      </c>
      <c r="J233" s="7">
        <v>0</v>
      </c>
      <c r="K233" s="89" t="str">
        <f t="shared" si="170"/>
        <v>4017/4018</v>
      </c>
      <c r="L233" s="184" t="str">
        <f>VLOOKUP(A233,'Trips&amp;Operators'!$C$1:$G$99911,5,FALSE)</f>
        <v>SPECTOR MICHAEL</v>
      </c>
      <c r="M233" s="6">
        <f t="shared" si="171"/>
        <v>7.1759259299142286E-4</v>
      </c>
      <c r="N233" s="7">
        <f t="shared" si="188"/>
        <v>1.0333333339076489</v>
      </c>
      <c r="O233" s="7"/>
      <c r="P233" s="7"/>
      <c r="Q233" s="22"/>
      <c r="R233" s="173"/>
      <c r="S233" s="220">
        <f t="shared" si="172"/>
        <v>0</v>
      </c>
      <c r="T233" s="173" t="str">
        <f t="shared" si="173"/>
        <v>NorthBound</v>
      </c>
      <c r="U233" s="19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5" t="str">
        <f t="shared" si="174"/>
        <v>https://d0f6bd738d7f1b3e5a7ca70fe4ff75f0.us-east-1.aws.found.io/app/kibana#/discover/Steve-Slow-Train-Analysis-(2080s-and-2083s)?_g=(refreshInterval:(display:Off,pause:!f,section:0,value:0),time:(from:'2017-09-26T04:43:58-0600',mode:absolute,to:'2017-09-26T06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203" t="str">
        <f>IF(AA233&lt;VLOOKUP(AG233,Variables!$AC$3:$AD$8,2,FALSE),"Y","N")</f>
        <v>Y</v>
      </c>
      <c r="X233" s="203">
        <f t="shared" si="182"/>
        <v>1</v>
      </c>
      <c r="Y233" s="203">
        <f t="shared" si="175"/>
        <v>0.14810000000000001</v>
      </c>
      <c r="Z233" s="203">
        <f t="shared" si="176"/>
        <v>0.35639999999999999</v>
      </c>
      <c r="AA233" s="203">
        <f t="shared" si="177"/>
        <v>0.20829999999999999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8">
        <f t="shared" si="178"/>
        <v>71</v>
      </c>
      <c r="AE233" s="77" t="str">
        <f t="shared" si="179"/>
        <v>aws s3 cp s3://rtdc.mdm.uploadarchive.raw/RTDC4018/ "%USERPROFILE%\AppData\Local\Temp\OnboardLogs"\RTDC4018\2017-09-26 --exclude "*" --recursive --include "*20170926*" &amp; "%USERPROFILE%\Documents\GitHub\mrs-test-scripts\Headless Mode &amp; Sideloading\WalkAndUnGZ.bat" "%USERPROFILE%\AppData\Local\Temp\OnboardLogs"\RTDC4018\2017-09-26 &amp; 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</v>
      </c>
      <c r="AF233" s="74" t="str">
        <f t="shared" si="180"/>
        <v>"C:\Program Files (x86)\AstroGrep\AstroGrep.exe" /e /r /s /spath="%USERPROFILE%\AppData\Local\Temp\OnboardLogs" /stypes="app*4018*20170926*" /stext=" 11:.+((SYSTEM_STATE.+slice.+state.+changed )|(ment ac)|(multiple cpu faults)|(system.+state.+changed )|(\[timeout)|(PRM\|1\|D)|(kpr)|(kdp)|(train st.+moving)|(\|lc)|(penalty))"</v>
      </c>
      <c r="AG233" s="181" t="str">
        <f t="shared" si="181"/>
        <v>Shuttle/Test</v>
      </c>
      <c r="AH233" s="78" t="str">
        <f t="shared" si="183"/>
        <v>"%USERPROFILE%\Documents\GitHub\eaglep3\Utilities\RefineRTDCRunTimes.py" --tripid 71-26 --locoid 4018 --swversion DE.1.0.9.0 --startMP 204:1481 --initTime 2017-09-26T05:43:58 --startdatetime 2017-09-26T05:52:35 --delay 116 --endMP 204:3564 --enddatetime 2017-09-26T05:53:37 --enforcementcount 0 &gt;&gt;c:\users\stu\Documents\GitHub\eaglep3-reporting\EC\2017-09-26-refined-times.txt</v>
      </c>
      <c r="AI233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0.3564"},{"id":17,"name":"Train ID","value":"71-26"},{"id":16,"name":"Locomotive ID","value":"4018"},{"id":130,"name":"Impact","value":""},{"id":150,"name":"Time of Event (Mountain Time)","value":"05:53:37"},{"id":151,"name":"Denver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85"/>
        <v>start /low /b %USERPROFILE%\Documents\GitHub\eaglep3\Utilities\DownloadLogsFromS3.py --loco 4018 --day 2017-09-26</v>
      </c>
      <c r="AN233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7" t="str">
        <f t="shared" si="187"/>
        <v>https://d0f6bd738d7f1b3e5a7ca70fe4ff75f0.us-east-1.aws.found.io/app/kibana#/discover/Steve-Slow-Train-Analysis-(2080s-and-2083s)?_g=(refreshInterval:(display:Off,pause:!f,section:0,value:0),time:(from:'2017-09-26T04:43:58-0600',mode:absolute,to:'2017-09-26T06:53:37-0600'))&amp;_a=(columns:!('Message%20ID',Summary),filters:!(),index:'emp_*',interval:auto,query:(query_string:(analyze_wildcard:!t,query:'%22rtdc.l.rtdc.4018%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672</v>
      </c>
      <c r="B234" s="7">
        <v>4017</v>
      </c>
      <c r="C234" s="21" t="s">
        <v>196</v>
      </c>
      <c r="D234" s="21" t="s">
        <v>929</v>
      </c>
      <c r="E234" s="13">
        <v>43004.246539351851</v>
      </c>
      <c r="F234" s="13">
        <v>43004.248402777775</v>
      </c>
      <c r="G234" s="7">
        <v>97</v>
      </c>
      <c r="H234" s="21" t="s">
        <v>358</v>
      </c>
      <c r="I234" s="13">
        <v>43004.2496875</v>
      </c>
      <c r="J234" s="7">
        <v>0</v>
      </c>
      <c r="K234" s="89" t="str">
        <f t="shared" si="170"/>
        <v>4017/4018</v>
      </c>
      <c r="L234" s="184" t="str">
        <f>VLOOKUP(A234,'Trips&amp;Operators'!$C$1:$G$99911,5,FALSE)</f>
        <v>SPECTOR MICHAEL</v>
      </c>
      <c r="M234" s="6">
        <f t="shared" si="171"/>
        <v>1.2847222242271528E-3</v>
      </c>
      <c r="N234" s="7">
        <f t="shared" si="188"/>
        <v>1.8500000028871</v>
      </c>
      <c r="O234" s="7"/>
      <c r="P234" s="7"/>
      <c r="Q234" s="22"/>
      <c r="R234" s="173"/>
      <c r="S234" s="220">
        <f t="shared" si="172"/>
        <v>0</v>
      </c>
      <c r="T234" s="173" t="str">
        <f t="shared" si="173"/>
        <v>Southbound</v>
      </c>
      <c r="U234" s="19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5" t="str">
        <f t="shared" si="174"/>
        <v>https://d0f6bd738d7f1b3e5a7ca70fe4ff75f0.us-east-1.aws.found.io/app/kibana#/discover/Steve-Slow-Train-Analysis-(2080s-and-2083s)?_g=(refreshInterval:(display:Off,pause:!f,section:0,value:0),time:(from:'2017-09-26T04:55:01-0600',mode:absolute,to:'2017-09-26T06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4" s="203" t="str">
        <f>IF(AA234&lt;VLOOKUP(AG234,Variables!$AC$3:$AD$8,2,FALSE),"Y","N")</f>
        <v>Y</v>
      </c>
      <c r="X234" s="203">
        <f t="shared" si="182"/>
        <v>1</v>
      </c>
      <c r="Y234" s="203">
        <f t="shared" si="175"/>
        <v>0.32190000000000002</v>
      </c>
      <c r="Z234" s="203">
        <f t="shared" si="176"/>
        <v>1.52E-2</v>
      </c>
      <c r="AA234" s="203">
        <f t="shared" si="177"/>
        <v>0.30670000000000003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8">
        <f t="shared" si="178"/>
        <v>72</v>
      </c>
      <c r="AE234" s="77" t="str">
        <f t="shared" si="179"/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AF234" s="74" t="str">
        <f t="shared" si="180"/>
        <v>"C:\Program Files (x86)\AstroGrep\AstroGrep.exe" /e /r /s /spath="%USERPROFILE%\AppData\Local\Temp\OnboardLogs" /stypes="app*4017*20170926*" /stext=" 11:.+((SYSTEM_STATE.+slice.+state.+changed )|(ment ac)|(multiple cpu faults)|(system.+state.+changed )|(\[timeout)|(PRM\|1\|D)|(kpr)|(kdp)|(train st.+moving)|(\|lc)|(penalty))"</v>
      </c>
      <c r="AG234" s="181" t="str">
        <f t="shared" si="181"/>
        <v>Shuttle/Test</v>
      </c>
      <c r="AH234" s="78" t="str">
        <f t="shared" si="183"/>
        <v>"%USERPROFILE%\Documents\GitHub\eaglep3\Utilities\RefineRTDCRunTimes.py" --tripid 72-26 --locoid 4017 --swversion DE.1.0.9.0 --startMP 204:3219 --initTime 2017-09-26T05:55:01 --startdatetime 2017-09-26T05:57:42 --delay 97 --endMP 204:152 --enddatetime 2017-09-26T05:59:33 --enforcementcount 0 &gt;&gt;c:\users\stu\Documents\GitHub\eaglep3-reporting\EC\2017-09-26-refined-times.txt</v>
      </c>
      <c r="AI234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0.0152"},{"id":17,"name":"Train ID","value":"72-26"},{"id":16,"name":"Locomotive ID","value":"4017"},{"id":130,"name":"Impact","value":""},{"id":150,"name":"Time of Event (Mountain Time)","value":"05:59:33"},{"id":151,"name":"Denver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85"/>
        <v>start /low /b %USERPROFILE%\Documents\GitHub\eaglep3\Utilities\DownloadLogsFromS3.py --loco 4017 --day 2017-09-26</v>
      </c>
      <c r="AN234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11:59:33"},{"id":29,"name":"Sharepoint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7" t="str">
        <f t="shared" si="187"/>
        <v>https://d0f6bd738d7f1b3e5a7ca70fe4ff75f0.us-east-1.aws.found.io/app/kibana#/discover/Steve-Slow-Train-Analysis-(2080s-and-2083s)?_g=(refreshInterval:(display:Off,pause:!f,section:0,value:0),time:(from:'2017-09-26T04:55:01-0600',mode:absolute,to:'2017-09-26T06:59:33-0600'))&amp;_a=(columns:!('Message%20ID',Summary),filters:!(),index:'emp_*',interval:auto,query:(query_string:(analyze_wildcard:!t,query:'%22rtdc.l.rtdc.4017%22')),sort:!(Time.ISO8601,asc))</v>
      </c>
    </row>
    <row r="235" spans="1:91" s="20" customFormat="1" x14ac:dyDescent="0.25">
      <c r="A235" s="32" t="s">
        <v>778</v>
      </c>
      <c r="B235" s="7">
        <v>4023</v>
      </c>
      <c r="C235" s="21" t="s">
        <v>196</v>
      </c>
      <c r="D235" s="21" t="s">
        <v>930</v>
      </c>
      <c r="E235" s="13">
        <v>43004.674351851849</v>
      </c>
      <c r="F235" s="13">
        <v>43004.676145833335</v>
      </c>
      <c r="G235" s="7">
        <v>55</v>
      </c>
      <c r="H235" s="21" t="s">
        <v>338</v>
      </c>
      <c r="I235" s="13">
        <v>43004.677766203706</v>
      </c>
      <c r="J235" s="7">
        <v>0</v>
      </c>
      <c r="K235" s="89" t="str">
        <f t="shared" si="170"/>
        <v>4023/4024</v>
      </c>
      <c r="L235" s="184" t="str">
        <f>VLOOKUP(A235,'Trips&amp;Operators'!$C$1:$G$99911,5,FALSE)</f>
        <v>MOSES BRADLEY</v>
      </c>
      <c r="M235" s="6">
        <f t="shared" si="171"/>
        <v>1.6203703708015382E-3</v>
      </c>
      <c r="N235" s="7">
        <f t="shared" si="188"/>
        <v>2.333333333954215</v>
      </c>
      <c r="O235" s="7"/>
      <c r="P235" s="7"/>
      <c r="Q235" s="22"/>
      <c r="R235" s="173"/>
      <c r="S235" s="220">
        <f t="shared" si="172"/>
        <v>0</v>
      </c>
      <c r="T235" s="173" t="str">
        <f t="shared" si="173"/>
        <v>NorthBound</v>
      </c>
      <c r="U235" s="19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5" t="str">
        <f t="shared" si="174"/>
        <v>https://d0f6bd738d7f1b3e5a7ca70fe4ff75f0.us-east-1.aws.found.io/app/kibana#/discover/Steve-Slow-Train-Analysis-(2080s-and-2083s)?_g=(refreshInterval:(display:Off,pause:!f,section:0,value:0),time:(from:'2017-09-26T15:11:04-0600',mode:absolute,to:'2017-09-26T17:15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3" t="str">
        <f>IF(AA235&lt;VLOOKUP(AG235,Variables!$AC$3:$AD$8,2,FALSE),"Y","N")</f>
        <v>Y</v>
      </c>
      <c r="X235" s="203">
        <f t="shared" si="182"/>
        <v>3</v>
      </c>
      <c r="Y235" s="203">
        <f t="shared" si="175"/>
        <v>0.31990000000000002</v>
      </c>
      <c r="Z235" s="203">
        <f t="shared" si="176"/>
        <v>1.49E-2</v>
      </c>
      <c r="AA235" s="203">
        <f t="shared" si="177"/>
        <v>0.30499999999999999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8">
        <f t="shared" si="178"/>
        <v>75</v>
      </c>
      <c r="AE235" s="77" t="str">
        <f t="shared" si="179"/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AF235" s="74" t="str">
        <f t="shared" si="180"/>
        <v>"C:\Program Files (x86)\AstroGrep\AstroGrep.exe" /e /r /s /spath="%USERPROFILE%\AppData\Local\Temp\OnboardLogs" /stypes="app*4023*20170926*" /stext=" 22:.+((SYSTEM_STATE.+slice.+state.+changed )|(ment ac)|(multiple cpu faults)|(system.+state.+changed )|(\[timeout)|(PRM\|1\|D)|(kpr)|(kdp)|(train st.+moving)|(\|lc)|(penalty))"</v>
      </c>
      <c r="AG235" s="181" t="str">
        <f t="shared" si="181"/>
        <v>Shuttle/Test</v>
      </c>
      <c r="AH235" s="78" t="str">
        <f t="shared" si="183"/>
        <v>"%USERPROFILE%\Documents\GitHub\eaglep3\Utilities\RefineRTDCRunTimes.py" --tripid 75-26 --locoid 4023 --swversion DE.1.0.9.0 --startMP 204:3199 --initTime 2017-09-26T16:11:04 --startdatetime 2017-09-26T16:13:39 --delay 55 --endMP 204:149 --enddatetime 2017-09-26T16:15:59 --enforcementcount 0 &gt;&gt;c:\users\stu\Documents\GitHub\eaglep3-reporting\EC\2017-09-26-refined-times.txt</v>
      </c>
      <c r="AI235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0.0149"},{"id":17,"name":"Train ID","value":"75-26"},{"id":16,"name":"Locomotive ID","value":"4023"},{"id":130,"name":"Impact","value":""},{"id":150,"name":"Time of Event (Mountain Time)","value":"16:15:59"},{"id":151,"name":"Denver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85"/>
        <v>start /low /b %USERPROFILE%\Documents\GitHub\eaglep3\Utilities\DownloadLogsFromS3.py --loco 4023 --day 2017-09-26</v>
      </c>
      <c r="AN235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22:15:59"},{"id":29,"name":"Sharepoint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7" t="str">
        <f t="shared" si="187"/>
        <v>https://d0f6bd738d7f1b3e5a7ca70fe4ff75f0.us-east-1.aws.found.io/app/kibana#/discover/Steve-Slow-Train-Analysis-(2080s-and-2083s)?_g=(refreshInterval:(display:Off,pause:!f,section:0,value:0),time:(from:'2017-09-26T15:11:04-0600',mode:absolute,to:'2017-09-26T17:15:59-0600'))&amp;_a=(columns:!('Message%20ID',Summary),filters:!(),index:'emp_*',interval:auto,query:(query_string:(analyze_wildcard:!t,query:'%22rtdc.l.rtdc.4023%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 s="32" t="s">
        <v>778</v>
      </c>
      <c r="B236" s="7">
        <v>4024</v>
      </c>
      <c r="C236" s="21" t="s">
        <v>196</v>
      </c>
      <c r="D236" s="21" t="s">
        <v>931</v>
      </c>
      <c r="E236" s="13">
        <v>43004.669525462959</v>
      </c>
      <c r="F236" s="13">
        <v>43004.676145833335</v>
      </c>
      <c r="G236" s="7">
        <v>76</v>
      </c>
      <c r="H236" s="21" t="s">
        <v>932</v>
      </c>
      <c r="I236" s="13">
        <v>43004.677766203706</v>
      </c>
      <c r="J236" s="7">
        <v>0</v>
      </c>
      <c r="K236" s="89" t="str">
        <f t="shared" si="170"/>
        <v>4023/4024</v>
      </c>
      <c r="L236" s="184" t="str">
        <f>VLOOKUP(A236,'Trips&amp;Operators'!$C$1:$G$99911,5,FALSE)</f>
        <v>MOSES BRADLEY</v>
      </c>
      <c r="M236" s="6">
        <f t="shared" si="171"/>
        <v>1.6203703708015382E-3</v>
      </c>
      <c r="N236" s="7">
        <f t="shared" si="188"/>
        <v>2.333333333954215</v>
      </c>
      <c r="O236" s="7"/>
      <c r="P236" s="7"/>
      <c r="Q236" s="22"/>
      <c r="R236" s="173"/>
      <c r="S236" s="220">
        <f t="shared" si="172"/>
        <v>0</v>
      </c>
      <c r="T236" s="173" t="str">
        <f t="shared" si="173"/>
        <v>NorthBound</v>
      </c>
      <c r="U236" s="19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5" t="str">
        <f t="shared" si="174"/>
        <v>https://d0f6bd738d7f1b3e5a7ca70fe4ff75f0.us-east-1.aws.found.io/app/kibana#/discover/Steve-Slow-Train-Analysis-(2080s-and-2083s)?_g=(refreshInterval:(display:Off,pause:!f,section:0,value:0),time:(from:'2017-09-26T15:04:07-0600',mode:absolute,to:'2017-09-26T17:15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203" t="str">
        <f>IF(AA236&lt;VLOOKUP(AG236,Variables!$AC$3:$AD$8,2,FALSE),"Y","N")</f>
        <v>Y</v>
      </c>
      <c r="X236" s="203">
        <f t="shared" si="182"/>
        <v>0</v>
      </c>
      <c r="Y236" s="203">
        <f t="shared" si="175"/>
        <v>0.1177</v>
      </c>
      <c r="Z236" s="203">
        <f t="shared" si="176"/>
        <v>0.3528</v>
      </c>
      <c r="AA236" s="203">
        <f t="shared" si="177"/>
        <v>0.2351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8">
        <f t="shared" si="178"/>
        <v>75</v>
      </c>
      <c r="AE236" s="77" t="str">
        <f t="shared" si="179"/>
        <v>aws s3 cp s3://rtdc.mdm.uploadarchive.raw/RTDC4024/ "%USERPROFILE%\AppData\Local\Temp\OnboardLogs"\RTDC4024\2017-09-26 --exclude "*" --recursive --include "*20170926*" &amp; "%USERPROFILE%\Documents\GitHub\mrs-test-scripts\Headless Mode &amp; Sideloading\WalkAndUnGZ.bat" "%USERPROFILE%\AppData\Local\Temp\OnboardLogs"\RTDC4024\2017-09-26 &amp; aws s3 cp s3://rtdc.mdm.uploadarchive.raw/RTDC4024/ "%USERPROFILE%\AppData\Local\Temp\OnboardLogs"\RTDC4024\2017-09-27 --exclude "*" --recursive --include "*20170927*" &amp; "%USERPROFILE%\Documents\GitHub\mrs-test-scripts\Headless Mode &amp; Sideloading\WalkAndUnGZ.bat" "%USERPROFILE%\AppData\Local\Temp\OnboardLogs"\RTDC4024\2017-09-27</v>
      </c>
      <c r="AF236" s="74" t="str">
        <f t="shared" si="180"/>
        <v>"C:\Program Files (x86)\AstroGrep\AstroGrep.exe" /e /r /s /spath="%USERPROFILE%\AppData\Local\Temp\OnboardLogs" /stypes="app*4024*20170926*" /stext=" 22:.+((SYSTEM_STATE.+slice.+state.+changed )|(ment ac)|(multiple cpu faults)|(system.+state.+changed )|(\[timeout)|(PRM\|1\|D)|(kpr)|(kdp)|(train st.+moving)|(\|lc)|(penalty))"</v>
      </c>
      <c r="AG236" s="181" t="str">
        <f t="shared" si="181"/>
        <v>Shuttle/Test</v>
      </c>
      <c r="AH236" s="78" t="str">
        <f t="shared" si="183"/>
        <v>"%USERPROFILE%\Documents\GitHub\eaglep3\Utilities\RefineRTDCRunTimes.py" --tripid 75-26 --locoid 4024 --swversion DE.1.0.9.0 --startMP 204:1177 --initTime 2017-09-26T16:04:07 --startdatetime 2017-09-26T16:13:39 --delay 76 --endMP 204:3528 --enddatetime 2017-09-26T16:15:59 --enforcementcount 0 &gt;&gt;c:\users\stu\Documents\GitHub\eaglep3-reporting\EC\2017-09-26-refined-times.txt</v>
      </c>
      <c r="AI236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0.3528"},{"id":17,"name":"Train ID","value":"75-26"},{"id":16,"name":"Locomotive ID","value":"4024"},{"id":130,"name":"Impact","value":""},{"id":150,"name":"Time of Event (Mountain Time)","value":"16:15:59"},{"id":151,"name":"Denver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85"/>
        <v>start /low /b %USERPROFILE%\Documents\GitHub\eaglep3\Utilities\DownloadLogsFromS3.py --loco 4024 --day 2017-09-26</v>
      </c>
      <c r="AN236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22:15:59"},{"id":29,"name":"Sharepoint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7" t="str">
        <f t="shared" si="187"/>
        <v>https://d0f6bd738d7f1b3e5a7ca70fe4ff75f0.us-east-1.aws.found.io/app/kibana#/discover/Steve-Slow-Train-Analysis-(2080s-and-2083s)?_g=(refreshInterval:(display:Off,pause:!f,section:0,value:0),time:(from:'2017-09-26T15:04:07-0600',mode:absolute,to:'2017-09-26T17:15:59-0600'))&amp;_a=(columns:!('Message%20ID',Summary),filters:!(),index:'emp_*',interval:auto,query:(query_string:(analyze_wildcard:!t,query:'%22rtdc.l.rtdc.4024%22')),sort:!(Time.ISO8601,asc))</v>
      </c>
    </row>
    <row r="237" spans="1:91" s="20" customFormat="1" x14ac:dyDescent="0.25">
      <c r="A237" s="32" t="s">
        <v>782</v>
      </c>
      <c r="B237" s="7">
        <v>4010</v>
      </c>
      <c r="C237" s="21" t="s">
        <v>196</v>
      </c>
      <c r="D237" s="21" t="s">
        <v>933</v>
      </c>
      <c r="E237" s="13">
        <v>43004.682187500002</v>
      </c>
      <c r="F237" s="13">
        <v>43004.689386574071</v>
      </c>
      <c r="G237" s="7">
        <v>80</v>
      </c>
      <c r="H237" s="21" t="s">
        <v>934</v>
      </c>
      <c r="I237" s="13">
        <v>43004.691319444442</v>
      </c>
      <c r="J237" s="7">
        <v>0</v>
      </c>
      <c r="K237" s="89" t="str">
        <f t="shared" si="170"/>
        <v>4009/4010</v>
      </c>
      <c r="L237" s="184" t="str">
        <f>VLOOKUP(A237,'Trips&amp;Operators'!$C$1:$G$99911,5,FALSE)</f>
        <v>ZEWDU DEREJE</v>
      </c>
      <c r="M237" s="6">
        <f t="shared" si="171"/>
        <v>1.9328703710925765E-3</v>
      </c>
      <c r="N237" s="7">
        <f t="shared" si="188"/>
        <v>2.7833333343733102</v>
      </c>
      <c r="O237" s="7"/>
      <c r="P237" s="7"/>
      <c r="Q237" s="22"/>
      <c r="R237" s="173"/>
      <c r="S237" s="220">
        <f t="shared" si="172"/>
        <v>0</v>
      </c>
      <c r="T237" s="173" t="str">
        <f t="shared" si="173"/>
        <v>NorthBound</v>
      </c>
      <c r="U237" s="19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5" t="str">
        <f t="shared" si="174"/>
        <v>https://d0f6bd738d7f1b3e5a7ca70fe4ff75f0.us-east-1.aws.found.io/app/kibana#/discover/Steve-Slow-Train-Analysis-(2080s-and-2083s)?_g=(refreshInterval:(display:Off,pause:!f,section:0,value:0),time:(from:'2017-09-26T15:22:21-0600',mode:absolute,to:'2017-09-26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7" s="203" t="str">
        <f>IF(AA237&lt;VLOOKUP(AG237,Variables!$AC$3:$AD$8,2,FALSE),"Y","N")</f>
        <v>Y</v>
      </c>
      <c r="X237" s="203">
        <f t="shared" si="182"/>
        <v>2</v>
      </c>
      <c r="Y237" s="203">
        <f t="shared" si="175"/>
        <v>0.1201</v>
      </c>
      <c r="Z237" s="203">
        <f t="shared" si="176"/>
        <v>0.55740000000000001</v>
      </c>
      <c r="AA237" s="203">
        <f t="shared" si="177"/>
        <v>0.43730000000000002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8">
        <f t="shared" si="178"/>
        <v>77</v>
      </c>
      <c r="AE237" s="77" t="str">
        <f t="shared" si="179"/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AF237" s="74" t="str">
        <f t="shared" si="180"/>
        <v>"C:\Program Files (x86)\AstroGrep\AstroGrep.exe" /e /r /s /spath="%USERPROFILE%\AppData\Local\Temp\OnboardLogs" /stypes="app*4010*20170926*" /stext=" 22:.+((SYSTEM_STATE.+slice.+state.+changed )|(ment ac)|(multiple cpu faults)|(system.+state.+changed )|(\[timeout)|(PRM\|1\|D)|(kpr)|(kdp)|(train st.+moving)|(\|lc)|(penalty))"</v>
      </c>
      <c r="AG237" s="181" t="str">
        <f t="shared" si="181"/>
        <v>Shuttle/Test</v>
      </c>
      <c r="AH237" s="78" t="str">
        <f t="shared" si="183"/>
        <v>"%USERPROFILE%\Documents\GitHub\eaglep3\Utilities\RefineRTDCRunTimes.py" --tripid 77-26 --locoid 4010 --swversion DE.1.0.9.0 --startMP 204:1201 --initTime 2017-09-26T16:22:21 --startdatetime 2017-09-26T16:32:43 --delay 80 --endMP 300:5574 --enddatetime 2017-09-26T16:35:30 --enforcementcount 0 &gt;&gt;c:\users\stu\Documents\GitHub\eaglep3-reporting\EC\2017-09-26-refined-times.txt</v>
      </c>
      <c r="AI237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0.5574"},{"id":17,"name":"Train ID","value":"77-26"},{"id":16,"name":"Locomotive ID","value":"4010"},{"id":130,"name":"Impact","value":""},{"id":150,"name":"Time of Event (Mountain Time)","value":"16:35:30"},{"id":151,"name":"Denver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185"/>
        <v>start /low /b %USERPROFILE%\Documents\GitHub\eaglep3\Utilities\DownloadLogsFromS3.py --loco 4010 --day 2017-09-26</v>
      </c>
      <c r="AN237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7" t="str">
        <f t="shared" si="187"/>
        <v>https://d0f6bd738d7f1b3e5a7ca70fe4ff75f0.us-east-1.aws.found.io/app/kibana#/discover/Steve-Slow-Train-Analysis-(2080s-and-2083s)?_g=(refreshInterval:(display:Off,pause:!f,section:0,value:0),time:(from:'2017-09-26T15:22:21-0600',mode:absolute,to:'2017-09-26T17:35:30-0600'))&amp;_a=(columns:!('Message%20ID',Summary),filters:!(),index:'emp_*',interval:auto,query:(query_string:(analyze_wildcard:!t,query:'%22rtdc.l.rtdc.4010%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782</v>
      </c>
      <c r="B238" s="7">
        <v>4009</v>
      </c>
      <c r="C238" s="21" t="s">
        <v>196</v>
      </c>
      <c r="D238" s="21" t="s">
        <v>935</v>
      </c>
      <c r="E238" s="13">
        <v>43004.686585648145</v>
      </c>
      <c r="F238" s="13">
        <v>43004.689386574071</v>
      </c>
      <c r="G238" s="7">
        <v>89</v>
      </c>
      <c r="H238" s="21" t="s">
        <v>339</v>
      </c>
      <c r="I238" s="13">
        <v>43004.691319444442</v>
      </c>
      <c r="J238" s="7">
        <v>0</v>
      </c>
      <c r="K238" s="89" t="str">
        <f t="shared" si="170"/>
        <v>4009/4010</v>
      </c>
      <c r="L238" s="184" t="str">
        <f>VLOOKUP(A238,'Trips&amp;Operators'!$C$1:$G$99911,5,FALSE)</f>
        <v>ZEWDU DEREJE</v>
      </c>
      <c r="M238" s="6">
        <f t="shared" si="171"/>
        <v>1.9328703710925765E-3</v>
      </c>
      <c r="N238" s="7">
        <f t="shared" si="188"/>
        <v>2.7833333343733102</v>
      </c>
      <c r="O238" s="7"/>
      <c r="P238" s="7"/>
      <c r="Q238" s="22"/>
      <c r="R238" s="173"/>
      <c r="S238" s="220">
        <f t="shared" si="172"/>
        <v>0</v>
      </c>
      <c r="T238" s="173" t="str">
        <f t="shared" si="173"/>
        <v>NorthBound</v>
      </c>
      <c r="U238" s="19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5" t="str">
        <f t="shared" si="174"/>
        <v>https://d0f6bd738d7f1b3e5a7ca70fe4ff75f0.us-east-1.aws.found.io/app/kibana#/discover/Steve-Slow-Train-Analysis-(2080s-and-2083s)?_g=(refreshInterval:(display:Off,pause:!f,section:0,value:0),time:(from:'2017-09-26T15:28:41-0600',mode:absolute,to:'2017-09-26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8" s="203" t="str">
        <f>IF(AA238&lt;VLOOKUP(AG238,Variables!$AC$3:$AD$8,2,FALSE),"Y","N")</f>
        <v>Y</v>
      </c>
      <c r="X238" s="203">
        <f t="shared" si="182"/>
        <v>0</v>
      </c>
      <c r="Y238" s="203">
        <f t="shared" si="175"/>
        <v>0.53339999999999999</v>
      </c>
      <c r="Z238" s="203">
        <f t="shared" si="176"/>
        <v>1.43E-2</v>
      </c>
      <c r="AA238" s="203">
        <f t="shared" si="177"/>
        <v>0.51910000000000001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8">
        <f t="shared" si="178"/>
        <v>77</v>
      </c>
      <c r="AE238" s="77" t="str">
        <f t="shared" si="179"/>
        <v>aws s3 cp s3://rtdc.mdm.uploadarchive.raw/RTDC4009/ "%USERPROFILE%\AppData\Local\Temp\OnboardLogs"\RTDC4009\2017-09-26 --exclude "*" --recursive --include "*20170926*" &amp; "%USERPROFILE%\Documents\GitHub\mrs-test-scripts\Headless Mode &amp; Sideloading\WalkAndUnGZ.bat" "%USERPROFILE%\AppData\Local\Temp\OnboardLogs"\RTDC4009\2017-09-26 &amp; 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</v>
      </c>
      <c r="AF238" s="74" t="str">
        <f t="shared" si="180"/>
        <v>"C:\Program Files (x86)\AstroGrep\AstroGrep.exe" /e /r /s /spath="%USERPROFILE%\AppData\Local\Temp\OnboardLogs" /stypes="app*4009*20170926*" /stext=" 22:.+((SYSTEM_STATE.+slice.+state.+changed )|(ment ac)|(multiple cpu faults)|(system.+state.+changed )|(\[timeout)|(PRM\|1\|D)|(kpr)|(kdp)|(train st.+moving)|(\|lc)|(penalty))"</v>
      </c>
      <c r="AG238" s="181" t="str">
        <f t="shared" si="181"/>
        <v>Shuttle/Test</v>
      </c>
      <c r="AH238" s="78" t="str">
        <f t="shared" si="183"/>
        <v>"%USERPROFILE%\Documents\GitHub\eaglep3\Utilities\RefineRTDCRunTimes.py" --tripid 77-26 --locoid 4009 --swversion DE.1.0.9.0 --startMP 300:5334 --initTime 2017-09-26T16:28:41 --startdatetime 2017-09-26T16:32:43 --delay 89 --endMP 204:143 --enddatetime 2017-09-26T16:35:30 --enforcementcount 0 &gt;&gt;c:\users\stu\Documents\GitHub\eaglep3-reporting\EC\2017-09-26-refined-times.txt</v>
      </c>
      <c r="AI238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0.0143"},{"id":17,"name":"Train ID","value":"77-26"},{"id":16,"name":"Locomotive ID","value":"4009"},{"id":130,"name":"Impact","value":""},{"id":150,"name":"Time of Event (Mountain Time)","value":"16:35:30"},{"id":151,"name":"Denver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185"/>
        <v>start /low /b %USERPROFILE%\Documents\GitHub\eaglep3\Utilities\DownloadLogsFromS3.py --loco 4009 --day 2017-09-26</v>
      </c>
      <c r="AN238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7" t="str">
        <f t="shared" si="187"/>
        <v>https://d0f6bd738d7f1b3e5a7ca70fe4ff75f0.us-east-1.aws.found.io/app/kibana#/discover/Steve-Slow-Train-Analysis-(2080s-and-2083s)?_g=(refreshInterval:(display:Off,pause:!f,section:0,value:0),time:(from:'2017-09-26T15:28:41-0600',mode:absolute,to:'2017-09-26T17:35:30-0600'))&amp;_a=(columns:!('Message%20ID',Summary),filters:!(),index:'emp_*',interval:auto,query:(query_string:(analyze_wildcard:!t,query:'%22rtdc.l.rtdc.4009%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798</v>
      </c>
      <c r="B239" s="7">
        <v>4054</v>
      </c>
      <c r="C239" s="21" t="s">
        <v>196</v>
      </c>
      <c r="D239" s="21" t="s">
        <v>936</v>
      </c>
      <c r="E239" s="13">
        <v>43004.737673611111</v>
      </c>
      <c r="F239" s="13">
        <v>43004.73878472222</v>
      </c>
      <c r="G239" s="7">
        <v>46</v>
      </c>
      <c r="H239" s="21" t="s">
        <v>434</v>
      </c>
      <c r="I239" s="13">
        <v>43004.745370370372</v>
      </c>
      <c r="J239" s="7">
        <v>0</v>
      </c>
      <c r="K239" s="89" t="str">
        <f t="shared" si="170"/>
        <v>4053/4054</v>
      </c>
      <c r="L239" s="184" t="str">
        <f>VLOOKUP(A239,'Trips&amp;Operators'!$C$1:$G$99911,5,FALSE)</f>
        <v>LEVIN SCOTT</v>
      </c>
      <c r="M239" s="6">
        <f t="shared" si="171"/>
        <v>6.5856481523951516E-3</v>
      </c>
      <c r="N239" s="7">
        <f t="shared" si="188"/>
        <v>9.4833333394490182</v>
      </c>
      <c r="O239" s="7"/>
      <c r="P239" s="7"/>
      <c r="Q239" s="22"/>
      <c r="R239" s="173"/>
      <c r="S239" s="220">
        <f t="shared" si="172"/>
        <v>1</v>
      </c>
      <c r="T239" s="173" t="str">
        <f t="shared" si="173"/>
        <v>NorthBound</v>
      </c>
      <c r="U239" s="19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5" t="str">
        <f t="shared" si="174"/>
        <v>https://d0f6bd738d7f1b3e5a7ca70fe4ff75f0.us-east-1.aws.found.io/app/kibana#/discover/Steve-Slow-Train-Analysis-(2080s-and-2083s)?_g=(refreshInterval:(display:Off,pause:!f,section:0,value:0),time:(from:'2017-09-26T16:42:15-0600',mode:absolute,to:'2017-09-26T18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9" s="203" t="str">
        <f>IF(AA239&lt;VLOOKUP(AG239,Variables!$AC$3:$AD$8,2,FALSE),"Y","N")</f>
        <v>Y</v>
      </c>
      <c r="X239" s="203">
        <f t="shared" si="182"/>
        <v>2</v>
      </c>
      <c r="Y239" s="203">
        <f t="shared" si="175"/>
        <v>0.12659999999999999</v>
      </c>
      <c r="Z239" s="203">
        <f t="shared" si="176"/>
        <v>2.3346</v>
      </c>
      <c r="AA239" s="203">
        <f t="shared" si="177"/>
        <v>2.2080000000000002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8">
        <f t="shared" si="178"/>
        <v>79</v>
      </c>
      <c r="AE239" s="77" t="str">
        <f t="shared" si="179"/>
        <v>aws s3 cp s3://rtdc.mdm.uploadarchive.raw/RTDC4054/ "%USERPROFILE%\AppData\Local\Temp\OnboardLogs"\RTDC4054\2017-09-26 --exclude "*" --recursive --include "*20170926*" &amp; "%USERPROFILE%\Documents\GitHub\mrs-test-scripts\Headless Mode &amp; Sideloading\WalkAndUnGZ.bat" "%USERPROFILE%\AppData\Local\Temp\OnboardLogs"\RTDC4054\2017-09-26 &amp; 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</v>
      </c>
      <c r="AF239" s="74" t="str">
        <f t="shared" si="180"/>
        <v>"C:\Program Files (x86)\AstroGrep\AstroGrep.exe" /e /r /s /spath="%USERPROFILE%\AppData\Local\Temp\OnboardLogs" /stypes="app*4054*20170926*" /stext=" 23:.+((SYSTEM_STATE.+slice.+state.+changed )|(ment ac)|(multiple cpu faults)|(system.+state.+changed )|(\[timeout)|(PRM\|1\|D)|(kpr)|(kdp)|(train st.+moving)|(\|lc)|(penalty))"</v>
      </c>
      <c r="AG239" s="181" t="str">
        <f t="shared" si="181"/>
        <v>Shuttle/Test</v>
      </c>
      <c r="AH239" s="78" t="str">
        <f t="shared" si="183"/>
        <v>"%USERPROFILE%\Documents\GitHub\eaglep3\Utilities\RefineRTDCRunTimes.py" --tripid 79-26 --locoid 4054 --swversion DE.1.0.9.0 --startMP 204:1266 --initTime 2017-09-26T17:42:15 --startdatetime 2017-09-26T17:43:51 --delay 46 --endMP 300:23346 --enddatetime 2017-09-26T17:53:20 --enforcementcount 0 &gt;&gt;c:\users\stu\Documents\GitHub\eaglep3-reporting\EC\2017-09-26-refined-times.txt</v>
      </c>
      <c r="AI239" s="96" t="str">
        <f t="shared" si="184"/>
        <v>echo {"issue":{"subject":"","project_id":79,"tracker_id":40,"status_id":1,"priority_id":2,"assigned_to_id":338,"start_date":"2017-09-26","description":"","custom_fields":[{"id":1,"name":"Subdivision","value":"Shuttle/Test"},{"id":4,"name":"Milepost","value":"2.3346"},{"id":17,"name":"Train ID","value":"79-26"},{"id":16,"name":"Locomotive ID","value":"4054"},{"id":130,"name":"Impact","value":""},{"id":150,"name":"Time of Event (Mountain Time)","value":"17:53:20"},{"id":151,"name":"Denver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85"/>
        <v>start /low /b %USERPROFILE%\Documents\GitHub\eaglep3\Utilities\DownloadLogsFromS3.py --loco 4054 --day 2017-09-26</v>
      </c>
      <c r="AN239" s="151" t="str">
        <f t="shared" si="186"/>
        <v>echo {"issue":{"subject":"","project_id":30,"tracker_id":4,"status_id":1,"priority_id":1,"assigned_to_id":10,"start_date":"2017-09-26","description":"","custom_fields":[{"id":30,"name":"Category","value":"Issue"},{"id":3,"name":"Functional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UTC","value":"2017-09-26 23:53:20"},{"id":29,"name":"Sharepoint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7" t="str">
        <f t="shared" si="187"/>
        <v>https://d0f6bd738d7f1b3e5a7ca70fe4ff75f0.us-east-1.aws.found.io/app/kibana#/discover/Steve-Slow-Train-Analysis-(2080s-and-2083s)?_g=(refreshInterval:(display:Off,pause:!f,section:0,value:0),time:(from:'2017-09-26T16:42:15-0600',mode:absolute,to:'2017-09-26T18:53:20-0600'))&amp;_a=(columns:!('Message%20ID',Summary),filters:!(),index:'emp_*',interval:auto,query:(query_string:(analyze_wildcard:!t,query:'%22rtdc.l.rtdc.4054%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</sheetData>
  <autoFilter ref="A12:AG323">
    <sortState ref="A13:AG323">
      <sortCondition ref="AG13:AG239"/>
      <sortCondition ref="AD13:AD239"/>
    </sortState>
  </autoFilter>
  <sortState ref="A13:AN270">
    <sortCondition ref="AG13:AG270"/>
    <sortCondition ref="AD13:AD270"/>
  </sortState>
  <mergeCells count="1">
    <mergeCell ref="A11:P11"/>
  </mergeCells>
  <conditionalFormatting sqref="W11:W12 W329:X1048576 W161:X239 W159:W160">
    <cfRule type="cellIs" dxfId="51" priority="461" operator="equal">
      <formula>"Y"</formula>
    </cfRule>
  </conditionalFormatting>
  <conditionalFormatting sqref="X329:X1048576 X161:X239">
    <cfRule type="cellIs" dxfId="50" priority="444" operator="greaterThan">
      <formula>1</formula>
    </cfRule>
  </conditionalFormatting>
  <conditionalFormatting sqref="X329:X1048576 X12 X161:X239">
    <cfRule type="cellIs" dxfId="49" priority="441" operator="equal">
      <formula>0</formula>
    </cfRule>
  </conditionalFormatting>
  <conditionalFormatting sqref="A159:S239">
    <cfRule type="expression" dxfId="48" priority="435" stopIfTrue="1">
      <formula>$P159&gt;0</formula>
    </cfRule>
    <cfRule type="expression" dxfId="47" priority="436" stopIfTrue="1">
      <formula>$O159&gt;0</formula>
    </cfRule>
  </conditionalFormatting>
  <conditionalFormatting sqref="W13:X50">
    <cfRule type="cellIs" dxfId="46" priority="39" operator="equal">
      <formula>"Y"</formula>
    </cfRule>
  </conditionalFormatting>
  <conditionalFormatting sqref="X13:X50">
    <cfRule type="cellIs" dxfId="45" priority="38" operator="greaterThan">
      <formula>1</formula>
    </cfRule>
  </conditionalFormatting>
  <conditionalFormatting sqref="X13:X50">
    <cfRule type="cellIs" dxfId="44" priority="37" operator="equal">
      <formula>0</formula>
    </cfRule>
  </conditionalFormatting>
  <conditionalFormatting sqref="A13:S50">
    <cfRule type="expression" dxfId="43" priority="34" stopIfTrue="1">
      <formula>$P13&gt;0</formula>
    </cfRule>
    <cfRule type="expression" dxfId="42" priority="35" stopIfTrue="1">
      <formula>$O13&gt;0</formula>
    </cfRule>
  </conditionalFormatting>
  <conditionalFormatting sqref="W51:X90">
    <cfRule type="cellIs" dxfId="41" priority="32" operator="equal">
      <formula>"Y"</formula>
    </cfRule>
  </conditionalFormatting>
  <conditionalFormatting sqref="X51:X90">
    <cfRule type="cellIs" dxfId="40" priority="31" operator="greaterThan">
      <formula>1</formula>
    </cfRule>
  </conditionalFormatting>
  <conditionalFormatting sqref="X51:X90">
    <cfRule type="cellIs" dxfId="39" priority="30" operator="equal">
      <formula>0</formula>
    </cfRule>
  </conditionalFormatting>
  <conditionalFormatting sqref="A51:S90">
    <cfRule type="expression" dxfId="38" priority="27" stopIfTrue="1">
      <formula>$P51&gt;0</formula>
    </cfRule>
    <cfRule type="expression" dxfId="37" priority="28" stopIfTrue="1">
      <formula>$O51&gt;0</formula>
    </cfRule>
  </conditionalFormatting>
  <conditionalFormatting sqref="W91:X113">
    <cfRule type="cellIs" dxfId="36" priority="25" operator="equal">
      <formula>"Y"</formula>
    </cfRule>
  </conditionalFormatting>
  <conditionalFormatting sqref="X91:X113">
    <cfRule type="cellIs" dxfId="35" priority="24" operator="greaterThan">
      <formula>1</formula>
    </cfRule>
  </conditionalFormatting>
  <conditionalFormatting sqref="X91:X113">
    <cfRule type="cellIs" dxfId="34" priority="23" operator="equal">
      <formula>0</formula>
    </cfRule>
  </conditionalFormatting>
  <conditionalFormatting sqref="A91:S112">
    <cfRule type="expression" dxfId="33" priority="20" stopIfTrue="1">
      <formula>$P91&gt;0</formula>
    </cfRule>
    <cfRule type="expression" dxfId="32" priority="21" stopIfTrue="1">
      <formula>$O91&gt;0</formula>
    </cfRule>
  </conditionalFormatting>
  <conditionalFormatting sqref="A113:S113">
    <cfRule type="expression" dxfId="31" priority="16" stopIfTrue="1">
      <formula>$P113&gt;0</formula>
    </cfRule>
    <cfRule type="expression" dxfId="30" priority="17" stopIfTrue="1">
      <formula>$O113&gt;0</formula>
    </cfRule>
  </conditionalFormatting>
  <conditionalFormatting sqref="W114:X140">
    <cfRule type="cellIs" dxfId="29" priority="14" operator="equal">
      <formula>"Y"</formula>
    </cfRule>
  </conditionalFormatting>
  <conditionalFormatting sqref="X114:X140">
    <cfRule type="cellIs" dxfId="28" priority="13" operator="greaterThan">
      <formula>1</formula>
    </cfRule>
  </conditionalFormatting>
  <conditionalFormatting sqref="X114:X140">
    <cfRule type="cellIs" dxfId="27" priority="12" operator="equal">
      <formula>0</formula>
    </cfRule>
  </conditionalFormatting>
  <conditionalFormatting sqref="A114:S140">
    <cfRule type="expression" dxfId="26" priority="9" stopIfTrue="1">
      <formula>$P114&gt;0</formula>
    </cfRule>
    <cfRule type="expression" dxfId="25" priority="10" stopIfTrue="1">
      <formula>$O114&gt;0</formula>
    </cfRule>
  </conditionalFormatting>
  <conditionalFormatting sqref="W141:X158 X159:X160">
    <cfRule type="cellIs" dxfId="24" priority="7" operator="equal">
      <formula>"Y"</formula>
    </cfRule>
  </conditionalFormatting>
  <conditionalFormatting sqref="X141:X160">
    <cfRule type="cellIs" dxfId="23" priority="6" operator="greaterThan">
      <formula>1</formula>
    </cfRule>
  </conditionalFormatting>
  <conditionalFormatting sqref="X141:X160">
    <cfRule type="cellIs" dxfId="22" priority="5" operator="equal">
      <formula>0</formula>
    </cfRule>
  </conditionalFormatting>
  <conditionalFormatting sqref="A141:S158">
    <cfRule type="expression" dxfId="21" priority="2" stopIfTrue="1">
      <formula>$P141&gt;0</formula>
    </cfRule>
    <cfRule type="expression" dxfId="20" priority="3" stopIfTrue="1">
      <formula>$O141&gt;0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7" stopIfTrue="1" id="{07B64F47-9FD1-48B1-84DC-90BBCF0B8697}">
            <xm:f>IF($AG159="EC",OR($N159&gt;Variables!$C$2,$N159&lt;Variables!$C$5),OR($N159&gt;Variables!$D$2,$N159&lt;Variables!$D$5))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A159:S239</xm:sqref>
        </x14:conditionalFormatting>
        <x14:conditionalFormatting xmlns:xm="http://schemas.microsoft.com/office/excel/2006/main">
          <x14:cfRule type="expression" priority="120" stopIfTrue="1" id="{44578D0A-3CE8-4388-A6D0-8700858490EC}">
            <xm:f>IF($AG159="EC",OR($N159&gt;Variables!#REF!,$N159&lt;Variables!#REF!),OR($N159&gt;Variables!#REF!,$N159&lt;Variables!#REF!))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A159:S239</xm:sqref>
        </x14:conditionalFormatting>
        <x14:conditionalFormatting xmlns:xm="http://schemas.microsoft.com/office/excel/2006/main">
          <x14:cfRule type="expression" priority="36" stopIfTrue="1" id="{4E3FCD94-261E-4E04-A3EA-74AC2FFD608C}">
            <xm:f>IF($AG13="EC",OR($N13&gt;'\Users\stu\Desktop\[Train Runs and Enforcements 2017-09-26 a.xlsm]Variables'!#REF!,$N13&lt;'\Users\stu\Desktop\[Train Runs and Enforcements 2017-09-26 a.xlsm]Variables'!#REF!),OR($N13&gt;'\Users\stu\Desktop\[Train Runs and Enforcements 2017-09-26 a.xlsm]Variables'!#REF!,$N13&lt;'\Users\stu\Desktop\[Train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A13:S50</xm:sqref>
        </x14:conditionalFormatting>
        <x14:conditionalFormatting xmlns:xm="http://schemas.microsoft.com/office/excel/2006/main">
          <x14:cfRule type="expression" priority="33" stopIfTrue="1" id="{FC9417C3-FFBB-488A-8E3D-028CCF7AA12A}">
            <xm:f>IF($AG13="EC",OR($N13&gt;'\Users\stu\Desktop\[Train Runs and Enforcements 2017-09-26 a.xlsm]Variables'!#REF!,$N13&lt;'\Users\stu\Desktop\[Train Runs and Enforcements 2017-09-26 a.xlsm]Variables'!#REF!),OR($N13&gt;'\Users\stu\Desktop\[Train Runs and Enforcements 2017-09-26 a.xlsm]Variables'!#REF!,$N13&lt;'\Users\stu\Desktop\[Train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A13:S50</xm:sqref>
        </x14:conditionalFormatting>
        <x14:conditionalFormatting xmlns:xm="http://schemas.microsoft.com/office/excel/2006/main">
          <x14:cfRule type="expression" priority="29" stopIfTrue="1" id="{55EE024B-5CF4-4FC7-8468-CADA30E89E44}">
            <xm:f>IF($AG51="EC",OR($N51&gt;'\Users\stu\Desktop\[Train Runs and Enforcements 2017-09-26 a.xlsm]Variables'!#REF!,$N51&lt;'\Users\stu\Desktop\[Train Runs and Enforcements 2017-09-26 a.xlsm]Variables'!#REF!),OR($N51&gt;'\Users\stu\Desktop\[Train Runs and Enforcements 2017-09-26 a.xlsm]Variables'!#REF!,$N51&lt;'\Users\stu\Desktop\[Train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A51:S90</xm:sqref>
        </x14:conditionalFormatting>
        <x14:conditionalFormatting xmlns:xm="http://schemas.microsoft.com/office/excel/2006/main">
          <x14:cfRule type="expression" priority="26" stopIfTrue="1" id="{D8F39B6E-4C6A-42C6-9CAC-7A157D7305C8}">
            <xm:f>IF($AG51="EC",OR($N51&gt;'\Users\stu\Desktop\[Train Runs and Enforcements 2017-09-26 a.xlsm]Variables'!#REF!,$N51&lt;'\Users\stu\Desktop\[Train Runs and Enforcements 2017-09-26 a.xlsm]Variables'!#REF!),OR($N51&gt;'\Users\stu\Desktop\[Train Runs and Enforcements 2017-09-26 a.xlsm]Variables'!#REF!,$N51&lt;'\Users\stu\Desktop\[Train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A51:S90</xm:sqref>
        </x14:conditionalFormatting>
        <x14:conditionalFormatting xmlns:xm="http://schemas.microsoft.com/office/excel/2006/main">
          <x14:cfRule type="expression" priority="22" stopIfTrue="1" id="{8ACEAF91-9A51-4CFB-8A8D-A3ADC5F46F0C}">
            <xm:f>IF($AG91="EC",OR($N91&gt;'\Users\stu\Desktop\[Train Runs and Enforcements 2017-09-26 a.xlsm]Variables'!#REF!,$N91&lt;'\Users\stu\Desktop\[Train Runs and Enforcements 2017-09-26 a.xlsm]Variables'!#REF!),OR($N91&gt;'\Users\stu\Desktop\[Train Runs and Enforcements 2017-09-26 a.xlsm]Variables'!#REF!,$N91&lt;'\Users\stu\Desktop\[Train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A91:S112</xm:sqref>
        </x14:conditionalFormatting>
        <x14:conditionalFormatting xmlns:xm="http://schemas.microsoft.com/office/excel/2006/main">
          <x14:cfRule type="expression" priority="19" stopIfTrue="1" id="{4EB3EDAC-5CC0-4DFA-9BF0-83782A3E3726}">
            <xm:f>IF($AG91="EC",OR($N91&gt;'\Users\stu\Desktop\[Train Runs and Enforcements 2017-09-26 a.xlsm]Variables'!#REF!,$N91&lt;'\Users\stu\Desktop\[Train Runs and Enforcements 2017-09-26 a.xlsm]Variables'!#REF!),OR($N91&gt;'\Users\stu\Desktop\[Train Runs and Enforcements 2017-09-26 a.xlsm]Variables'!#REF!,$N91&lt;'\Users\stu\Desktop\[Train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A91:S112</xm:sqref>
        </x14:conditionalFormatting>
        <x14:conditionalFormatting xmlns:xm="http://schemas.microsoft.com/office/excel/2006/main">
          <x14:cfRule type="expression" priority="18" stopIfTrue="1" id="{9CF59E17-72CF-45E0-B4A8-F7DE1CD5D4AE}">
            <xm:f>IF($AG113="EC",OR($N113&gt;'\Users\stu\Desktop\[Train Runs and Enforcements 2017-09-26 a.xlsm]Variables'!#REF!,$N113&lt;'\Users\stu\Desktop\[Train Runs and Enforcements 2017-09-26 a.xlsm]Variables'!#REF!),OR($N113&gt;'\Users\stu\Desktop\[Train Runs and Enforcements 2017-09-26 a.xlsm]Variables'!#REF!,$N113&lt;'\Users\stu\Desktop\[Train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A113:S113</xm:sqref>
        </x14:conditionalFormatting>
        <x14:conditionalFormatting xmlns:xm="http://schemas.microsoft.com/office/excel/2006/main">
          <x14:cfRule type="expression" priority="15" stopIfTrue="1" id="{C7A5BFC8-AD40-4B88-9BA6-024FDB4A2AA5}">
            <xm:f>IF($AG113="EC",OR($N113&gt;'\Users\stu\Desktop\[Train Runs and Enforcements 2017-09-26 a.xlsm]Variables'!#REF!,$N113&lt;'\Users\stu\Desktop\[Train Runs and Enforcements 2017-09-26 a.xlsm]Variables'!#REF!),OR($N113&gt;'\Users\stu\Desktop\[Train Runs and Enforcements 2017-09-26 a.xlsm]Variables'!#REF!,$N113&lt;'\Users\stu\Desktop\[Train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A113:S113</xm:sqref>
        </x14:conditionalFormatting>
        <x14:conditionalFormatting xmlns:xm="http://schemas.microsoft.com/office/excel/2006/main">
          <x14:cfRule type="expression" priority="11" stopIfTrue="1" id="{368F832F-5DA9-4EB6-9D36-5D34C44D6F2D}">
            <xm:f>IF($AG114="EC",OR($N114&gt;'\Users\stu\Desktop\[Train Runs and Enforcements 2017-09-26 a.xlsm]Variables'!#REF!,$N114&lt;'\Users\stu\Desktop\[Train Runs and Enforcements 2017-09-26 a.xlsm]Variables'!#REF!),OR($N114&gt;'\Users\stu\Desktop\[Train Runs and Enforcements 2017-09-26 a.xlsm]Variables'!#REF!,$N114&lt;'\Users\stu\Desktop\[Train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A114:S140</xm:sqref>
        </x14:conditionalFormatting>
        <x14:conditionalFormatting xmlns:xm="http://schemas.microsoft.com/office/excel/2006/main">
          <x14:cfRule type="expression" priority="8" stopIfTrue="1" id="{72F6027D-0F0A-4DDA-8593-2A2EC21F759E}">
            <xm:f>IF($AG114="EC",OR($N114&gt;'\Users\stu\Desktop\[Train Runs and Enforcements 2017-09-26 a.xlsm]Variables'!#REF!,$N114&lt;'\Users\stu\Desktop\[Train Runs and Enforcements 2017-09-26 a.xlsm]Variables'!#REF!),OR($N114&gt;'\Users\stu\Desktop\[Train Runs and Enforcements 2017-09-26 a.xlsm]Variables'!#REF!,$N114&lt;'\Users\stu\Desktop\[Train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A114:S140</xm:sqref>
        </x14:conditionalFormatting>
        <x14:conditionalFormatting xmlns:xm="http://schemas.microsoft.com/office/excel/2006/main">
          <x14:cfRule type="expression" priority="4" stopIfTrue="1" id="{DC404417-98FF-4588-88E2-EA4B1A0EB915}">
            <xm:f>IF($AG141="EC",OR($N141&gt;'\Users\stu\Desktop\[Train Runs and Enforcements 2017-09-26 a.xlsm]Variables'!#REF!,$N141&lt;'\Users\stu\Desktop\[Train Runs and Enforcements 2017-09-26 a.xlsm]Variables'!#REF!),OR($N141&gt;'\Users\stu\Desktop\[Train Runs and Enforcements 2017-09-26 a.xlsm]Variables'!#REF!,$N141&lt;'\Users\stu\Desktop\[Train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A141:S158</xm:sqref>
        </x14:conditionalFormatting>
        <x14:conditionalFormatting xmlns:xm="http://schemas.microsoft.com/office/excel/2006/main">
          <x14:cfRule type="expression" priority="1" stopIfTrue="1" id="{2A332397-75C7-464C-9786-EA3298156EC1}">
            <xm:f>IF($AG141="EC",OR($N141&gt;'\Users\stu\Desktop\[Train Runs and Enforcements 2017-09-26 a.xlsm]Variables'!#REF!,$N141&lt;'\Users\stu\Desktop\[Train Runs and Enforcements 2017-09-26 a.xlsm]Variables'!#REF!),OR($N141&gt;'\Users\stu\Desktop\[Train Runs and Enforcements 2017-09-26 a.xlsm]Variables'!#REF!,$N141&lt;'\Users\stu\Desktop\[Train Runs and Enforcements 2017-09-26 a.xlsm]Variables'!#REF!))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A141:S158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>
          <x14:formula1>
            <xm:f>'Redmine List Values'!$A$2:$A$7</xm:f>
          </x14:formula1>
          <xm:sqref>AK159:AK239</xm:sqref>
        </x14:dataValidation>
        <x14:dataValidation type="list" allowBlank="1" showInputMessage="1" showErrorMessage="1">
          <x14:formula1>
            <xm:f>'Redmine List Values'!$C$2:$C$15</xm:f>
          </x14:formula1>
          <xm:sqref>AL159:AL239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AL13:AL90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AK13:AK90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AL91:AL113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AK91:AK113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AL114:AL158</xm:sqref>
        </x14:dataValidation>
        <x14:dataValidation type="list" allowBlank="1" showInputMessage="1" showErrorMessage="1">
          <x14:formula1>
            <xm:f>'C:\Users\stu\Desktop\[Train Runs and Enforcements 2017-09-26 a.xlsm]Redmine List Values'!#REF!</xm:f>
          </x14:formula1>
          <xm:sqref>AK114:AK158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abSelected="1" topLeftCell="A2" zoomScaleNormal="100" workbookViewId="0">
      <selection activeCell="S19" sqref="S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COUNTIF($O$7:$O$246,"=Y")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COUNTA($O$7:$O$246)-O2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4" t="str">
        <f>"Eagle P3 Braking Events - "&amp;TEXT(Variables!$A$2,"YYYY-mm-dd")</f>
        <v>Eagle P3 Braking Events - 2017-09-26</v>
      </c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128"/>
      <c r="R5" s="80"/>
      <c r="S5" s="83"/>
      <c r="T5" s="85"/>
      <c r="V5" s="44"/>
      <c r="X5" s="179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0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43004.549490740741</v>
      </c>
      <c r="B7" s="30" t="s">
        <v>616</v>
      </c>
      <c r="C7" s="30" t="s">
        <v>617</v>
      </c>
      <c r="D7" s="30" t="s">
        <v>49</v>
      </c>
      <c r="E7" s="30" t="s">
        <v>186</v>
      </c>
      <c r="F7" s="42">
        <v>0</v>
      </c>
      <c r="G7" s="42">
        <v>208</v>
      </c>
      <c r="H7" s="42">
        <v>31150</v>
      </c>
      <c r="I7" s="42">
        <v>30856</v>
      </c>
      <c r="J7" s="30" t="s">
        <v>187</v>
      </c>
      <c r="K7" s="42">
        <v>30970</v>
      </c>
      <c r="L7" s="131" t="s">
        <v>51</v>
      </c>
      <c r="M7" s="132">
        <f t="shared" ref="M7:M39" si="0">CONVERT((I7-K7)/10000,"mi","ft")*IF(L7="Increasing Mileposts (1)",-1,1)</f>
        <v>-60.192</v>
      </c>
      <c r="N7" s="133" t="str">
        <f>VLOOKUP(C7,'Trips&amp;Operators'!$C$1:$G$99911,5,FALSE)</f>
        <v>LEVIN SCOTT</v>
      </c>
      <c r="O7" s="175" t="s">
        <v>179</v>
      </c>
      <c r="P7" s="134" t="s">
        <v>364</v>
      </c>
      <c r="Q7" s="30"/>
      <c r="R7" s="81" t="str">
        <f>VLOOKUP(C7,'Train Runs'!$A$13:$AE$9982,31,0)</f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S7" s="84" t="str">
        <f>VLOOKUP(C7,'Train Runs'!$A$13:$AE$9982,22,0)</f>
        <v>https://d0f6bd738d7f1b3e5a7ca70fe4ff75f0.us-east-1.aws.found.io/app/kibana#/discover/Steve-Slow-Train-Analysis-(2080s-and-2083s)?_g=(refreshInterval:(display:Off,pause:!f,section:0,value:0),time:(from:'2017-09-26T11:31:55-0600',mode:absolute,to:'2017-09-26T14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/stypes="*4053*201709261*" /stext=" 19:.+((SYSTEM_STATE.+slice.+state.+changed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4053</v>
      </c>
      <c r="V7" s="31">
        <f t="shared" ref="V7:V39" si="3">A7-utc_offset/24</f>
        <v>43004.799490740741</v>
      </c>
      <c r="W7" s="45" t="str">
        <f t="shared" ref="W7:W39" si="4">DetSubdiv(C7)</f>
        <v>EC</v>
      </c>
      <c r="X7" s="22">
        <f t="shared" ref="X7:X39" si="5">VALUE(LEFT(C7,LEN(C7)-3))</f>
        <v>166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Arrival","project_id":79,"tracker_id":40,"status_id":1,"priority_id":2,"assigned_to_id":338,"start_date":"2017-09-26","description":"","custom_fields":[{"id":1,"name":"Subdivision","value":"EC"},{"id":4,"name":"Milepost","value":"3.097"},{"id":17,"name":"Train ID","value":"166-26"},{"id":16,"name":"Locomotive ID","value":"4053"},{"id":130,"name":"Impact","value":""},{"id":150,"name":"Time of Event (Mountain Time)","value":"13:11:16"},{"id":151,"name":"Denver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/c/Users/stu/AppData/Local/Temp/OnboardLogs/RTDC4053 --include="*4053*201709261*"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"%USERPROFILE%\AppData\Local\Temp\OnboardLogs"\RTDC4053\*4053*201709261* &gt;&gt; 2017-09-26-SliceDisagreementCheck.txt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2017-09-26</v>
      </c>
    </row>
    <row r="8" spans="1:32" s="1" customFormat="1" x14ac:dyDescent="0.25">
      <c r="A8" s="31">
        <v>43004.976689814815</v>
      </c>
      <c r="B8" s="30" t="s">
        <v>413</v>
      </c>
      <c r="C8" s="30" t="s">
        <v>636</v>
      </c>
      <c r="D8" s="30" t="s">
        <v>49</v>
      </c>
      <c r="E8" s="30" t="s">
        <v>186</v>
      </c>
      <c r="F8" s="42">
        <v>0</v>
      </c>
      <c r="G8" s="42">
        <v>210</v>
      </c>
      <c r="H8" s="42">
        <v>33371</v>
      </c>
      <c r="I8" s="42">
        <v>33137</v>
      </c>
      <c r="J8" s="30" t="s">
        <v>187</v>
      </c>
      <c r="K8" s="42">
        <v>33257</v>
      </c>
      <c r="L8" s="131" t="s">
        <v>51</v>
      </c>
      <c r="M8" s="132">
        <f t="shared" si="0"/>
        <v>-63.36</v>
      </c>
      <c r="N8" s="133" t="str">
        <f>VLOOKUP(C8,'Trips&amp;Operators'!$C$1:$G$99911,5,FALSE)</f>
        <v>PERKINS DARREN</v>
      </c>
      <c r="O8" s="175" t="s">
        <v>179</v>
      </c>
      <c r="P8" s="134" t="s">
        <v>364</v>
      </c>
      <c r="Q8" s="30"/>
      <c r="R8" s="81" t="str">
        <f>VLOOKUP(C8,'Train Runs'!$A$13:$AE$9982,31,0)</f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S8" s="84" t="str">
        <f>VLOOKUP(C8,'Train Runs'!$A$13:$AE$9982,22,0)</f>
        <v>https://d0f6bd738d7f1b3e5a7ca70fe4ff75f0.us-east-1.aws.found.io/app/kibana#/discover/Steve-Slow-Train-Analysis-(2080s-and-2083s)?_g=(refreshInterval:(display:Off,pause:!f,section:0,value:0),time:(from:'2017-09-26T21:41:39-0600',mode:absolute,to:'2017-09-27T00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 t="shared" si="1"/>
        <v>"C:\Program Files (x86)\AstroGrep\AstroGrep.exe" /e /r /s /spath="%USERPROFILE%\AppData\Local\Temp\OnboardLogs" /stypes="*4023*201709270*" /stext=" 05:.+((SYSTEM_STATE.+slice.+state.+changed )|(ment ac)|(multiple cpu faults)|(system.+state.+changed )|(\[timeout)|(PRM\|1\|D)|(kpr)|(kdp)|(train st.+moving)|(\|lc)|(penalty))"</v>
      </c>
      <c r="U8" s="9" t="str">
        <f t="shared" si="2"/>
        <v>4023</v>
      </c>
      <c r="V8" s="31">
        <f t="shared" si="3"/>
        <v>43005.226689814815</v>
      </c>
      <c r="W8" s="45" t="str">
        <f t="shared" si="4"/>
        <v>EC</v>
      </c>
      <c r="X8" s="22">
        <f t="shared" si="5"/>
        <v>234</v>
      </c>
      <c r="Y8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Arrival","project_id":79,"tracker_id":40,"status_id":1,"priority_id":2,"assigned_to_id":338,"start_date":"2017-09-26","description":"","custom_fields":[{"id":1,"name":"Subdivision","value":"EC"},{"id":4,"name":"Milepost","value":"3.3257"},{"id":17,"name":"Train ID","value":"234-26"},{"id":16,"name":"Locomotive ID","value":"4023"},{"id":130,"name":"Impact","value":""},{"id":150,"name":"Time of Event (Mountain Time)","value":"23:26:26"},{"id":151,"name":"Denver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/c/Users/stu/AppData/Local/Temp/OnboardLogs/RTDC4023 --include="*4023*201709270*"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"%USERPROFILE%\AppData\Local\Temp\OnboardLogs"\RTDC4023\*4023*201709270* &gt;&gt; 2017-09-26-SliceDisagreementCheck.txt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4023 --day 2017-09-27</v>
      </c>
    </row>
    <row r="9" spans="1:32" s="1" customFormat="1" x14ac:dyDescent="0.25">
      <c r="A9" s="31">
        <v>43004.601006944446</v>
      </c>
      <c r="B9" s="30" t="s">
        <v>493</v>
      </c>
      <c r="C9" s="30" t="s">
        <v>619</v>
      </c>
      <c r="D9" s="30" t="s">
        <v>95</v>
      </c>
      <c r="E9" s="30" t="s">
        <v>186</v>
      </c>
      <c r="F9" s="42">
        <v>0</v>
      </c>
      <c r="G9" s="42">
        <v>664</v>
      </c>
      <c r="H9" s="42">
        <v>42941</v>
      </c>
      <c r="I9" s="42">
        <v>39896</v>
      </c>
      <c r="J9" s="30" t="s">
        <v>187</v>
      </c>
      <c r="K9" s="42">
        <v>42961</v>
      </c>
      <c r="L9" s="131" t="s">
        <v>51</v>
      </c>
      <c r="M9" s="132">
        <f t="shared" si="0"/>
        <v>-1618.32</v>
      </c>
      <c r="N9" s="133" t="str">
        <f>VLOOKUP(C9,'Trips&amp;Operators'!$C$1:$G$99911,5,FALSE)</f>
        <v>NEWELL JAMES</v>
      </c>
      <c r="O9" s="175" t="s">
        <v>408</v>
      </c>
      <c r="P9" s="134" t="s">
        <v>1009</v>
      </c>
      <c r="Q9" s="30"/>
      <c r="R9" s="81" t="str">
        <f>VLOOKUP(C9,'Train Runs'!$A$13:$AE$9982,31,0)</f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S9" s="84" t="str">
        <f>VLOOKUP(C9,'Train Runs'!$A$13:$AE$9982,22,0)</f>
        <v>https://d0f6bd738d7f1b3e5a7ca70fe4ff75f0.us-east-1.aws.found.io/app/kibana#/discover/Steve-Slow-Train-Analysis-(2080s-and-2083s)?_g=(refreshInterval:(display:Off,pause:!f,section:0,value:0),time:(from:'2017-09-26T12:42:53-0600',mode:absolute,to:'2017-09-26T15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/stypes="*4059*201709262*"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43004.851006944446</v>
      </c>
      <c r="W9" s="45" t="str">
        <f t="shared" si="4"/>
        <v>EC</v>
      </c>
      <c r="X9" s="22">
        <f t="shared" si="5"/>
        <v>176</v>
      </c>
      <c r="Y9" s="96" t="str">
        <f t="shared" si="6"/>
        <v>echo {"issue":{"subject":"Early Arrival exacerbated by Wi-MAX data drop","project_id":79,"tracker_id":40,"status_id":1,"priority_id":2,"assigned_to_id":338,"start_date":"2017-09-26","description":"","custom_fields":[{"id":1,"name":"Subdivision","value":"EC"},{"id":4,"name":"Milepost","value":"4.2961"},{"id":17,"name":"Train ID","value":"176-26"},{"id":16,"name":"Locomotive ID","value":"4059"},{"id":130,"name":"Impact","value":""},{"id":150,"name":"Time of Event (Mountain Time)","value":"14:25:27"},{"id":151,"name":"Denver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/c/Users/stu/AppData/Local/Temp/OnboardLogs/RTDC4059 --include="*4059*201709262*"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"%USERPROFILE%\AppData\Local\Temp\OnboardLogs"\RTDC4059\*4059*201709262* &gt;&gt; 2017-09-26-SliceDisagreementCheck.txt</v>
      </c>
      <c r="AE9" s="145" t="str">
        <f t="shared" si="9"/>
        <v>start /low /b %USERPROFILE%\Documents\GitHub\eaglep3\Utilities\DownloadLogsFromS3.py --loco 4059 --day 2017-09-26</v>
      </c>
    </row>
    <row r="10" spans="1:32" s="1" customFormat="1" x14ac:dyDescent="0.25">
      <c r="A10" s="31">
        <v>43004.378483796296</v>
      </c>
      <c r="B10" s="30" t="s">
        <v>413</v>
      </c>
      <c r="C10" s="30" t="s">
        <v>610</v>
      </c>
      <c r="D10" s="30" t="s">
        <v>49</v>
      </c>
      <c r="E10" s="30" t="s">
        <v>186</v>
      </c>
      <c r="F10" s="42">
        <v>360</v>
      </c>
      <c r="G10" s="42">
        <v>411</v>
      </c>
      <c r="H10" s="42">
        <v>58407</v>
      </c>
      <c r="I10" s="42">
        <v>57365</v>
      </c>
      <c r="J10" s="30" t="s">
        <v>187</v>
      </c>
      <c r="K10" s="42">
        <v>58301</v>
      </c>
      <c r="L10" s="131" t="s">
        <v>51</v>
      </c>
      <c r="M10" s="132">
        <f t="shared" si="0"/>
        <v>-494.20800000000003</v>
      </c>
      <c r="N10" s="133" t="str">
        <f>VLOOKUP(C10,'Trips&amp;Operators'!$C$1:$G$99911,5,FALSE)</f>
        <v>MACDONALD THOMAS</v>
      </c>
      <c r="O10" s="175" t="s">
        <v>179</v>
      </c>
      <c r="P10" s="134" t="s">
        <v>364</v>
      </c>
      <c r="Q10" s="30"/>
      <c r="R10" s="81" t="str">
        <f>VLOOKUP(C10,'Train Runs'!$A$13:$AE$9982,31,0)</f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S10" s="84" t="str">
        <f>VLOOKUP(C10,'Train Runs'!$A$13:$AE$9982,22,0)</f>
        <v>https://d0f6bd738d7f1b3e5a7ca70fe4ff75f0.us-east-1.aws.found.io/app/kibana#/discover/Steve-Slow-Train-Analysis-(2080s-and-2083s)?_g=(refreshInterval:(display:Off,pause:!f,section:0,value:0),time:(from:'2017-09-26T06:25:13-0600',mode:absolute,to:'2017-09-26T10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0" s="86" t="str">
        <f t="shared" si="1"/>
        <v>"C:\Program Files (x86)\AstroGrep\AstroGrep.exe" /e /r /s /spath="%USERPROFILE%\AppData\Local\Temp\OnboardLogs" /stypes="*4023*201709261*"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4023</v>
      </c>
      <c r="V10" s="31">
        <f t="shared" si="3"/>
        <v>43004.628483796296</v>
      </c>
      <c r="W10" s="45" t="str">
        <f t="shared" si="4"/>
        <v>EC</v>
      </c>
      <c r="X10" s="22">
        <f t="shared" si="5"/>
        <v>132</v>
      </c>
      <c r="Y10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Arrival","project_id":79,"tracker_id":40,"status_id":1,"priority_id":2,"assigned_to_id":338,"start_date":"2017-09-26","description":"","custom_fields":[{"id":1,"name":"Subdivision","value":"EC"},{"id":4,"name":"Milepost","value":"5.8301"},{"id":17,"name":"Train ID","value":"132-26"},{"id":16,"name":"Locomotive ID","value":"4023"},{"id":130,"name":"Impact","value":""},{"id":150,"name":"Time of Event (Mountain Time)","value":"09:05:01"},{"id":151,"name":"Denver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/c/Users/stu/AppData/Local/Temp/OnboardLogs/RTDC4023 --include="*4023*201709261*"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"%USERPROFILE%\AppData\Local\Temp\OnboardLogs"\RTDC4023\*4023*201709261* &gt;&gt; 2017-09-26-SliceDisagreementCheck.txt</v>
      </c>
      <c r="AE10" s="145" t="str">
        <f t="shared" si="9"/>
        <v>start /low /b %USERPROFILE%\Documents\GitHub\eaglep3\Utilities\DownloadLogsFromS3.py --loco 4023 --day 2017-09-26</v>
      </c>
    </row>
    <row r="11" spans="1:32" s="1" customFormat="1" x14ac:dyDescent="0.25">
      <c r="A11" s="31">
        <v>43004.686782407407</v>
      </c>
      <c r="B11" s="30" t="s">
        <v>492</v>
      </c>
      <c r="C11" s="30" t="s">
        <v>626</v>
      </c>
      <c r="D11" s="30" t="s">
        <v>49</v>
      </c>
      <c r="E11" s="30" t="s">
        <v>186</v>
      </c>
      <c r="F11" s="42">
        <v>0</v>
      </c>
      <c r="G11" s="42">
        <v>496</v>
      </c>
      <c r="H11" s="42">
        <v>58275</v>
      </c>
      <c r="I11" s="42">
        <v>60151</v>
      </c>
      <c r="J11" s="30" t="s">
        <v>187</v>
      </c>
      <c r="K11" s="42">
        <v>58783</v>
      </c>
      <c r="L11" s="131" t="s">
        <v>50</v>
      </c>
      <c r="M11" s="132">
        <f t="shared" si="0"/>
        <v>-722.30399999999997</v>
      </c>
      <c r="N11" s="133" t="str">
        <f>VLOOKUP(C11,'Trips&amp;Operators'!$C$1:$G$99911,5,FALSE)</f>
        <v>SMITH MICHAEL</v>
      </c>
      <c r="O11" s="175" t="s">
        <v>179</v>
      </c>
      <c r="P11" s="134" t="s">
        <v>364</v>
      </c>
      <c r="Q11" s="30"/>
      <c r="R11" s="81" t="str">
        <f>VLOOKUP(C11,'Train Runs'!$A$13:$AE$9982,31,0)</f>
        <v>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 &amp; aws s3 cp s3://rtdc.mdm.uploadarchive.raw/RTDC4046/ "%USERPROFILE%\AppData\Local\Temp\OnboardLogs"\RTDC4046\2017-09-27 --exclude "*" --recursive --include "*20170927*" &amp; "%USERPROFILE%\Documents\GitHub\mrs-test-scripts\Headless Mode &amp; Sideloading\WalkAndUnGZ.bat" "%USERPROFILE%\AppData\Local\Temp\OnboardLogs"\RTDC4046\2017-09-27</v>
      </c>
      <c r="S11" s="84" t="str">
        <f>VLOOKUP(C11,'Train Runs'!$A$13:$AE$9982,22,0)</f>
        <v>https://d0f6bd738d7f1b3e5a7ca70fe4ff75f0.us-east-1.aws.found.io/app/kibana#/discover/Steve-Slow-Train-Analysis-(2080s-and-2083s)?_g=(refreshInterval:(display:Off,pause:!f,section:0,value:0),time:(from:'2017-09-26T15:08:07-0600',mode:absolute,to:'2017-09-26T17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86" t="str">
        <f t="shared" si="1"/>
        <v>"C:\Program Files (x86)\AstroGrep\AstroGrep.exe" /e /r /s /spath="%USERPROFILE%\AppData\Local\Temp\OnboardLogs" /stypes="*4046*201709262*"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4046</v>
      </c>
      <c r="V11" s="31">
        <f t="shared" si="3"/>
        <v>43004.936782407407</v>
      </c>
      <c r="W11" s="45" t="str">
        <f t="shared" si="4"/>
        <v>EC</v>
      </c>
      <c r="X11" s="22">
        <f t="shared" si="5"/>
        <v>201</v>
      </c>
      <c r="Y11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Arrival","project_id":79,"tracker_id":40,"status_id":1,"priority_id":2,"assigned_to_id":338,"start_date":"2017-09-26","description":"","custom_fields":[{"id":1,"name":"Subdivision","value":"EC"},{"id":4,"name":"Milepost","value":"5.8783"},{"id":17,"name":"Train ID","value":"201-26"},{"id":16,"name":"Locomotive ID","value":"4046"},{"id":130,"name":"Impact","value":""},{"id":150,"name":"Time of Event (Mountain Time)","value":"16:28:58"},{"id":151,"name":"Denver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/c/Users/stu/AppData/Local/Temp/OnboardLogs/RTDC4046 --include="*4046*201709262*"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"%USERPROFILE%\AppData\Local\Temp\OnboardLogs"\RTDC4046\*4046*201709262* &gt;&gt; 2017-09-26-SliceDisagreementCheck.txt</v>
      </c>
      <c r="AE11" s="145" t="str">
        <f t="shared" si="9"/>
        <v>start /low /b %USERPROFILE%\Documents\GitHub\eaglep3\Utilities\DownloadLogsFromS3.py --loco 4046 --day 2017-09-26</v>
      </c>
    </row>
    <row r="12" spans="1:32" x14ac:dyDescent="0.25">
      <c r="A12" s="31">
        <v>43004.385243055556</v>
      </c>
      <c r="B12" s="30" t="s">
        <v>489</v>
      </c>
      <c r="C12" s="30" t="s">
        <v>611</v>
      </c>
      <c r="D12" s="30" t="s">
        <v>49</v>
      </c>
      <c r="E12" s="30" t="s">
        <v>186</v>
      </c>
      <c r="F12" s="42">
        <v>0</v>
      </c>
      <c r="G12" s="42">
        <v>391</v>
      </c>
      <c r="H12" s="42">
        <v>62129</v>
      </c>
      <c r="I12" s="42">
        <v>63007</v>
      </c>
      <c r="J12" s="30" t="s">
        <v>187</v>
      </c>
      <c r="K12" s="42">
        <v>63069</v>
      </c>
      <c r="L12" s="131" t="s">
        <v>50</v>
      </c>
      <c r="M12" s="132">
        <f t="shared" si="0"/>
        <v>32.735999999999997</v>
      </c>
      <c r="N12" s="133" t="str">
        <f>VLOOKUP(C12,'Trips&amp;Operators'!$C$1:$G$99911,5,FALSE)</f>
        <v>BARRON PERLA</v>
      </c>
      <c r="O12" s="175" t="s">
        <v>179</v>
      </c>
      <c r="P12" s="134" t="s">
        <v>364</v>
      </c>
      <c r="Q12" s="30"/>
      <c r="R12" s="81" t="str">
        <f>VLOOKUP(C12,'Train Runs'!$A$13:$AE$9982,31,0)</f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S12" s="84" t="str">
        <f>VLOOKUP(C12,'Train Runs'!$A$13:$AE$9982,22,0)</f>
        <v>https://d0f6bd738d7f1b3e5a7ca70fe4ff75f0.us-east-1.aws.found.io/app/kibana#/discover/Steve-Slow-Train-Analysis-(2080s-and-2083s)?_g=(refreshInterval:(display:Off,pause:!f,section:0,value:0),time:(from:'2017-09-26T07:54:35-0600',mode:absolute,to:'2017-09-26T10:43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86" t="str">
        <f t="shared" si="1"/>
        <v>"C:\Program Files (x86)\AstroGrep\AstroGrep.exe" /e /r /s /spath="%USERPROFILE%\AppData\Local\Temp\OnboardLogs" /stypes="*4026*201709261*"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4026</v>
      </c>
      <c r="V12" s="31">
        <f t="shared" si="3"/>
        <v>43004.635243055556</v>
      </c>
      <c r="W12" s="45" t="str">
        <f t="shared" si="4"/>
        <v>EC</v>
      </c>
      <c r="X12" s="22">
        <f t="shared" si="5"/>
        <v>143</v>
      </c>
      <c r="Y12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Arrival","project_id":79,"tracker_id":40,"status_id":1,"priority_id":2,"assigned_to_id":338,"start_date":"2017-09-26","description":"","custom_fields":[{"id":1,"name":"Subdivision","value":"EC"},{"id":4,"name":"Milepost","value":"6.3069"},{"id":17,"name":"Train ID","value":"143-26"},{"id":16,"name":"Locomotive ID","value":"4026"},{"id":130,"name":"Impact","value":""},{"id":150,"name":"Time of Event (Mountain Time)","value":"09:14:45"},{"id":151,"name":"Denver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/c/Users/stu/AppData/Local/Temp/OnboardLogs/RTDC4026 --include="*4026*201709261*"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"%USERPROFILE%\AppData\Local\Temp\OnboardLogs"\RTDC4026\*4026*201709261* &gt;&gt; 2017-09-26-SliceDisagreementCheck.txt</v>
      </c>
      <c r="AE12" s="145" t="str">
        <f t="shared" si="9"/>
        <v>start /low /b %USERPROFILE%\Documents\GitHub\eaglep3\Utilities\DownloadLogsFromS3.py --loco 4026 --day 2017-09-26</v>
      </c>
      <c r="AF12" s="1"/>
    </row>
    <row r="13" spans="1:32" x14ac:dyDescent="0.25">
      <c r="A13" s="31">
        <v>43004.385625000003</v>
      </c>
      <c r="B13" s="30" t="s">
        <v>489</v>
      </c>
      <c r="C13" s="30" t="s">
        <v>611</v>
      </c>
      <c r="D13" s="30" t="s">
        <v>49</v>
      </c>
      <c r="E13" s="30" t="s">
        <v>186</v>
      </c>
      <c r="F13" s="42">
        <v>0</v>
      </c>
      <c r="G13" s="42">
        <v>39</v>
      </c>
      <c r="H13" s="42">
        <v>63025</v>
      </c>
      <c r="I13" s="42">
        <v>63124</v>
      </c>
      <c r="J13" s="30" t="s">
        <v>187</v>
      </c>
      <c r="K13" s="42">
        <v>63069</v>
      </c>
      <c r="L13" s="131" t="s">
        <v>50</v>
      </c>
      <c r="M13" s="132">
        <f t="shared" si="0"/>
        <v>-29.04</v>
      </c>
      <c r="N13" s="133" t="str">
        <f>VLOOKUP(C13,'Trips&amp;Operators'!$C$1:$G$99911,5,FALSE)</f>
        <v>BARRON PERLA</v>
      </c>
      <c r="O13" s="175" t="s">
        <v>179</v>
      </c>
      <c r="P13" s="134" t="s">
        <v>364</v>
      </c>
      <c r="Q13" s="30"/>
      <c r="R13" s="81" t="str">
        <f>VLOOKUP(C13,'Train Runs'!$A$13:$AE$9982,31,0)</f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S13" s="84" t="str">
        <f>VLOOKUP(C13,'Train Runs'!$A$13:$AE$9982,22,0)</f>
        <v>https://d0f6bd738d7f1b3e5a7ca70fe4ff75f0.us-east-1.aws.found.io/app/kibana#/discover/Steve-Slow-Train-Analysis-(2080s-and-2083s)?_g=(refreshInterval:(display:Off,pause:!f,section:0,value:0),time:(from:'2017-09-26T07:54:35-0600',mode:absolute,to:'2017-09-26T10:43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6" t="str">
        <f t="shared" si="1"/>
        <v>"C:\Program Files (x86)\AstroGrep\AstroGrep.exe" /e /r /s /spath="%USERPROFILE%\AppData\Local\Temp\OnboardLogs" /stypes="*4026*201709261*"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4026</v>
      </c>
      <c r="V13" s="31">
        <f t="shared" si="3"/>
        <v>43004.635625000003</v>
      </c>
      <c r="W13" s="45" t="str">
        <f t="shared" si="4"/>
        <v>EC</v>
      </c>
      <c r="X13" s="22">
        <f t="shared" si="5"/>
        <v>143</v>
      </c>
      <c r="Y13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Arrival","project_id":79,"tracker_id":40,"status_id":1,"priority_id":2,"assigned_to_id":338,"start_date":"2017-09-26","description":"","custom_fields":[{"id":1,"name":"Subdivision","value":"EC"},{"id":4,"name":"Milepost","value":"6.3069"},{"id":17,"name":"Train ID","value":"143-26"},{"id":16,"name":"Locomotive ID","value":"4026"},{"id":130,"name":"Impact","value":""},{"id":150,"name":"Time of Event (Mountain Time)","value":"09:15:18"},{"id":151,"name":"Denver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/c/Users/stu/AppData/Local/Temp/OnboardLogs/RTDC4026 --include="*4026*201709261*"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"%USERPROFILE%\AppData\Local\Temp\OnboardLogs"\RTDC4026\*4026*201709261* &gt;&gt; 2017-09-26-SliceDisagreementCheck.txt</v>
      </c>
      <c r="AE13" s="145" t="str">
        <f t="shared" si="9"/>
        <v>start /low /b %USERPROFILE%\Documents\GitHub\eaglep3\Utilities\DownloadLogsFromS3.py --loco 4026 --day 2017-09-26</v>
      </c>
      <c r="AF13" s="1"/>
    </row>
    <row r="14" spans="1:32" x14ac:dyDescent="0.25">
      <c r="A14" s="31">
        <v>43004.477789351855</v>
      </c>
      <c r="B14" s="30" t="s">
        <v>495</v>
      </c>
      <c r="C14" s="30" t="s">
        <v>615</v>
      </c>
      <c r="D14" s="30" t="s">
        <v>49</v>
      </c>
      <c r="E14" s="30" t="s">
        <v>186</v>
      </c>
      <c r="F14" s="42">
        <v>0</v>
      </c>
      <c r="G14" s="42">
        <v>539</v>
      </c>
      <c r="H14" s="42">
        <v>62487</v>
      </c>
      <c r="I14" s="42">
        <v>64069</v>
      </c>
      <c r="J14" s="30" t="s">
        <v>187</v>
      </c>
      <c r="K14" s="42">
        <v>63069</v>
      </c>
      <c r="L14" s="131" t="s">
        <v>50</v>
      </c>
      <c r="M14" s="132">
        <f t="shared" si="0"/>
        <v>-528</v>
      </c>
      <c r="N14" s="133" t="str">
        <f>VLOOKUP(C14,'Trips&amp;Operators'!$C$1:$G$99911,5,FALSE)</f>
        <v>NEWELL JAMES</v>
      </c>
      <c r="O14" s="175" t="s">
        <v>179</v>
      </c>
      <c r="P14" s="134" t="s">
        <v>364</v>
      </c>
      <c r="Q14" s="30"/>
      <c r="R14" s="81" t="str">
        <f>VLOOKUP(C14,'Train Runs'!$A$13:$AE$9982,31,0)</f>
        <v>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 &amp; aws s3 cp s3://rtdc.mdm.uploadarchive.raw/RTDC4060/ "%USERPROFILE%\AppData\Local\Temp\OnboardLogs"\RTDC4060\2017-09-27 --exclude "*" --recursive --include "*20170927*" &amp; "%USERPROFILE%\Documents\GitHub\mrs-test-scripts\Headless Mode &amp; Sideloading\WalkAndUnGZ.bat" "%USERPROFILE%\AppData\Local\Temp\OnboardLogs"\RTDC4060\2017-09-27</v>
      </c>
      <c r="S14" s="84" t="str">
        <f>VLOOKUP(C14,'Train Runs'!$A$13:$AE$9982,22,0)</f>
        <v>https://d0f6bd738d7f1b3e5a7ca70fe4ff75f0.us-east-1.aws.found.io/app/kibana#/discover/Steve-Slow-Train-Analysis-(2080s-and-2083s)?_g=(refreshInterval:(display:Off,pause:!f,section:0,value:0),time:(from:'2017-09-26T10:08:53-0600',mode:absolute,to:'2017-09-26T12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/stypes="*4060*201709261*"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43004.727789351855</v>
      </c>
      <c r="W14" s="45" t="str">
        <f t="shared" si="4"/>
        <v>EC</v>
      </c>
      <c r="X14" s="22">
        <f t="shared" si="5"/>
        <v>161</v>
      </c>
      <c r="Y14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Arrival","project_id":79,"tracker_id":40,"status_id":1,"priority_id":2,"assigned_to_id":338,"start_date":"2017-09-26","description":"","custom_fields":[{"id":1,"name":"Subdivision","value":"EC"},{"id":4,"name":"Milepost","value":"6.3069"},{"id":17,"name":"Train ID","value":"161-26"},{"id":16,"name":"Locomotive ID","value":"4060"},{"id":130,"name":"Impact","value":""},{"id":150,"name":"Time of Event (Mountain Time)","value":"11:28:01"},{"id":151,"name":"Denver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/c/Users/stu/AppData/Local/Temp/OnboardLogs/RTDC4060 --include="*4060*201709261*"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"%USERPROFILE%\AppData\Local\Temp\OnboardLogs"\RTDC4060\*4060*201709261* &gt;&gt; 2017-09-26-SliceDisagreementCheck.txt</v>
      </c>
      <c r="AE14" s="145" t="str">
        <f t="shared" si="9"/>
        <v>start /low /b %USERPROFILE%\Documents\GitHub\eaglep3\Utilities\DownloadLogsFromS3.py --loco 4060 --day 2017-09-26</v>
      </c>
      <c r="AF14" s="1"/>
    </row>
    <row r="15" spans="1:32" x14ac:dyDescent="0.25">
      <c r="A15" s="31">
        <v>43005.075983796298</v>
      </c>
      <c r="B15" s="30" t="s">
        <v>456</v>
      </c>
      <c r="C15" s="30" t="s">
        <v>637</v>
      </c>
      <c r="D15" s="30" t="s">
        <v>49</v>
      </c>
      <c r="E15" s="30" t="s">
        <v>186</v>
      </c>
      <c r="F15" s="42">
        <v>100</v>
      </c>
      <c r="G15" s="42">
        <v>158</v>
      </c>
      <c r="H15" s="42">
        <v>64014</v>
      </c>
      <c r="I15" s="42">
        <v>63832</v>
      </c>
      <c r="J15" s="30" t="s">
        <v>187</v>
      </c>
      <c r="K15" s="42">
        <v>63309</v>
      </c>
      <c r="L15" s="131" t="s">
        <v>51</v>
      </c>
      <c r="M15" s="132">
        <f t="shared" si="0"/>
        <v>276.14400000000001</v>
      </c>
      <c r="N15" s="133" t="str">
        <f>VLOOKUP(C15,'Trips&amp;Operators'!$C$1:$G$99911,5,FALSE)</f>
        <v>HART KEVIN</v>
      </c>
      <c r="O15" s="175" t="s">
        <v>179</v>
      </c>
      <c r="P15" s="134" t="s">
        <v>364</v>
      </c>
      <c r="Q15" s="30"/>
      <c r="R15" s="81" t="str">
        <f>VLOOKUP(C15,'Train Runs'!$A$13:$AE$9982,31,0)</f>
        <v>aws s3 cp s3://rtdc.mdm.uploadarchive.raw/RTDC4009/ "%USERPROFILE%\AppData\Local\Temp\OnboardLogs"\RTDC4009\2017-09-27 --exclude "*" --recursive --include "*20170927*" &amp; "%USERPROFILE%\Documents\GitHub\mrs-test-scripts\Headless Mode &amp; Sideloading\WalkAndUnGZ.bat" "%USERPROFILE%\AppData\Local\Temp\OnboardLogs"\RTDC4009\2017-09-27 &amp; aws s3 cp s3://rtdc.mdm.uploadarchive.raw/RTDC4009/ "%USERPROFILE%\AppData\Local\Temp\OnboardLogs"\RTDC4009\2017-09-28 --exclude "*" --recursive --include "*20170928*" &amp; "%USERPROFILE%\Documents\GitHub\mrs-test-scripts\Headless Mode &amp; Sideloading\WalkAndUnGZ.bat" "%USERPROFILE%\AppData\Local\Temp\OnboardLogs"\RTDC4009\2017-09-28</v>
      </c>
      <c r="S15" s="84" t="str">
        <f>VLOOKUP(C15,'Train Runs'!$A$13:$AE$9982,22,0)</f>
        <v>https://d0f6bd738d7f1b3e5a7ca70fe4ff75f0.us-east-1.aws.found.io/app/kibana#/discover/Steve-Slow-Train-Analysis-(2080s-and-2083s)?_g=(refreshInterval:(display:Off,pause:!f,section:0,value:0),time:(from:'2017-09-26T23:25:20-0600',mode:absolute,to:'2017-09-27T03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 t="shared" si="1"/>
        <v>"C:\Program Files (x86)\AstroGrep\AstroGrep.exe" /e /r /s /spath="%USERPROFILE%\AppData\Local\Temp\OnboardLogs" /stypes="*4009*201709270*" /stext=" 07:.+((SYSTEM_STATE.+slice.+state.+changed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43005.325983796298</v>
      </c>
      <c r="W15" s="45" t="str">
        <f t="shared" si="4"/>
        <v>EC</v>
      </c>
      <c r="X15" s="22">
        <f t="shared" si="5"/>
        <v>244</v>
      </c>
      <c r="Y15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Arrival","project_id":79,"tracker_id":40,"status_id":1,"priority_id":2,"assigned_to_id":338,"start_date":"2017-09-27","description":"","custom_fields":[{"id":1,"name":"Subdivision","value":"EC"},{"id":4,"name":"Milepost","value":"6.3309"},{"id":17,"name":"Train ID","value":"244-26"},{"id":16,"name":"Locomotive ID","value":"4009"},{"id":130,"name":"Impact","value":""},{"id":150,"name":"Time of Event (Mountain Time)","value":"01:49:25"},{"id":151,"name":"Denver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/c/Users/stu/AppData/Local/Temp/OnboardLogs/RTDC4009 --include="*4009*201709270*"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"%USERPROFILE%\AppData\Local\Temp\OnboardLogs"\RTDC4009\*4009*201709270* &gt;&gt; 2017-09-26-SliceDisagreementCheck.txt</v>
      </c>
      <c r="AE15" s="145" t="str">
        <f t="shared" si="9"/>
        <v>start /low /b %USERPROFILE%\Documents\GitHub\eaglep3\Utilities\DownloadLogsFromS3.py --loco 4009 --day 2017-09-27</v>
      </c>
      <c r="AF15" s="1"/>
    </row>
    <row r="16" spans="1:32" x14ac:dyDescent="0.25">
      <c r="A16" s="31">
        <v>43004.811435185184</v>
      </c>
      <c r="B16" s="30" t="s">
        <v>413</v>
      </c>
      <c r="C16" s="30" t="s">
        <v>632</v>
      </c>
      <c r="D16" s="30" t="s">
        <v>49</v>
      </c>
      <c r="E16" s="30" t="s">
        <v>186</v>
      </c>
      <c r="F16" s="42">
        <v>370</v>
      </c>
      <c r="G16" s="42">
        <v>422</v>
      </c>
      <c r="H16" s="42">
        <v>110163</v>
      </c>
      <c r="I16" s="42">
        <v>109025</v>
      </c>
      <c r="J16" s="30" t="s">
        <v>187</v>
      </c>
      <c r="K16" s="42">
        <v>109135</v>
      </c>
      <c r="L16" s="131" t="s">
        <v>51</v>
      </c>
      <c r="M16" s="132">
        <f t="shared" si="0"/>
        <v>-58.08</v>
      </c>
      <c r="N16" s="133" t="str">
        <f>VLOOKUP(C16,'Trips&amp;Operators'!$C$1:$G$99911,5,FALSE)</f>
        <v>PERKINS DARREN</v>
      </c>
      <c r="O16" s="175" t="s">
        <v>179</v>
      </c>
      <c r="P16" s="134" t="s">
        <v>364</v>
      </c>
      <c r="Q16" s="30"/>
      <c r="R16" s="81" t="str">
        <f>VLOOKUP(C16,'Train Runs'!$A$13:$AE$9982,31,0)</f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S16" s="84" t="str">
        <f>VLOOKUP(C16,'Train Runs'!$A$13:$AE$9982,22,0)</f>
        <v>https://d0f6bd738d7f1b3e5a7ca70fe4ff75f0.us-east-1.aws.found.io/app/kibana#/discover/Steve-Slow-Train-Analysis-(2080s-and-2083s)?_g=(refreshInterval:(display:Off,pause:!f,section:0,value:0),time:(from:'2017-09-26T18:03:03-0600',mode:absolute,to:'2017-09-26T20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 t="shared" si="1"/>
        <v>"C:\Program Files (x86)\AstroGrep\AstroGrep.exe" /e /r /s /spath="%USERPROFILE%\AppData\Local\Temp\OnboardLogs" /stypes="*4023*201709270*"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4023</v>
      </c>
      <c r="V16" s="31">
        <f t="shared" si="3"/>
        <v>43005.061435185184</v>
      </c>
      <c r="W16" s="45" t="str">
        <f t="shared" si="4"/>
        <v>EC</v>
      </c>
      <c r="X16" s="22">
        <f t="shared" si="5"/>
        <v>218</v>
      </c>
      <c r="Y16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Arrival","project_id":79,"tracker_id":40,"status_id":1,"priority_id":2,"assigned_to_id":338,"start_date":"2017-09-26","description":"","custom_fields":[{"id":1,"name":"Subdivision","value":"EC"},{"id":4,"name":"Milepost","value":"10.9135"},{"id":17,"name":"Train ID","value":"218-26"},{"id":16,"name":"Locomotive ID","value":"4023"},{"id":130,"name":"Impact","value":""},{"id":150,"name":"Time of Event (Mountain Time)","value":"19:28:28"},{"id":151,"name":"Denver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/c/Users/stu/AppData/Local/Temp/OnboardLogs/RTDC4023 --include="*4023*201709270*"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"%USERPROFILE%\AppData\Local\Temp\OnboardLogs"\RTDC4023\*4023*201709270* &gt;&gt; 2017-09-26-SliceDisagreementCheck.txt</v>
      </c>
      <c r="AE16" s="145" t="str">
        <f t="shared" si="9"/>
        <v>start /low /b %USERPROFILE%\Documents\GitHub\eaglep3\Utilities\DownloadLogsFromS3.py --loco 4023 --day 2017-09-27</v>
      </c>
      <c r="AF16" s="1"/>
    </row>
    <row r="17" spans="1:32" x14ac:dyDescent="0.25">
      <c r="A17" s="31">
        <v>43004.457314814812</v>
      </c>
      <c r="B17" s="30" t="s">
        <v>424</v>
      </c>
      <c r="C17" s="30" t="s">
        <v>614</v>
      </c>
      <c r="D17" s="30" t="s">
        <v>49</v>
      </c>
      <c r="E17" s="30" t="s">
        <v>186</v>
      </c>
      <c r="F17" s="42">
        <v>390</v>
      </c>
      <c r="G17" s="42">
        <v>445</v>
      </c>
      <c r="H17" s="42">
        <v>110340</v>
      </c>
      <c r="I17" s="42">
        <v>108988</v>
      </c>
      <c r="J17" s="30" t="s">
        <v>187</v>
      </c>
      <c r="K17" s="42">
        <v>109135</v>
      </c>
      <c r="L17" s="131" t="s">
        <v>51</v>
      </c>
      <c r="M17" s="132">
        <f t="shared" si="0"/>
        <v>-77.616</v>
      </c>
      <c r="N17" s="133" t="str">
        <f>VLOOKUP(C17,'Trips&amp;Operators'!$C$1:$G$99911,5,FALSE)</f>
        <v>LALONDE GREGORY</v>
      </c>
      <c r="O17" s="175" t="s">
        <v>179</v>
      </c>
      <c r="P17" s="134" t="s">
        <v>364</v>
      </c>
      <c r="Q17" s="30"/>
      <c r="R17" s="81" t="str">
        <f>VLOOKUP(C17,'Train Runs'!$A$13:$AE$9982,31,0)</f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S17" s="84" t="str">
        <f>VLOOKUP(C17,'Train Runs'!$A$13:$AE$9982,22,0)</f>
        <v>https://d0f6bd738d7f1b3e5a7ca70fe4ff75f0.us-east-1.aws.found.io/app/kibana#/discover/Steve-Slow-Train-Analysis-(2080s-and-2083s)?_g=(refreshInterval:(display:Off,pause:!f,section:0,value:0),time:(from:'2017-09-26T09:21:18-0600',mode:absolute,to:'2017-09-26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/stypes="*4017*201709261*"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43004.707314814812</v>
      </c>
      <c r="W17" s="45" t="str">
        <f t="shared" si="4"/>
        <v>EC</v>
      </c>
      <c r="X17" s="22">
        <f t="shared" si="5"/>
        <v>150</v>
      </c>
      <c r="Y17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Arrival","project_id":79,"tracker_id":40,"status_id":1,"priority_id":2,"assigned_to_id":338,"start_date":"2017-09-26","description":"","custom_fields":[{"id":1,"name":"Subdivision","value":"EC"},{"id":4,"name":"Milepost","value":"10.9135"},{"id":17,"name":"Train ID","value":"150-26"},{"id":16,"name":"Locomotive ID","value":"4017"},{"id":130,"name":"Impact","value":""},{"id":150,"name":"Time of Event (Mountain Time)","value":"10:58:32"},{"id":151,"name":"Denver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/c/Users/stu/AppData/Local/Temp/OnboardLogs/RTDC4017 --include="*4017*201709261*"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"%USERPROFILE%\AppData\Local\Temp\OnboardLogs"\RTDC4017\*4017*201709261* &gt;&gt; 2017-09-26-SliceDisagreementCheck.txt</v>
      </c>
      <c r="AE17" s="145" t="str">
        <f t="shared" si="9"/>
        <v>start /low /b %USERPROFILE%\Documents\GitHub\eaglep3\Utilities\DownloadLogsFromS3.py --loco 4017 --day 2017-09-26</v>
      </c>
      <c r="AF17" s="1"/>
    </row>
    <row r="18" spans="1:32" x14ac:dyDescent="0.25">
      <c r="A18" s="31">
        <v>43004.228946759256</v>
      </c>
      <c r="B18" s="30" t="s">
        <v>493</v>
      </c>
      <c r="C18" s="30" t="s">
        <v>605</v>
      </c>
      <c r="D18" s="30" t="s">
        <v>95</v>
      </c>
      <c r="E18" s="30" t="s">
        <v>186</v>
      </c>
      <c r="F18" s="42">
        <v>400</v>
      </c>
      <c r="G18" s="42">
        <v>457</v>
      </c>
      <c r="H18" s="42">
        <v>108981</v>
      </c>
      <c r="I18" s="42">
        <v>107060</v>
      </c>
      <c r="J18" s="30" t="s">
        <v>187</v>
      </c>
      <c r="K18" s="42">
        <v>109135</v>
      </c>
      <c r="L18" s="131" t="s">
        <v>51</v>
      </c>
      <c r="M18" s="132">
        <f t="shared" si="0"/>
        <v>-1095.5999999999999</v>
      </c>
      <c r="N18" s="133" t="str">
        <f>VLOOKUP(C18,'Trips&amp;Operators'!$C$1:$G$99911,5,FALSE)</f>
        <v>THOMPSON LESTER</v>
      </c>
      <c r="O18" s="175" t="s">
        <v>179</v>
      </c>
      <c r="P18" s="134" t="s">
        <v>364</v>
      </c>
      <c r="Q18" s="30"/>
      <c r="R18" s="81" t="str">
        <f>VLOOKUP(C18,'Train Runs'!$A$13:$AE$9982,31,0)</f>
        <v>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 &amp; aws s3 cp s3://rtdc.mdm.uploadarchive.raw/RTDC4059/ "%USERPROFILE%\AppData\Local\Temp\OnboardLogs"\RTDC4059\2017-09-27 --exclude "*" --recursive --include "*20170927*" &amp; "%USERPROFILE%\Documents\GitHub\mrs-test-scripts\Headless Mode &amp; Sideloading\WalkAndUnGZ.bat" "%USERPROFILE%\AppData\Local\Temp\OnboardLogs"\RTDC4059\2017-09-27</v>
      </c>
      <c r="S18" s="84" t="str">
        <f>VLOOKUP(C18,'Train Runs'!$A$13:$AE$9982,22,0)</f>
        <v>https://d0f6bd738d7f1b3e5a7ca70fe4ff75f0.us-east-1.aws.found.io/app/kibana#/discover/Steve-Slow-Train-Analysis-(2080s-and-2083s)?_g=(refreshInterval:(display:Off,pause:!f,section:0,value:0),time:(from:'2017-09-26T04:08:44-0600',mode:absolute,to:'2017-09-26T06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6" t="str">
        <f t="shared" si="1"/>
        <v>"C:\Program Files (x86)\AstroGrep\AstroGrep.exe" /e /r /s /spath="%USERPROFILE%\AppData\Local\Temp\OnboardLogs" /stypes="*4059*201709261*"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4059</v>
      </c>
      <c r="V18" s="31">
        <f t="shared" si="3"/>
        <v>43004.478946759256</v>
      </c>
      <c r="W18" s="45" t="str">
        <f t="shared" si="4"/>
        <v>EC</v>
      </c>
      <c r="X18" s="22">
        <f t="shared" si="5"/>
        <v>106</v>
      </c>
      <c r="Y18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Arrival","project_id":79,"tracker_id":40,"status_id":1,"priority_id":2,"assigned_to_id":338,"start_date":"2017-09-26","description":"","custom_fields":[{"id":1,"name":"Subdivision","value":"EC"},{"id":4,"name":"Milepost","value":"10.9135"},{"id":17,"name":"Train ID","value":"106-26"},{"id":16,"name":"Locomotive ID","value":"4059"},{"id":130,"name":"Impact","value":""},{"id":150,"name":"Time of Event (Mountain Time)","value":"05:29:41"},{"id":151,"name":"Denver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/c/Users/stu/AppData/Local/Temp/OnboardLogs/RTDC4059 --include="*4059*201709261*"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"%USERPROFILE%\AppData\Local\Temp\OnboardLogs"\RTDC4059\*4059*201709261* &gt;&gt; 2017-09-26-SliceDisagreementCheck.txt</v>
      </c>
      <c r="AE18" s="145" t="str">
        <f t="shared" si="9"/>
        <v>start /low /b %USERPROFILE%\Documents\GitHub\eaglep3\Utilities\DownloadLogsFromS3.py --loco 4059 --day 2017-09-26</v>
      </c>
      <c r="AF18" s="1"/>
    </row>
    <row r="19" spans="1:32" x14ac:dyDescent="0.25">
      <c r="A19" s="31">
        <v>43004.283217592594</v>
      </c>
      <c r="B19" s="30" t="s">
        <v>413</v>
      </c>
      <c r="C19" s="30" t="s">
        <v>608</v>
      </c>
      <c r="D19" s="30" t="s">
        <v>95</v>
      </c>
      <c r="E19" s="30" t="s">
        <v>194</v>
      </c>
      <c r="F19" s="42">
        <v>600</v>
      </c>
      <c r="G19" s="42">
        <v>650</v>
      </c>
      <c r="H19" s="42">
        <v>189358</v>
      </c>
      <c r="I19" s="42">
        <v>186888</v>
      </c>
      <c r="J19" s="30" t="s">
        <v>195</v>
      </c>
      <c r="K19" s="42">
        <v>191104</v>
      </c>
      <c r="L19" s="131" t="s">
        <v>51</v>
      </c>
      <c r="M19" s="132">
        <f t="shared" si="0"/>
        <v>-2226.0479999999998</v>
      </c>
      <c r="N19" s="133" t="str">
        <f>VLOOKUP(C19,'Trips&amp;Operators'!$C$1:$G$99911,5,FALSE)</f>
        <v>MACDONALD THOMAS</v>
      </c>
      <c r="O19" s="175" t="s">
        <v>179</v>
      </c>
      <c r="P19" s="134"/>
      <c r="Q19" s="30"/>
      <c r="R19" s="81" t="str">
        <f>VLOOKUP(C19,'Train Runs'!$A$13:$AE$9982,31,0)</f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S19" s="84" t="str">
        <f>VLOOKUP(C19,'Train Runs'!$A$13:$AE$9982,22,0)</f>
        <v>https://d0f6bd738d7f1b3e5a7ca70fe4ff75f0.us-east-1.aws.found.io/app/kibana#/discover/Steve-Slow-Train-Analysis-(2080s-and-2083s)?_g=(refreshInterval:(display:Off,pause:!f,section:0,value:0),time:(from:'2017-09-26T05:23:05-0600',mode:absolute,to:'2017-09-26T08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9" s="86" t="str">
        <f t="shared" si="1"/>
        <v>"C:\Program Files (x86)\AstroGrep\AstroGrep.exe" /e /r /s /spath="%USERPROFILE%\AppData\Local\Temp\OnboardLogs" /stypes="*4023*201709261*"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4023</v>
      </c>
      <c r="V19" s="31">
        <f t="shared" si="3"/>
        <v>43004.533217592594</v>
      </c>
      <c r="W19" s="45" t="str">
        <f t="shared" si="4"/>
        <v>EC</v>
      </c>
      <c r="X19" s="22">
        <f t="shared" si="5"/>
        <v>118</v>
      </c>
      <c r="Y19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{"issue":{"subject":"","project_id":79,"tracker_id":40,"status_id":1,"priority_id":2,"assigned_to_id":338,"start_date":"2017-09-26","description":"","custom_fields":[{"id":1,"name":"Subdivision","value":"EC"},{"id":4,"name":"Milepost","value":"19.1104"},{"id":17,"name":"Train ID","value":"118-26"},{"id":16,"name":"Locomotive ID","value":"4023"},{"id":130,"name":"Impact","value":""},{"id":150,"name":"Time of Event (Mountain Time)","value":"06:47:50"},{"id":151,"name":"Denver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/c/Users/stu/AppData/Local/Temp/OnboardLogs/RTDC4023 --include="*4023*201709261*"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"%USERPROFILE%\AppData\Local\Temp\OnboardLogs"\RTDC4023\*4023*201709261* &gt;&gt; 2017-09-26-SliceDisagreementCheck.txt</v>
      </c>
      <c r="AE19" s="145" t="str">
        <f t="shared" si="9"/>
        <v>start /low /b %USERPROFILE%\Documents\GitHub\eaglep3\Utilities\DownloadLogsFromS3.py --loco 4023 --day 2017-09-26</v>
      </c>
      <c r="AF19" s="1"/>
    </row>
    <row r="20" spans="1:32" x14ac:dyDescent="0.25">
      <c r="A20" s="31">
        <v>43004.855057870373</v>
      </c>
      <c r="B20" s="30" t="s">
        <v>423</v>
      </c>
      <c r="C20" s="30" t="s">
        <v>633</v>
      </c>
      <c r="D20" s="30" t="s">
        <v>95</v>
      </c>
      <c r="E20" s="30" t="s">
        <v>533</v>
      </c>
      <c r="F20" s="42">
        <v>0</v>
      </c>
      <c r="G20" s="42">
        <v>158</v>
      </c>
      <c r="H20" s="42">
        <v>2309</v>
      </c>
      <c r="I20" s="42">
        <v>0</v>
      </c>
      <c r="J20" s="30" t="s">
        <v>534</v>
      </c>
      <c r="K20" s="42">
        <v>1692</v>
      </c>
      <c r="L20" s="131" t="s">
        <v>50</v>
      </c>
      <c r="M20" s="132">
        <f t="shared" si="0"/>
        <v>893.37599999999998</v>
      </c>
      <c r="N20" s="133" t="str">
        <f>VLOOKUP(C20,'Trips&amp;Operators'!$C$1:$G$99911,5,FALSE)</f>
        <v>HART KEVIN</v>
      </c>
      <c r="O20" s="175" t="s">
        <v>408</v>
      </c>
      <c r="P20" s="134" t="s">
        <v>1016</v>
      </c>
      <c r="Q20" s="30"/>
      <c r="R20" s="81" t="str">
        <f>VLOOKUP(C20,'Train Runs'!$A$13:$AE$9982,31,0)</f>
        <v>aws s3 cp s3://rtdc.mdm.uploadarchive.raw/RTDC4010/ "%USERPROFILE%\AppData\Local\Temp\OnboardLogs"\RTDC4010\2017-09-26 --exclude "*" --recursive --include "*20170926*" &amp; "%USERPROFILE%\Documents\GitHub\mrs-test-scripts\Headless Mode &amp; Sideloading\WalkAndUnGZ.bat" "%USERPROFILE%\AppData\Local\Temp\OnboardLogs"\RTDC4010\2017-09-26 &amp; aws s3 cp s3://rtdc.mdm.uploadarchive.raw/RTDC4010/ "%USERPROFILE%\AppData\Local\Temp\OnboardLogs"\RTDC4010\2017-09-27 --exclude "*" --recursive --include "*20170927*" &amp; "%USERPROFILE%\Documents\GitHub\mrs-test-scripts\Headless Mode &amp; Sideloading\WalkAndUnGZ.bat" "%USERPROFILE%\AppData\Local\Temp\OnboardLogs"\RTDC4010\2017-09-27</v>
      </c>
      <c r="S20" s="84" t="str">
        <f>VLOOKUP(C20,'Train Runs'!$A$13:$AE$9982,22,0)</f>
        <v>https://d0f6bd738d7f1b3e5a7ca70fe4ff75f0.us-east-1.aws.found.io/app/kibana#/discover/Steve-Slow-Train-Analysis-(2080s-and-2083s)?_g=(refreshInterval:(display:Off,pause:!f,section:0,value:0),time:(from:'2017-09-26T19:35:56-0600',mode:absolute,to:'2017-09-26T22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0" s="86" t="str">
        <f t="shared" si="1"/>
        <v>"C:\Program Files (x86)\AstroGrep\AstroGrep.exe" /e /r /s /spath="%USERPROFILE%\AppData\Local\Temp\OnboardLogs" /stypes="*4010*201709270*"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4010</v>
      </c>
      <c r="V20" s="31">
        <f t="shared" si="3"/>
        <v>43005.105057870373</v>
      </c>
      <c r="W20" s="45" t="str">
        <f t="shared" si="4"/>
        <v>EC</v>
      </c>
      <c r="X20" s="22">
        <f t="shared" si="5"/>
        <v>227</v>
      </c>
      <c r="Y20" s="96" t="str">
        <f t="shared" si="6"/>
        <v>echo {"issue":{"subject":"Onboard in-route failure","project_id":79,"tracker_id":40,"status_id":1,"priority_id":2,"assigned_to_id":338,"start_date":"2017-09-26","description":"","custom_fields":[{"id":1,"name":"Subdivision","value":"EC"},{"id":4,"name":"Milepost","value":"0.1692"},{"id":17,"name":"Train ID","value":"227-26"},{"id":16,"name":"Locomotive ID","value":"4010"},{"id":130,"name":"Impact","value":""},{"id":150,"name":"Time of Event (Mountain Time)","value":"20:31:17"},{"id":151,"name":"Denver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/c/Users/stu/AppData/Local/Temp/OnboardLogs/RTDC4010 --include="*4010*201709270*"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"%USERPROFILE%\AppData\Local\Temp\OnboardLogs"\RTDC4010\*4010*201709270* &gt;&gt; 2017-09-26-SliceDisagreementCheck.txt</v>
      </c>
      <c r="AE20" s="145" t="str">
        <f t="shared" si="9"/>
        <v>start /low /b %USERPROFILE%\Documents\GitHub\eaglep3\Utilities\DownloadLogsFromS3.py --loco 4010 --day 2017-09-27</v>
      </c>
      <c r="AF20" s="1"/>
    </row>
    <row r="21" spans="1:32" x14ac:dyDescent="0.25">
      <c r="A21" s="31">
        <v>43004.664976851855</v>
      </c>
      <c r="B21" s="30" t="s">
        <v>623</v>
      </c>
      <c r="C21" s="30" t="s">
        <v>624</v>
      </c>
      <c r="D21" s="30" t="s">
        <v>49</v>
      </c>
      <c r="E21" s="30" t="s">
        <v>533</v>
      </c>
      <c r="F21" s="42">
        <v>0</v>
      </c>
      <c r="G21" s="42">
        <v>479</v>
      </c>
      <c r="H21" s="42">
        <v>55713</v>
      </c>
      <c r="I21" s="42">
        <v>0</v>
      </c>
      <c r="J21" s="30" t="s">
        <v>534</v>
      </c>
      <c r="K21" s="42">
        <v>56976</v>
      </c>
      <c r="L21" s="131" t="s">
        <v>50</v>
      </c>
      <c r="M21" s="132">
        <f t="shared" si="0"/>
        <v>30083.328000000001</v>
      </c>
      <c r="N21" s="133" t="str">
        <f>VLOOKUP(C21,'Trips&amp;Operators'!$C$1:$G$99911,5,FALSE)</f>
        <v>SAFIEF AEIMEN</v>
      </c>
      <c r="O21" s="175" t="s">
        <v>408</v>
      </c>
      <c r="P21" s="134" t="s">
        <v>1011</v>
      </c>
      <c r="Q21" s="30"/>
      <c r="R21" s="81" t="str">
        <f>VLOOKUP(C21,'Train Runs'!$A$13:$AE$9982,31,0)</f>
        <v>aws s3 cp s3://rtdc.mdm.uploadarchive.raw/RTDC4062/ "%USERPROFILE%\AppData\Local\Temp\OnboardLogs"\RTDC4062\2017-09-26 --exclude "*" --recursive --include "*20170926*" &amp; "%USERPROFILE%\Documents\GitHub\mrs-test-scripts\Headless Mode &amp; Sideloading\WalkAndUnGZ.bat" "%USERPROFILE%\AppData\Local\Temp\OnboardLogs"\RTDC4062\2017-09-26 &amp; aws s3 cp s3://rtdc.mdm.uploadarchive.raw/RTDC4062/ "%USERPROFILE%\AppData\Local\Temp\OnboardLogs"\RTDC4062\2017-09-27 --exclude "*" --recursive --include "*20170927*" &amp; "%USERPROFILE%\Documents\GitHub\mrs-test-scripts\Headless Mode &amp; Sideloading\WalkAndUnGZ.bat" "%USERPROFILE%\AppData\Local\Temp\OnboardLogs"\RTDC4062\2017-09-27</v>
      </c>
      <c r="S21" s="84" t="str">
        <f>VLOOKUP(C21,'Train Runs'!$A$13:$AE$9982,22,0)</f>
        <v>https://d0f6bd738d7f1b3e5a7ca70fe4ff75f0.us-east-1.aws.found.io/app/kibana#/discover/Steve-Slow-Train-Analysis-(2080s-and-2083s)?_g=(refreshInterval:(display:Off,pause:!f,section:0,value:0),time:(from:'2017-09-26T15:02:18-0600',mode:absolute,to:'2017-09-26T17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1" s="86" t="str">
        <f t="shared" si="1"/>
        <v>"C:\Program Files (x86)\AstroGrep\AstroGrep.exe" /e /r /s /spath="%USERPROFILE%\AppData\Local\Temp\OnboardLogs" /stypes="*4062*201709262*"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4062</v>
      </c>
      <c r="V21" s="31">
        <f t="shared" si="3"/>
        <v>43004.914976851855</v>
      </c>
      <c r="W21" s="45" t="str">
        <f t="shared" si="4"/>
        <v>EC</v>
      </c>
      <c r="X21" s="22">
        <f t="shared" si="5"/>
        <v>197</v>
      </c>
      <c r="Y21" s="96" t="str">
        <f t="shared" si="6"/>
        <v>echo {"issue":{"subject":"Wi-MAX data drop","project_id":79,"tracker_id":40,"status_id":1,"priority_id":2,"assigned_to_id":338,"start_date":"2017-09-26","description":"","custom_fields":[{"id":1,"name":"Subdivision","value":"EC"},{"id":4,"name":"Milepost","value":"5.6976"},{"id":17,"name":"Train ID","value":"197-26"},{"id":16,"name":"Locomotive ID","value":"4062"},{"id":130,"name":"Impact","value":""},{"id":150,"name":"Time of Event (Mountain Time)","value":"15:57:34"},{"id":151,"name":"Denver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/c/Users/stu/AppData/Local/Temp/OnboardLogs/RTDC4062 --include="*4062*201709262*"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"%USERPROFILE%\AppData\Local\Temp\OnboardLogs"\RTDC4062\*4062*201709262* &gt;&gt; 2017-09-26-SliceDisagreementCheck.txt</v>
      </c>
      <c r="AE21" s="145" t="str">
        <f t="shared" si="9"/>
        <v>start /low /b %USERPROFILE%\Documents\GitHub\eaglep3\Utilities\DownloadLogsFromS3.py --loco 4062 --day 2017-09-26</v>
      </c>
      <c r="AF21" s="1"/>
    </row>
    <row r="22" spans="1:32" x14ac:dyDescent="0.25">
      <c r="A22" s="31">
        <v>43004.590428240743</v>
      </c>
      <c r="B22" s="30" t="s">
        <v>488</v>
      </c>
      <c r="C22" s="30" t="s">
        <v>618</v>
      </c>
      <c r="D22" s="30" t="s">
        <v>49</v>
      </c>
      <c r="E22" s="30" t="s">
        <v>180</v>
      </c>
      <c r="F22" s="42">
        <v>0</v>
      </c>
      <c r="G22" s="42">
        <v>56</v>
      </c>
      <c r="H22" s="42">
        <v>192</v>
      </c>
      <c r="I22" s="42">
        <v>134</v>
      </c>
      <c r="J22" s="30" t="s">
        <v>181</v>
      </c>
      <c r="K22" s="42">
        <v>1</v>
      </c>
      <c r="L22" s="131" t="s">
        <v>51</v>
      </c>
      <c r="M22" s="132">
        <f t="shared" si="0"/>
        <v>70.224000000000004</v>
      </c>
      <c r="N22" s="133" t="str">
        <f>VLOOKUP(C22,'Trips&amp;Operators'!$C$1:$G$99911,5,FALSE)</f>
        <v>DAVIS MICHAEL</v>
      </c>
      <c r="O22" s="175" t="s">
        <v>179</v>
      </c>
      <c r="P22" s="134"/>
      <c r="Q22" s="30"/>
      <c r="R22" s="81" t="str">
        <f>VLOOKUP(C22,'Train Runs'!$A$13:$AE$9982,31,0)</f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S22" s="84" t="str">
        <f>VLOOKUP(C22,'Train Runs'!$A$13:$AE$9982,22,0)</f>
        <v>https://d0f6bd738d7f1b3e5a7ca70fe4ff75f0.us-east-1.aws.found.io/app/kibana#/discover/Steve-Slow-Train-Analysis-(2080s-and-2083s)?_g=(refreshInterval:(display:Off,pause:!f,section:0,value:0),time:(from:'2017-09-26T12:22:47-0600',mode:absolute,to:'2017-09-26T15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86" t="str">
        <f t="shared" si="1"/>
        <v>"C:\Program Files (x86)\AstroGrep\AstroGrep.exe" /e /r /s /spath="%USERPROFILE%\AppData\Local\Temp\OnboardLogs" /stypes="*4025*201709262*"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4025</v>
      </c>
      <c r="V22" s="31">
        <f t="shared" si="3"/>
        <v>43004.840428240743</v>
      </c>
      <c r="W22" s="45" t="str">
        <f t="shared" si="4"/>
        <v>EC</v>
      </c>
      <c r="X22" s="22">
        <f t="shared" si="5"/>
        <v>172</v>
      </c>
      <c r="Y22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{"issue":{"subject":"","project_id":79,"tracker_id":40,"status_id":1,"priority_id":2,"assigned_to_id":338,"start_date":"2017-09-26","description":"","custom_fields":[{"id":1,"name":"Subdivision","value":"EC"},{"id":4,"name":"Milepost","value":"0.0001"},{"id":17,"name":"Train ID","value":"172-26"},{"id":16,"name":"Locomotive ID","value":"4025"},{"id":130,"name":"Impact","value":""},{"id":150,"name":"Time of Event (Mountain Time)","value":"14:10:13"},{"id":151,"name":"Denver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/c/Users/stu/AppData/Local/Temp/OnboardLogs/RTDC4025 --include="*4025*201709262*"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"%USERPROFILE%\AppData\Local\Temp\OnboardLogs"\RTDC4025\*4025*201709262* &gt;&gt; 2017-09-26-SliceDisagreementCheck.txt</v>
      </c>
      <c r="AE22" s="145" t="str">
        <f t="shared" si="9"/>
        <v>start /low /b %USERPROFILE%\Documents\GitHub\eaglep3\Utilities\DownloadLogsFromS3.py --loco 4025 --day 2017-09-26</v>
      </c>
      <c r="AF22" s="1"/>
    </row>
    <row r="23" spans="1:32" x14ac:dyDescent="0.25">
      <c r="A23" s="31">
        <v>43004.661886574075</v>
      </c>
      <c r="B23" s="30" t="s">
        <v>488</v>
      </c>
      <c r="C23" s="30" t="s">
        <v>621</v>
      </c>
      <c r="D23" s="30" t="s">
        <v>49</v>
      </c>
      <c r="E23" s="30" t="s">
        <v>180</v>
      </c>
      <c r="F23" s="42">
        <v>0</v>
      </c>
      <c r="G23" s="42">
        <v>88</v>
      </c>
      <c r="H23" s="42">
        <v>314</v>
      </c>
      <c r="I23" s="42">
        <v>236</v>
      </c>
      <c r="J23" s="30" t="s">
        <v>181</v>
      </c>
      <c r="K23" s="42">
        <v>1</v>
      </c>
      <c r="L23" s="131" t="s">
        <v>51</v>
      </c>
      <c r="M23" s="132">
        <f t="shared" si="0"/>
        <v>124.08</v>
      </c>
      <c r="N23" s="133" t="str">
        <f>VLOOKUP(C23,'Trips&amp;Operators'!$C$1:$G$99911,5,FALSE)</f>
        <v>DAVIS MICHAEL</v>
      </c>
      <c r="O23" s="175" t="s">
        <v>179</v>
      </c>
      <c r="P23" s="134"/>
      <c r="Q23" s="30"/>
      <c r="R23" s="81" t="str">
        <f>VLOOKUP(C23,'Train Runs'!$A$13:$AE$9982,31,0)</f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S23" s="84" t="str">
        <f>VLOOKUP(C23,'Train Runs'!$A$13:$AE$9982,22,0)</f>
        <v>https://d0f6bd738d7f1b3e5a7ca70fe4ff75f0.us-east-1.aws.found.io/app/kibana#/discover/Steve-Slow-Train-Analysis-(2080s-and-2083s)?_g=(refreshInterval:(display:Off,pause:!f,section:0,value:0),time:(from:'2017-09-26T14:09:34-0600',mode:absolute,to:'2017-09-26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3" s="86" t="str">
        <f t="shared" si="1"/>
        <v>"C:\Program Files (x86)\AstroGrep\AstroGrep.exe" /e /r /s /spath="%USERPROFILE%\AppData\Local\Temp\OnboardLogs" /stypes="*4025*201709262*"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4025</v>
      </c>
      <c r="V23" s="31">
        <f t="shared" si="3"/>
        <v>43004.911886574075</v>
      </c>
      <c r="W23" s="45" t="str">
        <f t="shared" si="4"/>
        <v>EC</v>
      </c>
      <c r="X23" s="22">
        <f t="shared" si="5"/>
        <v>186</v>
      </c>
      <c r="Y23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{"issue":{"subject":"","project_id":79,"tracker_id":40,"status_id":1,"priority_id":2,"assigned_to_id":338,"start_date":"2017-09-26","description":"","custom_fields":[{"id":1,"name":"Subdivision","value":"EC"},{"id":4,"name":"Milepost","value":"0.0001"},{"id":17,"name":"Train ID","value":"186-26"},{"id":16,"name":"Locomotive ID","value":"4025"},{"id":130,"name":"Impact","value":""},{"id":150,"name":"Time of Event (Mountain Time)","value":"15:53:07"},{"id":151,"name":"Denver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/c/Users/stu/AppData/Local/Temp/OnboardLogs/RTDC4025 --include="*4025*201709262*"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"%USERPROFILE%\AppData\Local\Temp\OnboardLogs"\RTDC4025\*4025*201709262* &gt;&gt; 2017-09-26-SliceDisagreementCheck.txt</v>
      </c>
      <c r="AE23" s="145" t="str">
        <f t="shared" si="9"/>
        <v>start /low /b %USERPROFILE%\Documents\GitHub\eaglep3\Utilities\DownloadLogsFromS3.py --loco 4025 --day 2017-09-26</v>
      </c>
      <c r="AF23" s="1"/>
    </row>
    <row r="24" spans="1:32" x14ac:dyDescent="0.25">
      <c r="A24" s="31">
        <v>43004.662314814814</v>
      </c>
      <c r="B24" s="30" t="s">
        <v>488</v>
      </c>
      <c r="C24" s="30" t="s">
        <v>621</v>
      </c>
      <c r="D24" s="30" t="s">
        <v>49</v>
      </c>
      <c r="E24" s="30" t="s">
        <v>180</v>
      </c>
      <c r="F24" s="42">
        <v>0</v>
      </c>
      <c r="G24" s="42">
        <v>28</v>
      </c>
      <c r="H24" s="42">
        <v>178</v>
      </c>
      <c r="I24" s="42">
        <v>161</v>
      </c>
      <c r="J24" s="30" t="s">
        <v>181</v>
      </c>
      <c r="K24" s="42">
        <v>1</v>
      </c>
      <c r="L24" s="131" t="s">
        <v>51</v>
      </c>
      <c r="M24" s="132">
        <f t="shared" si="0"/>
        <v>84.48</v>
      </c>
      <c r="N24" s="133" t="str">
        <f>VLOOKUP(C24,'Trips&amp;Operators'!$C$1:$G$99911,5,FALSE)</f>
        <v>DAVIS MICHAEL</v>
      </c>
      <c r="O24" s="175" t="s">
        <v>179</v>
      </c>
      <c r="P24" s="134"/>
      <c r="Q24" s="30"/>
      <c r="R24" s="81" t="str">
        <f>VLOOKUP(C24,'Train Runs'!$A$13:$AE$9982,31,0)</f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S24" s="84" t="str">
        <f>VLOOKUP(C24,'Train Runs'!$A$13:$AE$9982,22,0)</f>
        <v>https://d0f6bd738d7f1b3e5a7ca70fe4ff75f0.us-east-1.aws.found.io/app/kibana#/discover/Steve-Slow-Train-Analysis-(2080s-and-2083s)?_g=(refreshInterval:(display:Off,pause:!f,section:0,value:0),time:(from:'2017-09-26T14:09:34-0600',mode:absolute,to:'2017-09-26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 t="shared" si="1"/>
        <v>"C:\Program Files (x86)\AstroGrep\AstroGrep.exe" /e /r /s /spath="%USERPROFILE%\AppData\Local\Temp\OnboardLogs" /stypes="*4025*201709262*"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43004.912314814814</v>
      </c>
      <c r="W24" s="45" t="str">
        <f t="shared" si="4"/>
        <v>EC</v>
      </c>
      <c r="X24" s="22">
        <f t="shared" si="5"/>
        <v>186</v>
      </c>
      <c r="Y24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{"issue":{"subject":"","project_id":79,"tracker_id":40,"status_id":1,"priority_id":2,"assigned_to_id":338,"start_date":"2017-09-26","description":"","custom_fields":[{"id":1,"name":"Subdivision","value":"EC"},{"id":4,"name":"Milepost","value":"0.0001"},{"id":17,"name":"Train ID","value":"186-26"},{"id":16,"name":"Locomotive ID","value":"4025"},{"id":130,"name":"Impact","value":""},{"id":150,"name":"Time of Event (Mountain Time)","value":"15:53:44"},{"id":151,"name":"Denver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/c/Users/stu/AppData/Local/Temp/OnboardLogs/RTDC4025 --include="*4025*201709262*"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"%USERPROFILE%\AppData\Local\Temp\OnboardLogs"\RTDC4025\*4025*201709262* &gt;&gt; 2017-09-26-SliceDisagreementCheck.txt</v>
      </c>
      <c r="AE24" s="145" t="str">
        <f t="shared" si="9"/>
        <v>start /low /b %USERPROFILE%\Documents\GitHub\eaglep3\Utilities\DownloadLogsFromS3.py --loco 4025 --day 2017-09-26</v>
      </c>
      <c r="AF24" s="1"/>
    </row>
    <row r="25" spans="1:32" x14ac:dyDescent="0.25">
      <c r="A25" s="31">
        <v>43004.735509259262</v>
      </c>
      <c r="B25" s="30" t="s">
        <v>488</v>
      </c>
      <c r="C25" s="30" t="s">
        <v>629</v>
      </c>
      <c r="D25" s="30" t="s">
        <v>49</v>
      </c>
      <c r="E25" s="30" t="s">
        <v>180</v>
      </c>
      <c r="F25" s="42">
        <v>0</v>
      </c>
      <c r="G25" s="42">
        <v>50</v>
      </c>
      <c r="H25" s="42">
        <v>180</v>
      </c>
      <c r="I25" s="42">
        <v>127</v>
      </c>
      <c r="J25" s="30" t="s">
        <v>181</v>
      </c>
      <c r="K25" s="42">
        <v>1</v>
      </c>
      <c r="L25" s="131" t="s">
        <v>51</v>
      </c>
      <c r="M25" s="132">
        <f t="shared" si="0"/>
        <v>66.528000000000006</v>
      </c>
      <c r="N25" s="133" t="str">
        <f>VLOOKUP(C25,'Trips&amp;Operators'!$C$1:$G$99911,5,FALSE)</f>
        <v>DAVIS MICHAEL</v>
      </c>
      <c r="O25" s="175" t="s">
        <v>179</v>
      </c>
      <c r="P25" s="134"/>
      <c r="Q25" s="30"/>
      <c r="R25" s="81" t="str">
        <f>VLOOKUP(C25,'Train Runs'!$A$13:$AE$9982,31,0)</f>
        <v>aws s3 cp s3://rtdc.mdm.uploadarchive.raw/RTDC4025/ "%USERPROFILE%\AppData\Local\Temp\OnboardLogs"\RTDC4025\2017-09-26 --exclude "*" --recursive --include "*20170926*" &amp; "%USERPROFILE%\Documents\GitHub\mrs-test-scripts\Headless Mode &amp; Sideloading\WalkAndUnGZ.bat" "%USERPROFILE%\AppData\Local\Temp\OnboardLogs"\RTDC4025\2017-09-26 &amp; aws s3 cp s3://rtdc.mdm.uploadarchive.raw/RTDC4025/ "%USERPROFILE%\AppData\Local\Temp\OnboardLogs"\RTDC4025\2017-09-27 --exclude "*" --recursive --include "*20170927*" &amp; "%USERPROFILE%\Documents\GitHub\mrs-test-scripts\Headless Mode &amp; Sideloading\WalkAndUnGZ.bat" "%USERPROFILE%\AppData\Local\Temp\OnboardLogs"\RTDC4025\2017-09-27</v>
      </c>
      <c r="S25" s="84" t="str">
        <f>VLOOKUP(C25,'Train Runs'!$A$13:$AE$9982,22,0)</f>
        <v>https://d0f6bd738d7f1b3e5a7ca70fe4ff75f0.us-east-1.aws.found.io/app/kibana#/discover/Steve-Slow-Train-Analysis-(2080s-and-2083s)?_g=(refreshInterval:(display:Off,pause:!f,section:0,value:0),time:(from:'2017-09-26T15:52:49-0600',mode:absolute,to:'2017-09-26T18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5" s="86" t="str">
        <f t="shared" si="1"/>
        <v>"C:\Program Files (x86)\AstroGrep\AstroGrep.exe" /e /r /s /spath="%USERPROFILE%\AppData\Local\Temp\OnboardLogs" /stypes="*4025*201709262*"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4025</v>
      </c>
      <c r="V25" s="31">
        <f t="shared" si="3"/>
        <v>43004.985509259262</v>
      </c>
      <c r="W25" s="45" t="str">
        <f t="shared" si="4"/>
        <v>EC</v>
      </c>
      <c r="X25" s="22">
        <f t="shared" si="5"/>
        <v>200</v>
      </c>
      <c r="Y25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{"issue":{"subject":"","project_id":79,"tracker_id":40,"status_id":1,"priority_id":2,"assigned_to_id":338,"start_date":"2017-09-26","description":"","custom_fields":[{"id":1,"name":"Subdivision","value":"EC"},{"id":4,"name":"Milepost","value":"0.0001"},{"id":17,"name":"Train ID","value":"200-26"},{"id":16,"name":"Locomotive ID","value":"4025"},{"id":130,"name":"Impact","value":""},{"id":150,"name":"Time of Event (Mountain Time)","value":"17:39:08"},{"id":151,"name":"Denver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/c/Users/stu/AppData/Local/Temp/OnboardLogs/RTDC4025 --include="*4025*201709262*"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"%USERPROFILE%\AppData\Local\Temp\OnboardLogs"\RTDC4025\*4025*201709262* &gt;&gt; 2017-09-26-SliceDisagreementCheck.txt</v>
      </c>
      <c r="AE25" s="145" t="str">
        <f t="shared" si="9"/>
        <v>start /low /b %USERPROFILE%\Documents\GitHub\eaglep3\Utilities\DownloadLogsFromS3.py --loco 4025 --day 2017-09-26</v>
      </c>
      <c r="AF25" s="1"/>
    </row>
    <row r="26" spans="1:32" x14ac:dyDescent="0.25">
      <c r="A26" s="31">
        <v>43004.388310185182</v>
      </c>
      <c r="B26" s="30" t="s">
        <v>413</v>
      </c>
      <c r="C26" s="30" t="s">
        <v>610</v>
      </c>
      <c r="D26" s="30" t="s">
        <v>95</v>
      </c>
      <c r="E26" s="30" t="s">
        <v>180</v>
      </c>
      <c r="F26" s="42">
        <v>0</v>
      </c>
      <c r="G26" s="42">
        <v>9</v>
      </c>
      <c r="H26" s="42">
        <v>838</v>
      </c>
      <c r="I26" s="42">
        <v>0</v>
      </c>
      <c r="J26" s="30" t="s">
        <v>181</v>
      </c>
      <c r="K26" s="42">
        <v>839</v>
      </c>
      <c r="L26" s="131" t="s">
        <v>51</v>
      </c>
      <c r="M26" s="132">
        <f t="shared" si="0"/>
        <v>-442.99200000000002</v>
      </c>
      <c r="N26" s="133" t="str">
        <f>VLOOKUP(C26,'Trips&amp;Operators'!$C$1:$G$99911,5,FALSE)</f>
        <v>MACDONALD THOMAS</v>
      </c>
      <c r="O26" s="175" t="s">
        <v>179</v>
      </c>
      <c r="P26" s="134"/>
      <c r="Q26" s="30"/>
      <c r="R26" s="81" t="str">
        <f>VLOOKUP(C26,'Train Runs'!$A$13:$AE$9982,31,0)</f>
        <v>aws s3 cp s3://rtdc.mdm.uploadarchive.raw/RTDC4023/ "%USERPROFILE%\AppData\Local\Temp\OnboardLogs"\RTDC4023\2017-09-26 --exclude "*" --recursive --include "*20170926*" &amp; "%USERPROFILE%\Documents\GitHub\mrs-test-scripts\Headless Mode &amp; Sideloading\WalkAndUnGZ.bat" "%USERPROFILE%\AppData\Local\Temp\OnboardLogs"\RTDC4023\2017-09-26 &amp; aws s3 cp s3://rtdc.mdm.uploadarchive.raw/RTDC4023/ "%USERPROFILE%\AppData\Local\Temp\OnboardLogs"\RTDC4023\2017-09-27 --exclude "*" --recursive --include "*20170927*" &amp; "%USERPROFILE%\Documents\GitHub\mrs-test-scripts\Headless Mode &amp; Sideloading\WalkAndUnGZ.bat" "%USERPROFILE%\AppData\Local\Temp\OnboardLogs"\RTDC4023\2017-09-27</v>
      </c>
      <c r="S26" s="84" t="str">
        <f>VLOOKUP(C26,'Train Runs'!$A$13:$AE$9982,22,0)</f>
        <v>https://d0f6bd738d7f1b3e5a7ca70fe4ff75f0.us-east-1.aws.found.io/app/kibana#/discover/Steve-Slow-Train-Analysis-(2080s-and-2083s)?_g=(refreshInterval:(display:Off,pause:!f,section:0,value:0),time:(from:'2017-09-26T06:25:13-0600',mode:absolute,to:'2017-09-26T10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6" s="86" t="str">
        <f t="shared" si="1"/>
        <v>"C:\Program Files (x86)\AstroGrep\AstroGrep.exe" /e /r /s /spath="%USERPROFILE%\AppData\Local\Temp\OnboardLogs" /stypes="*4023*201709261*"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4023</v>
      </c>
      <c r="V26" s="31">
        <f t="shared" si="3"/>
        <v>43004.638310185182</v>
      </c>
      <c r="W26" s="45" t="str">
        <f t="shared" si="4"/>
        <v>EC</v>
      </c>
      <c r="X26" s="22">
        <f t="shared" si="5"/>
        <v>132</v>
      </c>
      <c r="Y26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{"issue":{"subject":"","project_id":79,"tracker_id":40,"status_id":1,"priority_id":2,"assigned_to_id":338,"start_date":"2017-09-26","description":"","custom_fields":[{"id":1,"name":"Subdivision","value":"EC"},{"id":4,"name":"Milepost","value":"0.0839"},{"id":17,"name":"Train ID","value":"132-26"},{"id":16,"name":"Locomotive ID","value":"4023"},{"id":130,"name":"Impact","value":""},{"id":150,"name":"Time of Event (Mountain Time)","value":"09:19:10"},{"id":151,"name":"Denver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/c/Users/stu/AppData/Local/Temp/OnboardLogs/RTDC4023 --include="*4023*201709261*"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"%USERPROFILE%\AppData\Local\Temp\OnboardLogs"\RTDC4023\*4023*201709261* &gt;&gt; 2017-09-26-SliceDisagreementCheck.txt</v>
      </c>
      <c r="AE26" s="145" t="str">
        <f t="shared" si="9"/>
        <v>start /low /b %USERPROFILE%\Documents\GitHub\eaglep3\Utilities\DownloadLogsFromS3.py --loco 4023 --day 2017-09-26</v>
      </c>
      <c r="AF26" s="1"/>
    </row>
    <row r="27" spans="1:32" x14ac:dyDescent="0.25">
      <c r="A27" s="31">
        <v>43004.71670138889</v>
      </c>
      <c r="B27" s="30" t="s">
        <v>616</v>
      </c>
      <c r="C27" s="30" t="s">
        <v>628</v>
      </c>
      <c r="D27" s="30" t="s">
        <v>49</v>
      </c>
      <c r="E27" s="30" t="s">
        <v>180</v>
      </c>
      <c r="F27" s="42">
        <v>0</v>
      </c>
      <c r="G27" s="42">
        <v>33</v>
      </c>
      <c r="H27" s="42">
        <v>937</v>
      </c>
      <c r="I27" s="42">
        <v>909</v>
      </c>
      <c r="J27" s="30" t="s">
        <v>181</v>
      </c>
      <c r="K27" s="42">
        <v>839</v>
      </c>
      <c r="L27" s="131" t="s">
        <v>51</v>
      </c>
      <c r="M27" s="132">
        <f t="shared" si="0"/>
        <v>36.96</v>
      </c>
      <c r="N27" s="133" t="str">
        <f>VLOOKUP(C27,'Trips&amp;Operators'!$C$1:$G$99911,5,FALSE)</f>
        <v>LEVIN SCOTT</v>
      </c>
      <c r="O27" s="175" t="s">
        <v>179</v>
      </c>
      <c r="P27" s="134"/>
      <c r="Q27" s="30"/>
      <c r="R27" s="81" t="str">
        <f>VLOOKUP(C27,'Train Runs'!$A$13:$AE$9982,31,0)</f>
        <v>aws s3 cp s3://rtdc.mdm.uploadarchive.raw/RTDC4053/ "%USERPROFILE%\AppData\Local\Temp\OnboardLogs"\RTDC4053\2017-09-26 --exclude "*" --recursive --include "*20170926*" &amp; "%USERPROFILE%\Documents\GitHub\mrs-test-scripts\Headless Mode &amp; Sideloading\WalkAndUnGZ.bat" "%USERPROFILE%\AppData\Local\Temp\OnboardLogs"\RTDC4053\2017-09-26 &amp; 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</v>
      </c>
      <c r="S27" s="84" t="str">
        <f>VLOOKUP(C27,'Train Runs'!$A$13:$AE$9982,22,0)</f>
        <v>https://d0f6bd738d7f1b3e5a7ca70fe4ff75f0.us-east-1.aws.found.io/app/kibana#/discover/Steve-Slow-Train-Analysis-(2080s-and-2083s)?_g=(refreshInterval:(display:Off,pause:!f,section:0,value:0),time:(from:'2017-09-26T15:06:14-0600',mode:absolute,to:'2017-09-26T18:12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7" s="86" t="str">
        <f t="shared" si="1"/>
        <v>"C:\Program Files (x86)\AstroGrep\AstroGrep.exe" /e /r /s /spath="%USERPROFILE%\AppData\Local\Temp\OnboardLogs" /stypes="*4053*201709262*"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4053</v>
      </c>
      <c r="V27" s="31">
        <f t="shared" si="3"/>
        <v>43004.96670138889</v>
      </c>
      <c r="W27" s="45" t="str">
        <f t="shared" si="4"/>
        <v>EC</v>
      </c>
      <c r="X27" s="22">
        <f t="shared" si="5"/>
        <v>194</v>
      </c>
      <c r="Y27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{"issue":{"subject":"","project_id":79,"tracker_id":40,"status_id":1,"priority_id":2,"assigned_to_id":338,"start_date":"2017-09-26","description":"","custom_fields":[{"id":1,"name":"Subdivision","value":"EC"},{"id":4,"name":"Milepost","value":"0.0839"},{"id":17,"name":"Train ID","value":"194-26"},{"id":16,"name":"Locomotive ID","value":"4053"},{"id":130,"name":"Impact","value":""},{"id":150,"name":"Time of Event (Mountain Time)","value":"17:12:03"},{"id":151,"name":"Denver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/c/Users/stu/AppData/Local/Temp/OnboardLogs/RTDC4053 --include="*4053*201709262*"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"%USERPROFILE%\AppData\Local\Temp\OnboardLogs"\RTDC4053\*4053*201709262* &gt;&gt; 2017-09-26-SliceDisagreementCheck.txt</v>
      </c>
      <c r="AE27" s="145" t="str">
        <f t="shared" si="9"/>
        <v>start /low /b %USERPROFILE%\Documents\GitHub\eaglep3\Utilities\DownloadLogsFromS3.py --loco 4053 --day 2017-09-26</v>
      </c>
      <c r="AF27" s="1"/>
    </row>
    <row r="28" spans="1:32" x14ac:dyDescent="0.25">
      <c r="A28" s="31">
        <v>43004.621354166666</v>
      </c>
      <c r="B28" s="30" t="s">
        <v>489</v>
      </c>
      <c r="C28" s="30" t="s">
        <v>620</v>
      </c>
      <c r="D28" s="30" t="s">
        <v>49</v>
      </c>
      <c r="E28" s="30" t="s">
        <v>180</v>
      </c>
      <c r="F28" s="42">
        <v>0</v>
      </c>
      <c r="G28" s="42">
        <v>86</v>
      </c>
      <c r="H28" s="42">
        <v>233242</v>
      </c>
      <c r="I28" s="42">
        <v>233300</v>
      </c>
      <c r="J28" s="30" t="s">
        <v>181</v>
      </c>
      <c r="K28" s="42">
        <v>233491</v>
      </c>
      <c r="L28" s="131" t="s">
        <v>50</v>
      </c>
      <c r="M28" s="132">
        <f t="shared" si="0"/>
        <v>100.848</v>
      </c>
      <c r="N28" s="133" t="str">
        <f>VLOOKUP(C28,'Trips&amp;Operators'!$C$1:$G$99911,5,FALSE)</f>
        <v>DAVIS MICHAEL</v>
      </c>
      <c r="O28" s="175" t="s">
        <v>179</v>
      </c>
      <c r="P28" s="134"/>
      <c r="Q28" s="30"/>
      <c r="R28" s="81" t="str">
        <f>VLOOKUP(C28,'Train Runs'!$A$13:$AE$9982,31,0)</f>
        <v>aws s3 cp s3://rtdc.mdm.uploadarchive.raw/RTDC4026/ "%USERPROFILE%\AppData\Local\Temp\OnboardLogs"\RTDC4026\2017-09-26 --exclude "*" --recursive --include "*20170926*" &amp; "%USERPROFILE%\Documents\GitHub\mrs-test-scripts\Headless Mode &amp; Sideloading\WalkAndUnGZ.bat" "%USERPROFILE%\AppData\Local\Temp\OnboardLogs"\RTDC4026\2017-09-26 &amp; aws s3 cp s3://rtdc.mdm.uploadarchive.raw/RTDC4026/ "%USERPROFILE%\AppData\Local\Temp\OnboardLogs"\RTDC4026\2017-09-27 --exclude "*" --recursive --include "*20170927*" &amp; "%USERPROFILE%\Documents\GitHub\mrs-test-scripts\Headless Mode &amp; Sideloading\WalkAndUnGZ.bat" "%USERPROFILE%\AppData\Local\Temp\OnboardLogs"\RTDC4026\2017-09-27</v>
      </c>
      <c r="S28" s="84" t="str">
        <f>VLOOKUP(C28,'Train Runs'!$A$13:$AE$9982,22,0)</f>
        <v>https://d0f6bd738d7f1b3e5a7ca70fe4ff75f0.us-east-1.aws.found.io/app/kibana#/discover/Steve-Slow-Train-Analysis-(2080s-and-2083s)?_g=(refreshInterval:(display:Off,pause:!f,section:0,value:0),time:(from:'2017-09-26T13:13:09-0600',mode:absolute,to:'2017-09-26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6" t="str">
        <f t="shared" si="1"/>
        <v>"C:\Program Files (x86)\AstroGrep\AstroGrep.exe" /e /r /s /spath="%USERPROFILE%\AppData\Local\Temp\OnboardLogs" /stypes="*4026*201709262*"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4026</v>
      </c>
      <c r="V28" s="31">
        <f t="shared" si="3"/>
        <v>43004.871354166666</v>
      </c>
      <c r="W28" s="45" t="str">
        <f t="shared" si="4"/>
        <v>EC</v>
      </c>
      <c r="X28" s="22">
        <f t="shared" si="5"/>
        <v>185</v>
      </c>
      <c r="Y28" s="96" t="str">
        <f t="shared" si="6"/>
        <v>echo {"issue":{"subject":"","project_id":79,"tracker_id":40,"status_id":1,"priority_id":2,"assigned_to_id":338,"start_date":"2017-09-26","description":"","custom_fields":[{"id":1,"name":"Subdivision","value":"EC"},{"id":4,"name":"Milepost","value":"23.3491"},{"id":17,"name":"Train ID","value":"185-26"},{"id":16,"name":"Locomotive ID","value":"4026"},{"id":130,"name":"Impact","value":""},{"id":150,"name":"Time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/c/Users/stu/AppData/Local/Temp/OnboardLogs/RTDC4026 --include="*4026*201709262*"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"%USERPROFILE%\AppData\Local\Temp\OnboardLogs"\RTDC4026\*4026*201709262* &gt;&gt; 2017-09-26-SliceDisagreementCheck.txt</v>
      </c>
      <c r="AE28" s="145" t="str">
        <f t="shared" si="9"/>
        <v>start /low /b %USERPROFILE%\Documents\GitHub\eaglep3\Utilities\DownloadLogsFromS3.py --loco 4026 --day 2017-09-26</v>
      </c>
      <c r="AF28" s="1"/>
    </row>
    <row r="29" spans="1:32" x14ac:dyDescent="0.25">
      <c r="A29" s="31">
        <v>43004.910057870373</v>
      </c>
      <c r="B29" s="30" t="s">
        <v>606</v>
      </c>
      <c r="C29" s="30" t="s">
        <v>635</v>
      </c>
      <c r="D29" s="30" t="s">
        <v>49</v>
      </c>
      <c r="E29" s="30" t="s">
        <v>186</v>
      </c>
      <c r="F29" s="42">
        <v>0</v>
      </c>
      <c r="G29" s="42">
        <v>272</v>
      </c>
      <c r="H29" s="42">
        <v>11138</v>
      </c>
      <c r="I29" s="42">
        <v>10469</v>
      </c>
      <c r="J29" s="30" t="s">
        <v>187</v>
      </c>
      <c r="K29" s="42">
        <v>10988</v>
      </c>
      <c r="L29" s="131" t="s">
        <v>51</v>
      </c>
      <c r="M29" s="132">
        <f t="shared" si="0"/>
        <v>-274.03199999999998</v>
      </c>
      <c r="N29" s="133" t="str">
        <f>VLOOKUP(C29,'Trips&amp;Operators'!$C$1:$G$99911,5,FALSE)</f>
        <v>STAMBAUGH JAMES</v>
      </c>
      <c r="O29" s="175" t="s">
        <v>179</v>
      </c>
      <c r="P29" s="134" t="s">
        <v>364</v>
      </c>
      <c r="Q29" s="30"/>
      <c r="R29" s="81" t="str">
        <f>VLOOKUP(C29,'Train Runs'!$A$13:$AE$9982,31,0)</f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S29" s="84" t="str">
        <f>VLOOKUP(C29,'Train Runs'!$A$13:$AE$9982,22,0)</f>
        <v>https://d0f6bd738d7f1b3e5a7ca70fe4ff75f0.us-east-1.aws.found.io/app/kibana#/discover/Steve-Slow-Train-Analysis-(2080s-and-2083s)?_g=(refreshInterval:(display:Off,pause:!f,section:0,value:0),time:(from:'2017-09-26T20:26:05-0600',mode:absolute,to:'2017-09-26T22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9" s="86" t="str">
        <f t="shared" si="1"/>
        <v>"C:\Program Files (x86)\AstroGrep\AstroGrep.exe" /e /r /s /spath="%USERPROFILE%\AppData\Local\Temp\OnboardLogs" /stypes="*4065*201709270*"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4065</v>
      </c>
      <c r="V29" s="31">
        <f t="shared" si="3"/>
        <v>43005.160057870373</v>
      </c>
      <c r="W29" s="45" t="str">
        <f t="shared" si="4"/>
        <v>NW</v>
      </c>
      <c r="X29" s="22">
        <f t="shared" si="5"/>
        <v>844</v>
      </c>
      <c r="Y29" s="96" t="str">
        <f t="shared" si="6"/>
        <v>echo {"issue":{"subject":"Early Arrival","project_id":79,"tracker_id":40,"status_id":1,"priority_id":2,"assigned_to_id":338,"start_date":"2017-09-26","description":"","custom_fields":[{"id":1,"name":"Subdivision","value":"NW"},{"id":4,"name":"Milepost","value":"1.0988"},{"id":17,"name":"Train ID","value":"844-26"},{"id":16,"name":"Locomotive ID","value":"4065"},{"id":130,"name":"Impact","value":""},{"id":150,"name":"Time of Event (Mountain Time)","value":"21:50:29"},{"id":151,"name":"Denver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/c/Users/stu/AppData/Local/Temp/OnboardLogs/RTDC4065 --include="*4065*201709270*"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"%USERPROFILE%\AppData\Local\Temp\OnboardLogs"\RTDC4065\*4065*201709270* &gt;&gt; 2017-09-26-SliceDisagreementCheck.txt</v>
      </c>
      <c r="AE29" s="145" t="str">
        <f t="shared" si="9"/>
        <v>start /low /b %USERPROFILE%\Documents\GitHub\eaglep3\Utilities\DownloadLogsFromS3.py --loco 4065 --day 2017-09-27</v>
      </c>
      <c r="AF29" s="1"/>
    </row>
    <row r="30" spans="1:32" x14ac:dyDescent="0.25">
      <c r="A30" s="31">
        <v>43004.325520833336</v>
      </c>
      <c r="B30" s="30" t="s">
        <v>606</v>
      </c>
      <c r="C30" s="30" t="s">
        <v>609</v>
      </c>
      <c r="D30" s="30" t="s">
        <v>49</v>
      </c>
      <c r="E30" s="30" t="s">
        <v>194</v>
      </c>
      <c r="F30" s="42">
        <v>300</v>
      </c>
      <c r="G30" s="42">
        <v>605</v>
      </c>
      <c r="H30" s="42">
        <v>26798</v>
      </c>
      <c r="I30" s="42">
        <v>24678</v>
      </c>
      <c r="J30" s="30" t="s">
        <v>195</v>
      </c>
      <c r="K30" s="42">
        <v>23561</v>
      </c>
      <c r="L30" s="131" t="s">
        <v>51</v>
      </c>
      <c r="M30" s="132">
        <f t="shared" si="0"/>
        <v>589.77599999999995</v>
      </c>
      <c r="N30" s="133" t="str">
        <f>VLOOKUP(C30,'Trips&amp;Operators'!$C$1:$G$99911,5,FALSE)</f>
        <v>FORTUNATO FRANK</v>
      </c>
      <c r="O30" s="175" t="s">
        <v>179</v>
      </c>
      <c r="P30" s="134"/>
      <c r="Q30" s="30"/>
      <c r="R30" s="81" t="str">
        <f>VLOOKUP(C30,'Train Runs'!$A$13:$AE$9982,31,0)</f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S30" s="84" t="str">
        <f>VLOOKUP(C30,'Train Runs'!$A$13:$AE$9982,22,0)</f>
        <v>https://d0f6bd738d7f1b3e5a7ca70fe4ff75f0.us-east-1.aws.found.io/app/kibana#/discover/Steve-Slow-Train-Analysis-(2080s-and-2083s)?_g=(refreshInterval:(display:Off,pause:!f,section:0,value:0),time:(from:'2017-09-26T06:26:56-0600',mode:absolute,to:'2017-09-26T08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0" s="86" t="str">
        <f t="shared" si="1"/>
        <v>"C:\Program Files (x86)\AstroGrep\AstroGrep.exe" /e /r /s /spath="%USERPROFILE%\AppData\Local\Temp\OnboardLogs" /stypes="*4065*201709261*"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4065</v>
      </c>
      <c r="V30" s="31">
        <f t="shared" si="3"/>
        <v>43004.575520833336</v>
      </c>
      <c r="W30" s="45" t="str">
        <f t="shared" si="4"/>
        <v>NW</v>
      </c>
      <c r="X30" s="22">
        <f t="shared" si="5"/>
        <v>808</v>
      </c>
      <c r="Y30" s="96" t="str">
        <f t="shared" si="6"/>
        <v>echo {"issue":{"subject":"","project_id":79,"tracker_id":40,"status_id":1,"priority_id":2,"assigned_to_id":338,"start_date":"2017-09-26","description":"","custom_fields":[{"id":1,"name":"Subdivision","value":"NW"},{"id":4,"name":"Milepost","value":"2.3561"},{"id":17,"name":"Train ID","value":"808-26"},{"id":16,"name":"Locomotive ID","value":"4065"},{"id":130,"name":"Impact","value":""},{"id":150,"name":"Time of Event (Mountain Time)","value":"07:48:45"},{"id":151,"name":"Denver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/c/Users/stu/AppData/Local/Temp/OnboardLogs/RTDC4065 --include="*4065*201709261*"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"%USERPROFILE%\AppData\Local\Temp\OnboardLogs"\RTDC4065\*4065*201709261* &gt;&gt; 2017-09-26-SliceDisagreementCheck.txt</v>
      </c>
      <c r="AE30" s="145" t="str">
        <f t="shared" si="9"/>
        <v>start /low /b %USERPROFILE%\Documents\GitHub\eaglep3\Utilities\DownloadLogsFromS3.py --loco 4065 --day 2017-09-26</v>
      </c>
      <c r="AF30" s="1"/>
    </row>
    <row r="31" spans="1:32" x14ac:dyDescent="0.25">
      <c r="A31" s="31">
        <v>43004.682858796295</v>
      </c>
      <c r="B31" s="30" t="s">
        <v>435</v>
      </c>
      <c r="C31" s="30" t="s">
        <v>625</v>
      </c>
      <c r="D31" s="30" t="s">
        <v>95</v>
      </c>
      <c r="E31" s="30" t="s">
        <v>359</v>
      </c>
      <c r="F31" s="42">
        <v>0</v>
      </c>
      <c r="G31" s="42">
        <v>66</v>
      </c>
      <c r="H31" s="42">
        <v>4798</v>
      </c>
      <c r="I31" s="42">
        <v>4727</v>
      </c>
      <c r="J31" s="30" t="s">
        <v>360</v>
      </c>
      <c r="K31" s="42">
        <v>4798</v>
      </c>
      <c r="L31" s="131" t="s">
        <v>51</v>
      </c>
      <c r="M31" s="132">
        <f t="shared" si="0"/>
        <v>-37.488</v>
      </c>
      <c r="N31" s="133" t="str">
        <f>VLOOKUP(C31,'Trips&amp;Operators'!$C$1:$G$99911,5,FALSE)</f>
        <v>STAMBAUGH JAMES</v>
      </c>
      <c r="O31" s="175" t="s">
        <v>408</v>
      </c>
      <c r="P31" s="134" t="s">
        <v>1008</v>
      </c>
      <c r="Q31" s="30"/>
      <c r="R31" s="81" t="str">
        <f>VLOOKUP(C31,'Train Runs'!$A$13:$AE$9982,31,0)</f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S31" s="84" t="str">
        <f>VLOOKUP(C31,'Train Runs'!$A$13:$AE$9982,22,0)</f>
        <v>https://d0f6bd738d7f1b3e5a7ca70fe4ff75f0.us-east-1.aws.found.io/app/kibana#/discover/Steve-Slow-Train-Analysis-(2080s-and-2083s)?_g=(refreshInterval:(display:Off,pause:!f,section:0,value:0),time:(from:'2017-09-26T14:54:48-0600',mode:absolute,to:'2017-09-26T17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1" s="86" t="str">
        <f t="shared" si="1"/>
        <v>"C:\Program Files (x86)\AstroGrep\AstroGrep.exe" /e /r /s /spath="%USERPROFILE%\AppData\Local\Temp\OnboardLogs" /stypes="*4063*201709262*"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4063</v>
      </c>
      <c r="V31" s="31">
        <f t="shared" si="3"/>
        <v>43004.932858796295</v>
      </c>
      <c r="W31" s="45" t="str">
        <f t="shared" si="4"/>
        <v>NW</v>
      </c>
      <c r="X31" s="22">
        <f t="shared" si="5"/>
        <v>828</v>
      </c>
      <c r="Y31" s="96" t="str">
        <f t="shared" si="6"/>
        <v>echo {"issue":{"subject":"Poor GPS under bridge","project_id":79,"tracker_id":40,"status_id":1,"priority_id":2,"assigned_to_id":338,"start_date":"2017-09-26","description":"","custom_fields":[{"id":1,"name":"Subdivision","value":"NW"},{"id":4,"name":"Milepost","value":"0.4798"},{"id":17,"name":"Train ID","value":"828-26"},{"id":16,"name":"Locomotive ID","value":"4063"},{"id":130,"name":"Impact","value":""},{"id":150,"name":"Time of Event (Mountain Time)","value":"16:23:19"},{"id":151,"name":"Denver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/c/Users/stu/AppData/Local/Temp/OnboardLogs/RTDC4063 --include="*4063*201709262*"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"%USERPROFILE%\AppData\Local\Temp\OnboardLogs"\RTDC4063\*4063*201709262* &gt;&gt; 2017-09-26-SliceDisagreementCheck.txt</v>
      </c>
      <c r="AE31" s="145" t="str">
        <f t="shared" si="9"/>
        <v>start /low /b %USERPROFILE%\Documents\GitHub\eaglep3\Utilities\DownloadLogsFromS3.py --loco 4063 --day 2017-09-26</v>
      </c>
      <c r="AF31" s="1"/>
    </row>
    <row r="32" spans="1:32" x14ac:dyDescent="0.25">
      <c r="A32" s="31">
        <v>43004.703819444447</v>
      </c>
      <c r="B32" s="30" t="s">
        <v>606</v>
      </c>
      <c r="C32" s="30" t="s">
        <v>627</v>
      </c>
      <c r="D32" s="30" t="s">
        <v>49</v>
      </c>
      <c r="E32" s="30" t="s">
        <v>359</v>
      </c>
      <c r="F32" s="42">
        <v>0</v>
      </c>
      <c r="G32" s="42">
        <v>58</v>
      </c>
      <c r="H32" s="42">
        <v>4804</v>
      </c>
      <c r="I32" s="42">
        <v>4692</v>
      </c>
      <c r="J32" s="30" t="s">
        <v>360</v>
      </c>
      <c r="K32" s="42">
        <v>4798</v>
      </c>
      <c r="L32" s="131" t="s">
        <v>51</v>
      </c>
      <c r="M32" s="132">
        <f t="shared" si="0"/>
        <v>-55.968000000000004</v>
      </c>
      <c r="N32" s="133" t="str">
        <f>VLOOKUP(C32,'Trips&amp;Operators'!$C$1:$G$99911,5,FALSE)</f>
        <v>GUZMAN DANNY</v>
      </c>
      <c r="O32" s="175" t="s">
        <v>408</v>
      </c>
      <c r="P32" s="134" t="s">
        <v>1008</v>
      </c>
      <c r="Q32" s="30"/>
      <c r="R32" s="81" t="str">
        <f>VLOOKUP(C32,'Train Runs'!$A$13:$AE$9982,31,0)</f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S32" s="84" t="str">
        <f>VLOOKUP(C32,'Train Runs'!$A$13:$AE$9982,22,0)</f>
        <v>https://d0f6bd738d7f1b3e5a7ca70fe4ff75f0.us-east-1.aws.found.io/app/kibana#/discover/Steve-Slow-Train-Analysis-(2080s-and-2083s)?_g=(refreshInterval:(display:Off,pause:!f,section:0,value:0),time:(from:'2017-09-26T15:25:21-0600',mode:absolute,to:'2017-09-26T17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2" s="86" t="str">
        <f t="shared" si="1"/>
        <v>"C:\Program Files (x86)\AstroGrep\AstroGrep.exe" /e /r /s /spath="%USERPROFILE%\AppData\Local\Temp\OnboardLogs" /stypes="*4065*201709262*"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4065</v>
      </c>
      <c r="V32" s="31">
        <f t="shared" si="3"/>
        <v>43004.953819444447</v>
      </c>
      <c r="W32" s="45" t="str">
        <f t="shared" si="4"/>
        <v>NW</v>
      </c>
      <c r="X32" s="22">
        <f t="shared" si="5"/>
        <v>830</v>
      </c>
      <c r="Y32" s="96" t="str">
        <f t="shared" si="6"/>
        <v>echo {"issue":{"subject":"Poor GPS under bridge","project_id":79,"tracker_id":40,"status_id":1,"priority_id":2,"assigned_to_id":338,"start_date":"2017-09-26","description":"","custom_fields":[{"id":1,"name":"Subdivision","value":"NW"},{"id":4,"name":"Milepost","value":"0.4798"},{"id":17,"name":"Train ID","value":"830-26"},{"id":16,"name":"Locomotive ID","value":"4065"},{"id":130,"name":"Impact","value":""},{"id":150,"name":"Time of Event (Mountain Time)","value":"16:53:30"},{"id":151,"name":"Denver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/c/Users/stu/AppData/Local/Temp/OnboardLogs/RTDC4065 --include="*4065*201709262*"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"%USERPROFILE%\AppData\Local\Temp\OnboardLogs"\RTDC4065\*4065*201709262* &gt;&gt; 2017-09-26-SliceDisagreementCheck.txt</v>
      </c>
      <c r="AE32" s="145" t="str">
        <f t="shared" si="9"/>
        <v>start /low /b %USERPROFILE%\Documents\GitHub\eaglep3\Utilities\DownloadLogsFromS3.py --loco 4065 --day 2017-09-26</v>
      </c>
      <c r="AF32" s="1"/>
    </row>
    <row r="33" spans="1:32" x14ac:dyDescent="0.25">
      <c r="A33" s="31">
        <v>43004.91201388889</v>
      </c>
      <c r="B33" s="30" t="s">
        <v>606</v>
      </c>
      <c r="C33" s="30" t="s">
        <v>635</v>
      </c>
      <c r="D33" s="30" t="s">
        <v>49</v>
      </c>
      <c r="E33" s="30" t="s">
        <v>359</v>
      </c>
      <c r="F33" s="42">
        <v>0</v>
      </c>
      <c r="G33" s="42">
        <v>61</v>
      </c>
      <c r="H33" s="42">
        <v>4823</v>
      </c>
      <c r="I33" s="42">
        <v>4612</v>
      </c>
      <c r="J33" s="30" t="s">
        <v>360</v>
      </c>
      <c r="K33" s="42">
        <v>4798</v>
      </c>
      <c r="L33" s="131" t="s">
        <v>51</v>
      </c>
      <c r="M33" s="132">
        <f t="shared" si="0"/>
        <v>-98.207999999999998</v>
      </c>
      <c r="N33" s="133" t="str">
        <f>VLOOKUP(C33,'Trips&amp;Operators'!$C$1:$G$99911,5,FALSE)</f>
        <v>STAMBAUGH JAMES</v>
      </c>
      <c r="O33" s="175" t="s">
        <v>408</v>
      </c>
      <c r="P33" s="134" t="s">
        <v>1008</v>
      </c>
      <c r="Q33" s="30"/>
      <c r="R33" s="81" t="str">
        <f>VLOOKUP(C33,'Train Runs'!$A$13:$AE$9982,31,0)</f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S33" s="84" t="str">
        <f>VLOOKUP(C33,'Train Runs'!$A$13:$AE$9982,22,0)</f>
        <v>https://d0f6bd738d7f1b3e5a7ca70fe4ff75f0.us-east-1.aws.found.io/app/kibana#/discover/Steve-Slow-Train-Analysis-(2080s-and-2083s)?_g=(refreshInterval:(display:Off,pause:!f,section:0,value:0),time:(from:'2017-09-26T20:26:05-0600',mode:absolute,to:'2017-09-26T22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 t="shared" si="1"/>
        <v>"C:\Program Files (x86)\AstroGrep\AstroGrep.exe" /e /r /s /spath="%USERPROFILE%\AppData\Local\Temp\OnboardLogs" /stypes="*4065*201709270*" /stext=" 03:.+((SYSTEM_STATE.+slice.+state.+changed )|(ment ac)|(multiple cpu faults)|(system.+state.+changed )|(\[timeout)|(PRM\|1\|D)|(kpr)|(kdp)|(train st.+moving)|(\|lc)|(penalty))"</v>
      </c>
      <c r="U33" s="9" t="str">
        <f t="shared" si="2"/>
        <v>4065</v>
      </c>
      <c r="V33" s="31">
        <f t="shared" si="3"/>
        <v>43005.16201388889</v>
      </c>
      <c r="W33" s="45" t="str">
        <f t="shared" si="4"/>
        <v>NW</v>
      </c>
      <c r="X33" s="22">
        <f t="shared" si="5"/>
        <v>844</v>
      </c>
      <c r="Y33" s="96" t="str">
        <f t="shared" si="6"/>
        <v>echo {"issue":{"subject":"Poor GPS under bridge","project_id":79,"tracker_id":40,"status_id":1,"priority_id":2,"assigned_to_id":338,"start_date":"2017-09-26","description":"","custom_fields":[{"id":1,"name":"Subdivision","value":"NW"},{"id":4,"name":"Milepost","value":"0.4798"},{"id":17,"name":"Train ID","value":"844-26"},{"id":16,"name":"Locomotive ID","value":"4065"},{"id":130,"name":"Impact","value":""},{"id":150,"name":"Time of Event (Mountain Time)","value":"21:53:18"},{"id":151,"name":"Denver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/c/Users/stu/AppData/Local/Temp/OnboardLogs/RTDC4065 --include="*4065*201709270*"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"%USERPROFILE%\AppData\Local\Temp\OnboardLogs"\RTDC4065\*4065*201709270* &gt;&gt; 2017-09-26-SliceDisagreementCheck.txt</v>
      </c>
      <c r="AE33" s="145" t="str">
        <f t="shared" si="9"/>
        <v>start /low /b %USERPROFILE%\Documents\GitHub\eaglep3\Utilities\DownloadLogsFromS3.py --loco 4065 --day 2017-09-27</v>
      </c>
      <c r="AF33" s="1"/>
    </row>
    <row r="34" spans="1:32" x14ac:dyDescent="0.25">
      <c r="A34" s="31">
        <v>43004.88354166667</v>
      </c>
      <c r="B34" s="30" t="s">
        <v>612</v>
      </c>
      <c r="C34" s="30" t="s">
        <v>634</v>
      </c>
      <c r="D34" s="30" t="s">
        <v>49</v>
      </c>
      <c r="E34" s="30" t="s">
        <v>359</v>
      </c>
      <c r="F34" s="42">
        <v>0</v>
      </c>
      <c r="G34" s="42">
        <v>80</v>
      </c>
      <c r="H34" s="42">
        <v>6590</v>
      </c>
      <c r="I34" s="42">
        <v>6681</v>
      </c>
      <c r="J34" s="30" t="s">
        <v>360</v>
      </c>
      <c r="K34" s="42">
        <v>6798</v>
      </c>
      <c r="L34" s="131" t="s">
        <v>50</v>
      </c>
      <c r="M34" s="132">
        <f t="shared" si="0"/>
        <v>61.776000000000003</v>
      </c>
      <c r="N34" s="133" t="str">
        <f>VLOOKUP(C34,'Trips&amp;Operators'!$C$1:$G$99911,5,FALSE)</f>
        <v>STAMBAUGH JAMES</v>
      </c>
      <c r="O34" s="175" t="s">
        <v>408</v>
      </c>
      <c r="P34" s="134" t="s">
        <v>1011</v>
      </c>
      <c r="Q34" s="30"/>
      <c r="R34" s="81" t="str">
        <f>VLOOKUP(C34,'Train Runs'!$A$13:$AE$9982,31,0)</f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S34" s="84" t="str">
        <f>VLOOKUP(C34,'Train Runs'!$A$13:$AE$9982,22,0)</f>
        <v>https://d0f6bd738d7f1b3e5a7ca70fe4ff75f0.us-east-1.aws.found.io/app/kibana#/discover/Steve-Slow-Train-Analysis-(2080s-and-2083s)?_g=(refreshInterval:(display:Off,pause:!f,section:0,value:0),time:(from:'2017-09-26T20:02:32-0600',mode:absolute,to:'2017-09-26T22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4" s="86" t="str">
        <f t="shared" si="1"/>
        <v>"C:\Program Files (x86)\AstroGrep\AstroGrep.exe" /e /r /s /spath="%USERPROFILE%\AppData\Local\Temp\OnboardLogs" /stypes="*4066*201709270*"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4066</v>
      </c>
      <c r="V34" s="31">
        <f t="shared" si="3"/>
        <v>43005.13354166667</v>
      </c>
      <c r="W34" s="45" t="str">
        <f t="shared" si="4"/>
        <v>NW</v>
      </c>
      <c r="X34" s="22">
        <f t="shared" si="5"/>
        <v>845</v>
      </c>
      <c r="Y34" s="96" t="str">
        <f t="shared" si="6"/>
        <v>echo {"issue":{"subject":"Wi-MAX data drop","project_id":79,"tracker_id":40,"status_id":1,"priority_id":2,"assigned_to_id":338,"start_date":"2017-09-26","description":"","custom_fields":[{"id":1,"name":"Subdivision","value":"NW"},{"id":4,"name":"Milepost","value":"0.6798"},{"id":17,"name":"Train ID","value":"845-26"},{"id":16,"name":"Locomotive ID","value":"4066"},{"id":130,"name":"Impact","value":""},{"id":150,"name":"Time of Event (Mountain Time)","value":"21:12:18"},{"id":151,"name":"Denver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/c/Users/stu/AppData/Local/Temp/OnboardLogs/RTDC4066 --include="*4066*201709270*"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"%USERPROFILE%\AppData\Local\Temp\OnboardLogs"\RTDC4066\*4066*201709270* &gt;&gt; 2017-09-26-SliceDisagreementCheck.txt</v>
      </c>
      <c r="AE34" s="145" t="str">
        <f t="shared" si="9"/>
        <v>start /low /b %USERPROFILE%\Documents\GitHub\eaglep3\Utilities\DownloadLogsFromS3.py --loco 4066 --day 2017-09-27</v>
      </c>
      <c r="AF34" s="1"/>
    </row>
    <row r="35" spans="1:32" x14ac:dyDescent="0.25">
      <c r="A35" s="31">
        <v>43004.392905092594</v>
      </c>
      <c r="B35" s="30" t="s">
        <v>612</v>
      </c>
      <c r="C35" s="30" t="s">
        <v>613</v>
      </c>
      <c r="D35" s="30" t="s">
        <v>49</v>
      </c>
      <c r="E35" s="30" t="s">
        <v>180</v>
      </c>
      <c r="F35" s="42">
        <v>0</v>
      </c>
      <c r="G35" s="42">
        <v>107</v>
      </c>
      <c r="H35" s="42">
        <v>58664</v>
      </c>
      <c r="I35" s="42">
        <v>58790</v>
      </c>
      <c r="J35" s="30" t="s">
        <v>181</v>
      </c>
      <c r="K35" s="42">
        <v>59048</v>
      </c>
      <c r="L35" s="131" t="s">
        <v>50</v>
      </c>
      <c r="M35" s="132">
        <f t="shared" si="0"/>
        <v>136.22399999999999</v>
      </c>
      <c r="N35" s="133" t="str">
        <f>VLOOKUP(C35,'Trips&amp;Operators'!$C$1:$G$99911,5,FALSE)</f>
        <v>LANGERAK WILLIAM</v>
      </c>
      <c r="O35" s="175" t="s">
        <v>179</v>
      </c>
      <c r="P35" s="134"/>
      <c r="Q35" s="30"/>
      <c r="R35" s="81" t="str">
        <f>VLOOKUP(C35,'Train Runs'!$A$13:$AE$9982,31,0)</f>
        <v>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 &amp; aws s3 cp s3://rtdc.mdm.uploadarchive.raw/RTDC4066/ "%USERPROFILE%\AppData\Local\Temp\OnboardLogs"\RTDC4066\2017-09-27 --exclude "*" --recursive --include "*20170927*" &amp; "%USERPROFILE%\Documents\GitHub\mrs-test-scripts\Headless Mode &amp; Sideloading\WalkAndUnGZ.bat" "%USERPROFILE%\AppData\Local\Temp\OnboardLogs"\RTDC4066\2017-09-27</v>
      </c>
      <c r="S35" s="84" t="str">
        <f>VLOOKUP(C35,'Train Runs'!$A$13:$AE$9982,22,0)</f>
        <v>https://d0f6bd738d7f1b3e5a7ca70fe4ff75f0.us-east-1.aws.found.io/app/kibana#/discover/Steve-Slow-Train-Analysis-(2080s-and-2083s)?_g=(refreshInterval:(display:Off,pause:!f,section:0,value:0),time:(from:'2017-09-26T08:01:56-0600',mode:absolute,to:'2017-09-26T10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5" s="86" t="str">
        <f t="shared" si="1"/>
        <v>"C:\Program Files (x86)\AstroGrep\AstroGrep.exe" /e /r /s /spath="%USERPROFILE%\AppData\Local\Temp\OnboardLogs" /stypes="*4066*201709261*" /stext=" 15:.+((SYSTEM_STATE.+slice.+state.+changed )|(ment ac)|(multiple cpu faults)|(system.+state.+changed )|(\[timeout)|(PRM\|1\|D)|(kpr)|(kdp)|(train st.+moving)|(\|lc)|(penalty))"</v>
      </c>
      <c r="U35" s="9" t="str">
        <f t="shared" si="2"/>
        <v>4066</v>
      </c>
      <c r="V35" s="31">
        <f t="shared" si="3"/>
        <v>43004.642905092594</v>
      </c>
      <c r="W35" s="45" t="str">
        <f t="shared" si="4"/>
        <v>NW</v>
      </c>
      <c r="X35" s="22">
        <f t="shared" si="5"/>
        <v>813</v>
      </c>
      <c r="Y35" s="96" t="str">
        <f t="shared" si="6"/>
        <v>echo {"issue":{"subject":"","project_id":79,"tracker_id":40,"status_id":1,"priority_id":2,"assigned_to_id":338,"start_date":"2017-09-26","description":"","custom_fields":[{"id":1,"name":"Subdivision","value":"NW"},{"id":4,"name":"Milepost","value":"5.9048"},{"id":17,"name":"Train ID","value":"813-26"},{"id":16,"name":"Locomotive ID","value":"4066"},{"id":130,"name":"Impact","value":""},{"id":150,"name":"Time of Event (Mountain Time)","value":"09:25:47"},{"id":151,"name":"Denver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/c/Users/stu/AppData/Local/Temp/OnboardLogs/RTDC4066 --include="*4066*201709261*"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"%USERPROFILE%\AppData\Local\Temp\OnboardLogs"\RTDC4066\*4066*201709261* &gt;&gt; 2017-09-26-SliceDisagreementCheck.txt</v>
      </c>
      <c r="AE35" s="145" t="str">
        <f t="shared" si="9"/>
        <v>start /low /b %USERPROFILE%\Documents\GitHub\eaglep3\Utilities\DownloadLogsFromS3.py --loco 4066 --day 2017-09-26</v>
      </c>
      <c r="AF35" s="1"/>
    </row>
    <row r="36" spans="1:32" x14ac:dyDescent="0.25">
      <c r="A36" s="31">
        <v>43004.662164351852</v>
      </c>
      <c r="B36" s="30" t="s">
        <v>438</v>
      </c>
      <c r="C36" s="30" t="s">
        <v>622</v>
      </c>
      <c r="D36" s="30" t="s">
        <v>49</v>
      </c>
      <c r="E36" s="30" t="s">
        <v>180</v>
      </c>
      <c r="F36" s="42">
        <v>0</v>
      </c>
      <c r="G36" s="42">
        <v>53</v>
      </c>
      <c r="H36" s="42">
        <v>58884</v>
      </c>
      <c r="I36" s="42">
        <v>58933</v>
      </c>
      <c r="J36" s="30" t="s">
        <v>181</v>
      </c>
      <c r="K36" s="42">
        <v>59048</v>
      </c>
      <c r="L36" s="131" t="s">
        <v>50</v>
      </c>
      <c r="M36" s="132">
        <f t="shared" si="0"/>
        <v>60.72</v>
      </c>
      <c r="N36" s="133" t="str">
        <f>VLOOKUP(C36,'Trips&amp;Operators'!$C$1:$G$99911,5,FALSE)</f>
        <v>STAMBAUGH JAMES</v>
      </c>
      <c r="O36" s="175" t="s">
        <v>179</v>
      </c>
      <c r="P36" s="134"/>
      <c r="Q36" s="30"/>
      <c r="R36" s="81" t="str">
        <f>VLOOKUP(C36,'Train Runs'!$A$13:$AE$9982,31,0)</f>
        <v>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 &amp; aws s3 cp s3://rtdc.mdm.uploadarchive.raw/RTDC4064/ "%USERPROFILE%\AppData\Local\Temp\OnboardLogs"\RTDC4064\2017-09-27 --exclude "*" --recursive --include "*20170927*" &amp; "%USERPROFILE%\Documents\GitHub\mrs-test-scripts\Headless Mode &amp; Sideloading\WalkAndUnGZ.bat" "%USERPROFILE%\AppData\Local\Temp\OnboardLogs"\RTDC4064\2017-09-27</v>
      </c>
      <c r="S36" s="84" t="str">
        <f>VLOOKUP(C36,'Train Runs'!$A$13:$AE$9982,22,0)</f>
        <v>https://d0f6bd738d7f1b3e5a7ca70fe4ff75f0.us-east-1.aws.found.io/app/kibana#/discover/Steve-Slow-Train-Analysis-(2080s-and-2083s)?_g=(refreshInterval:(display:Off,pause:!f,section:0,value:0),time:(from:'2017-09-26T14:37:08-0600',mode:absolute,to:'2017-09-26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6" s="86" t="str">
        <f t="shared" si="1"/>
        <v>"C:\Program Files (x86)\AstroGrep\AstroGrep.exe" /e /r /s /spath="%USERPROFILE%\AppData\Local\Temp\OnboardLogs" /stypes="*4064*201709262*" /stext=" 21:.+((SYSTEM_STATE.+slice.+state.+changed )|(ment ac)|(multiple cpu faults)|(system.+state.+changed )|(\[timeout)|(PRM\|1\|D)|(kpr)|(kdp)|(train st.+moving)|(\|lc)|(penalty))"</v>
      </c>
      <c r="U36" s="9" t="str">
        <f t="shared" si="2"/>
        <v>4064</v>
      </c>
      <c r="V36" s="31">
        <f t="shared" si="3"/>
        <v>43004.912164351852</v>
      </c>
      <c r="W36" s="45" t="str">
        <f t="shared" si="4"/>
        <v>NW</v>
      </c>
      <c r="X36" s="22">
        <f t="shared" si="5"/>
        <v>827</v>
      </c>
      <c r="Y36" s="96" t="str">
        <f t="shared" si="6"/>
        <v>echo {"issue":{"subject":"","project_id":79,"tracker_id":40,"status_id":1,"priority_id":2,"assigned_to_id":338,"start_date":"2017-09-26","description":"","custom_fields":[{"id":1,"name":"Subdivision","value":"NW"},{"id":4,"name":"Milepost","value":"5.9048"},{"id":17,"name":"Train ID","value":"827-26"},{"id":16,"name":"Locomotive ID","value":"4064"},{"id":130,"name":"Impact","value":""},{"id":150,"name":"Time of Event (Mountain Time)","value":"15:53:31"},{"id":151,"name":"Denver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/c/Users/stu/AppData/Local/Temp/OnboardLogs/RTDC4064 --include="*4064*201709262*"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"%USERPROFILE%\AppData\Local\Temp\OnboardLogs"\RTDC4064\*4064*201709262* &gt;&gt; 2017-09-26-SliceDisagreementCheck.txt</v>
      </c>
      <c r="AE36" s="145" t="str">
        <f t="shared" si="9"/>
        <v>start /low /b %USERPROFILE%\Documents\GitHub\eaglep3\Utilities\DownloadLogsFromS3.py --loco 4064 --day 2017-09-26</v>
      </c>
      <c r="AF36" s="1"/>
    </row>
    <row r="37" spans="1:32" x14ac:dyDescent="0.25">
      <c r="A37" s="31">
        <v>43004.242442129631</v>
      </c>
      <c r="B37" s="30" t="s">
        <v>606</v>
      </c>
      <c r="C37" s="30" t="s">
        <v>607</v>
      </c>
      <c r="D37" s="30" t="s">
        <v>95</v>
      </c>
      <c r="E37" s="30" t="s">
        <v>359</v>
      </c>
      <c r="F37" s="42">
        <v>0</v>
      </c>
      <c r="G37" s="42">
        <v>67</v>
      </c>
      <c r="H37" s="42">
        <v>23417</v>
      </c>
      <c r="I37" s="42">
        <v>23375</v>
      </c>
      <c r="J37" s="30" t="s">
        <v>360</v>
      </c>
      <c r="K37" s="42">
        <v>24161</v>
      </c>
      <c r="L37" s="131" t="s">
        <v>51</v>
      </c>
      <c r="M37" s="132">
        <f t="shared" si="0"/>
        <v>-415.00799999999998</v>
      </c>
      <c r="N37" s="133" t="str">
        <f>VLOOKUP(C37,'Trips&amp;Operators'!$C$1:$G$99911,5,FALSE)</f>
        <v>FORTUNATO FRANK</v>
      </c>
      <c r="O37" s="175" t="s">
        <v>179</v>
      </c>
      <c r="P37" s="134" t="s">
        <v>1017</v>
      </c>
      <c r="Q37" s="30"/>
      <c r="R37" s="81" t="str">
        <f>VLOOKUP(C37,'Train Runs'!$A$13:$AE$9982,31,0)</f>
        <v>aws s3 cp s3://rtdc.mdm.uploadarchive.raw/RTDC4065/ "%USERPROFILE%\AppData\Local\Temp\OnboardLogs"\RTDC4065\2017-09-26 --exclude "*" --recursive --include "*20170926*" &amp; "%USERPROFILE%\Documents\GitHub\mrs-test-scripts\Headless Mode &amp; Sideloading\WalkAndUnGZ.bat" "%USERPROFILE%\AppData\Local\Temp\OnboardLogs"\RTDC4065\2017-09-26 &amp; aws s3 cp s3://rtdc.mdm.uploadarchive.raw/RTDC4065/ "%USERPROFILE%\AppData\Local\Temp\OnboardLogs"\RTDC4065\2017-09-27 --exclude "*" --recursive --include "*20170927*" &amp; "%USERPROFILE%\Documents\GitHub\mrs-test-scripts\Headless Mode &amp; Sideloading\WalkAndUnGZ.bat" "%USERPROFILE%\AppData\Local\Temp\OnboardLogs"\RTDC4065\2017-09-27</v>
      </c>
      <c r="S37" s="84" t="str">
        <f>VLOOKUP(C37,'Train Runs'!$A$13:$AE$9982,22,0)</f>
        <v>https://d0f6bd738d7f1b3e5a7ca70fe4ff75f0.us-east-1.aws.found.io/app/kibana#/discover/Steve-Slow-Train-Analysis-(2080s-and-2083s)?_g=(refreshInterval:(display:Off,pause:!f,section:0,value:0),time:(from:'2017-09-26T04:42:47-0600',mode:absolute,to:'2017-09-26T06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7" s="86" t="str">
        <f t="shared" si="1"/>
        <v>"C:\Program Files (x86)\AstroGrep\AstroGrep.exe" /e /r /s /spath="%USERPROFILE%\AppData\Local\Temp\OnboardLogs" /stypes="*4065*201709261*" /stext=" 11:.+((SYSTEM_STATE.+slice.+state.+changed )|(ment ac)|(multiple cpu faults)|(system.+state.+changed )|(\[timeout)|(PRM\|1\|D)|(kpr)|(kdp)|(train st.+moving)|(\|lc)|(penalty))"</v>
      </c>
      <c r="U37" s="9" t="str">
        <f t="shared" si="2"/>
        <v>4065</v>
      </c>
      <c r="V37" s="31">
        <f t="shared" si="3"/>
        <v>43004.492442129631</v>
      </c>
      <c r="W37" s="45" t="str">
        <f t="shared" si="4"/>
        <v>Other</v>
      </c>
      <c r="X37" s="22">
        <f t="shared" si="5"/>
        <v>902</v>
      </c>
      <c r="Y37" s="96" t="str">
        <f t="shared" si="6"/>
        <v>echo {"issue":{"subject":"Went active too close to signal","project_id":79,"tracker_id":40,"status_id":1,"priority_id":2,"assigned_to_id":338,"start_date":"2017-09-26","description":"","custom_fields":[{"id":1,"name":"Subdivision","value":"Other"},{"id":4,"name":"Milepost","value":"2.4161"},{"id":17,"name":"Train ID","value":"902-26"},{"id":16,"name":"Locomotive ID","value":"4065"},{"id":130,"name":"Impact","value":""},{"id":150,"name":"Time of Event (Mountain Time)","value":"05:49:07"},{"id":151,"name":"Denver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/c/Users/stu/AppData/Local/Temp/OnboardLogs/RTDC4065 --include="*4065*201709261*"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"%USERPROFILE%\AppData\Local\Temp\OnboardLogs"\RTDC4065\*4065*201709261* &gt;&gt; 2017-09-26-SliceDisagreementCheck.txt</v>
      </c>
      <c r="AE37" s="145" t="str">
        <f t="shared" si="9"/>
        <v>start /low /b %USERPROFILE%\Documents\GitHub\eaglep3\Utilities\DownloadLogsFromS3.py --loco 4065 --day 2017-09-26</v>
      </c>
      <c r="AF37" s="1"/>
    </row>
    <row r="38" spans="1:32" x14ac:dyDescent="0.25">
      <c r="A38" s="31">
        <v>43004.793749999997</v>
      </c>
      <c r="B38" s="30" t="s">
        <v>435</v>
      </c>
      <c r="C38" s="30" t="s">
        <v>631</v>
      </c>
      <c r="D38" s="30" t="s">
        <v>49</v>
      </c>
      <c r="E38" s="30" t="s">
        <v>359</v>
      </c>
      <c r="F38" s="42">
        <v>0</v>
      </c>
      <c r="G38" s="42">
        <v>29</v>
      </c>
      <c r="H38" s="42">
        <v>41932</v>
      </c>
      <c r="I38" s="42">
        <v>41917</v>
      </c>
      <c r="J38" s="30" t="s">
        <v>360</v>
      </c>
      <c r="K38" s="42">
        <v>41769</v>
      </c>
      <c r="L38" s="131" t="s">
        <v>51</v>
      </c>
      <c r="M38" s="132">
        <f t="shared" si="0"/>
        <v>78.144000000000005</v>
      </c>
      <c r="N38" s="133" t="str">
        <f>VLOOKUP(C38,'Trips&amp;Operators'!$C$1:$G$99911,5,FALSE)</f>
        <v>STAMBAUGH JAMES</v>
      </c>
      <c r="O38" s="175" t="s">
        <v>179</v>
      </c>
      <c r="P38" s="134"/>
      <c r="Q38" s="30"/>
      <c r="R38" s="81" t="str">
        <f>VLOOKUP(C38,'Train Runs'!$A$13:$AE$9982,31,0)</f>
        <v>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 &amp; aws s3 cp s3://rtdc.mdm.uploadarchive.raw/RTDC4063/ "%USERPROFILE%\AppData\Local\Temp\OnboardLogs"\RTDC4063\2017-09-27 --exclude "*" --recursive --include "*20170927*" &amp; "%USERPROFILE%\Documents\GitHub\mrs-test-scripts\Headless Mode &amp; Sideloading\WalkAndUnGZ.bat" "%USERPROFILE%\AppData\Local\Temp\OnboardLogs"\RTDC4063\2017-09-27</v>
      </c>
      <c r="S38" s="84" t="str">
        <f>VLOOKUP(C38,'Train Runs'!$A$13:$AE$9982,22,0)</f>
        <v>https://d0f6bd738d7f1b3e5a7ca70fe4ff75f0.us-east-1.aws.found.io/app/kibana#/discover/Steve-Slow-Train-Analysis-(2080s-and-2083s)?_g=(refreshInterval:(display:Off,pause:!f,section:0,value:0),time:(from:'2017-09-26T17:56:19-0600',mode:absolute,to:'2017-09-26T20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8" s="86" t="str">
        <f t="shared" si="1"/>
        <v>"C:\Program Files (x86)\AstroGrep\AstroGrep.exe" /e /r /s /spath="%USERPROFILE%\AppData\Local\Temp\OnboardLogs" /stypes="*4063*201709270*" /stext=" 01:.+((SYSTEM_STATE.+slice.+state.+changed )|(ment ac)|(multiple cpu faults)|(system.+state.+changed )|(\[timeout)|(PRM\|1\|D)|(kpr)|(kdp)|(train st.+moving)|(\|lc)|(penalty))"</v>
      </c>
      <c r="U38" s="9" t="str">
        <f t="shared" si="2"/>
        <v>4063</v>
      </c>
      <c r="V38" s="31">
        <f t="shared" si="3"/>
        <v>43005.043749999997</v>
      </c>
      <c r="W38" s="45" t="str">
        <f t="shared" si="4"/>
        <v>Other</v>
      </c>
      <c r="X38" s="22">
        <f t="shared" si="5"/>
        <v>906</v>
      </c>
      <c r="Y38" s="96" t="str">
        <f t="shared" si="6"/>
        <v>echo {"issue":{"subject":"","project_id":79,"tracker_id":40,"status_id":1,"priority_id":2,"assigned_to_id":338,"start_date":"2017-09-26","description":"","custom_fields":[{"id":1,"name":"Subdivision","value":"Other"},{"id":4,"name":"Milepost","value":"4.1769"},{"id":17,"name":"Train ID","value":"906-26"},{"id":16,"name":"Locomotive ID","value":"4063"},{"id":130,"name":"Impact","value":""},{"id":150,"name":"Time of Event (Mountain Time)","value":"19:03:00"},{"id":151,"name":"Denver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/c/Users/stu/AppData/Local/Temp/OnboardLogs/RTDC4063 --include="*4063*201709270*"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"%USERPROFILE%\AppData\Local\Temp\OnboardLogs"\RTDC4063\*4063*201709270* &gt;&gt; 2017-09-26-SliceDisagreementCheck.txt</v>
      </c>
      <c r="AE38" s="145" t="str">
        <f t="shared" si="9"/>
        <v>start /low /b %USERPROFILE%\Documents\GitHub\eaglep3\Utilities\DownloadLogsFromS3.py --loco 4063 --day 2017-09-27</v>
      </c>
      <c r="AF38" s="1"/>
    </row>
    <row r="39" spans="1:32" x14ac:dyDescent="0.25">
      <c r="A39" s="31">
        <v>43004.747673611113</v>
      </c>
      <c r="B39" s="30" t="s">
        <v>437</v>
      </c>
      <c r="C39" s="30" t="s">
        <v>630</v>
      </c>
      <c r="D39" s="30" t="s">
        <v>95</v>
      </c>
      <c r="E39" s="30" t="s">
        <v>180</v>
      </c>
      <c r="F39" s="42">
        <v>0</v>
      </c>
      <c r="G39" s="42">
        <v>6</v>
      </c>
      <c r="H39" s="42">
        <v>839</v>
      </c>
      <c r="I39" s="42">
        <v>0</v>
      </c>
      <c r="J39" s="30" t="s">
        <v>181</v>
      </c>
      <c r="K39" s="42">
        <v>839</v>
      </c>
      <c r="L39" s="131" t="s">
        <v>51</v>
      </c>
      <c r="M39" s="132">
        <f t="shared" si="0"/>
        <v>-442.99200000000002</v>
      </c>
      <c r="N39" s="133" t="str">
        <f>VLOOKUP(C39,'Trips&amp;Operators'!$C$1:$G$99911,5,FALSE)</f>
        <v>SPECTOR MICHAEL</v>
      </c>
      <c r="O39" s="175" t="s">
        <v>179</v>
      </c>
      <c r="P39" s="134"/>
      <c r="Q39" s="30"/>
      <c r="R39" s="81" t="str">
        <f>VLOOKUP(C39,'Train Runs'!$A$13:$AE$9982,31,0)</f>
        <v>aws s3 cp s3://rtdc.mdm.uploadarchive.raw/RTDC4017/ "%USERPROFILE%\AppData\Local\Temp\OnboardLogs"\RTDC4017\2017-09-26 --exclude "*" --recursive --include "*20170926*" &amp; "%USERPROFILE%\Documents\GitHub\mrs-test-scripts\Headless Mode &amp; Sideloading\WalkAndUnGZ.bat" "%USERPROFILE%\AppData\Local\Temp\OnboardLogs"\RTDC4017\2017-09-26 &amp; 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</v>
      </c>
      <c r="S39" s="84" t="str">
        <f>VLOOKUP(C39,'Train Runs'!$A$13:$AE$9982,22,0)</f>
        <v>https://d0f6bd738d7f1b3e5a7ca70fe4ff75f0.us-east-1.aws.found.io/app/kibana#/discover/Steve-Slow-Train-Analysis-(2080s-and-2083s)?_g=(refreshInterval:(display:Off,pause:!f,section:0,value:0),time:(from:'2017-09-26T02:24:31-0600',mode:absolute,to:'2017-09-26T04:27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9" s="86" t="str">
        <f t="shared" si="1"/>
        <v>"C:\Program Files (x86)\AstroGrep\AstroGrep.exe" /e /r /s /spath="%USERPROFILE%\AppData\Local\Temp\OnboardLogs" /stypes="*4001*201709262*"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4001</v>
      </c>
      <c r="V39" s="31">
        <f t="shared" si="3"/>
        <v>43004.997673611113</v>
      </c>
      <c r="W39" s="45" t="str">
        <f t="shared" si="4"/>
        <v>Shuttle/Test</v>
      </c>
      <c r="X39" s="22">
        <f t="shared" si="5"/>
        <v>68</v>
      </c>
      <c r="Y39" s="96" t="str">
        <f t="shared" si="6"/>
        <v>echo {"issue":{"subject":"","project_id":79,"tracker_id":40,"status_id":1,"priority_id":2,"assigned_to_id":338,"start_date":"2017-09-26","description":"","custom_fields":[{"id":1,"name":"Subdivision","value":"Shuttle/Test"},{"id":4,"name":"Milepost","value":"0.0839"},{"id":17,"name":"Train ID","value":"68-26"},{"id":16,"name":"Locomotive ID","value":"4001"},{"id":130,"name":"Impact","value":""},{"id":150,"name":"Time of Event (Mountain Time)","value":"17:56:39"},{"id":151,"name":"Denver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/c/Users/stu/AppData/Local/Temp/OnboardLogs/RTDC4001 --include="*4001*201709262*"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"%USERPROFILE%\AppData\Local\Temp\OnboardLogs"\RTDC4001\*4001*201709262* &gt;&gt; 2017-09-26-SliceDisagreementCheck.txt</v>
      </c>
      <c r="AE39" s="145" t="str">
        <f t="shared" si="9"/>
        <v>start /low /b %USERPROFILE%\Documents\GitHub\eaglep3\Utilities\DownloadLogsFromS3.py --loco 4001 --day 2017-09-26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44">
    <sortState ref="A7:AC44">
      <sortCondition ref="W7:W39"/>
      <sortCondition ref="E7:E39"/>
      <sortCondition ref="K7:K39"/>
      <sortCondition ref="F7:F39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4:O1048576 O7:O8 O10:O39">
    <cfRule type="cellIs" dxfId="5" priority="38" operator="equal">
      <formula>"Y"</formula>
    </cfRule>
  </conditionalFormatting>
  <conditionalFormatting sqref="O2:O3">
    <cfRule type="cellIs" dxfId="4" priority="29" operator="equal">
      <formula>"Y"</formula>
    </cfRule>
  </conditionalFormatting>
  <conditionalFormatting sqref="A7:P8 A9:N9 A10:P39">
    <cfRule type="expression" dxfId="3" priority="22">
      <formula>$O7="Y"</formula>
    </cfRule>
  </conditionalFormatting>
  <conditionalFormatting sqref="O9">
    <cfRule type="cellIs" dxfId="2" priority="2" operator="equal">
      <formula>"Y"</formula>
    </cfRule>
  </conditionalFormatting>
  <conditionalFormatting sqref="O9:P9">
    <cfRule type="expression" dxfId="1" priority="1">
      <formula>$O9="Y"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:A6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25" t="str">
        <f>"Trips that did not appear in PTC Data "&amp;TEXT(Variables!$A$2,"YYYY-mm-dd")</f>
        <v>Trips that did not appear in PTC Data 2017-09-26</v>
      </c>
      <c r="C1" s="225"/>
      <c r="D1" s="225"/>
      <c r="E1" s="225"/>
      <c r="F1" s="225"/>
      <c r="I1" s="188"/>
    </row>
    <row r="2" spans="1:10" s="23" customFormat="1" ht="45" x14ac:dyDescent="0.25">
      <c r="A2" s="223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-26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Runs'!$A$13:$A$99979,1,FALSE)</f>
        <v>#N/A</v>
      </c>
    </row>
    <row r="4" spans="1:10" x14ac:dyDescent="0.25">
      <c r="A4" s="197"/>
      <c r="B4" s="42" t="str">
        <f>A4&amp;"-"&amp;IF(DAY(Variables!$A$2)&lt;10,0,"")&amp;DAY(Variables!$A$2)</f>
        <v>-26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Runs'!$A$13:$A$99979,1,FALSE)</f>
        <v>#N/A</v>
      </c>
    </row>
    <row r="5" spans="1:10" x14ac:dyDescent="0.25">
      <c r="A5" s="197"/>
      <c r="B5" s="42" t="str">
        <f>A5&amp;"-"&amp;IF(DAY(Variables!$A$2)&lt;10,0,"")&amp;DAY(Variables!$A$2)</f>
        <v>-26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Runs'!$A$13:$A$99979,1,FALSE)</f>
        <v>#N/A</v>
      </c>
    </row>
    <row r="6" spans="1:10" x14ac:dyDescent="0.25">
      <c r="A6" s="197"/>
      <c r="B6" s="42" t="str">
        <f>A6&amp;"-"&amp;IF(DAY(Variables!$A$2)&lt;10,0,"")&amp;DAY(Variables!$A$2)</f>
        <v>-26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Runs'!$A$13:$A$99979,1,FALSE)</f>
        <v>#N/A</v>
      </c>
    </row>
    <row r="7" spans="1:10" x14ac:dyDescent="0.25">
      <c r="A7" s="197"/>
      <c r="B7" s="42" t="str">
        <f>A7&amp;"-"&amp;IF(DAY(Variables!$A$2)&lt;10,0,"")&amp;DAY(Variables!$A$2)</f>
        <v>-26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Runs'!$A$13:$A$99979,1,FALSE)</f>
        <v>#N/A</v>
      </c>
    </row>
    <row r="8" spans="1:10" x14ac:dyDescent="0.25">
      <c r="A8" s="197"/>
      <c r="B8" s="42" t="str">
        <f>A8&amp;"-"&amp;IF(DAY(Variables!$A$2)&lt;10,0,"")&amp;DAY(Variables!$A$2)</f>
        <v>-26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Runs'!$A$13:$A$99979,1,FALSE)</f>
        <v>#N/A</v>
      </c>
    </row>
    <row r="9" spans="1:10" x14ac:dyDescent="0.25">
      <c r="A9" s="197"/>
      <c r="B9" s="42" t="str">
        <f>A9&amp;"-"&amp;IF(DAY(Variables!$A$2)&lt;10,0,"")&amp;DAY(Variables!$A$2)</f>
        <v>-26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Runs'!$A$13:$A$99979,1,FALSE)</f>
        <v>#N/A</v>
      </c>
    </row>
    <row r="10" spans="1:10" x14ac:dyDescent="0.25">
      <c r="A10" s="197"/>
      <c r="B10" s="42" t="str">
        <f>A10&amp;"-"&amp;IF(DAY(Variables!$A$2)&lt;10,0,"")&amp;DAY(Variables!$A$2)</f>
        <v>-26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Runs'!$A$13:$A$99979,1,FALSE)</f>
        <v>#N/A</v>
      </c>
    </row>
    <row r="11" spans="1:10" x14ac:dyDescent="0.25">
      <c r="A11" s="197"/>
      <c r="B11" s="42" t="str">
        <f>A11&amp;"-"&amp;IF(DAY(Variables!$A$2)&lt;10,0,"")&amp;DAY(Variables!$A$2)</f>
        <v>-26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Runs'!$A$13:$A$99979,1,FALSE)</f>
        <v>#N/A</v>
      </c>
    </row>
    <row r="12" spans="1:10" x14ac:dyDescent="0.25">
      <c r="A12" s="197"/>
      <c r="B12" s="42" t="str">
        <f>A12&amp;"-"&amp;IF(DAY(Variables!$A$2)&lt;10,0,"")&amp;DAY(Variables!$A$2)</f>
        <v>-26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Runs'!$A$13:$A$99979,1,FALSE)</f>
        <v>#N/A</v>
      </c>
    </row>
    <row r="13" spans="1:10" x14ac:dyDescent="0.25">
      <c r="A13" s="197"/>
      <c r="B13" s="42" t="str">
        <f>A13&amp;"-"&amp;IF(DAY(Variables!$A$2)&lt;10,0,"")&amp;DAY(Variables!$A$2)</f>
        <v>-26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Runs'!$A$13:$A$99979,1,FALSE)</f>
        <v>#N/A</v>
      </c>
    </row>
    <row r="14" spans="1:10" x14ac:dyDescent="0.25">
      <c r="A14" s="197"/>
      <c r="B14" s="42" t="str">
        <f>A14&amp;"-"&amp;IF(DAY(Variables!$A$2)&lt;10,0,"")&amp;DAY(Variables!$A$2)</f>
        <v>-26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Runs'!$A$13:$A$99979,1,FALSE)</f>
        <v>#N/A</v>
      </c>
    </row>
    <row r="15" spans="1:10" x14ac:dyDescent="0.25">
      <c r="A15" s="197"/>
      <c r="B15" s="42" t="str">
        <f>A15&amp;"-"&amp;IF(DAY(Variables!$A$2)&lt;10,0,"")&amp;DAY(Variables!$A$2)</f>
        <v>-26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Runs'!$A$13:$A$99979,1,FALSE)</f>
        <v>#N/A</v>
      </c>
    </row>
    <row r="16" spans="1:10" x14ac:dyDescent="0.25">
      <c r="A16" s="197"/>
      <c r="B16" s="42" t="str">
        <f>A16&amp;"-"&amp;IF(DAY(Variables!$A$2)&lt;10,0,"")&amp;DAY(Variables!$A$2)</f>
        <v>-26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Runs'!$A$13:$A$99979,1,FALSE)</f>
        <v>#N/A</v>
      </c>
    </row>
    <row r="17" spans="1:10" x14ac:dyDescent="0.25">
      <c r="A17" s="197"/>
      <c r="B17" s="42" t="str">
        <f>A17&amp;"-"&amp;IF(DAY(Variables!$A$2)&lt;10,0,"")&amp;DAY(Variables!$A$2)</f>
        <v>-26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Runs'!$A$13:$A$99979,1,FALSE)</f>
        <v>#N/A</v>
      </c>
    </row>
    <row r="18" spans="1:10" x14ac:dyDescent="0.25">
      <c r="A18" s="197"/>
      <c r="B18" s="42" t="str">
        <f>A18&amp;"-"&amp;IF(DAY(Variables!$A$2)&lt;10,0,"")&amp;DAY(Variables!$A$2)</f>
        <v>-26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Runs'!$A$13:$A$99979,1,FALSE)</f>
        <v>#N/A</v>
      </c>
    </row>
    <row r="19" spans="1:10" x14ac:dyDescent="0.25">
      <c r="A19" s="197"/>
      <c r="B19" s="42"/>
      <c r="C19" s="135"/>
      <c r="D19" s="153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5"/>
      <c r="D20" s="153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5"/>
      <c r="D21" s="153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5"/>
      <c r="D22" s="153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5"/>
      <c r="D23" s="153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5"/>
      <c r="D24" s="153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5"/>
      <c r="D25" s="153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5"/>
      <c r="D26" s="153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5"/>
      <c r="D27" s="153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5"/>
      <c r="D28" s="153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5"/>
      <c r="D29" s="153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5"/>
      <c r="D30" s="153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5"/>
      <c r="D31" s="153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5"/>
      <c r="D32" s="153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5"/>
      <c r="D33" s="153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5"/>
      <c r="D34" s="153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5"/>
      <c r="D35" s="153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5"/>
      <c r="D36" s="153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5"/>
      <c r="D37" s="153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5"/>
      <c r="D38" s="153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5"/>
      <c r="D39" s="153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5"/>
      <c r="D40" s="153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5"/>
      <c r="D41" s="153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5"/>
      <c r="D42" s="153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5"/>
      <c r="D43" s="153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5"/>
      <c r="D44" s="153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5"/>
      <c r="D45" s="153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5"/>
      <c r="D46" s="153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5"/>
      <c r="D47" s="153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5"/>
      <c r="D48" s="153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5"/>
      <c r="D49" s="153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5"/>
      <c r="D50" s="153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5"/>
      <c r="D51" s="153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5"/>
      <c r="D52" s="153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5"/>
      <c r="D53" s="153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5"/>
      <c r="D54" s="153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5"/>
      <c r="D55" s="153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5"/>
      <c r="D56" s="153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5"/>
      <c r="D57" s="153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5"/>
      <c r="D58" s="153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5"/>
      <c r="D59" s="153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5"/>
      <c r="D60" s="153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5"/>
      <c r="D61" s="153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5"/>
      <c r="D62" s="153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5"/>
      <c r="D63" s="153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5"/>
      <c r="D64" s="153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5"/>
      <c r="D65" s="153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5"/>
      <c r="D66" s="153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5"/>
      <c r="D67" s="153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5"/>
      <c r="D68" s="153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5"/>
      <c r="D69" s="153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5"/>
      <c r="D70" s="153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5"/>
      <c r="D71" s="153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5"/>
      <c r="D72" s="153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5"/>
      <c r="D73" s="153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5"/>
      <c r="D74" s="153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4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43004.038715277777</v>
      </c>
      <c r="B2" s="20" t="s">
        <v>463</v>
      </c>
      <c r="C2" s="20" t="s">
        <v>550</v>
      </c>
      <c r="D2" s="138">
        <v>3340000</v>
      </c>
      <c r="E2" s="20" t="s">
        <v>464</v>
      </c>
      <c r="F2" s="20" t="s">
        <v>465</v>
      </c>
      <c r="G2" s="8" t="str">
        <f>E2&amp;" "&amp;F2</f>
        <v>ELBAUM MIKE</v>
      </c>
      <c r="H2" t="str">
        <f>MID(B2,13,4)</f>
        <v>4014</v>
      </c>
    </row>
    <row r="3" spans="1:8" x14ac:dyDescent="0.25">
      <c r="A3" s="8">
        <v>43004.047199074077</v>
      </c>
      <c r="B3" s="20" t="s">
        <v>436</v>
      </c>
      <c r="C3" s="20" t="s">
        <v>551</v>
      </c>
      <c r="D3" s="138">
        <v>890000</v>
      </c>
      <c r="E3" s="20" t="s">
        <v>366</v>
      </c>
      <c r="F3" s="20" t="s">
        <v>367</v>
      </c>
      <c r="G3" s="8" t="str">
        <f t="shared" ref="G3:G66" si="0">E3&amp;" "&amp;F3</f>
        <v>LOZA FIDEL</v>
      </c>
      <c r="H3" s="20" t="str">
        <f t="shared" ref="H3:H66" si="1">MID(B3,13,4)</f>
        <v>4042</v>
      </c>
    </row>
    <row r="4" spans="1:8" x14ac:dyDescent="0.25">
      <c r="A4" s="8">
        <v>43004.056793981479</v>
      </c>
      <c r="B4" s="20" t="s">
        <v>486</v>
      </c>
      <c r="C4" s="20" t="s">
        <v>552</v>
      </c>
      <c r="D4" s="138">
        <v>3040000</v>
      </c>
      <c r="E4" s="20" t="s">
        <v>461</v>
      </c>
      <c r="F4" s="20" t="s">
        <v>462</v>
      </c>
      <c r="G4" s="8" t="str">
        <f t="shared" si="0"/>
        <v>WILLIAMS DONTE</v>
      </c>
      <c r="H4" s="20" t="str">
        <f t="shared" si="1"/>
        <v>4049</v>
      </c>
    </row>
    <row r="5" spans="1:8" x14ac:dyDescent="0.25">
      <c r="A5" s="8">
        <v>43004.068483796298</v>
      </c>
      <c r="B5" s="20" t="s">
        <v>398</v>
      </c>
      <c r="C5" s="20" t="s">
        <v>553</v>
      </c>
      <c r="D5" s="138">
        <v>2680000</v>
      </c>
      <c r="E5" s="20" t="s">
        <v>376</v>
      </c>
      <c r="F5" s="20" t="s">
        <v>377</v>
      </c>
      <c r="G5" s="8" t="str">
        <f t="shared" si="0"/>
        <v>DUNCAN SHEILA</v>
      </c>
      <c r="H5" s="20" t="str">
        <f t="shared" si="1"/>
        <v>4028</v>
      </c>
    </row>
    <row r="6" spans="1:8" x14ac:dyDescent="0.25">
      <c r="A6" s="8">
        <v>43004.091099537036</v>
      </c>
      <c r="B6" s="20" t="s">
        <v>487</v>
      </c>
      <c r="C6" s="20" t="s">
        <v>554</v>
      </c>
      <c r="D6" s="138">
        <v>3040000</v>
      </c>
      <c r="E6" s="20" t="s">
        <v>461</v>
      </c>
      <c r="F6" s="20" t="s">
        <v>462</v>
      </c>
      <c r="G6" s="8" t="str">
        <f t="shared" si="0"/>
        <v>WILLIAMS DONTE</v>
      </c>
      <c r="H6" s="20" t="str">
        <f t="shared" si="1"/>
        <v>4050</v>
      </c>
    </row>
    <row r="7" spans="1:8" x14ac:dyDescent="0.25">
      <c r="A7" s="8">
        <v>43004.111006944448</v>
      </c>
      <c r="B7" s="20" t="s">
        <v>424</v>
      </c>
      <c r="C7" s="20" t="s">
        <v>555</v>
      </c>
      <c r="D7" s="138">
        <v>1830000</v>
      </c>
      <c r="E7" s="20" t="s">
        <v>405</v>
      </c>
      <c r="F7" s="20" t="s">
        <v>406</v>
      </c>
      <c r="G7" s="8" t="str">
        <f t="shared" si="0"/>
        <v>YORK EDGAR</v>
      </c>
      <c r="H7" s="20" t="str">
        <f t="shared" si="1"/>
        <v>4017</v>
      </c>
    </row>
    <row r="8" spans="1:8" x14ac:dyDescent="0.25">
      <c r="A8" s="8">
        <v>43004.122071759259</v>
      </c>
      <c r="B8" s="20" t="s">
        <v>638</v>
      </c>
      <c r="C8" s="20" t="s">
        <v>639</v>
      </c>
      <c r="D8" s="138">
        <v>1830000</v>
      </c>
      <c r="E8" s="20" t="s">
        <v>405</v>
      </c>
      <c r="F8" s="20" t="s">
        <v>406</v>
      </c>
      <c r="G8" s="8" t="str">
        <f t="shared" si="0"/>
        <v>YORK EDGAR</v>
      </c>
      <c r="H8" s="20" t="str">
        <f t="shared" si="1"/>
        <v>4056</v>
      </c>
    </row>
    <row r="9" spans="1:8" ht="15.75" thickBot="1" x14ac:dyDescent="0.3">
      <c r="A9" s="24">
        <v>43004.132488425923</v>
      </c>
      <c r="B9" s="20" t="s">
        <v>640</v>
      </c>
      <c r="C9" s="20" t="s">
        <v>641</v>
      </c>
      <c r="D9" s="138">
        <v>1090000</v>
      </c>
      <c r="E9" s="20" t="s">
        <v>535</v>
      </c>
      <c r="F9" s="20" t="s">
        <v>190</v>
      </c>
      <c r="G9" s="8" t="str">
        <f t="shared" si="0"/>
        <v>SPECTOR MICHAEL</v>
      </c>
      <c r="H9" s="20" t="str">
        <f t="shared" si="1"/>
        <v>4018</v>
      </c>
    </row>
    <row r="10" spans="1:8" x14ac:dyDescent="0.25">
      <c r="A10" s="8">
        <v>43004.142256944448</v>
      </c>
      <c r="B10" s="20" t="s">
        <v>642</v>
      </c>
      <c r="C10" s="20" t="s">
        <v>643</v>
      </c>
      <c r="D10" s="138">
        <v>940000</v>
      </c>
      <c r="E10" s="20" t="s">
        <v>644</v>
      </c>
      <c r="F10" s="20" t="s">
        <v>645</v>
      </c>
      <c r="G10" s="8" t="str">
        <f t="shared" si="0"/>
        <v>BONDS REYNALDO</v>
      </c>
      <c r="H10" s="20" t="str">
        <f t="shared" si="1"/>
        <v>4045</v>
      </c>
    </row>
    <row r="11" spans="1:8" x14ac:dyDescent="0.25">
      <c r="A11" s="8">
        <v>43004.142511574071</v>
      </c>
      <c r="B11" s="20" t="s">
        <v>424</v>
      </c>
      <c r="C11" s="20" t="s">
        <v>630</v>
      </c>
      <c r="D11" s="138">
        <v>1090000</v>
      </c>
      <c r="E11" s="20" t="s">
        <v>535</v>
      </c>
      <c r="F11" s="20" t="s">
        <v>190</v>
      </c>
      <c r="G11" s="8" t="str">
        <f t="shared" si="0"/>
        <v>SPECTOR MICHAEL</v>
      </c>
      <c r="H11" s="20" t="str">
        <f t="shared" si="1"/>
        <v>4017</v>
      </c>
    </row>
    <row r="12" spans="1:8" x14ac:dyDescent="0.25">
      <c r="A12" s="8">
        <v>43004.152754629627</v>
      </c>
      <c r="B12" s="20" t="s">
        <v>492</v>
      </c>
      <c r="C12" s="20" t="s">
        <v>646</v>
      </c>
      <c r="D12" s="138">
        <v>940000</v>
      </c>
      <c r="E12" s="20" t="s">
        <v>644</v>
      </c>
      <c r="F12" s="20" t="s">
        <v>645</v>
      </c>
      <c r="G12" s="8" t="str">
        <f t="shared" si="0"/>
        <v>BONDS REYNALDO</v>
      </c>
      <c r="H12" s="20" t="str">
        <f t="shared" si="1"/>
        <v>4046</v>
      </c>
    </row>
    <row r="13" spans="1:8" x14ac:dyDescent="0.25">
      <c r="A13" s="8">
        <v>43004.16133101852</v>
      </c>
      <c r="B13" s="20" t="s">
        <v>647</v>
      </c>
      <c r="C13" s="20" t="s">
        <v>648</v>
      </c>
      <c r="D13" s="138">
        <v>1830000</v>
      </c>
      <c r="E13" s="20" t="s">
        <v>405</v>
      </c>
      <c r="F13" s="20" t="s">
        <v>406</v>
      </c>
      <c r="G13" s="8" t="str">
        <f t="shared" si="0"/>
        <v>YORK EDGAR</v>
      </c>
      <c r="H13" s="20" t="str">
        <f t="shared" si="1"/>
        <v>4055</v>
      </c>
    </row>
    <row r="14" spans="1:8" x14ac:dyDescent="0.25">
      <c r="A14" s="8">
        <v>43004.163831018515</v>
      </c>
      <c r="B14" s="20" t="s">
        <v>493</v>
      </c>
      <c r="C14" s="20" t="s">
        <v>649</v>
      </c>
      <c r="D14" s="138">
        <v>3120000</v>
      </c>
      <c r="E14" s="20" t="s">
        <v>490</v>
      </c>
      <c r="F14" s="20" t="s">
        <v>491</v>
      </c>
      <c r="G14" s="8" t="str">
        <f t="shared" si="0"/>
        <v>THOMPSON LESTER</v>
      </c>
      <c r="H14" s="20" t="str">
        <f t="shared" si="1"/>
        <v>4059</v>
      </c>
    </row>
    <row r="15" spans="1:8" x14ac:dyDescent="0.25">
      <c r="A15" s="8">
        <v>43004.168969907405</v>
      </c>
      <c r="B15" s="20" t="s">
        <v>456</v>
      </c>
      <c r="C15" s="20" t="s">
        <v>650</v>
      </c>
      <c r="D15" s="138">
        <v>2530000</v>
      </c>
      <c r="E15" s="20" t="s">
        <v>536</v>
      </c>
      <c r="F15" s="20" t="s">
        <v>537</v>
      </c>
      <c r="G15" s="8" t="str">
        <f t="shared" si="0"/>
        <v>LALONDE GREGORY</v>
      </c>
      <c r="H15" s="20" t="str">
        <f t="shared" si="1"/>
        <v>4009</v>
      </c>
    </row>
    <row r="16" spans="1:8" x14ac:dyDescent="0.25">
      <c r="A16" s="8">
        <v>43004.175069444442</v>
      </c>
      <c r="B16" s="20" t="s">
        <v>495</v>
      </c>
      <c r="C16" s="20" t="s">
        <v>651</v>
      </c>
      <c r="D16" s="138">
        <v>3120000</v>
      </c>
      <c r="E16" s="20" t="s">
        <v>490</v>
      </c>
      <c r="F16" s="20" t="s">
        <v>491</v>
      </c>
      <c r="G16" s="8" t="str">
        <f t="shared" si="0"/>
        <v>THOMPSON LESTER</v>
      </c>
      <c r="H16" s="20" t="str">
        <f t="shared" si="1"/>
        <v>4060</v>
      </c>
    </row>
    <row r="17" spans="1:8" x14ac:dyDescent="0.25">
      <c r="A17" s="8">
        <v>43004.182476851849</v>
      </c>
      <c r="B17" s="20" t="s">
        <v>423</v>
      </c>
      <c r="C17" s="20" t="s">
        <v>652</v>
      </c>
      <c r="D17" s="138">
        <v>2530000</v>
      </c>
      <c r="E17" s="20" t="s">
        <v>536</v>
      </c>
      <c r="F17" s="20" t="s">
        <v>537</v>
      </c>
      <c r="G17" s="8" t="str">
        <f t="shared" si="0"/>
        <v>LALONDE GREGORY</v>
      </c>
      <c r="H17" s="20" t="str">
        <f t="shared" si="1"/>
        <v>4010</v>
      </c>
    </row>
    <row r="18" spans="1:8" x14ac:dyDescent="0.25">
      <c r="A18" s="8">
        <v>43004.184386574074</v>
      </c>
      <c r="B18" s="20" t="s">
        <v>616</v>
      </c>
      <c r="C18" s="20" t="s">
        <v>653</v>
      </c>
      <c r="D18" s="138">
        <v>3090000</v>
      </c>
      <c r="E18" s="20" t="s">
        <v>498</v>
      </c>
      <c r="F18" s="20" t="s">
        <v>499</v>
      </c>
      <c r="G18" s="8" t="str">
        <f t="shared" si="0"/>
        <v>LAMAR NEKESHA</v>
      </c>
      <c r="H18" s="20" t="str">
        <f t="shared" si="1"/>
        <v>4053</v>
      </c>
    </row>
    <row r="19" spans="1:8" x14ac:dyDescent="0.25">
      <c r="A19" s="8">
        <v>43004.19253472222</v>
      </c>
      <c r="B19" s="20" t="s">
        <v>642</v>
      </c>
      <c r="C19" s="20" t="s">
        <v>654</v>
      </c>
      <c r="D19" s="138">
        <v>940000</v>
      </c>
      <c r="E19" s="20" t="s">
        <v>644</v>
      </c>
      <c r="F19" s="20" t="s">
        <v>645</v>
      </c>
      <c r="G19" s="8" t="str">
        <f t="shared" si="0"/>
        <v>BONDS REYNALDO</v>
      </c>
      <c r="H19" s="20" t="str">
        <f t="shared" si="1"/>
        <v>4045</v>
      </c>
    </row>
    <row r="20" spans="1:8" x14ac:dyDescent="0.25">
      <c r="A20" s="8">
        <v>43004.196238425924</v>
      </c>
      <c r="B20" s="20" t="s">
        <v>655</v>
      </c>
      <c r="C20" s="20" t="s">
        <v>656</v>
      </c>
      <c r="D20" s="138">
        <v>3090000</v>
      </c>
      <c r="E20" s="20" t="s">
        <v>498</v>
      </c>
      <c r="F20" s="20" t="s">
        <v>499</v>
      </c>
      <c r="G20" s="8" t="str">
        <f t="shared" si="0"/>
        <v>LAMAR NEKESHA</v>
      </c>
      <c r="H20" s="20" t="str">
        <f t="shared" si="1"/>
        <v>4054</v>
      </c>
    </row>
    <row r="21" spans="1:8" x14ac:dyDescent="0.25">
      <c r="A21" s="8">
        <v>43004.20175925926</v>
      </c>
      <c r="B21" s="20" t="s">
        <v>488</v>
      </c>
      <c r="C21" s="20" t="s">
        <v>657</v>
      </c>
      <c r="D21" s="138">
        <v>3510000</v>
      </c>
      <c r="E21" s="20" t="s">
        <v>540</v>
      </c>
      <c r="F21" s="20" t="s">
        <v>541</v>
      </c>
      <c r="G21" s="8" t="str">
        <f t="shared" si="0"/>
        <v>BARRON PERLA</v>
      </c>
      <c r="H21" s="20" t="str">
        <f t="shared" si="1"/>
        <v>4025</v>
      </c>
    </row>
    <row r="22" spans="1:8" x14ac:dyDescent="0.25">
      <c r="A22" s="26">
        <v>43004.202465277776</v>
      </c>
      <c r="B22" s="20" t="s">
        <v>638</v>
      </c>
      <c r="C22" s="20" t="s">
        <v>658</v>
      </c>
      <c r="D22" s="138">
        <v>1830000</v>
      </c>
      <c r="E22" s="20" t="s">
        <v>405</v>
      </c>
      <c r="F22" s="20" t="s">
        <v>406</v>
      </c>
      <c r="G22" s="8" t="str">
        <f t="shared" si="0"/>
        <v>YORK EDGAR</v>
      </c>
      <c r="H22" s="20" t="str">
        <f t="shared" si="1"/>
        <v>4056</v>
      </c>
    </row>
    <row r="23" spans="1:8" x14ac:dyDescent="0.25">
      <c r="A23" s="8">
        <v>43004.203414351854</v>
      </c>
      <c r="B23" s="20" t="s">
        <v>438</v>
      </c>
      <c r="C23" s="20" t="s">
        <v>659</v>
      </c>
      <c r="D23" s="138">
        <v>2730000</v>
      </c>
      <c r="E23" s="20" t="s">
        <v>538</v>
      </c>
      <c r="F23" s="20" t="s">
        <v>539</v>
      </c>
      <c r="G23" s="8" t="str">
        <f t="shared" si="0"/>
        <v>YANG JAN</v>
      </c>
      <c r="H23" s="20" t="str">
        <f t="shared" si="1"/>
        <v>4064</v>
      </c>
    </row>
    <row r="24" spans="1:8" x14ac:dyDescent="0.25">
      <c r="A24" s="8">
        <v>43004.204131944447</v>
      </c>
      <c r="B24" s="20" t="s">
        <v>438</v>
      </c>
      <c r="C24" s="20" t="s">
        <v>659</v>
      </c>
      <c r="D24" s="138">
        <v>2730000</v>
      </c>
      <c r="E24" s="20" t="s">
        <v>538</v>
      </c>
      <c r="F24" s="20" t="s">
        <v>539</v>
      </c>
      <c r="G24" s="8" t="str">
        <f t="shared" si="0"/>
        <v>YANG JAN</v>
      </c>
      <c r="H24" s="20" t="str">
        <f t="shared" si="1"/>
        <v>4064</v>
      </c>
    </row>
    <row r="25" spans="1:8" x14ac:dyDescent="0.25">
      <c r="A25" s="8">
        <v>43004.20517361111</v>
      </c>
      <c r="B25" s="20" t="s">
        <v>438</v>
      </c>
      <c r="C25" s="20" t="s">
        <v>659</v>
      </c>
      <c r="D25" s="138">
        <v>2730000</v>
      </c>
      <c r="E25" s="20" t="s">
        <v>538</v>
      </c>
      <c r="F25" s="20" t="s">
        <v>539</v>
      </c>
      <c r="G25" s="8" t="str">
        <f t="shared" si="0"/>
        <v>YANG JAN</v>
      </c>
      <c r="H25" s="20" t="str">
        <f t="shared" si="1"/>
        <v>4064</v>
      </c>
    </row>
    <row r="26" spans="1:8" x14ac:dyDescent="0.25">
      <c r="A26" s="8">
        <v>43004.213692129626</v>
      </c>
      <c r="B26" s="20" t="s">
        <v>456</v>
      </c>
      <c r="C26" s="20" t="s">
        <v>660</v>
      </c>
      <c r="D26" s="138">
        <v>2530000</v>
      </c>
      <c r="E26" s="20" t="s">
        <v>536</v>
      </c>
      <c r="F26" s="20" t="s">
        <v>537</v>
      </c>
      <c r="G26" s="8" t="str">
        <f t="shared" si="0"/>
        <v>LALONDE GREGORY</v>
      </c>
      <c r="H26" s="20" t="str">
        <f t="shared" si="1"/>
        <v>4009</v>
      </c>
    </row>
    <row r="27" spans="1:8" x14ac:dyDescent="0.25">
      <c r="A27" s="8">
        <v>43004.214872685188</v>
      </c>
      <c r="B27" s="20" t="s">
        <v>493</v>
      </c>
      <c r="C27" s="20" t="s">
        <v>605</v>
      </c>
      <c r="D27" s="138">
        <v>3120000</v>
      </c>
      <c r="E27" s="20" t="s">
        <v>490</v>
      </c>
      <c r="F27" s="20" t="s">
        <v>491</v>
      </c>
      <c r="G27" s="8" t="str">
        <f t="shared" si="0"/>
        <v>THOMPSON LESTER</v>
      </c>
      <c r="H27" s="20" t="str">
        <f t="shared" si="1"/>
        <v>4059</v>
      </c>
    </row>
    <row r="28" spans="1:8" x14ac:dyDescent="0.25">
      <c r="A28" s="8">
        <v>43004.215983796297</v>
      </c>
      <c r="B28" s="20" t="s">
        <v>435</v>
      </c>
      <c r="C28" s="20" t="s">
        <v>661</v>
      </c>
      <c r="D28" s="138">
        <v>2730000</v>
      </c>
      <c r="E28" s="20" t="s">
        <v>538</v>
      </c>
      <c r="F28" s="20" t="s">
        <v>539</v>
      </c>
      <c r="G28" s="8" t="str">
        <f t="shared" si="0"/>
        <v>YANG JAN</v>
      </c>
      <c r="H28" s="20" t="str">
        <f t="shared" si="1"/>
        <v>4063</v>
      </c>
    </row>
    <row r="29" spans="1:8" x14ac:dyDescent="0.25">
      <c r="A29" s="8">
        <v>43004.216527777775</v>
      </c>
      <c r="B29" s="20" t="s">
        <v>489</v>
      </c>
      <c r="C29" s="20" t="s">
        <v>662</v>
      </c>
      <c r="D29" s="138">
        <v>3510000</v>
      </c>
      <c r="E29" s="20" t="s">
        <v>540</v>
      </c>
      <c r="F29" s="20" t="s">
        <v>541</v>
      </c>
      <c r="G29" s="8" t="str">
        <f t="shared" si="0"/>
        <v>BARRON PERLA</v>
      </c>
      <c r="H29" s="20" t="str">
        <f t="shared" si="1"/>
        <v>4026</v>
      </c>
    </row>
    <row r="30" spans="1:8" x14ac:dyDescent="0.25">
      <c r="A30" s="8">
        <v>43004.222175925926</v>
      </c>
      <c r="B30" s="20" t="s">
        <v>413</v>
      </c>
      <c r="C30" s="20" t="s">
        <v>663</v>
      </c>
      <c r="D30" s="138">
        <v>2560000</v>
      </c>
      <c r="E30" s="20" t="s">
        <v>496</v>
      </c>
      <c r="F30" s="20" t="s">
        <v>497</v>
      </c>
      <c r="G30" s="8" t="str">
        <f t="shared" si="0"/>
        <v>MACDONALD THOMAS</v>
      </c>
      <c r="H30" s="20" t="str">
        <f t="shared" si="1"/>
        <v>4023</v>
      </c>
    </row>
    <row r="31" spans="1:8" x14ac:dyDescent="0.25">
      <c r="A31" s="8">
        <v>43004.227175925924</v>
      </c>
      <c r="B31" s="20" t="s">
        <v>492</v>
      </c>
      <c r="C31" s="20" t="s">
        <v>664</v>
      </c>
      <c r="D31" s="138">
        <v>940000</v>
      </c>
      <c r="E31" s="20" t="s">
        <v>644</v>
      </c>
      <c r="F31" s="20" t="s">
        <v>645</v>
      </c>
      <c r="G31" s="8" t="str">
        <f t="shared" si="0"/>
        <v>BONDS REYNALDO</v>
      </c>
      <c r="H31" s="20" t="str">
        <f t="shared" si="1"/>
        <v>4046</v>
      </c>
    </row>
    <row r="32" spans="1:8" x14ac:dyDescent="0.25">
      <c r="A32" s="8">
        <v>43004.233715277776</v>
      </c>
      <c r="B32" s="20" t="s">
        <v>438</v>
      </c>
      <c r="C32" s="20" t="s">
        <v>665</v>
      </c>
      <c r="D32" s="138">
        <v>2730000</v>
      </c>
      <c r="E32" s="20" t="s">
        <v>538</v>
      </c>
      <c r="F32" s="20" t="s">
        <v>539</v>
      </c>
      <c r="G32" s="8" t="str">
        <f t="shared" si="0"/>
        <v>YANG JAN</v>
      </c>
      <c r="H32" s="20" t="str">
        <f t="shared" si="1"/>
        <v>4064</v>
      </c>
    </row>
    <row r="33" spans="1:8" x14ac:dyDescent="0.25">
      <c r="A33" s="8">
        <v>43004.234976851854</v>
      </c>
      <c r="B33" s="20" t="s">
        <v>414</v>
      </c>
      <c r="C33" s="20" t="s">
        <v>666</v>
      </c>
      <c r="D33" s="138">
        <v>2560000</v>
      </c>
      <c r="E33" s="20" t="s">
        <v>496</v>
      </c>
      <c r="F33" s="20" t="s">
        <v>497</v>
      </c>
      <c r="G33" s="8" t="str">
        <f t="shared" si="0"/>
        <v>MACDONALD THOMAS</v>
      </c>
      <c r="H33" s="20" t="str">
        <f t="shared" si="1"/>
        <v>4024</v>
      </c>
    </row>
    <row r="34" spans="1:8" x14ac:dyDescent="0.25">
      <c r="A34" s="8">
        <v>43004.236111111109</v>
      </c>
      <c r="B34" s="20" t="s">
        <v>616</v>
      </c>
      <c r="C34" s="20" t="s">
        <v>667</v>
      </c>
      <c r="D34" s="138">
        <v>3090000</v>
      </c>
      <c r="E34" s="20" t="s">
        <v>498</v>
      </c>
      <c r="F34" s="20" t="s">
        <v>499</v>
      </c>
      <c r="G34" s="8" t="str">
        <f t="shared" si="0"/>
        <v>LAMAR NEKESHA</v>
      </c>
      <c r="H34" s="20" t="str">
        <f t="shared" si="1"/>
        <v>4053</v>
      </c>
    </row>
    <row r="35" spans="1:8" x14ac:dyDescent="0.25">
      <c r="A35" s="8">
        <v>43004.239722222221</v>
      </c>
      <c r="B35" s="20" t="s">
        <v>640</v>
      </c>
      <c r="C35" s="20" t="s">
        <v>668</v>
      </c>
      <c r="D35" s="138">
        <v>1090000</v>
      </c>
      <c r="E35" s="20" t="s">
        <v>535</v>
      </c>
      <c r="F35" s="20" t="s">
        <v>190</v>
      </c>
      <c r="G35" s="8" t="str">
        <f t="shared" si="0"/>
        <v>SPECTOR MICHAEL</v>
      </c>
      <c r="H35" s="20" t="str">
        <f t="shared" si="1"/>
        <v>4018</v>
      </c>
    </row>
    <row r="36" spans="1:8" x14ac:dyDescent="0.25">
      <c r="A36" s="8">
        <v>43004.240254629629</v>
      </c>
      <c r="B36" s="20" t="s">
        <v>606</v>
      </c>
      <c r="C36" s="20" t="s">
        <v>607</v>
      </c>
      <c r="D36" s="138">
        <v>3000000</v>
      </c>
      <c r="E36" s="20" t="s">
        <v>669</v>
      </c>
      <c r="F36" s="20" t="s">
        <v>429</v>
      </c>
      <c r="G36" s="8" t="str">
        <f t="shared" si="0"/>
        <v>FORTUNATO FRANK</v>
      </c>
      <c r="H36" s="20" t="str">
        <f t="shared" si="1"/>
        <v>4065</v>
      </c>
    </row>
    <row r="37" spans="1:8" x14ac:dyDescent="0.25">
      <c r="A37" s="8">
        <v>43004.24046296296</v>
      </c>
      <c r="B37" s="20" t="s">
        <v>647</v>
      </c>
      <c r="C37" s="20" t="s">
        <v>670</v>
      </c>
      <c r="D37" s="138">
        <v>1830000</v>
      </c>
      <c r="E37" s="20" t="s">
        <v>405</v>
      </c>
      <c r="F37" s="20" t="s">
        <v>406</v>
      </c>
      <c r="G37" s="8" t="str">
        <f t="shared" si="0"/>
        <v>YORK EDGAR</v>
      </c>
      <c r="H37" s="20" t="str">
        <f t="shared" si="1"/>
        <v>4055</v>
      </c>
    </row>
    <row r="38" spans="1:8" x14ac:dyDescent="0.25">
      <c r="A38" s="8">
        <v>43004.246331018519</v>
      </c>
      <c r="B38" s="20" t="s">
        <v>488</v>
      </c>
      <c r="C38" s="20" t="s">
        <v>671</v>
      </c>
      <c r="D38" s="138">
        <v>3510000</v>
      </c>
      <c r="E38" s="20" t="s">
        <v>540</v>
      </c>
      <c r="F38" s="20" t="s">
        <v>541</v>
      </c>
      <c r="G38" s="8" t="str">
        <f t="shared" si="0"/>
        <v>BARRON PERLA</v>
      </c>
      <c r="H38" s="20" t="str">
        <f t="shared" si="1"/>
        <v>4025</v>
      </c>
    </row>
    <row r="39" spans="1:8" x14ac:dyDescent="0.25">
      <c r="A39" s="8">
        <v>43004.247199074074</v>
      </c>
      <c r="B39" s="20" t="s">
        <v>424</v>
      </c>
      <c r="C39" s="20" t="s">
        <v>672</v>
      </c>
      <c r="D39" s="138">
        <v>1090000</v>
      </c>
      <c r="E39" s="20" t="s">
        <v>535</v>
      </c>
      <c r="F39" s="20" t="s">
        <v>190</v>
      </c>
      <c r="G39" s="8" t="str">
        <f t="shared" si="0"/>
        <v>SPECTOR MICHAEL</v>
      </c>
      <c r="H39" s="20" t="str">
        <f t="shared" si="1"/>
        <v>4017</v>
      </c>
    </row>
    <row r="40" spans="1:8" x14ac:dyDescent="0.25">
      <c r="A40" s="8">
        <v>43004.249050925922</v>
      </c>
      <c r="B40" s="25" t="s">
        <v>495</v>
      </c>
      <c r="C40" s="20" t="s">
        <v>673</v>
      </c>
      <c r="D40" s="138">
        <v>3120000</v>
      </c>
      <c r="E40" s="20" t="s">
        <v>490</v>
      </c>
      <c r="F40" s="20" t="s">
        <v>491</v>
      </c>
      <c r="G40" s="8" t="str">
        <f t="shared" si="0"/>
        <v>THOMPSON LESTER</v>
      </c>
      <c r="H40" s="20" t="str">
        <f t="shared" si="1"/>
        <v>4060</v>
      </c>
    </row>
    <row r="41" spans="1:8" x14ac:dyDescent="0.25">
      <c r="A41" s="8">
        <v>43004.250196759262</v>
      </c>
      <c r="B41" s="20" t="s">
        <v>435</v>
      </c>
      <c r="C41" s="20" t="s">
        <v>674</v>
      </c>
      <c r="D41" s="138">
        <v>2730000</v>
      </c>
      <c r="E41" s="20" t="s">
        <v>538</v>
      </c>
      <c r="F41" s="20" t="s">
        <v>539</v>
      </c>
      <c r="G41" s="8" t="str">
        <f t="shared" si="0"/>
        <v>YANG JAN</v>
      </c>
      <c r="H41" s="20" t="str">
        <f t="shared" si="1"/>
        <v>4063</v>
      </c>
    </row>
    <row r="42" spans="1:8" x14ac:dyDescent="0.25">
      <c r="A42" s="8">
        <v>43004.251701388886</v>
      </c>
      <c r="B42" s="20" t="s">
        <v>612</v>
      </c>
      <c r="C42" s="20" t="s">
        <v>675</v>
      </c>
      <c r="D42" s="138">
        <v>3000000</v>
      </c>
      <c r="E42" s="20" t="s">
        <v>669</v>
      </c>
      <c r="F42" s="20" t="s">
        <v>429</v>
      </c>
      <c r="G42" s="8" t="str">
        <f t="shared" si="0"/>
        <v>FORTUNATO FRANK</v>
      </c>
      <c r="H42" s="20" t="str">
        <f t="shared" si="1"/>
        <v>4066</v>
      </c>
    </row>
    <row r="43" spans="1:8" x14ac:dyDescent="0.25">
      <c r="A43" s="8">
        <v>43004.258356481485</v>
      </c>
      <c r="B43" s="20" t="s">
        <v>640</v>
      </c>
      <c r="C43" s="20" t="s">
        <v>676</v>
      </c>
      <c r="D43" s="138">
        <v>2530000</v>
      </c>
      <c r="E43" s="20" t="s">
        <v>536</v>
      </c>
      <c r="F43" s="20" t="s">
        <v>537</v>
      </c>
      <c r="G43" s="8" t="str">
        <f t="shared" si="0"/>
        <v>LALONDE GREGORY</v>
      </c>
      <c r="H43" s="20" t="str">
        <f t="shared" si="1"/>
        <v>4018</v>
      </c>
    </row>
    <row r="44" spans="1:8" x14ac:dyDescent="0.25">
      <c r="A44" s="8">
        <v>43004.266238425924</v>
      </c>
      <c r="B44" s="20" t="s">
        <v>642</v>
      </c>
      <c r="C44" s="20" t="s">
        <v>677</v>
      </c>
      <c r="D44" s="138">
        <v>940000</v>
      </c>
      <c r="E44" s="20" t="s">
        <v>644</v>
      </c>
      <c r="F44" s="20" t="s">
        <v>645</v>
      </c>
      <c r="G44" s="8" t="str">
        <f t="shared" si="0"/>
        <v>BONDS REYNALDO</v>
      </c>
      <c r="H44" s="20" t="str">
        <f t="shared" si="1"/>
        <v>4045</v>
      </c>
    </row>
    <row r="45" spans="1:8" x14ac:dyDescent="0.25">
      <c r="A45" s="8">
        <v>43004.267083333332</v>
      </c>
      <c r="B45" s="20" t="s">
        <v>655</v>
      </c>
      <c r="C45" s="20" t="s">
        <v>678</v>
      </c>
      <c r="D45" s="138">
        <v>3090000</v>
      </c>
      <c r="E45" s="20" t="s">
        <v>498</v>
      </c>
      <c r="F45" s="20" t="s">
        <v>499</v>
      </c>
      <c r="G45" s="8" t="str">
        <f t="shared" si="0"/>
        <v>LAMAR NEKESHA</v>
      </c>
      <c r="H45" s="20" t="str">
        <f t="shared" si="1"/>
        <v>4054</v>
      </c>
    </row>
    <row r="46" spans="1:8" x14ac:dyDescent="0.25">
      <c r="A46" s="8">
        <v>43004.270439814813</v>
      </c>
      <c r="B46" s="20" t="s">
        <v>606</v>
      </c>
      <c r="C46" s="20" t="s">
        <v>679</v>
      </c>
      <c r="D46" s="138">
        <v>3000000</v>
      </c>
      <c r="E46" s="20" t="s">
        <v>669</v>
      </c>
      <c r="F46" s="20" t="s">
        <v>429</v>
      </c>
      <c r="G46" s="8" t="str">
        <f t="shared" si="0"/>
        <v>FORTUNATO FRANK</v>
      </c>
      <c r="H46" s="20" t="str">
        <f t="shared" si="1"/>
        <v>4065</v>
      </c>
    </row>
    <row r="47" spans="1:8" x14ac:dyDescent="0.25">
      <c r="A47" s="8">
        <v>43004.273831018516</v>
      </c>
      <c r="B47" s="20" t="s">
        <v>438</v>
      </c>
      <c r="C47" s="20" t="s">
        <v>680</v>
      </c>
      <c r="D47" s="138">
        <v>2730000</v>
      </c>
      <c r="E47" s="20" t="s">
        <v>538</v>
      </c>
      <c r="F47" s="20" t="s">
        <v>539</v>
      </c>
      <c r="G47" s="8" t="str">
        <f t="shared" si="0"/>
        <v>YANG JAN</v>
      </c>
      <c r="H47" s="20" t="str">
        <f t="shared" si="1"/>
        <v>4064</v>
      </c>
    </row>
    <row r="48" spans="1:8" x14ac:dyDescent="0.25">
      <c r="A48" s="8">
        <v>43004.275104166663</v>
      </c>
      <c r="B48" s="20" t="s">
        <v>638</v>
      </c>
      <c r="C48" s="20" t="s">
        <v>681</v>
      </c>
      <c r="D48" s="138">
        <v>1830000</v>
      </c>
      <c r="E48" s="20" t="s">
        <v>405</v>
      </c>
      <c r="F48" s="20" t="s">
        <v>406</v>
      </c>
      <c r="G48" s="8" t="str">
        <f t="shared" si="0"/>
        <v>YORK EDGAR</v>
      </c>
      <c r="H48" s="20" t="str">
        <f t="shared" si="1"/>
        <v>4056</v>
      </c>
    </row>
    <row r="49" spans="1:8" x14ac:dyDescent="0.25">
      <c r="A49" s="8">
        <v>43004.277291666665</v>
      </c>
      <c r="B49" s="20" t="s">
        <v>413</v>
      </c>
      <c r="C49" s="20" t="s">
        <v>608</v>
      </c>
      <c r="D49" s="138">
        <v>2560000</v>
      </c>
      <c r="E49" s="20" t="s">
        <v>496</v>
      </c>
      <c r="F49" s="20" t="s">
        <v>497</v>
      </c>
      <c r="G49" s="8" t="str">
        <f t="shared" si="0"/>
        <v>MACDONALD THOMAS</v>
      </c>
      <c r="H49" s="20" t="str">
        <f t="shared" si="1"/>
        <v>4023</v>
      </c>
    </row>
    <row r="50" spans="1:8" x14ac:dyDescent="0.25">
      <c r="A50" s="8">
        <v>43004.286956018521</v>
      </c>
      <c r="B50" s="20" t="s">
        <v>489</v>
      </c>
      <c r="C50" s="20" t="s">
        <v>682</v>
      </c>
      <c r="D50" s="138">
        <v>3510000</v>
      </c>
      <c r="E50" s="20" t="s">
        <v>540</v>
      </c>
      <c r="F50" s="20" t="s">
        <v>541</v>
      </c>
      <c r="G50" s="8" t="str">
        <f t="shared" si="0"/>
        <v>BARRON PERLA</v>
      </c>
      <c r="H50" s="20" t="str">
        <f t="shared" si="1"/>
        <v>4026</v>
      </c>
    </row>
    <row r="51" spans="1:8" x14ac:dyDescent="0.25">
      <c r="A51" s="8">
        <v>43004.288148148145</v>
      </c>
      <c r="B51" s="20" t="s">
        <v>493</v>
      </c>
      <c r="C51" s="20" t="s">
        <v>683</v>
      </c>
      <c r="D51" s="138">
        <v>3120000</v>
      </c>
      <c r="E51" s="20" t="s">
        <v>490</v>
      </c>
      <c r="F51" s="20" t="s">
        <v>491</v>
      </c>
      <c r="G51" s="8" t="str">
        <f t="shared" si="0"/>
        <v>THOMPSON LESTER</v>
      </c>
      <c r="H51" s="20" t="str">
        <f t="shared" si="1"/>
        <v>4059</v>
      </c>
    </row>
    <row r="52" spans="1:8" x14ac:dyDescent="0.25">
      <c r="A52" s="8">
        <v>43004.289803240739</v>
      </c>
      <c r="B52" s="20" t="s">
        <v>424</v>
      </c>
      <c r="C52" s="20" t="s">
        <v>684</v>
      </c>
      <c r="D52" s="138">
        <v>2470000</v>
      </c>
      <c r="E52" s="20" t="s">
        <v>542</v>
      </c>
      <c r="F52" s="20" t="s">
        <v>543</v>
      </c>
      <c r="G52" s="8" t="str">
        <f t="shared" si="0"/>
        <v>ROMERO CHAD</v>
      </c>
      <c r="H52" s="20" t="str">
        <f t="shared" si="1"/>
        <v>4017</v>
      </c>
    </row>
    <row r="53" spans="1:8" x14ac:dyDescent="0.25">
      <c r="A53" s="8">
        <v>43004.290810185186</v>
      </c>
      <c r="B53" s="20" t="s">
        <v>612</v>
      </c>
      <c r="C53" s="20" t="s">
        <v>685</v>
      </c>
      <c r="D53" s="138">
        <v>3000000</v>
      </c>
      <c r="E53" s="20" t="s">
        <v>669</v>
      </c>
      <c r="F53" s="20" t="s">
        <v>429</v>
      </c>
      <c r="G53" s="8" t="str">
        <f t="shared" si="0"/>
        <v>FORTUNATO FRANK</v>
      </c>
      <c r="H53" s="20" t="str">
        <f t="shared" si="1"/>
        <v>4066</v>
      </c>
    </row>
    <row r="54" spans="1:8" x14ac:dyDescent="0.25">
      <c r="A54" s="8">
        <v>43004.291203703702</v>
      </c>
      <c r="B54" s="20" t="s">
        <v>435</v>
      </c>
      <c r="C54" s="20" t="s">
        <v>686</v>
      </c>
      <c r="D54" s="138">
        <v>2730000</v>
      </c>
      <c r="E54" s="20" t="s">
        <v>538</v>
      </c>
      <c r="F54" s="20" t="s">
        <v>539</v>
      </c>
      <c r="G54" s="8" t="str">
        <f t="shared" si="0"/>
        <v>YANG JAN</v>
      </c>
      <c r="H54" s="20" t="str">
        <f t="shared" si="1"/>
        <v>4063</v>
      </c>
    </row>
    <row r="55" spans="1:8" x14ac:dyDescent="0.25">
      <c r="A55" s="8">
        <v>43004.29892361111</v>
      </c>
      <c r="B55" s="20" t="s">
        <v>492</v>
      </c>
      <c r="C55" s="20" t="s">
        <v>687</v>
      </c>
      <c r="D55" s="138">
        <v>940000</v>
      </c>
      <c r="E55" s="20" t="s">
        <v>644</v>
      </c>
      <c r="F55" s="20" t="s">
        <v>645</v>
      </c>
      <c r="G55" s="8" t="str">
        <f t="shared" si="0"/>
        <v>BONDS REYNALDO</v>
      </c>
      <c r="H55" s="20" t="str">
        <f t="shared" si="1"/>
        <v>4046</v>
      </c>
    </row>
    <row r="56" spans="1:8" x14ac:dyDescent="0.25">
      <c r="A56" s="8">
        <v>43004.307604166665</v>
      </c>
      <c r="B56" s="20" t="s">
        <v>647</v>
      </c>
      <c r="C56" s="20" t="s">
        <v>688</v>
      </c>
      <c r="D56" s="138">
        <v>1830000</v>
      </c>
      <c r="E56" s="20" t="s">
        <v>405</v>
      </c>
      <c r="F56" s="20" t="s">
        <v>406</v>
      </c>
      <c r="G56" s="8" t="str">
        <f t="shared" si="0"/>
        <v>YORK EDGAR</v>
      </c>
      <c r="H56" s="20" t="str">
        <f t="shared" si="1"/>
        <v>4055</v>
      </c>
    </row>
    <row r="57" spans="1:8" x14ac:dyDescent="0.25">
      <c r="A57" s="8">
        <v>43004.308275462965</v>
      </c>
      <c r="B57" s="20" t="s">
        <v>616</v>
      </c>
      <c r="C57" s="20" t="s">
        <v>689</v>
      </c>
      <c r="D57" s="138">
        <v>3090000</v>
      </c>
      <c r="E57" s="20" t="s">
        <v>498</v>
      </c>
      <c r="F57" s="20" t="s">
        <v>499</v>
      </c>
      <c r="G57" s="8" t="str">
        <f t="shared" si="0"/>
        <v>LAMAR NEKESHA</v>
      </c>
      <c r="H57" s="20" t="str">
        <f t="shared" si="1"/>
        <v>4053</v>
      </c>
    </row>
    <row r="58" spans="1:8" x14ac:dyDescent="0.25">
      <c r="A58" s="8">
        <v>43004.309594907405</v>
      </c>
      <c r="B58" s="20" t="s">
        <v>414</v>
      </c>
      <c r="C58" s="20" t="s">
        <v>690</v>
      </c>
      <c r="D58" s="138">
        <v>2560000</v>
      </c>
      <c r="E58" s="20" t="s">
        <v>496</v>
      </c>
      <c r="F58" s="20" t="s">
        <v>497</v>
      </c>
      <c r="G58" s="8" t="str">
        <f t="shared" si="0"/>
        <v>MACDONALD THOMAS</v>
      </c>
      <c r="H58" s="20" t="str">
        <f t="shared" si="1"/>
        <v>4024</v>
      </c>
    </row>
    <row r="59" spans="1:8" x14ac:dyDescent="0.25">
      <c r="A59" s="8">
        <v>43004.310740740744</v>
      </c>
      <c r="B59" s="20" t="s">
        <v>606</v>
      </c>
      <c r="C59" s="20" t="s">
        <v>609</v>
      </c>
      <c r="D59" s="138">
        <v>3000000</v>
      </c>
      <c r="E59" s="20" t="s">
        <v>669</v>
      </c>
      <c r="F59" s="20" t="s">
        <v>429</v>
      </c>
      <c r="G59" s="8" t="str">
        <f t="shared" si="0"/>
        <v>FORTUNATO FRANK</v>
      </c>
      <c r="H59" s="20" t="str">
        <f t="shared" si="1"/>
        <v>4065</v>
      </c>
    </row>
    <row r="60" spans="1:8" x14ac:dyDescent="0.25">
      <c r="A60" s="8">
        <v>43004.315810185188</v>
      </c>
      <c r="B60" s="20" t="s">
        <v>438</v>
      </c>
      <c r="C60" s="20" t="s">
        <v>691</v>
      </c>
      <c r="D60" s="138">
        <v>2730000</v>
      </c>
      <c r="E60" s="20" t="s">
        <v>538</v>
      </c>
      <c r="F60" s="20" t="s">
        <v>539</v>
      </c>
      <c r="G60" s="8" t="str">
        <f t="shared" si="0"/>
        <v>YANG JAN</v>
      </c>
      <c r="H60" s="20" t="str">
        <f t="shared" si="1"/>
        <v>4064</v>
      </c>
    </row>
    <row r="61" spans="1:8" x14ac:dyDescent="0.25">
      <c r="A61" s="8">
        <v>43004.320636574077</v>
      </c>
      <c r="B61" s="20" t="s">
        <v>488</v>
      </c>
      <c r="C61" s="20" t="s">
        <v>692</v>
      </c>
      <c r="D61" s="138">
        <v>3510000</v>
      </c>
      <c r="E61" s="20" t="s">
        <v>540</v>
      </c>
      <c r="F61" s="20" t="s">
        <v>541</v>
      </c>
      <c r="G61" s="8" t="str">
        <f t="shared" si="0"/>
        <v>BARRON PERLA</v>
      </c>
      <c r="H61" s="20" t="str">
        <f t="shared" si="1"/>
        <v>4025</v>
      </c>
    </row>
    <row r="62" spans="1:8" x14ac:dyDescent="0.25">
      <c r="A62" s="8">
        <v>43004.321469907409</v>
      </c>
      <c r="B62" s="20" t="s">
        <v>495</v>
      </c>
      <c r="C62" s="20" t="s">
        <v>693</v>
      </c>
      <c r="D62" s="138">
        <v>3120000</v>
      </c>
      <c r="E62" s="20" t="s">
        <v>490</v>
      </c>
      <c r="F62" s="20" t="s">
        <v>491</v>
      </c>
      <c r="G62" s="8" t="str">
        <f t="shared" si="0"/>
        <v>THOMPSON LESTER</v>
      </c>
      <c r="H62" s="20" t="str">
        <f t="shared" si="1"/>
        <v>4060</v>
      </c>
    </row>
    <row r="63" spans="1:8" x14ac:dyDescent="0.25">
      <c r="A63" s="8">
        <v>43004.331469907411</v>
      </c>
      <c r="B63" s="20" t="s">
        <v>640</v>
      </c>
      <c r="C63" s="20" t="s">
        <v>694</v>
      </c>
      <c r="D63" s="138">
        <v>2530000</v>
      </c>
      <c r="E63" s="20" t="s">
        <v>536</v>
      </c>
      <c r="F63" s="20" t="s">
        <v>537</v>
      </c>
      <c r="G63" s="8" t="str">
        <f t="shared" si="0"/>
        <v>LALONDE GREGORY</v>
      </c>
      <c r="H63" s="20" t="str">
        <f t="shared" si="1"/>
        <v>4018</v>
      </c>
    </row>
    <row r="64" spans="1:8" x14ac:dyDescent="0.25">
      <c r="A64" s="26">
        <v>43004.335717592592</v>
      </c>
      <c r="B64" s="20" t="s">
        <v>612</v>
      </c>
      <c r="C64" s="20" t="s">
        <v>695</v>
      </c>
      <c r="D64" s="138">
        <v>3300000</v>
      </c>
      <c r="E64" s="20" t="s">
        <v>696</v>
      </c>
      <c r="F64" s="20" t="s">
        <v>697</v>
      </c>
      <c r="G64" s="8" t="str">
        <f t="shared" si="0"/>
        <v>LANGERAK WILLIAM</v>
      </c>
      <c r="H64" s="20" t="str">
        <f t="shared" si="1"/>
        <v>4066</v>
      </c>
    </row>
    <row r="65" spans="1:8" x14ac:dyDescent="0.25">
      <c r="A65" s="8">
        <v>43004.336365740739</v>
      </c>
      <c r="B65" s="20" t="s">
        <v>435</v>
      </c>
      <c r="C65" s="20" t="s">
        <v>698</v>
      </c>
      <c r="D65" s="138">
        <v>2730000</v>
      </c>
      <c r="E65" s="20" t="s">
        <v>538</v>
      </c>
      <c r="F65" s="20" t="s">
        <v>539</v>
      </c>
      <c r="G65" s="8" t="str">
        <f t="shared" si="0"/>
        <v>YANG JAN</v>
      </c>
      <c r="H65" s="20" t="str">
        <f t="shared" si="1"/>
        <v>4063</v>
      </c>
    </row>
    <row r="66" spans="1:8" x14ac:dyDescent="0.25">
      <c r="A66" s="8">
        <v>43004.339386574073</v>
      </c>
      <c r="B66" s="20" t="s">
        <v>642</v>
      </c>
      <c r="C66" s="20" t="s">
        <v>699</v>
      </c>
      <c r="D66" s="138">
        <v>940000</v>
      </c>
      <c r="E66" s="20" t="s">
        <v>644</v>
      </c>
      <c r="F66" s="20" t="s">
        <v>645</v>
      </c>
      <c r="G66" s="8" t="str">
        <f t="shared" si="0"/>
        <v>BONDS REYNALDO</v>
      </c>
      <c r="H66" s="20" t="str">
        <f t="shared" si="1"/>
        <v>4045</v>
      </c>
    </row>
    <row r="67" spans="1:8" x14ac:dyDescent="0.25">
      <c r="A67" s="8">
        <v>43004.340937499997</v>
      </c>
      <c r="B67" s="20" t="s">
        <v>655</v>
      </c>
      <c r="C67" s="20" t="s">
        <v>700</v>
      </c>
      <c r="D67" s="138">
        <v>3090000</v>
      </c>
      <c r="E67" s="20" t="s">
        <v>498</v>
      </c>
      <c r="F67" s="20" t="s">
        <v>499</v>
      </c>
      <c r="G67" s="8" t="str">
        <f t="shared" ref="G67:G130" si="2">E67&amp;" "&amp;F67</f>
        <v>LAMAR NEKESHA</v>
      </c>
      <c r="H67" s="20" t="str">
        <f t="shared" ref="H67:H130" si="3">MID(B67,13,4)</f>
        <v>4054</v>
      </c>
    </row>
    <row r="68" spans="1:8" x14ac:dyDescent="0.25">
      <c r="A68" s="8">
        <v>43004.346493055556</v>
      </c>
      <c r="B68" s="20" t="s">
        <v>623</v>
      </c>
      <c r="C68" s="20" t="s">
        <v>701</v>
      </c>
      <c r="D68" s="138">
        <v>1090000</v>
      </c>
      <c r="E68" s="20" t="s">
        <v>535</v>
      </c>
      <c r="F68" s="20" t="s">
        <v>190</v>
      </c>
      <c r="G68" s="8" t="str">
        <f t="shared" si="2"/>
        <v>SPECTOR MICHAEL</v>
      </c>
      <c r="H68" s="20" t="str">
        <f t="shared" si="3"/>
        <v>4062</v>
      </c>
    </row>
    <row r="69" spans="1:8" x14ac:dyDescent="0.25">
      <c r="A69" s="8">
        <v>43004.347291666665</v>
      </c>
      <c r="B69" s="20" t="s">
        <v>623</v>
      </c>
      <c r="C69" s="20" t="s">
        <v>701</v>
      </c>
      <c r="D69" s="138">
        <v>1090000</v>
      </c>
      <c r="E69" s="20" t="s">
        <v>535</v>
      </c>
      <c r="F69" s="20" t="s">
        <v>190</v>
      </c>
      <c r="G69" s="8" t="str">
        <f t="shared" si="2"/>
        <v>SPECTOR MICHAEL</v>
      </c>
      <c r="H69" s="20" t="str">
        <f t="shared" si="3"/>
        <v>4062</v>
      </c>
    </row>
    <row r="70" spans="1:8" x14ac:dyDescent="0.25">
      <c r="A70" s="8">
        <v>43004.348900462966</v>
      </c>
      <c r="B70" s="20" t="s">
        <v>623</v>
      </c>
      <c r="C70" s="20" t="s">
        <v>701</v>
      </c>
      <c r="D70" s="138">
        <v>1090000</v>
      </c>
      <c r="E70" s="20" t="s">
        <v>535</v>
      </c>
      <c r="F70" s="20" t="s">
        <v>190</v>
      </c>
      <c r="G70" s="8" t="str">
        <f t="shared" si="2"/>
        <v>SPECTOR MICHAEL</v>
      </c>
      <c r="H70" s="20" t="str">
        <f t="shared" si="3"/>
        <v>4062</v>
      </c>
    </row>
    <row r="71" spans="1:8" x14ac:dyDescent="0.25">
      <c r="A71" s="8">
        <v>43004.351400462961</v>
      </c>
      <c r="B71" s="20" t="s">
        <v>413</v>
      </c>
      <c r="C71" s="20" t="s">
        <v>610</v>
      </c>
      <c r="D71" s="138">
        <v>2560000</v>
      </c>
      <c r="E71" s="20" t="s">
        <v>496</v>
      </c>
      <c r="F71" s="20" t="s">
        <v>497</v>
      </c>
      <c r="G71" s="8" t="str">
        <f t="shared" si="2"/>
        <v>MACDONALD THOMAS</v>
      </c>
      <c r="H71" s="20" t="str">
        <f t="shared" si="3"/>
        <v>4023</v>
      </c>
    </row>
    <row r="72" spans="1:8" x14ac:dyDescent="0.25">
      <c r="A72" s="8">
        <v>43004.352164351854</v>
      </c>
      <c r="B72" s="20" t="s">
        <v>494</v>
      </c>
      <c r="C72" s="20" t="s">
        <v>701</v>
      </c>
      <c r="D72" s="138">
        <v>1090000</v>
      </c>
      <c r="E72" s="20" t="s">
        <v>535</v>
      </c>
      <c r="F72" s="20" t="s">
        <v>190</v>
      </c>
      <c r="G72" s="8" t="str">
        <f t="shared" si="2"/>
        <v>SPECTOR MICHAEL</v>
      </c>
      <c r="H72" s="20" t="str">
        <f t="shared" si="3"/>
        <v>4061</v>
      </c>
    </row>
    <row r="73" spans="1:8" x14ac:dyDescent="0.25">
      <c r="A73" s="8">
        <v>43004.354085648149</v>
      </c>
      <c r="B73" s="20" t="s">
        <v>438</v>
      </c>
      <c r="C73" s="20" t="s">
        <v>702</v>
      </c>
      <c r="D73" s="138">
        <v>2730000</v>
      </c>
      <c r="E73" s="20" t="s">
        <v>538</v>
      </c>
      <c r="F73" s="20" t="s">
        <v>539</v>
      </c>
      <c r="G73" s="8" t="str">
        <f t="shared" si="2"/>
        <v>YANG JAN</v>
      </c>
      <c r="H73" s="20" t="str">
        <f t="shared" si="3"/>
        <v>4064</v>
      </c>
    </row>
    <row r="74" spans="1:8" x14ac:dyDescent="0.25">
      <c r="A74" s="8">
        <v>43004.354351851849</v>
      </c>
      <c r="B74" s="20" t="s">
        <v>638</v>
      </c>
      <c r="C74" s="20" t="s">
        <v>703</v>
      </c>
      <c r="D74" s="138">
        <v>1830000</v>
      </c>
      <c r="E74" s="20" t="s">
        <v>405</v>
      </c>
      <c r="F74" s="20" t="s">
        <v>406</v>
      </c>
      <c r="G74" s="8" t="str">
        <f t="shared" si="2"/>
        <v>YORK EDGAR</v>
      </c>
      <c r="H74" s="20" t="str">
        <f t="shared" si="3"/>
        <v>4056</v>
      </c>
    </row>
    <row r="75" spans="1:8" x14ac:dyDescent="0.25">
      <c r="A75" s="8">
        <v>43004.354548611111</v>
      </c>
      <c r="B75" s="20" t="s">
        <v>606</v>
      </c>
      <c r="C75" s="20" t="s">
        <v>704</v>
      </c>
      <c r="D75" s="138">
        <v>3300000</v>
      </c>
      <c r="E75" s="20" t="s">
        <v>696</v>
      </c>
      <c r="F75" s="20" t="s">
        <v>697</v>
      </c>
      <c r="G75" s="8" t="str">
        <f t="shared" si="2"/>
        <v>LANGERAK WILLIAM</v>
      </c>
      <c r="H75" s="20" t="str">
        <f t="shared" si="3"/>
        <v>4065</v>
      </c>
    </row>
    <row r="76" spans="1:8" x14ac:dyDescent="0.25">
      <c r="A76" s="8">
        <v>43004.356585648151</v>
      </c>
      <c r="B76" s="20" t="s">
        <v>623</v>
      </c>
      <c r="C76" s="20" t="s">
        <v>705</v>
      </c>
      <c r="D76" s="138">
        <v>1090000</v>
      </c>
      <c r="E76" s="20" t="s">
        <v>535</v>
      </c>
      <c r="F76" s="20" t="s">
        <v>190</v>
      </c>
      <c r="G76" s="8" t="str">
        <f t="shared" si="2"/>
        <v>SPECTOR MICHAEL</v>
      </c>
      <c r="H76" s="20" t="str">
        <f t="shared" si="3"/>
        <v>4062</v>
      </c>
    </row>
    <row r="77" spans="1:8" x14ac:dyDescent="0.25">
      <c r="A77" s="8">
        <v>43004.359664351854</v>
      </c>
      <c r="B77" s="20" t="s">
        <v>606</v>
      </c>
      <c r="C77" s="20" t="s">
        <v>704</v>
      </c>
      <c r="D77" s="138">
        <v>3300000</v>
      </c>
      <c r="E77" s="20" t="s">
        <v>696</v>
      </c>
      <c r="F77" s="20" t="s">
        <v>697</v>
      </c>
      <c r="G77" s="8" t="str">
        <f t="shared" si="2"/>
        <v>LANGERAK WILLIAM</v>
      </c>
      <c r="H77" s="20" t="str">
        <f t="shared" si="3"/>
        <v>4065</v>
      </c>
    </row>
    <row r="78" spans="1:8" x14ac:dyDescent="0.25">
      <c r="A78" s="8">
        <v>43004.361087962963</v>
      </c>
      <c r="B78" s="20" t="s">
        <v>493</v>
      </c>
      <c r="C78" s="20" t="s">
        <v>706</v>
      </c>
      <c r="D78" s="138">
        <v>3120000</v>
      </c>
      <c r="E78" s="20" t="s">
        <v>490</v>
      </c>
      <c r="F78" s="20" t="s">
        <v>491</v>
      </c>
      <c r="G78" s="8" t="str">
        <f t="shared" si="2"/>
        <v>THOMPSON LESTER</v>
      </c>
      <c r="H78" s="20" t="str">
        <f t="shared" si="3"/>
        <v>4059</v>
      </c>
    </row>
    <row r="79" spans="1:8" x14ac:dyDescent="0.25">
      <c r="A79" s="8">
        <v>43004.368692129632</v>
      </c>
      <c r="B79" s="20" t="s">
        <v>424</v>
      </c>
      <c r="C79" s="20" t="s">
        <v>707</v>
      </c>
      <c r="D79" s="138">
        <v>2530000</v>
      </c>
      <c r="E79" s="20" t="s">
        <v>536</v>
      </c>
      <c r="F79" s="20" t="s">
        <v>537</v>
      </c>
      <c r="G79" s="8" t="str">
        <f t="shared" si="2"/>
        <v>LALONDE GREGORY</v>
      </c>
      <c r="H79" s="20" t="str">
        <f t="shared" si="3"/>
        <v>4017</v>
      </c>
    </row>
    <row r="80" spans="1:8" x14ac:dyDescent="0.25">
      <c r="A80" s="8">
        <v>43004.374942129631</v>
      </c>
      <c r="B80" s="20" t="s">
        <v>489</v>
      </c>
      <c r="C80" s="20" t="s">
        <v>611</v>
      </c>
      <c r="D80" s="138">
        <v>3510000</v>
      </c>
      <c r="E80" s="20" t="s">
        <v>540</v>
      </c>
      <c r="F80" s="20" t="s">
        <v>541</v>
      </c>
      <c r="G80" s="8" t="str">
        <f t="shared" si="2"/>
        <v>BARRON PERLA</v>
      </c>
      <c r="H80" s="20" t="str">
        <f t="shared" si="3"/>
        <v>4026</v>
      </c>
    </row>
    <row r="81" spans="1:8" x14ac:dyDescent="0.25">
      <c r="A81" s="8">
        <v>43004.376944444448</v>
      </c>
      <c r="B81" s="20" t="s">
        <v>612</v>
      </c>
      <c r="C81" s="20" t="s">
        <v>613</v>
      </c>
      <c r="D81" s="138">
        <v>3300000</v>
      </c>
      <c r="E81" s="20" t="s">
        <v>696</v>
      </c>
      <c r="F81" s="20" t="s">
        <v>697</v>
      </c>
      <c r="G81" s="8" t="str">
        <f t="shared" si="2"/>
        <v>LANGERAK WILLIAM</v>
      </c>
      <c r="H81" s="20" t="str">
        <f t="shared" si="3"/>
        <v>4066</v>
      </c>
    </row>
    <row r="82" spans="1:8" x14ac:dyDescent="0.25">
      <c r="A82" s="8">
        <v>43004.380613425928</v>
      </c>
      <c r="B82" s="20" t="s">
        <v>616</v>
      </c>
      <c r="C82" s="20" t="s">
        <v>708</v>
      </c>
      <c r="D82" s="138">
        <v>3090000</v>
      </c>
      <c r="E82" s="20" t="s">
        <v>498</v>
      </c>
      <c r="F82" s="20" t="s">
        <v>499</v>
      </c>
      <c r="G82" s="8" t="str">
        <f t="shared" si="2"/>
        <v>LAMAR NEKESHA</v>
      </c>
      <c r="H82" s="20" t="str">
        <f t="shared" si="3"/>
        <v>4053</v>
      </c>
    </row>
    <row r="83" spans="1:8" x14ac:dyDescent="0.25">
      <c r="A83" s="8">
        <v>43004.381145833337</v>
      </c>
      <c r="B83" s="20" t="s">
        <v>492</v>
      </c>
      <c r="C83" s="20" t="s">
        <v>709</v>
      </c>
      <c r="D83" s="138">
        <v>940000</v>
      </c>
      <c r="E83" s="20" t="s">
        <v>644</v>
      </c>
      <c r="F83" s="20" t="s">
        <v>645</v>
      </c>
      <c r="G83" s="8" t="str">
        <f t="shared" si="2"/>
        <v>BONDS REYNALDO</v>
      </c>
      <c r="H83" s="20" t="str">
        <f t="shared" si="3"/>
        <v>4046</v>
      </c>
    </row>
    <row r="84" spans="1:8" x14ac:dyDescent="0.25">
      <c r="A84" s="8">
        <v>43004.382835648146</v>
      </c>
      <c r="B84" s="20" t="s">
        <v>647</v>
      </c>
      <c r="C84" s="20" t="s">
        <v>710</v>
      </c>
      <c r="D84" s="138">
        <v>1830000</v>
      </c>
      <c r="E84" s="20" t="s">
        <v>405</v>
      </c>
      <c r="F84" s="20" t="s">
        <v>406</v>
      </c>
      <c r="G84" s="8" t="str">
        <f t="shared" si="2"/>
        <v>YORK EDGAR</v>
      </c>
      <c r="H84" s="20" t="str">
        <f t="shared" si="3"/>
        <v>4055</v>
      </c>
    </row>
    <row r="85" spans="1:8" x14ac:dyDescent="0.25">
      <c r="A85" s="8">
        <v>43004.394814814812</v>
      </c>
      <c r="B85" s="20" t="s">
        <v>606</v>
      </c>
      <c r="C85" s="20" t="s">
        <v>711</v>
      </c>
      <c r="D85" s="138">
        <v>3300000</v>
      </c>
      <c r="E85" s="20" t="s">
        <v>696</v>
      </c>
      <c r="F85" s="20" t="s">
        <v>697</v>
      </c>
      <c r="G85" s="8" t="str">
        <f t="shared" si="2"/>
        <v>LANGERAK WILLIAM</v>
      </c>
      <c r="H85" s="20" t="str">
        <f t="shared" si="3"/>
        <v>4065</v>
      </c>
    </row>
    <row r="86" spans="1:8" x14ac:dyDescent="0.25">
      <c r="A86" s="8">
        <v>43004.395879629628</v>
      </c>
      <c r="B86" s="20" t="s">
        <v>495</v>
      </c>
      <c r="C86" s="20" t="s">
        <v>712</v>
      </c>
      <c r="D86" s="138">
        <v>3120000</v>
      </c>
      <c r="E86" s="20" t="s">
        <v>490</v>
      </c>
      <c r="F86" s="20" t="s">
        <v>491</v>
      </c>
      <c r="G86" s="8" t="str">
        <f t="shared" si="2"/>
        <v>THOMPSON LESTER</v>
      </c>
      <c r="H86" s="20" t="str">
        <f t="shared" si="3"/>
        <v>4060</v>
      </c>
    </row>
    <row r="87" spans="1:8" x14ac:dyDescent="0.25">
      <c r="A87" s="8">
        <v>43004.396365740744</v>
      </c>
      <c r="B87" s="20" t="s">
        <v>494</v>
      </c>
      <c r="C87" s="20" t="s">
        <v>713</v>
      </c>
      <c r="D87" s="138">
        <v>1090000</v>
      </c>
      <c r="E87" s="20" t="s">
        <v>535</v>
      </c>
      <c r="F87" s="20" t="s">
        <v>190</v>
      </c>
      <c r="G87" s="8" t="str">
        <f t="shared" si="2"/>
        <v>SPECTOR MICHAEL</v>
      </c>
      <c r="H87" s="20" t="str">
        <f t="shared" si="3"/>
        <v>4061</v>
      </c>
    </row>
    <row r="88" spans="1:8" x14ac:dyDescent="0.25">
      <c r="A88" s="8">
        <v>43004.403865740744</v>
      </c>
      <c r="B88" s="20" t="s">
        <v>640</v>
      </c>
      <c r="C88" s="20" t="s">
        <v>714</v>
      </c>
      <c r="D88" s="138">
        <v>2530000</v>
      </c>
      <c r="E88" s="20" t="s">
        <v>536</v>
      </c>
      <c r="F88" s="20" t="s">
        <v>537</v>
      </c>
      <c r="G88" s="8" t="str">
        <f t="shared" si="2"/>
        <v>LALONDE GREGORY</v>
      </c>
      <c r="H88" s="20" t="str">
        <f t="shared" si="3"/>
        <v>4018</v>
      </c>
    </row>
    <row r="89" spans="1:8" x14ac:dyDescent="0.25">
      <c r="A89" s="8">
        <v>43004.412141203706</v>
      </c>
      <c r="B89" s="20" t="s">
        <v>488</v>
      </c>
      <c r="C89" s="20" t="s">
        <v>715</v>
      </c>
      <c r="D89" s="138">
        <v>3510000</v>
      </c>
      <c r="E89" s="20" t="s">
        <v>540</v>
      </c>
      <c r="F89" s="20" t="s">
        <v>541</v>
      </c>
      <c r="G89" s="8" t="str">
        <f t="shared" si="2"/>
        <v>BARRON PERLA</v>
      </c>
      <c r="H89" s="20" t="str">
        <f t="shared" si="3"/>
        <v>4025</v>
      </c>
    </row>
    <row r="90" spans="1:8" x14ac:dyDescent="0.25">
      <c r="A90" s="8">
        <v>43004.41605324074</v>
      </c>
      <c r="B90" s="20" t="s">
        <v>655</v>
      </c>
      <c r="C90" s="20" t="s">
        <v>716</v>
      </c>
      <c r="D90" s="138">
        <v>3090000</v>
      </c>
      <c r="E90" s="20" t="s">
        <v>498</v>
      </c>
      <c r="F90" s="20" t="s">
        <v>499</v>
      </c>
      <c r="G90" s="8" t="str">
        <f t="shared" si="2"/>
        <v>LAMAR NEKESHA</v>
      </c>
      <c r="H90" s="20" t="str">
        <f t="shared" si="3"/>
        <v>4054</v>
      </c>
    </row>
    <row r="91" spans="1:8" x14ac:dyDescent="0.25">
      <c r="A91" s="8">
        <v>43004.420277777775</v>
      </c>
      <c r="B91" s="20" t="s">
        <v>612</v>
      </c>
      <c r="C91" s="20" t="s">
        <v>717</v>
      </c>
      <c r="D91" s="138">
        <v>3300000</v>
      </c>
      <c r="E91" s="20" t="s">
        <v>696</v>
      </c>
      <c r="F91" s="20" t="s">
        <v>697</v>
      </c>
      <c r="G91" s="8" t="str">
        <f t="shared" si="2"/>
        <v>LANGERAK WILLIAM</v>
      </c>
      <c r="H91" s="20" t="str">
        <f t="shared" si="3"/>
        <v>4066</v>
      </c>
    </row>
    <row r="92" spans="1:8" x14ac:dyDescent="0.25">
      <c r="A92" s="8">
        <v>43004.421006944445</v>
      </c>
      <c r="B92" s="20" t="s">
        <v>642</v>
      </c>
      <c r="C92" s="20" t="s">
        <v>718</v>
      </c>
      <c r="D92" s="138">
        <v>940000</v>
      </c>
      <c r="E92" s="20" t="s">
        <v>644</v>
      </c>
      <c r="F92" s="20" t="s">
        <v>645</v>
      </c>
      <c r="G92" s="8" t="str">
        <f t="shared" si="2"/>
        <v>BONDS REYNALDO</v>
      </c>
      <c r="H92" s="20" t="str">
        <f t="shared" si="3"/>
        <v>4045</v>
      </c>
    </row>
    <row r="93" spans="1:8" x14ac:dyDescent="0.25">
      <c r="A93" s="8">
        <v>43004.423171296294</v>
      </c>
      <c r="B93" s="20" t="s">
        <v>638</v>
      </c>
      <c r="C93" s="20" t="s">
        <v>719</v>
      </c>
      <c r="D93" s="138">
        <v>2730000</v>
      </c>
      <c r="E93" s="20" t="s">
        <v>538</v>
      </c>
      <c r="F93" s="20" t="s">
        <v>539</v>
      </c>
      <c r="G93" s="8" t="str">
        <f t="shared" si="2"/>
        <v>YANG JAN</v>
      </c>
      <c r="H93" s="20" t="str">
        <f t="shared" si="3"/>
        <v>4056</v>
      </c>
    </row>
    <row r="94" spans="1:8" x14ac:dyDescent="0.25">
      <c r="A94" s="8">
        <v>43004.431759259256</v>
      </c>
      <c r="B94" s="20" t="s">
        <v>424</v>
      </c>
      <c r="C94" s="20" t="s">
        <v>614</v>
      </c>
      <c r="D94" s="138">
        <v>2530000</v>
      </c>
      <c r="E94" s="20" t="s">
        <v>536</v>
      </c>
      <c r="F94" s="20" t="s">
        <v>537</v>
      </c>
      <c r="G94" s="8" t="str">
        <f t="shared" si="2"/>
        <v>LALONDE GREGORY</v>
      </c>
      <c r="H94" s="20" t="str">
        <f t="shared" si="3"/>
        <v>4017</v>
      </c>
    </row>
    <row r="95" spans="1:8" x14ac:dyDescent="0.25">
      <c r="A95" s="8">
        <v>43004.433842592596</v>
      </c>
      <c r="B95" s="20" t="s">
        <v>493</v>
      </c>
      <c r="C95" s="20" t="s">
        <v>720</v>
      </c>
      <c r="D95" s="138">
        <v>3120000</v>
      </c>
      <c r="E95" s="20" t="s">
        <v>490</v>
      </c>
      <c r="F95" s="20" t="s">
        <v>491</v>
      </c>
      <c r="G95" s="8" t="str">
        <f t="shared" si="2"/>
        <v>THOMPSON LESTER</v>
      </c>
      <c r="H95" s="20" t="str">
        <f t="shared" si="3"/>
        <v>4059</v>
      </c>
    </row>
    <row r="96" spans="1:8" x14ac:dyDescent="0.25">
      <c r="A96" s="8">
        <v>43004.434120370373</v>
      </c>
      <c r="B96" s="20" t="s">
        <v>623</v>
      </c>
      <c r="C96" s="20" t="s">
        <v>721</v>
      </c>
      <c r="D96" s="138">
        <v>2470000</v>
      </c>
      <c r="E96" s="20" t="s">
        <v>542</v>
      </c>
      <c r="F96" s="20" t="s">
        <v>543</v>
      </c>
      <c r="G96" s="8" t="str">
        <f t="shared" si="2"/>
        <v>ROMERO CHAD</v>
      </c>
      <c r="H96" s="20" t="str">
        <f t="shared" si="3"/>
        <v>4062</v>
      </c>
    </row>
    <row r="97" spans="1:8" x14ac:dyDescent="0.25">
      <c r="A97" s="8">
        <v>43004.436215277776</v>
      </c>
      <c r="B97" s="20" t="s">
        <v>606</v>
      </c>
      <c r="C97" s="20" t="s">
        <v>722</v>
      </c>
      <c r="D97" s="138">
        <v>3300000</v>
      </c>
      <c r="E97" s="20" t="s">
        <v>696</v>
      </c>
      <c r="F97" s="20" t="s">
        <v>697</v>
      </c>
      <c r="G97" s="8" t="str">
        <f t="shared" si="2"/>
        <v>LANGERAK WILLIAM</v>
      </c>
      <c r="H97" s="20" t="str">
        <f t="shared" si="3"/>
        <v>4065</v>
      </c>
    </row>
    <row r="98" spans="1:8" x14ac:dyDescent="0.25">
      <c r="A98" s="8">
        <v>43004.446805555555</v>
      </c>
      <c r="B98" s="20" t="s">
        <v>489</v>
      </c>
      <c r="C98" s="20" t="s">
        <v>723</v>
      </c>
      <c r="D98" s="138">
        <v>920000</v>
      </c>
      <c r="E98" s="20" t="s">
        <v>344</v>
      </c>
      <c r="F98" s="20" t="s">
        <v>190</v>
      </c>
      <c r="G98" s="8" t="str">
        <f t="shared" si="2"/>
        <v>DAVIS MICHAEL</v>
      </c>
      <c r="H98" s="20" t="str">
        <f t="shared" si="3"/>
        <v>4026</v>
      </c>
    </row>
    <row r="99" spans="1:8" x14ac:dyDescent="0.25">
      <c r="A99" s="8">
        <v>43004.454328703701</v>
      </c>
      <c r="B99" s="20" t="s">
        <v>492</v>
      </c>
      <c r="C99" s="20" t="s">
        <v>724</v>
      </c>
      <c r="D99" s="138">
        <v>2560000</v>
      </c>
      <c r="E99" s="20" t="s">
        <v>496</v>
      </c>
      <c r="F99" s="20" t="s">
        <v>497</v>
      </c>
      <c r="G99" s="8" t="str">
        <f t="shared" si="2"/>
        <v>MACDONALD THOMAS</v>
      </c>
      <c r="H99" s="20" t="str">
        <f t="shared" si="3"/>
        <v>4046</v>
      </c>
    </row>
    <row r="100" spans="1:8" x14ac:dyDescent="0.25">
      <c r="A100" s="8">
        <v>43004.454699074071</v>
      </c>
      <c r="B100" s="20" t="s">
        <v>616</v>
      </c>
      <c r="C100" s="20" t="s">
        <v>725</v>
      </c>
      <c r="D100" s="138">
        <v>3090000</v>
      </c>
      <c r="E100" s="20" t="s">
        <v>498</v>
      </c>
      <c r="F100" s="20" t="s">
        <v>499</v>
      </c>
      <c r="G100" s="8" t="str">
        <f t="shared" si="2"/>
        <v>LAMAR NEKESHA</v>
      </c>
      <c r="H100" s="20" t="str">
        <f t="shared" si="3"/>
        <v>4053</v>
      </c>
    </row>
    <row r="101" spans="1:8" x14ac:dyDescent="0.25">
      <c r="A101" s="8">
        <v>43004.45753472222</v>
      </c>
      <c r="B101" s="20" t="s">
        <v>612</v>
      </c>
      <c r="C101" s="20" t="s">
        <v>726</v>
      </c>
      <c r="D101" s="138">
        <v>3510000</v>
      </c>
      <c r="E101" s="20" t="s">
        <v>540</v>
      </c>
      <c r="F101" s="20" t="s">
        <v>541</v>
      </c>
      <c r="G101" s="8" t="str">
        <f t="shared" si="2"/>
        <v>BARRON PERLA</v>
      </c>
      <c r="H101" s="20" t="str">
        <f t="shared" si="3"/>
        <v>4066</v>
      </c>
    </row>
    <row r="102" spans="1:8" x14ac:dyDescent="0.25">
      <c r="A102" s="8">
        <v>43004.461006944446</v>
      </c>
      <c r="B102" s="20" t="s">
        <v>647</v>
      </c>
      <c r="C102" s="20" t="s">
        <v>727</v>
      </c>
      <c r="D102" s="138">
        <v>2730000</v>
      </c>
      <c r="E102" s="20" t="s">
        <v>538</v>
      </c>
      <c r="F102" s="20" t="s">
        <v>539</v>
      </c>
      <c r="G102" s="8" t="str">
        <f t="shared" si="2"/>
        <v>YANG JAN</v>
      </c>
      <c r="H102" s="20" t="str">
        <f t="shared" si="3"/>
        <v>4055</v>
      </c>
    </row>
    <row r="103" spans="1:8" x14ac:dyDescent="0.25">
      <c r="A103" s="8">
        <v>43004.463923611111</v>
      </c>
      <c r="B103" s="20" t="s">
        <v>494</v>
      </c>
      <c r="C103" s="20" t="s">
        <v>728</v>
      </c>
      <c r="D103" s="138">
        <v>2470000</v>
      </c>
      <c r="E103" s="20" t="s">
        <v>542</v>
      </c>
      <c r="F103" s="20" t="s">
        <v>543</v>
      </c>
      <c r="G103" s="8" t="str">
        <f t="shared" si="2"/>
        <v>ROMERO CHAD</v>
      </c>
      <c r="H103" s="20" t="str">
        <f t="shared" si="3"/>
        <v>4061</v>
      </c>
    </row>
    <row r="104" spans="1:8" x14ac:dyDescent="0.25">
      <c r="A104" s="8">
        <v>43004.465324074074</v>
      </c>
      <c r="B104" s="20" t="s">
        <v>495</v>
      </c>
      <c r="C104" s="20" t="s">
        <v>615</v>
      </c>
      <c r="D104" s="138">
        <v>1810000</v>
      </c>
      <c r="E104" s="20" t="s">
        <v>729</v>
      </c>
      <c r="F104" s="20" t="s">
        <v>372</v>
      </c>
      <c r="G104" s="8" t="str">
        <f t="shared" si="2"/>
        <v>NEWELL JAMES</v>
      </c>
      <c r="H104" s="20" t="str">
        <f t="shared" si="3"/>
        <v>4060</v>
      </c>
    </row>
    <row r="105" spans="1:8" x14ac:dyDescent="0.25">
      <c r="A105" s="8">
        <v>43004.475266203706</v>
      </c>
      <c r="B105" s="20" t="s">
        <v>640</v>
      </c>
      <c r="C105" s="20" t="s">
        <v>730</v>
      </c>
      <c r="D105" s="138">
        <v>2150000</v>
      </c>
      <c r="E105" s="20" t="s">
        <v>548</v>
      </c>
      <c r="F105" s="20" t="s">
        <v>549</v>
      </c>
      <c r="G105" s="8" t="str">
        <f t="shared" si="2"/>
        <v>SWANSON BRYCE</v>
      </c>
      <c r="H105" s="20" t="str">
        <f t="shared" si="3"/>
        <v>4018</v>
      </c>
    </row>
    <row r="106" spans="1:8" x14ac:dyDescent="0.25">
      <c r="A106" s="8">
        <v>43004.477175925924</v>
      </c>
      <c r="B106" s="20" t="s">
        <v>606</v>
      </c>
      <c r="C106" s="20" t="s">
        <v>731</v>
      </c>
      <c r="D106" s="138">
        <v>3510000</v>
      </c>
      <c r="E106" s="20" t="s">
        <v>540</v>
      </c>
      <c r="F106" s="20" t="s">
        <v>541</v>
      </c>
      <c r="G106" s="8" t="str">
        <f t="shared" si="2"/>
        <v>BARRON PERLA</v>
      </c>
      <c r="H106" s="20" t="str">
        <f t="shared" si="3"/>
        <v>4065</v>
      </c>
    </row>
    <row r="107" spans="1:8" x14ac:dyDescent="0.25">
      <c r="A107" s="8">
        <v>43004.478252314817</v>
      </c>
      <c r="B107" s="20" t="s">
        <v>389</v>
      </c>
      <c r="C107" s="20" t="s">
        <v>732</v>
      </c>
      <c r="D107" s="138">
        <v>1180000</v>
      </c>
      <c r="E107" s="20" t="s">
        <v>544</v>
      </c>
      <c r="F107" s="20" t="s">
        <v>545</v>
      </c>
      <c r="G107" s="8" t="str">
        <f t="shared" si="2"/>
        <v>LEVERE CRAIG</v>
      </c>
      <c r="H107" s="20" t="str">
        <f t="shared" si="3"/>
        <v>4029</v>
      </c>
    </row>
    <row r="108" spans="1:8" x14ac:dyDescent="0.25">
      <c r="A108" s="8">
        <v>43004.484872685185</v>
      </c>
      <c r="B108" s="20" t="s">
        <v>655</v>
      </c>
      <c r="C108" s="20" t="s">
        <v>733</v>
      </c>
      <c r="D108" s="138">
        <v>1300000</v>
      </c>
      <c r="E108" s="20" t="s">
        <v>546</v>
      </c>
      <c r="F108" s="20" t="s">
        <v>547</v>
      </c>
      <c r="G108" s="8" t="str">
        <f t="shared" si="2"/>
        <v>LEVIN SCOTT</v>
      </c>
      <c r="H108" s="20" t="str">
        <f t="shared" si="3"/>
        <v>4054</v>
      </c>
    </row>
    <row r="109" spans="1:8" x14ac:dyDescent="0.25">
      <c r="A109" s="8">
        <v>43004.485775462963</v>
      </c>
      <c r="B109" s="20" t="s">
        <v>488</v>
      </c>
      <c r="C109" s="20" t="s">
        <v>734</v>
      </c>
      <c r="D109" s="138">
        <v>920000</v>
      </c>
      <c r="E109" s="20" t="s">
        <v>344</v>
      </c>
      <c r="F109" s="20" t="s">
        <v>190</v>
      </c>
      <c r="G109" s="8" t="str">
        <f t="shared" si="2"/>
        <v>DAVIS MICHAEL</v>
      </c>
      <c r="H109" s="20" t="str">
        <f t="shared" si="3"/>
        <v>4025</v>
      </c>
    </row>
    <row r="110" spans="1:8" x14ac:dyDescent="0.25">
      <c r="A110" s="8">
        <v>43004.496620370373</v>
      </c>
      <c r="B110" s="20" t="s">
        <v>638</v>
      </c>
      <c r="C110" s="20" t="s">
        <v>735</v>
      </c>
      <c r="D110" s="138">
        <v>1180000</v>
      </c>
      <c r="E110" s="20" t="s">
        <v>544</v>
      </c>
      <c r="F110" s="20" t="s">
        <v>545</v>
      </c>
      <c r="G110" s="8" t="str">
        <f t="shared" si="2"/>
        <v>LEVERE CRAIG</v>
      </c>
      <c r="H110" s="20" t="str">
        <f t="shared" si="3"/>
        <v>4056</v>
      </c>
    </row>
    <row r="111" spans="1:8" x14ac:dyDescent="0.25">
      <c r="A111" s="8">
        <v>43004.497337962966</v>
      </c>
      <c r="B111" s="20" t="s">
        <v>642</v>
      </c>
      <c r="C111" s="20" t="s">
        <v>736</v>
      </c>
      <c r="D111" s="138">
        <v>2560000</v>
      </c>
      <c r="E111" s="20" t="s">
        <v>496</v>
      </c>
      <c r="F111" s="20" t="s">
        <v>497</v>
      </c>
      <c r="G111" s="8" t="str">
        <f t="shared" si="2"/>
        <v>MACDONALD THOMAS</v>
      </c>
      <c r="H111" s="20" t="str">
        <f t="shared" si="3"/>
        <v>4045</v>
      </c>
    </row>
    <row r="112" spans="1:8" x14ac:dyDescent="0.25">
      <c r="A112" s="8">
        <v>43004.498599537037</v>
      </c>
      <c r="B112" s="20" t="s">
        <v>368</v>
      </c>
      <c r="C112" s="20" t="s">
        <v>737</v>
      </c>
      <c r="D112" s="138">
        <v>2730000</v>
      </c>
      <c r="E112" s="20" t="s">
        <v>538</v>
      </c>
      <c r="F112" s="20" t="s">
        <v>539</v>
      </c>
      <c r="G112" s="8" t="str">
        <f t="shared" si="2"/>
        <v>YANG JAN</v>
      </c>
      <c r="H112" s="20" t="str">
        <f t="shared" si="3"/>
        <v>4030</v>
      </c>
    </row>
    <row r="113" spans="1:8" x14ac:dyDescent="0.25">
      <c r="A113" s="8">
        <v>43004.501226851855</v>
      </c>
      <c r="B113" s="20" t="s">
        <v>493</v>
      </c>
      <c r="C113" s="20" t="s">
        <v>738</v>
      </c>
      <c r="D113" s="138">
        <v>1810000</v>
      </c>
      <c r="E113" s="20" t="s">
        <v>729</v>
      </c>
      <c r="F113" s="20" t="s">
        <v>372</v>
      </c>
      <c r="G113" s="8" t="str">
        <f t="shared" si="2"/>
        <v>NEWELL JAMES</v>
      </c>
      <c r="H113" s="20" t="str">
        <f t="shared" si="3"/>
        <v>4059</v>
      </c>
    </row>
    <row r="114" spans="1:8" x14ac:dyDescent="0.25">
      <c r="A114" s="8">
        <v>43004.502685185187</v>
      </c>
      <c r="B114" s="20" t="s">
        <v>612</v>
      </c>
      <c r="C114" s="20" t="s">
        <v>739</v>
      </c>
      <c r="D114" s="138">
        <v>1780000</v>
      </c>
      <c r="E114" s="20" t="s">
        <v>740</v>
      </c>
      <c r="F114" s="20" t="s">
        <v>741</v>
      </c>
      <c r="G114" s="8" t="str">
        <f t="shared" si="2"/>
        <v>DE LA ROSA ALEX</v>
      </c>
      <c r="H114" s="20" t="str">
        <f t="shared" si="3"/>
        <v>4066</v>
      </c>
    </row>
    <row r="115" spans="1:8" x14ac:dyDescent="0.25">
      <c r="A115" s="8">
        <v>43004.506053240744</v>
      </c>
      <c r="B115" s="20" t="s">
        <v>623</v>
      </c>
      <c r="C115" s="20" t="s">
        <v>742</v>
      </c>
      <c r="D115" s="138">
        <v>2630000</v>
      </c>
      <c r="E115" s="20" t="s">
        <v>500</v>
      </c>
      <c r="F115" s="20" t="s">
        <v>501</v>
      </c>
      <c r="G115" s="8" t="str">
        <f t="shared" si="2"/>
        <v>SAFIEF AEIMEN</v>
      </c>
      <c r="H115" s="20" t="str">
        <f t="shared" si="3"/>
        <v>4062</v>
      </c>
    </row>
    <row r="116" spans="1:8" x14ac:dyDescent="0.25">
      <c r="A116" s="8">
        <v>43004.509340277778</v>
      </c>
      <c r="B116" s="20" t="s">
        <v>424</v>
      </c>
      <c r="C116" s="20" t="s">
        <v>743</v>
      </c>
      <c r="D116" s="138">
        <v>2150000</v>
      </c>
      <c r="E116" s="20" t="s">
        <v>548</v>
      </c>
      <c r="F116" s="20" t="s">
        <v>549</v>
      </c>
      <c r="G116" s="8" t="str">
        <f t="shared" si="2"/>
        <v>SWANSON BRYCE</v>
      </c>
      <c r="H116" s="20" t="str">
        <f t="shared" si="3"/>
        <v>4017</v>
      </c>
    </row>
    <row r="117" spans="1:8" x14ac:dyDescent="0.25">
      <c r="A117" s="8">
        <v>43004.519282407404</v>
      </c>
      <c r="B117" s="20" t="s">
        <v>489</v>
      </c>
      <c r="C117" s="20" t="s">
        <v>744</v>
      </c>
      <c r="D117" s="138">
        <v>920000</v>
      </c>
      <c r="E117" s="20" t="s">
        <v>344</v>
      </c>
      <c r="F117" s="20" t="s">
        <v>190</v>
      </c>
      <c r="G117" s="8" t="str">
        <f t="shared" si="2"/>
        <v>DAVIS MICHAEL</v>
      </c>
      <c r="H117" s="20" t="str">
        <f t="shared" si="3"/>
        <v>4026</v>
      </c>
    </row>
    <row r="118" spans="1:8" x14ac:dyDescent="0.25">
      <c r="A118" s="8">
        <v>43004.522743055553</v>
      </c>
      <c r="B118" s="20" t="s">
        <v>616</v>
      </c>
      <c r="C118" s="20" t="s">
        <v>617</v>
      </c>
      <c r="D118" s="138">
        <v>1300000</v>
      </c>
      <c r="E118" s="20" t="s">
        <v>546</v>
      </c>
      <c r="F118" s="20" t="s">
        <v>547</v>
      </c>
      <c r="G118" s="8" t="str">
        <f t="shared" si="2"/>
        <v>LEVIN SCOTT</v>
      </c>
      <c r="H118" s="20" t="str">
        <f t="shared" si="3"/>
        <v>4053</v>
      </c>
    </row>
    <row r="119" spans="1:8" x14ac:dyDescent="0.25">
      <c r="A119" s="8">
        <v>43004.523969907408</v>
      </c>
      <c r="B119" s="20" t="s">
        <v>606</v>
      </c>
      <c r="C119" s="20" t="s">
        <v>745</v>
      </c>
      <c r="D119" s="138">
        <v>1780000</v>
      </c>
      <c r="E119" s="20" t="s">
        <v>740</v>
      </c>
      <c r="F119" s="20" t="s">
        <v>741</v>
      </c>
      <c r="G119" s="8" t="str">
        <f t="shared" si="2"/>
        <v>DE LA ROSA ALEX</v>
      </c>
      <c r="H119" s="20" t="str">
        <f t="shared" si="3"/>
        <v>4065</v>
      </c>
    </row>
    <row r="120" spans="1:8" x14ac:dyDescent="0.25">
      <c r="A120" s="8">
        <v>43004.528831018521</v>
      </c>
      <c r="B120" s="20" t="s">
        <v>492</v>
      </c>
      <c r="C120" s="20" t="s">
        <v>746</v>
      </c>
      <c r="D120" s="138">
        <v>2230000</v>
      </c>
      <c r="E120" s="20" t="s">
        <v>504</v>
      </c>
      <c r="F120" s="20" t="s">
        <v>190</v>
      </c>
      <c r="G120" s="8" t="str">
        <f t="shared" si="2"/>
        <v>SMITH MICHAEL</v>
      </c>
      <c r="H120" s="20" t="str">
        <f t="shared" si="3"/>
        <v>4046</v>
      </c>
    </row>
    <row r="121" spans="1:8" x14ac:dyDescent="0.25">
      <c r="A121" s="8">
        <v>43004.533113425925</v>
      </c>
      <c r="B121" s="20" t="s">
        <v>647</v>
      </c>
      <c r="C121" s="20" t="s">
        <v>747</v>
      </c>
      <c r="D121" s="138">
        <v>1180000</v>
      </c>
      <c r="E121" s="20" t="s">
        <v>544</v>
      </c>
      <c r="F121" s="20" t="s">
        <v>545</v>
      </c>
      <c r="G121" s="8" t="str">
        <f t="shared" si="2"/>
        <v>LEVERE CRAIG</v>
      </c>
      <c r="H121" s="20" t="str">
        <f t="shared" si="3"/>
        <v>4055</v>
      </c>
    </row>
    <row r="122" spans="1:8" x14ac:dyDescent="0.25">
      <c r="A122" s="8">
        <v>43004.535613425927</v>
      </c>
      <c r="B122" s="25" t="s">
        <v>495</v>
      </c>
      <c r="C122" s="20" t="s">
        <v>748</v>
      </c>
      <c r="D122" s="138">
        <v>1810000</v>
      </c>
      <c r="E122" s="20" t="s">
        <v>729</v>
      </c>
      <c r="F122" s="20" t="s">
        <v>372</v>
      </c>
      <c r="G122" s="8" t="str">
        <f t="shared" si="2"/>
        <v>NEWELL JAMES</v>
      </c>
      <c r="H122" s="20" t="str">
        <f t="shared" si="3"/>
        <v>4060</v>
      </c>
    </row>
    <row r="123" spans="1:8" x14ac:dyDescent="0.25">
      <c r="A123" s="8">
        <v>43004.540358796294</v>
      </c>
      <c r="B123" s="20" t="s">
        <v>494</v>
      </c>
      <c r="C123" s="20" t="s">
        <v>749</v>
      </c>
      <c r="D123" s="138">
        <v>2630000</v>
      </c>
      <c r="E123" s="20" t="s">
        <v>500</v>
      </c>
      <c r="F123" s="20" t="s">
        <v>501</v>
      </c>
      <c r="G123" s="8" t="str">
        <f t="shared" si="2"/>
        <v>SAFIEF AEIMEN</v>
      </c>
      <c r="H123" s="20" t="str">
        <f t="shared" si="3"/>
        <v>4061</v>
      </c>
    </row>
    <row r="124" spans="1:8" x14ac:dyDescent="0.25">
      <c r="A124" s="8">
        <v>43004.54215277778</v>
      </c>
      <c r="B124" s="20" t="s">
        <v>612</v>
      </c>
      <c r="C124" s="20" t="s">
        <v>750</v>
      </c>
      <c r="D124" s="138">
        <v>2970000</v>
      </c>
      <c r="E124" s="20" t="s">
        <v>502</v>
      </c>
      <c r="F124" s="20" t="s">
        <v>503</v>
      </c>
      <c r="G124" s="8" t="str">
        <f t="shared" si="2"/>
        <v>GUZMAN DANNY</v>
      </c>
      <c r="H124" s="20" t="str">
        <f t="shared" si="3"/>
        <v>4066</v>
      </c>
    </row>
    <row r="125" spans="1:8" x14ac:dyDescent="0.25">
      <c r="A125" s="8">
        <v>43004.549814814818</v>
      </c>
      <c r="B125" s="20" t="s">
        <v>640</v>
      </c>
      <c r="C125" s="20" t="s">
        <v>751</v>
      </c>
      <c r="D125" s="138">
        <v>2450000</v>
      </c>
      <c r="E125" s="20" t="s">
        <v>752</v>
      </c>
      <c r="F125" s="20" t="s">
        <v>753</v>
      </c>
      <c r="G125" s="8" t="str">
        <f t="shared" si="2"/>
        <v>NELSON ARIANE</v>
      </c>
      <c r="H125" s="20" t="str">
        <f t="shared" si="3"/>
        <v>4018</v>
      </c>
    </row>
    <row r="126" spans="1:8" x14ac:dyDescent="0.25">
      <c r="A126" s="8">
        <v>43004.558298611111</v>
      </c>
      <c r="B126" s="20" t="s">
        <v>488</v>
      </c>
      <c r="C126" s="20" t="s">
        <v>618</v>
      </c>
      <c r="D126" s="138">
        <v>920000</v>
      </c>
      <c r="E126" s="20" t="s">
        <v>344</v>
      </c>
      <c r="F126" s="20" t="s">
        <v>190</v>
      </c>
      <c r="G126" s="8" t="str">
        <f t="shared" si="2"/>
        <v>DAVIS MICHAEL</v>
      </c>
      <c r="H126" s="20" t="str">
        <f t="shared" si="3"/>
        <v>4025</v>
      </c>
    </row>
    <row r="127" spans="1:8" x14ac:dyDescent="0.25">
      <c r="A127" s="8">
        <v>43004.561655092592</v>
      </c>
      <c r="B127" s="20" t="s">
        <v>655</v>
      </c>
      <c r="C127" s="20" t="s">
        <v>754</v>
      </c>
      <c r="D127" s="138">
        <v>1300000</v>
      </c>
      <c r="E127" s="20" t="s">
        <v>546</v>
      </c>
      <c r="F127" s="20" t="s">
        <v>547</v>
      </c>
      <c r="G127" s="8" t="str">
        <f t="shared" si="2"/>
        <v>LEVIN SCOTT</v>
      </c>
      <c r="H127" s="20" t="str">
        <f t="shared" si="3"/>
        <v>4054</v>
      </c>
    </row>
    <row r="128" spans="1:8" x14ac:dyDescent="0.25">
      <c r="A128" s="8">
        <v>43004.563067129631</v>
      </c>
      <c r="B128" s="20" t="s">
        <v>606</v>
      </c>
      <c r="C128" s="20" t="s">
        <v>755</v>
      </c>
      <c r="D128" s="138">
        <v>2970000</v>
      </c>
      <c r="E128" s="20" t="s">
        <v>502</v>
      </c>
      <c r="F128" s="20" t="s">
        <v>503</v>
      </c>
      <c r="G128" s="8" t="str">
        <f t="shared" si="2"/>
        <v>GUZMAN DANNY</v>
      </c>
      <c r="H128" s="20" t="str">
        <f t="shared" si="3"/>
        <v>4065</v>
      </c>
    </row>
    <row r="129" spans="1:8" x14ac:dyDescent="0.25">
      <c r="A129" s="8">
        <v>43004.56659722222</v>
      </c>
      <c r="B129" s="20" t="s">
        <v>642</v>
      </c>
      <c r="C129" s="20" t="s">
        <v>756</v>
      </c>
      <c r="D129" s="138">
        <v>2230000</v>
      </c>
      <c r="E129" s="20" t="s">
        <v>504</v>
      </c>
      <c r="F129" s="20" t="s">
        <v>190</v>
      </c>
      <c r="G129" s="8" t="str">
        <f t="shared" si="2"/>
        <v>SMITH MICHAEL</v>
      </c>
      <c r="H129" s="20" t="str">
        <f t="shared" si="3"/>
        <v>4045</v>
      </c>
    </row>
    <row r="130" spans="1:8" x14ac:dyDescent="0.25">
      <c r="A130" s="8">
        <v>43004.570104166669</v>
      </c>
      <c r="B130" s="20" t="s">
        <v>638</v>
      </c>
      <c r="C130" s="20" t="s">
        <v>757</v>
      </c>
      <c r="D130" s="138">
        <v>1180000</v>
      </c>
      <c r="E130" s="20" t="s">
        <v>544</v>
      </c>
      <c r="F130" s="20" t="s">
        <v>545</v>
      </c>
      <c r="G130" s="8" t="str">
        <f t="shared" si="2"/>
        <v>LEVERE CRAIG</v>
      </c>
      <c r="H130" s="20" t="str">
        <f t="shared" si="3"/>
        <v>4056</v>
      </c>
    </row>
    <row r="131" spans="1:8" x14ac:dyDescent="0.25">
      <c r="A131" s="8">
        <v>43004.571944444448</v>
      </c>
      <c r="B131" s="20" t="s">
        <v>493</v>
      </c>
      <c r="C131" s="20" t="s">
        <v>619</v>
      </c>
      <c r="D131" s="138">
        <v>1810000</v>
      </c>
      <c r="E131" s="20" t="s">
        <v>729</v>
      </c>
      <c r="F131" s="20" t="s">
        <v>372</v>
      </c>
      <c r="G131" s="8" t="str">
        <f t="shared" ref="G131:G194" si="4">E131&amp;" "&amp;F131</f>
        <v>NEWELL JAMES</v>
      </c>
      <c r="H131" s="20" t="str">
        <f t="shared" ref="H131:H194" si="5">MID(B131,13,4)</f>
        <v>4059</v>
      </c>
    </row>
    <row r="132" spans="1:8" x14ac:dyDescent="0.25">
      <c r="A132" s="8">
        <v>43004.580289351848</v>
      </c>
      <c r="B132" s="20" t="s">
        <v>623</v>
      </c>
      <c r="C132" s="20" t="s">
        <v>758</v>
      </c>
      <c r="D132" s="138">
        <v>2630000</v>
      </c>
      <c r="E132" s="20" t="s">
        <v>500</v>
      </c>
      <c r="F132" s="20" t="s">
        <v>501</v>
      </c>
      <c r="G132" s="8" t="str">
        <f t="shared" si="4"/>
        <v>SAFIEF AEIMEN</v>
      </c>
      <c r="H132" s="20" t="str">
        <f t="shared" si="5"/>
        <v>4062</v>
      </c>
    </row>
    <row r="133" spans="1:8" x14ac:dyDescent="0.25">
      <c r="A133" s="8">
        <v>43004.585289351853</v>
      </c>
      <c r="B133" s="20" t="s">
        <v>612</v>
      </c>
      <c r="C133" s="20" t="s">
        <v>759</v>
      </c>
      <c r="D133" s="138">
        <v>2970000</v>
      </c>
      <c r="E133" s="20" t="s">
        <v>502</v>
      </c>
      <c r="F133" s="20" t="s">
        <v>503</v>
      </c>
      <c r="G133" s="8" t="str">
        <f t="shared" si="4"/>
        <v>GUZMAN DANNY</v>
      </c>
      <c r="H133" s="20" t="str">
        <f t="shared" si="5"/>
        <v>4066</v>
      </c>
    </row>
    <row r="134" spans="1:8" x14ac:dyDescent="0.25">
      <c r="A134" s="8">
        <v>43004.59134259259</v>
      </c>
      <c r="B134" s="20" t="s">
        <v>424</v>
      </c>
      <c r="C134" s="20" t="s">
        <v>760</v>
      </c>
      <c r="D134" s="138">
        <v>2450000</v>
      </c>
      <c r="E134" s="20" t="s">
        <v>752</v>
      </c>
      <c r="F134" s="20" t="s">
        <v>753</v>
      </c>
      <c r="G134" s="8" t="str">
        <f t="shared" si="4"/>
        <v>NELSON ARIANE</v>
      </c>
      <c r="H134" s="20" t="str">
        <f t="shared" si="5"/>
        <v>4017</v>
      </c>
    </row>
    <row r="135" spans="1:8" x14ac:dyDescent="0.25">
      <c r="A135" s="8">
        <v>43004.592835648145</v>
      </c>
      <c r="B135" s="20" t="s">
        <v>489</v>
      </c>
      <c r="C135" s="20" t="s">
        <v>620</v>
      </c>
      <c r="D135" s="138">
        <v>920000</v>
      </c>
      <c r="E135" s="20" t="s">
        <v>344</v>
      </c>
      <c r="F135" s="20" t="s">
        <v>190</v>
      </c>
      <c r="G135" s="8" t="str">
        <f t="shared" si="4"/>
        <v>DAVIS MICHAEL</v>
      </c>
      <c r="H135" s="20" t="str">
        <f t="shared" si="5"/>
        <v>4026</v>
      </c>
    </row>
    <row r="136" spans="1:8" x14ac:dyDescent="0.25">
      <c r="A136" s="8">
        <v>43004.593645833331</v>
      </c>
      <c r="B136" s="20" t="s">
        <v>616</v>
      </c>
      <c r="C136" s="20" t="s">
        <v>761</v>
      </c>
      <c r="D136" s="138">
        <v>1300000</v>
      </c>
      <c r="E136" s="20" t="s">
        <v>546</v>
      </c>
      <c r="F136" s="20" t="s">
        <v>547</v>
      </c>
      <c r="G136" s="8" t="str">
        <f t="shared" si="4"/>
        <v>LEVIN SCOTT</v>
      </c>
      <c r="H136" s="20" t="str">
        <f t="shared" si="5"/>
        <v>4053</v>
      </c>
    </row>
    <row r="137" spans="1:8" x14ac:dyDescent="0.25">
      <c r="A137" s="8">
        <v>43004.601458333331</v>
      </c>
      <c r="B137" s="20" t="s">
        <v>492</v>
      </c>
      <c r="C137" s="20" t="s">
        <v>762</v>
      </c>
      <c r="D137" s="138">
        <v>2230000</v>
      </c>
      <c r="E137" s="20" t="s">
        <v>504</v>
      </c>
      <c r="F137" s="20" t="s">
        <v>190</v>
      </c>
      <c r="G137" s="8" t="str">
        <f t="shared" si="4"/>
        <v>SMITH MICHAEL</v>
      </c>
      <c r="H137" s="20" t="str">
        <f t="shared" si="5"/>
        <v>4046</v>
      </c>
    </row>
    <row r="138" spans="1:8" x14ac:dyDescent="0.25">
      <c r="A138" s="8">
        <v>43004.601597222223</v>
      </c>
      <c r="B138" s="20" t="s">
        <v>606</v>
      </c>
      <c r="C138" s="20" t="s">
        <v>763</v>
      </c>
      <c r="D138" s="138">
        <v>2970000</v>
      </c>
      <c r="E138" s="20" t="s">
        <v>502</v>
      </c>
      <c r="F138" s="20" t="s">
        <v>503</v>
      </c>
      <c r="G138" s="8" t="str">
        <f t="shared" si="4"/>
        <v>GUZMAN DANNY</v>
      </c>
      <c r="H138" s="20" t="str">
        <f t="shared" si="5"/>
        <v>4065</v>
      </c>
    </row>
    <row r="139" spans="1:8" x14ac:dyDescent="0.25">
      <c r="A139" s="8">
        <v>43004.608472222222</v>
      </c>
      <c r="B139" s="20" t="s">
        <v>647</v>
      </c>
      <c r="C139" s="20" t="s">
        <v>764</v>
      </c>
      <c r="D139" s="138">
        <v>1180000</v>
      </c>
      <c r="E139" s="20" t="s">
        <v>544</v>
      </c>
      <c r="F139" s="20" t="s">
        <v>545</v>
      </c>
      <c r="G139" s="8" t="str">
        <f t="shared" si="4"/>
        <v>LEVERE CRAIG</v>
      </c>
      <c r="H139" s="20" t="str">
        <f t="shared" si="5"/>
        <v>4055</v>
      </c>
    </row>
    <row r="140" spans="1:8" x14ac:dyDescent="0.25">
      <c r="A140" s="8">
        <v>43004.612141203703</v>
      </c>
      <c r="B140" s="20" t="s">
        <v>495</v>
      </c>
      <c r="C140" s="20" t="s">
        <v>765</v>
      </c>
      <c r="D140" s="138">
        <v>1810000</v>
      </c>
      <c r="E140" s="20" t="s">
        <v>729</v>
      </c>
      <c r="F140" s="20" t="s">
        <v>372</v>
      </c>
      <c r="G140" s="8" t="str">
        <f t="shared" si="4"/>
        <v>NEWELL JAMES</v>
      </c>
      <c r="H140" s="20" t="str">
        <f t="shared" si="5"/>
        <v>4060</v>
      </c>
    </row>
    <row r="141" spans="1:8" x14ac:dyDescent="0.25">
      <c r="A141" s="8">
        <v>43004.61519675926</v>
      </c>
      <c r="B141" s="20" t="s">
        <v>494</v>
      </c>
      <c r="C141" s="20" t="s">
        <v>766</v>
      </c>
      <c r="D141" s="138">
        <v>2630000</v>
      </c>
      <c r="E141" s="20" t="s">
        <v>500</v>
      </c>
      <c r="F141" s="20" t="s">
        <v>501</v>
      </c>
      <c r="G141" s="8" t="str">
        <f t="shared" si="4"/>
        <v>SAFIEF AEIMEN</v>
      </c>
      <c r="H141" s="20" t="str">
        <f t="shared" si="5"/>
        <v>4061</v>
      </c>
    </row>
    <row r="142" spans="1:8" x14ac:dyDescent="0.25">
      <c r="A142" s="8">
        <v>43004.624560185184</v>
      </c>
      <c r="B142" s="20" t="s">
        <v>640</v>
      </c>
      <c r="C142" s="20" t="s">
        <v>767</v>
      </c>
      <c r="D142" s="138">
        <v>2450000</v>
      </c>
      <c r="E142" s="20" t="s">
        <v>752</v>
      </c>
      <c r="F142" s="20" t="s">
        <v>753</v>
      </c>
      <c r="G142" s="8" t="str">
        <f t="shared" si="4"/>
        <v>NELSON ARIANE</v>
      </c>
      <c r="H142" s="20" t="str">
        <f t="shared" si="5"/>
        <v>4018</v>
      </c>
    </row>
    <row r="143" spans="1:8" x14ac:dyDescent="0.25">
      <c r="A143" s="8">
        <v>43004.626747685186</v>
      </c>
      <c r="B143" s="20" t="s">
        <v>612</v>
      </c>
      <c r="C143" s="20" t="s">
        <v>768</v>
      </c>
      <c r="D143" s="138">
        <v>2970000</v>
      </c>
      <c r="E143" s="20" t="s">
        <v>502</v>
      </c>
      <c r="F143" s="20" t="s">
        <v>503</v>
      </c>
      <c r="G143" s="8" t="str">
        <f t="shared" si="4"/>
        <v>GUZMAN DANNY</v>
      </c>
      <c r="H143" s="20" t="str">
        <f t="shared" si="5"/>
        <v>4066</v>
      </c>
    </row>
    <row r="144" spans="1:8" x14ac:dyDescent="0.25">
      <c r="A144" s="8">
        <v>43004.6328587963</v>
      </c>
      <c r="B144" s="20" t="s">
        <v>488</v>
      </c>
      <c r="C144" s="20" t="s">
        <v>621</v>
      </c>
      <c r="D144" s="138">
        <v>920000</v>
      </c>
      <c r="E144" s="20" t="s">
        <v>344</v>
      </c>
      <c r="F144" s="20" t="s">
        <v>190</v>
      </c>
      <c r="G144" s="8" t="str">
        <f t="shared" si="4"/>
        <v>DAVIS MICHAEL</v>
      </c>
      <c r="H144" s="20" t="str">
        <f t="shared" si="5"/>
        <v>4025</v>
      </c>
    </row>
    <row r="145" spans="1:8" x14ac:dyDescent="0.25">
      <c r="A145" s="8">
        <v>43004.633530092593</v>
      </c>
      <c r="B145" s="20" t="s">
        <v>655</v>
      </c>
      <c r="C145" s="20" t="s">
        <v>769</v>
      </c>
      <c r="D145" s="138">
        <v>1300000</v>
      </c>
      <c r="E145" s="20" t="s">
        <v>546</v>
      </c>
      <c r="F145" s="20" t="s">
        <v>547</v>
      </c>
      <c r="G145" s="8" t="str">
        <f t="shared" si="4"/>
        <v>LEVIN SCOTT</v>
      </c>
      <c r="H145" s="20" t="str">
        <f t="shared" si="5"/>
        <v>4054</v>
      </c>
    </row>
    <row r="146" spans="1:8" x14ac:dyDescent="0.25">
      <c r="A146" s="8">
        <v>43004.634027777778</v>
      </c>
      <c r="B146" s="20" t="s">
        <v>435</v>
      </c>
      <c r="C146" s="20" t="s">
        <v>770</v>
      </c>
      <c r="D146" s="138">
        <v>2000000</v>
      </c>
      <c r="E146" s="20" t="s">
        <v>392</v>
      </c>
      <c r="F146" s="20" t="s">
        <v>372</v>
      </c>
      <c r="G146" s="8" t="str">
        <f t="shared" si="4"/>
        <v>STAMBAUGH JAMES</v>
      </c>
      <c r="H146" s="20" t="str">
        <f t="shared" si="5"/>
        <v>4063</v>
      </c>
    </row>
    <row r="147" spans="1:8" x14ac:dyDescent="0.25">
      <c r="A147" s="8">
        <v>43004.641319444447</v>
      </c>
      <c r="B147" s="20" t="s">
        <v>493</v>
      </c>
      <c r="C147" s="20" t="s">
        <v>771</v>
      </c>
      <c r="D147" s="138">
        <v>1810000</v>
      </c>
      <c r="E147" s="20" t="s">
        <v>729</v>
      </c>
      <c r="F147" s="20" t="s">
        <v>372</v>
      </c>
      <c r="G147" s="8" t="str">
        <f t="shared" si="4"/>
        <v>NEWELL JAMES</v>
      </c>
      <c r="H147" s="20" t="str">
        <f t="shared" si="5"/>
        <v>4059</v>
      </c>
    </row>
    <row r="148" spans="1:8" x14ac:dyDescent="0.25">
      <c r="A148" s="8">
        <v>43004.641562500001</v>
      </c>
      <c r="B148" s="20" t="s">
        <v>642</v>
      </c>
      <c r="C148" s="20" t="s">
        <v>772</v>
      </c>
      <c r="D148" s="138">
        <v>2230000</v>
      </c>
      <c r="E148" s="20" t="s">
        <v>504</v>
      </c>
      <c r="F148" s="20" t="s">
        <v>190</v>
      </c>
      <c r="G148" s="8" t="str">
        <f t="shared" si="4"/>
        <v>SMITH MICHAEL</v>
      </c>
      <c r="H148" s="20" t="str">
        <f t="shared" si="5"/>
        <v>4045</v>
      </c>
    </row>
    <row r="149" spans="1:8" x14ac:dyDescent="0.25">
      <c r="A149" s="8">
        <v>43004.64261574074</v>
      </c>
      <c r="B149" s="20" t="s">
        <v>606</v>
      </c>
      <c r="C149" s="20" t="s">
        <v>773</v>
      </c>
      <c r="D149" s="138">
        <v>2970000</v>
      </c>
      <c r="E149" s="20" t="s">
        <v>502</v>
      </c>
      <c r="F149" s="20" t="s">
        <v>503</v>
      </c>
      <c r="G149" s="8" t="str">
        <f t="shared" si="4"/>
        <v>GUZMAN DANNY</v>
      </c>
      <c r="H149" s="20" t="str">
        <f t="shared" si="5"/>
        <v>4065</v>
      </c>
    </row>
    <row r="150" spans="1:8" x14ac:dyDescent="0.25">
      <c r="A150" s="8">
        <v>43004.643159722225</v>
      </c>
      <c r="B150" s="20" t="s">
        <v>638</v>
      </c>
      <c r="C150" s="20" t="s">
        <v>774</v>
      </c>
      <c r="D150" s="138">
        <v>1180000</v>
      </c>
      <c r="E150" s="20" t="s">
        <v>544</v>
      </c>
      <c r="F150" s="20" t="s">
        <v>545</v>
      </c>
      <c r="G150" s="8" t="str">
        <f t="shared" si="4"/>
        <v>LEVERE CRAIG</v>
      </c>
      <c r="H150" s="20" t="str">
        <f t="shared" si="5"/>
        <v>4056</v>
      </c>
    </row>
    <row r="151" spans="1:8" x14ac:dyDescent="0.25">
      <c r="A151" s="8">
        <v>43004.651562500003</v>
      </c>
      <c r="B151" s="20" t="s">
        <v>438</v>
      </c>
      <c r="C151" s="20" t="s">
        <v>622</v>
      </c>
      <c r="D151" s="138">
        <v>2000000</v>
      </c>
      <c r="E151" s="20" t="s">
        <v>392</v>
      </c>
      <c r="F151" s="20" t="s">
        <v>372</v>
      </c>
      <c r="G151" s="8" t="str">
        <f t="shared" si="4"/>
        <v>STAMBAUGH JAMES</v>
      </c>
      <c r="H151" s="20" t="str">
        <f t="shared" si="5"/>
        <v>4064</v>
      </c>
    </row>
    <row r="152" spans="1:8" x14ac:dyDescent="0.25">
      <c r="A152" s="8">
        <v>43004.653599537036</v>
      </c>
      <c r="B152" s="20" t="s">
        <v>623</v>
      </c>
      <c r="C152" s="20" t="s">
        <v>624</v>
      </c>
      <c r="D152" s="138">
        <v>2630000</v>
      </c>
      <c r="E152" s="20" t="s">
        <v>500</v>
      </c>
      <c r="F152" s="20" t="s">
        <v>501</v>
      </c>
      <c r="G152" s="8" t="str">
        <f t="shared" si="4"/>
        <v>SAFIEF AEIMEN</v>
      </c>
      <c r="H152" s="20" t="str">
        <f t="shared" si="5"/>
        <v>4062</v>
      </c>
    </row>
    <row r="153" spans="1:8" x14ac:dyDescent="0.25">
      <c r="A153" s="8">
        <v>43004.663124999999</v>
      </c>
      <c r="B153" s="20" t="s">
        <v>424</v>
      </c>
      <c r="C153" s="20" t="s">
        <v>775</v>
      </c>
      <c r="D153" s="138">
        <v>2450000</v>
      </c>
      <c r="E153" s="20" t="s">
        <v>752</v>
      </c>
      <c r="F153" s="20" t="s">
        <v>753</v>
      </c>
      <c r="G153" s="8" t="str">
        <f t="shared" si="4"/>
        <v>NELSON ARIANE</v>
      </c>
      <c r="H153" s="20" t="str">
        <f t="shared" si="5"/>
        <v>4017</v>
      </c>
    </row>
    <row r="154" spans="1:8" x14ac:dyDescent="0.25">
      <c r="A154" s="8">
        <v>43004.663530092592</v>
      </c>
      <c r="B154" s="20" t="s">
        <v>435</v>
      </c>
      <c r="C154" s="20" t="s">
        <v>625</v>
      </c>
      <c r="D154" s="138">
        <v>2000000</v>
      </c>
      <c r="E154" s="20" t="s">
        <v>392</v>
      </c>
      <c r="F154" s="20" t="s">
        <v>372</v>
      </c>
      <c r="G154" s="8" t="str">
        <f t="shared" si="4"/>
        <v>STAMBAUGH JAMES</v>
      </c>
      <c r="H154" s="20" t="str">
        <f t="shared" si="5"/>
        <v>4063</v>
      </c>
    </row>
    <row r="155" spans="1:8" x14ac:dyDescent="0.25">
      <c r="A155" s="8">
        <v>43004.665451388886</v>
      </c>
      <c r="B155" s="20" t="s">
        <v>489</v>
      </c>
      <c r="C155" s="20" t="s">
        <v>776</v>
      </c>
      <c r="D155" s="138">
        <v>920000</v>
      </c>
      <c r="E155" s="20" t="s">
        <v>344</v>
      </c>
      <c r="F155" s="20" t="s">
        <v>190</v>
      </c>
      <c r="G155" s="8" t="str">
        <f t="shared" si="4"/>
        <v>DAVIS MICHAEL</v>
      </c>
      <c r="H155" s="20" t="str">
        <f t="shared" si="5"/>
        <v>4026</v>
      </c>
    </row>
    <row r="156" spans="1:8" x14ac:dyDescent="0.25">
      <c r="A156" s="8">
        <v>43004.668240740742</v>
      </c>
      <c r="B156" s="20" t="s">
        <v>612</v>
      </c>
      <c r="C156" s="20" t="s">
        <v>777</v>
      </c>
      <c r="D156" s="138">
        <v>2970000</v>
      </c>
      <c r="E156" s="20" t="s">
        <v>502</v>
      </c>
      <c r="F156" s="20" t="s">
        <v>503</v>
      </c>
      <c r="G156" s="8" t="str">
        <f t="shared" si="4"/>
        <v>GUZMAN DANNY</v>
      </c>
      <c r="H156" s="20" t="str">
        <f t="shared" si="5"/>
        <v>4066</v>
      </c>
    </row>
    <row r="157" spans="1:8" x14ac:dyDescent="0.25">
      <c r="A157" s="8">
        <v>43004.668483796297</v>
      </c>
      <c r="B157" s="20" t="s">
        <v>623</v>
      </c>
      <c r="C157" s="20" t="s">
        <v>624</v>
      </c>
      <c r="D157" s="138">
        <v>2630000</v>
      </c>
      <c r="E157" s="20" t="s">
        <v>500</v>
      </c>
      <c r="F157" s="20" t="s">
        <v>501</v>
      </c>
      <c r="G157" s="8" t="str">
        <f t="shared" si="4"/>
        <v>SAFIEF AEIMEN</v>
      </c>
      <c r="H157" s="20" t="str">
        <f t="shared" si="5"/>
        <v>4062</v>
      </c>
    </row>
    <row r="158" spans="1:8" x14ac:dyDescent="0.25">
      <c r="A158" s="8">
        <v>43004.670173611114</v>
      </c>
      <c r="B158" s="20" t="s">
        <v>414</v>
      </c>
      <c r="C158" s="20" t="s">
        <v>778</v>
      </c>
      <c r="D158" s="138">
        <v>2040000</v>
      </c>
      <c r="E158" s="20" t="s">
        <v>779</v>
      </c>
      <c r="F158" s="20" t="s">
        <v>780</v>
      </c>
      <c r="G158" s="8" t="str">
        <f t="shared" si="4"/>
        <v>MOSES BRADLEY</v>
      </c>
      <c r="H158" s="20" t="str">
        <f t="shared" si="5"/>
        <v>4024</v>
      </c>
    </row>
    <row r="159" spans="1:8" x14ac:dyDescent="0.25">
      <c r="A159" s="8">
        <v>43004.672175925924</v>
      </c>
      <c r="B159" s="20" t="s">
        <v>616</v>
      </c>
      <c r="C159" s="20" t="s">
        <v>628</v>
      </c>
      <c r="D159" s="138">
        <v>1300000</v>
      </c>
      <c r="E159" s="20" t="s">
        <v>546</v>
      </c>
      <c r="F159" s="20" t="s">
        <v>547</v>
      </c>
      <c r="G159" s="8" t="str">
        <f t="shared" si="4"/>
        <v>LEVIN SCOTT</v>
      </c>
      <c r="H159" s="20" t="str">
        <f t="shared" si="5"/>
        <v>4053</v>
      </c>
    </row>
    <row r="160" spans="1:8" x14ac:dyDescent="0.25">
      <c r="A160" s="8">
        <v>43004.673009259262</v>
      </c>
      <c r="B160" s="20" t="s">
        <v>492</v>
      </c>
      <c r="C160" s="20" t="s">
        <v>626</v>
      </c>
      <c r="D160" s="138">
        <v>2230000</v>
      </c>
      <c r="E160" s="20" t="s">
        <v>504</v>
      </c>
      <c r="F160" s="20" t="s">
        <v>190</v>
      </c>
      <c r="G160" s="8" t="str">
        <f t="shared" si="4"/>
        <v>SMITH MICHAEL</v>
      </c>
      <c r="H160" s="20" t="str">
        <f t="shared" si="5"/>
        <v>4046</v>
      </c>
    </row>
    <row r="161" spans="1:8" x14ac:dyDescent="0.25">
      <c r="A161" s="8">
        <v>43004.674791666665</v>
      </c>
      <c r="B161" s="20" t="s">
        <v>413</v>
      </c>
      <c r="C161" s="20" t="s">
        <v>778</v>
      </c>
      <c r="D161" s="138">
        <v>2040000</v>
      </c>
      <c r="E161" s="20" t="s">
        <v>779</v>
      </c>
      <c r="F161" s="20" t="s">
        <v>780</v>
      </c>
      <c r="G161" s="8" t="str">
        <f t="shared" si="4"/>
        <v>MOSES BRADLEY</v>
      </c>
      <c r="H161" s="20" t="str">
        <f t="shared" si="5"/>
        <v>4023</v>
      </c>
    </row>
    <row r="162" spans="1:8" x14ac:dyDescent="0.25">
      <c r="A162" s="8">
        <v>43004.674942129626</v>
      </c>
      <c r="B162" s="20" t="s">
        <v>489</v>
      </c>
      <c r="C162" s="20" t="s">
        <v>776</v>
      </c>
      <c r="D162" s="138">
        <v>920000</v>
      </c>
      <c r="E162" s="20" t="s">
        <v>344</v>
      </c>
      <c r="F162" s="20" t="s">
        <v>190</v>
      </c>
      <c r="G162" s="8" t="str">
        <f t="shared" si="4"/>
        <v>DAVIS MICHAEL</v>
      </c>
      <c r="H162" s="20" t="str">
        <f t="shared" si="5"/>
        <v>4026</v>
      </c>
    </row>
    <row r="163" spans="1:8" x14ac:dyDescent="0.25">
      <c r="A163" s="8">
        <v>43004.681273148148</v>
      </c>
      <c r="B163" s="20" t="s">
        <v>647</v>
      </c>
      <c r="C163" s="20" t="s">
        <v>781</v>
      </c>
      <c r="D163" s="138">
        <v>1180000</v>
      </c>
      <c r="E163" s="20" t="s">
        <v>544</v>
      </c>
      <c r="F163" s="20" t="s">
        <v>545</v>
      </c>
      <c r="G163" s="8" t="str">
        <f t="shared" si="4"/>
        <v>LEVERE CRAIG</v>
      </c>
      <c r="H163" s="20" t="str">
        <f t="shared" si="5"/>
        <v>4055</v>
      </c>
    </row>
    <row r="164" spans="1:8" x14ac:dyDescent="0.25">
      <c r="A164" s="8">
        <v>43004.682754629626</v>
      </c>
      <c r="B164" s="20" t="s">
        <v>423</v>
      </c>
      <c r="C164" s="20" t="s">
        <v>782</v>
      </c>
      <c r="D164" s="138">
        <v>3130000</v>
      </c>
      <c r="E164" s="20" t="s">
        <v>783</v>
      </c>
      <c r="F164" s="20" t="s">
        <v>784</v>
      </c>
      <c r="G164" s="8" t="str">
        <f t="shared" si="4"/>
        <v>ZEWDU DEREJE</v>
      </c>
      <c r="H164" s="20" t="str">
        <f t="shared" si="5"/>
        <v>4010</v>
      </c>
    </row>
    <row r="165" spans="1:8" x14ac:dyDescent="0.25">
      <c r="A165" s="8">
        <v>43004.683310185188</v>
      </c>
      <c r="B165" s="20" t="s">
        <v>414</v>
      </c>
      <c r="C165" s="20" t="s">
        <v>785</v>
      </c>
      <c r="D165" s="138">
        <v>2040000</v>
      </c>
      <c r="E165" s="20" t="s">
        <v>779</v>
      </c>
      <c r="F165" s="20" t="s">
        <v>780</v>
      </c>
      <c r="G165" s="8" t="str">
        <f t="shared" si="4"/>
        <v>MOSES BRADLEY</v>
      </c>
      <c r="H165" s="20" t="str">
        <f t="shared" si="5"/>
        <v>4024</v>
      </c>
    </row>
    <row r="166" spans="1:8" x14ac:dyDescent="0.25">
      <c r="A166" s="8">
        <v>43004.684386574074</v>
      </c>
      <c r="B166" s="20" t="s">
        <v>414</v>
      </c>
      <c r="C166" s="20" t="s">
        <v>785</v>
      </c>
      <c r="D166" s="138">
        <v>2040000</v>
      </c>
      <c r="E166" s="20" t="s">
        <v>779</v>
      </c>
      <c r="F166" s="20" t="s">
        <v>780</v>
      </c>
      <c r="G166" s="8" t="str">
        <f t="shared" si="4"/>
        <v>MOSES BRADLEY</v>
      </c>
      <c r="H166" s="20" t="str">
        <f t="shared" si="5"/>
        <v>4024</v>
      </c>
    </row>
    <row r="167" spans="1:8" x14ac:dyDescent="0.25">
      <c r="A167" s="8">
        <v>43004.684618055559</v>
      </c>
      <c r="B167" s="20" t="s">
        <v>606</v>
      </c>
      <c r="C167" s="20" t="s">
        <v>627</v>
      </c>
      <c r="D167" s="138">
        <v>2970000</v>
      </c>
      <c r="E167" s="20" t="s">
        <v>502</v>
      </c>
      <c r="F167" s="20" t="s">
        <v>503</v>
      </c>
      <c r="G167" s="8" t="str">
        <f t="shared" si="4"/>
        <v>GUZMAN DANNY</v>
      </c>
      <c r="H167" s="20" t="str">
        <f t="shared" si="5"/>
        <v>4065</v>
      </c>
    </row>
    <row r="168" spans="1:8" x14ac:dyDescent="0.25">
      <c r="A168" s="8">
        <v>43004.687222222223</v>
      </c>
      <c r="B168" s="20" t="s">
        <v>456</v>
      </c>
      <c r="C168" s="20" t="s">
        <v>782</v>
      </c>
      <c r="D168" s="138">
        <v>3130000</v>
      </c>
      <c r="E168" s="20" t="s">
        <v>783</v>
      </c>
      <c r="F168" s="20" t="s">
        <v>784</v>
      </c>
      <c r="G168" s="8" t="str">
        <f t="shared" si="4"/>
        <v>ZEWDU DEREJE</v>
      </c>
      <c r="H168" s="20" t="str">
        <f t="shared" si="5"/>
        <v>4009</v>
      </c>
    </row>
    <row r="169" spans="1:8" x14ac:dyDescent="0.25">
      <c r="A169" s="8">
        <v>43004.692824074074</v>
      </c>
      <c r="B169" s="20" t="s">
        <v>438</v>
      </c>
      <c r="C169" s="20" t="s">
        <v>786</v>
      </c>
      <c r="D169" s="138">
        <v>2000000</v>
      </c>
      <c r="E169" s="20" t="s">
        <v>392</v>
      </c>
      <c r="F169" s="20" t="s">
        <v>372</v>
      </c>
      <c r="G169" s="8" t="str">
        <f t="shared" si="4"/>
        <v>STAMBAUGH JAMES</v>
      </c>
      <c r="H169" s="20" t="str">
        <f t="shared" si="5"/>
        <v>4064</v>
      </c>
    </row>
    <row r="170" spans="1:8" x14ac:dyDescent="0.25">
      <c r="A170" s="8">
        <v>43004.693599537037</v>
      </c>
      <c r="B170" s="20" t="s">
        <v>423</v>
      </c>
      <c r="C170" s="20" t="s">
        <v>787</v>
      </c>
      <c r="D170" s="138">
        <v>3130000</v>
      </c>
      <c r="E170" s="20" t="s">
        <v>783</v>
      </c>
      <c r="F170" s="20" t="s">
        <v>784</v>
      </c>
      <c r="G170" s="8" t="str">
        <f t="shared" si="4"/>
        <v>ZEWDU DEREJE</v>
      </c>
      <c r="H170" s="20" t="str">
        <f t="shared" si="5"/>
        <v>4010</v>
      </c>
    </row>
    <row r="171" spans="1:8" x14ac:dyDescent="0.25">
      <c r="A171" s="8">
        <v>43004.695034722223</v>
      </c>
      <c r="B171" s="20" t="s">
        <v>494</v>
      </c>
      <c r="C171" s="20" t="s">
        <v>788</v>
      </c>
      <c r="D171" s="138">
        <v>2630000</v>
      </c>
      <c r="E171" s="20" t="s">
        <v>500</v>
      </c>
      <c r="F171" s="20" t="s">
        <v>501</v>
      </c>
      <c r="G171" s="8" t="str">
        <f t="shared" si="4"/>
        <v>SAFIEF AEIMEN</v>
      </c>
      <c r="H171" s="20" t="str">
        <f t="shared" si="5"/>
        <v>4061</v>
      </c>
    </row>
    <row r="172" spans="1:8" x14ac:dyDescent="0.25">
      <c r="A172" s="8">
        <v>43004.703877314816</v>
      </c>
      <c r="B172" s="20" t="s">
        <v>488</v>
      </c>
      <c r="C172" s="20" t="s">
        <v>629</v>
      </c>
      <c r="D172" s="138">
        <v>920000</v>
      </c>
      <c r="E172" s="20" t="s">
        <v>344</v>
      </c>
      <c r="F172" s="20" t="s">
        <v>190</v>
      </c>
      <c r="G172" s="8" t="str">
        <f t="shared" si="4"/>
        <v>DAVIS MICHAEL</v>
      </c>
      <c r="H172" s="20" t="str">
        <f t="shared" si="5"/>
        <v>4025</v>
      </c>
    </row>
    <row r="173" spans="1:8" x14ac:dyDescent="0.25">
      <c r="A173" s="8">
        <v>43004.705196759256</v>
      </c>
      <c r="B173" s="20" t="s">
        <v>435</v>
      </c>
      <c r="C173" s="20" t="s">
        <v>789</v>
      </c>
      <c r="D173" s="138">
        <v>2000000</v>
      </c>
      <c r="E173" s="20" t="s">
        <v>392</v>
      </c>
      <c r="F173" s="20" t="s">
        <v>372</v>
      </c>
      <c r="G173" s="8" t="str">
        <f t="shared" si="4"/>
        <v>STAMBAUGH JAMES</v>
      </c>
      <c r="H173" s="20" t="str">
        <f t="shared" si="5"/>
        <v>4063</v>
      </c>
    </row>
    <row r="174" spans="1:8" x14ac:dyDescent="0.25">
      <c r="A174" s="8">
        <v>43004.709861111114</v>
      </c>
      <c r="B174" s="20" t="s">
        <v>642</v>
      </c>
      <c r="C174" s="20" t="s">
        <v>790</v>
      </c>
      <c r="D174" s="138">
        <v>2230000</v>
      </c>
      <c r="E174" s="20" t="s">
        <v>504</v>
      </c>
      <c r="F174" s="20" t="s">
        <v>190</v>
      </c>
      <c r="G174" s="8" t="str">
        <f t="shared" si="4"/>
        <v>SMITH MICHAEL</v>
      </c>
      <c r="H174" s="20" t="str">
        <f t="shared" si="5"/>
        <v>4045</v>
      </c>
    </row>
    <row r="175" spans="1:8" x14ac:dyDescent="0.25">
      <c r="A175" s="8">
        <v>43004.712812500002</v>
      </c>
      <c r="B175" s="20" t="s">
        <v>612</v>
      </c>
      <c r="C175" s="20" t="s">
        <v>791</v>
      </c>
      <c r="D175" s="138">
        <v>2970000</v>
      </c>
      <c r="E175" s="20" t="s">
        <v>502</v>
      </c>
      <c r="F175" s="20" t="s">
        <v>503</v>
      </c>
      <c r="G175" s="8" t="str">
        <f t="shared" si="4"/>
        <v>GUZMAN DANNY</v>
      </c>
      <c r="H175" s="20" t="str">
        <f t="shared" si="5"/>
        <v>4066</v>
      </c>
    </row>
    <row r="176" spans="1:8" x14ac:dyDescent="0.25">
      <c r="A176" s="8">
        <v>43004.715451388889</v>
      </c>
      <c r="B176" s="20" t="s">
        <v>640</v>
      </c>
      <c r="C176" s="20" t="s">
        <v>792</v>
      </c>
      <c r="D176" s="138">
        <v>2150000</v>
      </c>
      <c r="E176" s="20" t="s">
        <v>548</v>
      </c>
      <c r="F176" s="20" t="s">
        <v>549</v>
      </c>
      <c r="G176" s="8" t="str">
        <f t="shared" si="4"/>
        <v>SWANSON BRYCE</v>
      </c>
      <c r="H176" s="20" t="str">
        <f t="shared" si="5"/>
        <v>4018</v>
      </c>
    </row>
    <row r="177" spans="1:8" x14ac:dyDescent="0.25">
      <c r="A177" s="8">
        <v>43004.717627314814</v>
      </c>
      <c r="B177" s="20" t="s">
        <v>495</v>
      </c>
      <c r="C177" s="20" t="s">
        <v>793</v>
      </c>
      <c r="D177" s="138">
        <v>1810000</v>
      </c>
      <c r="E177" s="20" t="s">
        <v>729</v>
      </c>
      <c r="F177" s="20" t="s">
        <v>372</v>
      </c>
      <c r="G177" s="8" t="str">
        <f t="shared" si="4"/>
        <v>NEWELL JAMES</v>
      </c>
      <c r="H177" s="20" t="str">
        <f t="shared" si="5"/>
        <v>4060</v>
      </c>
    </row>
    <row r="178" spans="1:8" x14ac:dyDescent="0.25">
      <c r="A178" s="8">
        <v>43004.723275462966</v>
      </c>
      <c r="B178" s="20" t="s">
        <v>638</v>
      </c>
      <c r="C178" s="20" t="s">
        <v>794</v>
      </c>
      <c r="D178" s="138">
        <v>1180000</v>
      </c>
      <c r="E178" s="20" t="s">
        <v>544</v>
      </c>
      <c r="F178" s="20" t="s">
        <v>545</v>
      </c>
      <c r="G178" s="8" t="str">
        <f t="shared" si="4"/>
        <v>LEVERE CRAIG</v>
      </c>
      <c r="H178" s="20" t="str">
        <f t="shared" si="5"/>
        <v>4056</v>
      </c>
    </row>
    <row r="179" spans="1:8" x14ac:dyDescent="0.25">
      <c r="A179" s="8">
        <v>43004.723854166667</v>
      </c>
      <c r="B179" s="20" t="s">
        <v>413</v>
      </c>
      <c r="C179" s="20" t="s">
        <v>795</v>
      </c>
      <c r="D179" s="138">
        <v>2040000</v>
      </c>
      <c r="E179" s="20" t="s">
        <v>779</v>
      </c>
      <c r="F179" s="20" t="s">
        <v>780</v>
      </c>
      <c r="G179" s="8" t="str">
        <f t="shared" si="4"/>
        <v>MOSES BRADLEY</v>
      </c>
      <c r="H179" s="20" t="str">
        <f t="shared" si="5"/>
        <v>4023</v>
      </c>
    </row>
    <row r="180" spans="1:8" x14ac:dyDescent="0.25">
      <c r="A180" s="8">
        <v>43004.727187500001</v>
      </c>
      <c r="B180" s="20" t="s">
        <v>606</v>
      </c>
      <c r="C180" s="20" t="s">
        <v>796</v>
      </c>
      <c r="D180" s="138">
        <v>2970000</v>
      </c>
      <c r="E180" s="20" t="s">
        <v>502</v>
      </c>
      <c r="F180" s="20" t="s">
        <v>503</v>
      </c>
      <c r="G180" s="8" t="str">
        <f t="shared" si="4"/>
        <v>GUZMAN DANNY</v>
      </c>
      <c r="H180" s="20" t="str">
        <f t="shared" si="5"/>
        <v>4065</v>
      </c>
    </row>
    <row r="181" spans="1:8" x14ac:dyDescent="0.25">
      <c r="A181" s="8">
        <v>43004.72724537037</v>
      </c>
      <c r="B181" s="20" t="s">
        <v>623</v>
      </c>
      <c r="C181" s="20" t="s">
        <v>797</v>
      </c>
      <c r="D181" s="138">
        <v>2630000</v>
      </c>
      <c r="E181" s="20" t="s">
        <v>500</v>
      </c>
      <c r="F181" s="20" t="s">
        <v>501</v>
      </c>
      <c r="G181" s="8" t="str">
        <f t="shared" si="4"/>
        <v>SAFIEF AEIMEN</v>
      </c>
      <c r="H181" s="20" t="str">
        <f t="shared" si="5"/>
        <v>4062</v>
      </c>
    </row>
    <row r="182" spans="1:8" x14ac:dyDescent="0.25">
      <c r="A182" s="8">
        <v>43004.730173611111</v>
      </c>
      <c r="B182" s="20" t="s">
        <v>655</v>
      </c>
      <c r="C182" s="20" t="s">
        <v>798</v>
      </c>
      <c r="D182" s="138">
        <v>1300000</v>
      </c>
      <c r="E182" s="20" t="s">
        <v>546</v>
      </c>
      <c r="F182" s="20" t="s">
        <v>547</v>
      </c>
      <c r="G182" s="8" t="str">
        <f t="shared" si="4"/>
        <v>LEVIN SCOTT</v>
      </c>
      <c r="H182" s="20" t="str">
        <f t="shared" si="5"/>
        <v>4054</v>
      </c>
    </row>
    <row r="183" spans="1:8" x14ac:dyDescent="0.25">
      <c r="A183" s="8">
        <v>43004.730682870373</v>
      </c>
      <c r="B183" s="20" t="s">
        <v>655</v>
      </c>
      <c r="C183" s="20" t="s">
        <v>798</v>
      </c>
      <c r="D183" s="138">
        <v>1300000</v>
      </c>
      <c r="E183" s="20" t="s">
        <v>546</v>
      </c>
      <c r="F183" s="20" t="s">
        <v>547</v>
      </c>
      <c r="G183" s="8" t="str">
        <f t="shared" si="4"/>
        <v>LEVIN SCOTT</v>
      </c>
      <c r="H183" s="20" t="str">
        <f t="shared" si="5"/>
        <v>4054</v>
      </c>
    </row>
    <row r="184" spans="1:8" x14ac:dyDescent="0.25">
      <c r="A184" s="8">
        <v>43004.734155092592</v>
      </c>
      <c r="B184" s="20" t="s">
        <v>438</v>
      </c>
      <c r="C184" s="20" t="s">
        <v>799</v>
      </c>
      <c r="D184" s="138">
        <v>2000000</v>
      </c>
      <c r="E184" s="20" t="s">
        <v>392</v>
      </c>
      <c r="F184" s="20" t="s">
        <v>372</v>
      </c>
      <c r="G184" s="8" t="str">
        <f t="shared" si="4"/>
        <v>STAMBAUGH JAMES</v>
      </c>
      <c r="H184" s="20" t="str">
        <f t="shared" si="5"/>
        <v>4064</v>
      </c>
    </row>
    <row r="185" spans="1:8" x14ac:dyDescent="0.25">
      <c r="A185" s="8">
        <v>43004.734224537038</v>
      </c>
      <c r="B185" s="20" t="s">
        <v>655</v>
      </c>
      <c r="C185" s="20" t="s">
        <v>798</v>
      </c>
      <c r="D185" s="138">
        <v>1300000</v>
      </c>
      <c r="E185" s="20" t="s">
        <v>546</v>
      </c>
      <c r="F185" s="20" t="s">
        <v>547</v>
      </c>
      <c r="G185" s="8" t="str">
        <f t="shared" si="4"/>
        <v>LEVIN SCOTT</v>
      </c>
      <c r="H185" s="20" t="str">
        <f t="shared" si="5"/>
        <v>4054</v>
      </c>
    </row>
    <row r="186" spans="1:8" x14ac:dyDescent="0.25">
      <c r="A186" s="8">
        <v>43004.734351851854</v>
      </c>
      <c r="B186" s="20" t="s">
        <v>437</v>
      </c>
      <c r="C186" s="20" t="s">
        <v>630</v>
      </c>
      <c r="D186" s="138">
        <v>3310000</v>
      </c>
      <c r="E186" s="20" t="s">
        <v>443</v>
      </c>
      <c r="F186" s="20" t="s">
        <v>444</v>
      </c>
      <c r="G186" s="8" t="str">
        <f t="shared" si="4"/>
        <v>ANDERS STEVEN</v>
      </c>
      <c r="H186" s="20" t="str">
        <f t="shared" si="5"/>
        <v>4001</v>
      </c>
    </row>
    <row r="187" spans="1:8" x14ac:dyDescent="0.25">
      <c r="A187" s="8">
        <v>43004.734490740739</v>
      </c>
      <c r="B187" s="20" t="s">
        <v>456</v>
      </c>
      <c r="C187" s="20" t="s">
        <v>800</v>
      </c>
      <c r="D187" s="138">
        <v>3130000</v>
      </c>
      <c r="E187" s="20" t="s">
        <v>783</v>
      </c>
      <c r="F187" s="20" t="s">
        <v>784</v>
      </c>
      <c r="G187" s="8" t="str">
        <f t="shared" si="4"/>
        <v>ZEWDU DEREJE</v>
      </c>
      <c r="H187" s="20" t="str">
        <f t="shared" si="5"/>
        <v>4009</v>
      </c>
    </row>
    <row r="188" spans="1:8" x14ac:dyDescent="0.25">
      <c r="A188" s="8">
        <v>43004.737986111111</v>
      </c>
      <c r="B188" s="20" t="s">
        <v>655</v>
      </c>
      <c r="C188" s="20" t="s">
        <v>798</v>
      </c>
      <c r="D188" s="138">
        <v>1300000</v>
      </c>
      <c r="E188" s="20" t="s">
        <v>546</v>
      </c>
      <c r="F188" s="20" t="s">
        <v>547</v>
      </c>
      <c r="G188" s="8" t="str">
        <f t="shared" si="4"/>
        <v>LEVIN SCOTT</v>
      </c>
      <c r="H188" s="20" t="str">
        <f t="shared" si="5"/>
        <v>4054</v>
      </c>
    </row>
    <row r="189" spans="1:8" x14ac:dyDescent="0.25">
      <c r="A189" s="8">
        <v>43004.738981481481</v>
      </c>
      <c r="B189" s="20" t="s">
        <v>489</v>
      </c>
      <c r="C189" s="20" t="s">
        <v>801</v>
      </c>
      <c r="D189" s="138">
        <v>890000</v>
      </c>
      <c r="E189" s="20" t="s">
        <v>366</v>
      </c>
      <c r="F189" s="20" t="s">
        <v>367</v>
      </c>
      <c r="G189" s="8" t="str">
        <f t="shared" si="4"/>
        <v>LOZA FIDEL</v>
      </c>
      <c r="H189" s="20" t="str">
        <f t="shared" si="5"/>
        <v>4026</v>
      </c>
    </row>
    <row r="190" spans="1:8" x14ac:dyDescent="0.25">
      <c r="A190" s="8">
        <v>43004.746400462966</v>
      </c>
      <c r="B190" s="20" t="s">
        <v>424</v>
      </c>
      <c r="C190" s="20" t="s">
        <v>802</v>
      </c>
      <c r="D190" s="138">
        <v>2150000</v>
      </c>
      <c r="E190" s="20" t="s">
        <v>548</v>
      </c>
      <c r="F190" s="20" t="s">
        <v>549</v>
      </c>
      <c r="G190" s="8" t="str">
        <f t="shared" si="4"/>
        <v>SWANSON BRYCE</v>
      </c>
      <c r="H190" s="20" t="str">
        <f t="shared" si="5"/>
        <v>4017</v>
      </c>
    </row>
    <row r="191" spans="1:8" x14ac:dyDescent="0.25">
      <c r="A191" s="8">
        <v>43004.746886574074</v>
      </c>
      <c r="B191" s="20" t="s">
        <v>435</v>
      </c>
      <c r="C191" s="20" t="s">
        <v>803</v>
      </c>
      <c r="D191" s="138">
        <v>2000000</v>
      </c>
      <c r="E191" s="20" t="s">
        <v>392</v>
      </c>
      <c r="F191" s="20" t="s">
        <v>372</v>
      </c>
      <c r="G191" s="8" t="str">
        <f t="shared" si="4"/>
        <v>STAMBAUGH JAMES</v>
      </c>
      <c r="H191" s="20" t="str">
        <f t="shared" si="5"/>
        <v>4063</v>
      </c>
    </row>
    <row r="192" spans="1:8" x14ac:dyDescent="0.25">
      <c r="A192" s="8">
        <v>43004.747499999998</v>
      </c>
      <c r="B192" s="20" t="s">
        <v>492</v>
      </c>
      <c r="C192" s="20" t="s">
        <v>804</v>
      </c>
      <c r="D192" s="138">
        <v>2230000</v>
      </c>
      <c r="E192" s="20" t="s">
        <v>504</v>
      </c>
      <c r="F192" s="20" t="s">
        <v>190</v>
      </c>
      <c r="G192" s="8" t="str">
        <f t="shared" si="4"/>
        <v>SMITH MICHAEL</v>
      </c>
      <c r="H192" s="20" t="str">
        <f t="shared" si="5"/>
        <v>4046</v>
      </c>
    </row>
    <row r="193" spans="1:8" x14ac:dyDescent="0.25">
      <c r="A193" s="8">
        <v>43004.753969907404</v>
      </c>
      <c r="B193" s="20" t="s">
        <v>612</v>
      </c>
      <c r="C193" s="20" t="s">
        <v>805</v>
      </c>
      <c r="D193" s="138">
        <v>2970000</v>
      </c>
      <c r="E193" s="20" t="s">
        <v>502</v>
      </c>
      <c r="F193" s="20" t="s">
        <v>503</v>
      </c>
      <c r="G193" s="8" t="str">
        <f t="shared" si="4"/>
        <v>GUZMAN DANNY</v>
      </c>
      <c r="H193" s="20" t="str">
        <f t="shared" si="5"/>
        <v>4066</v>
      </c>
    </row>
    <row r="194" spans="1:8" x14ac:dyDescent="0.25">
      <c r="A194" s="8">
        <v>43004.755879629629</v>
      </c>
      <c r="B194" s="20" t="s">
        <v>647</v>
      </c>
      <c r="C194" s="20" t="s">
        <v>806</v>
      </c>
      <c r="D194" s="138">
        <v>1180000</v>
      </c>
      <c r="E194" s="20" t="s">
        <v>544</v>
      </c>
      <c r="F194" s="20" t="s">
        <v>545</v>
      </c>
      <c r="G194" s="8" t="str">
        <f t="shared" si="4"/>
        <v>LEVERE CRAIG</v>
      </c>
      <c r="H194" s="20" t="str">
        <f t="shared" si="5"/>
        <v>4055</v>
      </c>
    </row>
    <row r="195" spans="1:8" x14ac:dyDescent="0.25">
      <c r="A195" s="8">
        <v>43004.757210648146</v>
      </c>
      <c r="B195" s="20" t="s">
        <v>414</v>
      </c>
      <c r="C195" s="20" t="s">
        <v>807</v>
      </c>
      <c r="D195" s="138">
        <v>2620000</v>
      </c>
      <c r="E195" s="20" t="s">
        <v>378</v>
      </c>
      <c r="F195" s="20" t="s">
        <v>379</v>
      </c>
      <c r="G195" s="8" t="str">
        <f t="shared" ref="G195:G258" si="6">E195&amp;" "&amp;F195</f>
        <v>PERKINS DARREN</v>
      </c>
      <c r="H195" s="20" t="str">
        <f t="shared" ref="H195:H258" si="7">MID(B195,13,4)</f>
        <v>4024</v>
      </c>
    </row>
    <row r="196" spans="1:8" x14ac:dyDescent="0.25">
      <c r="A196" s="8">
        <v>43004.763124999998</v>
      </c>
      <c r="B196" s="20" t="s">
        <v>494</v>
      </c>
      <c r="C196" s="20" t="s">
        <v>808</v>
      </c>
      <c r="D196" s="138">
        <v>2630000</v>
      </c>
      <c r="E196" s="20" t="s">
        <v>500</v>
      </c>
      <c r="F196" s="20" t="s">
        <v>501</v>
      </c>
      <c r="G196" s="8" t="str">
        <f t="shared" si="6"/>
        <v>SAFIEF AEIMEN</v>
      </c>
      <c r="H196" s="20" t="str">
        <f t="shared" si="7"/>
        <v>4061</v>
      </c>
    </row>
    <row r="197" spans="1:8" x14ac:dyDescent="0.25">
      <c r="A197" s="8">
        <v>43004.76734953704</v>
      </c>
      <c r="B197" s="20" t="s">
        <v>423</v>
      </c>
      <c r="C197" s="20" t="s">
        <v>809</v>
      </c>
      <c r="D197" s="138">
        <v>3190000</v>
      </c>
      <c r="E197" s="20" t="s">
        <v>380</v>
      </c>
      <c r="F197" s="20" t="s">
        <v>381</v>
      </c>
      <c r="G197" s="8" t="str">
        <f t="shared" si="6"/>
        <v>HART KEVIN</v>
      </c>
      <c r="H197" s="20" t="str">
        <f t="shared" si="7"/>
        <v>4010</v>
      </c>
    </row>
    <row r="198" spans="1:8" x14ac:dyDescent="0.25">
      <c r="A198" s="8">
        <v>43004.768761574072</v>
      </c>
      <c r="B198" s="20" t="s">
        <v>606</v>
      </c>
      <c r="C198" s="20" t="s">
        <v>810</v>
      </c>
      <c r="D198" s="138">
        <v>2970000</v>
      </c>
      <c r="E198" s="20" t="s">
        <v>502</v>
      </c>
      <c r="F198" s="20" t="s">
        <v>503</v>
      </c>
      <c r="G198" s="8" t="str">
        <f t="shared" si="6"/>
        <v>GUZMAN DANNY</v>
      </c>
      <c r="H198" s="20" t="str">
        <f t="shared" si="7"/>
        <v>4065</v>
      </c>
    </row>
    <row r="199" spans="1:8" x14ac:dyDescent="0.25">
      <c r="A199" s="8">
        <v>43004.776250000003</v>
      </c>
      <c r="B199" s="20" t="s">
        <v>438</v>
      </c>
      <c r="C199" s="20" t="s">
        <v>811</v>
      </c>
      <c r="D199" s="138">
        <v>2000000</v>
      </c>
      <c r="E199" s="20" t="s">
        <v>392</v>
      </c>
      <c r="F199" s="20" t="s">
        <v>372</v>
      </c>
      <c r="G199" s="8" t="str">
        <f t="shared" si="6"/>
        <v>STAMBAUGH JAMES</v>
      </c>
      <c r="H199" s="20" t="str">
        <f t="shared" si="7"/>
        <v>4064</v>
      </c>
    </row>
    <row r="200" spans="1:8" x14ac:dyDescent="0.25">
      <c r="A200" s="8">
        <v>43004.777754629627</v>
      </c>
      <c r="B200" s="20" t="s">
        <v>488</v>
      </c>
      <c r="C200" s="20" t="s">
        <v>812</v>
      </c>
      <c r="D200" s="138">
        <v>890000</v>
      </c>
      <c r="E200" s="20" t="s">
        <v>366</v>
      </c>
      <c r="F200" s="20" t="s">
        <v>367</v>
      </c>
      <c r="G200" s="8" t="str">
        <f t="shared" si="6"/>
        <v>LOZA FIDEL</v>
      </c>
      <c r="H200" s="20" t="str">
        <f t="shared" si="7"/>
        <v>4025</v>
      </c>
    </row>
    <row r="201" spans="1:8" x14ac:dyDescent="0.25">
      <c r="A201" s="8">
        <v>43004.780092592591</v>
      </c>
      <c r="B201" s="20" t="s">
        <v>640</v>
      </c>
      <c r="C201" s="20" t="s">
        <v>813</v>
      </c>
      <c r="D201" s="138">
        <v>2150000</v>
      </c>
      <c r="E201" s="20" t="s">
        <v>548</v>
      </c>
      <c r="F201" s="20" t="s">
        <v>549</v>
      </c>
      <c r="G201" s="8" t="str">
        <f t="shared" si="6"/>
        <v>SWANSON BRYCE</v>
      </c>
      <c r="H201" s="20" t="str">
        <f t="shared" si="7"/>
        <v>4018</v>
      </c>
    </row>
    <row r="202" spans="1:8" x14ac:dyDescent="0.25">
      <c r="A202" s="26">
        <v>43004.780381944445</v>
      </c>
      <c r="B202" s="20" t="s">
        <v>642</v>
      </c>
      <c r="C202" s="20" t="s">
        <v>814</v>
      </c>
      <c r="D202" s="138">
        <v>2230000</v>
      </c>
      <c r="E202" s="20" t="s">
        <v>504</v>
      </c>
      <c r="F202" s="20" t="s">
        <v>190</v>
      </c>
      <c r="G202" s="8" t="str">
        <f t="shared" si="6"/>
        <v>SMITH MICHAEL</v>
      </c>
      <c r="H202" s="20" t="str">
        <f t="shared" si="7"/>
        <v>4045</v>
      </c>
    </row>
    <row r="203" spans="1:8" x14ac:dyDescent="0.25">
      <c r="A203" s="8">
        <v>43004.789155092592</v>
      </c>
      <c r="B203" s="20" t="s">
        <v>638</v>
      </c>
      <c r="C203" s="20" t="s">
        <v>815</v>
      </c>
      <c r="D203" s="138">
        <v>2680000</v>
      </c>
      <c r="E203" s="20" t="s">
        <v>376</v>
      </c>
      <c r="F203" s="20" t="s">
        <v>377</v>
      </c>
      <c r="G203" s="8" t="str">
        <f t="shared" si="6"/>
        <v>DUNCAN SHEILA</v>
      </c>
      <c r="H203" s="20" t="str">
        <f t="shared" si="7"/>
        <v>4056</v>
      </c>
    </row>
    <row r="204" spans="1:8" x14ac:dyDescent="0.25">
      <c r="A204" s="8">
        <v>43004.789282407408</v>
      </c>
      <c r="B204" s="20" t="s">
        <v>413</v>
      </c>
      <c r="C204" s="20" t="s">
        <v>632</v>
      </c>
      <c r="D204" s="138">
        <v>2620000</v>
      </c>
      <c r="E204" s="20" t="s">
        <v>378</v>
      </c>
      <c r="F204" s="20" t="s">
        <v>379</v>
      </c>
      <c r="G204" s="8" t="str">
        <f t="shared" si="6"/>
        <v>PERKINS DARREN</v>
      </c>
      <c r="H204" s="20" t="str">
        <f t="shared" si="7"/>
        <v>4023</v>
      </c>
    </row>
    <row r="205" spans="1:8" x14ac:dyDescent="0.25">
      <c r="A205" s="8">
        <v>43004.789525462962</v>
      </c>
      <c r="B205" s="20" t="s">
        <v>435</v>
      </c>
      <c r="C205" s="20" t="s">
        <v>631</v>
      </c>
      <c r="D205" s="138">
        <v>2000000</v>
      </c>
      <c r="E205" s="20" t="s">
        <v>392</v>
      </c>
      <c r="F205" s="20" t="s">
        <v>372</v>
      </c>
      <c r="G205" s="8" t="str">
        <f t="shared" si="6"/>
        <v>STAMBAUGH JAMES</v>
      </c>
      <c r="H205" s="20" t="str">
        <f t="shared" si="7"/>
        <v>4063</v>
      </c>
    </row>
    <row r="206" spans="1:8" x14ac:dyDescent="0.25">
      <c r="A206" s="8">
        <v>43004.792071759257</v>
      </c>
      <c r="B206" s="20" t="s">
        <v>612</v>
      </c>
      <c r="C206" s="20" t="s">
        <v>816</v>
      </c>
      <c r="D206" s="138">
        <v>2970000</v>
      </c>
      <c r="E206" s="20" t="s">
        <v>502</v>
      </c>
      <c r="F206" s="20" t="s">
        <v>503</v>
      </c>
      <c r="G206" s="8" t="str">
        <f t="shared" si="6"/>
        <v>GUZMAN DANNY</v>
      </c>
      <c r="H206" s="20" t="str">
        <f t="shared" si="7"/>
        <v>4066</v>
      </c>
    </row>
    <row r="207" spans="1:8" x14ac:dyDescent="0.25">
      <c r="A207" s="8">
        <v>43004.79415509259</v>
      </c>
      <c r="B207" s="20" t="s">
        <v>413</v>
      </c>
      <c r="C207" s="20" t="s">
        <v>632</v>
      </c>
      <c r="D207" s="138">
        <v>2620000</v>
      </c>
      <c r="E207" s="20" t="s">
        <v>378</v>
      </c>
      <c r="F207" s="20" t="s">
        <v>379</v>
      </c>
      <c r="G207" s="8" t="str">
        <f t="shared" si="6"/>
        <v>PERKINS DARREN</v>
      </c>
      <c r="H207" s="20" t="str">
        <f t="shared" si="7"/>
        <v>4023</v>
      </c>
    </row>
    <row r="208" spans="1:8" x14ac:dyDescent="0.25">
      <c r="A208" s="8">
        <v>43004.796932870369</v>
      </c>
      <c r="B208" s="20" t="s">
        <v>623</v>
      </c>
      <c r="C208" s="20" t="s">
        <v>817</v>
      </c>
      <c r="D208" s="138">
        <v>2630000</v>
      </c>
      <c r="E208" s="20" t="s">
        <v>500</v>
      </c>
      <c r="F208" s="20" t="s">
        <v>501</v>
      </c>
      <c r="G208" s="8" t="str">
        <f t="shared" si="6"/>
        <v>SAFIEF AEIMEN</v>
      </c>
      <c r="H208" s="20" t="str">
        <f t="shared" si="7"/>
        <v>4062</v>
      </c>
    </row>
    <row r="209" spans="1:8" x14ac:dyDescent="0.25">
      <c r="A209" s="8">
        <v>43004.808668981481</v>
      </c>
      <c r="B209" s="20" t="s">
        <v>456</v>
      </c>
      <c r="C209" s="20" t="s">
        <v>818</v>
      </c>
      <c r="D209" s="138">
        <v>3190000</v>
      </c>
      <c r="E209" s="20" t="s">
        <v>380</v>
      </c>
      <c r="F209" s="20" t="s">
        <v>381</v>
      </c>
      <c r="G209" s="8" t="str">
        <f t="shared" si="6"/>
        <v>HART KEVIN</v>
      </c>
      <c r="H209" s="20" t="str">
        <f t="shared" si="7"/>
        <v>4009</v>
      </c>
    </row>
    <row r="210" spans="1:8" x14ac:dyDescent="0.25">
      <c r="A210" s="8">
        <v>43004.810601851852</v>
      </c>
      <c r="B210" s="20" t="s">
        <v>606</v>
      </c>
      <c r="C210" s="20" t="s">
        <v>819</v>
      </c>
      <c r="D210" s="138">
        <v>2970000</v>
      </c>
      <c r="E210" s="20" t="s">
        <v>502</v>
      </c>
      <c r="F210" s="20" t="s">
        <v>503</v>
      </c>
      <c r="G210" s="8" t="str">
        <f t="shared" si="6"/>
        <v>GUZMAN DANNY</v>
      </c>
      <c r="H210" s="20" t="str">
        <f t="shared" si="7"/>
        <v>4065</v>
      </c>
    </row>
    <row r="211" spans="1:8" x14ac:dyDescent="0.25">
      <c r="A211" s="8">
        <v>43004.811249999999</v>
      </c>
      <c r="B211" s="20" t="s">
        <v>489</v>
      </c>
      <c r="C211" s="20" t="s">
        <v>820</v>
      </c>
      <c r="D211" s="138">
        <v>890000</v>
      </c>
      <c r="E211" s="20" t="s">
        <v>366</v>
      </c>
      <c r="F211" s="20" t="s">
        <v>367</v>
      </c>
      <c r="G211" s="8" t="str">
        <f t="shared" si="6"/>
        <v>LOZA FIDEL</v>
      </c>
      <c r="H211" s="20" t="str">
        <f t="shared" si="7"/>
        <v>4026</v>
      </c>
    </row>
    <row r="212" spans="1:8" x14ac:dyDescent="0.25">
      <c r="A212" s="8">
        <v>43004.818888888891</v>
      </c>
      <c r="B212" s="20" t="s">
        <v>492</v>
      </c>
      <c r="C212" s="20" t="s">
        <v>821</v>
      </c>
      <c r="D212" s="138">
        <v>2230000</v>
      </c>
      <c r="E212" s="20" t="s">
        <v>504</v>
      </c>
      <c r="F212" s="20" t="s">
        <v>190</v>
      </c>
      <c r="G212" s="8" t="str">
        <f t="shared" si="6"/>
        <v>SMITH MICHAEL</v>
      </c>
      <c r="H212" s="20" t="str">
        <f t="shared" si="7"/>
        <v>4046</v>
      </c>
    </row>
    <row r="213" spans="1:8" x14ac:dyDescent="0.25">
      <c r="A213" s="8">
        <v>43004.825868055559</v>
      </c>
      <c r="B213" s="20" t="s">
        <v>647</v>
      </c>
      <c r="C213" s="20" t="s">
        <v>822</v>
      </c>
      <c r="D213" s="138">
        <v>2680000</v>
      </c>
      <c r="E213" s="20" t="s">
        <v>376</v>
      </c>
      <c r="F213" s="20" t="s">
        <v>377</v>
      </c>
      <c r="G213" s="8" t="str">
        <f t="shared" si="6"/>
        <v>DUNCAN SHEILA</v>
      </c>
      <c r="H213" s="20" t="str">
        <f t="shared" si="7"/>
        <v>4055</v>
      </c>
    </row>
    <row r="214" spans="1:8" x14ac:dyDescent="0.25">
      <c r="A214" s="8">
        <v>43004.830196759256</v>
      </c>
      <c r="B214" s="20" t="s">
        <v>414</v>
      </c>
      <c r="C214" s="20" t="s">
        <v>823</v>
      </c>
      <c r="D214" s="138">
        <v>2620000</v>
      </c>
      <c r="E214" s="20" t="s">
        <v>378</v>
      </c>
      <c r="F214" s="20" t="s">
        <v>379</v>
      </c>
      <c r="G214" s="8" t="str">
        <f t="shared" si="6"/>
        <v>PERKINS DARREN</v>
      </c>
      <c r="H214" s="20" t="str">
        <f t="shared" si="7"/>
        <v>4024</v>
      </c>
    </row>
    <row r="215" spans="1:8" x14ac:dyDescent="0.25">
      <c r="A215" s="8">
        <v>43004.836539351854</v>
      </c>
      <c r="B215" s="20" t="s">
        <v>612</v>
      </c>
      <c r="C215" s="20" t="s">
        <v>824</v>
      </c>
      <c r="D215" s="138">
        <v>3130000</v>
      </c>
      <c r="E215" s="20" t="s">
        <v>783</v>
      </c>
      <c r="F215" s="20" t="s">
        <v>784</v>
      </c>
      <c r="G215" s="8" t="str">
        <f t="shared" si="6"/>
        <v>ZEWDU DEREJE</v>
      </c>
      <c r="H215" s="20" t="str">
        <f t="shared" si="7"/>
        <v>4066</v>
      </c>
    </row>
    <row r="216" spans="1:8" x14ac:dyDescent="0.25">
      <c r="A216" s="8">
        <v>43004.850034722222</v>
      </c>
      <c r="B216" s="20" t="s">
        <v>488</v>
      </c>
      <c r="C216" s="20" t="s">
        <v>825</v>
      </c>
      <c r="D216" s="138">
        <v>890000</v>
      </c>
      <c r="E216" s="20" t="s">
        <v>366</v>
      </c>
      <c r="F216" s="20" t="s">
        <v>367</v>
      </c>
      <c r="G216" s="8" t="str">
        <f t="shared" si="6"/>
        <v>LOZA FIDEL</v>
      </c>
      <c r="H216" s="20" t="str">
        <f t="shared" si="7"/>
        <v>4025</v>
      </c>
    </row>
    <row r="217" spans="1:8" x14ac:dyDescent="0.25">
      <c r="A217" s="8">
        <v>43004.851006944446</v>
      </c>
      <c r="B217" s="20" t="s">
        <v>423</v>
      </c>
      <c r="C217" s="20" t="s">
        <v>633</v>
      </c>
      <c r="D217" s="138">
        <v>3190000</v>
      </c>
      <c r="E217" s="20" t="s">
        <v>380</v>
      </c>
      <c r="F217" s="20" t="s">
        <v>381</v>
      </c>
      <c r="G217" s="8" t="str">
        <f t="shared" si="6"/>
        <v>HART KEVIN</v>
      </c>
      <c r="H217" s="20" t="str">
        <f t="shared" si="7"/>
        <v>4010</v>
      </c>
    </row>
    <row r="218" spans="1:8" x14ac:dyDescent="0.25">
      <c r="A218" s="8">
        <v>43004.854224537034</v>
      </c>
      <c r="B218" s="20" t="s">
        <v>606</v>
      </c>
      <c r="C218" s="20" t="s">
        <v>826</v>
      </c>
      <c r="D218" s="138">
        <v>3130000</v>
      </c>
      <c r="E218" s="20" t="s">
        <v>783</v>
      </c>
      <c r="F218" s="20" t="s">
        <v>784</v>
      </c>
      <c r="G218" s="8" t="str">
        <f t="shared" si="6"/>
        <v>ZEWDU DEREJE</v>
      </c>
      <c r="H218" s="20" t="str">
        <f t="shared" si="7"/>
        <v>4065</v>
      </c>
    </row>
    <row r="219" spans="1:8" x14ac:dyDescent="0.25">
      <c r="A219" s="8">
        <v>43004.858611111114</v>
      </c>
      <c r="B219" s="20" t="s">
        <v>423</v>
      </c>
      <c r="C219" s="20" t="s">
        <v>633</v>
      </c>
      <c r="D219" s="138">
        <v>3190000</v>
      </c>
      <c r="E219" s="20" t="s">
        <v>380</v>
      </c>
      <c r="F219" s="20" t="s">
        <v>381</v>
      </c>
      <c r="G219" s="8" t="str">
        <f t="shared" si="6"/>
        <v>HART KEVIN</v>
      </c>
      <c r="H219" s="20" t="str">
        <f t="shared" si="7"/>
        <v>4010</v>
      </c>
    </row>
    <row r="220" spans="1:8" x14ac:dyDescent="0.25">
      <c r="A220" s="8">
        <v>43004.86346064815</v>
      </c>
      <c r="B220" s="20" t="s">
        <v>413</v>
      </c>
      <c r="C220" s="20" t="s">
        <v>827</v>
      </c>
      <c r="D220" s="138">
        <v>2620000</v>
      </c>
      <c r="E220" s="20" t="s">
        <v>378</v>
      </c>
      <c r="F220" s="20" t="s">
        <v>379</v>
      </c>
      <c r="G220" s="8" t="str">
        <f t="shared" si="6"/>
        <v>PERKINS DARREN</v>
      </c>
      <c r="H220" s="20" t="str">
        <f t="shared" si="7"/>
        <v>4023</v>
      </c>
    </row>
    <row r="221" spans="1:8" x14ac:dyDescent="0.25">
      <c r="A221" s="8">
        <v>43004.864178240743</v>
      </c>
      <c r="B221" s="20" t="s">
        <v>638</v>
      </c>
      <c r="C221" s="20" t="s">
        <v>828</v>
      </c>
      <c r="D221" s="138">
        <v>3280000</v>
      </c>
      <c r="E221" s="20" t="s">
        <v>430</v>
      </c>
      <c r="F221" s="20" t="s">
        <v>431</v>
      </c>
      <c r="G221" s="8" t="str">
        <f t="shared" si="6"/>
        <v>BIRKHOLZ NADINE</v>
      </c>
      <c r="H221" s="20" t="str">
        <f t="shared" si="7"/>
        <v>4056</v>
      </c>
    </row>
    <row r="222" spans="1:8" x14ac:dyDescent="0.25">
      <c r="A222" s="8">
        <v>43004.87740740741</v>
      </c>
      <c r="B222" s="20" t="s">
        <v>612</v>
      </c>
      <c r="C222" s="20" t="s">
        <v>634</v>
      </c>
      <c r="D222" s="138">
        <v>2000000</v>
      </c>
      <c r="E222" s="20" t="s">
        <v>392</v>
      </c>
      <c r="F222" s="20" t="s">
        <v>372</v>
      </c>
      <c r="G222" s="8" t="str">
        <f t="shared" si="6"/>
        <v>STAMBAUGH JAMES</v>
      </c>
      <c r="H222" s="20" t="str">
        <f t="shared" si="7"/>
        <v>4066</v>
      </c>
    </row>
    <row r="223" spans="1:8" x14ac:dyDescent="0.25">
      <c r="A223" s="8">
        <v>43004.882152777776</v>
      </c>
      <c r="B223" s="20" t="s">
        <v>489</v>
      </c>
      <c r="C223" s="20" t="s">
        <v>829</v>
      </c>
      <c r="D223" s="138">
        <v>890000</v>
      </c>
      <c r="E223" s="20" t="s">
        <v>366</v>
      </c>
      <c r="F223" s="20" t="s">
        <v>367</v>
      </c>
      <c r="G223" s="8" t="str">
        <f t="shared" si="6"/>
        <v>LOZA FIDEL</v>
      </c>
      <c r="H223" s="20" t="str">
        <f t="shared" si="7"/>
        <v>4026</v>
      </c>
    </row>
    <row r="224" spans="1:8" x14ac:dyDescent="0.25">
      <c r="A224" s="8">
        <v>43004.891805555555</v>
      </c>
      <c r="B224" t="s">
        <v>456</v>
      </c>
      <c r="C224" t="s">
        <v>830</v>
      </c>
      <c r="D224" s="138">
        <v>3190000</v>
      </c>
      <c r="E224" t="s">
        <v>380</v>
      </c>
      <c r="F224" s="20" t="s">
        <v>381</v>
      </c>
      <c r="G224" s="8" t="str">
        <f t="shared" si="6"/>
        <v>HART KEVIN</v>
      </c>
      <c r="H224" s="20" t="str">
        <f t="shared" si="7"/>
        <v>4009</v>
      </c>
    </row>
    <row r="225" spans="1:8" x14ac:dyDescent="0.25">
      <c r="A225" s="8">
        <v>43004.893703703703</v>
      </c>
      <c r="B225" t="s">
        <v>606</v>
      </c>
      <c r="C225" t="s">
        <v>635</v>
      </c>
      <c r="D225" s="138">
        <v>2000000</v>
      </c>
      <c r="E225" t="s">
        <v>392</v>
      </c>
      <c r="F225" s="20" t="s">
        <v>372</v>
      </c>
      <c r="G225" s="8" t="str">
        <f t="shared" si="6"/>
        <v>STAMBAUGH JAMES</v>
      </c>
      <c r="H225" s="20" t="str">
        <f t="shared" si="7"/>
        <v>4065</v>
      </c>
    </row>
    <row r="226" spans="1:8" x14ac:dyDescent="0.25">
      <c r="A226" s="8">
        <v>43004.902465277781</v>
      </c>
      <c r="B226" t="s">
        <v>414</v>
      </c>
      <c r="C226" t="s">
        <v>831</v>
      </c>
      <c r="D226" s="138">
        <v>2620000</v>
      </c>
      <c r="E226" t="s">
        <v>378</v>
      </c>
      <c r="F226" s="20" t="s">
        <v>379</v>
      </c>
      <c r="G226" s="8" t="str">
        <f t="shared" si="6"/>
        <v>PERKINS DARREN</v>
      </c>
      <c r="H226" s="20" t="str">
        <f t="shared" si="7"/>
        <v>4024</v>
      </c>
    </row>
    <row r="227" spans="1:8" x14ac:dyDescent="0.25">
      <c r="A227" s="8">
        <v>43004.907777777778</v>
      </c>
      <c r="B227" t="s">
        <v>647</v>
      </c>
      <c r="C227" t="s">
        <v>832</v>
      </c>
      <c r="D227" s="138">
        <v>3280000</v>
      </c>
      <c r="E227" t="s">
        <v>430</v>
      </c>
      <c r="F227" s="20" t="s">
        <v>431</v>
      </c>
      <c r="G227" s="8" t="str">
        <f t="shared" si="6"/>
        <v>BIRKHOLZ NADINE</v>
      </c>
      <c r="H227" s="20" t="str">
        <f t="shared" si="7"/>
        <v>4055</v>
      </c>
    </row>
    <row r="228" spans="1:8" x14ac:dyDescent="0.25">
      <c r="A228" s="8">
        <v>43004.921944444446</v>
      </c>
      <c r="B228" t="s">
        <v>612</v>
      </c>
      <c r="C228" t="s">
        <v>833</v>
      </c>
      <c r="D228" s="138">
        <v>2000000</v>
      </c>
      <c r="E228" t="s">
        <v>392</v>
      </c>
      <c r="F228" s="20" t="s">
        <v>372</v>
      </c>
      <c r="G228" s="8" t="str">
        <f t="shared" si="6"/>
        <v>STAMBAUGH JAMES</v>
      </c>
      <c r="H228" s="20" t="str">
        <f t="shared" si="7"/>
        <v>4066</v>
      </c>
    </row>
    <row r="229" spans="1:8" x14ac:dyDescent="0.25">
      <c r="A229" s="8">
        <v>43004.932847222219</v>
      </c>
      <c r="B229" t="s">
        <v>488</v>
      </c>
      <c r="C229" t="s">
        <v>834</v>
      </c>
      <c r="D229" s="138">
        <v>890000</v>
      </c>
      <c r="E229" t="s">
        <v>366</v>
      </c>
      <c r="F229" s="20" t="s">
        <v>367</v>
      </c>
      <c r="G229" s="8" t="str">
        <f t="shared" si="6"/>
        <v>LOZA FIDEL</v>
      </c>
      <c r="H229" s="20" t="str">
        <f t="shared" si="7"/>
        <v>4025</v>
      </c>
    </row>
    <row r="230" spans="1:8" x14ac:dyDescent="0.25">
      <c r="A230" s="8">
        <v>43004.935243055559</v>
      </c>
      <c r="B230" t="s">
        <v>606</v>
      </c>
      <c r="C230" t="s">
        <v>835</v>
      </c>
      <c r="D230" s="138">
        <v>2000000</v>
      </c>
      <c r="E230" t="s">
        <v>392</v>
      </c>
      <c r="F230" s="20" t="s">
        <v>372</v>
      </c>
      <c r="G230" s="8" t="str">
        <f t="shared" si="6"/>
        <v>STAMBAUGH JAMES</v>
      </c>
      <c r="H230" s="20" t="str">
        <f t="shared" si="7"/>
        <v>4065</v>
      </c>
    </row>
    <row r="231" spans="1:8" x14ac:dyDescent="0.25">
      <c r="A231" s="8">
        <v>43004.935891203706</v>
      </c>
      <c r="B231" t="s">
        <v>423</v>
      </c>
      <c r="C231" t="s">
        <v>836</v>
      </c>
      <c r="D231" s="138">
        <v>3190000</v>
      </c>
      <c r="E231" t="s">
        <v>380</v>
      </c>
      <c r="F231" s="20" t="s">
        <v>381</v>
      </c>
      <c r="G231" s="8" t="str">
        <f t="shared" si="6"/>
        <v>HART KEVIN</v>
      </c>
      <c r="H231" s="20" t="str">
        <f t="shared" si="7"/>
        <v>4010</v>
      </c>
    </row>
    <row r="232" spans="1:8" x14ac:dyDescent="0.25">
      <c r="A232" s="8">
        <v>43004.943680555552</v>
      </c>
      <c r="B232" t="s">
        <v>638</v>
      </c>
      <c r="C232" t="s">
        <v>837</v>
      </c>
      <c r="D232" s="138">
        <v>2680000</v>
      </c>
      <c r="E232" t="s">
        <v>376</v>
      </c>
      <c r="F232" s="20" t="s">
        <v>377</v>
      </c>
      <c r="G232" s="8" t="str">
        <f t="shared" si="6"/>
        <v>DUNCAN SHEILA</v>
      </c>
      <c r="H232" s="20" t="str">
        <f t="shared" si="7"/>
        <v>4056</v>
      </c>
    </row>
    <row r="233" spans="1:8" x14ac:dyDescent="0.25">
      <c r="A233" s="8">
        <v>43004.94599537037</v>
      </c>
      <c r="B233" t="s">
        <v>413</v>
      </c>
      <c r="C233" t="s">
        <v>636</v>
      </c>
      <c r="D233" s="138">
        <v>2620000</v>
      </c>
      <c r="E233" t="s">
        <v>378</v>
      </c>
      <c r="F233" s="20" t="s">
        <v>379</v>
      </c>
      <c r="G233" s="8" t="str">
        <f t="shared" si="6"/>
        <v>PERKINS DARREN</v>
      </c>
      <c r="H233" s="20" t="str">
        <f t="shared" si="7"/>
        <v>4023</v>
      </c>
    </row>
    <row r="234" spans="1:8" x14ac:dyDescent="0.25">
      <c r="A234" s="8">
        <v>43004.963738425926</v>
      </c>
      <c r="B234" t="s">
        <v>612</v>
      </c>
      <c r="C234" t="s">
        <v>838</v>
      </c>
      <c r="D234" s="138">
        <v>2000000</v>
      </c>
      <c r="E234" t="s">
        <v>392</v>
      </c>
      <c r="F234" s="20" t="s">
        <v>372</v>
      </c>
      <c r="G234" s="8" t="str">
        <f t="shared" si="6"/>
        <v>STAMBAUGH JAMES</v>
      </c>
      <c r="H234" s="20" t="str">
        <f t="shared" si="7"/>
        <v>4066</v>
      </c>
    </row>
    <row r="235" spans="1:8" x14ac:dyDescent="0.25">
      <c r="A235" s="8">
        <v>43004.966377314813</v>
      </c>
      <c r="B235" t="s">
        <v>489</v>
      </c>
      <c r="C235" t="s">
        <v>839</v>
      </c>
      <c r="D235" s="138">
        <v>890000</v>
      </c>
      <c r="E235" t="s">
        <v>366</v>
      </c>
      <c r="F235" s="20" t="s">
        <v>367</v>
      </c>
      <c r="G235" s="8" t="str">
        <f t="shared" si="6"/>
        <v>LOZA FIDEL</v>
      </c>
      <c r="H235" s="20" t="str">
        <f t="shared" si="7"/>
        <v>4026</v>
      </c>
    </row>
    <row r="236" spans="1:8" x14ac:dyDescent="0.25">
      <c r="A236" s="8">
        <v>43004.974722222221</v>
      </c>
      <c r="B236" t="s">
        <v>456</v>
      </c>
      <c r="C236" t="s">
        <v>840</v>
      </c>
      <c r="D236" s="138">
        <v>3190000</v>
      </c>
      <c r="E236" t="s">
        <v>380</v>
      </c>
      <c r="F236" s="20" t="s">
        <v>381</v>
      </c>
      <c r="G236" s="8" t="str">
        <f t="shared" si="6"/>
        <v>HART KEVIN</v>
      </c>
      <c r="H236" s="20" t="str">
        <f t="shared" si="7"/>
        <v>4009</v>
      </c>
    </row>
    <row r="237" spans="1:8" x14ac:dyDescent="0.25">
      <c r="A237" s="8">
        <v>43004.975092592591</v>
      </c>
      <c r="B237" t="s">
        <v>606</v>
      </c>
      <c r="C237" t="s">
        <v>841</v>
      </c>
      <c r="D237" s="138">
        <v>2000000</v>
      </c>
      <c r="E237" t="s">
        <v>392</v>
      </c>
      <c r="F237" s="20" t="s">
        <v>372</v>
      </c>
      <c r="G237" s="8" t="str">
        <f t="shared" si="6"/>
        <v>STAMBAUGH JAMES</v>
      </c>
      <c r="H237" s="20" t="str">
        <f t="shared" si="7"/>
        <v>4065</v>
      </c>
    </row>
    <row r="238" spans="1:8" x14ac:dyDescent="0.25">
      <c r="A238" s="8">
        <v>43004.985868055555</v>
      </c>
      <c r="B238" t="s">
        <v>414</v>
      </c>
      <c r="C238" t="s">
        <v>842</v>
      </c>
      <c r="D238" s="138">
        <v>2620000</v>
      </c>
      <c r="E238" t="s">
        <v>378</v>
      </c>
      <c r="F238" s="20" t="s">
        <v>379</v>
      </c>
      <c r="G238" s="8" t="str">
        <f t="shared" si="6"/>
        <v>PERKINS DARREN</v>
      </c>
      <c r="H238" s="20" t="str">
        <f t="shared" si="7"/>
        <v>4024</v>
      </c>
    </row>
    <row r="239" spans="1:8" x14ac:dyDescent="0.25">
      <c r="A239" s="8">
        <v>43004.986192129632</v>
      </c>
      <c r="B239" t="s">
        <v>647</v>
      </c>
      <c r="C239" t="s">
        <v>843</v>
      </c>
      <c r="D239" s="138">
        <v>2680000</v>
      </c>
      <c r="E239" t="s">
        <v>376</v>
      </c>
      <c r="F239" s="20" t="s">
        <v>377</v>
      </c>
      <c r="G239" s="8" t="str">
        <f t="shared" si="6"/>
        <v>DUNCAN SHEILA</v>
      </c>
      <c r="H239" s="20" t="str">
        <f t="shared" si="7"/>
        <v>4055</v>
      </c>
    </row>
    <row r="240" spans="1:8" x14ac:dyDescent="0.25">
      <c r="A240" s="8">
        <v>43005.017152777778</v>
      </c>
      <c r="B240" t="s">
        <v>488</v>
      </c>
      <c r="C240" t="s">
        <v>844</v>
      </c>
      <c r="D240" s="138">
        <v>890000</v>
      </c>
      <c r="E240" t="s">
        <v>366</v>
      </c>
      <c r="F240" s="20" t="s">
        <v>367</v>
      </c>
      <c r="G240" s="8" t="str">
        <f t="shared" si="6"/>
        <v>LOZA FIDEL</v>
      </c>
      <c r="H240" s="20" t="str">
        <f t="shared" si="7"/>
        <v>4025</v>
      </c>
    </row>
    <row r="241" spans="1:8" x14ac:dyDescent="0.25">
      <c r="A241" s="8">
        <v>43005.018009259256</v>
      </c>
      <c r="B241" t="s">
        <v>423</v>
      </c>
      <c r="C241" t="s">
        <v>845</v>
      </c>
      <c r="D241" s="138">
        <v>3190000</v>
      </c>
      <c r="E241" t="s">
        <v>380</v>
      </c>
      <c r="F241" s="20" t="s">
        <v>381</v>
      </c>
      <c r="G241" s="8" t="str">
        <f t="shared" si="6"/>
        <v>HART KEVIN</v>
      </c>
      <c r="H241" s="20" t="str">
        <f t="shared" si="7"/>
        <v>4010</v>
      </c>
    </row>
    <row r="242" spans="1:8" x14ac:dyDescent="0.25">
      <c r="A242" s="8">
        <v>43005.026666666665</v>
      </c>
      <c r="B242" t="s">
        <v>638</v>
      </c>
      <c r="C242" t="s">
        <v>846</v>
      </c>
      <c r="D242" s="138">
        <v>2680000</v>
      </c>
      <c r="E242" t="s">
        <v>376</v>
      </c>
      <c r="F242" s="20" t="s">
        <v>377</v>
      </c>
      <c r="G242" s="8" t="str">
        <f t="shared" si="6"/>
        <v>DUNCAN SHEILA</v>
      </c>
      <c r="H242" s="20" t="str">
        <f t="shared" si="7"/>
        <v>4056</v>
      </c>
    </row>
    <row r="243" spans="1:8" x14ac:dyDescent="0.25">
      <c r="A243" s="8">
        <v>43005.035393518519</v>
      </c>
      <c r="B243" t="s">
        <v>413</v>
      </c>
      <c r="C243" t="s">
        <v>847</v>
      </c>
      <c r="D243" s="138">
        <v>2620000</v>
      </c>
      <c r="E243" t="s">
        <v>378</v>
      </c>
      <c r="F243" s="20" t="s">
        <v>379</v>
      </c>
      <c r="G243" s="8" t="str">
        <f t="shared" si="6"/>
        <v>PERKINS DARREN</v>
      </c>
      <c r="H243" s="20" t="str">
        <f t="shared" si="7"/>
        <v>4023</v>
      </c>
    </row>
    <row r="244" spans="1:8" x14ac:dyDescent="0.25">
      <c r="A244" s="8">
        <v>43005.047048611108</v>
      </c>
      <c r="B244" t="s">
        <v>489</v>
      </c>
      <c r="C244" t="s">
        <v>848</v>
      </c>
      <c r="D244" s="138">
        <v>890000</v>
      </c>
      <c r="E244" t="s">
        <v>366</v>
      </c>
      <c r="F244" s="20" t="s">
        <v>367</v>
      </c>
      <c r="G244" s="8" t="str">
        <f t="shared" si="6"/>
        <v>LOZA FIDEL</v>
      </c>
      <c r="H244" s="20" t="str">
        <f t="shared" si="7"/>
        <v>4026</v>
      </c>
    </row>
    <row r="245" spans="1:8" x14ac:dyDescent="0.25">
      <c r="A245" s="8">
        <v>43005.058437500003</v>
      </c>
      <c r="B245" t="s">
        <v>456</v>
      </c>
      <c r="C245" t="s">
        <v>637</v>
      </c>
      <c r="D245" s="138">
        <v>3190000</v>
      </c>
      <c r="E245" t="s">
        <v>380</v>
      </c>
      <c r="F245" s="20" t="s">
        <v>381</v>
      </c>
      <c r="G245" s="8" t="str">
        <f t="shared" si="6"/>
        <v>HART KEVIN</v>
      </c>
      <c r="H245" s="20" t="str">
        <f t="shared" si="7"/>
        <v>4009</v>
      </c>
    </row>
    <row r="246" spans="1:8" x14ac:dyDescent="0.25">
      <c r="A246" s="8">
        <v>43005.067893518521</v>
      </c>
      <c r="B246" t="s">
        <v>414</v>
      </c>
      <c r="C246" t="s">
        <v>849</v>
      </c>
      <c r="D246" s="138">
        <v>2620000</v>
      </c>
      <c r="E246" t="s">
        <v>378</v>
      </c>
      <c r="F246" s="20" t="s">
        <v>379</v>
      </c>
      <c r="G246" s="8" t="str">
        <f t="shared" si="6"/>
        <v>PERKINS DARREN</v>
      </c>
      <c r="H246" s="20" t="str">
        <f t="shared" si="7"/>
        <v>4024</v>
      </c>
    </row>
    <row r="247" spans="1:8" x14ac:dyDescent="0.25">
      <c r="A247" s="8">
        <v>43005.111250000002</v>
      </c>
      <c r="B247" t="s">
        <v>460</v>
      </c>
      <c r="C247" t="s">
        <v>850</v>
      </c>
      <c r="D247" s="138">
        <v>1090000</v>
      </c>
      <c r="E247" t="s">
        <v>535</v>
      </c>
      <c r="F247" s="20" t="s">
        <v>190</v>
      </c>
      <c r="G247" s="8" t="str">
        <f t="shared" si="6"/>
        <v>SPECTOR MICHAEL</v>
      </c>
      <c r="H247" s="20" t="str">
        <f t="shared" si="7"/>
        <v>4013</v>
      </c>
    </row>
    <row r="248" spans="1:8" x14ac:dyDescent="0.25">
      <c r="A248" s="8">
        <v>42999.98940972222</v>
      </c>
      <c r="B248" t="s">
        <v>463</v>
      </c>
      <c r="C248" t="s">
        <v>469</v>
      </c>
      <c r="D248" s="138">
        <v>3340000</v>
      </c>
      <c r="E248" t="s">
        <v>464</v>
      </c>
      <c r="F248" s="20" t="s">
        <v>465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407</v>
      </c>
      <c r="C249" t="s">
        <v>470</v>
      </c>
      <c r="D249" s="138">
        <v>3190000</v>
      </c>
      <c r="E249" t="s">
        <v>380</v>
      </c>
      <c r="F249" s="20" t="s">
        <v>381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423</v>
      </c>
      <c r="C250" t="s">
        <v>471</v>
      </c>
      <c r="D250" s="138">
        <v>2620000</v>
      </c>
      <c r="E250" t="s">
        <v>378</v>
      </c>
      <c r="F250" s="20" t="s">
        <v>379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389</v>
      </c>
      <c r="C251" t="s">
        <v>457</v>
      </c>
      <c r="D251" s="138">
        <v>890000</v>
      </c>
      <c r="E251" t="s">
        <v>366</v>
      </c>
      <c r="F251" s="20" t="s">
        <v>367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460</v>
      </c>
      <c r="C252" t="s">
        <v>472</v>
      </c>
      <c r="D252" s="138">
        <v>3340000</v>
      </c>
      <c r="E252" t="s">
        <v>464</v>
      </c>
      <c r="F252" s="20" t="s">
        <v>465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459</v>
      </c>
      <c r="C253" t="s">
        <v>473</v>
      </c>
      <c r="D253" s="138">
        <v>3190000</v>
      </c>
      <c r="E253" t="s">
        <v>380</v>
      </c>
      <c r="F253" s="20" t="s">
        <v>381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414</v>
      </c>
      <c r="C254" t="s">
        <v>468</v>
      </c>
      <c r="D254" s="138">
        <v>2440000</v>
      </c>
      <c r="E254" t="s">
        <v>466</v>
      </c>
      <c r="F254" s="20" t="s">
        <v>467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368</v>
      </c>
      <c r="C255" t="s">
        <v>474</v>
      </c>
      <c r="D255" s="138">
        <v>890000</v>
      </c>
      <c r="E255" t="s">
        <v>366</v>
      </c>
      <c r="F255" s="20" t="s">
        <v>367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456</v>
      </c>
      <c r="C256" t="s">
        <v>458</v>
      </c>
      <c r="D256" s="138">
        <v>2620000</v>
      </c>
      <c r="E256" t="s">
        <v>378</v>
      </c>
      <c r="F256" s="20" t="s">
        <v>379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463</v>
      </c>
      <c r="C257" t="s">
        <v>475</v>
      </c>
      <c r="D257" s="138">
        <v>3340000</v>
      </c>
      <c r="E257" t="s">
        <v>464</v>
      </c>
      <c r="F257" s="20" t="s">
        <v>465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394</v>
      </c>
      <c r="C258" t="s">
        <v>476</v>
      </c>
      <c r="D258" s="138">
        <v>3320000</v>
      </c>
      <c r="E258" t="s">
        <v>383</v>
      </c>
      <c r="F258" s="20" t="s">
        <v>384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423</v>
      </c>
      <c r="C259" t="s">
        <v>477</v>
      </c>
      <c r="D259" s="138">
        <v>2620000</v>
      </c>
      <c r="E259" t="s">
        <v>378</v>
      </c>
      <c r="F259" s="20" t="s">
        <v>379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437</v>
      </c>
      <c r="C260" t="s">
        <v>478</v>
      </c>
      <c r="D260" s="138">
        <v>1830000</v>
      </c>
      <c r="E260" t="s">
        <v>405</v>
      </c>
      <c r="F260" s="20" t="s">
        <v>406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407</v>
      </c>
      <c r="C261" t="s">
        <v>479</v>
      </c>
      <c r="D261" s="138">
        <v>900000</v>
      </c>
      <c r="E261" t="s">
        <v>441</v>
      </c>
      <c r="F261" s="20" t="s">
        <v>442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436</v>
      </c>
      <c r="C262" t="s">
        <v>445</v>
      </c>
      <c r="D262" s="138">
        <v>2620000</v>
      </c>
      <c r="E262" t="s">
        <v>378</v>
      </c>
      <c r="F262" s="20" t="s">
        <v>379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413</v>
      </c>
      <c r="C263" t="s">
        <v>439</v>
      </c>
      <c r="D263" s="138">
        <v>3310000</v>
      </c>
      <c r="E263" t="s">
        <v>443</v>
      </c>
      <c r="F263" s="20" t="s">
        <v>444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413</v>
      </c>
      <c r="C264" t="s">
        <v>439</v>
      </c>
      <c r="D264" s="138">
        <v>3310000</v>
      </c>
      <c r="E264" t="s">
        <v>443</v>
      </c>
      <c r="F264" s="20" t="s">
        <v>444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422</v>
      </c>
      <c r="C265" t="s">
        <v>446</v>
      </c>
      <c r="D265" s="138">
        <v>890000</v>
      </c>
      <c r="E265" t="s">
        <v>366</v>
      </c>
      <c r="F265" s="20" t="s">
        <v>367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438</v>
      </c>
      <c r="C266" t="s">
        <v>447</v>
      </c>
      <c r="D266" s="138">
        <v>2680000</v>
      </c>
      <c r="E266" t="s">
        <v>376</v>
      </c>
      <c r="F266" s="20" t="s">
        <v>377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435</v>
      </c>
      <c r="C267" t="s">
        <v>447</v>
      </c>
      <c r="D267" s="138">
        <v>2680000</v>
      </c>
      <c r="E267" t="s">
        <v>376</v>
      </c>
      <c r="F267" s="20" t="s">
        <v>377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404</v>
      </c>
      <c r="C268" t="s">
        <v>440</v>
      </c>
      <c r="D268" s="138">
        <v>3190000</v>
      </c>
      <c r="E268" t="s">
        <v>380</v>
      </c>
      <c r="F268" s="20" t="s">
        <v>381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425</v>
      </c>
      <c r="C269" t="s">
        <v>448</v>
      </c>
      <c r="D269" s="138">
        <v>890000</v>
      </c>
      <c r="E269" t="s">
        <v>366</v>
      </c>
      <c r="F269" s="20" t="s">
        <v>367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438</v>
      </c>
      <c r="C270" t="s">
        <v>447</v>
      </c>
      <c r="D270" s="138">
        <v>2680000</v>
      </c>
      <c r="E270" t="s">
        <v>376</v>
      </c>
      <c r="F270" s="20" t="s">
        <v>377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404</v>
      </c>
      <c r="C271" t="s">
        <v>440</v>
      </c>
      <c r="D271" s="138">
        <v>3190000</v>
      </c>
      <c r="E271" t="s">
        <v>380</v>
      </c>
      <c r="F271" s="20" t="s">
        <v>381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428</v>
      </c>
      <c r="C272" t="s">
        <v>449</v>
      </c>
      <c r="D272" s="138">
        <v>3190000</v>
      </c>
      <c r="E272" t="s">
        <v>380</v>
      </c>
      <c r="F272" s="20" t="s">
        <v>381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415</v>
      </c>
      <c r="C273" t="s">
        <v>450</v>
      </c>
      <c r="D273" s="138">
        <v>1830000</v>
      </c>
      <c r="E273" t="s">
        <v>405</v>
      </c>
      <c r="F273" s="20" t="s">
        <v>406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7" t="s">
        <v>157</v>
      </c>
      <c r="B1" s="217" t="s">
        <v>160</v>
      </c>
      <c r="C1" s="217" t="s">
        <v>153</v>
      </c>
      <c r="D1" s="136" t="s">
        <v>165</v>
      </c>
      <c r="E1" s="217" t="s">
        <v>154</v>
      </c>
      <c r="F1" s="217" t="s">
        <v>152</v>
      </c>
      <c r="G1" s="217" t="s">
        <v>150</v>
      </c>
      <c r="H1" s="217" t="s">
        <v>163</v>
      </c>
      <c r="I1" s="217" t="s">
        <v>164</v>
      </c>
      <c r="J1" s="217" t="s">
        <v>505</v>
      </c>
      <c r="K1" s="217" t="s">
        <v>158</v>
      </c>
      <c r="L1" s="217" t="s">
        <v>156</v>
      </c>
      <c r="M1" s="217" t="s">
        <v>151</v>
      </c>
      <c r="N1" s="217" t="s">
        <v>161</v>
      </c>
      <c r="O1" s="217" t="s">
        <v>346</v>
      </c>
      <c r="P1" s="217" t="s">
        <v>155</v>
      </c>
      <c r="Q1" s="217" t="s">
        <v>162</v>
      </c>
      <c r="R1" s="217" t="s">
        <v>347</v>
      </c>
      <c r="S1" s="217" t="s">
        <v>159</v>
      </c>
    </row>
    <row r="2" spans="1:19" x14ac:dyDescent="0.25">
      <c r="A2" s="195">
        <v>44.63</v>
      </c>
      <c r="B2" s="195">
        <v>0.82</v>
      </c>
      <c r="C2" s="195">
        <v>41.75</v>
      </c>
      <c r="D2" s="8">
        <v>43004</v>
      </c>
      <c r="E2" s="195">
        <v>0.9</v>
      </c>
      <c r="F2" s="195" t="s">
        <v>507</v>
      </c>
      <c r="G2" s="195">
        <v>292.17</v>
      </c>
      <c r="H2" s="195">
        <v>0</v>
      </c>
      <c r="I2" s="195">
        <v>0</v>
      </c>
      <c r="J2" s="195"/>
      <c r="K2" s="195">
        <v>1019.11</v>
      </c>
      <c r="L2" s="195" t="s">
        <v>508</v>
      </c>
      <c r="M2" s="195">
        <v>44.63</v>
      </c>
      <c r="N2" s="195">
        <v>1506405600</v>
      </c>
      <c r="O2" s="195">
        <v>0</v>
      </c>
      <c r="P2" s="195">
        <v>3.69</v>
      </c>
      <c r="Q2" s="195">
        <v>100</v>
      </c>
      <c r="R2" s="195">
        <v>2.94</v>
      </c>
      <c r="S2" s="195">
        <v>1.07</v>
      </c>
    </row>
    <row r="3" spans="1:19" x14ac:dyDescent="0.25">
      <c r="A3" s="195">
        <v>44.28</v>
      </c>
      <c r="B3" s="195">
        <v>0.77</v>
      </c>
      <c r="C3" s="195">
        <v>41.8</v>
      </c>
      <c r="D3" s="8">
        <v>43004.041666666664</v>
      </c>
      <c r="E3" s="195">
        <v>0.91</v>
      </c>
      <c r="F3" s="195" t="s">
        <v>507</v>
      </c>
      <c r="G3" s="195">
        <v>291.14999999999998</v>
      </c>
      <c r="H3" s="195">
        <v>0</v>
      </c>
      <c r="I3" s="195">
        <v>0</v>
      </c>
      <c r="J3" s="195"/>
      <c r="K3" s="195">
        <v>1019.14</v>
      </c>
      <c r="L3" s="195" t="s">
        <v>508</v>
      </c>
      <c r="M3" s="195">
        <v>44.28</v>
      </c>
      <c r="N3" s="195">
        <v>1506409200</v>
      </c>
      <c r="O3" s="195">
        <v>0</v>
      </c>
      <c r="P3" s="195">
        <v>3.69</v>
      </c>
      <c r="Q3" s="195">
        <v>115</v>
      </c>
      <c r="R3" s="195">
        <v>2.31</v>
      </c>
      <c r="S3" s="195">
        <v>0.53</v>
      </c>
    </row>
    <row r="4" spans="1:19" x14ac:dyDescent="0.25">
      <c r="A4" s="195">
        <v>44.11</v>
      </c>
      <c r="B4" s="195">
        <v>0.76</v>
      </c>
      <c r="C4" s="195">
        <v>41.8</v>
      </c>
      <c r="D4" s="8">
        <v>43004.083333333336</v>
      </c>
      <c r="E4" s="195">
        <v>0.92</v>
      </c>
      <c r="F4" s="195" t="s">
        <v>507</v>
      </c>
      <c r="G4" s="195">
        <v>289.99</v>
      </c>
      <c r="H4" s="195">
        <v>2.0000000000000001E-4</v>
      </c>
      <c r="I4" s="195">
        <v>0.01</v>
      </c>
      <c r="J4" s="195" t="s">
        <v>506</v>
      </c>
      <c r="K4" s="195">
        <v>1019.6</v>
      </c>
      <c r="L4" s="195" t="s">
        <v>508</v>
      </c>
      <c r="M4" s="195">
        <v>44.11</v>
      </c>
      <c r="N4" s="195">
        <v>1506412800</v>
      </c>
      <c r="O4" s="195">
        <v>0</v>
      </c>
      <c r="P4" s="195">
        <v>3.69</v>
      </c>
      <c r="Q4" s="195">
        <v>26</v>
      </c>
      <c r="R4" s="195">
        <v>1.9</v>
      </c>
      <c r="S4" s="195">
        <v>0.2</v>
      </c>
    </row>
    <row r="5" spans="1:19" x14ac:dyDescent="0.25">
      <c r="A5" s="195">
        <v>44.51</v>
      </c>
      <c r="B5" s="195">
        <v>0.86</v>
      </c>
      <c r="C5" s="195">
        <v>42.1</v>
      </c>
      <c r="D5" s="8">
        <v>43004.125</v>
      </c>
      <c r="E5" s="195">
        <v>0.91</v>
      </c>
      <c r="F5" s="195" t="s">
        <v>507</v>
      </c>
      <c r="G5" s="195">
        <v>288.83</v>
      </c>
      <c r="H5" s="195">
        <v>0</v>
      </c>
      <c r="I5" s="195">
        <v>0</v>
      </c>
      <c r="J5" s="195"/>
      <c r="K5" s="195">
        <v>1018.76</v>
      </c>
      <c r="L5" s="195" t="s">
        <v>508</v>
      </c>
      <c r="M5" s="195">
        <v>44.51</v>
      </c>
      <c r="N5" s="195">
        <v>1506416400</v>
      </c>
      <c r="O5" s="195">
        <v>0</v>
      </c>
      <c r="P5" s="195">
        <v>3.69</v>
      </c>
      <c r="Q5" s="195">
        <v>19</v>
      </c>
      <c r="R5" s="195">
        <v>1.45</v>
      </c>
      <c r="S5" s="195">
        <v>0.26</v>
      </c>
    </row>
    <row r="6" spans="1:19" x14ac:dyDescent="0.25">
      <c r="A6" s="195">
        <v>44.9</v>
      </c>
      <c r="B6" s="195">
        <v>0.82</v>
      </c>
      <c r="C6" s="195">
        <v>42.34</v>
      </c>
      <c r="D6" s="8">
        <v>43004.166666666664</v>
      </c>
      <c r="E6" s="195">
        <v>0.91</v>
      </c>
      <c r="F6" s="195" t="s">
        <v>507</v>
      </c>
      <c r="G6" s="195">
        <v>288.37</v>
      </c>
      <c r="H6" s="195">
        <v>0</v>
      </c>
      <c r="I6" s="195">
        <v>0</v>
      </c>
      <c r="J6" s="195"/>
      <c r="K6" s="195">
        <v>1018.71</v>
      </c>
      <c r="L6" s="195" t="s">
        <v>508</v>
      </c>
      <c r="M6" s="195">
        <v>44.9</v>
      </c>
      <c r="N6" s="195">
        <v>1506420000</v>
      </c>
      <c r="O6" s="195">
        <v>0</v>
      </c>
      <c r="P6" s="195">
        <v>3.2</v>
      </c>
      <c r="Q6" s="195">
        <v>20</v>
      </c>
      <c r="R6" s="195">
        <v>1.52</v>
      </c>
      <c r="S6" s="195">
        <v>0.19</v>
      </c>
    </row>
    <row r="7" spans="1:19" x14ac:dyDescent="0.25">
      <c r="A7" s="195">
        <v>45.02</v>
      </c>
      <c r="B7" s="195">
        <v>0.69</v>
      </c>
      <c r="C7" s="195">
        <v>42.58</v>
      </c>
      <c r="D7" s="8">
        <v>43004.208333333336</v>
      </c>
      <c r="E7" s="195">
        <v>0.91</v>
      </c>
      <c r="F7" s="195" t="s">
        <v>507</v>
      </c>
      <c r="G7" s="195">
        <v>288.02</v>
      </c>
      <c r="H7" s="195">
        <v>2.0000000000000001E-4</v>
      </c>
      <c r="I7" s="195">
        <v>0.01</v>
      </c>
      <c r="J7" s="195" t="s">
        <v>506</v>
      </c>
      <c r="K7" s="195">
        <v>1018.93</v>
      </c>
      <c r="L7" s="195" t="s">
        <v>508</v>
      </c>
      <c r="M7" s="195">
        <v>45.02</v>
      </c>
      <c r="N7" s="195">
        <v>1506423600</v>
      </c>
      <c r="O7" s="195">
        <v>0</v>
      </c>
      <c r="P7" s="195">
        <v>3.11</v>
      </c>
      <c r="Q7" s="195">
        <v>341</v>
      </c>
      <c r="R7" s="195">
        <v>1.92</v>
      </c>
      <c r="S7" s="195">
        <v>0.48</v>
      </c>
    </row>
    <row r="8" spans="1:19" x14ac:dyDescent="0.25">
      <c r="A8" s="195">
        <v>45.18</v>
      </c>
      <c r="B8" s="195">
        <v>0.72</v>
      </c>
      <c r="C8" s="195">
        <v>42.74</v>
      </c>
      <c r="D8" s="8">
        <v>43004.25</v>
      </c>
      <c r="E8" s="195">
        <v>0.91</v>
      </c>
      <c r="F8" s="195" t="s">
        <v>507</v>
      </c>
      <c r="G8" s="195">
        <v>284.79000000000002</v>
      </c>
      <c r="H8" s="195">
        <v>0</v>
      </c>
      <c r="I8" s="195">
        <v>0</v>
      </c>
      <c r="J8" s="195"/>
      <c r="K8" s="195">
        <v>1019.42</v>
      </c>
      <c r="L8" s="195" t="s">
        <v>508</v>
      </c>
      <c r="M8" s="195">
        <v>45.18</v>
      </c>
      <c r="N8" s="195">
        <v>1506427200</v>
      </c>
      <c r="O8" s="195">
        <v>0</v>
      </c>
      <c r="P8" s="195">
        <v>3.2</v>
      </c>
      <c r="Q8" s="195">
        <v>343</v>
      </c>
      <c r="R8" s="195">
        <v>2.02</v>
      </c>
      <c r="S8" s="195">
        <v>0.71</v>
      </c>
    </row>
    <row r="9" spans="1:19" x14ac:dyDescent="0.25">
      <c r="A9" s="195">
        <v>45.25</v>
      </c>
      <c r="B9" s="195">
        <v>0.85</v>
      </c>
      <c r="C9" s="195">
        <v>42.76</v>
      </c>
      <c r="D9" s="8">
        <v>43004.291666666664</v>
      </c>
      <c r="E9" s="195">
        <v>0.91</v>
      </c>
      <c r="F9" s="195" t="s">
        <v>509</v>
      </c>
      <c r="G9" s="195">
        <v>283.27999999999997</v>
      </c>
      <c r="H9" s="195">
        <v>0</v>
      </c>
      <c r="I9" s="195">
        <v>0</v>
      </c>
      <c r="J9" s="195"/>
      <c r="K9" s="195">
        <v>1020.24</v>
      </c>
      <c r="L9" s="195" t="s">
        <v>508</v>
      </c>
      <c r="M9" s="195">
        <v>45.25</v>
      </c>
      <c r="N9" s="195">
        <v>1506430800</v>
      </c>
      <c r="O9" s="195">
        <v>0</v>
      </c>
      <c r="P9" s="195">
        <v>3.51</v>
      </c>
      <c r="Q9" s="195">
        <v>344</v>
      </c>
      <c r="R9" s="195">
        <v>1.81</v>
      </c>
      <c r="S9" s="195">
        <v>0.57999999999999996</v>
      </c>
    </row>
    <row r="10" spans="1:19" x14ac:dyDescent="0.25">
      <c r="A10" s="195">
        <v>45.75</v>
      </c>
      <c r="B10" s="195">
        <v>0.6</v>
      </c>
      <c r="C10" s="195">
        <v>43.24</v>
      </c>
      <c r="D10" s="8">
        <v>43004.333333333336</v>
      </c>
      <c r="E10" s="195">
        <v>0.91</v>
      </c>
      <c r="F10" s="195" t="s">
        <v>509</v>
      </c>
      <c r="G10" s="195">
        <v>281.88</v>
      </c>
      <c r="H10" s="195">
        <v>2.0000000000000001E-4</v>
      </c>
      <c r="I10" s="195">
        <v>0.01</v>
      </c>
      <c r="J10" s="195" t="s">
        <v>506</v>
      </c>
      <c r="K10" s="195">
        <v>1020.59</v>
      </c>
      <c r="L10" s="195" t="s">
        <v>508</v>
      </c>
      <c r="M10" s="195">
        <v>45.75</v>
      </c>
      <c r="N10" s="195">
        <v>1506434400</v>
      </c>
      <c r="O10" s="195">
        <v>0</v>
      </c>
      <c r="P10" s="195">
        <v>3.38</v>
      </c>
      <c r="Q10" s="195">
        <v>347</v>
      </c>
      <c r="R10" s="195">
        <v>2.12</v>
      </c>
      <c r="S10" s="195">
        <v>0.72</v>
      </c>
    </row>
    <row r="11" spans="1:19" x14ac:dyDescent="0.25">
      <c r="A11" s="195">
        <v>47.68</v>
      </c>
      <c r="B11" s="195">
        <v>0.46</v>
      </c>
      <c r="C11" s="195">
        <v>44</v>
      </c>
      <c r="D11" s="8">
        <v>43004.375</v>
      </c>
      <c r="E11" s="195">
        <v>0.87</v>
      </c>
      <c r="F11" s="195" t="s">
        <v>509</v>
      </c>
      <c r="G11" s="195">
        <v>280.45999999999998</v>
      </c>
      <c r="H11" s="195">
        <v>2.0000000000000001E-4</v>
      </c>
      <c r="I11" s="195">
        <v>0.01</v>
      </c>
      <c r="J11" s="195" t="s">
        <v>506</v>
      </c>
      <c r="K11" s="195">
        <v>1020.8</v>
      </c>
      <c r="L11" s="195" t="s">
        <v>556</v>
      </c>
      <c r="M11" s="195">
        <v>47.68</v>
      </c>
      <c r="N11" s="195">
        <v>1506438000</v>
      </c>
      <c r="O11" s="195">
        <v>1</v>
      </c>
      <c r="P11" s="195">
        <v>3.32</v>
      </c>
      <c r="Q11" s="195">
        <v>36</v>
      </c>
      <c r="R11" s="195">
        <v>2.85</v>
      </c>
      <c r="S11" s="195">
        <v>0.49</v>
      </c>
    </row>
    <row r="12" spans="1:19" x14ac:dyDescent="0.25">
      <c r="A12" s="195">
        <v>49.85</v>
      </c>
      <c r="B12" s="195">
        <v>0.71</v>
      </c>
      <c r="C12" s="195">
        <v>44.11</v>
      </c>
      <c r="D12" s="8">
        <v>43004.416666666664</v>
      </c>
      <c r="E12" s="195">
        <v>0.81</v>
      </c>
      <c r="F12" s="195" t="s">
        <v>509</v>
      </c>
      <c r="G12" s="195">
        <v>279.27999999999997</v>
      </c>
      <c r="H12" s="195">
        <v>0</v>
      </c>
      <c r="I12" s="195">
        <v>0</v>
      </c>
      <c r="J12" s="195"/>
      <c r="K12" s="195">
        <v>1021.07</v>
      </c>
      <c r="L12" s="195" t="s">
        <v>508</v>
      </c>
      <c r="M12" s="195">
        <v>49.85</v>
      </c>
      <c r="N12" s="195">
        <v>1506441600</v>
      </c>
      <c r="O12" s="195">
        <v>2</v>
      </c>
      <c r="P12" s="195">
        <v>3.49</v>
      </c>
      <c r="Q12" s="195">
        <v>11</v>
      </c>
      <c r="R12" s="195">
        <v>3.31</v>
      </c>
      <c r="S12" s="195">
        <v>0.91</v>
      </c>
    </row>
    <row r="13" spans="1:19" x14ac:dyDescent="0.25">
      <c r="A13" s="195">
        <v>52.21</v>
      </c>
      <c r="B13" s="195">
        <v>0.72</v>
      </c>
      <c r="C13" s="195">
        <v>44</v>
      </c>
      <c r="D13" s="8">
        <v>43004.458333333336</v>
      </c>
      <c r="E13" s="195">
        <v>0.74</v>
      </c>
      <c r="F13" s="195" t="s">
        <v>509</v>
      </c>
      <c r="G13" s="195">
        <v>278.55</v>
      </c>
      <c r="H13" s="195">
        <v>0</v>
      </c>
      <c r="I13" s="195">
        <v>0</v>
      </c>
      <c r="J13" s="195"/>
      <c r="K13" s="195">
        <v>1020.73</v>
      </c>
      <c r="L13" s="195" t="s">
        <v>508</v>
      </c>
      <c r="M13" s="195">
        <v>52.21</v>
      </c>
      <c r="N13" s="195">
        <v>1506445200</v>
      </c>
      <c r="O13" s="195">
        <v>3</v>
      </c>
      <c r="P13" s="195">
        <v>3.75</v>
      </c>
      <c r="Q13" s="195">
        <v>22</v>
      </c>
      <c r="R13" s="195">
        <v>3.67</v>
      </c>
      <c r="S13" s="195">
        <v>0.59</v>
      </c>
    </row>
    <row r="14" spans="1:19" x14ac:dyDescent="0.25">
      <c r="A14" s="195">
        <v>54.93</v>
      </c>
      <c r="B14" s="195">
        <v>0.34</v>
      </c>
      <c r="C14" s="195">
        <v>43.66</v>
      </c>
      <c r="D14" s="8">
        <v>43004.5</v>
      </c>
      <c r="E14" s="195">
        <v>0.66</v>
      </c>
      <c r="F14" s="195" t="s">
        <v>509</v>
      </c>
      <c r="G14" s="195">
        <v>280.56</v>
      </c>
      <c r="H14" s="195">
        <v>0</v>
      </c>
      <c r="I14" s="195">
        <v>0</v>
      </c>
      <c r="J14" s="195"/>
      <c r="K14" s="195">
        <v>1019.64</v>
      </c>
      <c r="L14" s="195" t="s">
        <v>556</v>
      </c>
      <c r="M14" s="195">
        <v>54.93</v>
      </c>
      <c r="N14" s="195">
        <v>1506448800</v>
      </c>
      <c r="O14" s="195">
        <v>5</v>
      </c>
      <c r="P14" s="195">
        <v>6.44</v>
      </c>
      <c r="Q14" s="195">
        <v>29</v>
      </c>
      <c r="R14" s="195">
        <v>4.41</v>
      </c>
      <c r="S14" s="195">
        <v>0.86</v>
      </c>
    </row>
    <row r="15" spans="1:19" x14ac:dyDescent="0.25">
      <c r="A15" s="195">
        <v>57.15</v>
      </c>
      <c r="B15" s="195">
        <v>0.6</v>
      </c>
      <c r="C15" s="195">
        <v>43.13</v>
      </c>
      <c r="D15" s="8">
        <v>43004.541666666664</v>
      </c>
      <c r="E15" s="195">
        <v>0.59</v>
      </c>
      <c r="F15" s="195" t="s">
        <v>509</v>
      </c>
      <c r="G15" s="195">
        <v>280.2</v>
      </c>
      <c r="H15" s="195">
        <v>0</v>
      </c>
      <c r="I15" s="195">
        <v>0</v>
      </c>
      <c r="J15" s="195"/>
      <c r="K15" s="195">
        <v>1019.05</v>
      </c>
      <c r="L15" s="195" t="s">
        <v>508</v>
      </c>
      <c r="M15" s="195">
        <v>57.15</v>
      </c>
      <c r="N15" s="195">
        <v>1506452400</v>
      </c>
      <c r="O15" s="195">
        <v>5</v>
      </c>
      <c r="P15" s="195">
        <v>7.07</v>
      </c>
      <c r="Q15" s="195">
        <v>71</v>
      </c>
      <c r="R15" s="195">
        <v>5.24</v>
      </c>
      <c r="S15" s="195">
        <v>0.81</v>
      </c>
    </row>
    <row r="16" spans="1:19" x14ac:dyDescent="0.25">
      <c r="A16" s="195">
        <v>58.55</v>
      </c>
      <c r="B16" s="195">
        <v>0.71</v>
      </c>
      <c r="C16" s="195">
        <v>42.81</v>
      </c>
      <c r="D16" s="8">
        <v>43004.583333333336</v>
      </c>
      <c r="E16" s="195">
        <v>0.56000000000000005</v>
      </c>
      <c r="F16" s="195" t="s">
        <v>509</v>
      </c>
      <c r="G16" s="195">
        <v>279.85000000000002</v>
      </c>
      <c r="H16" s="195">
        <v>0</v>
      </c>
      <c r="I16" s="195">
        <v>0</v>
      </c>
      <c r="J16" s="195"/>
      <c r="K16" s="195">
        <v>1018.2</v>
      </c>
      <c r="L16" s="195" t="s">
        <v>508</v>
      </c>
      <c r="M16" s="195">
        <v>58.55</v>
      </c>
      <c r="N16" s="195">
        <v>1506456000</v>
      </c>
      <c r="O16" s="195">
        <v>4</v>
      </c>
      <c r="P16" s="195">
        <v>6.79</v>
      </c>
      <c r="Q16" s="195">
        <v>66</v>
      </c>
      <c r="R16" s="195">
        <v>5.31</v>
      </c>
      <c r="S16" s="195">
        <v>1.5</v>
      </c>
    </row>
    <row r="17" spans="1:19" x14ac:dyDescent="0.25">
      <c r="A17" s="195">
        <v>59.71</v>
      </c>
      <c r="B17" s="195">
        <v>0.51</v>
      </c>
      <c r="C17" s="195">
        <v>42.59</v>
      </c>
      <c r="D17" s="8">
        <v>43004.625</v>
      </c>
      <c r="E17" s="195">
        <v>0.53</v>
      </c>
      <c r="F17" s="195" t="s">
        <v>509</v>
      </c>
      <c r="G17" s="195">
        <v>279.61</v>
      </c>
      <c r="H17" s="195">
        <v>0</v>
      </c>
      <c r="I17" s="195">
        <v>0</v>
      </c>
      <c r="J17" s="195"/>
      <c r="K17" s="195">
        <v>1017.35</v>
      </c>
      <c r="L17" s="195" t="s">
        <v>556</v>
      </c>
      <c r="M17" s="195">
        <v>59.71</v>
      </c>
      <c r="N17" s="195">
        <v>1506459600</v>
      </c>
      <c r="O17" s="195">
        <v>3</v>
      </c>
      <c r="P17" s="195">
        <v>6.79</v>
      </c>
      <c r="Q17" s="195">
        <v>58</v>
      </c>
      <c r="R17" s="195">
        <v>6.52</v>
      </c>
      <c r="S17" s="195">
        <v>2</v>
      </c>
    </row>
    <row r="18" spans="1:19" x14ac:dyDescent="0.25">
      <c r="A18" s="195">
        <v>59.98</v>
      </c>
      <c r="B18" s="195">
        <v>0.89</v>
      </c>
      <c r="C18" s="195">
        <v>42.34</v>
      </c>
      <c r="D18" s="8">
        <v>43004.666666666664</v>
      </c>
      <c r="E18" s="195">
        <v>0.52</v>
      </c>
      <c r="F18" s="195" t="s">
        <v>509</v>
      </c>
      <c r="G18" s="195">
        <v>279.61</v>
      </c>
      <c r="H18" s="195">
        <v>0</v>
      </c>
      <c r="I18" s="195">
        <v>0</v>
      </c>
      <c r="J18" s="195"/>
      <c r="K18" s="195">
        <v>1017.41</v>
      </c>
      <c r="L18" s="195" t="s">
        <v>508</v>
      </c>
      <c r="M18" s="195">
        <v>59.98</v>
      </c>
      <c r="N18" s="195">
        <v>1506463200</v>
      </c>
      <c r="O18" s="195">
        <v>1</v>
      </c>
      <c r="P18" s="195">
        <v>4.04</v>
      </c>
      <c r="Q18" s="195">
        <v>47</v>
      </c>
      <c r="R18" s="195">
        <v>6.07</v>
      </c>
      <c r="S18" s="195">
        <v>2.0499999999999998</v>
      </c>
    </row>
    <row r="19" spans="1:19" x14ac:dyDescent="0.25">
      <c r="A19" s="195">
        <v>59.48</v>
      </c>
      <c r="B19" s="195">
        <v>0.81</v>
      </c>
      <c r="C19" s="195">
        <v>42.63</v>
      </c>
      <c r="D19" s="8">
        <v>43004.708333333336</v>
      </c>
      <c r="E19" s="195">
        <v>0.54</v>
      </c>
      <c r="F19" s="195" t="s">
        <v>509</v>
      </c>
      <c r="G19" s="195">
        <v>279.73</v>
      </c>
      <c r="H19" s="195">
        <v>4.0000000000000002E-4</v>
      </c>
      <c r="I19" s="195">
        <v>0.01</v>
      </c>
      <c r="J19" s="195" t="s">
        <v>506</v>
      </c>
      <c r="K19" s="195">
        <v>1017.38</v>
      </c>
      <c r="L19" s="195" t="s">
        <v>508</v>
      </c>
      <c r="M19" s="195">
        <v>59.48</v>
      </c>
      <c r="N19" s="195">
        <v>1506466800</v>
      </c>
      <c r="O19" s="195">
        <v>1</v>
      </c>
      <c r="P19" s="195">
        <v>3.96</v>
      </c>
      <c r="Q19" s="195">
        <v>14</v>
      </c>
      <c r="R19" s="195">
        <v>6.83</v>
      </c>
      <c r="S19" s="195">
        <v>2.38</v>
      </c>
    </row>
    <row r="20" spans="1:19" x14ac:dyDescent="0.25">
      <c r="A20" s="195">
        <v>58.17</v>
      </c>
      <c r="B20" s="195">
        <v>0.8</v>
      </c>
      <c r="C20" s="195">
        <v>43.15</v>
      </c>
      <c r="D20" s="8">
        <v>43004.75</v>
      </c>
      <c r="E20" s="195">
        <v>0.56999999999999995</v>
      </c>
      <c r="F20" s="195" t="s">
        <v>509</v>
      </c>
      <c r="G20" s="195">
        <v>281.14</v>
      </c>
      <c r="H20" s="195">
        <v>4.0000000000000002E-4</v>
      </c>
      <c r="I20" s="195">
        <v>0.01</v>
      </c>
      <c r="J20" s="195" t="s">
        <v>506</v>
      </c>
      <c r="K20" s="195">
        <v>1018.36</v>
      </c>
      <c r="L20" s="195" t="s">
        <v>508</v>
      </c>
      <c r="M20" s="195">
        <v>58.17</v>
      </c>
      <c r="N20" s="195">
        <v>1506470400</v>
      </c>
      <c r="O20" s="195">
        <v>0</v>
      </c>
      <c r="P20" s="195">
        <v>3.96</v>
      </c>
      <c r="Q20" s="195">
        <v>1</v>
      </c>
      <c r="R20" s="195">
        <v>7.02</v>
      </c>
      <c r="S20" s="195">
        <v>2.89</v>
      </c>
    </row>
    <row r="21" spans="1:19" x14ac:dyDescent="0.25">
      <c r="A21" s="195">
        <v>56.59</v>
      </c>
      <c r="B21" s="195">
        <v>0.76</v>
      </c>
      <c r="C21" s="195">
        <v>43.71</v>
      </c>
      <c r="D21" s="8">
        <v>43004.791666666664</v>
      </c>
      <c r="E21" s="195">
        <v>0.62</v>
      </c>
      <c r="F21" s="195" t="s">
        <v>507</v>
      </c>
      <c r="G21" s="195">
        <v>281.26</v>
      </c>
      <c r="H21" s="195">
        <v>5.9999999999999995E-4</v>
      </c>
      <c r="I21" s="195">
        <v>0.01</v>
      </c>
      <c r="J21" s="195" t="s">
        <v>506</v>
      </c>
      <c r="K21" s="195">
        <v>1019.28</v>
      </c>
      <c r="L21" s="195" t="s">
        <v>508</v>
      </c>
      <c r="M21" s="195">
        <v>56.59</v>
      </c>
      <c r="N21" s="195">
        <v>1506474000</v>
      </c>
      <c r="O21" s="195">
        <v>0</v>
      </c>
      <c r="P21" s="195">
        <v>3.96</v>
      </c>
      <c r="Q21" s="195">
        <v>355</v>
      </c>
      <c r="R21" s="195">
        <v>5.66</v>
      </c>
      <c r="S21" s="195">
        <v>2.2599999999999998</v>
      </c>
    </row>
    <row r="22" spans="1:19" x14ac:dyDescent="0.25">
      <c r="A22" s="195">
        <v>55.01</v>
      </c>
      <c r="B22" s="195">
        <v>0.88</v>
      </c>
      <c r="C22" s="195">
        <v>45.05</v>
      </c>
      <c r="D22" s="8">
        <v>43004.833333333336</v>
      </c>
      <c r="E22" s="195">
        <v>0.69</v>
      </c>
      <c r="F22" s="195" t="s">
        <v>507</v>
      </c>
      <c r="G22" s="195">
        <v>281.14999999999998</v>
      </c>
      <c r="H22" s="195">
        <v>1.2999999999999999E-3</v>
      </c>
      <c r="I22" s="195">
        <v>0.02</v>
      </c>
      <c r="J22" s="195" t="s">
        <v>506</v>
      </c>
      <c r="K22" s="195">
        <v>1020.28</v>
      </c>
      <c r="L22" s="195" t="s">
        <v>508</v>
      </c>
      <c r="M22" s="195">
        <v>55.01</v>
      </c>
      <c r="N22" s="195">
        <v>1506477600</v>
      </c>
      <c r="O22" s="195">
        <v>0</v>
      </c>
      <c r="P22" s="195">
        <v>3.61</v>
      </c>
      <c r="Q22" s="195">
        <v>343</v>
      </c>
      <c r="R22" s="195">
        <v>5.99</v>
      </c>
      <c r="S22" s="195">
        <v>1.87</v>
      </c>
    </row>
    <row r="23" spans="1:19" x14ac:dyDescent="0.25">
      <c r="A23" s="195">
        <v>53.42</v>
      </c>
      <c r="B23" s="195">
        <v>0.84</v>
      </c>
      <c r="C23" s="195">
        <v>45.86</v>
      </c>
      <c r="D23" s="8">
        <v>43004.875</v>
      </c>
      <c r="E23" s="195">
        <v>0.75</v>
      </c>
      <c r="F23" s="195" t="s">
        <v>507</v>
      </c>
      <c r="G23" s="195">
        <v>280.8</v>
      </c>
      <c r="H23" s="195">
        <v>1.6999999999999999E-3</v>
      </c>
      <c r="I23" s="195">
        <v>0.02</v>
      </c>
      <c r="J23" s="195" t="s">
        <v>506</v>
      </c>
      <c r="K23" s="195">
        <v>1021.02</v>
      </c>
      <c r="L23" s="195" t="s">
        <v>508</v>
      </c>
      <c r="M23" s="195">
        <v>53.42</v>
      </c>
      <c r="N23" s="195">
        <v>1506481200</v>
      </c>
      <c r="O23" s="195">
        <v>0</v>
      </c>
      <c r="P23" s="195">
        <v>3.75</v>
      </c>
      <c r="Q23" s="195">
        <v>321</v>
      </c>
      <c r="R23" s="195">
        <v>5.55</v>
      </c>
      <c r="S23" s="195">
        <v>1.48</v>
      </c>
    </row>
    <row r="24" spans="1:19" x14ac:dyDescent="0.25">
      <c r="A24" s="195">
        <v>52.61</v>
      </c>
      <c r="B24" s="195">
        <v>0.76</v>
      </c>
      <c r="C24" s="195">
        <v>46.02</v>
      </c>
      <c r="D24" s="8">
        <v>43004.916666666664</v>
      </c>
      <c r="E24" s="195">
        <v>0.78</v>
      </c>
      <c r="F24" s="195" t="s">
        <v>507</v>
      </c>
      <c r="G24" s="195">
        <v>279.86</v>
      </c>
      <c r="H24" s="195">
        <v>1.5E-3</v>
      </c>
      <c r="I24" s="195">
        <v>0.02</v>
      </c>
      <c r="J24" s="195" t="s">
        <v>506</v>
      </c>
      <c r="K24" s="195">
        <v>1021.4</v>
      </c>
      <c r="L24" s="195" t="s">
        <v>508</v>
      </c>
      <c r="M24" s="195">
        <v>52.61</v>
      </c>
      <c r="N24" s="195">
        <v>1506484800</v>
      </c>
      <c r="O24" s="195">
        <v>0</v>
      </c>
      <c r="P24" s="195">
        <v>3.38</v>
      </c>
      <c r="Q24" s="195">
        <v>324</v>
      </c>
      <c r="R24" s="195">
        <v>4.8600000000000003</v>
      </c>
      <c r="S24" s="195">
        <v>1.18</v>
      </c>
    </row>
    <row r="25" spans="1:19" x14ac:dyDescent="0.25">
      <c r="A25" s="195">
        <v>52.42</v>
      </c>
      <c r="B25" s="195">
        <v>0.92</v>
      </c>
      <c r="C25" s="195">
        <v>45.78</v>
      </c>
      <c r="D25" s="8">
        <v>43004.958333333336</v>
      </c>
      <c r="E25" s="195">
        <v>0.78</v>
      </c>
      <c r="F25" s="195" t="s">
        <v>507</v>
      </c>
      <c r="G25" s="195">
        <v>278.79000000000002</v>
      </c>
      <c r="H25" s="195">
        <v>1.1999999999999999E-3</v>
      </c>
      <c r="I25" s="195">
        <v>0.02</v>
      </c>
      <c r="J25" s="195" t="s">
        <v>506</v>
      </c>
      <c r="K25" s="195">
        <v>1021.35</v>
      </c>
      <c r="L25" s="195" t="s">
        <v>508</v>
      </c>
      <c r="M25" s="195">
        <v>52.42</v>
      </c>
      <c r="N25" s="195">
        <v>1506488400</v>
      </c>
      <c r="O25" s="195">
        <v>0</v>
      </c>
      <c r="P25" s="195">
        <v>3.69</v>
      </c>
      <c r="Q25" s="195">
        <v>309</v>
      </c>
      <c r="R25" s="195">
        <v>4.33</v>
      </c>
      <c r="S25" s="195">
        <v>1.1200000000000001</v>
      </c>
    </row>
    <row r="26" spans="1:19" x14ac:dyDescent="0.25">
      <c r="A26" s="195">
        <v>52.19</v>
      </c>
      <c r="B26" s="195">
        <v>0.78</v>
      </c>
      <c r="C26" s="195">
        <v>45.91</v>
      </c>
      <c r="D26" s="8">
        <v>43005</v>
      </c>
      <c r="E26" s="195">
        <v>0.79</v>
      </c>
      <c r="F26" s="195" t="s">
        <v>507</v>
      </c>
      <c r="G26" s="195">
        <v>279.63</v>
      </c>
      <c r="H26" s="195">
        <v>5.0000000000000001E-4</v>
      </c>
      <c r="I26" s="195">
        <v>0.01</v>
      </c>
      <c r="J26" s="195" t="s">
        <v>506</v>
      </c>
      <c r="K26" s="195">
        <v>1021.21</v>
      </c>
      <c r="L26" s="195" t="s">
        <v>508</v>
      </c>
      <c r="M26" s="195">
        <v>52.19</v>
      </c>
      <c r="N26" s="195">
        <v>1506492000</v>
      </c>
      <c r="O26" s="195">
        <v>0</v>
      </c>
      <c r="P26" s="195">
        <v>3.48</v>
      </c>
      <c r="Q26" s="195">
        <v>305</v>
      </c>
      <c r="R26" s="195">
        <v>3.81</v>
      </c>
      <c r="S26" s="195">
        <v>0.82</v>
      </c>
    </row>
    <row r="27" spans="1:19" x14ac:dyDescent="0.25">
      <c r="A27" s="195">
        <v>51.7</v>
      </c>
      <c r="B27" s="195">
        <v>0.85</v>
      </c>
      <c r="C27" s="195">
        <v>46.12</v>
      </c>
      <c r="D27" s="8">
        <v>43005.041666666664</v>
      </c>
      <c r="E27" s="195">
        <v>0.81</v>
      </c>
      <c r="F27" s="195" t="s">
        <v>507</v>
      </c>
      <c r="G27" s="195">
        <v>278.92</v>
      </c>
      <c r="H27" s="195">
        <v>0</v>
      </c>
      <c r="I27" s="195">
        <v>0</v>
      </c>
      <c r="J27" s="195"/>
      <c r="K27" s="195">
        <v>1020.88</v>
      </c>
      <c r="L27" s="195" t="s">
        <v>508</v>
      </c>
      <c r="M27" s="195">
        <v>51.7</v>
      </c>
      <c r="N27" s="195">
        <v>1506495600</v>
      </c>
      <c r="O27" s="195">
        <v>0</v>
      </c>
      <c r="P27" s="195">
        <v>3.38</v>
      </c>
      <c r="Q27" s="195">
        <v>305</v>
      </c>
      <c r="R27" s="195">
        <v>3.57</v>
      </c>
      <c r="S27" s="195">
        <v>0.8</v>
      </c>
    </row>
    <row r="28" spans="1:19" x14ac:dyDescent="0.25">
      <c r="A28" s="195">
        <v>51.38</v>
      </c>
      <c r="B28" s="195">
        <v>0.89</v>
      </c>
      <c r="C28" s="195">
        <v>46.04</v>
      </c>
      <c r="D28" s="8">
        <v>43005.083333333336</v>
      </c>
      <c r="E28" s="195">
        <v>0.82</v>
      </c>
      <c r="F28" s="195" t="s">
        <v>507</v>
      </c>
      <c r="G28" s="195">
        <v>278.08</v>
      </c>
      <c r="H28" s="195">
        <v>2.0000000000000001E-4</v>
      </c>
      <c r="I28" s="195">
        <v>0.01</v>
      </c>
      <c r="J28" s="195" t="s">
        <v>506</v>
      </c>
      <c r="K28" s="195">
        <v>1021.4</v>
      </c>
      <c r="L28" s="195" t="s">
        <v>508</v>
      </c>
      <c r="M28" s="195">
        <v>51.38</v>
      </c>
      <c r="N28" s="195">
        <v>1506499200</v>
      </c>
      <c r="O28" s="195">
        <v>0</v>
      </c>
      <c r="P28" s="195">
        <v>3.48</v>
      </c>
      <c r="Q28" s="195">
        <v>311</v>
      </c>
      <c r="R28" s="195">
        <v>2.74</v>
      </c>
      <c r="S28" s="195">
        <v>0.7</v>
      </c>
    </row>
    <row r="29" spans="1:19" x14ac:dyDescent="0.25">
      <c r="A29" s="195">
        <v>51.02</v>
      </c>
      <c r="B29" s="195">
        <v>0.74</v>
      </c>
      <c r="C29" s="195">
        <v>45.88</v>
      </c>
      <c r="D29" s="8">
        <v>43005.125</v>
      </c>
      <c r="E29" s="195">
        <v>0.82</v>
      </c>
      <c r="F29" s="195" t="s">
        <v>507</v>
      </c>
      <c r="G29" s="195">
        <v>277.48</v>
      </c>
      <c r="H29" s="195">
        <v>1.5E-3</v>
      </c>
      <c r="I29" s="195">
        <v>0.03</v>
      </c>
      <c r="J29" s="195" t="s">
        <v>506</v>
      </c>
      <c r="K29" s="195">
        <v>1021.09</v>
      </c>
      <c r="L29" s="195" t="s">
        <v>508</v>
      </c>
      <c r="M29" s="195">
        <v>51.02</v>
      </c>
      <c r="N29" s="195">
        <v>1506502800</v>
      </c>
      <c r="O29" s="195">
        <v>0</v>
      </c>
      <c r="P29" s="195">
        <v>3.48</v>
      </c>
      <c r="Q29" s="195">
        <v>314</v>
      </c>
      <c r="R29" s="195">
        <v>2.54</v>
      </c>
      <c r="S29" s="195">
        <v>0.61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43004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420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992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993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603</v>
      </c>
      <c r="J22" s="140" t="s">
        <v>92</v>
      </c>
      <c r="K22" s="140" t="s">
        <v>604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994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995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996</v>
      </c>
      <c r="J25" s="140" t="s">
        <v>145</v>
      </c>
      <c r="M25" s="154" t="b">
        <v>1</v>
      </c>
    </row>
    <row r="26" spans="3:24" x14ac:dyDescent="0.25">
      <c r="C26" t="s">
        <v>997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c:\users\stu\Documents\GitHub\eaglep3-reporting\EC\2017-09-26-refined-times.txt</v>
      </c>
    </row>
    <row r="27" spans="3:24" x14ac:dyDescent="0.25">
      <c r="C27" t="s">
        <v>998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c:\users\stu\Documents\GitHub\eaglep3-reporting\EC\2017-09-26-Enforcements.txt</v>
      </c>
    </row>
    <row r="28" spans="3:24" x14ac:dyDescent="0.25">
      <c r="C28" t="s">
        <v>999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c:\users\stu\Documents\GitHub\eaglep3-reporting\EC\2017-09-26-Runs-refined.txt</v>
      </c>
    </row>
    <row r="29" spans="3:24" x14ac:dyDescent="0.25">
      <c r="C29" t="s">
        <v>1000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c:\users\stu\Documents\GitHub\eaglep3-reporting\EC\2017-09-26-Trips.txt</v>
      </c>
    </row>
    <row r="30" spans="3:24" x14ac:dyDescent="0.25">
      <c r="C30" t="s">
        <v>1001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c:\users\stu\Documents\GitHub\eaglep3-reporting\EC\2017-09-26-Weather.txt</v>
      </c>
    </row>
    <row r="31" spans="3:24" x14ac:dyDescent="0.25">
      <c r="C31" t="s">
        <v>1002</v>
      </c>
      <c r="J31" s="140" t="s">
        <v>192</v>
      </c>
      <c r="M31" s="154" t="s">
        <v>193</v>
      </c>
    </row>
    <row r="32" spans="3:24" x14ac:dyDescent="0.25">
      <c r="C32" t="s">
        <v>1003</v>
      </c>
    </row>
    <row r="33" spans="3:3" x14ac:dyDescent="0.25">
      <c r="C33" t="s">
        <v>1004</v>
      </c>
    </row>
    <row r="34" spans="3:3" x14ac:dyDescent="0.25">
      <c r="C34" t="s">
        <v>1005</v>
      </c>
    </row>
    <row r="35" spans="3:3" x14ac:dyDescent="0.25">
      <c r="C35" t="s">
        <v>1006</v>
      </c>
    </row>
    <row r="36" spans="3:3" x14ac:dyDescent="0.25">
      <c r="C36" t="s">
        <v>1007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7" t="s">
        <v>112</v>
      </c>
      <c r="I1" s="185" t="s">
        <v>114</v>
      </c>
      <c r="J1" s="167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7" t="s">
        <v>113</v>
      </c>
      <c r="I2" s="167" t="s">
        <v>115</v>
      </c>
      <c r="J2" s="167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7" t="s">
        <v>138</v>
      </c>
      <c r="I3" s="167">
        <v>1</v>
      </c>
      <c r="J3" s="167">
        <v>1</v>
      </c>
      <c r="K3" s="55"/>
    </row>
    <row r="4" spans="1:11" x14ac:dyDescent="0.25">
      <c r="A4" s="93" t="s">
        <v>125</v>
      </c>
      <c r="C4" s="93" t="s">
        <v>126</v>
      </c>
      <c r="H4" s="167" t="s">
        <v>139</v>
      </c>
      <c r="I4" s="167">
        <v>2</v>
      </c>
      <c r="J4" s="167">
        <v>1</v>
      </c>
      <c r="K4" s="55"/>
    </row>
    <row r="5" spans="1:11" x14ac:dyDescent="0.25">
      <c r="A5" s="93" t="s">
        <v>127</v>
      </c>
      <c r="C5" s="93" t="s">
        <v>128</v>
      </c>
      <c r="H5" s="167" t="s">
        <v>140</v>
      </c>
      <c r="I5" s="167">
        <v>338</v>
      </c>
      <c r="J5" s="167">
        <v>10</v>
      </c>
      <c r="K5" s="55"/>
    </row>
    <row r="6" spans="1:11" x14ac:dyDescent="0.25">
      <c r="A6" s="93" t="s">
        <v>129</v>
      </c>
      <c r="C6" s="93" t="s">
        <v>130</v>
      </c>
      <c r="H6" s="186" t="s">
        <v>141</v>
      </c>
      <c r="I6" s="186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2017-09-27T18:35:01Z</dcterms:modified>
</cp:coreProperties>
</file>