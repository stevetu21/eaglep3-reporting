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7" i="1" l="1"/>
  <c r="M207" i="1"/>
  <c r="N207" i="1" s="1"/>
  <c r="AA207" i="1"/>
  <c r="AB207" i="1"/>
  <c r="AC207" i="1"/>
  <c r="AD207" i="1"/>
  <c r="T207" i="1" s="1"/>
  <c r="AE207" i="1"/>
  <c r="AM207" i="1"/>
  <c r="K204" i="1"/>
  <c r="M204" i="1"/>
  <c r="N204" i="1"/>
  <c r="AA204" i="1"/>
  <c r="AB204" i="1"/>
  <c r="AC204" i="1"/>
  <c r="AD204" i="1"/>
  <c r="T204" i="1" s="1"/>
  <c r="AE204" i="1"/>
  <c r="AM204" i="1"/>
  <c r="K200" i="1"/>
  <c r="M200" i="1"/>
  <c r="N200" i="1" s="1"/>
  <c r="AA200" i="1"/>
  <c r="AB200" i="1"/>
  <c r="AC200" i="1"/>
  <c r="AD200" i="1"/>
  <c r="T200" i="1" s="1"/>
  <c r="AE200" i="1"/>
  <c r="AM200" i="1"/>
  <c r="K195" i="1"/>
  <c r="M195" i="1"/>
  <c r="N195" i="1"/>
  <c r="AA195" i="1"/>
  <c r="AB195" i="1"/>
  <c r="AC195" i="1"/>
  <c r="AD195" i="1"/>
  <c r="T195" i="1" s="1"/>
  <c r="AE195" i="1"/>
  <c r="AM195" i="1"/>
  <c r="K192" i="1"/>
  <c r="M192" i="1"/>
  <c r="N192" i="1"/>
  <c r="AA192" i="1"/>
  <c r="AB192" i="1"/>
  <c r="AC192" i="1"/>
  <c r="AD192" i="1"/>
  <c r="T192" i="1" s="1"/>
  <c r="AE192" i="1"/>
  <c r="AM192" i="1"/>
  <c r="K190" i="1"/>
  <c r="M190" i="1"/>
  <c r="N190" i="1"/>
  <c r="AA190" i="1"/>
  <c r="AB190" i="1"/>
  <c r="AC190" i="1"/>
  <c r="AD190" i="1"/>
  <c r="T190" i="1" s="1"/>
  <c r="AE190" i="1"/>
  <c r="AM190" i="1"/>
  <c r="K187" i="1"/>
  <c r="M187" i="1"/>
  <c r="N187" i="1"/>
  <c r="AA187" i="1"/>
  <c r="AB187" i="1"/>
  <c r="AC187" i="1"/>
  <c r="AD187" i="1"/>
  <c r="T187" i="1" s="1"/>
  <c r="AE187" i="1"/>
  <c r="AM187" i="1"/>
  <c r="K184" i="1"/>
  <c r="M184" i="1"/>
  <c r="N184" i="1"/>
  <c r="AA184" i="1"/>
  <c r="AB184" i="1"/>
  <c r="AC184" i="1"/>
  <c r="AD184" i="1"/>
  <c r="T184" i="1" s="1"/>
  <c r="AE184" i="1"/>
  <c r="AM184" i="1"/>
  <c r="K180" i="1"/>
  <c r="M180" i="1"/>
  <c r="N180" i="1"/>
  <c r="AA180" i="1"/>
  <c r="AB180" i="1"/>
  <c r="AC180" i="1"/>
  <c r="AD180" i="1"/>
  <c r="T180" i="1" s="1"/>
  <c r="AE180" i="1"/>
  <c r="AM180" i="1"/>
  <c r="K158" i="1"/>
  <c r="M158" i="1"/>
  <c r="N158" i="1" s="1"/>
  <c r="AA158" i="1"/>
  <c r="AB158" i="1"/>
  <c r="AC158" i="1"/>
  <c r="AD158" i="1"/>
  <c r="T158" i="1" s="1"/>
  <c r="AE158" i="1"/>
  <c r="AM158" i="1"/>
  <c r="K156" i="1"/>
  <c r="M156" i="1"/>
  <c r="N156" i="1" s="1"/>
  <c r="AA156" i="1"/>
  <c r="AB156" i="1"/>
  <c r="AC156" i="1"/>
  <c r="AD156" i="1"/>
  <c r="T156" i="1" s="1"/>
  <c r="AE156" i="1"/>
  <c r="AM156" i="1"/>
  <c r="K153" i="1"/>
  <c r="M153" i="1"/>
  <c r="N153" i="1" s="1"/>
  <c r="AA153" i="1"/>
  <c r="AB153" i="1"/>
  <c r="AC153" i="1"/>
  <c r="AD153" i="1"/>
  <c r="T153" i="1" s="1"/>
  <c r="AE153" i="1"/>
  <c r="AM153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AE17" i="1"/>
  <c r="AM17" i="1"/>
  <c r="K18" i="1"/>
  <c r="M18" i="1"/>
  <c r="N18" i="1" s="1"/>
  <c r="Y18" i="1"/>
  <c r="Z18" i="1"/>
  <c r="AA18" i="1" s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A22" i="1" s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T24" i="1" s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A26" i="1" s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T28" i="1" s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T30" i="1" s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T32" i="1" s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T34" i="1" s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A36" i="1" s="1"/>
  <c r="AB36" i="1"/>
  <c r="AC36" i="1"/>
  <c r="AD36" i="1"/>
  <c r="T36" i="1" s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A38" i="1" s="1"/>
  <c r="AB38" i="1"/>
  <c r="AC38" i="1"/>
  <c r="AD38" i="1"/>
  <c r="T38" i="1" s="1"/>
  <c r="AE38" i="1"/>
  <c r="AM38" i="1"/>
  <c r="K39" i="1"/>
  <c r="M39" i="1"/>
  <c r="N39" i="1" s="1"/>
  <c r="Y39" i="1"/>
  <c r="Z39" i="1"/>
  <c r="AA39" i="1" s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T40" i="1" s="1"/>
  <c r="AE40" i="1"/>
  <c r="AM40" i="1"/>
  <c r="K41" i="1"/>
  <c r="M41" i="1"/>
  <c r="N41" i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T42" i="1" s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A44" i="1" s="1"/>
  <c r="AB44" i="1"/>
  <c r="AC44" i="1"/>
  <c r="AD44" i="1"/>
  <c r="T44" i="1" s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A46" i="1" s="1"/>
  <c r="AB46" i="1"/>
  <c r="AC46" i="1"/>
  <c r="AD46" i="1"/>
  <c r="T46" i="1" s="1"/>
  <c r="AE46" i="1"/>
  <c r="AM46" i="1"/>
  <c r="K47" i="1"/>
  <c r="M47" i="1"/>
  <c r="N47" i="1" s="1"/>
  <c r="Y47" i="1"/>
  <c r="Z47" i="1"/>
  <c r="AB47" i="1"/>
  <c r="AC47" i="1"/>
  <c r="AD47" i="1"/>
  <c r="T47" i="1" s="1"/>
  <c r="AE47" i="1"/>
  <c r="AM47" i="1"/>
  <c r="K48" i="1"/>
  <c r="M48" i="1"/>
  <c r="N48" i="1" s="1"/>
  <c r="Y48" i="1"/>
  <c r="Z48" i="1"/>
  <c r="AA48" i="1" s="1"/>
  <c r="AB48" i="1"/>
  <c r="AC48" i="1"/>
  <c r="AD48" i="1"/>
  <c r="T48" i="1" s="1"/>
  <c r="AE48" i="1"/>
  <c r="AM48" i="1"/>
  <c r="K49" i="1"/>
  <c r="M49" i="1"/>
  <c r="N49" i="1" s="1"/>
  <c r="Y49" i="1"/>
  <c r="Z49" i="1"/>
  <c r="AB49" i="1"/>
  <c r="AC49" i="1"/>
  <c r="AD49" i="1"/>
  <c r="X49" i="1" s="1"/>
  <c r="AE49" i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A52" i="1" s="1"/>
  <c r="AB52" i="1"/>
  <c r="AC52" i="1"/>
  <c r="AD52" i="1"/>
  <c r="T52" i="1" s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A54" i="1" s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A56" i="1" s="1"/>
  <c r="AB56" i="1"/>
  <c r="AC56" i="1"/>
  <c r="AD56" i="1"/>
  <c r="AE56" i="1"/>
  <c r="AM56" i="1"/>
  <c r="K57" i="1"/>
  <c r="M57" i="1"/>
  <c r="N57" i="1" s="1"/>
  <c r="Y57" i="1"/>
  <c r="Z57" i="1"/>
  <c r="AA57" i="1" s="1"/>
  <c r="AB57" i="1"/>
  <c r="AC57" i="1"/>
  <c r="AD57" i="1"/>
  <c r="AE57" i="1"/>
  <c r="AM57" i="1"/>
  <c r="K58" i="1"/>
  <c r="M58" i="1"/>
  <c r="N58" i="1" s="1"/>
  <c r="Y58" i="1"/>
  <c r="Z58" i="1"/>
  <c r="AA58" i="1" s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A62" i="1" s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X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X68" i="1" s="1"/>
  <c r="AE68" i="1"/>
  <c r="AM68" i="1"/>
  <c r="K69" i="1"/>
  <c r="M69" i="1"/>
  <c r="N69" i="1" s="1"/>
  <c r="T69" i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/>
  <c r="Y72" i="1"/>
  <c r="Z72" i="1"/>
  <c r="AB72" i="1"/>
  <c r="AC72" i="1"/>
  <c r="AD72" i="1"/>
  <c r="T72" i="1" s="1"/>
  <c r="AE72" i="1"/>
  <c r="AM72" i="1"/>
  <c r="K73" i="1"/>
  <c r="M73" i="1"/>
  <c r="N73" i="1"/>
  <c r="Y73" i="1"/>
  <c r="Z73" i="1"/>
  <c r="AB73" i="1"/>
  <c r="AC73" i="1"/>
  <c r="AD73" i="1"/>
  <c r="T73" i="1" s="1"/>
  <c r="AE73" i="1"/>
  <c r="AM73" i="1"/>
  <c r="K74" i="1"/>
  <c r="M74" i="1"/>
  <c r="N74" i="1"/>
  <c r="Y74" i="1"/>
  <c r="Z74" i="1"/>
  <c r="AB74" i="1"/>
  <c r="AC74" i="1"/>
  <c r="AD74" i="1"/>
  <c r="T74" i="1" s="1"/>
  <c r="AE74" i="1"/>
  <c r="AM74" i="1"/>
  <c r="K75" i="1"/>
  <c r="M75" i="1"/>
  <c r="N75" i="1"/>
  <c r="Y75" i="1"/>
  <c r="Z75" i="1"/>
  <c r="AB75" i="1"/>
  <c r="AC75" i="1"/>
  <c r="AD75" i="1"/>
  <c r="T75" i="1" s="1"/>
  <c r="AE75" i="1"/>
  <c r="AM75" i="1"/>
  <c r="K76" i="1"/>
  <c r="M76" i="1"/>
  <c r="N76" i="1"/>
  <c r="Y76" i="1"/>
  <c r="Z76" i="1"/>
  <c r="AB76" i="1"/>
  <c r="AC76" i="1"/>
  <c r="AD76" i="1"/>
  <c r="T76" i="1" s="1"/>
  <c r="AE76" i="1"/>
  <c r="AM76" i="1"/>
  <c r="K77" i="1"/>
  <c r="M77" i="1"/>
  <c r="N77" i="1"/>
  <c r="Y77" i="1"/>
  <c r="Z77" i="1"/>
  <c r="AB77" i="1"/>
  <c r="AC77" i="1"/>
  <c r="AD77" i="1"/>
  <c r="T77" i="1" s="1"/>
  <c r="AE77" i="1"/>
  <c r="AM77" i="1"/>
  <c r="K78" i="1"/>
  <c r="M78" i="1"/>
  <c r="N78" i="1"/>
  <c r="Y78" i="1"/>
  <c r="Z78" i="1"/>
  <c r="AB78" i="1"/>
  <c r="AC78" i="1"/>
  <c r="AD78" i="1"/>
  <c r="T78" i="1" s="1"/>
  <c r="AE78" i="1"/>
  <c r="AM78" i="1"/>
  <c r="K79" i="1"/>
  <c r="M79" i="1"/>
  <c r="N79" i="1"/>
  <c r="Y79" i="1"/>
  <c r="Z79" i="1"/>
  <c r="AB79" i="1"/>
  <c r="AC79" i="1"/>
  <c r="AD79" i="1"/>
  <c r="T79" i="1" s="1"/>
  <c r="AE79" i="1"/>
  <c r="AM79" i="1"/>
  <c r="K80" i="1"/>
  <c r="M80" i="1"/>
  <c r="N80" i="1"/>
  <c r="Y80" i="1"/>
  <c r="Z80" i="1"/>
  <c r="AB80" i="1"/>
  <c r="AC80" i="1"/>
  <c r="AD80" i="1"/>
  <c r="T80" i="1" s="1"/>
  <c r="AE80" i="1"/>
  <c r="AM80" i="1"/>
  <c r="K81" i="1"/>
  <c r="M81" i="1"/>
  <c r="N81" i="1"/>
  <c r="Y81" i="1"/>
  <c r="Z81" i="1"/>
  <c r="AB81" i="1"/>
  <c r="AC81" i="1"/>
  <c r="AD81" i="1"/>
  <c r="T81" i="1" s="1"/>
  <c r="AE81" i="1"/>
  <c r="AM81" i="1"/>
  <c r="K82" i="1"/>
  <c r="M82" i="1"/>
  <c r="N82" i="1"/>
  <c r="Y82" i="1"/>
  <c r="Z82" i="1"/>
  <c r="AB82" i="1"/>
  <c r="AC82" i="1"/>
  <c r="AD82" i="1"/>
  <c r="T82" i="1" s="1"/>
  <c r="AE82" i="1"/>
  <c r="R7" i="3" s="1"/>
  <c r="AM82" i="1"/>
  <c r="K83" i="1"/>
  <c r="M83" i="1"/>
  <c r="N83" i="1"/>
  <c r="Y83" i="1"/>
  <c r="AA83" i="1" s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/>
  <c r="Y85" i="1"/>
  <c r="Z85" i="1"/>
  <c r="AB85" i="1"/>
  <c r="AC85" i="1"/>
  <c r="AD85" i="1"/>
  <c r="T85" i="1" s="1"/>
  <c r="AE85" i="1"/>
  <c r="AM85" i="1"/>
  <c r="K86" i="1"/>
  <c r="M86" i="1"/>
  <c r="N86" i="1"/>
  <c r="Y86" i="1"/>
  <c r="AA86" i="1" s="1"/>
  <c r="Z86" i="1"/>
  <c r="AB86" i="1"/>
  <c r="AC86" i="1"/>
  <c r="AD86" i="1"/>
  <c r="T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A88" i="1" s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A90" i="1" s="1"/>
  <c r="AB90" i="1"/>
  <c r="AC90" i="1"/>
  <c r="AD90" i="1"/>
  <c r="AE90" i="1"/>
  <c r="R11" i="3" s="1"/>
  <c r="AM90" i="1"/>
  <c r="K91" i="1"/>
  <c r="M91" i="1"/>
  <c r="N91" i="1" s="1"/>
  <c r="Y91" i="1"/>
  <c r="Z91" i="1"/>
  <c r="AA91" i="1" s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A94" i="1" s="1"/>
  <c r="AB94" i="1"/>
  <c r="AC94" i="1"/>
  <c r="AD94" i="1"/>
  <c r="AE94" i="1"/>
  <c r="AM94" i="1"/>
  <c r="K95" i="1"/>
  <c r="M95" i="1"/>
  <c r="N95" i="1"/>
  <c r="Y95" i="1"/>
  <c r="Z95" i="1"/>
  <c r="AB95" i="1"/>
  <c r="AC95" i="1"/>
  <c r="AD95" i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A98" i="1" s="1"/>
  <c r="AB98" i="1"/>
  <c r="AC98" i="1"/>
  <c r="AD98" i="1"/>
  <c r="AE98" i="1"/>
  <c r="AM98" i="1"/>
  <c r="K99" i="1"/>
  <c r="M99" i="1"/>
  <c r="N99" i="1" s="1"/>
  <c r="Y99" i="1"/>
  <c r="AA99" i="1" s="1"/>
  <c r="Z99" i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/>
  <c r="Y103" i="1"/>
  <c r="Z103" i="1"/>
  <c r="AA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A106" i="1" s="1"/>
  <c r="AB106" i="1"/>
  <c r="AC106" i="1"/>
  <c r="AD106" i="1"/>
  <c r="AE106" i="1"/>
  <c r="AM106" i="1"/>
  <c r="K107" i="1"/>
  <c r="M107" i="1"/>
  <c r="N107" i="1"/>
  <c r="Y107" i="1"/>
  <c r="Z107" i="1"/>
  <c r="AA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/>
  <c r="Y111" i="1"/>
  <c r="AA111" i="1" s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A114" i="1" s="1"/>
  <c r="AB114" i="1"/>
  <c r="AC114" i="1"/>
  <c r="AD114" i="1"/>
  <c r="AE114" i="1"/>
  <c r="AM114" i="1"/>
  <c r="K115" i="1"/>
  <c r="M115" i="1"/>
  <c r="N115" i="1"/>
  <c r="Y115" i="1"/>
  <c r="Z115" i="1"/>
  <c r="AA115" i="1" s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AE118" i="1"/>
  <c r="AM118" i="1"/>
  <c r="K119" i="1"/>
  <c r="M119" i="1"/>
  <c r="N119" i="1" s="1"/>
  <c r="Y119" i="1"/>
  <c r="Z119" i="1"/>
  <c r="AA119" i="1" s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A122" i="1" s="1"/>
  <c r="AB122" i="1"/>
  <c r="AC122" i="1"/>
  <c r="AD122" i="1"/>
  <c r="AE122" i="1"/>
  <c r="R13" i="3" s="1"/>
  <c r="AM122" i="1"/>
  <c r="K123" i="1"/>
  <c r="M123" i="1"/>
  <c r="N123" i="1" s="1"/>
  <c r="Y123" i="1"/>
  <c r="Z123" i="1"/>
  <c r="AA123" i="1" s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AE124" i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A126" i="1" s="1"/>
  <c r="AB126" i="1"/>
  <c r="AC126" i="1"/>
  <c r="AD126" i="1"/>
  <c r="AE126" i="1"/>
  <c r="AM126" i="1"/>
  <c r="K127" i="1"/>
  <c r="M127" i="1"/>
  <c r="N127" i="1" s="1"/>
  <c r="Y127" i="1"/>
  <c r="Z127" i="1"/>
  <c r="AA127" i="1" s="1"/>
  <c r="AB127" i="1"/>
  <c r="AC127" i="1"/>
  <c r="AD127" i="1"/>
  <c r="AE127" i="1"/>
  <c r="AM127" i="1"/>
  <c r="K128" i="1"/>
  <c r="M128" i="1"/>
  <c r="N128" i="1" s="1"/>
  <c r="Y128" i="1"/>
  <c r="Z128" i="1"/>
  <c r="AB128" i="1"/>
  <c r="AC128" i="1"/>
  <c r="AD128" i="1"/>
  <c r="AE128" i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R9" i="3" s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A140" i="1" s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A142" i="1" s="1"/>
  <c r="AB142" i="1"/>
  <c r="AC142" i="1"/>
  <c r="AD142" i="1"/>
  <c r="AE142" i="1"/>
  <c r="R8" i="3" s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A144" i="1" s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A146" i="1" s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A148" i="1" s="1"/>
  <c r="AB148" i="1"/>
  <c r="AC148" i="1"/>
  <c r="AD148" i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A150" i="1" s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A152" i="1" s="1"/>
  <c r="AB152" i="1"/>
  <c r="AC152" i="1"/>
  <c r="AD152" i="1"/>
  <c r="AE152" i="1"/>
  <c r="AM152" i="1"/>
  <c r="K154" i="1"/>
  <c r="M154" i="1"/>
  <c r="N154" i="1" s="1"/>
  <c r="Y154" i="1"/>
  <c r="Z154" i="1"/>
  <c r="AB154" i="1"/>
  <c r="AC154" i="1"/>
  <c r="AD154" i="1"/>
  <c r="X154" i="1" s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7" i="1"/>
  <c r="M157" i="1"/>
  <c r="N157" i="1" s="1"/>
  <c r="Y157" i="1"/>
  <c r="Z157" i="1"/>
  <c r="AB157" i="1"/>
  <c r="AC157" i="1"/>
  <c r="AD157" i="1"/>
  <c r="X157" i="1" s="1"/>
  <c r="AE157" i="1"/>
  <c r="AM157" i="1"/>
  <c r="K208" i="1"/>
  <c r="M208" i="1"/>
  <c r="N208" i="1" s="1"/>
  <c r="Y208" i="1"/>
  <c r="Z208" i="1"/>
  <c r="AA208" i="1" s="1"/>
  <c r="AB208" i="1"/>
  <c r="AC208" i="1"/>
  <c r="AD208" i="1"/>
  <c r="X208" i="1" s="1"/>
  <c r="AE208" i="1"/>
  <c r="AM159" i="1"/>
  <c r="K209" i="1"/>
  <c r="M209" i="1"/>
  <c r="N209" i="1" s="1"/>
  <c r="Y209" i="1"/>
  <c r="Z209" i="1"/>
  <c r="AB209" i="1"/>
  <c r="AC209" i="1"/>
  <c r="AD209" i="1"/>
  <c r="AE209" i="1"/>
  <c r="AM160" i="1"/>
  <c r="K210" i="1"/>
  <c r="M210" i="1"/>
  <c r="N210" i="1" s="1"/>
  <c r="Y210" i="1"/>
  <c r="Z210" i="1"/>
  <c r="AB210" i="1"/>
  <c r="AC210" i="1"/>
  <c r="AD210" i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A212" i="1" s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T214" i="1" s="1"/>
  <c r="AE214" i="1"/>
  <c r="AM165" i="1"/>
  <c r="K215" i="1"/>
  <c r="M215" i="1"/>
  <c r="N215" i="1" s="1"/>
  <c r="Y215" i="1"/>
  <c r="AA215" i="1" s="1"/>
  <c r="Z215" i="1"/>
  <c r="AB215" i="1"/>
  <c r="AC215" i="1"/>
  <c r="AD215" i="1"/>
  <c r="T215" i="1" s="1"/>
  <c r="AE215" i="1"/>
  <c r="AM166" i="1"/>
  <c r="K216" i="1"/>
  <c r="M216" i="1"/>
  <c r="N216" i="1" s="1"/>
  <c r="Y216" i="1"/>
  <c r="Z216" i="1"/>
  <c r="AA216" i="1" s="1"/>
  <c r="AB216" i="1"/>
  <c r="AC216" i="1"/>
  <c r="AD216" i="1"/>
  <c r="T216" i="1" s="1"/>
  <c r="AE216" i="1"/>
  <c r="AM167" i="1"/>
  <c r="K217" i="1"/>
  <c r="M217" i="1"/>
  <c r="N217" i="1" s="1"/>
  <c r="Y217" i="1"/>
  <c r="Z217" i="1"/>
  <c r="AB217" i="1"/>
  <c r="AC217" i="1"/>
  <c r="AD217" i="1"/>
  <c r="T217" i="1" s="1"/>
  <c r="AE217" i="1"/>
  <c r="AM168" i="1"/>
  <c r="K218" i="1"/>
  <c r="M218" i="1"/>
  <c r="N218" i="1" s="1"/>
  <c r="Y218" i="1"/>
  <c r="Z218" i="1"/>
  <c r="AB218" i="1"/>
  <c r="AC218" i="1"/>
  <c r="AD218" i="1"/>
  <c r="T218" i="1" s="1"/>
  <c r="AE218" i="1"/>
  <c r="AM169" i="1"/>
  <c r="K219" i="1"/>
  <c r="M219" i="1"/>
  <c r="N219" i="1" s="1"/>
  <c r="Y219" i="1"/>
  <c r="AA219" i="1" s="1"/>
  <c r="Z219" i="1"/>
  <c r="AB219" i="1"/>
  <c r="AC219" i="1"/>
  <c r="AD219" i="1"/>
  <c r="T219" i="1" s="1"/>
  <c r="AE219" i="1"/>
  <c r="AM170" i="1"/>
  <c r="K220" i="1"/>
  <c r="M220" i="1"/>
  <c r="N220" i="1" s="1"/>
  <c r="Y220" i="1"/>
  <c r="Z220" i="1"/>
  <c r="AA220" i="1" s="1"/>
  <c r="AB220" i="1"/>
  <c r="AC220" i="1"/>
  <c r="AD220" i="1"/>
  <c r="T220" i="1" s="1"/>
  <c r="AE220" i="1"/>
  <c r="AM171" i="1"/>
  <c r="K227" i="1"/>
  <c r="M227" i="1"/>
  <c r="N227" i="1" s="1"/>
  <c r="Y227" i="1"/>
  <c r="Z227" i="1"/>
  <c r="AB227" i="1"/>
  <c r="AC227" i="1"/>
  <c r="AD227" i="1"/>
  <c r="T227" i="1" s="1"/>
  <c r="AE227" i="1"/>
  <c r="AM172" i="1"/>
  <c r="K228" i="1"/>
  <c r="M228" i="1"/>
  <c r="N228" i="1" s="1"/>
  <c r="Y228" i="1"/>
  <c r="Z228" i="1"/>
  <c r="AB228" i="1"/>
  <c r="AC228" i="1"/>
  <c r="AD228" i="1"/>
  <c r="T228" i="1" s="1"/>
  <c r="AE228" i="1"/>
  <c r="AM173" i="1"/>
  <c r="K229" i="1"/>
  <c r="M229" i="1"/>
  <c r="N229" i="1" s="1"/>
  <c r="Y229" i="1"/>
  <c r="AA229" i="1" s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A230" i="1" s="1"/>
  <c r="AB230" i="1"/>
  <c r="AC230" i="1"/>
  <c r="AD230" i="1"/>
  <c r="T230" i="1" s="1"/>
  <c r="AE230" i="1"/>
  <c r="AM175" i="1"/>
  <c r="K231" i="1"/>
  <c r="M231" i="1"/>
  <c r="N231" i="1" s="1"/>
  <c r="Y231" i="1"/>
  <c r="Z231" i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AA233" i="1" s="1"/>
  <c r="Z233" i="1"/>
  <c r="AB233" i="1"/>
  <c r="AC233" i="1"/>
  <c r="AD233" i="1"/>
  <c r="T233" i="1" s="1"/>
  <c r="AE233" i="1"/>
  <c r="AM178" i="1"/>
  <c r="K234" i="1"/>
  <c r="M234" i="1"/>
  <c r="N234" i="1" s="1"/>
  <c r="Y234" i="1"/>
  <c r="Z234" i="1"/>
  <c r="AA234" i="1" s="1"/>
  <c r="AB234" i="1"/>
  <c r="AC234" i="1"/>
  <c r="AD234" i="1"/>
  <c r="T234" i="1" s="1"/>
  <c r="AE234" i="1"/>
  <c r="AM179" i="1"/>
  <c r="K235" i="1"/>
  <c r="M235" i="1"/>
  <c r="N235" i="1" s="1"/>
  <c r="Y235" i="1"/>
  <c r="Z235" i="1"/>
  <c r="AB235" i="1"/>
  <c r="AC235" i="1"/>
  <c r="AD235" i="1"/>
  <c r="T235" i="1" s="1"/>
  <c r="AE235" i="1"/>
  <c r="AM181" i="1"/>
  <c r="K236" i="1"/>
  <c r="M236" i="1"/>
  <c r="N236" i="1" s="1"/>
  <c r="Y236" i="1"/>
  <c r="Z236" i="1"/>
  <c r="AB236" i="1"/>
  <c r="AC236" i="1"/>
  <c r="AD236" i="1"/>
  <c r="T236" i="1" s="1"/>
  <c r="AE236" i="1"/>
  <c r="AM182" i="1"/>
  <c r="K237" i="1"/>
  <c r="M237" i="1"/>
  <c r="N237" i="1" s="1"/>
  <c r="Y237" i="1"/>
  <c r="AA237" i="1" s="1"/>
  <c r="Z237" i="1"/>
  <c r="AB237" i="1"/>
  <c r="AC237" i="1"/>
  <c r="AD237" i="1"/>
  <c r="T237" i="1" s="1"/>
  <c r="AE237" i="1"/>
  <c r="AM183" i="1"/>
  <c r="K238" i="1"/>
  <c r="M238" i="1"/>
  <c r="N238" i="1" s="1"/>
  <c r="Y238" i="1"/>
  <c r="Z238" i="1"/>
  <c r="AA238" i="1" s="1"/>
  <c r="AB238" i="1"/>
  <c r="AC238" i="1"/>
  <c r="AD238" i="1"/>
  <c r="T238" i="1" s="1"/>
  <c r="AE238" i="1"/>
  <c r="AM185" i="1"/>
  <c r="K239" i="1"/>
  <c r="M239" i="1"/>
  <c r="N239" i="1" s="1"/>
  <c r="Y239" i="1"/>
  <c r="Z239" i="1"/>
  <c r="AB239" i="1"/>
  <c r="AC239" i="1"/>
  <c r="AD239" i="1"/>
  <c r="T239" i="1" s="1"/>
  <c r="AE239" i="1"/>
  <c r="AM186" i="1"/>
  <c r="K240" i="1"/>
  <c r="M240" i="1"/>
  <c r="N240" i="1" s="1"/>
  <c r="Y240" i="1"/>
  <c r="Z240" i="1"/>
  <c r="AB240" i="1"/>
  <c r="AC240" i="1"/>
  <c r="AD240" i="1"/>
  <c r="T240" i="1" s="1"/>
  <c r="AE240" i="1"/>
  <c r="AM188" i="1"/>
  <c r="K241" i="1"/>
  <c r="M241" i="1"/>
  <c r="N241" i="1" s="1"/>
  <c r="Y241" i="1"/>
  <c r="AA241" i="1" s="1"/>
  <c r="Z241" i="1"/>
  <c r="AB241" i="1"/>
  <c r="AC241" i="1"/>
  <c r="AD241" i="1"/>
  <c r="AE241" i="1"/>
  <c r="AM189" i="1"/>
  <c r="K242" i="1"/>
  <c r="M242" i="1"/>
  <c r="N242" i="1" s="1"/>
  <c r="Y242" i="1"/>
  <c r="Z242" i="1"/>
  <c r="AA242" i="1" s="1"/>
  <c r="AB242" i="1"/>
  <c r="AC242" i="1"/>
  <c r="AD242" i="1"/>
  <c r="AE242" i="1"/>
  <c r="AM191" i="1"/>
  <c r="K243" i="1"/>
  <c r="M243" i="1"/>
  <c r="N243" i="1" s="1"/>
  <c r="Y243" i="1"/>
  <c r="Z243" i="1"/>
  <c r="AB243" i="1"/>
  <c r="AC243" i="1"/>
  <c r="AD243" i="1"/>
  <c r="AE243" i="1"/>
  <c r="AM193" i="1"/>
  <c r="K244" i="1"/>
  <c r="M244" i="1"/>
  <c r="N244" i="1" s="1"/>
  <c r="Y244" i="1"/>
  <c r="Z244" i="1"/>
  <c r="AB244" i="1"/>
  <c r="AC244" i="1"/>
  <c r="AD244" i="1"/>
  <c r="AE244" i="1"/>
  <c r="AM194" i="1"/>
  <c r="K159" i="1"/>
  <c r="M159" i="1"/>
  <c r="N159" i="1" s="1"/>
  <c r="Y159" i="1"/>
  <c r="Z159" i="1"/>
  <c r="AB159" i="1"/>
  <c r="AC159" i="1"/>
  <c r="AD159" i="1"/>
  <c r="X159" i="1" s="1"/>
  <c r="AE159" i="1"/>
  <c r="AM196" i="1"/>
  <c r="K160" i="1"/>
  <c r="M160" i="1"/>
  <c r="N160" i="1" s="1"/>
  <c r="Y160" i="1"/>
  <c r="Z160" i="1"/>
  <c r="AA160" i="1" s="1"/>
  <c r="AB160" i="1"/>
  <c r="AC160" i="1"/>
  <c r="AD160" i="1"/>
  <c r="AE160" i="1"/>
  <c r="AM197" i="1"/>
  <c r="K161" i="1"/>
  <c r="M161" i="1"/>
  <c r="N161" i="1" s="1"/>
  <c r="Y161" i="1"/>
  <c r="Z161" i="1"/>
  <c r="AB161" i="1"/>
  <c r="AC161" i="1"/>
  <c r="AD161" i="1"/>
  <c r="AE161" i="1"/>
  <c r="R16" i="3" s="1"/>
  <c r="AM198" i="1"/>
  <c r="K162" i="1"/>
  <c r="M162" i="1"/>
  <c r="N162" i="1" s="1"/>
  <c r="Y162" i="1"/>
  <c r="Z162" i="1"/>
  <c r="AB162" i="1"/>
  <c r="AC162" i="1"/>
  <c r="AD162" i="1"/>
  <c r="AE162" i="1"/>
  <c r="AM199" i="1"/>
  <c r="K163" i="1"/>
  <c r="M163" i="1"/>
  <c r="N163" i="1" s="1"/>
  <c r="Y163" i="1"/>
  <c r="Z163" i="1"/>
  <c r="AB163" i="1"/>
  <c r="AC163" i="1"/>
  <c r="AD163" i="1"/>
  <c r="AE163" i="1"/>
  <c r="AM201" i="1"/>
  <c r="K164" i="1"/>
  <c r="M164" i="1"/>
  <c r="N164" i="1" s="1"/>
  <c r="Y164" i="1"/>
  <c r="Z164" i="1"/>
  <c r="AB164" i="1"/>
  <c r="AC164" i="1"/>
  <c r="AD164" i="1"/>
  <c r="AE164" i="1"/>
  <c r="AM202" i="1"/>
  <c r="K165" i="1"/>
  <c r="M165" i="1"/>
  <c r="N165" i="1" s="1"/>
  <c r="Y165" i="1"/>
  <c r="Z165" i="1"/>
  <c r="AB165" i="1"/>
  <c r="AC165" i="1"/>
  <c r="AD165" i="1"/>
  <c r="AE165" i="1"/>
  <c r="AM203" i="1"/>
  <c r="K166" i="1"/>
  <c r="M166" i="1"/>
  <c r="N166" i="1" s="1"/>
  <c r="AA166" i="1"/>
  <c r="AB166" i="1"/>
  <c r="AC166" i="1"/>
  <c r="AD166" i="1"/>
  <c r="AE166" i="1"/>
  <c r="AM205" i="1"/>
  <c r="K167" i="1"/>
  <c r="M167" i="1"/>
  <c r="N167" i="1" s="1"/>
  <c r="Y167" i="1"/>
  <c r="Z167" i="1"/>
  <c r="AB167" i="1"/>
  <c r="AC167" i="1"/>
  <c r="AD167" i="1"/>
  <c r="AE167" i="1"/>
  <c r="AM206" i="1"/>
  <c r="K168" i="1"/>
  <c r="M168" i="1"/>
  <c r="N168" i="1" s="1"/>
  <c r="Y168" i="1"/>
  <c r="Z168" i="1"/>
  <c r="AB168" i="1"/>
  <c r="AC168" i="1"/>
  <c r="AD168" i="1"/>
  <c r="AE168" i="1"/>
  <c r="AM208" i="1"/>
  <c r="K169" i="1"/>
  <c r="M169" i="1"/>
  <c r="N169" i="1" s="1"/>
  <c r="Y169" i="1"/>
  <c r="Z169" i="1"/>
  <c r="AB169" i="1"/>
  <c r="AC169" i="1"/>
  <c r="AD169" i="1"/>
  <c r="AE169" i="1"/>
  <c r="AM209" i="1"/>
  <c r="K170" i="1"/>
  <c r="M170" i="1"/>
  <c r="N170" i="1" s="1"/>
  <c r="Y170" i="1"/>
  <c r="AA170" i="1" s="1"/>
  <c r="Z170" i="1"/>
  <c r="AB170" i="1"/>
  <c r="AC170" i="1"/>
  <c r="AD170" i="1"/>
  <c r="AE170" i="1"/>
  <c r="R17" i="3" s="1"/>
  <c r="AM210" i="1"/>
  <c r="K171" i="1"/>
  <c r="M171" i="1"/>
  <c r="N171" i="1" s="1"/>
  <c r="Y171" i="1"/>
  <c r="Z171" i="1"/>
  <c r="AB171" i="1"/>
  <c r="AC171" i="1"/>
  <c r="AD171" i="1"/>
  <c r="AE171" i="1"/>
  <c r="AM211" i="1"/>
  <c r="K172" i="1"/>
  <c r="M172" i="1"/>
  <c r="N172" i="1" s="1"/>
  <c r="Y172" i="1"/>
  <c r="Z172" i="1"/>
  <c r="AB172" i="1"/>
  <c r="AC172" i="1"/>
  <c r="AD172" i="1"/>
  <c r="AE172" i="1"/>
  <c r="AM212" i="1"/>
  <c r="K173" i="1"/>
  <c r="M173" i="1"/>
  <c r="N173" i="1" s="1"/>
  <c r="Y173" i="1"/>
  <c r="Z173" i="1"/>
  <c r="AB173" i="1"/>
  <c r="AC173" i="1"/>
  <c r="AD173" i="1"/>
  <c r="AE173" i="1"/>
  <c r="AM213" i="1"/>
  <c r="K174" i="1"/>
  <c r="M174" i="1"/>
  <c r="N174" i="1" s="1"/>
  <c r="AB174" i="1"/>
  <c r="AC174" i="1"/>
  <c r="AD174" i="1"/>
  <c r="AE174" i="1"/>
  <c r="AM214" i="1"/>
  <c r="K175" i="1"/>
  <c r="M175" i="1"/>
  <c r="N175" i="1" s="1"/>
  <c r="Y175" i="1"/>
  <c r="Z175" i="1"/>
  <c r="AB175" i="1"/>
  <c r="AC175" i="1"/>
  <c r="AD175" i="1"/>
  <c r="AE175" i="1"/>
  <c r="AM215" i="1"/>
  <c r="K176" i="1"/>
  <c r="M176" i="1"/>
  <c r="P176" i="1" s="1"/>
  <c r="Y176" i="1"/>
  <c r="Z176" i="1"/>
  <c r="AB176" i="1"/>
  <c r="AC176" i="1"/>
  <c r="AD176" i="1"/>
  <c r="AE176" i="1"/>
  <c r="AM216" i="1"/>
  <c r="K177" i="1"/>
  <c r="M177" i="1"/>
  <c r="P177" i="1" s="1"/>
  <c r="Y177" i="1"/>
  <c r="Z177" i="1"/>
  <c r="AB177" i="1"/>
  <c r="AC177" i="1"/>
  <c r="AD177" i="1"/>
  <c r="AE177" i="1"/>
  <c r="AM217" i="1"/>
  <c r="K178" i="1"/>
  <c r="M178" i="1"/>
  <c r="N178" i="1" s="1"/>
  <c r="Y178" i="1"/>
  <c r="Z178" i="1"/>
  <c r="AB178" i="1"/>
  <c r="AC178" i="1"/>
  <c r="AD178" i="1"/>
  <c r="AE178" i="1"/>
  <c r="AM218" i="1"/>
  <c r="K179" i="1"/>
  <c r="M179" i="1"/>
  <c r="N179" i="1"/>
  <c r="Y179" i="1"/>
  <c r="AA179" i="1" s="1"/>
  <c r="Z179" i="1"/>
  <c r="AB179" i="1"/>
  <c r="AC179" i="1"/>
  <c r="AD179" i="1"/>
  <c r="AE179" i="1"/>
  <c r="AM219" i="1"/>
  <c r="K181" i="1"/>
  <c r="M181" i="1"/>
  <c r="N181" i="1" s="1"/>
  <c r="Y181" i="1"/>
  <c r="Z181" i="1"/>
  <c r="AA181" i="1" s="1"/>
  <c r="AB181" i="1"/>
  <c r="AC181" i="1"/>
  <c r="AD181" i="1"/>
  <c r="X181" i="1" s="1"/>
  <c r="AE181" i="1"/>
  <c r="AM220" i="1"/>
  <c r="K182" i="1"/>
  <c r="M182" i="1"/>
  <c r="N182" i="1" s="1"/>
  <c r="Y182" i="1"/>
  <c r="Z182" i="1"/>
  <c r="AB182" i="1"/>
  <c r="AC182" i="1"/>
  <c r="AD182" i="1"/>
  <c r="AE182" i="1"/>
  <c r="AM221" i="1"/>
  <c r="K183" i="1"/>
  <c r="M183" i="1"/>
  <c r="N183" i="1" s="1"/>
  <c r="Y183" i="1"/>
  <c r="Z183" i="1"/>
  <c r="AB183" i="1"/>
  <c r="AC183" i="1"/>
  <c r="AD183" i="1"/>
  <c r="AE183" i="1"/>
  <c r="AM222" i="1"/>
  <c r="K185" i="1"/>
  <c r="M185" i="1"/>
  <c r="N185" i="1" s="1"/>
  <c r="Y185" i="1"/>
  <c r="AA185" i="1" s="1"/>
  <c r="Z185" i="1"/>
  <c r="AB185" i="1"/>
  <c r="AC185" i="1"/>
  <c r="AD185" i="1"/>
  <c r="X185" i="1" s="1"/>
  <c r="AE185" i="1"/>
  <c r="AM223" i="1"/>
  <c r="K186" i="1"/>
  <c r="M186" i="1"/>
  <c r="N186" i="1" s="1"/>
  <c r="Y186" i="1"/>
  <c r="Z186" i="1"/>
  <c r="AA186" i="1" s="1"/>
  <c r="AB186" i="1"/>
  <c r="AC186" i="1"/>
  <c r="AD186" i="1"/>
  <c r="AE186" i="1"/>
  <c r="AM224" i="1"/>
  <c r="K188" i="1"/>
  <c r="M188" i="1"/>
  <c r="N188" i="1" s="1"/>
  <c r="Y188" i="1"/>
  <c r="Z188" i="1"/>
  <c r="AB188" i="1"/>
  <c r="AC188" i="1"/>
  <c r="AD188" i="1"/>
  <c r="X188" i="1" s="1"/>
  <c r="AE188" i="1"/>
  <c r="AM225" i="1"/>
  <c r="K189" i="1"/>
  <c r="M189" i="1"/>
  <c r="N189" i="1" s="1"/>
  <c r="Y189" i="1"/>
  <c r="Z189" i="1"/>
  <c r="AB189" i="1"/>
  <c r="AC189" i="1"/>
  <c r="AD189" i="1"/>
  <c r="AE189" i="1"/>
  <c r="AM226" i="1"/>
  <c r="K191" i="1"/>
  <c r="M191" i="1"/>
  <c r="N191" i="1" s="1"/>
  <c r="Y191" i="1"/>
  <c r="AA191" i="1" s="1"/>
  <c r="Z191" i="1"/>
  <c r="AB191" i="1"/>
  <c r="AC191" i="1"/>
  <c r="AD191" i="1"/>
  <c r="X191" i="1" s="1"/>
  <c r="AE191" i="1"/>
  <c r="AM227" i="1"/>
  <c r="K193" i="1"/>
  <c r="M193" i="1"/>
  <c r="N193" i="1" s="1"/>
  <c r="Y193" i="1"/>
  <c r="Z193" i="1"/>
  <c r="AA193" i="1" s="1"/>
  <c r="AB193" i="1"/>
  <c r="AC193" i="1"/>
  <c r="AD193" i="1"/>
  <c r="X193" i="1" s="1"/>
  <c r="AE193" i="1"/>
  <c r="AM228" i="1"/>
  <c r="K194" i="1"/>
  <c r="M194" i="1"/>
  <c r="N194" i="1" s="1"/>
  <c r="Y194" i="1"/>
  <c r="Z194" i="1"/>
  <c r="AB194" i="1"/>
  <c r="AC194" i="1"/>
  <c r="AD194" i="1"/>
  <c r="AE194" i="1"/>
  <c r="AM229" i="1"/>
  <c r="K196" i="1"/>
  <c r="M196" i="1"/>
  <c r="N196" i="1" s="1"/>
  <c r="Y196" i="1"/>
  <c r="Z196" i="1"/>
  <c r="AB196" i="1"/>
  <c r="AC196" i="1"/>
  <c r="AD196" i="1"/>
  <c r="X196" i="1" s="1"/>
  <c r="AE196" i="1"/>
  <c r="AM230" i="1"/>
  <c r="K197" i="1"/>
  <c r="M197" i="1"/>
  <c r="N197" i="1" s="1"/>
  <c r="Y197" i="1"/>
  <c r="AA197" i="1" s="1"/>
  <c r="Z197" i="1"/>
  <c r="AB197" i="1"/>
  <c r="AC197" i="1"/>
  <c r="AD197" i="1"/>
  <c r="AE197" i="1"/>
  <c r="R15" i="3" s="1"/>
  <c r="AM231" i="1"/>
  <c r="K198" i="1"/>
  <c r="M198" i="1"/>
  <c r="N198" i="1" s="1"/>
  <c r="Y198" i="1"/>
  <c r="Z198" i="1"/>
  <c r="AA198" i="1" s="1"/>
  <c r="AB198" i="1"/>
  <c r="AC198" i="1"/>
  <c r="AD198" i="1"/>
  <c r="AE198" i="1"/>
  <c r="AM232" i="1"/>
  <c r="K199" i="1"/>
  <c r="M199" i="1"/>
  <c r="N199" i="1" s="1"/>
  <c r="Y199" i="1"/>
  <c r="Z199" i="1"/>
  <c r="AB199" i="1"/>
  <c r="AC199" i="1"/>
  <c r="AD199" i="1"/>
  <c r="AE199" i="1"/>
  <c r="AM233" i="1"/>
  <c r="K201" i="1"/>
  <c r="M201" i="1"/>
  <c r="N201" i="1" s="1"/>
  <c r="Y201" i="1"/>
  <c r="Z201" i="1"/>
  <c r="AB201" i="1"/>
  <c r="AC201" i="1"/>
  <c r="AD201" i="1"/>
  <c r="X201" i="1" s="1"/>
  <c r="AE201" i="1"/>
  <c r="AM234" i="1"/>
  <c r="K202" i="1"/>
  <c r="M202" i="1"/>
  <c r="N202" i="1"/>
  <c r="Y202" i="1"/>
  <c r="Z202" i="1"/>
  <c r="AB202" i="1"/>
  <c r="AC202" i="1"/>
  <c r="AD202" i="1"/>
  <c r="X202" i="1" s="1"/>
  <c r="AE202" i="1"/>
  <c r="AM235" i="1"/>
  <c r="K203" i="1"/>
  <c r="M203" i="1"/>
  <c r="N203" i="1" s="1"/>
  <c r="Y203" i="1"/>
  <c r="Z203" i="1"/>
  <c r="AB203" i="1"/>
  <c r="AC203" i="1"/>
  <c r="AD203" i="1"/>
  <c r="AE203" i="1"/>
  <c r="AM236" i="1"/>
  <c r="K205" i="1"/>
  <c r="M205" i="1"/>
  <c r="N205" i="1" s="1"/>
  <c r="Y205" i="1"/>
  <c r="Z205" i="1"/>
  <c r="AB205" i="1"/>
  <c r="AC205" i="1"/>
  <c r="AD205" i="1"/>
  <c r="X205" i="1" s="1"/>
  <c r="AE205" i="1"/>
  <c r="AM237" i="1"/>
  <c r="K206" i="1"/>
  <c r="M206" i="1"/>
  <c r="N206" i="1" s="1"/>
  <c r="Y206" i="1"/>
  <c r="Z206" i="1"/>
  <c r="AB206" i="1"/>
  <c r="AC206" i="1"/>
  <c r="AD206" i="1"/>
  <c r="AE206" i="1"/>
  <c r="AM238" i="1"/>
  <c r="K221" i="1"/>
  <c r="M221" i="1"/>
  <c r="N221" i="1"/>
  <c r="Y221" i="1"/>
  <c r="Z221" i="1"/>
  <c r="AB221" i="1"/>
  <c r="AC221" i="1"/>
  <c r="AD221" i="1"/>
  <c r="AE221" i="1"/>
  <c r="AM239" i="1"/>
  <c r="K222" i="1"/>
  <c r="M222" i="1"/>
  <c r="N222" i="1" s="1"/>
  <c r="Y222" i="1"/>
  <c r="Z222" i="1"/>
  <c r="AB222" i="1"/>
  <c r="AC222" i="1"/>
  <c r="AD222" i="1"/>
  <c r="AE222" i="1"/>
  <c r="AM240" i="1"/>
  <c r="K223" i="1"/>
  <c r="M223" i="1"/>
  <c r="N223" i="1" s="1"/>
  <c r="Y223" i="1"/>
  <c r="Z223" i="1"/>
  <c r="AB223" i="1"/>
  <c r="AC223" i="1"/>
  <c r="AD223" i="1"/>
  <c r="AE223" i="1"/>
  <c r="AM241" i="1"/>
  <c r="K224" i="1"/>
  <c r="M224" i="1"/>
  <c r="N224" i="1" s="1"/>
  <c r="Y224" i="1"/>
  <c r="Z224" i="1"/>
  <c r="AB224" i="1"/>
  <c r="AC224" i="1"/>
  <c r="AD224" i="1"/>
  <c r="AE224" i="1"/>
  <c r="AM242" i="1"/>
  <c r="K225" i="1"/>
  <c r="M225" i="1"/>
  <c r="N225" i="1" s="1"/>
  <c r="Y225" i="1"/>
  <c r="Z225" i="1"/>
  <c r="AB225" i="1"/>
  <c r="AC225" i="1"/>
  <c r="AD225" i="1"/>
  <c r="AE225" i="1"/>
  <c r="AM243" i="1"/>
  <c r="K226" i="1"/>
  <c r="M226" i="1"/>
  <c r="N226" i="1" s="1"/>
  <c r="Y226" i="1"/>
  <c r="Z226" i="1"/>
  <c r="AB226" i="1"/>
  <c r="AC226" i="1"/>
  <c r="AD226" i="1"/>
  <c r="AE226" i="1"/>
  <c r="AM244" i="1"/>
  <c r="M16" i="3"/>
  <c r="U16" i="3"/>
  <c r="X16" i="3"/>
  <c r="M17" i="3"/>
  <c r="U17" i="3"/>
  <c r="X17" i="3"/>
  <c r="M7" i="3"/>
  <c r="U7" i="3"/>
  <c r="X7" i="3"/>
  <c r="M11" i="3"/>
  <c r="U11" i="3"/>
  <c r="X11" i="3"/>
  <c r="M12" i="3"/>
  <c r="U12" i="3"/>
  <c r="X12" i="3"/>
  <c r="M13" i="3"/>
  <c r="U13" i="3"/>
  <c r="X13" i="3"/>
  <c r="M10" i="3"/>
  <c r="U10" i="3"/>
  <c r="X10" i="3"/>
  <c r="M15" i="3"/>
  <c r="U15" i="3"/>
  <c r="X15" i="3"/>
  <c r="M9" i="3"/>
  <c r="U9" i="3"/>
  <c r="X9" i="3"/>
  <c r="M8" i="3"/>
  <c r="U8" i="3"/>
  <c r="X8" i="3"/>
  <c r="AG156" i="1"/>
  <c r="AG50" i="1"/>
  <c r="AG107" i="1"/>
  <c r="AG178" i="1"/>
  <c r="AG189" i="1"/>
  <c r="AG43" i="1"/>
  <c r="AG104" i="1"/>
  <c r="AG188" i="1"/>
  <c r="AG56" i="1"/>
  <c r="AG113" i="1"/>
  <c r="AG235" i="1"/>
  <c r="AG57" i="1"/>
  <c r="AG106" i="1"/>
  <c r="AG144" i="1"/>
  <c r="AG241" i="1"/>
  <c r="AG162" i="1"/>
  <c r="AG146" i="1"/>
  <c r="AG108" i="1"/>
  <c r="AG199" i="1"/>
  <c r="W8" i="3"/>
  <c r="AG16" i="1"/>
  <c r="AG91" i="1"/>
  <c r="AG175" i="1"/>
  <c r="AG93" i="1"/>
  <c r="AG163" i="1"/>
  <c r="AG47" i="1"/>
  <c r="AG84" i="1"/>
  <c r="AG209" i="1"/>
  <c r="AG223" i="1"/>
  <c r="AG64" i="1"/>
  <c r="AG142" i="1"/>
  <c r="AG170" i="1"/>
  <c r="AG61" i="1"/>
  <c r="AG94" i="1"/>
  <c r="AG207" i="1"/>
  <c r="AG192" i="1"/>
  <c r="AG180" i="1"/>
  <c r="AG14" i="1"/>
  <c r="AG30" i="1"/>
  <c r="AG21" i="1"/>
  <c r="AG42" i="1"/>
  <c r="AG58" i="1"/>
  <c r="AG75" i="1"/>
  <c r="AG95" i="1"/>
  <c r="AG123" i="1"/>
  <c r="AG214" i="1"/>
  <c r="AG221" i="1"/>
  <c r="AG60" i="1"/>
  <c r="AG101" i="1"/>
  <c r="AG129" i="1"/>
  <c r="AG228" i="1"/>
  <c r="AG191" i="1"/>
  <c r="AG237" i="1"/>
  <c r="AG33" i="1"/>
  <c r="AG51" i="1"/>
  <c r="AG65" i="1"/>
  <c r="AG88" i="1"/>
  <c r="AG120" i="1"/>
  <c r="AG140" i="1"/>
  <c r="AG226" i="1"/>
  <c r="AG244" i="1"/>
  <c r="AG24" i="1"/>
  <c r="AG48" i="1"/>
  <c r="AG68" i="1"/>
  <c r="AG97" i="1"/>
  <c r="AG135" i="1"/>
  <c r="AG210" i="1"/>
  <c r="AG171" i="1"/>
  <c r="AG206" i="1"/>
  <c r="AG31" i="1"/>
  <c r="AG49" i="1"/>
  <c r="AG66" i="1"/>
  <c r="AG82" i="1"/>
  <c r="AG98" i="1"/>
  <c r="AG114" i="1"/>
  <c r="AG69" i="1"/>
  <c r="AG213" i="1"/>
  <c r="AG212" i="1"/>
  <c r="AG176" i="1"/>
  <c r="AG173" i="1"/>
  <c r="AG217" i="1"/>
  <c r="AG198" i="1"/>
  <c r="AG111" i="1"/>
  <c r="AG147" i="1"/>
  <c r="AG236" i="1"/>
  <c r="AG167" i="1"/>
  <c r="AG164" i="1"/>
  <c r="AG92" i="1"/>
  <c r="AG124" i="1"/>
  <c r="AG148" i="1"/>
  <c r="AG161" i="1"/>
  <c r="AG168" i="1"/>
  <c r="W12" i="3"/>
  <c r="W17" i="3"/>
  <c r="W16" i="3"/>
  <c r="AG99" i="1"/>
  <c r="AG109" i="1"/>
  <c r="AG230" i="1"/>
  <c r="AG225" i="1"/>
  <c r="AG39" i="1"/>
  <c r="AG55" i="1"/>
  <c r="AG96" i="1"/>
  <c r="AG128" i="1"/>
  <c r="AG169" i="1"/>
  <c r="AG186" i="1"/>
  <c r="AG52" i="1"/>
  <c r="AG77" i="1"/>
  <c r="AG151" i="1"/>
  <c r="AG229" i="1"/>
  <c r="AG15" i="1"/>
  <c r="AG36" i="1"/>
  <c r="AG67" i="1"/>
  <c r="AG86" i="1"/>
  <c r="AG118" i="1"/>
  <c r="AG137" i="1"/>
  <c r="AG232" i="1"/>
  <c r="AG196" i="1"/>
  <c r="AG239" i="1"/>
  <c r="AG224" i="1"/>
  <c r="AG130" i="1"/>
  <c r="AG216" i="1"/>
  <c r="AG201" i="1"/>
  <c r="AG100" i="1"/>
  <c r="AG218" i="1"/>
  <c r="AG177" i="1"/>
  <c r="W7" i="3"/>
  <c r="W10" i="3"/>
  <c r="AG200" i="1"/>
  <c r="AG22" i="1"/>
  <c r="AG32" i="1"/>
  <c r="AG83" i="1"/>
  <c r="AG222" i="1"/>
  <c r="AG85" i="1"/>
  <c r="AG211" i="1"/>
  <c r="AG23" i="1"/>
  <c r="AG80" i="1"/>
  <c r="AG240" i="1"/>
  <c r="AG40" i="1"/>
  <c r="AG81" i="1"/>
  <c r="AG172" i="1"/>
  <c r="AG41" i="1"/>
  <c r="AG90" i="1"/>
  <c r="AG145" i="1"/>
  <c r="AG243" i="1"/>
  <c r="AG87" i="1"/>
  <c r="AG181" i="1"/>
  <c r="AG215" i="1"/>
  <c r="AG220" i="1"/>
  <c r="W15" i="3"/>
  <c r="AG195" i="1"/>
  <c r="AG184" i="1"/>
  <c r="AG26" i="1"/>
  <c r="AG37" i="1"/>
  <c r="AG71" i="1"/>
  <c r="AG115" i="1"/>
  <c r="AG35" i="1"/>
  <c r="AG150" i="1"/>
  <c r="AG193" i="1"/>
  <c r="AG63" i="1"/>
  <c r="AG166" i="1"/>
  <c r="AG44" i="1"/>
  <c r="AG89" i="1"/>
  <c r="AG233" i="1"/>
  <c r="AG45" i="1"/>
  <c r="AG78" i="1"/>
  <c r="AG204" i="1"/>
  <c r="AG190" i="1"/>
  <c r="AG158" i="1"/>
  <c r="AG18" i="1"/>
  <c r="AG34" i="1"/>
  <c r="AG27" i="1"/>
  <c r="AG46" i="1"/>
  <c r="AG62" i="1"/>
  <c r="AG79" i="1"/>
  <c r="AG139" i="1"/>
  <c r="AG238" i="1"/>
  <c r="AG242" i="1"/>
  <c r="AG73" i="1"/>
  <c r="AG143" i="1"/>
  <c r="AG17" i="1"/>
  <c r="AG72" i="1"/>
  <c r="AG208" i="1"/>
  <c r="AG29" i="1"/>
  <c r="AG105" i="1"/>
  <c r="AG202" i="1"/>
  <c r="AG53" i="1"/>
  <c r="AG102" i="1"/>
  <c r="AG136" i="1"/>
  <c r="AG182" i="1"/>
  <c r="AG119" i="1"/>
  <c r="AG185" i="1"/>
  <c r="AG133" i="1"/>
  <c r="AG203" i="1"/>
  <c r="AG187" i="1"/>
  <c r="AG38" i="1"/>
  <c r="AG70" i="1"/>
  <c r="AG157" i="1"/>
  <c r="AG117" i="1"/>
  <c r="AG160" i="1"/>
  <c r="AG59" i="1"/>
  <c r="AG141" i="1"/>
  <c r="AG219" i="1"/>
  <c r="AG134" i="1"/>
  <c r="AG20" i="1"/>
  <c r="AG74" i="1"/>
  <c r="AG122" i="1"/>
  <c r="AG194" i="1"/>
  <c r="AG127" i="1"/>
  <c r="AG197" i="1"/>
  <c r="AG149" i="1"/>
  <c r="AG179" i="1"/>
  <c r="AG153" i="1"/>
  <c r="AG54" i="1"/>
  <c r="AG138" i="1"/>
  <c r="AG121" i="1"/>
  <c r="AG28" i="1"/>
  <c r="AG112" i="1"/>
  <c r="AG19" i="1"/>
  <c r="AG125" i="1"/>
  <c r="AG25" i="1"/>
  <c r="AG126" i="1"/>
  <c r="AG165" i="1"/>
  <c r="AG76" i="1"/>
  <c r="AG154" i="1"/>
  <c r="AG205" i="1"/>
  <c r="AG155" i="1"/>
  <c r="AG116" i="1"/>
  <c r="W11" i="3"/>
  <c r="AG159" i="1"/>
  <c r="W9" i="3"/>
  <c r="AG152" i="1"/>
  <c r="AG174" i="1"/>
  <c r="AG132" i="1"/>
  <c r="AG110" i="1"/>
  <c r="AG234" i="1"/>
  <c r="AG103" i="1"/>
  <c r="AG227" i="1"/>
  <c r="AG183" i="1"/>
  <c r="W13" i="3"/>
  <c r="AG131" i="1"/>
  <c r="AG231" i="1"/>
  <c r="AA222" i="1" l="1"/>
  <c r="AA221" i="1"/>
  <c r="X206" i="1"/>
  <c r="X207" i="1"/>
  <c r="AA202" i="1"/>
  <c r="AA172" i="1"/>
  <c r="AA171" i="1"/>
  <c r="AA159" i="1"/>
  <c r="AA162" i="1"/>
  <c r="AA225" i="1"/>
  <c r="AA176" i="1"/>
  <c r="AA175" i="1"/>
  <c r="AA139" i="1"/>
  <c r="X160" i="1"/>
  <c r="AA210" i="1"/>
  <c r="AA155" i="1"/>
  <c r="AA95" i="1"/>
  <c r="X69" i="1"/>
  <c r="AA118" i="1"/>
  <c r="AA110" i="1"/>
  <c r="X71" i="1"/>
  <c r="T71" i="1"/>
  <c r="AA102" i="1"/>
  <c r="AA97" i="1"/>
  <c r="AA92" i="1"/>
  <c r="AA87" i="1"/>
  <c r="AA84" i="1"/>
  <c r="AA82" i="1"/>
  <c r="AA81" i="1"/>
  <c r="AA80" i="1"/>
  <c r="AA79" i="1"/>
  <c r="AA78" i="1"/>
  <c r="AA64" i="1"/>
  <c r="X58" i="1"/>
  <c r="X54" i="1"/>
  <c r="AA34" i="1"/>
  <c r="X61" i="1"/>
  <c r="X56" i="1"/>
  <c r="X53" i="1"/>
  <c r="AA42" i="1"/>
  <c r="AA31" i="1"/>
  <c r="X200" i="1"/>
  <c r="AI207" i="1"/>
  <c r="U207" i="1"/>
  <c r="S207" i="1" s="1"/>
  <c r="W207" i="1"/>
  <c r="X204" i="1"/>
  <c r="U204" i="1"/>
  <c r="S204" i="1" s="1"/>
  <c r="AI204" i="1"/>
  <c r="W204" i="1"/>
  <c r="U200" i="1"/>
  <c r="S200" i="1"/>
  <c r="AI200" i="1"/>
  <c r="W200" i="1"/>
  <c r="AI195" i="1"/>
  <c r="U195" i="1"/>
  <c r="S195" i="1" s="1"/>
  <c r="W195" i="1"/>
  <c r="X195" i="1"/>
  <c r="AI192" i="1"/>
  <c r="U192" i="1"/>
  <c r="S192" i="1" s="1"/>
  <c r="W192" i="1"/>
  <c r="X192" i="1"/>
  <c r="AI190" i="1"/>
  <c r="U190" i="1"/>
  <c r="S190" i="1" s="1"/>
  <c r="W190" i="1"/>
  <c r="X190" i="1"/>
  <c r="AI187" i="1"/>
  <c r="U187" i="1"/>
  <c r="S187" i="1" s="1"/>
  <c r="W187" i="1"/>
  <c r="X187" i="1"/>
  <c r="R10" i="3"/>
  <c r="AI184" i="1"/>
  <c r="U184" i="1"/>
  <c r="S184" i="1" s="1"/>
  <c r="W184" i="1"/>
  <c r="X184" i="1"/>
  <c r="AI180" i="1"/>
  <c r="U180" i="1"/>
  <c r="S180" i="1" s="1"/>
  <c r="W180" i="1"/>
  <c r="X180" i="1"/>
  <c r="AI158" i="1"/>
  <c r="U158" i="1"/>
  <c r="S158" i="1" s="1"/>
  <c r="W158" i="1"/>
  <c r="X158" i="1"/>
  <c r="X156" i="1"/>
  <c r="U156" i="1"/>
  <c r="S156" i="1" s="1"/>
  <c r="AI156" i="1"/>
  <c r="W156" i="1"/>
  <c r="X153" i="1"/>
  <c r="U153" i="1"/>
  <c r="S153" i="1" s="1"/>
  <c r="AI153" i="1"/>
  <c r="W153" i="1"/>
  <c r="R12" i="3"/>
  <c r="AA138" i="1"/>
  <c r="AA137" i="1"/>
  <c r="AA136" i="1"/>
  <c r="AA135" i="1"/>
  <c r="AA134" i="1"/>
  <c r="AA133" i="1"/>
  <c r="AA132" i="1"/>
  <c r="AA131" i="1"/>
  <c r="AA130" i="1"/>
  <c r="AA129" i="1"/>
  <c r="AA125" i="1"/>
  <c r="AA121" i="1"/>
  <c r="AA117" i="1"/>
  <c r="AA113" i="1"/>
  <c r="AA109" i="1"/>
  <c r="AA105" i="1"/>
  <c r="AA101" i="1"/>
  <c r="AA65" i="1"/>
  <c r="T65" i="1"/>
  <c r="AA63" i="1"/>
  <c r="AA61" i="1"/>
  <c r="AA60" i="1"/>
  <c r="X60" i="1"/>
  <c r="X57" i="1"/>
  <c r="X55" i="1"/>
  <c r="AA47" i="1"/>
  <c r="AA43" i="1"/>
  <c r="AA32" i="1"/>
  <c r="X30" i="1"/>
  <c r="AA25" i="1"/>
  <c r="AA21" i="1"/>
  <c r="AA17" i="1"/>
  <c r="AA206" i="1"/>
  <c r="AA205" i="1"/>
  <c r="AA196" i="1"/>
  <c r="AA194" i="1"/>
  <c r="AA183" i="1"/>
  <c r="AA182" i="1"/>
  <c r="AA174" i="1"/>
  <c r="AA239" i="1"/>
  <c r="AA235" i="1"/>
  <c r="AA231" i="1"/>
  <c r="AA227" i="1"/>
  <c r="AA217" i="1"/>
  <c r="AA213" i="1"/>
  <c r="AA209" i="1"/>
  <c r="AA154" i="1"/>
  <c r="AA149" i="1"/>
  <c r="AA145" i="1"/>
  <c r="AA141" i="1"/>
  <c r="AA93" i="1"/>
  <c r="AA35" i="1"/>
  <c r="AA89" i="1"/>
  <c r="AA77" i="1"/>
  <c r="X66" i="1"/>
  <c r="AA51" i="1"/>
  <c r="AA50" i="1"/>
  <c r="AA30" i="1"/>
  <c r="AA27" i="1"/>
  <c r="AA23" i="1"/>
  <c r="AA19" i="1"/>
  <c r="AA15" i="1"/>
  <c r="AA223" i="1"/>
  <c r="AA199" i="1"/>
  <c r="AA189" i="1"/>
  <c r="AA188" i="1"/>
  <c r="AA178" i="1"/>
  <c r="AA177" i="1"/>
  <c r="AA168" i="1"/>
  <c r="AA167" i="1"/>
  <c r="AA164" i="1"/>
  <c r="AA163" i="1"/>
  <c r="AA244" i="1"/>
  <c r="AA211" i="1"/>
  <c r="AA157" i="1"/>
  <c r="AA151" i="1"/>
  <c r="AA147" i="1"/>
  <c r="AA143" i="1"/>
  <c r="AA128" i="1"/>
  <c r="AA124" i="1"/>
  <c r="AA120" i="1"/>
  <c r="AA116" i="1"/>
  <c r="AA112" i="1"/>
  <c r="AA108" i="1"/>
  <c r="AA104" i="1"/>
  <c r="AA100" i="1"/>
  <c r="AA96" i="1"/>
  <c r="AA85" i="1"/>
  <c r="AA40" i="1"/>
  <c r="AA24" i="1"/>
  <c r="AA20" i="1"/>
  <c r="AA16" i="1"/>
  <c r="AA226" i="1"/>
  <c r="AA203" i="1"/>
  <c r="AA224" i="1"/>
  <c r="AA201" i="1"/>
  <c r="AA169" i="1"/>
  <c r="AA161" i="1"/>
  <c r="AA240" i="1"/>
  <c r="AA232" i="1"/>
  <c r="AA218" i="1"/>
  <c r="AA76" i="1"/>
  <c r="AA75" i="1"/>
  <c r="AA74" i="1"/>
  <c r="AA73" i="1"/>
  <c r="AA72" i="1"/>
  <c r="X67" i="1"/>
  <c r="T66" i="1"/>
  <c r="AA59" i="1"/>
  <c r="T56" i="1"/>
  <c r="T54" i="1"/>
  <c r="X50" i="1"/>
  <c r="AA49" i="1"/>
  <c r="AA45" i="1"/>
  <c r="AA37" i="1"/>
  <c r="AA29" i="1"/>
  <c r="AA28" i="1"/>
  <c r="T68" i="1"/>
  <c r="X64" i="1"/>
  <c r="X62" i="1"/>
  <c r="T55" i="1"/>
  <c r="X52" i="1"/>
  <c r="X46" i="1"/>
  <c r="AA14" i="1"/>
  <c r="AA173" i="1"/>
  <c r="AA165" i="1"/>
  <c r="AA243" i="1"/>
  <c r="AA236" i="1"/>
  <c r="AA228" i="1"/>
  <c r="AA214" i="1"/>
  <c r="T67" i="1"/>
  <c r="X63" i="1"/>
  <c r="AA55" i="1"/>
  <c r="AA53" i="1"/>
  <c r="X47" i="1"/>
  <c r="AA41" i="1"/>
  <c r="AA33" i="1"/>
  <c r="X28" i="1"/>
  <c r="U237" i="1"/>
  <c r="S237" i="1" s="1"/>
  <c r="AI183" i="1"/>
  <c r="U219" i="1"/>
  <c r="S219" i="1" s="1"/>
  <c r="AI170" i="1"/>
  <c r="U215" i="1"/>
  <c r="S215" i="1" s="1"/>
  <c r="AI166" i="1"/>
  <c r="AI242" i="1"/>
  <c r="AI238" i="1"/>
  <c r="AI236" i="1"/>
  <c r="AI234" i="1"/>
  <c r="AI232" i="1"/>
  <c r="AI228" i="1"/>
  <c r="AI224" i="1"/>
  <c r="AI218" i="1"/>
  <c r="AI214" i="1"/>
  <c r="AI210" i="1"/>
  <c r="AI208" i="1"/>
  <c r="AI202" i="1"/>
  <c r="AI199" i="1"/>
  <c r="AI197" i="1"/>
  <c r="AI194" i="1"/>
  <c r="AI191" i="1"/>
  <c r="U239" i="1"/>
  <c r="S239" i="1" s="1"/>
  <c r="AI186" i="1"/>
  <c r="U235" i="1"/>
  <c r="S235" i="1" s="1"/>
  <c r="AI181" i="1"/>
  <c r="U231" i="1"/>
  <c r="S231" i="1" s="1"/>
  <c r="AI176" i="1"/>
  <c r="U227" i="1"/>
  <c r="S227" i="1" s="1"/>
  <c r="AI172" i="1"/>
  <c r="U217" i="1"/>
  <c r="S217" i="1" s="1"/>
  <c r="AI168" i="1"/>
  <c r="AI243" i="1"/>
  <c r="AI241" i="1"/>
  <c r="AI239" i="1"/>
  <c r="AI23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206" i="1"/>
  <c r="AI203" i="1"/>
  <c r="AI201" i="1"/>
  <c r="AI198" i="1"/>
  <c r="AI196" i="1"/>
  <c r="AI193" i="1"/>
  <c r="U233" i="1"/>
  <c r="S233" i="1" s="1"/>
  <c r="AI178" i="1"/>
  <c r="AI244" i="1"/>
  <c r="AI240" i="1"/>
  <c r="AI230" i="1"/>
  <c r="AI226" i="1"/>
  <c r="AI222" i="1"/>
  <c r="AI220" i="1"/>
  <c r="AI216" i="1"/>
  <c r="AI212" i="1"/>
  <c r="AI205" i="1"/>
  <c r="AI185" i="1"/>
  <c r="W238" i="1"/>
  <c r="U238" i="1"/>
  <c r="S238" i="1" s="1"/>
  <c r="AI179" i="1"/>
  <c r="W234" i="1"/>
  <c r="U234" i="1"/>
  <c r="S234" i="1" s="1"/>
  <c r="AI175" i="1"/>
  <c r="W230" i="1"/>
  <c r="U230" i="1"/>
  <c r="S230" i="1" s="1"/>
  <c r="AI171" i="1"/>
  <c r="U220" i="1"/>
  <c r="S220" i="1" s="1"/>
  <c r="W220" i="1"/>
  <c r="AI167" i="1"/>
  <c r="U216" i="1"/>
  <c r="S216" i="1" s="1"/>
  <c r="W216" i="1"/>
  <c r="AI189" i="1"/>
  <c r="U229" i="1"/>
  <c r="S229" i="1" s="1"/>
  <c r="AI174" i="1"/>
  <c r="U240" i="1"/>
  <c r="S240" i="1" s="1"/>
  <c r="AI188" i="1"/>
  <c r="AI182" i="1"/>
  <c r="U236" i="1"/>
  <c r="S236" i="1" s="1"/>
  <c r="AI177" i="1"/>
  <c r="U232" i="1"/>
  <c r="S232" i="1" s="1"/>
  <c r="U228" i="1"/>
  <c r="S228" i="1" s="1"/>
  <c r="AI173" i="1"/>
  <c r="AI169" i="1"/>
  <c r="U218" i="1"/>
  <c r="S218" i="1" s="1"/>
  <c r="AI165" i="1"/>
  <c r="U214" i="1"/>
  <c r="S214" i="1" s="1"/>
  <c r="AI163" i="1"/>
  <c r="AI161" i="1"/>
  <c r="AI159" i="1"/>
  <c r="AI155" i="1"/>
  <c r="AI152" i="1"/>
  <c r="AI150" i="1"/>
  <c r="AI148" i="1"/>
  <c r="AI146" i="1"/>
  <c r="AI144" i="1"/>
  <c r="AI142" i="1"/>
  <c r="AI140" i="1"/>
  <c r="AI138" i="1"/>
  <c r="AI136" i="1"/>
  <c r="AI134" i="1"/>
  <c r="AI132" i="1"/>
  <c r="AI130" i="1"/>
  <c r="AI164" i="1"/>
  <c r="W213" i="1"/>
  <c r="AI162" i="1"/>
  <c r="W211" i="1"/>
  <c r="AI160" i="1"/>
  <c r="W209" i="1"/>
  <c r="AI157" i="1"/>
  <c r="W157" i="1"/>
  <c r="AI154" i="1"/>
  <c r="W154" i="1"/>
  <c r="AI151" i="1"/>
  <c r="W151" i="1"/>
  <c r="AI149" i="1"/>
  <c r="W149" i="1"/>
  <c r="AI147" i="1"/>
  <c r="W147" i="1"/>
  <c r="AI145" i="1"/>
  <c r="W145" i="1"/>
  <c r="AI143" i="1"/>
  <c r="W143" i="1"/>
  <c r="AI141" i="1"/>
  <c r="W141" i="1"/>
  <c r="AI139" i="1"/>
  <c r="AI137" i="1"/>
  <c r="AI135" i="1"/>
  <c r="AI133" i="1"/>
  <c r="AI131" i="1"/>
  <c r="AI69" i="1"/>
  <c r="U69" i="1"/>
  <c r="S69" i="1" s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4" i="1"/>
  <c r="S74" i="1" s="1"/>
  <c r="AI73" i="1"/>
  <c r="U73" i="1"/>
  <c r="S73" i="1" s="1"/>
  <c r="AI72" i="1"/>
  <c r="U72" i="1"/>
  <c r="S72" i="1" s="1"/>
  <c r="U71" i="1"/>
  <c r="S71" i="1" s="1"/>
  <c r="AI71" i="1"/>
  <c r="AI67" i="1"/>
  <c r="U67" i="1"/>
  <c r="S67" i="1" s="1"/>
  <c r="AI68" i="1"/>
  <c r="U68" i="1"/>
  <c r="S68" i="1" s="1"/>
  <c r="AI65" i="1"/>
  <c r="U65" i="1"/>
  <c r="S65" i="1" s="1"/>
  <c r="AI70" i="1"/>
  <c r="AI66" i="1"/>
  <c r="U66" i="1"/>
  <c r="S66" i="1" s="1"/>
  <c r="U64" i="1"/>
  <c r="S64" i="1" s="1"/>
  <c r="AI64" i="1"/>
  <c r="U63" i="1"/>
  <c r="S63" i="1" s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U55" i="1"/>
  <c r="S55" i="1" s="1"/>
  <c r="AI55" i="1"/>
  <c r="U54" i="1"/>
  <c r="S54" i="1" s="1"/>
  <c r="AI54" i="1"/>
  <c r="AI53" i="1"/>
  <c r="U52" i="1"/>
  <c r="S52" i="1" s="1"/>
  <c r="AI52" i="1"/>
  <c r="AI51" i="1"/>
  <c r="U50" i="1"/>
  <c r="S50" i="1" s="1"/>
  <c r="AI50" i="1"/>
  <c r="AI49" i="1"/>
  <c r="U48" i="1"/>
  <c r="S48" i="1" s="1"/>
  <c r="AI48" i="1"/>
  <c r="U47" i="1"/>
  <c r="S47" i="1" s="1"/>
  <c r="AI47" i="1"/>
  <c r="U46" i="1"/>
  <c r="S46" i="1" s="1"/>
  <c r="AI46" i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U34" i="1"/>
  <c r="S34" i="1" s="1"/>
  <c r="AI34" i="1"/>
  <c r="AI33" i="1"/>
  <c r="U32" i="1"/>
  <c r="S32" i="1" s="1"/>
  <c r="AI32" i="1"/>
  <c r="AI31" i="1"/>
  <c r="U30" i="1"/>
  <c r="S30" i="1" s="1"/>
  <c r="AI30" i="1"/>
  <c r="AI29" i="1"/>
  <c r="U28" i="1"/>
  <c r="S28" i="1" s="1"/>
  <c r="AI28" i="1"/>
  <c r="AI27" i="1"/>
  <c r="U26" i="1"/>
  <c r="S26" i="1" s="1"/>
  <c r="AI26" i="1"/>
  <c r="AI25" i="1"/>
  <c r="AI24" i="1"/>
  <c r="U24" i="1"/>
  <c r="S24" i="1" s="1"/>
  <c r="AI23" i="1"/>
  <c r="AI22" i="1"/>
  <c r="U22" i="1"/>
  <c r="S22" i="1" s="1"/>
  <c r="AI21" i="1"/>
  <c r="AI20" i="1"/>
  <c r="U20" i="1"/>
  <c r="S20" i="1" s="1"/>
  <c r="AI19" i="1"/>
  <c r="AI18" i="1"/>
  <c r="U18" i="1"/>
  <c r="S18" i="1" s="1"/>
  <c r="AI17" i="1"/>
  <c r="AI16" i="1"/>
  <c r="U16" i="1"/>
  <c r="S16" i="1" s="1"/>
  <c r="AI15" i="1"/>
  <c r="AI14" i="1"/>
  <c r="U14" i="1"/>
  <c r="S14" i="1" s="1"/>
  <c r="W160" i="1"/>
  <c r="W236" i="1"/>
  <c r="W228" i="1"/>
  <c r="W214" i="1"/>
  <c r="W223" i="1"/>
  <c r="W202" i="1"/>
  <c r="W194" i="1"/>
  <c r="W172" i="1"/>
  <c r="W169" i="1"/>
  <c r="W164" i="1"/>
  <c r="W161" i="1"/>
  <c r="W242" i="1"/>
  <c r="W240" i="1"/>
  <c r="W235" i="1"/>
  <c r="W232" i="1"/>
  <c r="W227" i="1"/>
  <c r="W218" i="1"/>
  <c r="W224" i="1"/>
  <c r="W222" i="1"/>
  <c r="W201" i="1"/>
  <c r="W196" i="1"/>
  <c r="W183" i="1"/>
  <c r="W181" i="1"/>
  <c r="W178" i="1"/>
  <c r="W176" i="1"/>
  <c r="W173" i="1"/>
  <c r="W168" i="1"/>
  <c r="W243" i="1"/>
  <c r="W239" i="1"/>
  <c r="W231" i="1"/>
  <c r="W225" i="1"/>
  <c r="W205" i="1"/>
  <c r="W174" i="1"/>
  <c r="W171" i="1"/>
  <c r="W166" i="1"/>
  <c r="W163" i="1"/>
  <c r="W244" i="1"/>
  <c r="W241" i="1"/>
  <c r="W233" i="1"/>
  <c r="W219" i="1"/>
  <c r="W212" i="1"/>
  <c r="W210" i="1"/>
  <c r="W208" i="1"/>
  <c r="W155" i="1"/>
  <c r="W152" i="1"/>
  <c r="W150" i="1"/>
  <c r="W148" i="1"/>
  <c r="W146" i="1"/>
  <c r="W144" i="1"/>
  <c r="W142" i="1"/>
  <c r="W226" i="1"/>
  <c r="W206" i="1"/>
  <c r="W203" i="1"/>
  <c r="W198" i="1"/>
  <c r="W193" i="1"/>
  <c r="W189" i="1"/>
  <c r="W186" i="1"/>
  <c r="W165" i="1"/>
  <c r="W217" i="1"/>
  <c r="W221" i="1"/>
  <c r="W199" i="1"/>
  <c r="W197" i="1"/>
  <c r="W191" i="1"/>
  <c r="W188" i="1"/>
  <c r="W185" i="1"/>
  <c r="W182" i="1"/>
  <c r="W179" i="1"/>
  <c r="W177" i="1"/>
  <c r="W175" i="1"/>
  <c r="W170" i="1"/>
  <c r="W167" i="1"/>
  <c r="W162" i="1"/>
  <c r="W159" i="1"/>
  <c r="W237" i="1"/>
  <c r="W229" i="1"/>
  <c r="W215" i="1"/>
  <c r="T226" i="1"/>
  <c r="U226" i="1" s="1"/>
  <c r="S226" i="1" s="1"/>
  <c r="X226" i="1"/>
  <c r="T203" i="1"/>
  <c r="U203" i="1" s="1"/>
  <c r="S203" i="1" s="1"/>
  <c r="X203" i="1"/>
  <c r="W126" i="1"/>
  <c r="W122" i="1"/>
  <c r="W118" i="1"/>
  <c r="W114" i="1"/>
  <c r="W110" i="1"/>
  <c r="W106" i="1"/>
  <c r="W102" i="1"/>
  <c r="W98" i="1"/>
  <c r="W94" i="1"/>
  <c r="W90" i="1"/>
  <c r="W86" i="1"/>
  <c r="W128" i="1"/>
  <c r="W124" i="1"/>
  <c r="W120" i="1"/>
  <c r="W116" i="1"/>
  <c r="W112" i="1"/>
  <c r="W108" i="1"/>
  <c r="W104" i="1"/>
  <c r="W100" i="1"/>
  <c r="W96" i="1"/>
  <c r="W92" i="1"/>
  <c r="W88" i="1"/>
  <c r="W84" i="1"/>
  <c r="T222" i="1"/>
  <c r="U222" i="1" s="1"/>
  <c r="S222" i="1" s="1"/>
  <c r="X222" i="1"/>
  <c r="T206" i="1"/>
  <c r="U206" i="1" s="1"/>
  <c r="S206" i="1" s="1"/>
  <c r="T198" i="1"/>
  <c r="U198" i="1" s="1"/>
  <c r="S198" i="1" s="1"/>
  <c r="X198" i="1"/>
  <c r="T196" i="1"/>
  <c r="U196" i="1" s="1"/>
  <c r="S196" i="1" s="1"/>
  <c r="T225" i="1"/>
  <c r="U225" i="1" s="1"/>
  <c r="S225" i="1" s="1"/>
  <c r="X225" i="1"/>
  <c r="T223" i="1"/>
  <c r="U223" i="1" s="1"/>
  <c r="S223" i="1" s="1"/>
  <c r="X223" i="1"/>
  <c r="T221" i="1"/>
  <c r="U221" i="1" s="1"/>
  <c r="S221" i="1" s="1"/>
  <c r="X221" i="1"/>
  <c r="T205" i="1"/>
  <c r="U205" i="1" s="1"/>
  <c r="S205" i="1" s="1"/>
  <c r="T202" i="1"/>
  <c r="U202" i="1" s="1"/>
  <c r="S202" i="1" s="1"/>
  <c r="T199" i="1"/>
  <c r="U199" i="1" s="1"/>
  <c r="S199" i="1" s="1"/>
  <c r="X199" i="1"/>
  <c r="T197" i="1"/>
  <c r="U197" i="1" s="1"/>
  <c r="S197" i="1" s="1"/>
  <c r="X197" i="1"/>
  <c r="T194" i="1"/>
  <c r="U194" i="1" s="1"/>
  <c r="S194" i="1" s="1"/>
  <c r="X194" i="1"/>
  <c r="T191" i="1"/>
  <c r="U191" i="1" s="1"/>
  <c r="S191" i="1" s="1"/>
  <c r="T188" i="1"/>
  <c r="U188" i="1" s="1"/>
  <c r="S188" i="1" s="1"/>
  <c r="T185" i="1"/>
  <c r="U185" i="1" s="1"/>
  <c r="S185" i="1" s="1"/>
  <c r="T182" i="1"/>
  <c r="U182" i="1" s="1"/>
  <c r="S182" i="1" s="1"/>
  <c r="X182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T243" i="1"/>
  <c r="U243" i="1" s="1"/>
  <c r="S243" i="1" s="1"/>
  <c r="X243" i="1"/>
  <c r="T241" i="1"/>
  <c r="U241" i="1" s="1"/>
  <c r="S241" i="1" s="1"/>
  <c r="X241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7" i="1"/>
  <c r="U157" i="1" s="1"/>
  <c r="S157" i="1" s="1"/>
  <c r="T154" i="1"/>
  <c r="U154" i="1" s="1"/>
  <c r="S154" i="1" s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5" i="1"/>
  <c r="W121" i="1"/>
  <c r="W117" i="1"/>
  <c r="W113" i="1"/>
  <c r="W109" i="1"/>
  <c r="W105" i="1"/>
  <c r="W101" i="1"/>
  <c r="W97" i="1"/>
  <c r="W93" i="1"/>
  <c r="W89" i="1"/>
  <c r="W85" i="1"/>
  <c r="T224" i="1"/>
  <c r="U224" i="1" s="1"/>
  <c r="S224" i="1" s="1"/>
  <c r="X224" i="1"/>
  <c r="T201" i="1"/>
  <c r="U201" i="1" s="1"/>
  <c r="S201" i="1" s="1"/>
  <c r="T193" i="1"/>
  <c r="U193" i="1" s="1"/>
  <c r="S193" i="1" s="1"/>
  <c r="T189" i="1"/>
  <c r="U189" i="1" s="1"/>
  <c r="S189" i="1" s="1"/>
  <c r="X189" i="1"/>
  <c r="T186" i="1"/>
  <c r="U186" i="1" s="1"/>
  <c r="S186" i="1" s="1"/>
  <c r="X186" i="1"/>
  <c r="T183" i="1"/>
  <c r="U183" i="1" s="1"/>
  <c r="S183" i="1" s="1"/>
  <c r="X183" i="1"/>
  <c r="T181" i="1"/>
  <c r="U181" i="1" s="1"/>
  <c r="S181" i="1" s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T244" i="1"/>
  <c r="U244" i="1" s="1"/>
  <c r="S244" i="1" s="1"/>
  <c r="X244" i="1"/>
  <c r="T242" i="1"/>
  <c r="U242" i="1" s="1"/>
  <c r="S242" i="1" s="1"/>
  <c r="X242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T155" i="1"/>
  <c r="U155" i="1" s="1"/>
  <c r="S155" i="1" s="1"/>
  <c r="X155" i="1"/>
  <c r="T152" i="1"/>
  <c r="U152" i="1" s="1"/>
  <c r="S152" i="1" s="1"/>
  <c r="X152" i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W127" i="1"/>
  <c r="W123" i="1"/>
  <c r="W119" i="1"/>
  <c r="W115" i="1"/>
  <c r="W111" i="1"/>
  <c r="W107" i="1"/>
  <c r="W103" i="1"/>
  <c r="W99" i="1"/>
  <c r="W95" i="1"/>
  <c r="W91" i="1"/>
  <c r="W87" i="1"/>
  <c r="W83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W82" i="1"/>
  <c r="W78" i="1"/>
  <c r="W74" i="1"/>
  <c r="W58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0" i="1"/>
  <c r="X219" i="1"/>
  <c r="X218" i="1"/>
  <c r="X217" i="1"/>
  <c r="X216" i="1"/>
  <c r="X215" i="1"/>
  <c r="X214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W81" i="1"/>
  <c r="W77" i="1"/>
  <c r="W73" i="1"/>
  <c r="X70" i="1"/>
  <c r="T70" i="1"/>
  <c r="U70" i="1" s="1"/>
  <c r="S70" i="1" s="1"/>
  <c r="W50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W80" i="1"/>
  <c r="W76" i="1"/>
  <c r="W72" i="1"/>
  <c r="W46" i="1"/>
  <c r="W79" i="1"/>
  <c r="W75" i="1"/>
  <c r="X82" i="1"/>
  <c r="X81" i="1"/>
  <c r="X80" i="1"/>
  <c r="X79" i="1"/>
  <c r="X78" i="1"/>
  <c r="X77" i="1"/>
  <c r="X76" i="1"/>
  <c r="X75" i="1"/>
  <c r="X74" i="1"/>
  <c r="X73" i="1"/>
  <c r="X72" i="1"/>
  <c r="W64" i="1"/>
  <c r="W62" i="1"/>
  <c r="W56" i="1"/>
  <c r="W54" i="1"/>
  <c r="W48" i="1"/>
  <c r="X88" i="1"/>
  <c r="X87" i="1"/>
  <c r="X86" i="1"/>
  <c r="X85" i="1"/>
  <c r="X84" i="1"/>
  <c r="X83" i="1"/>
  <c r="X59" i="1"/>
  <c r="T59" i="1"/>
  <c r="U59" i="1" s="1"/>
  <c r="S59" i="1" s="1"/>
  <c r="X51" i="1"/>
  <c r="T51" i="1"/>
  <c r="U51" i="1" s="1"/>
  <c r="S51" i="1" s="1"/>
  <c r="W47" i="1"/>
  <c r="W27" i="1"/>
  <c r="W61" i="1"/>
  <c r="W60" i="1"/>
  <c r="W53" i="1"/>
  <c r="W52" i="1"/>
  <c r="T61" i="1"/>
  <c r="U61" i="1" s="1"/>
  <c r="S61" i="1" s="1"/>
  <c r="W59" i="1"/>
  <c r="T53" i="1"/>
  <c r="U53" i="1" s="1"/>
  <c r="S53" i="1" s="1"/>
  <c r="W51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W65" i="1"/>
  <c r="W63" i="1"/>
  <c r="T57" i="1"/>
  <c r="U57" i="1" s="1"/>
  <c r="S57" i="1" s="1"/>
  <c r="W55" i="1"/>
  <c r="T49" i="1"/>
  <c r="U49" i="1" s="1"/>
  <c r="S49" i="1" s="1"/>
  <c r="X44" i="1"/>
  <c r="X42" i="1"/>
  <c r="X40" i="1"/>
  <c r="X38" i="1"/>
  <c r="X36" i="1"/>
  <c r="X34" i="1"/>
  <c r="X32" i="1"/>
  <c r="W29" i="1"/>
  <c r="W28" i="1"/>
  <c r="T27" i="1"/>
  <c r="U27" i="1" s="1"/>
  <c r="S27" i="1" s="1"/>
  <c r="X27" i="1"/>
  <c r="X25" i="1"/>
  <c r="T25" i="1"/>
  <c r="U25" i="1" s="1"/>
  <c r="S25" i="1" s="1"/>
  <c r="X23" i="1"/>
  <c r="T23" i="1"/>
  <c r="U23" i="1" s="1"/>
  <c r="S23" i="1" s="1"/>
  <c r="X21" i="1"/>
  <c r="T21" i="1"/>
  <c r="U21" i="1" s="1"/>
  <c r="S21" i="1" s="1"/>
  <c r="X19" i="1"/>
  <c r="T19" i="1"/>
  <c r="U19" i="1" s="1"/>
  <c r="S19" i="1" s="1"/>
  <c r="X17" i="1"/>
  <c r="T17" i="1"/>
  <c r="U17" i="1" s="1"/>
  <c r="S17" i="1" s="1"/>
  <c r="X15" i="1"/>
  <c r="T15" i="1"/>
  <c r="U15" i="1" s="1"/>
  <c r="S15" i="1" s="1"/>
  <c r="AA71" i="1"/>
  <c r="W71" i="1" s="1"/>
  <c r="AA70" i="1"/>
  <c r="W70" i="1" s="1"/>
  <c r="AA69" i="1"/>
  <c r="W69" i="1" s="1"/>
  <c r="AA68" i="1"/>
  <c r="W68" i="1" s="1"/>
  <c r="AA67" i="1"/>
  <c r="W67" i="1" s="1"/>
  <c r="AA66" i="1"/>
  <c r="W66" i="1" s="1"/>
  <c r="W57" i="1"/>
  <c r="W49" i="1"/>
  <c r="X48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T29" i="1"/>
  <c r="U29" i="1" s="1"/>
  <c r="S29" i="1" s="1"/>
  <c r="X29" i="1"/>
  <c r="X26" i="1"/>
  <c r="W25" i="1"/>
  <c r="X24" i="1"/>
  <c r="W23" i="1"/>
  <c r="X22" i="1"/>
  <c r="W21" i="1"/>
  <c r="X20" i="1"/>
  <c r="W19" i="1"/>
  <c r="X18" i="1"/>
  <c r="W17" i="1"/>
  <c r="X16" i="1"/>
  <c r="W15" i="1"/>
  <c r="W26" i="1"/>
  <c r="W24" i="1"/>
  <c r="W22" i="1"/>
  <c r="W20" i="1"/>
  <c r="W18" i="1"/>
  <c r="W16" i="1"/>
  <c r="W14" i="1"/>
  <c r="Y9" i="3"/>
  <c r="Y12" i="3"/>
  <c r="Y16" i="3"/>
  <c r="Y8" i="3"/>
  <c r="Y15" i="3"/>
  <c r="Y11" i="3"/>
  <c r="Y10" i="3"/>
  <c r="Y7" i="3"/>
  <c r="Y13" i="3"/>
  <c r="Y17" i="3"/>
  <c r="R14" i="3" l="1"/>
  <c r="M14" i="3"/>
  <c r="U14" i="3"/>
  <c r="X14" i="3"/>
  <c r="M23" i="5" l="1"/>
  <c r="W14" i="3"/>
  <c r="Y14" i="3" l="1"/>
  <c r="V207" i="1"/>
  <c r="AN204" i="1"/>
  <c r="V200" i="1"/>
  <c r="V158" i="1"/>
  <c r="V156" i="1"/>
  <c r="V153" i="1"/>
  <c r="AN14" i="1"/>
  <c r="AO15" i="1"/>
  <c r="V16" i="1"/>
  <c r="AN207" i="1"/>
  <c r="AO204" i="1"/>
  <c r="V195" i="1"/>
  <c r="V192" i="1"/>
  <c r="V190" i="1"/>
  <c r="V187" i="1"/>
  <c r="V184" i="1"/>
  <c r="V180" i="1"/>
  <c r="AN158" i="1"/>
  <c r="AN156" i="1"/>
  <c r="AN153" i="1"/>
  <c r="AO14" i="1"/>
  <c r="V15" i="1"/>
  <c r="AN17" i="1"/>
  <c r="AO18" i="1"/>
  <c r="V19" i="1"/>
  <c r="AN21" i="1"/>
  <c r="AO22" i="1"/>
  <c r="V23" i="1"/>
  <c r="S14" i="3" s="1"/>
  <c r="V204" i="1"/>
  <c r="AO200" i="1"/>
  <c r="AO195" i="1"/>
  <c r="AO192" i="1"/>
  <c r="AO190" i="1"/>
  <c r="AO187" i="1"/>
  <c r="AO184" i="1"/>
  <c r="AO180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AO33" i="1"/>
  <c r="AO34" i="1"/>
  <c r="V35" i="1"/>
  <c r="AN37" i="1"/>
  <c r="AO38" i="1"/>
  <c r="V39" i="1"/>
  <c r="AN43" i="1"/>
  <c r="AO44" i="1"/>
  <c r="V45" i="1"/>
  <c r="AN47" i="1"/>
  <c r="AO48" i="1"/>
  <c r="AN192" i="1"/>
  <c r="AN180" i="1"/>
  <c r="V18" i="1"/>
  <c r="AO19" i="1"/>
  <c r="V20" i="1"/>
  <c r="AO21" i="1"/>
  <c r="V22" i="1"/>
  <c r="AO23" i="1"/>
  <c r="V24" i="1"/>
  <c r="AN26" i="1"/>
  <c r="V27" i="1"/>
  <c r="AO29" i="1"/>
  <c r="V30" i="1"/>
  <c r="AO31" i="1"/>
  <c r="V32" i="1"/>
  <c r="AO35" i="1"/>
  <c r="V36" i="1"/>
  <c r="AO37" i="1"/>
  <c r="V38" i="1"/>
  <c r="AN40" i="1"/>
  <c r="AO41" i="1"/>
  <c r="V42" i="1"/>
  <c r="AO43" i="1"/>
  <c r="V44" i="1"/>
  <c r="AN46" i="1"/>
  <c r="V47" i="1"/>
  <c r="AN50" i="1"/>
  <c r="AO51" i="1"/>
  <c r="V52" i="1"/>
  <c r="AN54" i="1"/>
  <c r="AO55" i="1"/>
  <c r="V56" i="1"/>
  <c r="AN59" i="1"/>
  <c r="AO60" i="1"/>
  <c r="V61" i="1"/>
  <c r="AN63" i="1"/>
  <c r="AO64" i="1"/>
  <c r="V65" i="1"/>
  <c r="AN67" i="1"/>
  <c r="AO68" i="1"/>
  <c r="AN69" i="1"/>
  <c r="AO70" i="1"/>
  <c r="AO71" i="1"/>
  <c r="AO72" i="1"/>
  <c r="AO73" i="1"/>
  <c r="AO74" i="1"/>
  <c r="AN195" i="1"/>
  <c r="AN184" i="1"/>
  <c r="AO156" i="1"/>
  <c r="AO17" i="1"/>
  <c r="AN18" i="1"/>
  <c r="AN20" i="1"/>
  <c r="AN22" i="1"/>
  <c r="AN24" i="1"/>
  <c r="AN25" i="1"/>
  <c r="AO26" i="1"/>
  <c r="AN32" i="1"/>
  <c r="V33" i="1"/>
  <c r="AN38" i="1"/>
  <c r="AN39" i="1"/>
  <c r="AO40" i="1"/>
  <c r="V41" i="1"/>
  <c r="AN44" i="1"/>
  <c r="AN45" i="1"/>
  <c r="AO46" i="1"/>
  <c r="AN49" i="1"/>
  <c r="AO50" i="1"/>
  <c r="V51" i="1"/>
  <c r="AN53" i="1"/>
  <c r="AO54" i="1"/>
  <c r="V55" i="1"/>
  <c r="AN57" i="1"/>
  <c r="AN58" i="1"/>
  <c r="AO59" i="1"/>
  <c r="V60" i="1"/>
  <c r="AN62" i="1"/>
  <c r="AO63" i="1"/>
  <c r="V64" i="1"/>
  <c r="AN190" i="1"/>
  <c r="AO158" i="1"/>
  <c r="AO153" i="1"/>
  <c r="AN28" i="1"/>
  <c r="AN29" i="1"/>
  <c r="AO30" i="1"/>
  <c r="AN34" i="1"/>
  <c r="AN35" i="1"/>
  <c r="AO36" i="1"/>
  <c r="AN41" i="1"/>
  <c r="AO42" i="1"/>
  <c r="AN48" i="1"/>
  <c r="V49" i="1"/>
  <c r="AN51" i="1"/>
  <c r="AO52" i="1"/>
  <c r="V53" i="1"/>
  <c r="AN55" i="1"/>
  <c r="AO56" i="1"/>
  <c r="V57" i="1"/>
  <c r="AN60" i="1"/>
  <c r="AO61" i="1"/>
  <c r="V62" i="1"/>
  <c r="AN64" i="1"/>
  <c r="AO65" i="1"/>
  <c r="V66" i="1"/>
  <c r="AN68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4" i="1"/>
  <c r="AN85" i="1"/>
  <c r="AN87" i="1"/>
  <c r="AO88" i="1"/>
  <c r="AO89" i="1"/>
  <c r="V90" i="1"/>
  <c r="S11" i="3" s="1"/>
  <c r="AN92" i="1"/>
  <c r="AO93" i="1"/>
  <c r="V94" i="1"/>
  <c r="V95" i="1"/>
  <c r="AN97" i="1"/>
  <c r="AO98" i="1"/>
  <c r="AO99" i="1"/>
  <c r="V100" i="1"/>
  <c r="AN102" i="1"/>
  <c r="AO207" i="1"/>
  <c r="AN187" i="1"/>
  <c r="AO27" i="1"/>
  <c r="V34" i="1"/>
  <c r="V43" i="1"/>
  <c r="AO45" i="1"/>
  <c r="V48" i="1"/>
  <c r="AO53" i="1"/>
  <c r="AO62" i="1"/>
  <c r="AO66" i="1"/>
  <c r="V68" i="1"/>
  <c r="AO69" i="1"/>
  <c r="V72" i="1"/>
  <c r="AO76" i="1"/>
  <c r="V78" i="1"/>
  <c r="AO80" i="1"/>
  <c r="V82" i="1"/>
  <c r="S7" i="3" s="1"/>
  <c r="AO84" i="1"/>
  <c r="V86" i="1"/>
  <c r="AO86" i="1"/>
  <c r="AO90" i="1"/>
  <c r="V91" i="1"/>
  <c r="AO92" i="1"/>
  <c r="V93" i="1"/>
  <c r="AO95" i="1"/>
  <c r="V96" i="1"/>
  <c r="AO97" i="1"/>
  <c r="V98" i="1"/>
  <c r="V103" i="1"/>
  <c r="AO103" i="1"/>
  <c r="AN105" i="1"/>
  <c r="AO106" i="1"/>
  <c r="AN107" i="1"/>
  <c r="AO108" i="1"/>
  <c r="V109" i="1"/>
  <c r="V14" i="1"/>
  <c r="V31" i="1"/>
  <c r="AN33" i="1"/>
  <c r="V40" i="1"/>
  <c r="AN42" i="1"/>
  <c r="AO47" i="1"/>
  <c r="V50" i="1"/>
  <c r="AN52" i="1"/>
  <c r="V58" i="1"/>
  <c r="V59" i="1"/>
  <c r="AN61" i="1"/>
  <c r="AO67" i="1"/>
  <c r="V69" i="1"/>
  <c r="V73" i="1"/>
  <c r="AO75" i="1"/>
  <c r="V77" i="1"/>
  <c r="AO79" i="1"/>
  <c r="V81" i="1"/>
  <c r="V85" i="1"/>
  <c r="AO87" i="1"/>
  <c r="V88" i="1"/>
  <c r="AN93" i="1"/>
  <c r="AN94" i="1"/>
  <c r="AN98" i="1"/>
  <c r="V99" i="1"/>
  <c r="AN101" i="1"/>
  <c r="V102" i="1"/>
  <c r="AN104" i="1"/>
  <c r="AO105" i="1"/>
  <c r="V106" i="1"/>
  <c r="V107" i="1"/>
  <c r="AO107" i="1"/>
  <c r="V108" i="1"/>
  <c r="AN110" i="1"/>
  <c r="AN112" i="1"/>
  <c r="AO113" i="1"/>
  <c r="V114" i="1"/>
  <c r="V115" i="1"/>
  <c r="AO115" i="1"/>
  <c r="V116" i="1"/>
  <c r="AN200" i="1"/>
  <c r="V26" i="1"/>
  <c r="AN30" i="1"/>
  <c r="V37" i="1"/>
  <c r="AO39" i="1"/>
  <c r="AO49" i="1"/>
  <c r="AO57" i="1"/>
  <c r="AO58" i="1"/>
  <c r="V74" i="1"/>
  <c r="V76" i="1"/>
  <c r="AO78" i="1"/>
  <c r="V80" i="1"/>
  <c r="AO82" i="1"/>
  <c r="AN83" i="1"/>
  <c r="V84" i="1"/>
  <c r="AN88" i="1"/>
  <c r="V89" i="1"/>
  <c r="AN91" i="1"/>
  <c r="V92" i="1"/>
  <c r="AO94" i="1"/>
  <c r="AN96" i="1"/>
  <c r="V97" i="1"/>
  <c r="AN99" i="1"/>
  <c r="AN100" i="1"/>
  <c r="AO101" i="1"/>
  <c r="AO104" i="1"/>
  <c r="V105" i="1"/>
  <c r="AN109" i="1"/>
  <c r="AO110" i="1"/>
  <c r="AN111" i="1"/>
  <c r="AO112" i="1"/>
  <c r="V113" i="1"/>
  <c r="AN16" i="1"/>
  <c r="AO25" i="1"/>
  <c r="V28" i="1"/>
  <c r="AN36" i="1"/>
  <c r="V46" i="1"/>
  <c r="V54" i="1"/>
  <c r="AN56" i="1"/>
  <c r="V63" i="1"/>
  <c r="AN65" i="1"/>
  <c r="AN66" i="1"/>
  <c r="V67" i="1"/>
  <c r="V70" i="1"/>
  <c r="V71" i="1"/>
  <c r="V75" i="1"/>
  <c r="AO77" i="1"/>
  <c r="V79" i="1"/>
  <c r="AO81" i="1"/>
  <c r="V83" i="1"/>
  <c r="AO83" i="1"/>
  <c r="AO85" i="1"/>
  <c r="AN86" i="1"/>
  <c r="V87" i="1"/>
  <c r="AN89" i="1"/>
  <c r="AN90" i="1"/>
  <c r="AO91" i="1"/>
  <c r="AN95" i="1"/>
  <c r="AO96" i="1"/>
  <c r="AO100" i="1"/>
  <c r="V101" i="1"/>
  <c r="AO102" i="1"/>
  <c r="AN103" i="1"/>
  <c r="V104" i="1"/>
  <c r="AN106" i="1"/>
  <c r="AN108" i="1"/>
  <c r="AO109" i="1"/>
  <c r="V110" i="1"/>
  <c r="V111" i="1"/>
  <c r="AO111" i="1"/>
  <c r="V112" i="1"/>
  <c r="AN117" i="1"/>
  <c r="V118" i="1"/>
  <c r="V119" i="1"/>
  <c r="AO119" i="1"/>
  <c r="V120" i="1"/>
  <c r="AN122" i="1"/>
  <c r="AN124" i="1"/>
  <c r="AO125" i="1"/>
  <c r="V126" i="1"/>
  <c r="V127" i="1"/>
  <c r="AO127" i="1"/>
  <c r="V128" i="1"/>
  <c r="AN130" i="1"/>
  <c r="AO131" i="1"/>
  <c r="V132" i="1"/>
  <c r="S9" i="3" s="1"/>
  <c r="AN134" i="1"/>
  <c r="AO135" i="1"/>
  <c r="V136" i="1"/>
  <c r="AN138" i="1"/>
  <c r="AO139" i="1"/>
  <c r="V140" i="1"/>
  <c r="AN142" i="1"/>
  <c r="AO143" i="1"/>
  <c r="V144" i="1"/>
  <c r="AN146" i="1"/>
  <c r="AO147" i="1"/>
  <c r="V148" i="1"/>
  <c r="AN150" i="1"/>
  <c r="AO151" i="1"/>
  <c r="V152" i="1"/>
  <c r="AN155" i="1"/>
  <c r="AO157" i="1"/>
  <c r="V208" i="1"/>
  <c r="AN161" i="1"/>
  <c r="AO162" i="1"/>
  <c r="V212" i="1"/>
  <c r="AN165" i="1"/>
  <c r="AO166" i="1"/>
  <c r="V216" i="1"/>
  <c r="AN169" i="1"/>
  <c r="AO170" i="1"/>
  <c r="V220" i="1"/>
  <c r="AN173" i="1"/>
  <c r="AO174" i="1"/>
  <c r="V230" i="1"/>
  <c r="AN177" i="1"/>
  <c r="AO178" i="1"/>
  <c r="V234" i="1"/>
  <c r="AN182" i="1"/>
  <c r="AO183" i="1"/>
  <c r="V238" i="1"/>
  <c r="AN188" i="1"/>
  <c r="AO189" i="1"/>
  <c r="V242" i="1"/>
  <c r="AN115" i="1"/>
  <c r="AN116" i="1"/>
  <c r="AO117" i="1"/>
  <c r="AN121" i="1"/>
  <c r="AO122" i="1"/>
  <c r="AN123" i="1"/>
  <c r="AO124" i="1"/>
  <c r="V125" i="1"/>
  <c r="AN129" i="1"/>
  <c r="AO130" i="1"/>
  <c r="V131" i="1"/>
  <c r="AN133" i="1"/>
  <c r="AO134" i="1"/>
  <c r="V135" i="1"/>
  <c r="AN137" i="1"/>
  <c r="AO138" i="1"/>
  <c r="V139" i="1"/>
  <c r="AN141" i="1"/>
  <c r="AO142" i="1"/>
  <c r="V143" i="1"/>
  <c r="AN145" i="1"/>
  <c r="AO146" i="1"/>
  <c r="V147" i="1"/>
  <c r="AN149" i="1"/>
  <c r="AO150" i="1"/>
  <c r="V151" i="1"/>
  <c r="AN154" i="1"/>
  <c r="AO155" i="1"/>
  <c r="V157" i="1"/>
  <c r="AN160" i="1"/>
  <c r="AO161" i="1"/>
  <c r="V211" i="1"/>
  <c r="AN164" i="1"/>
  <c r="AO165" i="1"/>
  <c r="V215" i="1"/>
  <c r="AN168" i="1"/>
  <c r="AO169" i="1"/>
  <c r="V219" i="1"/>
  <c r="AN172" i="1"/>
  <c r="AO173" i="1"/>
  <c r="V229" i="1"/>
  <c r="AN176" i="1"/>
  <c r="AO177" i="1"/>
  <c r="V233" i="1"/>
  <c r="AN181" i="1"/>
  <c r="AO182" i="1"/>
  <c r="V237" i="1"/>
  <c r="AN186" i="1"/>
  <c r="AO188" i="1"/>
  <c r="V241" i="1"/>
  <c r="AN193" i="1"/>
  <c r="AO194" i="1"/>
  <c r="V159" i="1"/>
  <c r="AN198" i="1"/>
  <c r="AO199" i="1"/>
  <c r="V163" i="1"/>
  <c r="AN113" i="1"/>
  <c r="AN114" i="1"/>
  <c r="AO116" i="1"/>
  <c r="V117" i="1"/>
  <c r="AN118" i="1"/>
  <c r="AN120" i="1"/>
  <c r="AO121" i="1"/>
  <c r="V122" i="1"/>
  <c r="V123" i="1"/>
  <c r="AO123" i="1"/>
  <c r="V124" i="1"/>
  <c r="AN126" i="1"/>
  <c r="AN128" i="1"/>
  <c r="AO129" i="1"/>
  <c r="V130" i="1"/>
  <c r="AN132" i="1"/>
  <c r="AO133" i="1"/>
  <c r="V134" i="1"/>
  <c r="AN136" i="1"/>
  <c r="AO137" i="1"/>
  <c r="V138" i="1"/>
  <c r="AN140" i="1"/>
  <c r="AO141" i="1"/>
  <c r="V142" i="1"/>
  <c r="S8" i="3" s="1"/>
  <c r="AN144" i="1"/>
  <c r="AO145" i="1"/>
  <c r="V146" i="1"/>
  <c r="AN148" i="1"/>
  <c r="AO149" i="1"/>
  <c r="V150" i="1"/>
  <c r="AN152" i="1"/>
  <c r="AO154" i="1"/>
  <c r="V155" i="1"/>
  <c r="AN159" i="1"/>
  <c r="AO160" i="1"/>
  <c r="V210" i="1"/>
  <c r="AN163" i="1"/>
  <c r="AO164" i="1"/>
  <c r="V214" i="1"/>
  <c r="AN167" i="1"/>
  <c r="AO168" i="1"/>
  <c r="V218" i="1"/>
  <c r="AN171" i="1"/>
  <c r="AO172" i="1"/>
  <c r="V228" i="1"/>
  <c r="AO114" i="1"/>
  <c r="AO118" i="1"/>
  <c r="AN119" i="1"/>
  <c r="AO120" i="1"/>
  <c r="V121" i="1"/>
  <c r="AN125" i="1"/>
  <c r="AO126" i="1"/>
  <c r="AN127" i="1"/>
  <c r="AO128" i="1"/>
  <c r="V129" i="1"/>
  <c r="AN131" i="1"/>
  <c r="AO132" i="1"/>
  <c r="V133" i="1"/>
  <c r="AN135" i="1"/>
  <c r="AO136" i="1"/>
  <c r="V137" i="1"/>
  <c r="AN139" i="1"/>
  <c r="AO140" i="1"/>
  <c r="V141" i="1"/>
  <c r="AN143" i="1"/>
  <c r="AO144" i="1"/>
  <c r="V145" i="1"/>
  <c r="AN147" i="1"/>
  <c r="AO148" i="1"/>
  <c r="V149" i="1"/>
  <c r="AN151" i="1"/>
  <c r="AO152" i="1"/>
  <c r="V154" i="1"/>
  <c r="AN157" i="1"/>
  <c r="AO159" i="1"/>
  <c r="V209" i="1"/>
  <c r="AN162" i="1"/>
  <c r="AO163" i="1"/>
  <c r="V213" i="1"/>
  <c r="AN166" i="1"/>
  <c r="AO167" i="1"/>
  <c r="V217" i="1"/>
  <c r="AN170" i="1"/>
  <c r="AO171" i="1"/>
  <c r="V227" i="1"/>
  <c r="AN174" i="1"/>
  <c r="AO175" i="1"/>
  <c r="V231" i="1"/>
  <c r="AN178" i="1"/>
  <c r="AO179" i="1"/>
  <c r="V235" i="1"/>
  <c r="AN183" i="1"/>
  <c r="AO185" i="1"/>
  <c r="V239" i="1"/>
  <c r="AO181" i="1"/>
  <c r="AO191" i="1"/>
  <c r="AN199" i="1"/>
  <c r="AN201" i="1"/>
  <c r="AO202" i="1"/>
  <c r="V165" i="1"/>
  <c r="AN205" i="1"/>
  <c r="AO206" i="1"/>
  <c r="V168" i="1"/>
  <c r="AN210" i="1"/>
  <c r="AO211" i="1"/>
  <c r="V172" i="1"/>
  <c r="AN216" i="1"/>
  <c r="AO217" i="1"/>
  <c r="V178" i="1"/>
  <c r="V179" i="1"/>
  <c r="AN221" i="1"/>
  <c r="AO222" i="1"/>
  <c r="V185" i="1"/>
  <c r="AN225" i="1"/>
  <c r="AO226" i="1"/>
  <c r="V191" i="1"/>
  <c r="AN229" i="1"/>
  <c r="AO230" i="1"/>
  <c r="V197" i="1"/>
  <c r="S15" i="3" s="1"/>
  <c r="AN233" i="1"/>
  <c r="AO234" i="1"/>
  <c r="AO235" i="1"/>
  <c r="V203" i="1"/>
  <c r="AN238" i="1"/>
  <c r="AN239" i="1"/>
  <c r="AO240" i="1"/>
  <c r="V223" i="1"/>
  <c r="V11" i="3"/>
  <c r="AE11" i="3" s="1"/>
  <c r="V15" i="3"/>
  <c r="AE15" i="3" s="1"/>
  <c r="V8" i="3"/>
  <c r="AE8" i="3" s="1"/>
  <c r="V232" i="1"/>
  <c r="AN179" i="1"/>
  <c r="V240" i="1"/>
  <c r="AO193" i="1"/>
  <c r="V244" i="1"/>
  <c r="AN197" i="1"/>
  <c r="V161" i="1"/>
  <c r="S16" i="3" s="1"/>
  <c r="AO201" i="1"/>
  <c r="V164" i="1"/>
  <c r="AO205" i="1"/>
  <c r="V167" i="1"/>
  <c r="AN209" i="1"/>
  <c r="AO210" i="1"/>
  <c r="V171" i="1"/>
  <c r="AN213" i="1"/>
  <c r="AN215" i="1"/>
  <c r="AO216" i="1"/>
  <c r="V177" i="1"/>
  <c r="AN220" i="1"/>
  <c r="AO221" i="1"/>
  <c r="V183" i="1"/>
  <c r="AN224" i="1"/>
  <c r="AO225" i="1"/>
  <c r="V189" i="1"/>
  <c r="AN228" i="1"/>
  <c r="AO229" i="1"/>
  <c r="V196" i="1"/>
  <c r="AN232" i="1"/>
  <c r="AO233" i="1"/>
  <c r="V201" i="1"/>
  <c r="V202" i="1"/>
  <c r="AN237" i="1"/>
  <c r="AO238" i="1"/>
  <c r="AO239" i="1"/>
  <c r="V222" i="1"/>
  <c r="AN242" i="1"/>
  <c r="AO176" i="1"/>
  <c r="AO186" i="1"/>
  <c r="AN194" i="1"/>
  <c r="AN196" i="1"/>
  <c r="AO197" i="1"/>
  <c r="AN203" i="1"/>
  <c r="AN208" i="1"/>
  <c r="AO209" i="1"/>
  <c r="V170" i="1"/>
  <c r="S17" i="3" s="1"/>
  <c r="AN212" i="1"/>
  <c r="AO213" i="1"/>
  <c r="V174" i="1"/>
  <c r="AN214" i="1"/>
  <c r="AO215" i="1"/>
  <c r="V176" i="1"/>
  <c r="AN218" i="1"/>
  <c r="AN219" i="1"/>
  <c r="AO220" i="1"/>
  <c r="V182" i="1"/>
  <c r="AN223" i="1"/>
  <c r="AO224" i="1"/>
  <c r="V188" i="1"/>
  <c r="AN227" i="1"/>
  <c r="AO228" i="1"/>
  <c r="V194" i="1"/>
  <c r="AN231" i="1"/>
  <c r="AO232" i="1"/>
  <c r="V199" i="1"/>
  <c r="AN236" i="1"/>
  <c r="AO237" i="1"/>
  <c r="V206" i="1"/>
  <c r="V221" i="1"/>
  <c r="AN241" i="1"/>
  <c r="AO242" i="1"/>
  <c r="AO243" i="1"/>
  <c r="V226" i="1"/>
  <c r="AN244" i="1"/>
  <c r="V10" i="3"/>
  <c r="AE10" i="3" s="1"/>
  <c r="AN175" i="1"/>
  <c r="V236" i="1"/>
  <c r="AN185" i="1"/>
  <c r="AN189" i="1"/>
  <c r="AN191" i="1"/>
  <c r="V243" i="1"/>
  <c r="AO196" i="1"/>
  <c r="V160" i="1"/>
  <c r="AO198" i="1"/>
  <c r="V162" i="1"/>
  <c r="AN202" i="1"/>
  <c r="AO203" i="1"/>
  <c r="V166" i="1"/>
  <c r="AN206" i="1"/>
  <c r="AO208" i="1"/>
  <c r="V169" i="1"/>
  <c r="AN211" i="1"/>
  <c r="AO212" i="1"/>
  <c r="V173" i="1"/>
  <c r="AO214" i="1"/>
  <c r="V175" i="1"/>
  <c r="AN217" i="1"/>
  <c r="AO218" i="1"/>
  <c r="AO219" i="1"/>
  <c r="V181" i="1"/>
  <c r="AN222" i="1"/>
  <c r="AO223" i="1"/>
  <c r="V186" i="1"/>
  <c r="AN226" i="1"/>
  <c r="AO227" i="1"/>
  <c r="V193" i="1"/>
  <c r="AN230" i="1"/>
  <c r="AO231" i="1"/>
  <c r="V198" i="1"/>
  <c r="AN234" i="1"/>
  <c r="AN235" i="1"/>
  <c r="AO236" i="1"/>
  <c r="V205" i="1"/>
  <c r="AN240" i="1"/>
  <c r="AO241" i="1"/>
  <c r="V224" i="1"/>
  <c r="V225" i="1"/>
  <c r="V16" i="3"/>
  <c r="AE16" i="3" s="1"/>
  <c r="V17" i="3"/>
  <c r="AE17" i="3" s="1"/>
  <c r="V7" i="3"/>
  <c r="V12" i="3"/>
  <c r="AE12" i="3" s="1"/>
  <c r="V13" i="3"/>
  <c r="AE13" i="3" s="1"/>
  <c r="V9" i="3"/>
  <c r="AE9" i="3" s="1"/>
  <c r="AN243" i="1"/>
  <c r="AO244" i="1"/>
  <c r="AD17" i="3"/>
  <c r="AC13" i="3"/>
  <c r="AC16" i="3"/>
  <c r="AC15" i="3"/>
  <c r="AD9" i="3"/>
  <c r="AC12" i="3"/>
  <c r="AD10" i="3"/>
  <c r="AC10" i="3"/>
  <c r="AC7" i="3"/>
  <c r="AD16" i="3"/>
  <c r="AD8" i="3"/>
  <c r="AD13" i="3"/>
  <c r="AC9" i="3"/>
  <c r="AD12" i="3"/>
  <c r="AC8" i="3"/>
  <c r="AC11" i="3"/>
  <c r="AD11" i="3"/>
  <c r="AC17" i="3"/>
  <c r="AD15" i="3"/>
  <c r="V14" i="3"/>
  <c r="AE14" i="3" s="1"/>
  <c r="AC14" i="3"/>
  <c r="AD14" i="3"/>
  <c r="V13" i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S10" i="3" l="1"/>
  <c r="S12" i="3"/>
  <c r="S13" i="3"/>
  <c r="M30" i="5"/>
  <c r="M29" i="5"/>
  <c r="M28" i="5"/>
  <c r="M27" i="5"/>
  <c r="M26" i="5"/>
  <c r="AH200" i="1" l="1"/>
  <c r="AH195" i="1"/>
  <c r="AH192" i="1"/>
  <c r="AH190" i="1"/>
  <c r="AH187" i="1"/>
  <c r="AH184" i="1"/>
  <c r="AH180" i="1"/>
  <c r="AH16" i="1"/>
  <c r="AH15" i="1"/>
  <c r="AH19" i="1"/>
  <c r="AH23" i="1"/>
  <c r="AH207" i="1"/>
  <c r="AH158" i="1"/>
  <c r="AH156" i="1"/>
  <c r="AH153" i="1"/>
  <c r="AH17" i="1"/>
  <c r="AH21" i="1"/>
  <c r="AH25" i="1"/>
  <c r="AH29" i="1"/>
  <c r="AH35" i="1"/>
  <c r="AH39" i="1"/>
  <c r="AH45" i="1"/>
  <c r="AH27" i="1"/>
  <c r="AH30" i="1"/>
  <c r="AH33" i="1"/>
  <c r="AH36" i="1"/>
  <c r="AH42" i="1"/>
  <c r="AH47" i="1"/>
  <c r="AH52" i="1"/>
  <c r="AH56" i="1"/>
  <c r="AH61" i="1"/>
  <c r="AH65" i="1"/>
  <c r="AH14" i="1"/>
  <c r="AH28" i="1"/>
  <c r="AH34" i="1"/>
  <c r="AH41" i="1"/>
  <c r="AH48" i="1"/>
  <c r="AH51" i="1"/>
  <c r="AH55" i="1"/>
  <c r="AH60" i="1"/>
  <c r="AH64" i="1"/>
  <c r="AH204" i="1"/>
  <c r="AH18" i="1"/>
  <c r="AH20" i="1"/>
  <c r="AH22" i="1"/>
  <c r="AH24" i="1"/>
  <c r="AH32" i="1"/>
  <c r="AH38" i="1"/>
  <c r="AH44" i="1"/>
  <c r="AH49" i="1"/>
  <c r="AH53" i="1"/>
  <c r="AH57" i="1"/>
  <c r="AH58" i="1"/>
  <c r="AH62" i="1"/>
  <c r="AH66" i="1"/>
  <c r="AH90" i="1"/>
  <c r="AH94" i="1"/>
  <c r="AH95" i="1"/>
  <c r="AH100" i="1"/>
  <c r="AH31" i="1"/>
  <c r="AH40" i="1"/>
  <c r="AH50" i="1"/>
  <c r="AH59" i="1"/>
  <c r="AH73" i="1"/>
  <c r="AH78" i="1"/>
  <c r="AH82" i="1"/>
  <c r="AH83" i="1"/>
  <c r="AH88" i="1"/>
  <c r="AH91" i="1"/>
  <c r="AH96" i="1"/>
  <c r="AH99" i="1"/>
  <c r="AH109" i="1"/>
  <c r="AH111" i="1"/>
  <c r="AH26" i="1"/>
  <c r="AH37" i="1"/>
  <c r="AH74" i="1"/>
  <c r="AH77" i="1"/>
  <c r="AH81" i="1"/>
  <c r="AH85" i="1"/>
  <c r="AH86" i="1"/>
  <c r="AH89" i="1"/>
  <c r="AH102" i="1"/>
  <c r="AH103" i="1"/>
  <c r="AH106" i="1"/>
  <c r="AH108" i="1"/>
  <c r="AH114" i="1"/>
  <c r="AH116" i="1"/>
  <c r="AH46" i="1"/>
  <c r="AH54" i="1"/>
  <c r="AH63" i="1"/>
  <c r="AH69" i="1"/>
  <c r="AH70" i="1"/>
  <c r="AH71" i="1"/>
  <c r="AH76" i="1"/>
  <c r="AH80" i="1"/>
  <c r="AH84" i="1"/>
  <c r="AH92" i="1"/>
  <c r="AH97" i="1"/>
  <c r="AH105" i="1"/>
  <c r="AH107" i="1"/>
  <c r="AH113" i="1"/>
  <c r="AH43" i="1"/>
  <c r="AH67" i="1"/>
  <c r="AH68" i="1"/>
  <c r="AH72" i="1"/>
  <c r="AH75" i="1"/>
  <c r="AH79" i="1"/>
  <c r="AH87" i="1"/>
  <c r="AH93" i="1"/>
  <c r="AH98" i="1"/>
  <c r="AH101" i="1"/>
  <c r="AH104" i="1"/>
  <c r="AH110" i="1"/>
  <c r="AH112" i="1"/>
  <c r="AH118" i="1"/>
  <c r="AH120" i="1"/>
  <c r="AH126" i="1"/>
  <c r="AH128" i="1"/>
  <c r="AH132" i="1"/>
  <c r="AH136" i="1"/>
  <c r="AH140" i="1"/>
  <c r="AH144" i="1"/>
  <c r="AH148" i="1"/>
  <c r="AH152" i="1"/>
  <c r="AH159" i="1"/>
  <c r="AH163" i="1"/>
  <c r="AH167" i="1"/>
  <c r="AH171" i="1"/>
  <c r="AH175" i="1"/>
  <c r="AH179" i="1"/>
  <c r="AH185" i="1"/>
  <c r="AH191" i="1"/>
  <c r="AH119" i="1"/>
  <c r="AH125" i="1"/>
  <c r="AH127" i="1"/>
  <c r="AH131" i="1"/>
  <c r="AH135" i="1"/>
  <c r="AH139" i="1"/>
  <c r="AH143" i="1"/>
  <c r="AH147" i="1"/>
  <c r="AH151" i="1"/>
  <c r="AH157" i="1"/>
  <c r="AH162" i="1"/>
  <c r="AH166" i="1"/>
  <c r="AH170" i="1"/>
  <c r="AH174" i="1"/>
  <c r="AH178" i="1"/>
  <c r="AH183" i="1"/>
  <c r="AH189" i="1"/>
  <c r="AH196" i="1"/>
  <c r="AH201" i="1"/>
  <c r="AH117" i="1"/>
  <c r="AH122" i="1"/>
  <c r="AH124" i="1"/>
  <c r="AH130" i="1"/>
  <c r="AH134" i="1"/>
  <c r="AH138" i="1"/>
  <c r="AH142" i="1"/>
  <c r="AH146" i="1"/>
  <c r="AH150" i="1"/>
  <c r="AH155" i="1"/>
  <c r="AH161" i="1"/>
  <c r="AH165" i="1"/>
  <c r="AH169" i="1"/>
  <c r="AH115" i="1"/>
  <c r="AH121" i="1"/>
  <c r="AH123" i="1"/>
  <c r="AH129" i="1"/>
  <c r="AH133" i="1"/>
  <c r="AH137" i="1"/>
  <c r="AH141" i="1"/>
  <c r="AH145" i="1"/>
  <c r="AH149" i="1"/>
  <c r="AH154" i="1"/>
  <c r="AH160" i="1"/>
  <c r="AH164" i="1"/>
  <c r="AH168" i="1"/>
  <c r="AH172" i="1"/>
  <c r="AH176" i="1"/>
  <c r="AH181" i="1"/>
  <c r="AH186" i="1"/>
  <c r="AH177" i="1"/>
  <c r="AH188" i="1"/>
  <c r="AH194" i="1"/>
  <c r="AH203" i="1"/>
  <c r="AH208" i="1"/>
  <c r="AH212" i="1"/>
  <c r="AH214" i="1"/>
  <c r="AH218" i="1"/>
  <c r="AH219" i="1"/>
  <c r="AH223" i="1"/>
  <c r="AH227" i="1"/>
  <c r="AH231" i="1"/>
  <c r="AH236" i="1"/>
  <c r="AH241" i="1"/>
  <c r="AH198" i="1"/>
  <c r="AH202" i="1"/>
  <c r="AH206" i="1"/>
  <c r="AH211" i="1"/>
  <c r="AH217" i="1"/>
  <c r="AH222" i="1"/>
  <c r="AH226" i="1"/>
  <c r="AH230" i="1"/>
  <c r="AH234" i="1"/>
  <c r="AH235" i="1"/>
  <c r="AH240" i="1"/>
  <c r="AH173" i="1"/>
  <c r="AH182" i="1"/>
  <c r="AH199" i="1"/>
  <c r="AH205" i="1"/>
  <c r="AH210" i="1"/>
  <c r="AH216" i="1"/>
  <c r="AH221" i="1"/>
  <c r="AH225" i="1"/>
  <c r="AH229" i="1"/>
  <c r="AH233" i="1"/>
  <c r="AH238" i="1"/>
  <c r="AH239" i="1"/>
  <c r="AH244" i="1"/>
  <c r="AH193" i="1"/>
  <c r="AH197" i="1"/>
  <c r="AH209" i="1"/>
  <c r="AH213" i="1"/>
  <c r="AH215" i="1"/>
  <c r="AH220" i="1"/>
  <c r="AH224" i="1"/>
  <c r="AH228" i="1"/>
  <c r="AH232" i="1"/>
  <c r="AH237" i="1"/>
  <c r="AH242" i="1"/>
  <c r="AH243" i="1"/>
  <c r="B3" i="6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L215" i="1" s="1"/>
  <c r="G251" i="4"/>
  <c r="L217" i="1" s="1"/>
  <c r="G252" i="4"/>
  <c r="L158" i="1" s="1"/>
  <c r="G253" i="4"/>
  <c r="L219" i="1" s="1"/>
  <c r="G254" i="4"/>
  <c r="G255" i="4"/>
  <c r="G256" i="4"/>
  <c r="G257" i="4"/>
  <c r="G258" i="4"/>
  <c r="G259" i="4"/>
  <c r="G260" i="4"/>
  <c r="G224" i="4" l="1"/>
  <c r="L138" i="1" s="1"/>
  <c r="G225" i="4"/>
  <c r="G226" i="4"/>
  <c r="L141" i="1" s="1"/>
  <c r="G227" i="4"/>
  <c r="L204" i="1" s="1"/>
  <c r="G228" i="4"/>
  <c r="L140" i="1" s="1"/>
  <c r="G229" i="4"/>
  <c r="L143" i="1" s="1"/>
  <c r="G230" i="4"/>
  <c r="L203" i="1" s="1"/>
  <c r="G231" i="4"/>
  <c r="L145" i="1" s="1"/>
  <c r="G232" i="4"/>
  <c r="G233" i="4"/>
  <c r="L206" i="1" s="1"/>
  <c r="G234" i="4"/>
  <c r="L147" i="1" s="1"/>
  <c r="G235" i="4"/>
  <c r="L144" i="1" s="1"/>
  <c r="G236" i="4"/>
  <c r="L205" i="1" s="1"/>
  <c r="G237" i="4"/>
  <c r="L146" i="1" s="1"/>
  <c r="G238" i="4"/>
  <c r="L149" i="1" s="1"/>
  <c r="G239" i="4"/>
  <c r="L207" i="1" s="1"/>
  <c r="G240" i="4"/>
  <c r="L148" i="1" s="1"/>
  <c r="G241" i="4"/>
  <c r="L151" i="1" s="1"/>
  <c r="G242" i="4"/>
  <c r="L226" i="1" s="1"/>
  <c r="G243" i="4"/>
  <c r="L150" i="1" s="1"/>
  <c r="G244" i="4"/>
  <c r="L153" i="1" s="1"/>
  <c r="G245" i="4"/>
  <c r="L152" i="1" s="1"/>
  <c r="G246" i="4"/>
  <c r="L155" i="1" s="1"/>
  <c r="G247" i="4"/>
  <c r="L154" i="1" s="1"/>
  <c r="G248" i="4"/>
  <c r="L157" i="1" s="1"/>
  <c r="G249" i="4"/>
  <c r="L156" i="1" s="1"/>
  <c r="N8" i="3" l="1"/>
  <c r="L142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208" i="1" s="1"/>
  <c r="G8" i="4"/>
  <c r="G9" i="4"/>
  <c r="G10" i="4"/>
  <c r="L227" i="1" s="1"/>
  <c r="G11" i="4"/>
  <c r="L228" i="1" s="1"/>
  <c r="G12" i="4"/>
  <c r="L210" i="1" s="1"/>
  <c r="G13" i="4"/>
  <c r="L15" i="1" s="1"/>
  <c r="G14" i="4"/>
  <c r="L212" i="1" s="1"/>
  <c r="G15" i="4"/>
  <c r="L14" i="1" s="1"/>
  <c r="G16" i="4"/>
  <c r="L214" i="1" s="1"/>
  <c r="G17" i="4"/>
  <c r="L17" i="1" s="1"/>
  <c r="G18" i="4"/>
  <c r="L216" i="1" s="1"/>
  <c r="G19" i="4"/>
  <c r="L19" i="1" s="1"/>
  <c r="G20" i="4"/>
  <c r="L16" i="1" s="1"/>
  <c r="G21" i="4"/>
  <c r="L21" i="1" s="1"/>
  <c r="G22" i="4"/>
  <c r="L218" i="1" s="1"/>
  <c r="G23" i="4"/>
  <c r="L23" i="1" s="1"/>
  <c r="G24" i="4"/>
  <c r="L221" i="1" s="1"/>
  <c r="G25" i="4"/>
  <c r="G26" i="4"/>
  <c r="G27" i="4"/>
  <c r="L18" i="1" s="1"/>
  <c r="G28" i="4"/>
  <c r="L20" i="1" s="1"/>
  <c r="G29" i="4"/>
  <c r="L159" i="1" s="1"/>
  <c r="G30" i="4"/>
  <c r="L25" i="1" s="1"/>
  <c r="G31" i="4"/>
  <c r="L220" i="1" s="1"/>
  <c r="G32" i="4"/>
  <c r="L27" i="1" s="1"/>
  <c r="G33" i="4"/>
  <c r="L160" i="1" s="1"/>
  <c r="G34" i="4"/>
  <c r="L22" i="1" s="1"/>
  <c r="G35" i="4"/>
  <c r="L29" i="1" s="1"/>
  <c r="G36" i="4"/>
  <c r="L24" i="1" s="1"/>
  <c r="G37" i="4"/>
  <c r="L222" i="1" s="1"/>
  <c r="G38" i="4"/>
  <c r="L31" i="1" s="1"/>
  <c r="G39" i="4"/>
  <c r="G40" i="4"/>
  <c r="L26" i="1" s="1"/>
  <c r="G41" i="4"/>
  <c r="L162" i="1" s="1"/>
  <c r="G42" i="4"/>
  <c r="L33" i="1" s="1"/>
  <c r="G43" i="4"/>
  <c r="G44" i="4"/>
  <c r="L28" i="1" s="1"/>
  <c r="G45" i="4"/>
  <c r="G46" i="4"/>
  <c r="L35" i="1" s="1"/>
  <c r="G47" i="4"/>
  <c r="G48" i="4"/>
  <c r="L30" i="1" s="1"/>
  <c r="G49" i="4"/>
  <c r="L163" i="1" s="1"/>
  <c r="G50" i="4"/>
  <c r="L164" i="1" s="1"/>
  <c r="G51" i="4"/>
  <c r="L37" i="1" s="1"/>
  <c r="G52" i="4"/>
  <c r="L34" i="1" s="1"/>
  <c r="G53" i="4"/>
  <c r="L32" i="1" s="1"/>
  <c r="G54" i="4"/>
  <c r="L165" i="1" s="1"/>
  <c r="G55" i="4"/>
  <c r="L39" i="1" s="1"/>
  <c r="G56" i="4"/>
  <c r="L166" i="1" s="1"/>
  <c r="G57" i="4"/>
  <c r="L41" i="1" s="1"/>
  <c r="G58" i="4"/>
  <c r="L36" i="1" s="1"/>
  <c r="G59" i="4"/>
  <c r="L43" i="1" s="1"/>
  <c r="G60" i="4"/>
  <c r="L167" i="1" s="1"/>
  <c r="G61" i="4"/>
  <c r="L168" i="1" s="1"/>
  <c r="G62" i="4"/>
  <c r="L45" i="1" s="1"/>
  <c r="G63" i="4"/>
  <c r="L38" i="1" s="1"/>
  <c r="G64" i="4"/>
  <c r="L47" i="1" s="1"/>
  <c r="G65" i="4"/>
  <c r="L40" i="1" s="1"/>
  <c r="G66" i="4"/>
  <c r="L169" i="1" s="1"/>
  <c r="G67" i="4"/>
  <c r="L42" i="1" s="1"/>
  <c r="G68" i="4"/>
  <c r="G69" i="4"/>
  <c r="L49" i="1" s="1"/>
  <c r="G70" i="4"/>
  <c r="L44" i="1" s="1"/>
  <c r="G71" i="4"/>
  <c r="L51" i="1" s="1"/>
  <c r="G72" i="4"/>
  <c r="L223" i="1" s="1"/>
  <c r="G73" i="4"/>
  <c r="L171" i="1" s="1"/>
  <c r="G74" i="4"/>
  <c r="L48" i="1" s="1"/>
  <c r="G75" i="4"/>
  <c r="L46" i="1" s="1"/>
  <c r="G76" i="4"/>
  <c r="L53" i="1" s="1"/>
  <c r="G77" i="4"/>
  <c r="L55" i="1" s="1"/>
  <c r="G78" i="4"/>
  <c r="L50" i="1" s="1"/>
  <c r="G79" i="4"/>
  <c r="L172" i="1" s="1"/>
  <c r="G80" i="4"/>
  <c r="L52" i="1" s="1"/>
  <c r="G81" i="4"/>
  <c r="L57" i="1" s="1"/>
  <c r="G82" i="4"/>
  <c r="L59" i="1" s="1"/>
  <c r="G83" i="4"/>
  <c r="L54" i="1" s="1"/>
  <c r="G84" i="4"/>
  <c r="L173" i="1" s="1"/>
  <c r="G85" i="4"/>
  <c r="L61" i="1" s="1"/>
  <c r="G86" i="4"/>
  <c r="L56" i="1" s="1"/>
  <c r="G87" i="4"/>
  <c r="L63" i="1" s="1"/>
  <c r="G88" i="4"/>
  <c r="L58" i="1" s="1"/>
  <c r="G89" i="4"/>
  <c r="G90" i="4"/>
  <c r="L174" i="1" s="1"/>
  <c r="G91" i="4"/>
  <c r="G92" i="4"/>
  <c r="G93" i="4"/>
  <c r="L65" i="1" s="1"/>
  <c r="G94" i="4"/>
  <c r="L62" i="1" s="1"/>
  <c r="G95" i="4"/>
  <c r="L60" i="1" s="1"/>
  <c r="G96" i="4"/>
  <c r="L67" i="1" s="1"/>
  <c r="G97" i="4"/>
  <c r="G98" i="4"/>
  <c r="L175" i="1" s="1"/>
  <c r="G99" i="4"/>
  <c r="G100" i="4"/>
  <c r="G101" i="4"/>
  <c r="G102" i="4"/>
  <c r="L69" i="1" s="1"/>
  <c r="G103" i="4"/>
  <c r="L64" i="1" s="1"/>
  <c r="G104" i="4"/>
  <c r="G105" i="4"/>
  <c r="G106" i="4"/>
  <c r="L71" i="1" s="1"/>
  <c r="G107" i="4"/>
  <c r="G108" i="4"/>
  <c r="L176" i="1" s="1"/>
  <c r="G109" i="4"/>
  <c r="L66" i="1" s="1"/>
  <c r="G110" i="4"/>
  <c r="L68" i="1" s="1"/>
  <c r="G111" i="4"/>
  <c r="L73" i="1" s="1"/>
  <c r="G112" i="4"/>
  <c r="G113" i="4"/>
  <c r="G114" i="4"/>
  <c r="L75" i="1" s="1"/>
  <c r="G115" i="4"/>
  <c r="G116" i="4"/>
  <c r="L177" i="1" s="1"/>
  <c r="G117" i="4"/>
  <c r="L70" i="1" s="1"/>
  <c r="G118" i="4"/>
  <c r="L72" i="1" s="1"/>
  <c r="G119" i="4"/>
  <c r="L77" i="1" s="1"/>
  <c r="G120" i="4"/>
  <c r="L79" i="1" s="1"/>
  <c r="G121" i="4"/>
  <c r="L74" i="1" s="1"/>
  <c r="G122" i="4"/>
  <c r="L178" i="1" s="1"/>
  <c r="G123" i="4"/>
  <c r="L76" i="1" s="1"/>
  <c r="G124" i="4"/>
  <c r="L81" i="1" s="1"/>
  <c r="G125" i="4"/>
  <c r="L83" i="1" s="1"/>
  <c r="G126" i="4"/>
  <c r="L179" i="1" s="1"/>
  <c r="G127" i="4"/>
  <c r="L78" i="1" s="1"/>
  <c r="G128" i="4"/>
  <c r="L85" i="1" s="1"/>
  <c r="G129" i="4"/>
  <c r="L80" i="1" s="1"/>
  <c r="G130" i="4"/>
  <c r="L87" i="1" s="1"/>
  <c r="G131" i="4"/>
  <c r="G132" i="4"/>
  <c r="L180" i="1" s="1"/>
  <c r="G133" i="4"/>
  <c r="L89" i="1" s="1"/>
  <c r="G134" i="4"/>
  <c r="L84" i="1" s="1"/>
  <c r="G135" i="4"/>
  <c r="G136" i="4"/>
  <c r="L91" i="1" s="1"/>
  <c r="G137" i="4"/>
  <c r="L181" i="1" s="1"/>
  <c r="G138" i="4"/>
  <c r="G139" i="4"/>
  <c r="L86" i="1" s="1"/>
  <c r="G140" i="4"/>
  <c r="G141" i="4"/>
  <c r="L93" i="1" s="1"/>
  <c r="G142" i="4"/>
  <c r="N14" i="3" s="1"/>
  <c r="G143" i="4"/>
  <c r="L88" i="1" s="1"/>
  <c r="G144" i="4"/>
  <c r="G145" i="4"/>
  <c r="G146" i="4"/>
  <c r="G147" i="4"/>
  <c r="G148" i="4"/>
  <c r="L95" i="1" s="1"/>
  <c r="G149" i="4"/>
  <c r="L182" i="1" s="1"/>
  <c r="G150" i="4"/>
  <c r="L97" i="1" s="1"/>
  <c r="G151" i="4"/>
  <c r="L92" i="1" s="1"/>
  <c r="G152" i="4"/>
  <c r="L99" i="1" s="1"/>
  <c r="G153" i="4"/>
  <c r="L183" i="1" s="1"/>
  <c r="G154" i="4"/>
  <c r="L101" i="1" s="1"/>
  <c r="G155" i="4"/>
  <c r="L94" i="1" s="1"/>
  <c r="G156" i="4"/>
  <c r="L96" i="1" s="1"/>
  <c r="G157" i="4"/>
  <c r="L103" i="1" s="1"/>
  <c r="G158" i="4"/>
  <c r="L184" i="1" s="1"/>
  <c r="G159" i="4"/>
  <c r="L98" i="1" s="1"/>
  <c r="G160" i="4"/>
  <c r="L105" i="1" s="1"/>
  <c r="G161" i="4"/>
  <c r="L224" i="1" s="1"/>
  <c r="G162" i="4"/>
  <c r="G163" i="4"/>
  <c r="L100" i="1" s="1"/>
  <c r="G164" i="4"/>
  <c r="L107" i="1" s="1"/>
  <c r="G165" i="4"/>
  <c r="L102" i="1" s="1"/>
  <c r="G166" i="4"/>
  <c r="L185" i="1" s="1"/>
  <c r="G167" i="4"/>
  <c r="L186" i="1" s="1"/>
  <c r="G168" i="4"/>
  <c r="L109" i="1" s="1"/>
  <c r="G169" i="4"/>
  <c r="L104" i="1" s="1"/>
  <c r="G170" i="4"/>
  <c r="L187" i="1" s="1"/>
  <c r="G171" i="4"/>
  <c r="L111" i="1" s="1"/>
  <c r="G172" i="4"/>
  <c r="L188" i="1" s="1"/>
  <c r="G173" i="4"/>
  <c r="L106" i="1" s="1"/>
  <c r="G174" i="4"/>
  <c r="L108" i="1" s="1"/>
  <c r="G175" i="4"/>
  <c r="L113" i="1" s="1"/>
  <c r="G176" i="4"/>
  <c r="L243" i="1" s="1"/>
  <c r="G177" i="4"/>
  <c r="L115" i="1" s="1"/>
  <c r="G178" i="4"/>
  <c r="L110" i="1" s="1"/>
  <c r="G179" i="4"/>
  <c r="L190" i="1" s="1"/>
  <c r="G180" i="4"/>
  <c r="L189" i="1" s="1"/>
  <c r="G181" i="4"/>
  <c r="L117" i="1" s="1"/>
  <c r="G182" i="4"/>
  <c r="L112" i="1" s="1"/>
  <c r="G183" i="4"/>
  <c r="L119" i="1" s="1"/>
  <c r="G184" i="4"/>
  <c r="L191" i="1" s="1"/>
  <c r="G185" i="4"/>
  <c r="L192" i="1" s="1"/>
  <c r="G186" i="4"/>
  <c r="L121" i="1" s="1"/>
  <c r="G187" i="4"/>
  <c r="L114" i="1" s="1"/>
  <c r="G188" i="4"/>
  <c r="L116" i="1" s="1"/>
  <c r="G189" i="4"/>
  <c r="G190" i="4"/>
  <c r="L123" i="1" s="1"/>
  <c r="G191" i="4"/>
  <c r="L194" i="1" s="1"/>
  <c r="G192" i="4"/>
  <c r="L193" i="1" s="1"/>
  <c r="G193" i="4"/>
  <c r="L244" i="1" s="1"/>
  <c r="G194" i="4"/>
  <c r="L118" i="1" s="1"/>
  <c r="G195" i="4"/>
  <c r="L125" i="1" s="1"/>
  <c r="G196" i="4"/>
  <c r="L120" i="1" s="1"/>
  <c r="G197" i="4"/>
  <c r="L127" i="1" s="1"/>
  <c r="G198" i="4"/>
  <c r="L122" i="1" s="1"/>
  <c r="G199" i="4"/>
  <c r="L195" i="1" s="1"/>
  <c r="G200" i="4"/>
  <c r="L196" i="1" s="1"/>
  <c r="G201" i="4"/>
  <c r="L129" i="1" s="1"/>
  <c r="G202" i="4"/>
  <c r="L124" i="1" s="1"/>
  <c r="G203" i="4"/>
  <c r="L131" i="1" s="1"/>
  <c r="G204" i="4"/>
  <c r="L126" i="1" s="1"/>
  <c r="G205" i="4"/>
  <c r="G206" i="4"/>
  <c r="L198" i="1" s="1"/>
  <c r="G207" i="4"/>
  <c r="L209" i="1" s="1"/>
  <c r="G208" i="4"/>
  <c r="L128" i="1" s="1"/>
  <c r="G209" i="4"/>
  <c r="L225" i="1" s="1"/>
  <c r="G210" i="4"/>
  <c r="L130" i="1" s="1"/>
  <c r="G211" i="4"/>
  <c r="L133" i="1" s="1"/>
  <c r="G212" i="4"/>
  <c r="L211" i="1" s="1"/>
  <c r="G213" i="4"/>
  <c r="L200" i="1" s="1"/>
  <c r="G214" i="4"/>
  <c r="G215" i="4"/>
  <c r="L135" i="1" s="1"/>
  <c r="G216" i="4"/>
  <c r="L199" i="1" s="1"/>
  <c r="G217" i="4"/>
  <c r="L213" i="1" s="1"/>
  <c r="G218" i="4"/>
  <c r="L134" i="1" s="1"/>
  <c r="G219" i="4"/>
  <c r="L137" i="1" s="1"/>
  <c r="G220" i="4"/>
  <c r="L202" i="1" s="1"/>
  <c r="G221" i="4"/>
  <c r="L136" i="1" s="1"/>
  <c r="G222" i="4"/>
  <c r="L139" i="1" s="1"/>
  <c r="G223" i="4"/>
  <c r="L201" i="1" s="1"/>
  <c r="G2" i="4"/>
  <c r="N9" i="3" l="1"/>
  <c r="L132" i="1"/>
  <c r="L236" i="1"/>
  <c r="L235" i="1"/>
  <c r="L239" i="1"/>
  <c r="L237" i="1"/>
  <c r="L234" i="1"/>
  <c r="L238" i="1"/>
  <c r="N15" i="3"/>
  <c r="L197" i="1"/>
  <c r="L232" i="1"/>
  <c r="L231" i="1"/>
  <c r="L229" i="1"/>
  <c r="L233" i="1"/>
  <c r="L230" i="1"/>
  <c r="N17" i="3"/>
  <c r="L170" i="1"/>
  <c r="N11" i="3"/>
  <c r="L90" i="1"/>
  <c r="N7" i="3"/>
  <c r="L82" i="1"/>
  <c r="L240" i="1"/>
  <c r="L241" i="1"/>
  <c r="L242" i="1"/>
  <c r="N16" i="3"/>
  <c r="L161" i="1"/>
  <c r="N10" i="3"/>
  <c r="N13" i="3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" i="1" l="1"/>
  <c r="AF204" i="1"/>
  <c r="AF14" i="1"/>
  <c r="AF18" i="1"/>
  <c r="AF22" i="1"/>
  <c r="AF200" i="1"/>
  <c r="AF195" i="1"/>
  <c r="AF192" i="1"/>
  <c r="AF190" i="1"/>
  <c r="AF187" i="1"/>
  <c r="AF184" i="1"/>
  <c r="AF180" i="1"/>
  <c r="AF16" i="1"/>
  <c r="AF20" i="1"/>
  <c r="AF24" i="1"/>
  <c r="AF28" i="1"/>
  <c r="AF32" i="1"/>
  <c r="AF33" i="1"/>
  <c r="AF34" i="1"/>
  <c r="AF38" i="1"/>
  <c r="AF44" i="1"/>
  <c r="AF48" i="1"/>
  <c r="AF207" i="1"/>
  <c r="AF41" i="1"/>
  <c r="AF51" i="1"/>
  <c r="AF55" i="1"/>
  <c r="AF60" i="1"/>
  <c r="AF64" i="1"/>
  <c r="AF68" i="1"/>
  <c r="AF70" i="1"/>
  <c r="AF71" i="1"/>
  <c r="AF72" i="1"/>
  <c r="AF73" i="1"/>
  <c r="AF74" i="1"/>
  <c r="AF158" i="1"/>
  <c r="AF153" i="1"/>
  <c r="AF26" i="1"/>
  <c r="AF29" i="1"/>
  <c r="AF31" i="1"/>
  <c r="AF35" i="1"/>
  <c r="AF37" i="1"/>
  <c r="AF40" i="1"/>
  <c r="AF43" i="1"/>
  <c r="AF46" i="1"/>
  <c r="AF50" i="1"/>
  <c r="AF54" i="1"/>
  <c r="AF59" i="1"/>
  <c r="AF63" i="1"/>
  <c r="AF156" i="1"/>
  <c r="AF17" i="1"/>
  <c r="AF25" i="1"/>
  <c r="AF27" i="1"/>
  <c r="AF30" i="1"/>
  <c r="AF36" i="1"/>
  <c r="AF39" i="1"/>
  <c r="AF42" i="1"/>
  <c r="AF45" i="1"/>
  <c r="AF47" i="1"/>
  <c r="AF52" i="1"/>
  <c r="AF56" i="1"/>
  <c r="AF61" i="1"/>
  <c r="AF65" i="1"/>
  <c r="AF88" i="1"/>
  <c r="AF89" i="1"/>
  <c r="AF93" i="1"/>
  <c r="AF98" i="1"/>
  <c r="AF99" i="1"/>
  <c r="AF49" i="1"/>
  <c r="AF57" i="1"/>
  <c r="AF58" i="1"/>
  <c r="AF77" i="1"/>
  <c r="AF81" i="1"/>
  <c r="AF85" i="1"/>
  <c r="AF86" i="1"/>
  <c r="AF100" i="1"/>
  <c r="AF102" i="1"/>
  <c r="AF103" i="1"/>
  <c r="AF106" i="1"/>
  <c r="AF108" i="1"/>
  <c r="AF66" i="1"/>
  <c r="AF69" i="1"/>
  <c r="AF76" i="1"/>
  <c r="AF80" i="1"/>
  <c r="AF84" i="1"/>
  <c r="AF90" i="1"/>
  <c r="AF92" i="1"/>
  <c r="AF95" i="1"/>
  <c r="AF97" i="1"/>
  <c r="AF105" i="1"/>
  <c r="AF107" i="1"/>
  <c r="AF113" i="1"/>
  <c r="AF115" i="1"/>
  <c r="AF19" i="1"/>
  <c r="AF21" i="1"/>
  <c r="AF23" i="1"/>
  <c r="AF53" i="1"/>
  <c r="AF62" i="1"/>
  <c r="AF67" i="1"/>
  <c r="AF75" i="1"/>
  <c r="AF79" i="1"/>
  <c r="AF87" i="1"/>
  <c r="AF101" i="1"/>
  <c r="AF104" i="1"/>
  <c r="AF110" i="1"/>
  <c r="AF112" i="1"/>
  <c r="AF78" i="1"/>
  <c r="AF82" i="1"/>
  <c r="AF83" i="1"/>
  <c r="AF91" i="1"/>
  <c r="AF94" i="1"/>
  <c r="AF96" i="1"/>
  <c r="AF109" i="1"/>
  <c r="AF111" i="1"/>
  <c r="AF114" i="1"/>
  <c r="AF119" i="1"/>
  <c r="AF125" i="1"/>
  <c r="AF127" i="1"/>
  <c r="AF131" i="1"/>
  <c r="AF135" i="1"/>
  <c r="AF139" i="1"/>
  <c r="AF143" i="1"/>
  <c r="AF147" i="1"/>
  <c r="AF151" i="1"/>
  <c r="AF157" i="1"/>
  <c r="AF211" i="1"/>
  <c r="AF215" i="1"/>
  <c r="AF219" i="1"/>
  <c r="AF229" i="1"/>
  <c r="AF233" i="1"/>
  <c r="AF237" i="1"/>
  <c r="AF241" i="1"/>
  <c r="AF117" i="1"/>
  <c r="AF122" i="1"/>
  <c r="AF124" i="1"/>
  <c r="AF130" i="1"/>
  <c r="AF134" i="1"/>
  <c r="AF138" i="1"/>
  <c r="AF142" i="1"/>
  <c r="AF146" i="1"/>
  <c r="AF150" i="1"/>
  <c r="AF155" i="1"/>
  <c r="AF210" i="1"/>
  <c r="AF214" i="1"/>
  <c r="AF218" i="1"/>
  <c r="AF228" i="1"/>
  <c r="AF232" i="1"/>
  <c r="AF236" i="1"/>
  <c r="AF240" i="1"/>
  <c r="AF244" i="1"/>
  <c r="AF162" i="1"/>
  <c r="AF121" i="1"/>
  <c r="AF123" i="1"/>
  <c r="AF129" i="1"/>
  <c r="AF133" i="1"/>
  <c r="AF137" i="1"/>
  <c r="AF141" i="1"/>
  <c r="AF145" i="1"/>
  <c r="AF149" i="1"/>
  <c r="AF154" i="1"/>
  <c r="AF209" i="1"/>
  <c r="AF213" i="1"/>
  <c r="AF217" i="1"/>
  <c r="AF227" i="1"/>
  <c r="AF116" i="1"/>
  <c r="AF118" i="1"/>
  <c r="AF120" i="1"/>
  <c r="AF126" i="1"/>
  <c r="AF128" i="1"/>
  <c r="AF132" i="1"/>
  <c r="AF136" i="1"/>
  <c r="AF140" i="1"/>
  <c r="AF144" i="1"/>
  <c r="AF148" i="1"/>
  <c r="AF152" i="1"/>
  <c r="AF208" i="1"/>
  <c r="AF212" i="1"/>
  <c r="AF216" i="1"/>
  <c r="AF220" i="1"/>
  <c r="AF230" i="1"/>
  <c r="AF234" i="1"/>
  <c r="AF238" i="1"/>
  <c r="AF231" i="1"/>
  <c r="AF239" i="1"/>
  <c r="AF159" i="1"/>
  <c r="AF161" i="1"/>
  <c r="AF164" i="1"/>
  <c r="AF167" i="1"/>
  <c r="AF171" i="1"/>
  <c r="AF177" i="1"/>
  <c r="AF183" i="1"/>
  <c r="AF189" i="1"/>
  <c r="AF196" i="1"/>
  <c r="AF201" i="1"/>
  <c r="AF202" i="1"/>
  <c r="AF222" i="1"/>
  <c r="AF242" i="1"/>
  <c r="AF166" i="1"/>
  <c r="AF170" i="1"/>
  <c r="AF176" i="1"/>
  <c r="AF182" i="1"/>
  <c r="AF188" i="1"/>
  <c r="AF194" i="1"/>
  <c r="AF199" i="1"/>
  <c r="AF206" i="1"/>
  <c r="AF221" i="1"/>
  <c r="AF235" i="1"/>
  <c r="AF243" i="1"/>
  <c r="AF160" i="1"/>
  <c r="AF163" i="1"/>
  <c r="AF169" i="1"/>
  <c r="AF173" i="1"/>
  <c r="AF175" i="1"/>
  <c r="AF181" i="1"/>
  <c r="AF186" i="1"/>
  <c r="AF193" i="1"/>
  <c r="AF198" i="1"/>
  <c r="AF205" i="1"/>
  <c r="AF224" i="1"/>
  <c r="AF225" i="1"/>
  <c r="AF165" i="1"/>
  <c r="AF168" i="1"/>
  <c r="AF172" i="1"/>
  <c r="AF174" i="1"/>
  <c r="AF178" i="1"/>
  <c r="AF179" i="1"/>
  <c r="AF185" i="1"/>
  <c r="AF191" i="1"/>
  <c r="AF197" i="1"/>
  <c r="AF203" i="1"/>
  <c r="AF223" i="1"/>
  <c r="AF226" i="1"/>
  <c r="T9" i="3"/>
  <c r="T12" i="3"/>
  <c r="T8" i="3"/>
  <c r="T13" i="3"/>
  <c r="T15" i="3"/>
  <c r="T11" i="3"/>
  <c r="T7" i="3"/>
  <c r="T16" i="3"/>
  <c r="T10" i="3"/>
  <c r="T17" i="3"/>
  <c r="T14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<sst xmlns="http://schemas.openxmlformats.org/spreadsheetml/2006/main" count="2725" uniqueCount="1088">
  <si>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</si>
  <si>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</si>
  <si>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</si>
  <si>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</si>
  <si>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</si>
  <si>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</si>
  <si>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</si>
  <si>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</si>
  <si>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</si>
  <si>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</si>
  <si>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</si>
  <si>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</si>
  <si>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</si>
  <si>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</si>
  <si>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</si>
  <si>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</si>
  <si>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</si>
  <si>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</si>
  <si>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</si>
  <si>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</si>
  <si>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</si>
  <si>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</si>
  <si>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</si>
  <si>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</si>
  <si>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</si>
  <si>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</si>
  <si>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</si>
  <si>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</si>
  <si>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</si>
  <si>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</si>
  <si>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</si>
  <si>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</si>
  <si>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</si>
  <si>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</si>
  <si>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</si>
  <si>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</si>
  <si>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</si>
  <si>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</si>
  <si>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</si>
  <si>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</si>
  <si>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</si>
  <si>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</si>
  <si>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</si>
  <si>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</si>
  <si>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</si>
  <si>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</si>
  <si>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</si>
  <si>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</si>
  <si>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</si>
  <si>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</si>
  <si>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</si>
  <si>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</si>
  <si>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</si>
  <si>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</si>
  <si>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</si>
  <si>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</si>
  <si>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</si>
  <si>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</si>
  <si>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</si>
  <si>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</si>
  <si>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</si>
  <si>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</si>
  <si>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</si>
  <si>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</si>
  <si>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</si>
  <si>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</si>
  <si>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</si>
  <si>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</si>
  <si>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</si>
  <si>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</si>
  <si>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</si>
  <si>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</si>
  <si>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</si>
  <si>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</si>
  <si>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</si>
  <si>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</si>
  <si>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</si>
  <si>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</si>
  <si>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</si>
  <si>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</si>
  <si>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</si>
  <si>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</si>
  <si>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</si>
  <si>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</si>
  <si>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</si>
  <si>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</si>
  <si>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</si>
  <si>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</si>
  <si>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</si>
  <si>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</si>
  <si>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</si>
  <si>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</si>
  <si>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</si>
  <si>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</si>
  <si>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</si>
  <si>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</si>
  <si>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</si>
  <si>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</si>
  <si>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</si>
  <si>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</si>
  <si>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</si>
  <si>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</si>
  <si>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</si>
  <si>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</si>
  <si>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</si>
  <si>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</si>
  <si>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</si>
  <si>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</si>
  <si>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</si>
  <si>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</si>
  <si>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</si>
  <si>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</si>
  <si>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</si>
  <si>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</si>
  <si>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</si>
  <si>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</si>
  <si>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</si>
  <si>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</si>
  <si>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</si>
  <si>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</si>
  <si>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</si>
  <si>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</si>
  <si>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</si>
  <si>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</si>
  <si>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</si>
  <si>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</si>
  <si>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</si>
  <si>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</si>
  <si>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</si>
  <si>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</si>
  <si>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</si>
  <si>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</si>
  <si>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</si>
  <si>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</si>
  <si>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</si>
  <si>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</si>
  <si>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</si>
  <si>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</si>
  <si>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</si>
  <si>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</si>
  <si>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</si>
  <si>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</si>
  <si>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</si>
  <si>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</si>
  <si>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</si>
  <si>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</si>
  <si>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</si>
  <si>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</si>
  <si>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</si>
  <si>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</si>
  <si>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</si>
  <si>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</si>
  <si>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</si>
  <si>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</si>
  <si>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</si>
  <si>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</si>
  <si>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</si>
  <si>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</si>
  <si>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</si>
  <si>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</si>
  <si>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</si>
  <si>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</si>
  <si>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</si>
  <si>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</si>
  <si>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</si>
  <si>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</si>
  <si>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</si>
  <si>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</si>
  <si>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</si>
  <si>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</si>
  <si>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</si>
  <si>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</si>
  <si>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</si>
  <si>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</si>
  <si>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</si>
  <si>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</si>
  <si>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</si>
  <si>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</si>
  <si>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</si>
  <si>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</si>
  <si>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</si>
  <si>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</si>
  <si>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</si>
  <si>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</si>
  <si>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</si>
  <si>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</si>
  <si>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</si>
  <si>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</si>
  <si>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</si>
  <si>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</si>
  <si>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</si>
  <si>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</si>
  <si>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</si>
  <si>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</si>
  <si>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</si>
  <si>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</si>
  <si>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</si>
  <si>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</si>
  <si>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</si>
  <si>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</si>
  <si>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</si>
  <si>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</si>
  <si>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</si>
  <si>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</si>
  <si>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</si>
  <si>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</si>
  <si>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</si>
  <si>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</si>
  <si>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</si>
  <si>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</si>
  <si>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</si>
  <si>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</si>
  <si>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</si>
  <si>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</si>
  <si>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</si>
  <si>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</si>
  <si>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</si>
  <si>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</si>
  <si>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</si>
  <si>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</si>
  <si>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</si>
  <si>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</si>
  <si>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</si>
  <si>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</si>
  <si>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</si>
  <si>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</si>
  <si>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</si>
  <si>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</si>
  <si>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</si>
  <si>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</si>
  <si>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</si>
  <si>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</si>
  <si>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</si>
  <si>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</si>
  <si>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</si>
  <si>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</si>
  <si>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</si>
  <si>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</si>
  <si>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</si>
  <si>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</si>
  <si>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</si>
  <si>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</si>
  <si>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</si>
  <si>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</si>
  <si>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</si>
  <si>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</si>
  <si>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</si>
  <si>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</si>
  <si>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</si>
  <si>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</si>
  <si>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</si>
  <si>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</si>
  <si>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</si>
  <si>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</si>
  <si>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</si>
  <si>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</si>
  <si>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</si>
  <si>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</si>
  <si>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</si>
  <si>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</si>
  <si>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</si>
  <si>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</si>
  <si>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</si>
  <si>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</si>
  <si>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</si>
  <si>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</si>
  <si>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</si>
  <si>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</si>
  <si>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</si>
  <si>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</si>
  <si>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</si>
  <si>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</si>
  <si>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</si>
  <si>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</si>
  <si>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</si>
  <si>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</si>
  <si>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</si>
  <si>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</si>
  <si>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</si>
  <si>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</si>
  <si>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</si>
  <si>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</si>
  <si>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</si>
  <si>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</si>
  <si>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</si>
  <si>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</si>
  <si>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</si>
  <si>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</si>
  <si>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</si>
  <si>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</si>
  <si>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</si>
  <si>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</si>
  <si>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</si>
  <si>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</si>
  <si>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</si>
  <si>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</si>
  <si>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</si>
  <si>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</si>
  <si>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</si>
  <si>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</si>
  <si>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</si>
  <si>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</si>
  <si>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</si>
  <si>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</si>
  <si>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</si>
  <si>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</si>
  <si>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</si>
  <si>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</si>
  <si>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</si>
  <si>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</si>
  <si>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</si>
  <si>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</si>
  <si>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</si>
  <si>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</si>
  <si>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</si>
  <si>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</si>
  <si>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</si>
  <si>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</si>
  <si>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</si>
  <si>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</si>
  <si>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</si>
  <si>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</si>
  <si>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</si>
  <si>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</si>
  <si>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</si>
  <si>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</si>
  <si>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</si>
  <si>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</si>
  <si>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</si>
  <si>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</si>
  <si>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</si>
  <si>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</si>
  <si>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</si>
  <si>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</si>
  <si>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</si>
  <si>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</si>
  <si>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</si>
  <si>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</si>
  <si>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</si>
  <si>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</si>
  <si>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</si>
  <si>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</si>
  <si>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</si>
  <si>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</si>
  <si>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</si>
  <si>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</si>
  <si>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</si>
  <si>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</si>
  <si>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</si>
  <si>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</si>
  <si>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</si>
  <si>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</si>
  <si>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</si>
  <si>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</si>
  <si>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</si>
  <si>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</si>
  <si>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</si>
  <si>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</si>
  <si>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</si>
  <si>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</si>
  <si>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</si>
  <si>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</si>
  <si>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</si>
  <si>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</si>
  <si>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</si>
  <si>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</si>
  <si>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</si>
  <si>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</si>
  <si>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</si>
  <si>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</si>
  <si>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</si>
  <si>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</si>
  <si>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</si>
  <si>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</si>
  <si>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</si>
  <si>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</si>
  <si>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</si>
  <si>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</si>
  <si>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</si>
  <si>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</si>
  <si>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</si>
  <si>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</si>
  <si>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</si>
  <si>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</si>
  <si>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</si>
  <si>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</si>
  <si>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</si>
  <si>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</si>
  <si>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</si>
  <si>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</si>
  <si>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</si>
  <si>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</si>
  <si>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</si>
  <si>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</si>
  <si>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</si>
  <si>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</si>
  <si>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</si>
  <si>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</si>
  <si>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</si>
  <si>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</si>
  <si>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</si>
  <si>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</si>
  <si>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</si>
  <si>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</si>
  <si>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</si>
  <si>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</si>
  <si>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</si>
  <si>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</si>
  <si>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</si>
  <si>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</si>
  <si>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</si>
  <si>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</si>
  <si>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</si>
  <si>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</si>
  <si>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</si>
  <si>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</si>
  <si>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</si>
  <si>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</si>
  <si>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</si>
  <si>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</si>
  <si>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</si>
  <si>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</si>
  <si>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</si>
  <si>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</si>
  <si>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</si>
  <si>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</si>
  <si>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</si>
  <si>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</si>
  <si>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</si>
  <si>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</si>
  <si>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</si>
  <si>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</si>
  <si>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</si>
  <si>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</si>
  <si>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</si>
  <si>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</si>
  <si>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</si>
  <si>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</si>
  <si>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</si>
  <si>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</si>
  <si>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</si>
  <si>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</si>
  <si>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</si>
  <si>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</si>
  <si>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</si>
  <si>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</si>
  <si>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</si>
  <si>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</si>
  <si>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</si>
  <si>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</si>
  <si>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</si>
  <si>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</si>
  <si>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</si>
  <si>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</si>
  <si>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</si>
  <si>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</si>
  <si>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</si>
  <si>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</si>
  <si>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</si>
  <si>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</si>
  <si>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</si>
  <si>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</si>
  <si>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</si>
  <si>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</si>
  <si>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</si>
  <si>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</si>
  <si>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</si>
  <si>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204:211</t>
  </si>
  <si>
    <t>204:196</t>
  </si>
  <si>
    <t>Wi-MAX data drop</t>
  </si>
  <si>
    <t>FORTUNATO</t>
  </si>
  <si>
    <t>FRANK</t>
  </si>
  <si>
    <t>HAMMOND</t>
  </si>
  <si>
    <t>JUSTYNN</t>
  </si>
  <si>
    <t>311-17</t>
  </si>
  <si>
    <t>313-17</t>
  </si>
  <si>
    <t>rtdc.l.rtdc.4054:itc</t>
  </si>
  <si>
    <t>rtdc.l.rtdc.4053:itc</t>
  </si>
  <si>
    <t>204:509</t>
  </si>
  <si>
    <t>311-21</t>
  </si>
  <si>
    <t>242-21</t>
  </si>
  <si>
    <t>307-21</t>
  </si>
  <si>
    <t>244-21</t>
  </si>
  <si>
    <t>309-21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</si>
  <si>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</si>
  <si>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</si>
  <si>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</si>
  <si>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</si>
  <si>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</si>
  <si>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</si>
  <si>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</si>
  <si>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</si>
  <si>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</si>
  <si>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</si>
  <si>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</si>
  <si>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</si>
  <si>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</si>
  <si>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</si>
  <si>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</si>
  <si>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204:265</t>
  </si>
  <si>
    <t>MAELZER</t>
  </si>
  <si>
    <t>KURT</t>
  </si>
  <si>
    <t>DONTE</t>
  </si>
  <si>
    <t>BADERTSCHER</t>
  </si>
  <si>
    <t>DIANE</t>
  </si>
  <si>
    <t>ANDERS</t>
  </si>
  <si>
    <t>STEVEN</t>
  </si>
  <si>
    <t>204:442</t>
  </si>
  <si>
    <t>204:233270</t>
  </si>
  <si>
    <t>204:191</t>
  </si>
  <si>
    <t>204:233253</t>
  </si>
  <si>
    <t>204:189</t>
  </si>
  <si>
    <t>rtdc.l.rtdc.4009:itc</t>
  </si>
  <si>
    <t>GEBRETEKLE</t>
  </si>
  <si>
    <t>DAGNEW</t>
  </si>
  <si>
    <t>HOLCOMB</t>
  </si>
  <si>
    <t>KAMDEN</t>
  </si>
  <si>
    <t>DELGADO</t>
  </si>
  <si>
    <t>DIANAH</t>
  </si>
  <si>
    <t>204:506</t>
  </si>
  <si>
    <t>204:233297</t>
  </si>
  <si>
    <t>204:201</t>
  </si>
  <si>
    <t>204:185</t>
  </si>
  <si>
    <t>204:218</t>
  </si>
  <si>
    <t>204:511</t>
  </si>
  <si>
    <t>204:233259</t>
  </si>
  <si>
    <t>rtdc.l.rtdc.4044:itc</t>
  </si>
  <si>
    <t>rtdc.l.rtdc.4043:itc</t>
  </si>
  <si>
    <t>GONZALEZ</t>
  </si>
  <si>
    <t>ARMANDO</t>
  </si>
  <si>
    <t>204:205</t>
  </si>
  <si>
    <t>204:233257</t>
  </si>
  <si>
    <t>204:232978</t>
  </si>
  <si>
    <t>204:220</t>
  </si>
  <si>
    <t>204:466</t>
  </si>
  <si>
    <t>204:149</t>
  </si>
  <si>
    <t>204:194</t>
  </si>
  <si>
    <t>204:526</t>
  </si>
  <si>
    <t>Early Arrival</t>
  </si>
  <si>
    <t>rtdc.l.rtdc.4064:itc</t>
  </si>
  <si>
    <t>204:198</t>
  </si>
  <si>
    <t>204:517</t>
  </si>
  <si>
    <t>204:464</t>
  </si>
  <si>
    <t>204:440</t>
  </si>
  <si>
    <t>204:221</t>
  </si>
  <si>
    <t>204:178</t>
  </si>
  <si>
    <t>204:233263</t>
  </si>
  <si>
    <t>300:58675</t>
  </si>
  <si>
    <t>204:233286</t>
  </si>
  <si>
    <t>204:233314</t>
  </si>
  <si>
    <t>204:232975</t>
  </si>
  <si>
    <t>204:233261</t>
  </si>
  <si>
    <t>204:232987</t>
  </si>
  <si>
    <t>204:150</t>
  </si>
  <si>
    <t>204:236</t>
  </si>
  <si>
    <t>partly-cloudy-night</t>
  </si>
  <si>
    <t>Partly Cloudy</t>
  </si>
  <si>
    <t>204:232930</t>
  </si>
  <si>
    <t>204:158</t>
  </si>
  <si>
    <t>204:504</t>
  </si>
  <si>
    <t>204:233295</t>
  </si>
  <si>
    <t>204:232953</t>
  </si>
  <si>
    <t>204:156</t>
  </si>
  <si>
    <t>204:192</t>
  </si>
  <si>
    <t>204:475</t>
  </si>
  <si>
    <t>204:482</t>
  </si>
  <si>
    <t>204:478</t>
  </si>
  <si>
    <t>204:233221</t>
  </si>
  <si>
    <t>204:232938</t>
  </si>
  <si>
    <t>204:157</t>
  </si>
  <si>
    <t>300:58651</t>
  </si>
  <si>
    <t>300:58626</t>
  </si>
  <si>
    <t>300:58993</t>
  </si>
  <si>
    <t>204:146</t>
  </si>
  <si>
    <t>204:564</t>
  </si>
  <si>
    <t>204:233293</t>
  </si>
  <si>
    <t>204:548</t>
  </si>
  <si>
    <t>204:160</t>
  </si>
  <si>
    <t>204:170</t>
  </si>
  <si>
    <t>204:223</t>
  </si>
  <si>
    <t>204:232959</t>
  </si>
  <si>
    <t>204:232917</t>
  </si>
  <si>
    <t>204:551</t>
  </si>
  <si>
    <t>300:23312</t>
  </si>
  <si>
    <t>300:23297</t>
  </si>
  <si>
    <t>Onboard en route failure during init</t>
  </si>
  <si>
    <t>rtdc.l.rtdc.4058:itc</t>
  </si>
  <si>
    <t>rtdc.l.rtdc.4040:itc</t>
  </si>
  <si>
    <t>rtdc.l.rtdc.4039:itc</t>
  </si>
  <si>
    <t>DAVID</t>
  </si>
  <si>
    <t>precipAccumulation</t>
  </si>
  <si>
    <t>precipType</t>
  </si>
  <si>
    <t>snow</t>
  </si>
  <si>
    <t>204:493</t>
  </si>
  <si>
    <t>204:233349</t>
  </si>
  <si>
    <t>204:233330</t>
  </si>
  <si>
    <t>204:232996</t>
  </si>
  <si>
    <t>204:216</t>
  </si>
  <si>
    <t>204:233232</t>
  </si>
  <si>
    <t>204:477</t>
  </si>
  <si>
    <t>204:451</t>
  </si>
  <si>
    <t>204:233266</t>
  </si>
  <si>
    <t>204:522</t>
  </si>
  <si>
    <t>204:497</t>
  </si>
  <si>
    <t>204:233303</t>
  </si>
  <si>
    <t>204:232973</t>
  </si>
  <si>
    <t>204:444</t>
  </si>
  <si>
    <t>204:232989</t>
  </si>
  <si>
    <t>204:181</t>
  </si>
  <si>
    <t>204:200</t>
  </si>
  <si>
    <t>204:233307</t>
  </si>
  <si>
    <t>204:232936</t>
  </si>
  <si>
    <t>204:232921</t>
  </si>
  <si>
    <t>204:233291</t>
  </si>
  <si>
    <t>204:258</t>
  </si>
  <si>
    <t>204:232964</t>
  </si>
  <si>
    <t>204:242</t>
  </si>
  <si>
    <t>204:448</t>
  </si>
  <si>
    <t>204:433</t>
  </si>
  <si>
    <t>300:58954</t>
  </si>
  <si>
    <t>204:441</t>
  </si>
  <si>
    <t>300:58937</t>
  </si>
  <si>
    <t>204:138</t>
  </si>
  <si>
    <t>204:435</t>
  </si>
  <si>
    <t>300:58960</t>
  </si>
  <si>
    <t>204:144</t>
  </si>
  <si>
    <t>300:58683</t>
  </si>
  <si>
    <t>204:93</t>
  </si>
  <si>
    <t>204:540</t>
  </si>
  <si>
    <t>204:484</t>
  </si>
  <si>
    <t>204:233278</t>
  </si>
  <si>
    <t>204:555</t>
  </si>
  <si>
    <t>204:262</t>
  </si>
  <si>
    <t>204:232948</t>
  </si>
  <si>
    <t>204:233264</t>
  </si>
  <si>
    <t>204:232947</t>
  </si>
  <si>
    <t>204:233215</t>
  </si>
  <si>
    <t>204:233300</t>
  </si>
  <si>
    <t>204:537</t>
  </si>
  <si>
    <t>204:232900</t>
  </si>
  <si>
    <t>204:233013</t>
  </si>
  <si>
    <t>204:232943</t>
  </si>
  <si>
    <t>204:232972</t>
  </si>
  <si>
    <t>204:263</t>
  </si>
  <si>
    <t>204:568</t>
  </si>
  <si>
    <t>300:23295</t>
  </si>
  <si>
    <t>300:23299</t>
  </si>
  <si>
    <t>300:23302</t>
  </si>
  <si>
    <t>204:573</t>
  </si>
  <si>
    <t>300:23306</t>
  </si>
  <si>
    <t>204:169</t>
  </si>
  <si>
    <t>204:542</t>
  </si>
  <si>
    <t>204:141</t>
  </si>
  <si>
    <t>204:126</t>
  </si>
  <si>
    <t>111-22</t>
  </si>
  <si>
    <t>rtdc.l.rtdc.4041:itc</t>
  </si>
  <si>
    <t>802-22</t>
  </si>
  <si>
    <t>811-22</t>
  </si>
  <si>
    <t>170-22</t>
  </si>
  <si>
    <t>178-22</t>
  </si>
  <si>
    <t>210-22</t>
  </si>
  <si>
    <t>838-22</t>
  </si>
  <si>
    <t>220-22</t>
  </si>
  <si>
    <t>840-22</t>
  </si>
  <si>
    <t>230-22</t>
  </si>
  <si>
    <t>WEST</t>
  </si>
  <si>
    <t>BRYAN</t>
  </si>
  <si>
    <t>300-22</t>
  </si>
  <si>
    <t>101-22</t>
  </si>
  <si>
    <t>51-22</t>
  </si>
  <si>
    <t>SPECTOR</t>
  </si>
  <si>
    <t>52-22</t>
  </si>
  <si>
    <t>302-22</t>
  </si>
  <si>
    <t>103-22</t>
  </si>
  <si>
    <t>rtdc.l.rtdc.4019:itc</t>
  </si>
  <si>
    <t>304-22</t>
  </si>
  <si>
    <t>BONDS</t>
  </si>
  <si>
    <t>REYNALDO</t>
  </si>
  <si>
    <t>102-22</t>
  </si>
  <si>
    <t>306-22</t>
  </si>
  <si>
    <t>rtdc.l.rtdc.4020:itc</t>
  </si>
  <si>
    <t>105-22</t>
  </si>
  <si>
    <t>308-22</t>
  </si>
  <si>
    <t>107-22</t>
  </si>
  <si>
    <t>104-22</t>
  </si>
  <si>
    <t>109-22</t>
  </si>
  <si>
    <t>310-22</t>
  </si>
  <si>
    <t>MACDONALD</t>
  </si>
  <si>
    <t>THOMAS</t>
  </si>
  <si>
    <t>901-22</t>
  </si>
  <si>
    <t>106-22</t>
  </si>
  <si>
    <t>108-22</t>
  </si>
  <si>
    <t>800-22</t>
  </si>
  <si>
    <t>113-22</t>
  </si>
  <si>
    <t>312-22</t>
  </si>
  <si>
    <t>YANAI</t>
  </si>
  <si>
    <t>IAN</t>
  </si>
  <si>
    <t>115-22</t>
  </si>
  <si>
    <t>801-22</t>
  </si>
  <si>
    <t>110-22</t>
  </si>
  <si>
    <t>117-22</t>
  </si>
  <si>
    <t>112-22</t>
  </si>
  <si>
    <t>902-22</t>
  </si>
  <si>
    <t>119-22</t>
  </si>
  <si>
    <t>114-22</t>
  </si>
  <si>
    <t>803-22</t>
  </si>
  <si>
    <t>121-22</t>
  </si>
  <si>
    <t>77-22</t>
  </si>
  <si>
    <t>116-22</t>
  </si>
  <si>
    <t>123-22</t>
  </si>
  <si>
    <t>118-22</t>
  </si>
  <si>
    <t>804-22</t>
  </si>
  <si>
    <t>805-22</t>
  </si>
  <si>
    <t>125-22</t>
  </si>
  <si>
    <t>122-22</t>
  </si>
  <si>
    <t>120-22</t>
  </si>
  <si>
    <t>806-22</t>
  </si>
  <si>
    <t>127-22</t>
  </si>
  <si>
    <t>807-22</t>
  </si>
  <si>
    <t>129-22</t>
  </si>
  <si>
    <t>124-22</t>
  </si>
  <si>
    <t>131-22</t>
  </si>
  <si>
    <t>808-22</t>
  </si>
  <si>
    <t>809-22</t>
  </si>
  <si>
    <t>133-22</t>
  </si>
  <si>
    <t>126-22</t>
  </si>
  <si>
    <t>135-22</t>
  </si>
  <si>
    <t>128-22</t>
  </si>
  <si>
    <t>810-22</t>
  </si>
  <si>
    <t>130-22</t>
  </si>
  <si>
    <t>137-22</t>
  </si>
  <si>
    <t>132-22</t>
  </si>
  <si>
    <t>139-22</t>
  </si>
  <si>
    <t>903-22</t>
  </si>
  <si>
    <t>812-22</t>
  </si>
  <si>
    <t>136-22</t>
  </si>
  <si>
    <t>134-22</t>
  </si>
  <si>
    <t>141-22</t>
  </si>
  <si>
    <t>143-22</t>
  </si>
  <si>
    <t>138-22</t>
  </si>
  <si>
    <t>813-22</t>
  </si>
  <si>
    <t>140-22</t>
  </si>
  <si>
    <t>145-22</t>
  </si>
  <si>
    <t>147-22</t>
  </si>
  <si>
    <t>142-22</t>
  </si>
  <si>
    <t>814-22</t>
  </si>
  <si>
    <t>149-22</t>
  </si>
  <si>
    <t>144-22</t>
  </si>
  <si>
    <t>151-22</t>
  </si>
  <si>
    <t>146-22</t>
  </si>
  <si>
    <t>60-22</t>
  </si>
  <si>
    <t>LORI</t>
  </si>
  <si>
    <t>SANTOS</t>
  </si>
  <si>
    <t>815-22</t>
  </si>
  <si>
    <t>153-22</t>
  </si>
  <si>
    <t>150-22</t>
  </si>
  <si>
    <t>148-22</t>
  </si>
  <si>
    <t>155-22</t>
  </si>
  <si>
    <t>816-22</t>
  </si>
  <si>
    <t>157-22</t>
  </si>
  <si>
    <t>152-22</t>
  </si>
  <si>
    <t>159-22</t>
  </si>
  <si>
    <t>817-22</t>
  </si>
  <si>
    <t>154-22</t>
  </si>
  <si>
    <t>156-22</t>
  </si>
  <si>
    <t>161-22</t>
  </si>
  <si>
    <t>61-22</t>
  </si>
  <si>
    <t>LONG</t>
  </si>
  <si>
    <t>FULLER</t>
  </si>
  <si>
    <t>163-22</t>
  </si>
  <si>
    <t>NEWELL</t>
  </si>
  <si>
    <t>818-22</t>
  </si>
  <si>
    <t>158-22</t>
  </si>
  <si>
    <t>160-22</t>
  </si>
  <si>
    <t>165-22</t>
  </si>
  <si>
    <t>LEVERE</t>
  </si>
  <si>
    <t>CRAIG</t>
  </si>
  <si>
    <t>167-22</t>
  </si>
  <si>
    <t>162-22</t>
  </si>
  <si>
    <t>819-22</t>
  </si>
  <si>
    <t>164-22</t>
  </si>
  <si>
    <t>169-22</t>
  </si>
  <si>
    <t>171-22</t>
  </si>
  <si>
    <t>820-22</t>
  </si>
  <si>
    <t>166-22</t>
  </si>
  <si>
    <t>173-22</t>
  </si>
  <si>
    <t>168-22</t>
  </si>
  <si>
    <t>175-22</t>
  </si>
  <si>
    <t>821-22</t>
  </si>
  <si>
    <t>177-22</t>
  </si>
  <si>
    <t>172-22</t>
  </si>
  <si>
    <t>179-22</t>
  </si>
  <si>
    <t>822-22</t>
  </si>
  <si>
    <t>174-22</t>
  </si>
  <si>
    <t>181-22</t>
  </si>
  <si>
    <t>176-22</t>
  </si>
  <si>
    <t>183-22</t>
  </si>
  <si>
    <t>823-22</t>
  </si>
  <si>
    <t>185-22</t>
  </si>
  <si>
    <t>180-22</t>
  </si>
  <si>
    <t>187-22</t>
  </si>
  <si>
    <t>824-22</t>
  </si>
  <si>
    <t>189-22</t>
  </si>
  <si>
    <t>182-22</t>
  </si>
  <si>
    <t>184-22</t>
  </si>
  <si>
    <t>191-22</t>
  </si>
  <si>
    <t>825-22</t>
  </si>
  <si>
    <t>186-22</t>
  </si>
  <si>
    <t>193-22</t>
  </si>
  <si>
    <t>904-22</t>
  </si>
  <si>
    <t>188-22</t>
  </si>
  <si>
    <t>195-22</t>
  </si>
  <si>
    <t>190-22</t>
  </si>
  <si>
    <t>826-22</t>
  </si>
  <si>
    <t>827-22</t>
  </si>
  <si>
    <t>197-22</t>
  </si>
  <si>
    <t>192-22</t>
  </si>
  <si>
    <t>828-22</t>
  </si>
  <si>
    <t>199-22</t>
  </si>
  <si>
    <t>829-22</t>
  </si>
  <si>
    <t>194-22</t>
  </si>
  <si>
    <t>196-22</t>
  </si>
  <si>
    <t>201-22</t>
  </si>
  <si>
    <t>79-22</t>
  </si>
  <si>
    <t>203-22</t>
  </si>
  <si>
    <t>198-22</t>
  </si>
  <si>
    <t>831-22</t>
  </si>
  <si>
    <t>830-22</t>
  </si>
  <si>
    <t>205-22</t>
  </si>
  <si>
    <t>200-22</t>
  </si>
  <si>
    <t>207-22</t>
  </si>
  <si>
    <t>832-22</t>
  </si>
  <si>
    <t>833-22</t>
  </si>
  <si>
    <t>209-22</t>
  </si>
  <si>
    <t>202-22</t>
  </si>
  <si>
    <t>204-22</t>
  </si>
  <si>
    <t>211-22</t>
  </si>
  <si>
    <t>835-22</t>
  </si>
  <si>
    <t>834-22</t>
  </si>
  <si>
    <t>rtdc.l.rtdc.4045:itc</t>
  </si>
  <si>
    <t>80-22</t>
  </si>
  <si>
    <t>206-22</t>
  </si>
  <si>
    <t>213-22</t>
  </si>
  <si>
    <t>DAVIDSON</t>
  </si>
  <si>
    <t>208-22</t>
  </si>
  <si>
    <t>215-22</t>
  </si>
  <si>
    <t>ZEWDU</t>
  </si>
  <si>
    <t>DEREJE</t>
  </si>
  <si>
    <t>836-22</t>
  </si>
  <si>
    <t>837-22</t>
  </si>
  <si>
    <t>217-22</t>
  </si>
  <si>
    <t>212-22</t>
  </si>
  <si>
    <t>219-22</t>
  </si>
  <si>
    <t>214-22</t>
  </si>
  <si>
    <t>839-22</t>
  </si>
  <si>
    <t>301-22</t>
  </si>
  <si>
    <t>216-22</t>
  </si>
  <si>
    <t>906-22</t>
  </si>
  <si>
    <t>218-22</t>
  </si>
  <si>
    <t>SANTIZO</t>
  </si>
  <si>
    <t>D. EDY</t>
  </si>
  <si>
    <t>221-22</t>
  </si>
  <si>
    <t>303-22</t>
  </si>
  <si>
    <t>841-22</t>
  </si>
  <si>
    <t>223-22</t>
  </si>
  <si>
    <t>305-22</t>
  </si>
  <si>
    <t>222-22</t>
  </si>
  <si>
    <t>225-22</t>
  </si>
  <si>
    <t>843-22</t>
  </si>
  <si>
    <t>224-22</t>
  </si>
  <si>
    <t>227-22</t>
  </si>
  <si>
    <t>842-22</t>
  </si>
  <si>
    <t>226-22</t>
  </si>
  <si>
    <t>229-22</t>
  </si>
  <si>
    <t>845-22</t>
  </si>
  <si>
    <t>228-22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</si>
  <si>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</si>
  <si>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</si>
  <si>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</si>
  <si>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</si>
  <si>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</si>
  <si>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</si>
  <si>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</si>
  <si>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</si>
  <si>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</si>
  <si>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</si>
  <si>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</si>
  <si>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</si>
  <si>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</si>
  <si>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</si>
  <si>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</si>
  <si>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</si>
  <si>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rain</t>
  </si>
  <si>
    <t>204:752</t>
  </si>
  <si>
    <t>204:233282</t>
  </si>
  <si>
    <t>204:233298</t>
  </si>
  <si>
    <t>204:232981</t>
  </si>
  <si>
    <t>204:118</t>
  </si>
  <si>
    <t>204:495</t>
  </si>
  <si>
    <t>204:233284</t>
  </si>
  <si>
    <t>204:232974</t>
  </si>
  <si>
    <t>204:926</t>
  </si>
  <si>
    <t>204:233192</t>
  </si>
  <si>
    <t>204:232879</t>
  </si>
  <si>
    <t>204:460</t>
  </si>
  <si>
    <t>204:232998</t>
  </si>
  <si>
    <t>204:152</t>
  </si>
  <si>
    <t>204:233306</t>
  </si>
  <si>
    <t>204:233320</t>
  </si>
  <si>
    <t>204:233005</t>
  </si>
  <si>
    <t>204:491</t>
  </si>
  <si>
    <t>204:233334</t>
  </si>
  <si>
    <t>204:233008</t>
  </si>
  <si>
    <t>204:488</t>
  </si>
  <si>
    <t>204:539</t>
  </si>
  <si>
    <t>204:233210</t>
  </si>
  <si>
    <t>204:232889</t>
  </si>
  <si>
    <t>204:227</t>
  </si>
  <si>
    <t>204:498</t>
  </si>
  <si>
    <t>204:232980</t>
  </si>
  <si>
    <t>204:469</t>
  </si>
  <si>
    <t>204:233321</t>
  </si>
  <si>
    <t>204:233002</t>
  </si>
  <si>
    <t>204:136</t>
  </si>
  <si>
    <t>204:232967</t>
  </si>
  <si>
    <t>204:139</t>
  </si>
  <si>
    <t>204:232977</t>
  </si>
  <si>
    <t>204:489</t>
  </si>
  <si>
    <t>204:233218</t>
  </si>
  <si>
    <t>204:232904</t>
  </si>
  <si>
    <t>204:233006</t>
  </si>
  <si>
    <t>204:233312</t>
  </si>
  <si>
    <t>204:163</t>
  </si>
  <si>
    <t>204:232993</t>
  </si>
  <si>
    <t>204:233228</t>
  </si>
  <si>
    <t>204:531</t>
  </si>
  <si>
    <t>204:233226</t>
  </si>
  <si>
    <t>204:232915</t>
  </si>
  <si>
    <t>204:269</t>
  </si>
  <si>
    <t>204:233325</t>
  </si>
  <si>
    <t>204:233268</t>
  </si>
  <si>
    <t>204:232944</t>
  </si>
  <si>
    <t>204:233247</t>
  </si>
  <si>
    <t>204:232907</t>
  </si>
  <si>
    <t>204:233200</t>
  </si>
  <si>
    <t>204:232864</t>
  </si>
  <si>
    <t>204:566</t>
  </si>
  <si>
    <t>204:282</t>
  </si>
  <si>
    <t>204:577</t>
  </si>
  <si>
    <t>204:233245</t>
  </si>
  <si>
    <t>204:233178</t>
  </si>
  <si>
    <t>204:232848</t>
  </si>
  <si>
    <t>204:579</t>
  </si>
  <si>
    <t>204:453</t>
  </si>
  <si>
    <t>204:232913</t>
  </si>
  <si>
    <t>204:232934</t>
  </si>
  <si>
    <t>204:232955</t>
  </si>
  <si>
    <t>204:233191</t>
  </si>
  <si>
    <t>204:232875</t>
  </si>
  <si>
    <t>204:212</t>
  </si>
  <si>
    <t>204:473</t>
  </si>
  <si>
    <t>204:232982</t>
  </si>
  <si>
    <t>204:232940</t>
  </si>
  <si>
    <t>204:233251</t>
  </si>
  <si>
    <t>204:232932</t>
  </si>
  <si>
    <t>204:234</t>
  </si>
  <si>
    <t>204:524</t>
  </si>
  <si>
    <t>204:233190</t>
  </si>
  <si>
    <t>204:232861</t>
  </si>
  <si>
    <t>204:214</t>
  </si>
  <si>
    <t>204:233347</t>
  </si>
  <si>
    <t>204:233019</t>
  </si>
  <si>
    <t>204:546</t>
  </si>
  <si>
    <t>204:233287</t>
  </si>
  <si>
    <t>204:233186</t>
  </si>
  <si>
    <t>204:232946</t>
  </si>
  <si>
    <t>204:245</t>
  </si>
  <si>
    <t>204:232949</t>
  </si>
  <si>
    <t>204:233204</t>
  </si>
  <si>
    <t>204:233255</t>
  </si>
  <si>
    <t>204:267</t>
  </si>
  <si>
    <t>204:519</t>
  </si>
  <si>
    <t>204:233167</t>
  </si>
  <si>
    <t>204:232869</t>
  </si>
  <si>
    <t>204:560</t>
  </si>
  <si>
    <t>204:232942</t>
  </si>
  <si>
    <t>204:575</t>
  </si>
  <si>
    <t>204:249</t>
  </si>
  <si>
    <t>300:19628</t>
  </si>
  <si>
    <t>300:23310</t>
  </si>
  <si>
    <t>300:19814</t>
  </si>
  <si>
    <t>204:176</t>
  </si>
  <si>
    <t>300:23580</t>
  </si>
  <si>
    <t>300:23523</t>
  </si>
  <si>
    <t>204:528</t>
  </si>
  <si>
    <t>300:23341</t>
  </si>
  <si>
    <t>300:23601</t>
  </si>
  <si>
    <t>300:23735</t>
  </si>
  <si>
    <t>204:427</t>
  </si>
  <si>
    <t>204:3546</t>
  </si>
  <si>
    <t>204:3211</t>
  </si>
  <si>
    <t>204:1179</t>
  </si>
  <si>
    <t>300:31004</t>
  </si>
  <si>
    <t>300:21566</t>
  </si>
  <si>
    <t>300:29599</t>
  </si>
  <si>
    <t>300:31324</t>
  </si>
  <si>
    <t>300:21858</t>
  </si>
  <si>
    <t>300:30972</t>
  </si>
  <si>
    <t>300:21265</t>
  </si>
  <si>
    <t>300:21543</t>
  </si>
  <si>
    <t>300:21850</t>
  </si>
  <si>
    <t>300:23308</t>
  </si>
  <si>
    <t>300:30985</t>
  </si>
  <si>
    <t>300:21558</t>
  </si>
  <si>
    <t>300:21869</t>
  </si>
  <si>
    <t>300:30544</t>
  </si>
  <si>
    <t>300:31320</t>
  </si>
  <si>
    <t>300:30998</t>
  </si>
  <si>
    <t>300:21557</t>
  </si>
  <si>
    <t>204:1490</t>
  </si>
  <si>
    <t>204:3563</t>
  </si>
  <si>
    <t>204:3244</t>
  </si>
  <si>
    <t>204:1158</t>
  </si>
  <si>
    <t>300:23301</t>
  </si>
  <si>
    <t>204:1246</t>
  </si>
  <si>
    <t>300:23247</t>
  </si>
  <si>
    <t>204:1771</t>
  </si>
  <si>
    <t>300:58611</t>
  </si>
  <si>
    <t>204:108</t>
  </si>
  <si>
    <t>204:408</t>
  </si>
  <si>
    <t>300:58914</t>
  </si>
  <si>
    <t>300:58609</t>
  </si>
  <si>
    <t>204:84</t>
  </si>
  <si>
    <t>300:58944</t>
  </si>
  <si>
    <t>300:58628</t>
  </si>
  <si>
    <t>204:394</t>
  </si>
  <si>
    <t>300:58931</t>
  </si>
  <si>
    <t>300:58608</t>
  </si>
  <si>
    <t>204:106</t>
  </si>
  <si>
    <t>204:455</t>
  </si>
  <si>
    <t>204:2319</t>
  </si>
  <si>
    <t>300:58640</t>
  </si>
  <si>
    <t>300:58916</t>
  </si>
  <si>
    <t>300:58613</t>
  </si>
  <si>
    <t>204:430</t>
  </si>
  <si>
    <t>300:58941</t>
  </si>
  <si>
    <t>300:58621</t>
  </si>
  <si>
    <t>204:437</t>
  </si>
  <si>
    <t>204:129</t>
  </si>
  <si>
    <t>204:426</t>
  </si>
  <si>
    <t>300:58617</t>
  </si>
  <si>
    <t>204:148</t>
  </si>
  <si>
    <t>204:459</t>
  </si>
  <si>
    <t>204:151</t>
  </si>
  <si>
    <t>300:58935</t>
  </si>
  <si>
    <t>300:58660</t>
  </si>
  <si>
    <t>300:58948</t>
  </si>
  <si>
    <t>204:4447</t>
  </si>
  <si>
    <t>204:424</t>
  </si>
  <si>
    <t>300:58943</t>
  </si>
  <si>
    <t>300:58623</t>
  </si>
  <si>
    <t>300:58638</t>
  </si>
  <si>
    <t>204:135</t>
  </si>
  <si>
    <t>300:58952</t>
  </si>
  <si>
    <t>300:58681</t>
  </si>
  <si>
    <t>204:153</t>
  </si>
  <si>
    <t>300:29771</t>
  </si>
  <si>
    <t>300:58929</t>
  </si>
  <si>
    <t>300:23379</t>
  </si>
  <si>
    <t>204:379</t>
  </si>
  <si>
    <t>300:24207</t>
  </si>
  <si>
    <t>300:23453</t>
  </si>
  <si>
    <t>300:58624</t>
  </si>
  <si>
    <t>300:28763</t>
  </si>
  <si>
    <t>300:28788</t>
  </si>
  <si>
    <t>start /low /b %USERPROFILE%\Documents\GitHub\eaglep3\Utilities\DownloadLogsFromS3.py --loco 4016 --day 2017-12-22</t>
  </si>
  <si>
    <t>start /low /b %USERPROFILE%\Documents\GitHub\eaglep3\Utilities\DownloadLogsFromS3.py --loco 4015 --day 2017-12-22</t>
  </si>
  <si>
    <t>start /low /b %USERPROFILE%\Documents\GitHub\eaglep3\Utilities\DownloadLogsFromS3.py --loco 4007 --day 2017-12-22</t>
  </si>
  <si>
    <t>start /low /b %USERPROFILE%\Documents\GitHub\eaglep3\Utilities\DownloadLogsFromS3.py --loco 4009 --day 2017-12-23</t>
  </si>
  <si>
    <t>start /low /b %USERPROFILE%\Documents\GitHub\eaglep3\Utilities\DownloadLogsFromS3.py --loco 4005 --day 2017-12-23</t>
  </si>
  <si>
    <t>start /low /b %USERPROFILE%\Documents\GitHub\eaglep3\Utilities\DownloadLogsFromS3.py --loco 4005 --day 2017-12-22</t>
  </si>
  <si>
    <t>start /low /b %USERPROFILE%\Documents\GitHub\eaglep3\Utilities\DownloadLogsFromS3.py --loco 4030 --day 2017-12-22</t>
  </si>
  <si>
    <t>start /low /b %USERPROFILE%\Documents\GitHub\eaglep3\Utilities\DownloadLogsFromS3.py --loco 4015 --day 2017-12-23</t>
  </si>
  <si>
    <t>start /low /b %USERPROFILE%\Documents\GitHub\eaglep3\Utilities\DownloadLogsFromS3.py --loco 4041 --day 2017-12-22</t>
  </si>
  <si>
    <t>Poor GPS under Wewatta St. overpass</t>
  </si>
  <si>
    <t>Restricted aspect Pecos 4N</t>
  </si>
  <si>
    <t>Observed unhealthy xing at Chambers due to minor onboard en route failure</t>
  </si>
  <si>
    <t>Operator reported 2 overspeed enforcements, ATC/PTC speedo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</si>
</sst>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2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43091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COUNTIFS($N$13:$N$9571,"&gt;0",$AG$13:$AG$9571,I1)</f>
        <v>146</v>
      </c>
      <c r="K5" s="39"/>
      <c r="L5" s="171"/>
      <c r="M5" s="40">
        <f>AVERAGEIFS($N$13:$N$9571,$AG$13:$AG$9571,I1)</f>
        <v>36.758447489143059</v>
      </c>
      <c r="N5" s="38">
        <f t="array" ref="N5">MIN(IF($AG$13:$AG$9571=I1,IF(ISNUMBER($N$13:$N$9571),IF($N$13:$N$9571&gt;0,$N$13:$N$9571))))</f>
        <v>33.600000006845221</v>
      </c>
      <c r="O5" s="3">
        <f t="array" ref="O5">MAX(IF($AG$13:$AG$9571=I1,IF(ISNUMBER($N$13:$N$9571),IF($N$13:$N$9571&gt;0,$N$13:$N$9571))))</f>
        <v>40.566666667582467</v>
      </c>
      <c r="P5" s="2"/>
      <c r="R5" s="162" t="s">
        <v>17</v>
      </c>
      <c r="S5" s="206">
        <f>COUNTIFS($N$13:$N$9571,"&gt;0",$AG$13:$AG$9571,R1)</f>
        <v>47</v>
      </c>
      <c r="T5" s="171"/>
      <c r="U5" s="194"/>
      <c r="V5" s="210">
        <f>AVERAGEIFS($N$13:$N$9571,$AG$13:$AG$9571,R1)</f>
        <v>13.940425531299626</v>
      </c>
      <c r="W5" s="211">
        <f t="array" ref="W5">MIN(IF($AG$13:$AG$9571=R1,IF(ISNUMBER($N$13:$N$9571),IF($N$13:$N$9571&gt;0,$N$13:$N$9571))))</f>
        <v>11.133333327015862</v>
      </c>
      <c r="X5" s="199">
        <f t="array" ref="X5">MAX(IF($AG$13:$AG$9571=R1,IF(ISNUMBER($N$13:$N$9571),IF($N$13:$N$9571&gt;0,$N$13:$N$9571))))</f>
        <v>16.666666665114462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COUNT($O$13:$O$329)</f>
        <v>0</v>
      </c>
      <c r="K6" s="39"/>
      <c r="L6" s="171"/>
      <c r="M6" s="40">
        <f>IFERROR(AVERAGE($O$13:$O$329),0)</f>
        <v>0</v>
      </c>
      <c r="N6" s="38">
        <f>MIN($O$13:$O$329)</f>
        <v>0</v>
      </c>
      <c r="O6" s="3">
        <f>MAX($O$13:$O$329)</f>
        <v>0</v>
      </c>
      <c r="P6" s="2"/>
      <c r="R6" s="163" t="s">
        <v>43</v>
      </c>
      <c r="S6" s="206">
        <f>COUNT($O$13:$O$329)</f>
        <v>0</v>
      </c>
      <c r="T6" s="171"/>
      <c r="U6" s="194"/>
      <c r="V6" s="210">
        <f>IFERROR(AVERAGE($O$13:$O$329),0)</f>
        <v>0</v>
      </c>
      <c r="W6" s="211">
        <f>MIN($O$13:$O$329)</f>
        <v>0</v>
      </c>
      <c r="X6" s="199">
        <f>MAX($O$13:$O$329)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COUNTIFS($P$13:$P$9571,"&gt;0",$AG$13:$AG$9571,I1)</f>
        <v>0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COUNTIFS($P$13:$P$9571,"&gt;0",$AG$13:$AG$9571,R1)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171"/>
      <c r="M8" s="40">
        <f>M5</f>
        <v>36.758447489143059</v>
      </c>
      <c r="N8" s="38">
        <f>N5</f>
        <v>33.600000006845221</v>
      </c>
      <c r="O8" s="3">
        <f>O5</f>
        <v>40.566666667582467</v>
      </c>
      <c r="P8" s="2"/>
      <c r="R8" s="162" t="s">
        <v>16</v>
      </c>
      <c r="S8" s="206">
        <f>S5</f>
        <v>47</v>
      </c>
      <c r="T8" s="171"/>
      <c r="U8" s="194"/>
      <c r="V8" s="210">
        <f>V5</f>
        <v>13.940425531299626</v>
      </c>
      <c r="W8" s="211">
        <f>W5</f>
        <v>11.133333327015862</v>
      </c>
      <c r="X8" s="199">
        <f>X5</f>
        <v>16.666666665114462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0.95918367346938771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- 2017-12-22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668</v>
      </c>
      <c r="B13" s="7">
        <v>4030</v>
      </c>
      <c r="C13" s="21" t="s">
        <v>192</v>
      </c>
      <c r="D13" s="21" t="s">
        <v>893</v>
      </c>
      <c r="E13" s="13">
        <v>43091.125509259262</v>
      </c>
      <c r="F13" s="13">
        <v>43091.13585648148</v>
      </c>
      <c r="G13" s="7">
        <v>55</v>
      </c>
      <c r="H13" s="21" t="s">
        <v>894</v>
      </c>
      <c r="I13" s="13">
        <v>43091.159548611111</v>
      </c>
      <c r="J13" s="7">
        <v>0</v>
      </c>
      <c r="K13" s="89" t="str">
        <f t="shared" ref="K13:K76" si="0">IF(ISEVEN(B13),(B13-1)&amp;"/"&amp;B13,B13&amp;"/"&amp;(B13+1))</f>
        <v>4029/4030</v>
      </c>
      <c r="L13" s="184" t="str">
        <f>VLOOKUP(A13,'Trips&amp;Operators'!$C$1:$G$99911,5,FALSE)</f>
        <v>YORK EDGAR</v>
      </c>
      <c r="M13" s="6">
        <f t="shared" ref="M13:M76" si="1">I13-F13</f>
        <v>2.3692129630944692E-2</v>
      </c>
      <c r="N13" s="7">
        <f t="shared" ref="N13:N44" si="2">24*60*SUM($M13:$M13)</f>
        <v>34.116666668560356</v>
      </c>
      <c r="O13" s="7"/>
      <c r="P13" s="7"/>
      <c r="Q13" s="22"/>
      <c r="R13" s="166"/>
      <c r="S13" s="249">
        <f t="shared" ref="S13:S76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-22T02:00:44-0700',mode:absolute,to:'2017-12-22T04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7.5200000000000003E-2</v>
      </c>
      <c r="Z13" s="203">
        <f t="shared" ref="Z13:Z44" si="8">RIGHT(H13,LEN(H13)-4)/10000</f>
        <v>23.328199999999999</v>
      </c>
      <c r="AA13" s="203">
        <f t="shared" ref="AA13:AA76" si="9">ABS(Z13-Y13)</f>
        <v>23.253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"%USERPROFILE%\AppData\Local\Temp\OnboardLogs"\RTDC4030\2017-12-22 --exclude "*" --recursive --include "*20171222*" &amp; "%USERPROFILE%\Documents\GitHub\mrs-test-scripts\Headless Mode &amp; Sideloading\WalkAndUnGZ.bat" "%USERPROFILE%\AppData\Local\Temp\OnboardLogs"\RTDC4030\2017-12-22 &amp; 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/stypes="app*4030*20171222*"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4030 --swversion DE.1.0.9.0 --startMP 204:752 --initTime 2017-12-22T03:00:44 --startdatetime 2017-12-22T03:15:38 --delay 55 --endMP 204:233282 --enddatetime 2017-12-22T03:49:45 --enforcementcount 0 &gt;&gt;%USERPROFILE%\Documents\GitHub\eaglep3-reporting\EC\2017-12-22-refined-times.txt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{"issue":{"subject":"","project_id":79,"tracker_id":40,"status_id":1,"priority_id":2,"assigned_to_id":338,"start_date":"2017-12-22","description":"","custom_fields":[{"id":1,"name":"Subdivision","value":"EC"},{"id":4,"name":"Milepost","value":"23.3282"},{"id":17,"name":"Train ID","value":"101-22"},{"id":16,"name":"Locomotive ID","value":"4030"},{"id":130,"name":"Impact","value":""},{"id":150,"name":"Time of Event (Mountain Time)","value":"03:49:45"},{"id":151,"name":"Denver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4030 --day 2017-12-22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10:49:45"},{"id":29,"name":"Sharepoint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-22T02:00:44-0700',mode:absolute,to:'2017-12-22T04:49:45-0700'))&amp;_a=(columns:!('Message%20ID',Summary),filters:!(),index:'emp_*',interval:auto,query:(query_string:(analyze_wildcard:!t,query:'%22rtdc.l.rtdc.4030%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678</v>
      </c>
      <c r="B14" s="225">
        <v>4029</v>
      </c>
      <c r="C14" s="227" t="s">
        <v>192</v>
      </c>
      <c r="D14" s="227" t="s">
        <v>532</v>
      </c>
      <c r="E14" s="226">
        <v>43091.16070601852</v>
      </c>
      <c r="F14" s="226">
        <v>43091.175185185188</v>
      </c>
      <c r="G14" s="225">
        <v>52</v>
      </c>
      <c r="H14" s="227" t="s">
        <v>652</v>
      </c>
      <c r="I14" s="226">
        <v>43091.200590277775</v>
      </c>
      <c r="J14" s="225">
        <v>0</v>
      </c>
      <c r="K14" s="237" t="str">
        <f t="shared" si="0"/>
        <v>4029/4030</v>
      </c>
      <c r="L14" s="245" t="str">
        <f>VLOOKUP(A14,'Trips&amp;Operators'!$C$1:$G$99911,5,FALSE)</f>
        <v>YORK EDGAR</v>
      </c>
      <c r="M14" s="224">
        <f t="shared" si="1"/>
        <v>2.5405092586879618E-2</v>
      </c>
      <c r="N14" s="225">
        <f t="shared" si="2"/>
        <v>36.583333325106651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-22T02:51:25-0700',mode:absolute,to:'2017-12-22T05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23.297799999999999</v>
      </c>
      <c r="Z14" s="247">
        <f t="shared" si="8"/>
        <v>1.41E-2</v>
      </c>
      <c r="AA14" s="247">
        <f t="shared" si="9"/>
        <v>23.2837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s3://rtdc.mdm.uploadarchive.raw/RTDC4029/ "%USERPROFILE%\AppData\Local\Temp\OnboardLogs"\RTDC4029\2017-12-22 --exclude "*" --recursive --include "*20171222*" &amp; "%USERPROFILE%\Documents\GitHub\mrs-test-scripts\Headless Mode &amp; Sideloading\WalkAndUnGZ.bat" "%USERPROFILE%\AppData\Local\Temp\OnboardLogs"\RTDC4029\2017-12-22 &amp; 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</v>
      </c>
      <c r="AF14" s="234" t="str">
        <f t="shared" si="12"/>
        <v>"C:\Program Files (x86)\AstroGrep\AstroGrep.exe" /e /r /s /spath="%USERPROFILE%\AppData\Local\Temp\OnboardLogs" /stypes="app*4029*20171222*"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4029 --swversion DE.1.0.9.0 --startMP 204:232978 --initTime 2017-12-22T03:51:25 --startdatetime 2017-12-22T04:12:16 --delay 52 --endMP 204:141 --enddatetime 2017-12-22T04:48:51 --enforcementcount 0 &gt;&gt;%USERPROFILE%\Documents\GitHub\eaglep3-reporting\EC\2017-12-22-refined-times.txt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{"issue":{"subject":"","project_id":79,"tracker_id":40,"status_id":1,"priority_id":2,"assigned_to_id":338,"start_date":"2017-12-22","description":"","custom_fields":[{"id":1,"name":"Subdivision","value":"EC"},{"id":4,"name":"Milepost","value":"0.0141"},{"id":17,"name":"Train ID","value":"102-22"},{"id":16,"name":"Locomotive ID","value":"4029"},{"id":130,"name":"Impact","value":""},{"id":150,"name":"Time of Event (Mountain Time)","value":"04:48:51"},{"id":151,"name":"Denver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4029 --day 2017-12-22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-22T02:51:25-0700',mode:absolute,to:'2017-12-22T05:48:51-0700'))&amp;_a=(columns:!('Message%20ID',Summary),filters:!(),index:'emp_*',interval:auto,query:(query_string:(analyze_wildcard:!t,query:'%22rtdc.l.rtdc.4029%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673</v>
      </c>
      <c r="B15" s="225">
        <v>4044</v>
      </c>
      <c r="C15" s="227" t="s">
        <v>192</v>
      </c>
      <c r="D15" s="227" t="s">
        <v>566</v>
      </c>
      <c r="E15" s="226">
        <v>43091.153263888889</v>
      </c>
      <c r="F15" s="226">
        <v>43091.156712962962</v>
      </c>
      <c r="G15" s="225">
        <v>67</v>
      </c>
      <c r="H15" s="227" t="s">
        <v>604</v>
      </c>
      <c r="I15" s="226">
        <v>43091.181168981479</v>
      </c>
      <c r="J15" s="225">
        <v>0</v>
      </c>
      <c r="K15" s="237" t="str">
        <f t="shared" si="0"/>
        <v>4043/4044</v>
      </c>
      <c r="L15" s="245" t="str">
        <f>VLOOKUP(A15,'Trips&amp;Operators'!$C$1:$G$99911,5,FALSE)</f>
        <v>MAELZER KURT</v>
      </c>
      <c r="M15" s="224">
        <f t="shared" si="1"/>
        <v>2.4456018516502809E-2</v>
      </c>
      <c r="N15" s="225">
        <f t="shared" si="2"/>
        <v>35.216666663764045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-22T02:40:42-0700',mode:absolute,to:'2017-12-22T05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4.7800000000000002E-2</v>
      </c>
      <c r="Z15" s="247">
        <f t="shared" si="8"/>
        <v>23.330300000000001</v>
      </c>
      <c r="AA15" s="247">
        <f t="shared" si="9"/>
        <v>23.282500000000002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5" s="234" t="str">
        <f t="shared" si="12"/>
        <v>"C:\Program Files (x86)\AstroGrep\AstroGrep.exe" /e /r /s /spath="%USERPROFILE%\AppData\Local\Temp\OnboardLogs" /stypes="app*4044*20171222*"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103-22 --locoid 4044 --swversion DE.1.0.9.0 --startMP 204:478 --initTime 2017-12-22T03:40:42 --startdatetime 2017-12-22T03:45:40 --delay 67 --endMP 204:233303 --enddatetime 2017-12-22T04:20:53 --enforcementcount 0 &gt;&gt;%USERPROFILE%\Documents\GitHub\eaglep3-reporting\EC\2017-12-22-refined-times.txt</v>
      </c>
      <c r="AI1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{"issue":{"subject":"","project_id":79,"tracker_id":40,"status_id":1,"priority_id":2,"assigned_to_id":338,"start_date":"2017-12-22","description":"","custom_fields":[{"id":1,"name":"Subdivision","value":"EC"},{"id":4,"name":"Milepost","value":"23.3303"},{"id":17,"name":"Train ID","value":"103-22"},{"id":16,"name":"Locomotive ID","value":"4044"},{"id":130,"name":"Impact","value":""},{"id":150,"name":"Time of Event (Mountain Time)","value":"04:20:53"},{"id":151,"name":"Denver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4044 --day 2017-12-22</v>
      </c>
      <c r="AN1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-22T02:40:42-0700',mode:absolute,to:'2017-12-22T05:20:53-0700'))&amp;_a=(columns:!('Message%20ID',Summary),filters:!(),index:'emp_*',interval:auto,query:(query_string:(analyze_wildcard:!t,query:'%22rtdc.l.rtdc.4044%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684</v>
      </c>
      <c r="B16" s="225">
        <v>4043</v>
      </c>
      <c r="C16" s="227" t="s">
        <v>192</v>
      </c>
      <c r="D16" s="227" t="s">
        <v>550</v>
      </c>
      <c r="E16" s="226">
        <v>43091.185798611114</v>
      </c>
      <c r="F16" s="226">
        <v>43091.19604166667</v>
      </c>
      <c r="G16" s="225">
        <v>47</v>
      </c>
      <c r="H16" s="227" t="s">
        <v>577</v>
      </c>
      <c r="I16" s="226">
        <v>43091.222997685189</v>
      </c>
      <c r="J16" s="225">
        <v>0</v>
      </c>
      <c r="K16" s="237" t="str">
        <f t="shared" si="0"/>
        <v>4043/4044</v>
      </c>
      <c r="L16" s="245" t="str">
        <f>VLOOKUP(A16,'Trips&amp;Operators'!$C$1:$G$99911,5,FALSE)</f>
        <v>MAELZER KURT</v>
      </c>
      <c r="M16" s="224">
        <f t="shared" si="1"/>
        <v>2.6956018518831115E-2</v>
      </c>
      <c r="N16" s="225">
        <f t="shared" si="2"/>
        <v>38.816666667116806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-22T03:27:33-0700',mode:absolute,to:'2017-12-22T06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23.297499999999999</v>
      </c>
      <c r="Z16" s="247">
        <f t="shared" si="8"/>
        <v>1.6E-2</v>
      </c>
      <c r="AA16" s="247">
        <f t="shared" si="9"/>
        <v>23.281500000000001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16" s="234" t="str">
        <f t="shared" si="12"/>
        <v>"C:\Program Files (x86)\AstroGrep\AstroGrep.exe" /e /r /s /spath="%USERPROFILE%\AppData\Local\Temp\OnboardLogs" /stypes="app*4043*20171222*"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104-22 --locoid 4043 --swversion DE.1.0.9.0 --startMP 204:232975 --initTime 2017-12-22T04:27:33 --startdatetime 2017-12-22T04:42:18 --delay 47 --endMP 204:160 --enddatetime 2017-12-22T05:21:07 --enforcementcount 0 &gt;&gt;%USERPROFILE%\Documents\GitHub\eaglep3-reporting\EC\2017-12-22-refined-times.txt</v>
      </c>
      <c r="AI1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{"issue":{"subject":"","project_id":79,"tracker_id":40,"status_id":1,"priority_id":2,"assigned_to_id":338,"start_date":"2017-12-22","description":"","custom_fields":[{"id":1,"name":"Subdivision","value":"EC"},{"id":4,"name":"Milepost","value":"0.016"},{"id":17,"name":"Train ID","value":"104-22"},{"id":16,"name":"Locomotive ID","value":"4043"},{"id":130,"name":"Impact","value":""},{"id":150,"name":"Time of Event (Mountain Time)","value":"05:21:07"},{"id":151,"name":"Denver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4043 --day 2017-12-22</v>
      </c>
      <c r="AN1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-22T03:27:33-0700',mode:absolute,to:'2017-12-22T06:21:07-0700'))&amp;_a=(columns:!('Message%20ID',Summary),filters:!(),index:'emp_*',interval:auto,query:(query_string:(analyze_wildcard:!t,query:'%22rtdc.l.rtdc.4043%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681</v>
      </c>
      <c r="B17" s="225">
        <v>4020</v>
      </c>
      <c r="C17" s="227" t="s">
        <v>192</v>
      </c>
      <c r="D17" s="227" t="s">
        <v>603</v>
      </c>
      <c r="E17" s="226">
        <v>43091.168842592589</v>
      </c>
      <c r="F17" s="226">
        <v>43091.177442129629</v>
      </c>
      <c r="G17" s="225">
        <v>66</v>
      </c>
      <c r="H17" s="227" t="s">
        <v>894</v>
      </c>
      <c r="I17" s="226">
        <v>43091.202685185184</v>
      </c>
      <c r="J17" s="225">
        <v>0</v>
      </c>
      <c r="K17" s="237" t="str">
        <f t="shared" si="0"/>
        <v>4019/4020</v>
      </c>
      <c r="L17" s="245" t="str">
        <f>VLOOKUP(A17,'Trips&amp;Operators'!$C$1:$G$99911,5,FALSE)</f>
        <v>BONDS REYNALDO</v>
      </c>
      <c r="M17" s="224">
        <f t="shared" si="1"/>
        <v>2.5243055555620231E-2</v>
      </c>
      <c r="N17" s="225">
        <f t="shared" si="2"/>
        <v>36.350000000093132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-22T03:03:08-0700',mode:absolute,to:'2017-12-22T05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4.9700000000000001E-2</v>
      </c>
      <c r="Z17" s="247">
        <f t="shared" si="8"/>
        <v>23.328199999999999</v>
      </c>
      <c r="AA17" s="247">
        <f t="shared" si="9"/>
        <v>23.278499999999998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7" s="234" t="str">
        <f t="shared" si="12"/>
        <v>"C:\Program Files (x86)\AstroGrep\AstroGrep.exe" /e /r /s /spath="%USERPROFILE%\AppData\Local\Temp\OnboardLogs" /stypes="app*4020*20171222*"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105-22 --locoid 4020 --swversion DE.1.0.9.0 --startMP 204:497 --initTime 2017-12-22T04:03:08 --startdatetime 2017-12-22T04:15:31 --delay 66 --endMP 204:233282 --enddatetime 2017-12-22T04:51:52 --enforcementcount 0 &gt;&gt;%USERPROFILE%\Documents\GitHub\eaglep3-reporting\EC\2017-12-22-refined-times.txt</v>
      </c>
      <c r="AI1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{"issue":{"subject":"","project_id":79,"tracker_id":40,"status_id":1,"priority_id":2,"assigned_to_id":338,"start_date":"2017-12-22","description":"","custom_fields":[{"id":1,"name":"Subdivision","value":"EC"},{"id":4,"name":"Milepost","value":"23.3282"},{"id":17,"name":"Train ID","value":"105-22"},{"id":16,"name":"Locomotive ID","value":"4020"},{"id":130,"name":"Impact","value":""},{"id":150,"name":"Time of Event (Mountain Time)","value":"04:51:52"},{"id":151,"name":"Denver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4020 --day 2017-12-22</v>
      </c>
      <c r="AN1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-22T03:03:08-0700',mode:absolute,to:'2017-12-22T05:51:52-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690</v>
      </c>
      <c r="B18" s="225">
        <v>4019</v>
      </c>
      <c r="C18" s="227" t="s">
        <v>192</v>
      </c>
      <c r="D18" s="227" t="s">
        <v>580</v>
      </c>
      <c r="E18" s="226">
        <v>43091.2109375</v>
      </c>
      <c r="F18" s="226">
        <v>43091.216840277775</v>
      </c>
      <c r="G18" s="225">
        <v>55</v>
      </c>
      <c r="H18" s="227" t="s">
        <v>521</v>
      </c>
      <c r="I18" s="226">
        <v>43091.243148148147</v>
      </c>
      <c r="J18" s="225">
        <v>0</v>
      </c>
      <c r="K18" s="237" t="str">
        <f t="shared" si="0"/>
        <v>4019/4020</v>
      </c>
      <c r="L18" s="245" t="str">
        <f>VLOOKUP(A18,'Trips&amp;Operators'!$C$1:$G$99911,5,FALSE)</f>
        <v>BONDS REYNALDO</v>
      </c>
      <c r="M18" s="224">
        <f t="shared" si="1"/>
        <v>2.6307870371965691E-2</v>
      </c>
      <c r="N18" s="225">
        <f t="shared" si="2"/>
        <v>37.883333335630596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-22T04:03:45-0700',mode:absolute,to:'2017-12-22T06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23.2959</v>
      </c>
      <c r="Z18" s="247">
        <f t="shared" si="8"/>
        <v>2.01E-2</v>
      </c>
      <c r="AA18" s="247">
        <f t="shared" si="9"/>
        <v>23.2758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8" s="234" t="str">
        <f t="shared" si="12"/>
        <v>"C:\Program Files (x86)\AstroGrep\AstroGrep.exe" /e /r /s /spath="%USERPROFILE%\AppData\Local\Temp\OnboardLogs" /stypes="app*4019*20171222*"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106-22 --locoid 4019 --swversion DE.1.0.9.0 --startMP 204:232959 --initTime 2017-12-22T05:03:45 --startdatetime 2017-12-22T05:12:15 --delay 55 --endMP 204:201 --enddatetime 2017-12-22T05:50:08 --enforcementcount 0 &gt;&gt;%USERPROFILE%\Documents\GitHub\eaglep3-reporting\EC\2017-12-22-refined-times.txt</v>
      </c>
      <c r="AI1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{"issue":{"subject":"","project_id":79,"tracker_id":40,"status_id":1,"priority_id":2,"assigned_to_id":338,"start_date":"2017-12-22","description":"","custom_fields":[{"id":1,"name":"Subdivision","value":"EC"},{"id":4,"name":"Milepost","value":"0.0201"},{"id":17,"name":"Train ID","value":"106-22"},{"id":16,"name":"Locomotive ID","value":"4019"},{"id":130,"name":"Impact","value":""},{"id":150,"name":"Time of Event (Mountain Time)","value":"05:50:08"},{"id":151,"name":"Denver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4019 --day 2017-12-22</v>
      </c>
      <c r="AN1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-22T04:03:45-0700',mode:absolute,to:'2017-12-22T06:50:08-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683</v>
      </c>
      <c r="B19" s="225">
        <v>4006</v>
      </c>
      <c r="C19" s="227" t="s">
        <v>192</v>
      </c>
      <c r="D19" s="227" t="s">
        <v>507</v>
      </c>
      <c r="E19" s="226">
        <v>43091.182314814818</v>
      </c>
      <c r="F19" s="226">
        <v>43091.187777777777</v>
      </c>
      <c r="G19" s="225">
        <v>101</v>
      </c>
      <c r="H19" s="227" t="s">
        <v>895</v>
      </c>
      <c r="I19" s="226">
        <v>43091.212291666663</v>
      </c>
      <c r="J19" s="225">
        <v>0</v>
      </c>
      <c r="K19" s="237" t="str">
        <f t="shared" si="0"/>
        <v>4005/4006</v>
      </c>
      <c r="L19" s="245" t="str">
        <f>VLOOKUP(A19,'Trips&amp;Operators'!$C$1:$G$99911,5,FALSE)</f>
        <v>GEBRETEKLE DAGNEW</v>
      </c>
      <c r="M19" s="224">
        <f t="shared" si="1"/>
        <v>2.4513888885849155E-2</v>
      </c>
      <c r="N19" s="225">
        <f t="shared" si="2"/>
        <v>35.299999995622784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-22T03:22:32-0700',mode:absolute,to:'2017-12-22T06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4.4200000000000003E-2</v>
      </c>
      <c r="Z19" s="247">
        <f t="shared" si="8"/>
        <v>23.329799999999999</v>
      </c>
      <c r="AA19" s="247">
        <f t="shared" si="9"/>
        <v>23.285599999999999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9" s="234" t="str">
        <f t="shared" si="12"/>
        <v>"C:\Program Files (x86)\AstroGrep\AstroGrep.exe" /e /r /s /spath="%USERPROFILE%\AppData\Local\Temp\OnboardLogs" /stypes="app*4006*20171222*"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107-22 --locoid 4006 --swversion DE.1.0.9.0 --startMP 204:442 --initTime 2017-12-22T04:22:32 --startdatetime 2017-12-22T04:30:24 --delay 101 --endMP 204:233298 --enddatetime 2017-12-22T05:05:42 --enforcementcount 0 &gt;&gt;%USERPROFILE%\Documents\GitHub\eaglep3-reporting\EC\2017-12-22-refined-times.txt</v>
      </c>
      <c r="AI1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{"issue":{"subject":"","project_id":79,"tracker_id":40,"status_id":1,"priority_id":2,"assigned_to_id":338,"start_date":"2017-12-22","description":"","custom_fields":[{"id":1,"name":"Subdivision","value":"EC"},{"id":4,"name":"Milepost","value":"23.3298"},{"id":17,"name":"Train ID","value":"107-22"},{"id":16,"name":"Locomotive ID","value":"4006"},{"id":130,"name":"Impact","value":""},{"id":150,"name":"Time of Event (Mountain Time)","value":"05:05:42"},{"id":151,"name":"Denver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4006 --day 2017-12-22</v>
      </c>
      <c r="AN1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-22T03:22:32-0700',mode:absolute,to:'2017-12-22T06:05:42-0700'))&amp;_a=(columns:!('Message%20ID',Summary),filters:!(),index:'emp_*',interval:auto,query:(query_string:(analyze_wildcard:!t,query:'%22rtdc.l.rtdc.4006%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691</v>
      </c>
      <c r="B20" s="225">
        <v>4005</v>
      </c>
      <c r="C20" s="227" t="s">
        <v>192</v>
      </c>
      <c r="D20" s="227" t="s">
        <v>896</v>
      </c>
      <c r="E20" s="226">
        <v>43091.21371527778</v>
      </c>
      <c r="F20" s="226">
        <v>43091.227268518516</v>
      </c>
      <c r="G20" s="225">
        <v>48</v>
      </c>
      <c r="H20" s="227" t="s">
        <v>897</v>
      </c>
      <c r="I20" s="226">
        <v>43091.253819444442</v>
      </c>
      <c r="J20" s="225">
        <v>0</v>
      </c>
      <c r="K20" s="237" t="str">
        <f t="shared" si="0"/>
        <v>4005/4006</v>
      </c>
      <c r="L20" s="245" t="str">
        <f>VLOOKUP(A20,'Trips&amp;Operators'!$C$1:$G$99911,5,FALSE)</f>
        <v>GEBRETEKLE DAGNEW</v>
      </c>
      <c r="M20" s="224">
        <f t="shared" si="1"/>
        <v>2.6550925926130731E-2</v>
      </c>
      <c r="N20" s="225">
        <f t="shared" si="2"/>
        <v>38.233333333628252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-22T04:07:45-0700',mode:absolute,to:'2017-12-22T07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23.298100000000002</v>
      </c>
      <c r="Z20" s="247">
        <f t="shared" si="8"/>
        <v>1.18E-2</v>
      </c>
      <c r="AA20" s="247">
        <f t="shared" si="9"/>
        <v>23.286300000000001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20" s="234" t="str">
        <f t="shared" si="12"/>
        <v>"C:\Program Files (x86)\AstroGrep\AstroGrep.exe" /e /r /s /spath="%USERPROFILE%\AppData\Local\Temp\OnboardLogs" /stypes="app*4005*20171222*"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108-22 --locoid 4005 --swversion DE.1.0.9.0 --startMP 204:232981 --initTime 2017-12-22T05:07:45 --startdatetime 2017-12-22T05:27:16 --delay 48 --endMP 204:118 --enddatetime 2017-12-22T06:05:30 --enforcementcount 0 &gt;&gt;%USERPROFILE%\Documents\GitHub\eaglep3-reporting\EC\2017-12-22-refined-times.txt</v>
      </c>
      <c r="AI2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{"issue":{"subject":"","project_id":79,"tracker_id":40,"status_id":1,"priority_id":2,"assigned_to_id":338,"start_date":"2017-12-22","description":"","custom_fields":[{"id":1,"name":"Subdivision","value":"EC"},{"id":4,"name":"Milepost","value":"0.0118"},{"id":17,"name":"Train ID","value":"108-22"},{"id":16,"name":"Locomotive ID","value":"4005"},{"id":130,"name":"Impact","value":""},{"id":150,"name":"Time of Event (Mountain Time)","value":"06:05:30"},{"id":151,"name":"Denver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4005 --day 2017-12-22</v>
      </c>
      <c r="AN2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-22T04:07:45-0700',mode:absolute,to:'2017-12-22T07:05:30-0700'))&amp;_a=(columns:!('Message%20ID',Summary),filters:!(),index:'emp_*',interval:auto,query:(query_string:(analyze_wildcard:!t,query:'%22rtdc.l.rtdc.4005%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685</v>
      </c>
      <c r="B21" s="225">
        <v>4062</v>
      </c>
      <c r="C21" s="227" t="s">
        <v>192</v>
      </c>
      <c r="D21" s="227" t="s">
        <v>898</v>
      </c>
      <c r="E21" s="226">
        <v>43091.192731481482</v>
      </c>
      <c r="F21" s="226">
        <v>43091.198217592595</v>
      </c>
      <c r="G21" s="225">
        <v>93</v>
      </c>
      <c r="H21" s="227" t="s">
        <v>899</v>
      </c>
      <c r="I21" s="226">
        <v>43091.22314814815</v>
      </c>
      <c r="J21" s="225">
        <v>0</v>
      </c>
      <c r="K21" s="237" t="str">
        <f t="shared" si="0"/>
        <v>4061/4062</v>
      </c>
      <c r="L21" s="245" t="str">
        <f>VLOOKUP(A21,'Trips&amp;Operators'!$C$1:$G$99911,5,FALSE)</f>
        <v>LOPES KIMBERLY</v>
      </c>
      <c r="M21" s="224">
        <f t="shared" si="1"/>
        <v>2.4930555555329192E-2</v>
      </c>
      <c r="N21" s="225">
        <f t="shared" si="2"/>
        <v>35.899999999674037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-22T03:37:32-0700',mode:absolute,to:'2017-12-22T06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4.9500000000000002E-2</v>
      </c>
      <c r="Z21" s="247">
        <f t="shared" si="8"/>
        <v>23.328399999999998</v>
      </c>
      <c r="AA21" s="247">
        <f t="shared" si="9"/>
        <v>23.2789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21" s="234" t="str">
        <f t="shared" si="12"/>
        <v>"C:\Program Files (x86)\AstroGrep\AstroGrep.exe" /e /r /s /spath="%USERPROFILE%\AppData\Local\Temp\OnboardLogs" /stypes="app*4062*20171222*"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109-22 --locoid 4062 --swversion DE.1.0.9.0 --startMP 204:495 --initTime 2017-12-22T04:37:32 --startdatetime 2017-12-22T04:45:26 --delay 93 --endMP 204:233284 --enddatetime 2017-12-22T05:21:20 --enforcementcount 0 &gt;&gt;%USERPROFILE%\Documents\GitHub\eaglep3-reporting\EC\2017-12-22-refined-times.txt</v>
      </c>
      <c r="AI2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{"issue":{"subject":"","project_id":79,"tracker_id":40,"status_id":1,"priority_id":2,"assigned_to_id":338,"start_date":"2017-12-22","description":"","custom_fields":[{"id":1,"name":"Subdivision","value":"EC"},{"id":4,"name":"Milepost","value":"23.3284"},{"id":17,"name":"Train ID","value":"109-22"},{"id":16,"name":"Locomotive ID","value":"4062"},{"id":130,"name":"Impact","value":""},{"id":150,"name":"Time of Event (Mountain Time)","value":"05:21:20"},{"id":151,"name":"Denver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4062 --day 2017-12-22</v>
      </c>
      <c r="AN2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-22T03:37:32-0700',mode:absolute,to:'2017-12-22T06:21:20-0700'))&amp;_a=(columns:!('Message%20ID',Summary),filters:!(),index:'emp_*',interval:auto,query:(query_string:(analyze_wildcard:!t,query:'%22rtdc.l.rtdc.4062%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699</v>
      </c>
      <c r="B22" s="225">
        <v>4061</v>
      </c>
      <c r="C22" s="227" t="s">
        <v>192</v>
      </c>
      <c r="D22" s="227" t="s">
        <v>605</v>
      </c>
      <c r="E22" s="226">
        <v>43091.234548611108</v>
      </c>
      <c r="F22" s="226">
        <v>43091.237685185188</v>
      </c>
      <c r="G22" s="225">
        <v>87</v>
      </c>
      <c r="H22" s="227" t="s">
        <v>521</v>
      </c>
      <c r="I22" s="226">
        <v>43091.263807870368</v>
      </c>
      <c r="J22" s="225">
        <v>0</v>
      </c>
      <c r="K22" s="237" t="str">
        <f t="shared" si="0"/>
        <v>4061/4062</v>
      </c>
      <c r="L22" s="245" t="str">
        <f>VLOOKUP(A22,'Trips&amp;Operators'!$C$1:$G$99911,5,FALSE)</f>
        <v>LOPES KIMBERLY</v>
      </c>
      <c r="M22" s="224">
        <f t="shared" si="1"/>
        <v>2.6122685179871041E-2</v>
      </c>
      <c r="N22" s="225">
        <f t="shared" si="2"/>
        <v>37.6166666590143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-22T04:37:45-0700',mode:absolute,to:'2017-12-22T07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23.2973</v>
      </c>
      <c r="Z22" s="247">
        <f t="shared" si="8"/>
        <v>2.01E-2</v>
      </c>
      <c r="AA22" s="247">
        <f t="shared" si="9"/>
        <v>23.277200000000001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22" s="234" t="str">
        <f t="shared" si="12"/>
        <v>"C:\Program Files (x86)\AstroGrep\AstroGrep.exe" /e /r /s /spath="%USERPROFILE%\AppData\Local\Temp\OnboardLogs" /stypes="app*4061*20171222*"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110-22 --locoid 4061 --swversion DE.1.0.9.0 --startMP 204:232973 --initTime 2017-12-22T05:37:45 --startdatetime 2017-12-22T05:42:16 --delay 87 --endMP 204:201 --enddatetime 2017-12-22T06:19:53 --enforcementcount 0 &gt;&gt;%USERPROFILE%\Documents\GitHub\eaglep3-reporting\EC\2017-12-22-refined-times.txt</v>
      </c>
      <c r="AI2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{"issue":{"subject":"","project_id":79,"tracker_id":40,"status_id":1,"priority_id":2,"assigned_to_id":338,"start_date":"2017-12-22","description":"","custom_fields":[{"id":1,"name":"Subdivision","value":"EC"},{"id":4,"name":"Milepost","value":"0.0201"},{"id":17,"name":"Train ID","value":"110-22"},{"id":16,"name":"Locomotive ID","value":"4061"},{"id":130,"name":"Impact","value":""},{"id":150,"name":"Time of Event (Mountain Time)","value":"06:19:53"},{"id":151,"name":"Denver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4061 --day 2017-12-22</v>
      </c>
      <c r="AN2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-22T04:37:45-0700',mode:absolute,to:'2017-12-22T07:19:53-0700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654</v>
      </c>
      <c r="B23" s="225">
        <v>4030</v>
      </c>
      <c r="C23" s="227" t="s">
        <v>192</v>
      </c>
      <c r="D23" s="227" t="s">
        <v>507</v>
      </c>
      <c r="E23" s="226">
        <v>43091.201909722222</v>
      </c>
      <c r="F23" s="226">
        <v>43091.208715277775</v>
      </c>
      <c r="G23" s="225">
        <v>45</v>
      </c>
      <c r="H23" s="227" t="s">
        <v>560</v>
      </c>
      <c r="I23" s="226">
        <v>43091.235208333332</v>
      </c>
      <c r="J23" s="225">
        <v>0</v>
      </c>
      <c r="K23" s="237" t="str">
        <f t="shared" si="0"/>
        <v>4029/4030</v>
      </c>
      <c r="L23" s="245" t="str">
        <f>VLOOKUP(A23,'Trips&amp;Operators'!$C$1:$G$99911,5,FALSE)</f>
        <v>YORK EDGAR</v>
      </c>
      <c r="M23" s="224">
        <f t="shared" si="1"/>
        <v>2.6493055556784384E-2</v>
      </c>
      <c r="N23" s="225">
        <f t="shared" si="2"/>
        <v>38.150000001769513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-22T03:50:45-0700',mode:absolute,to:'2017-12-22T06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4.4200000000000003E-2</v>
      </c>
      <c r="Z23" s="247">
        <f t="shared" si="8"/>
        <v>23.329499999999999</v>
      </c>
      <c r="AA23" s="247">
        <f t="shared" si="9"/>
        <v>23.285299999999999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s3://rtdc.mdm.uploadarchive.raw/RTDC4030/ "%USERPROFILE%\AppData\Local\Temp\OnboardLogs"\RTDC4030\2017-12-22 --exclude "*" --recursive --include "*20171222*" &amp; "%USERPROFILE%\Documents\GitHub\mrs-test-scripts\Headless Mode &amp; Sideloading\WalkAndUnGZ.bat" "%USERPROFILE%\AppData\Local\Temp\OnboardLogs"\RTDC4030\2017-12-22 &amp; 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</v>
      </c>
      <c r="AF23" s="234" t="str">
        <f t="shared" si="12"/>
        <v>"C:\Program Files (x86)\AstroGrep\AstroGrep.exe" /e /r /s /spath="%USERPROFILE%\AppData\Local\Temp\OnboardLogs" /stypes="app*4030*20171222*"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111-22 --locoid 4030 --swversion DE.1.0.9.0 --startMP 204:442 --initTime 2017-12-22T04:50:45 --startdatetime 2017-12-22T05:00:33 --delay 45 --endMP 204:233295 --enddatetime 2017-12-22T05:38:42 --enforcementcount 0 &gt;&gt;%USERPROFILE%\Documents\GitHub\eaglep3-reporting\EC\2017-12-22-refined-times.txt</v>
      </c>
      <c r="AI2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{"issue":{"subject":"","project_id":79,"tracker_id":40,"status_id":1,"priority_id":2,"assigned_to_id":338,"start_date":"2017-12-22","description":"","custom_fields":[{"id":1,"name":"Subdivision","value":"EC"},{"id":4,"name":"Milepost","value":"23.3295"},{"id":17,"name":"Train ID","value":"111-22"},{"id":16,"name":"Locomotive ID","value":"4030"},{"id":130,"name":"Impact","value":""},{"id":150,"name":"Time of Event (Mountain Time)","value":"05:38:42"},{"id":151,"name":"Denver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4030 --day 2017-12-22</v>
      </c>
      <c r="AN2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-22T03:50:45-0700',mode:absolute,to:'2017-12-22T06:38:42-0700'))&amp;_a=(columns:!('Message%20ID',Summary),filters:!(),index:'emp_*',interval:auto,query:(query_string:(analyze_wildcard:!t,query:'%22rtdc.l.rtdc.4030%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701</v>
      </c>
      <c r="B24" s="225">
        <v>4029</v>
      </c>
      <c r="C24" s="227" t="s">
        <v>192</v>
      </c>
      <c r="D24" s="227" t="s">
        <v>900</v>
      </c>
      <c r="E24" s="226">
        <v>43091.236400462964</v>
      </c>
      <c r="F24" s="226">
        <v>43091.248229166667</v>
      </c>
      <c r="G24" s="225">
        <v>45</v>
      </c>
      <c r="H24" s="227" t="s">
        <v>901</v>
      </c>
      <c r="I24" s="226">
        <v>43091.275567129633</v>
      </c>
      <c r="J24" s="225">
        <v>0</v>
      </c>
      <c r="K24" s="237" t="str">
        <f t="shared" si="0"/>
        <v>4029/4030</v>
      </c>
      <c r="L24" s="245" t="str">
        <f>VLOOKUP(A24,'Trips&amp;Operators'!$C$1:$G$99911,5,FALSE)</f>
        <v>YORK EDGAR</v>
      </c>
      <c r="M24" s="224">
        <f t="shared" si="1"/>
        <v>2.7337962965248153E-2</v>
      </c>
      <c r="N24" s="225">
        <f t="shared" si="2"/>
        <v>39.36666666995734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-22T04:40:25-0700',mode:absolute,to:'2017-12-22T07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23.2974</v>
      </c>
      <c r="Z24" s="247">
        <f t="shared" si="8"/>
        <v>9.2600000000000002E-2</v>
      </c>
      <c r="AA24" s="247">
        <f t="shared" si="9"/>
        <v>23.204799999999999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s3://rtdc.mdm.uploadarchive.raw/RTDC4029/ "%USERPROFILE%\AppData\Local\Temp\OnboardLogs"\RTDC4029\2017-12-22 --exclude "*" --recursive --include "*20171222*" &amp; "%USERPROFILE%\Documents\GitHub\mrs-test-scripts\Headless Mode &amp; Sideloading\WalkAndUnGZ.bat" "%USERPROFILE%\AppData\Local\Temp\OnboardLogs"\RTDC4029\2017-12-22 &amp; aws s3 cp s3://rtdc.mdm.uploadarchive.raw/RTDC4029/ "%USERPROFILE%\AppData\Local\Temp\OnboardLogs"\RTDC4029\2017-12-23 --exclude "*" --recursive --include "*20171223*" &amp; "%USERPROFILE%\Documents\GitHub\mrs-test-scripts\Headless Mode &amp; Sideloading\WalkAndUnGZ.bat" "%USERPROFILE%\AppData\Local\Temp\OnboardLogs"\RTDC4029\2017-12-23</v>
      </c>
      <c r="AF24" s="234" t="str">
        <f t="shared" si="12"/>
        <v>"C:\Program Files (x86)\AstroGrep\AstroGrep.exe" /e /r /s /spath="%USERPROFILE%\AppData\Local\Temp\OnboardLogs" /stypes="app*4029*20171222*"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112-22 --locoid 4029 --swversion DE.1.0.9.0 --startMP 204:232974 --initTime 2017-12-22T05:40:25 --startdatetime 2017-12-22T05:57:27 --delay 45 --endMP 204:926 --enddatetime 2017-12-22T06:36:49 --enforcementcount 0 &gt;&gt;%USERPROFILE%\Documents\GitHub\eaglep3-reporting\EC\2017-12-22-refined-times.txt</v>
      </c>
      <c r="AI2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{"issue":{"subject":"","project_id":79,"tracker_id":40,"status_id":1,"priority_id":2,"assigned_to_id":338,"start_date":"2017-12-22","description":"","custom_fields":[{"id":1,"name":"Subdivision","value":"EC"},{"id":4,"name":"Milepost","value":"0.0926"},{"id":17,"name":"Train ID","value":"112-22"},{"id":16,"name":"Locomotive ID","value":"4029"},{"id":130,"name":"Impact","value":""},{"id":150,"name":"Time of Event (Mountain Time)","value":"06:36:49"},{"id":151,"name":"Denver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4029 --day 2017-12-22</v>
      </c>
      <c r="AN2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-22T04:40:25-0700',mode:absolute,to:'2017-12-22T07:36:49-0700'))&amp;_a=(columns:!('Message%20ID',Summary),filters:!(),index:'emp_*',interval:auto,query:(query_string:(analyze_wildcard:!t,query:'%22rtdc.l.rtdc.4029%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693</v>
      </c>
      <c r="B25" s="225">
        <v>4008</v>
      </c>
      <c r="C25" s="227" t="s">
        <v>192</v>
      </c>
      <c r="D25" s="227" t="s">
        <v>631</v>
      </c>
      <c r="E25" s="226">
        <v>43091.21806712963</v>
      </c>
      <c r="F25" s="226">
        <v>43091.219328703701</v>
      </c>
      <c r="G25" s="225">
        <v>56</v>
      </c>
      <c r="H25" s="227" t="s">
        <v>902</v>
      </c>
      <c r="I25" s="226">
        <v>43091.244027777779</v>
      </c>
      <c r="J25" s="225">
        <v>0</v>
      </c>
      <c r="K25" s="237" t="str">
        <f t="shared" si="0"/>
        <v>4007/4008</v>
      </c>
      <c r="L25" s="245" t="str">
        <f>VLOOKUP(A25,'Trips&amp;Operators'!$C$1:$G$99911,5,FALSE)</f>
        <v>MACDONALD THOMAS</v>
      </c>
      <c r="M25" s="224">
        <f t="shared" si="1"/>
        <v>2.4699074077943806E-2</v>
      </c>
      <c r="N25" s="225">
        <f t="shared" si="2"/>
        <v>35.56666667223908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-22T04:14:01-0700',mode:absolute,to:'2017-12-22T06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5.5500000000000001E-2</v>
      </c>
      <c r="Z25" s="247">
        <f t="shared" si="8"/>
        <v>23.319199999999999</v>
      </c>
      <c r="AA25" s="247">
        <f t="shared" si="9"/>
        <v>23.2637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25" s="234" t="str">
        <f t="shared" si="12"/>
        <v>"C:\Program Files (x86)\AstroGrep\AstroGrep.exe" /e /r /s /spath="%USERPROFILE%\AppData\Local\Temp\OnboardLogs" /stypes="app*4008*20171222*"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113-22 --locoid 4008 --swversion DE.1.0.9.0 --startMP 204:555 --initTime 2017-12-22T05:14:01 --startdatetime 2017-12-22T05:15:50 --delay 56 --endMP 204:233192 --enddatetime 2017-12-22T05:51:24 --enforcementcount 0 &gt;&gt;%USERPROFILE%\Documents\GitHub\eaglep3-reporting\EC\2017-12-22-refined-times.txt</v>
      </c>
      <c r="AI2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{"issue":{"subject":"","project_id":79,"tracker_id":40,"status_id":1,"priority_id":2,"assigned_to_id":338,"start_date":"2017-12-22","description":"","custom_fields":[{"id":1,"name":"Subdivision","value":"EC"},{"id":4,"name":"Milepost","value":"23.3192"},{"id":17,"name":"Train ID","value":"113-22"},{"id":16,"name":"Locomotive ID","value":"4008"},{"id":130,"name":"Impact","value":""},{"id":150,"name":"Time of Event (Mountain Time)","value":"05:51:24"},{"id":151,"name":"Denver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4008 --day 2017-12-22</v>
      </c>
      <c r="AN2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-22T04:14:01-0700',mode:absolute,to:'2017-12-22T06:51:24-0700'))&amp;_a=(columns:!('Message%20ID',Summary),filters:!(),index:'emp_*',interval:auto,query:(query_string:(analyze_wildcard:!t,query:'%22rtdc.l.rtdc.4008%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704</v>
      </c>
      <c r="B26" s="225">
        <v>4007</v>
      </c>
      <c r="C26" s="227" t="s">
        <v>192</v>
      </c>
      <c r="D26" s="227" t="s">
        <v>903</v>
      </c>
      <c r="E26" s="226">
        <v>43091.250833333332</v>
      </c>
      <c r="F26" s="226">
        <v>43091.258888888886</v>
      </c>
      <c r="G26" s="225">
        <v>641</v>
      </c>
      <c r="H26" s="227" t="s">
        <v>533</v>
      </c>
      <c r="I26" s="226">
        <v>43091.28633101852</v>
      </c>
      <c r="J26" s="225">
        <v>0</v>
      </c>
      <c r="K26" s="237" t="str">
        <f t="shared" si="0"/>
        <v>4007/4008</v>
      </c>
      <c r="L26" s="245" t="str">
        <f>VLOOKUP(A26,'Trips&amp;Operators'!$C$1:$G$99911,5,FALSE)</f>
        <v>MACDONALD THOMAS</v>
      </c>
      <c r="M26" s="224">
        <f t="shared" si="1"/>
        <v>2.7442129634437151E-2</v>
      </c>
      <c r="N26" s="225">
        <f t="shared" si="2"/>
        <v>39.516666673589498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-22T05:01:12-0700',mode:absolute,to:'2017-12-22T07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23.2879</v>
      </c>
      <c r="Z26" s="247">
        <f t="shared" si="8"/>
        <v>2.1999999999999999E-2</v>
      </c>
      <c r="AA26" s="247">
        <f t="shared" si="9"/>
        <v>23.265900000000002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26" s="234" t="str">
        <f t="shared" si="12"/>
        <v>"C:\Program Files (x86)\AstroGrep\AstroGrep.exe" /e /r /s /spath="%USERPROFILE%\AppData\Local\Temp\OnboardLogs" /stypes="app*4007*20171222*"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114-22 --locoid 4007 --swversion DE.1.0.9.0 --startMP 204:232879 --initTime 2017-12-22T06:01:12 --startdatetime 2017-12-22T06:12:48 --delay 641 --endMP 204:220 --enddatetime 2017-12-22T06:52:19 --enforcementcount 0 &gt;&gt;%USERPROFILE%\Documents\GitHub\eaglep3-reporting\EC\2017-12-22-refined-times.txt</v>
      </c>
      <c r="AI2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{"issue":{"subject":"","project_id":79,"tracker_id":40,"status_id":1,"priority_id":2,"assigned_to_id":338,"start_date":"2017-12-22","description":"","custom_fields":[{"id":1,"name":"Subdivision","value":"EC"},{"id":4,"name":"Milepost","value":"0.022"},{"id":17,"name":"Train ID","value":"114-22"},{"id":16,"name":"Locomotive ID","value":"4007"},{"id":130,"name":"Impact","value":""},{"id":150,"name":"Time of Event (Mountain Time)","value":"06:52:19"},{"id":151,"name":"Denver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4007 --day 2017-12-22</v>
      </c>
      <c r="AN2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-22T05:01:12-0700',mode:absolute,to:'2017-12-22T07:52:19-0700'))&amp;_a=(columns:!('Message%20ID',Summary),filters:!(),index:'emp_*',interval:auto,query:(query_string:(analyze_wildcard:!t,query:'%22rtdc.l.rtdc.4007%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697</v>
      </c>
      <c r="B27" s="225">
        <v>4044</v>
      </c>
      <c r="C27" s="227" t="s">
        <v>192</v>
      </c>
      <c r="D27" s="227" t="s">
        <v>904</v>
      </c>
      <c r="E27" s="226">
        <v>43091.226863425924</v>
      </c>
      <c r="F27" s="226">
        <v>43091.230185185188</v>
      </c>
      <c r="G27" s="225">
        <v>44</v>
      </c>
      <c r="H27" s="227" t="s">
        <v>637</v>
      </c>
      <c r="I27" s="226">
        <v>43091.255428240744</v>
      </c>
      <c r="J27" s="225">
        <v>0</v>
      </c>
      <c r="K27" s="237" t="str">
        <f t="shared" si="0"/>
        <v>4043/4044</v>
      </c>
      <c r="L27" s="245" t="str">
        <f>VLOOKUP(A27,'Trips&amp;Operators'!$C$1:$G$99911,5,FALSE)</f>
        <v>MAELZER KURT</v>
      </c>
      <c r="M27" s="224">
        <f t="shared" si="1"/>
        <v>2.5243055555620231E-2</v>
      </c>
      <c r="N27" s="225">
        <f t="shared" si="2"/>
        <v>36.350000000093132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-22T04:26:41-0700',mode:absolute,to:'2017-12-22T07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4.5999999999999999E-2</v>
      </c>
      <c r="Z27" s="247">
        <f t="shared" si="8"/>
        <v>23.33</v>
      </c>
      <c r="AA27" s="247">
        <f t="shared" si="9"/>
        <v>23.283999999999999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27" s="234" t="str">
        <f t="shared" si="12"/>
        <v>"C:\Program Files (x86)\AstroGrep\AstroGrep.exe" /e /r /s /spath="%USERPROFILE%\AppData\Local\Temp\OnboardLogs" /stypes="app*4044*20171222*"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115-22 --locoid 4044 --swversion DE.1.0.9.0 --startMP 204:460 --initTime 2017-12-22T05:26:41 --startdatetime 2017-12-22T05:31:28 --delay 44 --endMP 204:233300 --enddatetime 2017-12-22T06:07:49 --enforcementcount 0 &gt;&gt;%USERPROFILE%\Documents\GitHub\eaglep3-reporting\EC\2017-12-22-refined-times.txt</v>
      </c>
      <c r="AI2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{"issue":{"subject":"","project_id":79,"tracker_id":40,"status_id":1,"priority_id":2,"assigned_to_id":338,"start_date":"2017-12-22","description":"","custom_fields":[{"id":1,"name":"Subdivision","value":"EC"},{"id":4,"name":"Milepost","value":"23.33"},{"id":17,"name":"Train ID","value":"115-22"},{"id":16,"name":"Locomotive ID","value":"4044"},{"id":130,"name":"Impact","value":""},{"id":150,"name":"Time of Event (Mountain Time)","value":"06:07:49"},{"id":151,"name":"Denver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4044 --day 2017-12-22</v>
      </c>
      <c r="AN2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-22T04:26:41-0700',mode:absolute,to:'2017-12-22T07:07:49-0700'))&amp;_a=(columns:!('Message%20ID',Summary),filters:!(),index:'emp_*',interval:auto,query:(query_string:(analyze_wildcard:!t,query:'%22rtdc.l.rtdc.4044%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708</v>
      </c>
      <c r="B28" s="225">
        <v>4043</v>
      </c>
      <c r="C28" s="227" t="s">
        <v>192</v>
      </c>
      <c r="D28" s="227" t="s">
        <v>596</v>
      </c>
      <c r="E28" s="226">
        <v>43091.263321759259</v>
      </c>
      <c r="F28" s="226">
        <v>43091.268993055557</v>
      </c>
      <c r="G28" s="225">
        <v>45</v>
      </c>
      <c r="H28" s="227" t="s">
        <v>609</v>
      </c>
      <c r="I28" s="226">
        <v>43091.295532407406</v>
      </c>
      <c r="J28" s="225">
        <v>0</v>
      </c>
      <c r="K28" s="237" t="str">
        <f t="shared" si="0"/>
        <v>4043/4044</v>
      </c>
      <c r="L28" s="245" t="str">
        <f>VLOOKUP(A28,'Trips&amp;Operators'!$C$1:$G$99911,5,FALSE)</f>
        <v>MAELZER KURT</v>
      </c>
      <c r="M28" s="224">
        <f t="shared" si="1"/>
        <v>2.6539351849351078E-2</v>
      </c>
      <c r="N28" s="225">
        <f t="shared" si="2"/>
        <v>38.216666663065553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-22T05:19:11-0700',mode:absolute,to:'2017-12-22T08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23.299600000000002</v>
      </c>
      <c r="Z28" s="247">
        <f t="shared" si="8"/>
        <v>0.02</v>
      </c>
      <c r="AA28" s="247">
        <f t="shared" si="9"/>
        <v>23.279600000000002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28" s="234" t="str">
        <f t="shared" si="12"/>
        <v>"C:\Program Files (x86)\AstroGrep\AstroGrep.exe" /e /r /s /spath="%USERPROFILE%\AppData\Local\Temp\OnboardLogs" /stypes="app*4043*20171222*"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116-22 --locoid 4043 --swversion DE.1.0.9.0 --startMP 204:232996 --initTime 2017-12-22T06:19:11 --startdatetime 2017-12-22T06:27:21 --delay 45 --endMP 204:200 --enddatetime 2017-12-22T07:05:34 --enforcementcount 0 &gt;&gt;%USERPROFILE%\Documents\GitHub\eaglep3-reporting\EC\2017-12-22-refined-times.txt</v>
      </c>
      <c r="AI2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{"issue":{"subject":"","project_id":79,"tracker_id":40,"status_id":1,"priority_id":2,"assigned_to_id":338,"start_date":"2017-12-22","description":"","custom_fields":[{"id":1,"name":"Subdivision","value":"EC"},{"id":4,"name":"Milepost","value":"0.02"},{"id":17,"name":"Train ID","value":"116-22"},{"id":16,"name":"Locomotive ID","value":"4043"},{"id":130,"name":"Impact","value":""},{"id":150,"name":"Time of Event (Mountain Time)","value":"07:05:34"},{"id":151,"name":"Denver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4043 --day 2017-12-22</v>
      </c>
      <c r="AN2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-22T05:19:11-0700',mode:absolute,to:'2017-12-22T08:05:34-0700'))&amp;_a=(columns:!('Message%20ID',Summary),filters:!(),index:'emp_*',interval:auto,query:(query_string:(analyze_wildcard:!t,query:'%22rtdc.l.rtdc.4043%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700</v>
      </c>
      <c r="B29" s="225">
        <v>4040</v>
      </c>
      <c r="C29" s="227" t="s">
        <v>192</v>
      </c>
      <c r="D29" s="227" t="s">
        <v>534</v>
      </c>
      <c r="E29" s="226">
        <v>43091.235844907409</v>
      </c>
      <c r="F29" s="226">
        <v>43091.240243055552</v>
      </c>
      <c r="G29" s="225">
        <v>62</v>
      </c>
      <c r="H29" s="227" t="s">
        <v>595</v>
      </c>
      <c r="I29" s="226">
        <v>43091.264618055553</v>
      </c>
      <c r="J29" s="225">
        <v>0</v>
      </c>
      <c r="K29" s="237" t="str">
        <f t="shared" si="0"/>
        <v>4039/4040</v>
      </c>
      <c r="L29" s="245" t="str">
        <f>VLOOKUP(A29,'Trips&amp;Operators'!$C$1:$G$99911,5,FALSE)</f>
        <v>YANAI IAN</v>
      </c>
      <c r="M29" s="224">
        <f t="shared" si="1"/>
        <v>2.4375000000873115E-2</v>
      </c>
      <c r="N29" s="225">
        <f t="shared" si="2"/>
        <v>35.100000001257285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-22T04:39:37-0700',mode:absolute,to:'2017-12-22T07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4.6600000000000003E-2</v>
      </c>
      <c r="Z29" s="247">
        <f t="shared" si="8"/>
        <v>23.332999999999998</v>
      </c>
      <c r="AA29" s="247">
        <f t="shared" si="9"/>
        <v>23.286399999999997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29" s="234" t="str">
        <f t="shared" si="12"/>
        <v>"C:\Program Files (x86)\AstroGrep\AstroGrep.exe" /e /r /s /spath="%USERPROFILE%\AppData\Local\Temp\OnboardLogs" /stypes="app*4040*20171222*"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117-22 --locoid 4040 --swversion DE.1.0.9.0 --startMP 204:466 --initTime 2017-12-22T05:39:37 --startdatetime 2017-12-22T05:45:57 --delay 62 --endMP 204:233330 --enddatetime 2017-12-22T06:21:03 --enforcementcount 0 &gt;&gt;%USERPROFILE%\Documents\GitHub\eaglep3-reporting\EC\2017-12-22-refined-times.txt</v>
      </c>
      <c r="AI2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{"issue":{"subject":"","project_id":79,"tracker_id":40,"status_id":1,"priority_id":2,"assigned_to_id":338,"start_date":"2017-12-22","description":"","custom_fields":[{"id":1,"name":"Subdivision","value":"EC"},{"id":4,"name":"Milepost","value":"23.333"},{"id":17,"name":"Train ID","value":"117-22"},{"id":16,"name":"Locomotive ID","value":"4040"},{"id":130,"name":"Impact","value":""},{"id":150,"name":"Time of Event (Mountain Time)","value":"06:21:03"},{"id":151,"name":"Denver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4040 --day 2017-12-22</v>
      </c>
      <c r="AN2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-22T04:39:37-0700',mode:absolute,to:'2017-12-22T07:21:03-0700'))&amp;_a=(columns:!('Message%20ID',Summary),filters:!(),index:'emp_*',interval:auto,query:(query_string:(analyze_wildcard:!t,query:'%22rtdc.l.rtdc.4040%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710</v>
      </c>
      <c r="B30" s="225">
        <v>4039</v>
      </c>
      <c r="C30" s="227" t="s">
        <v>192</v>
      </c>
      <c r="D30" s="227" t="s">
        <v>905</v>
      </c>
      <c r="E30" s="226">
        <v>43091.265856481485</v>
      </c>
      <c r="F30" s="226">
        <v>43091.279328703706</v>
      </c>
      <c r="G30" s="225">
        <v>66</v>
      </c>
      <c r="H30" s="227" t="s">
        <v>906</v>
      </c>
      <c r="I30" s="226">
        <v>43091.305277777778</v>
      </c>
      <c r="J30" s="225">
        <v>0</v>
      </c>
      <c r="K30" s="237" t="str">
        <f t="shared" si="0"/>
        <v>4039/4040</v>
      </c>
      <c r="L30" s="245" t="str">
        <f>VLOOKUP(A30,'Trips&amp;Operators'!$C$1:$G$99911,5,FALSE)</f>
        <v>YANAI IAN</v>
      </c>
      <c r="M30" s="224">
        <f t="shared" si="1"/>
        <v>2.5949074071832001E-2</v>
      </c>
      <c r="N30" s="225">
        <f t="shared" si="2"/>
        <v>37.366666663438082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-22T05:22:50-0700',mode:absolute,to:'2017-12-22T08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23.299800000000001</v>
      </c>
      <c r="Z30" s="247">
        <f t="shared" si="8"/>
        <v>1.52E-2</v>
      </c>
      <c r="AA30" s="247">
        <f t="shared" si="9"/>
        <v>23.284600000000001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30" s="234" t="str">
        <f t="shared" si="12"/>
        <v>"C:\Program Files (x86)\AstroGrep\AstroGrep.exe" /e /r /s /spath="%USERPROFILE%\AppData\Local\Temp\OnboardLogs" /stypes="app*4039*20171222*"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118-22 --locoid 4039 --swversion DE.1.0.9.0 --startMP 204:232998 --initTime 2017-12-22T06:22:50 --startdatetime 2017-12-22T06:42:14 --delay 66 --endMP 204:152 --enddatetime 2017-12-22T07:19:36 --enforcementcount 0 &gt;&gt;%USERPROFILE%\Documents\GitHub\eaglep3-reporting\EC\2017-12-22-refined-times.txt</v>
      </c>
      <c r="AI3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{"issue":{"subject":"","project_id":79,"tracker_id":40,"status_id":1,"priority_id":2,"assigned_to_id":338,"start_date":"2017-12-22","description":"","custom_fields":[{"id":1,"name":"Subdivision","value":"EC"},{"id":4,"name":"Milepost","value":"0.0152"},{"id":17,"name":"Train ID","value":"118-22"},{"id":16,"name":"Locomotive ID","value":"4039"},{"id":130,"name":"Impact","value":""},{"id":150,"name":"Time of Event (Mountain Time)","value":"07:19:36"},{"id":151,"name":"Denver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4039 --day 2017-12-22</v>
      </c>
      <c r="AN3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-22T05:22:50-0700',mode:absolute,to:'2017-12-22T08:19:36-0700'))&amp;_a=(columns:!('Message%20ID',Summary),filters:!(),index:'emp_*',interval:auto,query:(query_string:(analyze_wildcard:!t,query:'%22rtdc.l.rtdc.4039%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703</v>
      </c>
      <c r="B31" s="225">
        <v>4020</v>
      </c>
      <c r="C31" s="227" t="s">
        <v>192</v>
      </c>
      <c r="D31" s="227" t="s">
        <v>478</v>
      </c>
      <c r="E31" s="226">
        <v>43091.244803240741</v>
      </c>
      <c r="F31" s="226">
        <v>43091.250335648147</v>
      </c>
      <c r="G31" s="225">
        <v>53</v>
      </c>
      <c r="H31" s="227" t="s">
        <v>907</v>
      </c>
      <c r="I31" s="226">
        <v>43091.275763888887</v>
      </c>
      <c r="J31" s="225">
        <v>0</v>
      </c>
      <c r="K31" s="237" t="str">
        <f t="shared" si="0"/>
        <v>4019/4020</v>
      </c>
      <c r="L31" s="245" t="str">
        <f>VLOOKUP(A31,'Trips&amp;Operators'!$C$1:$G$99911,5,FALSE)</f>
        <v>BONDS REYNALDO</v>
      </c>
      <c r="M31" s="224">
        <f t="shared" si="1"/>
        <v>2.5428240740438923E-2</v>
      </c>
      <c r="N31" s="225">
        <f t="shared" si="2"/>
        <v>36.616666666232049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-22T04:52:31-0700',mode:absolute,to:'2017-12-22T07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5.0900000000000001E-2</v>
      </c>
      <c r="Z31" s="247">
        <f t="shared" si="8"/>
        <v>23.3306</v>
      </c>
      <c r="AA31" s="247">
        <f t="shared" si="9"/>
        <v>23.279700000000002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31" s="234" t="str">
        <f t="shared" si="12"/>
        <v>"C:\Program Files (x86)\AstroGrep\AstroGrep.exe" /e /r /s /spath="%USERPROFILE%\AppData\Local\Temp\OnboardLogs" /stypes="app*4020*20171222*"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119-22 --locoid 4020 --swversion DE.1.0.9.0 --startMP 204:509 --initTime 2017-12-22T05:52:31 --startdatetime 2017-12-22T06:00:29 --delay 53 --endMP 204:233306 --enddatetime 2017-12-22T06:37:06 --enforcementcount 0 &gt;&gt;%USERPROFILE%\Documents\GitHub\eaglep3-reporting\EC\2017-12-22-refined-times.txt</v>
      </c>
      <c r="AI3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{"issue":{"subject":"","project_id":79,"tracker_id":40,"status_id":1,"priority_id":2,"assigned_to_id":338,"start_date":"2017-12-22","description":"","custom_fields":[{"id":1,"name":"Subdivision","value":"EC"},{"id":4,"name":"Milepost","value":"23.3306"},{"id":17,"name":"Train ID","value":"119-22"},{"id":16,"name":"Locomotive ID","value":"4020"},{"id":130,"name":"Impact","value":""},{"id":150,"name":"Time of Event (Mountain Time)","value":"06:37:06"},{"id":151,"name":"Denver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4020 --day 2017-12-22</v>
      </c>
      <c r="AN3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-22T04:52:31-0700',mode:absolute,to:'2017-12-22T07:37:06-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715</v>
      </c>
      <c r="B32" s="225">
        <v>4019</v>
      </c>
      <c r="C32" s="227" t="s">
        <v>192</v>
      </c>
      <c r="D32" s="227" t="s">
        <v>607</v>
      </c>
      <c r="E32" s="226">
        <v>43091.287233796298</v>
      </c>
      <c r="F32" s="226">
        <v>43091.289756944447</v>
      </c>
      <c r="G32" s="225">
        <v>57</v>
      </c>
      <c r="H32" s="227" t="s">
        <v>468</v>
      </c>
      <c r="I32" s="226">
        <v>43091.315532407411</v>
      </c>
      <c r="J32" s="225">
        <v>0</v>
      </c>
      <c r="K32" s="237" t="str">
        <f t="shared" si="0"/>
        <v>4019/4020</v>
      </c>
      <c r="L32" s="245" t="str">
        <f>VLOOKUP(A32,'Trips&amp;Operators'!$C$1:$G$99911,5,FALSE)</f>
        <v>BONDS REYNALDO</v>
      </c>
      <c r="M32" s="224">
        <f t="shared" si="1"/>
        <v>2.5775462963792961E-2</v>
      </c>
      <c r="N32" s="225">
        <f t="shared" si="2"/>
        <v>37.116666667861864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-22T05:53:37-0700',mode:absolute,to:'2017-12-22T08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23.2989</v>
      </c>
      <c r="Z32" s="247">
        <f t="shared" si="8"/>
        <v>1.9599999999999999E-2</v>
      </c>
      <c r="AA32" s="247">
        <f t="shared" si="9"/>
        <v>23.279299999999999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32" s="234" t="str">
        <f t="shared" si="12"/>
        <v>"C:\Program Files (x86)\AstroGrep\AstroGrep.exe" /e /r /s /spath="%USERPROFILE%\AppData\Local\Temp\OnboardLogs" /stypes="app*4019*20171222*"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120-22 --locoid 4019 --swversion DE.1.0.9.0 --startMP 204:232989 --initTime 2017-12-22T06:53:37 --startdatetime 2017-12-22T06:57:15 --delay 57 --endMP 204:196 --enddatetime 2017-12-22T07:34:22 --enforcementcount 0 &gt;&gt;%USERPROFILE%\Documents\GitHub\eaglep3-reporting\EC\2017-12-22-refined-times.txt</v>
      </c>
      <c r="AI3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{"issue":{"subject":"","project_id":79,"tracker_id":40,"status_id":1,"priority_id":2,"assigned_to_id":338,"start_date":"2017-12-22","description":"","custom_fields":[{"id":1,"name":"Subdivision","value":"EC"},{"id":4,"name":"Milepost","value":"0.0196"},{"id":17,"name":"Train ID","value":"120-22"},{"id":16,"name":"Locomotive ID","value":"4019"},{"id":130,"name":"Impact","value":""},{"id":150,"name":"Time of Event (Mountain Time)","value":"07:34:22"},{"id":151,"name":"Denver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4019 --day 2017-12-22</v>
      </c>
      <c r="AN3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-22T05:53:37-0700',mode:absolute,to:'2017-12-22T08:34:22-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706</v>
      </c>
      <c r="B33" s="225">
        <v>4006</v>
      </c>
      <c r="C33" s="227" t="s">
        <v>192</v>
      </c>
      <c r="D33" s="227" t="s">
        <v>507</v>
      </c>
      <c r="E33" s="226">
        <v>43091.255497685182</v>
      </c>
      <c r="F33" s="226">
        <v>43091.26059027778</v>
      </c>
      <c r="G33" s="225">
        <v>70</v>
      </c>
      <c r="H33" s="227" t="s">
        <v>908</v>
      </c>
      <c r="I33" s="226">
        <v>43091.285173611112</v>
      </c>
      <c r="J33" s="225">
        <v>0</v>
      </c>
      <c r="K33" s="237" t="str">
        <f t="shared" si="0"/>
        <v>4005/4006</v>
      </c>
      <c r="L33" s="245" t="str">
        <f>VLOOKUP(A33,'Trips&amp;Operators'!$C$1:$G$99911,5,FALSE)</f>
        <v>GEBRETEKLE DAGNEW</v>
      </c>
      <c r="M33" s="224">
        <f t="shared" si="1"/>
        <v>2.4583333331975155E-2</v>
      </c>
      <c r="N33" s="225">
        <f t="shared" si="2"/>
        <v>35.399999998044223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-22T05:07:55-0700',mode:absolute,to:'2017-12-22T07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4.4200000000000003E-2</v>
      </c>
      <c r="Z33" s="247">
        <f t="shared" si="8"/>
        <v>23.332000000000001</v>
      </c>
      <c r="AA33" s="247">
        <f t="shared" si="9"/>
        <v>23.287800000000001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33" s="234" t="str">
        <f t="shared" si="12"/>
        <v>"C:\Program Files (x86)\AstroGrep\AstroGrep.exe" /e /r /s /spath="%USERPROFILE%\AppData\Local\Temp\OnboardLogs" /stypes="app*4006*20171222*"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121-22 --locoid 4006 --swversion DE.1.0.9.0 --startMP 204:442 --initTime 2017-12-22T06:07:55 --startdatetime 2017-12-22T06:15:15 --delay 70 --endMP 204:233320 --enddatetime 2017-12-22T06:50:39 --enforcementcount 0 &gt;&gt;%USERPROFILE%\Documents\GitHub\eaglep3-reporting\EC\2017-12-22-refined-times.txt</v>
      </c>
      <c r="AI3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{"issue":{"subject":"","project_id":79,"tracker_id":40,"status_id":1,"priority_id":2,"assigned_to_id":338,"start_date":"2017-12-22","description":"","custom_fields":[{"id":1,"name":"Subdivision","value":"EC"},{"id":4,"name":"Milepost","value":"23.332"},{"id":17,"name":"Train ID","value":"121-22"},{"id":16,"name":"Locomotive ID","value":"4006"},{"id":130,"name":"Impact","value":""},{"id":150,"name":"Time of Event (Mountain Time)","value":"06:50:39"},{"id":151,"name":"Denver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4006 --day 2017-12-22</v>
      </c>
      <c r="AN3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-22T05:07:55-0700',mode:absolute,to:'2017-12-22T07:50:39-0700'))&amp;_a=(columns:!('Message%20ID',Summary),filters:!(),index:'emp_*',interval:auto,query:(query_string:(analyze_wildcard:!t,query:'%22rtdc.l.rtdc.4006%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714</v>
      </c>
      <c r="B34" s="225">
        <v>4005</v>
      </c>
      <c r="C34" s="227" t="s">
        <v>192</v>
      </c>
      <c r="D34" s="227" t="s">
        <v>909</v>
      </c>
      <c r="E34" s="226">
        <v>43091.286608796298</v>
      </c>
      <c r="F34" s="226">
        <v>43091.300185185188</v>
      </c>
      <c r="G34" s="225">
        <v>60</v>
      </c>
      <c r="H34" s="227" t="s">
        <v>650</v>
      </c>
      <c r="I34" s="226">
        <v>43091.326458333337</v>
      </c>
      <c r="J34" s="225">
        <v>0</v>
      </c>
      <c r="K34" s="237" t="str">
        <f t="shared" si="0"/>
        <v>4005/4006</v>
      </c>
      <c r="L34" s="245" t="str">
        <f>VLOOKUP(A34,'Trips&amp;Operators'!$C$1:$G$99911,5,FALSE)</f>
        <v>GEBRETEKLE DAGNEW</v>
      </c>
      <c r="M34" s="224">
        <f t="shared" si="1"/>
        <v>2.6273148148902692E-2</v>
      </c>
      <c r="N34" s="225">
        <f t="shared" si="2"/>
        <v>37.833333334419876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-22T05:52:43-0700',mode:absolute,to:'2017-12-22T08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23.3005</v>
      </c>
      <c r="Z34" s="247">
        <f t="shared" si="8"/>
        <v>1.6899999999999998E-2</v>
      </c>
      <c r="AA34" s="247">
        <f t="shared" si="9"/>
        <v>23.2836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34" s="234" t="str">
        <f t="shared" si="12"/>
        <v>"C:\Program Files (x86)\AstroGrep\AstroGrep.exe" /e /r /s /spath="%USERPROFILE%\AppData\Local\Temp\OnboardLogs" /stypes="app*4005*20171222*"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122-22 --locoid 4005 --swversion DE.1.0.9.0 --startMP 204:233005 --initTime 2017-12-22T06:52:43 --startdatetime 2017-12-22T07:12:16 --delay 60 --endMP 204:169 --enddatetime 2017-12-22T07:50:06 --enforcementcount 0 &gt;&gt;%USERPROFILE%\Documents\GitHub\eaglep3-reporting\EC\2017-12-22-refined-times.txt</v>
      </c>
      <c r="AI3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{"issue":{"subject":"","project_id":79,"tracker_id":40,"status_id":1,"priority_id":2,"assigned_to_id":338,"start_date":"2017-12-22","description":"","custom_fields":[{"id":1,"name":"Subdivision","value":"EC"},{"id":4,"name":"Milepost","value":"0.0169"},{"id":17,"name":"Train ID","value":"122-22"},{"id":16,"name":"Locomotive ID","value":"4005"},{"id":130,"name":"Impact","value":""},{"id":150,"name":"Time of Event (Mountain Time)","value":"07:50:06"},{"id":151,"name":"Denver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4005 --day 2017-12-22</v>
      </c>
      <c r="AN3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-22T05:52:43-0700',mode:absolute,to:'2017-12-22T08:50:06-0700'))&amp;_a=(columns:!('Message%20ID',Summary),filters:!(),index:'emp_*',interval:auto,query:(query_string:(analyze_wildcard:!t,query:'%22rtdc.l.rtdc.4005%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709</v>
      </c>
      <c r="B35" s="225">
        <v>4062</v>
      </c>
      <c r="C35" s="227" t="s">
        <v>192</v>
      </c>
      <c r="D35" s="227" t="s">
        <v>910</v>
      </c>
      <c r="E35" s="226">
        <v>43091.265543981484</v>
      </c>
      <c r="F35" s="226">
        <v>43091.271018518521</v>
      </c>
      <c r="G35" s="225">
        <v>57</v>
      </c>
      <c r="H35" s="227" t="s">
        <v>911</v>
      </c>
      <c r="I35" s="226">
        <v>43091.296157407407</v>
      </c>
      <c r="J35" s="225">
        <v>0</v>
      </c>
      <c r="K35" s="237" t="str">
        <f t="shared" si="0"/>
        <v>4061/4062</v>
      </c>
      <c r="L35" s="245" t="str">
        <f>VLOOKUP(A35,'Trips&amp;Operators'!$C$1:$G$99911,5,FALSE)</f>
        <v>LOPES KIMBERLY</v>
      </c>
      <c r="M35" s="224">
        <f t="shared" si="1"/>
        <v>2.5138888886431232E-2</v>
      </c>
      <c r="N35" s="225">
        <f t="shared" si="2"/>
        <v>36.199999996460974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-22T05:22:23-0700',mode:absolute,to:'2017-12-22T08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4.9099999999999998E-2</v>
      </c>
      <c r="Z35" s="247">
        <f t="shared" si="8"/>
        <v>23.333400000000001</v>
      </c>
      <c r="AA35" s="247">
        <f t="shared" si="9"/>
        <v>23.284300000000002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35" s="234" t="str">
        <f t="shared" si="12"/>
        <v>"C:\Program Files (x86)\AstroGrep\AstroGrep.exe" /e /r /s /spath="%USERPROFILE%\AppData\Local\Temp\OnboardLogs" /stypes="app*4062*20171222*"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123-22 --locoid 4062 --swversion DE.1.0.9.0 --startMP 204:491 --initTime 2017-12-22T06:22:23 --startdatetime 2017-12-22T06:30:16 --delay 57 --endMP 204:233334 --enddatetime 2017-12-22T07:06:28 --enforcementcount 0 &gt;&gt;%USERPROFILE%\Documents\GitHub\eaglep3-reporting\EC\2017-12-22-refined-times.txt</v>
      </c>
      <c r="AI3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{"issue":{"subject":"","project_id":79,"tracker_id":40,"status_id":1,"priority_id":2,"assigned_to_id":338,"start_date":"2017-12-22","description":"","custom_fields":[{"id":1,"name":"Subdivision","value":"EC"},{"id":4,"name":"Milepost","value":"23.3334"},{"id":17,"name":"Train ID","value":"123-22"},{"id":16,"name":"Locomotive ID","value":"4062"},{"id":130,"name":"Impact","value":""},{"id":150,"name":"Time of Event (Mountain Time)","value":"07:06:28"},{"id":151,"name":"Denver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4062 --day 2017-12-22</v>
      </c>
      <c r="AN3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-22T05:22:23-0700',mode:absolute,to:'2017-12-22T08:06:28-0700'))&amp;_a=(columns:!('Message%20ID',Summary),filters:!(),index:'emp_*',interval:auto,query:(query_string:(analyze_wildcard:!t,query:'%22rtdc.l.rtdc.4062%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720</v>
      </c>
      <c r="B36" s="225">
        <v>4061</v>
      </c>
      <c r="C36" s="227" t="s">
        <v>192</v>
      </c>
      <c r="D36" s="227" t="s">
        <v>912</v>
      </c>
      <c r="E36" s="226">
        <v>43091.305706018517</v>
      </c>
      <c r="F36" s="226">
        <v>43091.311168981483</v>
      </c>
      <c r="G36" s="225">
        <v>58</v>
      </c>
      <c r="H36" s="227" t="s">
        <v>442</v>
      </c>
      <c r="I36" s="226">
        <v>43091.336736111109</v>
      </c>
      <c r="J36" s="225">
        <v>0</v>
      </c>
      <c r="K36" s="237" t="str">
        <f t="shared" si="0"/>
        <v>4061/4062</v>
      </c>
      <c r="L36" s="245" t="str">
        <f>VLOOKUP(A36,'Trips&amp;Operators'!$C$1:$G$99911,5,FALSE)</f>
        <v>LOPES KIMBERLY</v>
      </c>
      <c r="M36" s="224">
        <f t="shared" si="1"/>
        <v>2.5567129625414964E-2</v>
      </c>
      <c r="N36" s="225">
        <f t="shared" si="2"/>
        <v>36.816666660597548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-22T06:20:13-0700',mode:absolute,to:'2017-12-22T09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23.300799999999999</v>
      </c>
      <c r="Z36" s="247">
        <f t="shared" si="8"/>
        <v>2.07E-2</v>
      </c>
      <c r="AA36" s="247">
        <f t="shared" si="9"/>
        <v>23.280099999999997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36" s="234" t="str">
        <f t="shared" si="12"/>
        <v>"C:\Program Files (x86)\AstroGrep\AstroGrep.exe" /e /r /s /spath="%USERPROFILE%\AppData\Local\Temp\OnboardLogs" /stypes="app*4061*20171222*"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124-22 --locoid 4061 --swversion DE.1.0.9.0 --startMP 204:233008 --initTime 2017-12-22T07:20:13 --startdatetime 2017-12-22T07:28:05 --delay 58 --endMP 204:207 --enddatetime 2017-12-22T08:04:54 --enforcementcount 0 &gt;&gt;%USERPROFILE%\Documents\GitHub\eaglep3-reporting\EC\2017-12-22-refined-times.txt</v>
      </c>
      <c r="AI3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{"issue":{"subject":"","project_id":79,"tracker_id":40,"status_id":1,"priority_id":2,"assigned_to_id":338,"start_date":"2017-12-22","description":"","custom_fields":[{"id":1,"name":"Subdivision","value":"EC"},{"id":4,"name":"Milepost","value":"0.0207"},{"id":17,"name":"Train ID","value":"124-22"},{"id":16,"name":"Locomotive ID","value":"4061"},{"id":130,"name":"Impact","value":""},{"id":150,"name":"Time of Event (Mountain Time)","value":"08:04:54"},{"id":151,"name":"Denver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4061 --day 2017-12-22</v>
      </c>
      <c r="AN3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-22T06:20:13-0700',mode:absolute,to:'2017-12-22T09:04:54-0700'))&amp;_a=(columns:!('Message%20ID',Summary),filters:!(),index:'emp_*',interval:auto,query:(query_string:(analyze_wildcard:!t,query:'%22rtdc.l.rtdc.4061%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713</v>
      </c>
      <c r="B37" s="225">
        <v>4010</v>
      </c>
      <c r="C37" s="227" t="s">
        <v>192</v>
      </c>
      <c r="D37" s="227" t="s">
        <v>913</v>
      </c>
      <c r="E37" s="226">
        <v>43091.278298611112</v>
      </c>
      <c r="F37" s="226">
        <v>43091.282048611109</v>
      </c>
      <c r="G37" s="225">
        <v>53</v>
      </c>
      <c r="H37" s="227" t="s">
        <v>630</v>
      </c>
      <c r="I37" s="226">
        <v>43091.305381944447</v>
      </c>
      <c r="J37" s="225">
        <v>0</v>
      </c>
      <c r="K37" s="237" t="str">
        <f t="shared" si="0"/>
        <v>4009/4010</v>
      </c>
      <c r="L37" s="245" t="str">
        <f>VLOOKUP(A37,'Trips&amp;Operators'!$C$1:$G$99911,5,FALSE)</f>
        <v>YORK EDGAR</v>
      </c>
      <c r="M37" s="224">
        <f t="shared" si="1"/>
        <v>2.3333333338086959E-2</v>
      </c>
      <c r="N37" s="225">
        <f t="shared" si="2"/>
        <v>33.600000006845221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-22T05:40:45-0700',mode:absolute,to:'2017-12-22T08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4.8800000000000003E-2</v>
      </c>
      <c r="Z37" s="247">
        <f t="shared" si="8"/>
        <v>23.3278</v>
      </c>
      <c r="AA37" s="247">
        <f t="shared" si="9"/>
        <v>23.279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37" s="234" t="str">
        <f t="shared" si="12"/>
        <v>"C:\Program Files (x86)\AstroGrep\AstroGrep.exe" /e /r /s /spath="%USERPROFILE%\AppData\Local\Temp\OnboardLogs" /stypes="app*4010*20171222*"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125-22 --locoid 4010 --swversion DE.1.0.9.0 --startMP 204:488 --initTime 2017-12-22T06:40:45 --startdatetime 2017-12-22T06:46:09 --delay 53 --endMP 204:233278 --enddatetime 2017-12-22T07:19:45 --enforcementcount 0 &gt;&gt;%USERPROFILE%\Documents\GitHub\eaglep3-reporting\EC\2017-12-22-refined-times.txt</v>
      </c>
      <c r="AI3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{"issue":{"subject":"","project_id":79,"tracker_id":40,"status_id":1,"priority_id":2,"assigned_to_id":338,"start_date":"2017-12-22","description":"","custom_fields":[{"id":1,"name":"Subdivision","value":"EC"},{"id":4,"name":"Milepost","value":"23.3278"},{"id":17,"name":"Train ID","value":"125-22"},{"id":16,"name":"Locomotive ID","value":"4010"},{"id":130,"name":"Impact","value":""},{"id":150,"name":"Time of Event (Mountain Time)","value":"07:19:45"},{"id":151,"name":"Denver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4010 --day 2017-12-22</v>
      </c>
      <c r="AN3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-22T05:40:45-0700',mode:absolute,to:'2017-12-22T08:19:45-0700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725</v>
      </c>
      <c r="B38" s="225">
        <v>4009</v>
      </c>
      <c r="C38" s="227" t="s">
        <v>192</v>
      </c>
      <c r="D38" s="227" t="s">
        <v>561</v>
      </c>
      <c r="E38" s="226">
        <v>43091.318495370368</v>
      </c>
      <c r="F38" s="226">
        <v>43091.321018518516</v>
      </c>
      <c r="G38" s="225">
        <v>54</v>
      </c>
      <c r="H38" s="227" t="s">
        <v>553</v>
      </c>
      <c r="I38" s="226">
        <v>43091.346458333333</v>
      </c>
      <c r="J38" s="225">
        <v>0</v>
      </c>
      <c r="K38" s="237" t="str">
        <f t="shared" si="0"/>
        <v>4009/4010</v>
      </c>
      <c r="L38" s="245" t="str">
        <f>VLOOKUP(A38,'Trips&amp;Operators'!$C$1:$G$99911,5,FALSE)</f>
        <v>YORK EDGAR</v>
      </c>
      <c r="M38" s="224">
        <f t="shared" si="1"/>
        <v>2.5439814817218576E-2</v>
      </c>
      <c r="N38" s="225">
        <f t="shared" si="2"/>
        <v>36.633333336794749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-22T06:38:38-0700',mode:absolute,to:'2017-12-22T09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23.295300000000001</v>
      </c>
      <c r="Z38" s="247">
        <f t="shared" si="8"/>
        <v>1.4999999999999999E-2</v>
      </c>
      <c r="AA38" s="247">
        <f t="shared" si="9"/>
        <v>23.2803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38" s="234" t="str">
        <f t="shared" si="12"/>
        <v>"C:\Program Files (x86)\AstroGrep\AstroGrep.exe" /e /r /s /spath="%USERPROFILE%\AppData\Local\Temp\OnboardLogs" /stypes="app*4009*20171222*"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126-22 --locoid 4009 --swversion DE.1.0.9.0 --startMP 204:232953 --initTime 2017-12-22T07:38:38 --startdatetime 2017-12-22T07:42:16 --delay 54 --endMP 204:150 --enddatetime 2017-12-22T08:18:54 --enforcementcount 0 &gt;&gt;%USERPROFILE%\Documents\GitHub\eaglep3-reporting\EC\2017-12-22-refined-times.txt</v>
      </c>
      <c r="AI3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{"issue":{"subject":"","project_id":79,"tracker_id":40,"status_id":1,"priority_id":2,"assigned_to_id":338,"start_date":"2017-12-22","description":"","custom_fields":[{"id":1,"name":"Subdivision","value":"EC"},{"id":4,"name":"Milepost","value":"0.015"},{"id":17,"name":"Train ID","value":"126-22"},{"id":16,"name":"Locomotive ID","value":"4009"},{"id":130,"name":"Impact","value":""},{"id":150,"name":"Time of Event (Mountain Time)","value":"08:18:54"},{"id":151,"name":"Denver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4009 --day 2017-12-22</v>
      </c>
      <c r="AN3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-22T06:38:38-0700',mode:absolute,to:'2017-12-22T09:18:54-0700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717</v>
      </c>
      <c r="B39" s="225">
        <v>4008</v>
      </c>
      <c r="C39" s="227" t="s">
        <v>192</v>
      </c>
      <c r="D39" s="227" t="s">
        <v>914</v>
      </c>
      <c r="E39" s="226">
        <v>43091.290150462963</v>
      </c>
      <c r="F39" s="226">
        <v>43091.291967592595</v>
      </c>
      <c r="G39" s="225">
        <v>50</v>
      </c>
      <c r="H39" s="227" t="s">
        <v>915</v>
      </c>
      <c r="I39" s="226">
        <v>43091.317245370374</v>
      </c>
      <c r="J39" s="225">
        <v>0</v>
      </c>
      <c r="K39" s="237" t="str">
        <f t="shared" si="0"/>
        <v>4007/4008</v>
      </c>
      <c r="L39" s="245" t="str">
        <f>VLOOKUP(A39,'Trips&amp;Operators'!$C$1:$G$99911,5,FALSE)</f>
        <v>MACDONALD THOMAS</v>
      </c>
      <c r="M39" s="224">
        <f t="shared" si="1"/>
        <v>2.527777777868323E-2</v>
      </c>
      <c r="N39" s="225">
        <f t="shared" si="2"/>
        <v>36.400000001303852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-22T05:57:49-0700',mode:absolute,to:'2017-12-22T08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5.3900000000000003E-2</v>
      </c>
      <c r="Z39" s="247">
        <f t="shared" si="8"/>
        <v>23.321000000000002</v>
      </c>
      <c r="AA39" s="247">
        <f t="shared" si="9"/>
        <v>23.267100000000003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39" s="234" t="str">
        <f t="shared" si="12"/>
        <v>"C:\Program Files (x86)\AstroGrep\AstroGrep.exe" /e /r /s /spath="%USERPROFILE%\AppData\Local\Temp\OnboardLogs" /stypes="app*4008*20171222*"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127-22 --locoid 4008 --swversion DE.1.0.9.0 --startMP 204:539 --initTime 2017-12-22T06:57:49 --startdatetime 2017-12-22T07:00:26 --delay 50 --endMP 204:233210 --enddatetime 2017-12-22T07:36:50 --enforcementcount 0 &gt;&gt;%USERPROFILE%\Documents\GitHub\eaglep3-reporting\EC\2017-12-22-refined-times.txt</v>
      </c>
      <c r="AI3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{"issue":{"subject":"","project_id":79,"tracker_id":40,"status_id":1,"priority_id":2,"assigned_to_id":338,"start_date":"2017-12-22","description":"","custom_fields":[{"id":1,"name":"Subdivision","value":"EC"},{"id":4,"name":"Milepost","value":"23.321"},{"id":17,"name":"Train ID","value":"127-22"},{"id":16,"name":"Locomotive ID","value":"4008"},{"id":130,"name":"Impact","value":""},{"id":150,"name":"Time of Event (Mountain Time)","value":"07:36:50"},{"id":151,"name":"Denver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4008 --day 2017-12-22</v>
      </c>
      <c r="AN3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-22T05:57:49-0700',mode:absolute,to:'2017-12-22T08:36:50-0700'))&amp;_a=(columns:!('Message%20ID',Summary),filters:!(),index:'emp_*',interval:auto,query:(query_string:(analyze_wildcard:!t,query:'%22rtdc.l.rtdc.4008%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727</v>
      </c>
      <c r="B40" s="225">
        <v>4007</v>
      </c>
      <c r="C40" s="227" t="s">
        <v>192</v>
      </c>
      <c r="D40" s="227" t="s">
        <v>916</v>
      </c>
      <c r="E40" s="226">
        <v>43091.329502314817</v>
      </c>
      <c r="F40" s="226">
        <v>43091.33153935185</v>
      </c>
      <c r="G40" s="225">
        <v>60</v>
      </c>
      <c r="H40" s="227" t="s">
        <v>917</v>
      </c>
      <c r="I40" s="226">
        <v>43091.357592592591</v>
      </c>
      <c r="J40" s="225">
        <v>0</v>
      </c>
      <c r="K40" s="237" t="str">
        <f t="shared" si="0"/>
        <v>4007/4008</v>
      </c>
      <c r="L40" s="245" t="str">
        <f>VLOOKUP(A40,'Trips&amp;Operators'!$C$1:$G$99911,5,FALSE)</f>
        <v>MACDONALD THOMAS</v>
      </c>
      <c r="M40" s="224">
        <f t="shared" si="1"/>
        <v>2.6053240741021E-2</v>
      </c>
      <c r="N40" s="225">
        <f t="shared" si="2"/>
        <v>37.51666666707024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-22T06:54:29-0700',mode:absolute,to:'2017-12-22T09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23.288900000000002</v>
      </c>
      <c r="Z40" s="247">
        <f t="shared" si="8"/>
        <v>2.2700000000000001E-2</v>
      </c>
      <c r="AA40" s="247">
        <f t="shared" si="9"/>
        <v>23.266200000000001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40" s="234" t="str">
        <f t="shared" si="12"/>
        <v>"C:\Program Files (x86)\AstroGrep\AstroGrep.exe" /e /r /s /spath="%USERPROFILE%\AppData\Local\Temp\OnboardLogs" /stypes="app*4007*20171222*"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128-22 --locoid 4007 --swversion DE.1.0.9.0 --startMP 204:232889 --initTime 2017-12-22T07:54:29 --startdatetime 2017-12-22T07:57:25 --delay 60 --endMP 204:227 --enddatetime 2017-12-22T08:34:56 --enforcementcount 0 &gt;&gt;%USERPROFILE%\Documents\GitHub\eaglep3-reporting\EC\2017-12-22-refined-times.txt</v>
      </c>
      <c r="AI4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{"issue":{"subject":"","project_id":79,"tracker_id":40,"status_id":1,"priority_id":2,"assigned_to_id":338,"start_date":"2017-12-22","description":"","custom_fields":[{"id":1,"name":"Subdivision","value":"EC"},{"id":4,"name":"Milepost","value":"0.0227"},{"id":17,"name":"Train ID","value":"128-22"},{"id":16,"name":"Locomotive ID","value":"4007"},{"id":130,"name":"Impact","value":""},{"id":150,"name":"Time of Event (Mountain Time)","value":"08:34:56"},{"id":151,"name":"Denver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4007 --day 2017-12-22</v>
      </c>
      <c r="AN4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-22T06:54:29-0700',mode:absolute,to:'2017-12-22T09:34:56-0700'))&amp;_a=(columns:!('Message%20ID',Summary),filters:!(),index:'emp_*',interval:auto,query:(query_string:(analyze_wildcard:!t,query:'%22rtdc.l.rtdc.4007%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719</v>
      </c>
      <c r="B41" s="225">
        <v>4044</v>
      </c>
      <c r="C41" s="227" t="s">
        <v>192</v>
      </c>
      <c r="D41" s="227" t="s">
        <v>918</v>
      </c>
      <c r="E41" s="226">
        <v>43091.29760416667</v>
      </c>
      <c r="F41" s="226">
        <v>43091.302604166667</v>
      </c>
      <c r="G41" s="225">
        <v>48</v>
      </c>
      <c r="H41" s="227" t="s">
        <v>548</v>
      </c>
      <c r="I41" s="226">
        <v>43091.327164351853</v>
      </c>
      <c r="J41" s="225">
        <v>0</v>
      </c>
      <c r="K41" s="237" t="str">
        <f t="shared" si="0"/>
        <v>4043/4044</v>
      </c>
      <c r="L41" s="245" t="str">
        <f>VLOOKUP(A41,'Trips&amp;Operators'!$C$1:$G$99911,5,FALSE)</f>
        <v>MAELZER KURT</v>
      </c>
      <c r="M41" s="224">
        <f t="shared" si="1"/>
        <v>2.4560185185691807E-2</v>
      </c>
      <c r="N41" s="225">
        <f t="shared" si="2"/>
        <v>35.366666667396203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-22T06:08:33-0700',mode:absolute,to:'2017-12-22T08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4.9799999999999997E-2</v>
      </c>
      <c r="Z41" s="247">
        <f t="shared" si="8"/>
        <v>23.328600000000002</v>
      </c>
      <c r="AA41" s="247">
        <f t="shared" si="9"/>
        <v>23.2788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41" s="234" t="str">
        <f t="shared" si="12"/>
        <v>"C:\Program Files (x86)\AstroGrep\AstroGrep.exe" /e /r /s /spath="%USERPROFILE%\AppData\Local\Temp\OnboardLogs" /stypes="app*4044*20171222*"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129-22 --locoid 4044 --swversion DE.1.0.9.0 --startMP 204:498 --initTime 2017-12-22T07:08:33 --startdatetime 2017-12-22T07:15:45 --delay 48 --endMP 204:233286 --enddatetime 2017-12-22T07:51:07 --enforcementcount 0 &gt;&gt;%USERPROFILE%\Documents\GitHub\eaglep3-reporting\EC\2017-12-22-refined-times.txt</v>
      </c>
      <c r="AI4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{"issue":{"subject":"","project_id":79,"tracker_id":40,"status_id":1,"priority_id":2,"assigned_to_id":338,"start_date":"2017-12-22","description":"","custom_fields":[{"id":1,"name":"Subdivision","value":"EC"},{"id":4,"name":"Milepost","value":"23.3286"},{"id":17,"name":"Train ID","value":"129-22"},{"id":16,"name":"Locomotive ID","value":"4044"},{"id":130,"name":"Impact","value":""},{"id":150,"name":"Time of Event (Mountain Time)","value":"07:51:07"},{"id":151,"name":"Denver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4044 --day 2017-12-22</v>
      </c>
      <c r="AN4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-22T06:08:33-0700',mode:absolute,to:'2017-12-22T08:51:07-0700'))&amp;_a=(columns:!('Message%20ID',Summary),filters:!(),index:'emp_*',interval:auto,query:(query_string:(analyze_wildcard:!t,query:'%22rtdc.l.rtdc.4044%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729</v>
      </c>
      <c r="B42" s="225">
        <v>4043</v>
      </c>
      <c r="C42" s="227" t="s">
        <v>192</v>
      </c>
      <c r="D42" s="227" t="s">
        <v>919</v>
      </c>
      <c r="E42" s="226">
        <v>43091.331562500003</v>
      </c>
      <c r="F42" s="226">
        <v>43091.341909722221</v>
      </c>
      <c r="G42" s="225">
        <v>45</v>
      </c>
      <c r="H42" s="227" t="s">
        <v>509</v>
      </c>
      <c r="I42" s="226">
        <v>43091.36822916667</v>
      </c>
      <c r="J42" s="225">
        <v>0</v>
      </c>
      <c r="K42" s="237" t="str">
        <f t="shared" si="0"/>
        <v>4043/4044</v>
      </c>
      <c r="L42" s="245" t="str">
        <f>VLOOKUP(A42,'Trips&amp;Operators'!$C$1:$G$99911,5,FALSE)</f>
        <v>MAELZER KURT</v>
      </c>
      <c r="M42" s="224">
        <f t="shared" si="1"/>
        <v>2.6319444448745344E-2</v>
      </c>
      <c r="N42" s="225">
        <f t="shared" si="2"/>
        <v>37.900000006193295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-22T06:57:27-0700',mode:absolute,to:'2017-12-22T09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23.297999999999998</v>
      </c>
      <c r="Z42" s="247">
        <f t="shared" si="8"/>
        <v>1.9099999999999999E-2</v>
      </c>
      <c r="AA42" s="247">
        <f t="shared" si="9"/>
        <v>23.278899999999997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42" s="234" t="str">
        <f t="shared" si="12"/>
        <v>"C:\Program Files (x86)\AstroGrep\AstroGrep.exe" /e /r /s /spath="%USERPROFILE%\AppData\Local\Temp\OnboardLogs" /stypes="app*4043*20171222*"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130-22 --locoid 4043 --swversion DE.1.0.9.0 --startMP 204:232980 --initTime 2017-12-22T07:57:27 --startdatetime 2017-12-22T08:12:21 --delay 45 --endMP 204:191 --enddatetime 2017-12-22T08:50:15 --enforcementcount 0 &gt;&gt;%USERPROFILE%\Documents\GitHub\eaglep3-reporting\EC\2017-12-22-refined-times.txt</v>
      </c>
      <c r="AI4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{"issue":{"subject":"","project_id":79,"tracker_id":40,"status_id":1,"priority_id":2,"assigned_to_id":338,"start_date":"2017-12-22","description":"","custom_fields":[{"id":1,"name":"Subdivision","value":"EC"},{"id":4,"name":"Milepost","value":"0.0191"},{"id":17,"name":"Train ID","value":"130-22"},{"id":16,"name":"Locomotive ID","value":"4043"},{"id":130,"name":"Impact","value":""},{"id":150,"name":"Time of Event (Mountain Time)","value":"08:50:15"},{"id":151,"name":"Denver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4043 --day 2017-12-22</v>
      </c>
      <c r="AN4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-22T06:57:27-0700',mode:absolute,to:'2017-12-22T09:50:15-0700'))&amp;_a=(columns:!('Message%20ID',Summary),filters:!(),index:'emp_*',interval:auto,query:(query_string:(analyze_wildcard:!t,query:'%22rtdc.l.rtdc.4043%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721</v>
      </c>
      <c r="B43" s="225">
        <v>4040</v>
      </c>
      <c r="C43" s="227" t="s">
        <v>192</v>
      </c>
      <c r="D43" s="227" t="s">
        <v>920</v>
      </c>
      <c r="E43" s="226">
        <v>43091.306932870371</v>
      </c>
      <c r="F43" s="226">
        <v>43091.312650462962</v>
      </c>
      <c r="G43" s="225">
        <v>54</v>
      </c>
      <c r="H43" s="227" t="s">
        <v>921</v>
      </c>
      <c r="I43" s="226">
        <v>43091.337743055556</v>
      </c>
      <c r="J43" s="225">
        <v>0</v>
      </c>
      <c r="K43" s="237" t="str">
        <f t="shared" si="0"/>
        <v>4039/4040</v>
      </c>
      <c r="L43" s="245" t="str">
        <f>VLOOKUP(A43,'Trips&amp;Operators'!$C$1:$G$99911,5,FALSE)</f>
        <v>YANAI IAN</v>
      </c>
      <c r="M43" s="224">
        <f t="shared" si="1"/>
        <v>2.5092592593864538E-2</v>
      </c>
      <c r="N43" s="225">
        <f t="shared" si="2"/>
        <v>36.133333335164934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-22T06:21:59-0700',mode:absolute,to:'2017-12-22T09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4.6899999999999997E-2</v>
      </c>
      <c r="Z43" s="247">
        <f t="shared" si="8"/>
        <v>23.332100000000001</v>
      </c>
      <c r="AA43" s="247">
        <f t="shared" si="9"/>
        <v>23.2852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43" s="234" t="str">
        <f t="shared" si="12"/>
        <v>"C:\Program Files (x86)\AstroGrep\AstroGrep.exe" /e /r /s /spath="%USERPROFILE%\AppData\Local\Temp\OnboardLogs" /stypes="app*4040*20171222*"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131-22 --locoid 4040 --swversion DE.1.0.9.0 --startMP 204:469 --initTime 2017-12-22T07:21:59 --startdatetime 2017-12-22T07:30:13 --delay 54 --endMP 204:233321 --enddatetime 2017-12-22T08:06:21 --enforcementcount 0 &gt;&gt;%USERPROFILE%\Documents\GitHub\eaglep3-reporting\EC\2017-12-22-refined-times.txt</v>
      </c>
      <c r="AI4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{"issue":{"subject":"","project_id":79,"tracker_id":40,"status_id":1,"priority_id":2,"assigned_to_id":338,"start_date":"2017-12-22","description":"","custom_fields":[{"id":1,"name":"Subdivision","value":"EC"},{"id":4,"name":"Milepost","value":"23.3321"},{"id":17,"name":"Train ID","value":"131-22"},{"id":16,"name":"Locomotive ID","value":"4040"},{"id":130,"name":"Impact","value":""},{"id":150,"name":"Time of Event (Mountain Time)","value":"08:06:21"},{"id":151,"name":"Denver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4040 --day 2017-12-22</v>
      </c>
      <c r="AN4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-22T06:21:59-0700',mode:absolute,to:'2017-12-22T09:06:21-0700'))&amp;_a=(columns:!('Message%20ID',Summary),filters:!(),index:'emp_*',interval:auto,query:(query_string:(analyze_wildcard:!t,query:'%22rtdc.l.rtdc.4040%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731</v>
      </c>
      <c r="B44" s="225">
        <v>4039</v>
      </c>
      <c r="C44" s="227" t="s">
        <v>192</v>
      </c>
      <c r="D44" s="227" t="s">
        <v>922</v>
      </c>
      <c r="E44" s="226">
        <v>43091.34</v>
      </c>
      <c r="F44" s="226">
        <v>43091.352268518516</v>
      </c>
      <c r="G44" s="225">
        <v>55</v>
      </c>
      <c r="H44" s="227" t="s">
        <v>923</v>
      </c>
      <c r="I44" s="226">
        <v>43091.377858796295</v>
      </c>
      <c r="J44" s="225">
        <v>0</v>
      </c>
      <c r="K44" s="237" t="str">
        <f t="shared" si="0"/>
        <v>4039/4040</v>
      </c>
      <c r="L44" s="245" t="str">
        <f>VLOOKUP(A44,'Trips&amp;Operators'!$C$1:$G$99911,5,FALSE)</f>
        <v>YANAI IAN</v>
      </c>
      <c r="M44" s="224">
        <f t="shared" si="1"/>
        <v>2.5590277778974269E-2</v>
      </c>
      <c r="N44" s="225">
        <f t="shared" si="2"/>
        <v>36.850000001722947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-22T07:09:36-0700',mode:absolute,to:'2017-12-22T10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23.3002</v>
      </c>
      <c r="Z44" s="247">
        <f t="shared" si="8"/>
        <v>1.3599999999999999E-2</v>
      </c>
      <c r="AA44" s="247">
        <f t="shared" si="9"/>
        <v>23.2866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44" s="234" t="str">
        <f t="shared" si="12"/>
        <v>"C:\Program Files (x86)\AstroGrep\AstroGrep.exe" /e /r /s /spath="%USERPROFILE%\AppData\Local\Temp\OnboardLogs" /stypes="app*4039*20171222*"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132-22 --locoid 4039 --swversion DE.1.0.9.0 --startMP 204:233002 --initTime 2017-12-22T08:09:36 --startdatetime 2017-12-22T08:27:16 --delay 55 --endMP 204:136 --enddatetime 2017-12-22T09:04:07 --enforcementcount 0 &gt;&gt;%USERPROFILE%\Documents\GitHub\eaglep3-reporting\EC\2017-12-22-refined-times.txt</v>
      </c>
      <c r="AI4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{"issue":{"subject":"","project_id":79,"tracker_id":40,"status_id":1,"priority_id":2,"assigned_to_id":338,"start_date":"2017-12-22","description":"","custom_fields":[{"id":1,"name":"Subdivision","value":"EC"},{"id":4,"name":"Milepost","value":"0.0136"},{"id":17,"name":"Train ID","value":"132-22"},{"id":16,"name":"Locomotive ID","value":"4039"},{"id":130,"name":"Impact","value":""},{"id":150,"name":"Time of Event (Mountain Time)","value":"09:04:07"},{"id":151,"name":"Denver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4039 --day 2017-12-22</v>
      </c>
      <c r="AN4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-22T07:09:36-0700',mode:absolute,to:'2017-12-22T10:04:07-0700'))&amp;_a=(columns:!('Message%20ID',Summary),filters:!(),index:'emp_*',interval:auto,query:(query_string:(analyze_wildcard:!t,query:'%22rtdc.l.rtdc.4039%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724</v>
      </c>
      <c r="B45" s="225">
        <v>4020</v>
      </c>
      <c r="C45" s="227" t="s">
        <v>192</v>
      </c>
      <c r="D45" s="227" t="s">
        <v>910</v>
      </c>
      <c r="E45" s="226">
        <v>43091.317453703705</v>
      </c>
      <c r="F45" s="226">
        <v>43091.323437500003</v>
      </c>
      <c r="G45" s="225">
        <v>48</v>
      </c>
      <c r="H45" s="227" t="s">
        <v>613</v>
      </c>
      <c r="I45" s="226">
        <v>43091.34820601852</v>
      </c>
      <c r="J45" s="225">
        <v>0</v>
      </c>
      <c r="K45" s="237" t="str">
        <f t="shared" si="0"/>
        <v>4019/4020</v>
      </c>
      <c r="L45" s="245" t="str">
        <f>VLOOKUP(A45,'Trips&amp;Operators'!$C$1:$G$99911,5,FALSE)</f>
        <v>BONDS REYNALDO</v>
      </c>
      <c r="M45" s="224">
        <f t="shared" si="1"/>
        <v>2.4768518516793847E-2</v>
      </c>
      <c r="N45" s="225">
        <f t="shared" ref="N45:N76" si="24">24*60*SUM($M45:$M45)</f>
        <v>35.66666666418314</v>
      </c>
      <c r="O45" s="225"/>
      <c r="P45" s="225"/>
      <c r="Q45" s="228"/>
      <c r="R45" s="242"/>
      <c r="S45" s="249">
        <f t="shared" si="3"/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-22T06:37:08-0700',mode:absolute,to:'2017-12-22T09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47" t="str">
        <f>IF(AA45&lt;VLOOKUP(AG45,Variables!$AC$3:$AD$8,2,FALSE),"Y","N")</f>
        <v>N</v>
      </c>
      <c r="X45" s="247">
        <f t="shared" ref="X45:X76" si="25">VALUE(LEFT(AD45,4))-VALUE(LEFT(AD44,4))</f>
        <v>1</v>
      </c>
      <c r="Y45" s="247">
        <f t="shared" ref="Y45:Y76" si="26">RIGHT(D45,LEN(D45)-4)/10000</f>
        <v>4.9099999999999998E-2</v>
      </c>
      <c r="Z45" s="247">
        <f t="shared" ref="Z45:Z76" si="27">RIGHT(H45,LEN(H45)-4)/10000</f>
        <v>23.3291</v>
      </c>
      <c r="AA45" s="247">
        <f t="shared" si="9"/>
        <v>23.28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45" s="234" t="str">
        <f t="shared" si="12"/>
        <v>"C:\Program Files (x86)\AstroGrep\AstroGrep.exe" /e /r /s /spath="%USERPROFILE%\AppData\Local\Temp\OnboardLogs" /stypes="app*4020*20171222*"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133-22 --locoid 4020 --swversion DE.1.0.9.0 --startMP 204:491 --initTime 2017-12-22T07:37:08 --startdatetime 2017-12-22T07:45:45 --delay 48 --endMP 204:233291 --enddatetime 2017-12-22T08:21:25 --enforcementcount 0 &gt;&gt;%USERPROFILE%\Documents\GitHub\eaglep3-reporting\EC\2017-12-22-refined-times.txt</v>
      </c>
      <c r="AI4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{"issue":{"subject":"","project_id":79,"tracker_id":40,"status_id":1,"priority_id":2,"assigned_to_id":338,"start_date":"2017-12-22","description":"","custom_fields":[{"id":1,"name":"Subdivision","value":"EC"},{"id":4,"name":"Milepost","value":"23.3291"},{"id":17,"name":"Train ID","value":"133-22"},{"id":16,"name":"Locomotive ID","value":"4020"},{"id":130,"name":"Impact","value":""},{"id":150,"name":"Time of Event (Mountain Time)","value":"08:21:25"},{"id":151,"name":"Denver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4020 --day 2017-12-22</v>
      </c>
      <c r="AN4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-22T06:37:08-0700',mode:absolute,to:'2017-12-22T09:21:25-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736</v>
      </c>
      <c r="B46" s="225">
        <v>4019</v>
      </c>
      <c r="C46" s="227" t="s">
        <v>192</v>
      </c>
      <c r="D46" s="227" t="s">
        <v>924</v>
      </c>
      <c r="E46" s="226">
        <v>43091.360659722224</v>
      </c>
      <c r="F46" s="226">
        <v>43091.362673611111</v>
      </c>
      <c r="G46" s="225">
        <v>55</v>
      </c>
      <c r="H46" s="227" t="s">
        <v>530</v>
      </c>
      <c r="I46" s="226">
        <v>43091.388495370367</v>
      </c>
      <c r="J46" s="225">
        <v>0</v>
      </c>
      <c r="K46" s="237" t="str">
        <f t="shared" si="0"/>
        <v>4019/4020</v>
      </c>
      <c r="L46" s="245" t="str">
        <f>VLOOKUP(A46,'Trips&amp;Operators'!$C$1:$G$99911,5,FALSE)</f>
        <v>BONDS REYNALDO</v>
      </c>
      <c r="M46" s="224">
        <f t="shared" si="1"/>
        <v>2.5821759256359655E-2</v>
      </c>
      <c r="N46" s="225">
        <f t="shared" si="24"/>
        <v>37.183333329157904</v>
      </c>
      <c r="O46" s="225"/>
      <c r="P46" s="225"/>
      <c r="Q46" s="228"/>
      <c r="R46" s="242"/>
      <c r="S46" s="249">
        <f t="shared" si="3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-22T07:39:21-0700',mode:absolute,to:'2017-12-22T10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47" t="str">
        <f>IF(AA46&lt;VLOOKUP(AG46,Variables!$AC$3:$AD$8,2,FALSE),"Y","N")</f>
        <v>N</v>
      </c>
      <c r="X46" s="247">
        <f t="shared" si="25"/>
        <v>1</v>
      </c>
      <c r="Y46" s="247">
        <f t="shared" si="26"/>
        <v>23.296700000000001</v>
      </c>
      <c r="Z46" s="247">
        <f t="shared" si="27"/>
        <v>2.0500000000000001E-2</v>
      </c>
      <c r="AA46" s="247">
        <f t="shared" si="9"/>
        <v>23.276200000000003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46" s="234" t="str">
        <f t="shared" si="12"/>
        <v>"C:\Program Files (x86)\AstroGrep\AstroGrep.exe" /e /r /s /spath="%USERPROFILE%\AppData\Local\Temp\OnboardLogs" /stypes="app*4019*20171222*"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134-22 --locoid 4019 --swversion DE.1.0.9.0 --startMP 204:232967 --initTime 2017-12-22T08:39:21 --startdatetime 2017-12-22T08:42:15 --delay 55 --endMP 204:205 --enddatetime 2017-12-22T09:19:26 --enforcementcount 0 &gt;&gt;%USERPROFILE%\Documents\GitHub\eaglep3-reporting\EC\2017-12-22-refined-times.txt</v>
      </c>
      <c r="AI4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{"issue":{"subject":"","project_id":79,"tracker_id":40,"status_id":1,"priority_id":2,"assigned_to_id":338,"start_date":"2017-12-22","description":"","custom_fields":[{"id":1,"name":"Subdivision","value":"EC"},{"id":4,"name":"Milepost","value":"0.0205"},{"id":17,"name":"Train ID","value":"134-22"},{"id":16,"name":"Locomotive ID","value":"4019"},{"id":130,"name":"Impact","value":""},{"id":150,"name":"Time of Event (Mountain Time)","value":"09:19:26"},{"id":151,"name":"Denver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4019 --day 2017-12-22</v>
      </c>
      <c r="AN4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-22T07:39:21-0700',mode:absolute,to:'2017-12-22T10:19:26-0700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726</v>
      </c>
      <c r="B47" s="225">
        <v>4006</v>
      </c>
      <c r="C47" s="227" t="s">
        <v>192</v>
      </c>
      <c r="D47" s="227" t="s">
        <v>599</v>
      </c>
      <c r="E47" s="226">
        <v>43091.328969907408</v>
      </c>
      <c r="F47" s="226">
        <v>43091.333553240744</v>
      </c>
      <c r="G47" s="225">
        <v>60</v>
      </c>
      <c r="H47" s="227" t="s">
        <v>520</v>
      </c>
      <c r="I47" s="226">
        <v>43091.358067129629</v>
      </c>
      <c r="J47" s="225">
        <v>0</v>
      </c>
      <c r="K47" s="237" t="str">
        <f t="shared" si="0"/>
        <v>4005/4006</v>
      </c>
      <c r="L47" s="245" t="str">
        <f>VLOOKUP(A47,'Trips&amp;Operators'!$C$1:$G$99911,5,FALSE)</f>
        <v>GEBRETEKLE DAGNEW</v>
      </c>
      <c r="M47" s="224">
        <f t="shared" si="1"/>
        <v>2.4513888885849155E-2</v>
      </c>
      <c r="N47" s="225">
        <f t="shared" si="24"/>
        <v>35.299999995622784</v>
      </c>
      <c r="O47" s="225"/>
      <c r="P47" s="225"/>
      <c r="Q47" s="228"/>
      <c r="R47" s="242"/>
      <c r="S47" s="249">
        <f t="shared" si="3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-22T06:53:43-0700',mode:absolute,to:'2017-12-22T09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247" t="str">
        <f>IF(AA47&lt;VLOOKUP(AG47,Variables!$AC$3:$AD$8,2,FALSE),"Y","N")</f>
        <v>N</v>
      </c>
      <c r="X47" s="247">
        <f t="shared" si="25"/>
        <v>1</v>
      </c>
      <c r="Y47" s="247">
        <f t="shared" si="26"/>
        <v>4.7699999999999999E-2</v>
      </c>
      <c r="Z47" s="247">
        <f t="shared" si="27"/>
        <v>23.329699999999999</v>
      </c>
      <c r="AA47" s="247">
        <f t="shared" si="9"/>
        <v>23.282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47" s="234" t="str">
        <f t="shared" si="12"/>
        <v>"C:\Program Files (x86)\AstroGrep\AstroGrep.exe" /e /r /s /spath="%USERPROFILE%\AppData\Local\Temp\OnboardLogs" /stypes="app*4006*20171222*"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135-22 --locoid 4006 --swversion DE.1.0.9.0 --startMP 204:477 --initTime 2017-12-22T07:53:43 --startdatetime 2017-12-22T08:00:19 --delay 60 --endMP 204:233297 --enddatetime 2017-12-22T08:35:37 --enforcementcount 0 &gt;&gt;%USERPROFILE%\Documents\GitHub\eaglep3-reporting\EC\2017-12-22-refined-times.txt</v>
      </c>
      <c r="AI4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{"issue":{"subject":"","project_id":79,"tracker_id":40,"status_id":1,"priority_id":2,"assigned_to_id":338,"start_date":"2017-12-22","description":"","custom_fields":[{"id":1,"name":"Subdivision","value":"EC"},{"id":4,"name":"Milepost","value":"23.3297"},{"id":17,"name":"Train ID","value":"135-22"},{"id":16,"name":"Locomotive ID","value":"4006"},{"id":130,"name":"Impact","value":""},{"id":150,"name":"Time of Event (Mountain Time)","value":"08:35:37"},{"id":151,"name":"Denver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4006 --day 2017-12-22</v>
      </c>
      <c r="AN4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-22T06:53:43-0700',mode:absolute,to:'2017-12-22T09:35:37-0700'))&amp;_a=(columns:!('Message%20ID',Summary),filters:!(),index:'emp_*',interval:auto,query:(query_string:(analyze_wildcard:!t,query:'%22rtdc.l.rtdc.4006%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735</v>
      </c>
      <c r="B48" s="225">
        <v>4005</v>
      </c>
      <c r="C48" s="227" t="s">
        <v>192</v>
      </c>
      <c r="D48" s="227" t="s">
        <v>642</v>
      </c>
      <c r="E48" s="226">
        <v>43091.359479166669</v>
      </c>
      <c r="F48" s="226">
        <v>43091.373217592591</v>
      </c>
      <c r="G48" s="225">
        <v>55</v>
      </c>
      <c r="H48" s="227" t="s">
        <v>925</v>
      </c>
      <c r="I48" s="226">
        <v>43091.398541666669</v>
      </c>
      <c r="J48" s="225">
        <v>0</v>
      </c>
      <c r="K48" s="237" t="str">
        <f t="shared" si="0"/>
        <v>4005/4006</v>
      </c>
      <c r="L48" s="245" t="str">
        <f>VLOOKUP(A48,'Trips&amp;Operators'!$C$1:$G$99911,5,FALSE)</f>
        <v>GEBRETEKLE DAGNEW</v>
      </c>
      <c r="M48" s="224">
        <f t="shared" si="1"/>
        <v>2.5324074078525882E-2</v>
      </c>
      <c r="N48" s="225">
        <f t="shared" si="24"/>
        <v>36.46666667307727</v>
      </c>
      <c r="O48" s="225"/>
      <c r="P48" s="225"/>
      <c r="Q48" s="228"/>
      <c r="R48" s="242"/>
      <c r="S48" s="249">
        <f t="shared" si="3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-22T07:37:39-0700',mode:absolute,to:'2017-12-22T10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247" t="str">
        <f>IF(AA48&lt;VLOOKUP(AG48,Variables!$AC$3:$AD$8,2,FALSE),"Y","N")</f>
        <v>N</v>
      </c>
      <c r="X48" s="247">
        <f t="shared" si="25"/>
        <v>1</v>
      </c>
      <c r="Y48" s="247">
        <f t="shared" si="26"/>
        <v>23.2972</v>
      </c>
      <c r="Z48" s="247">
        <f t="shared" si="27"/>
        <v>1.3899999999999999E-2</v>
      </c>
      <c r="AA48" s="247">
        <f t="shared" si="9"/>
        <v>23.283300000000001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48" s="234" t="str">
        <f t="shared" si="12"/>
        <v>"C:\Program Files (x86)\AstroGrep\AstroGrep.exe" /e /r /s /spath="%USERPROFILE%\AppData\Local\Temp\OnboardLogs" /stypes="app*4005*20171222*"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136-22 --locoid 4005 --swversion DE.1.0.9.0 --startMP 204:232972 --initTime 2017-12-22T08:37:39 --startdatetime 2017-12-22T08:57:26 --delay 55 --endMP 204:139 --enddatetime 2017-12-22T09:33:54 --enforcementcount 0 &gt;&gt;%USERPROFILE%\Documents\GitHub\eaglep3-reporting\EC\2017-12-22-refined-times.txt</v>
      </c>
      <c r="AI4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{"issue":{"subject":"","project_id":79,"tracker_id":40,"status_id":1,"priority_id":2,"assigned_to_id":338,"start_date":"2017-12-22","description":"","custom_fields":[{"id":1,"name":"Subdivision","value":"EC"},{"id":4,"name":"Milepost","value":"0.0139"},{"id":17,"name":"Train ID","value":"136-22"},{"id":16,"name":"Locomotive ID","value":"4005"},{"id":130,"name":"Impact","value":""},{"id":150,"name":"Time of Event (Mountain Time)","value":"09:33:54"},{"id":151,"name":"Denver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4005 --day 2017-12-22</v>
      </c>
      <c r="AN4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-22T07:37:39-0700',mode:absolute,to:'2017-12-22T10:33:54-0700'))&amp;_a=(columns:!('Message%20ID',Summary),filters:!(),index:'emp_*',interval:auto,query:(query_string:(analyze_wildcard:!t,query:'%22rtdc.l.rtdc.4005%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730</v>
      </c>
      <c r="B49" s="225">
        <v>4062</v>
      </c>
      <c r="C49" s="227" t="s">
        <v>192</v>
      </c>
      <c r="D49" s="227" t="s">
        <v>519</v>
      </c>
      <c r="E49" s="226">
        <v>43091.338194444441</v>
      </c>
      <c r="F49" s="226">
        <v>43091.3440162037</v>
      </c>
      <c r="G49" s="225">
        <v>64</v>
      </c>
      <c r="H49" s="227" t="s">
        <v>604</v>
      </c>
      <c r="I49" s="226">
        <v>43091.367951388886</v>
      </c>
      <c r="J49" s="225">
        <v>0</v>
      </c>
      <c r="K49" s="237" t="str">
        <f t="shared" si="0"/>
        <v>4061/4062</v>
      </c>
      <c r="L49" s="245" t="str">
        <f>VLOOKUP(A49,'Trips&amp;Operators'!$C$1:$G$99911,5,FALSE)</f>
        <v>LOPES KIMBERLY</v>
      </c>
      <c r="M49" s="224">
        <f t="shared" si="1"/>
        <v>2.3935185185109731E-2</v>
      </c>
      <c r="N49" s="225">
        <f t="shared" si="24"/>
        <v>34.466666666558012</v>
      </c>
      <c r="O49" s="225"/>
      <c r="P49" s="225"/>
      <c r="Q49" s="228"/>
      <c r="R49" s="242"/>
      <c r="S49" s="249">
        <f t="shared" si="3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-22T07:07:00-0700',mode:absolute,to:'2017-12-22T09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47" t="str">
        <f>IF(AA49&lt;VLOOKUP(AG49,Variables!$AC$3:$AD$8,2,FALSE),"Y","N")</f>
        <v>N</v>
      </c>
      <c r="X49" s="247">
        <f t="shared" si="25"/>
        <v>1</v>
      </c>
      <c r="Y49" s="247">
        <f t="shared" si="26"/>
        <v>5.0599999999999999E-2</v>
      </c>
      <c r="Z49" s="247">
        <f t="shared" si="27"/>
        <v>23.330300000000001</v>
      </c>
      <c r="AA49" s="247">
        <f t="shared" si="9"/>
        <v>23.279700000000002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49" s="234" t="str">
        <f t="shared" si="12"/>
        <v>"C:\Program Files (x86)\AstroGrep\AstroGrep.exe" /e /r /s /spath="%USERPROFILE%\AppData\Local\Temp\OnboardLogs" /stypes="app*4062*20171222*"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137-22 --locoid 4062 --swversion DE.1.0.9.0 --startMP 204:506 --initTime 2017-12-22T08:07:00 --startdatetime 2017-12-22T08:15:23 --delay 64 --endMP 204:233303 --enddatetime 2017-12-22T08:49:51 --enforcementcount 0 &gt;&gt;%USERPROFILE%\Documents\GitHub\eaglep3-reporting\EC\2017-12-22-refined-times.txt</v>
      </c>
      <c r="AI4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{"issue":{"subject":"","project_id":79,"tracker_id":40,"status_id":1,"priority_id":2,"assigned_to_id":338,"start_date":"2017-12-22","description":"","custom_fields":[{"id":1,"name":"Subdivision","value":"EC"},{"id":4,"name":"Milepost","value":"23.3303"},{"id":17,"name":"Train ID","value":"137-22"},{"id":16,"name":"Locomotive ID","value":"4062"},{"id":130,"name":"Impact","value":""},{"id":150,"name":"Time of Event (Mountain Time)","value":"08:49:51"},{"id":151,"name":"Denver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4062 --day 2017-12-22</v>
      </c>
      <c r="AN4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-22T07:07:00-0700',mode:absolute,to:'2017-12-22T09:49:51-0700'))&amp;_a=(columns:!('Message%20ID',Summary),filters:!(),index:'emp_*',interval:auto,query:(query_string:(analyze_wildcard:!t,query:'%22rtdc.l.rtdc.4062%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739</v>
      </c>
      <c r="B50" s="225">
        <v>4061</v>
      </c>
      <c r="C50" s="227" t="s">
        <v>192</v>
      </c>
      <c r="D50" s="227" t="s">
        <v>926</v>
      </c>
      <c r="E50" s="226">
        <v>43091.376296296294</v>
      </c>
      <c r="F50" s="226">
        <v>43091.383530092593</v>
      </c>
      <c r="G50" s="225">
        <v>47</v>
      </c>
      <c r="H50" s="227" t="s">
        <v>522</v>
      </c>
      <c r="I50" s="226">
        <v>43091.409259259257</v>
      </c>
      <c r="J50" s="225">
        <v>0</v>
      </c>
      <c r="K50" s="237" t="str">
        <f t="shared" si="0"/>
        <v>4061/4062</v>
      </c>
      <c r="L50" s="245" t="str">
        <f>VLOOKUP(A50,'Trips&amp;Operators'!$C$1:$G$99911,5,FALSE)</f>
        <v>LOPES KIMBERLY</v>
      </c>
      <c r="M50" s="224">
        <f t="shared" si="1"/>
        <v>2.5729166663950309E-2</v>
      </c>
      <c r="N50" s="225">
        <f t="shared" si="24"/>
        <v>37.049999996088445</v>
      </c>
      <c r="O50" s="225"/>
      <c r="P50" s="225"/>
      <c r="Q50" s="228"/>
      <c r="R50" s="242"/>
      <c r="S50" s="249">
        <f t="shared" si="3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-22T08:01:52-0700',mode:absolute,to:'2017-12-22T10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47" t="str">
        <f>IF(AA50&lt;VLOOKUP(AG50,Variables!$AC$3:$AD$8,2,FALSE),"Y","N")</f>
        <v>N</v>
      </c>
      <c r="X50" s="247">
        <f t="shared" si="25"/>
        <v>1</v>
      </c>
      <c r="Y50" s="247">
        <f t="shared" si="26"/>
        <v>23.297699999999999</v>
      </c>
      <c r="Z50" s="247">
        <f t="shared" si="27"/>
        <v>1.8499999999999999E-2</v>
      </c>
      <c r="AA50" s="247">
        <f t="shared" si="9"/>
        <v>23.279199999999999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50" s="234" t="str">
        <f t="shared" si="12"/>
        <v>"C:\Program Files (x86)\AstroGrep\AstroGrep.exe" /e /r /s /spath="%USERPROFILE%\AppData\Local\Temp\OnboardLogs" /stypes="app*4061*20171222*"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138-22 --locoid 4061 --swversion DE.1.0.9.0 --startMP 204:232977 --initTime 2017-12-22T09:01:52 --startdatetime 2017-12-22T09:12:17 --delay 47 --endMP 204:185 --enddatetime 2017-12-22T09:49:20 --enforcementcount 0 &gt;&gt;%USERPROFILE%\Documents\GitHub\eaglep3-reporting\EC\2017-12-22-refined-times.txt</v>
      </c>
      <c r="AI5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{"issue":{"subject":"","project_id":79,"tracker_id":40,"status_id":1,"priority_id":2,"assigned_to_id":338,"start_date":"2017-12-22","description":"","custom_fields":[{"id":1,"name":"Subdivision","value":"EC"},{"id":4,"name":"Milepost","value":"0.0185"},{"id":17,"name":"Train ID","value":"138-22"},{"id":16,"name":"Locomotive ID","value":"4061"},{"id":130,"name":"Impact","value":""},{"id":150,"name":"Time of Event (Mountain Time)","value":"09:49:20"},{"id":151,"name":"Denver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4061 --day 2017-12-22</v>
      </c>
      <c r="AN5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-22T08:01:52-0700',mode:absolute,to:'2017-12-22T10:49:20-0700'))&amp;_a=(columns:!('Message%20ID',Summary),filters:!(),index:'emp_*',interval:auto,query:(query_string:(analyze_wildcard:!t,query:'%22rtdc.l.rtdc.4061%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732</v>
      </c>
      <c r="B51" s="225">
        <v>4010</v>
      </c>
      <c r="C51" s="227" t="s">
        <v>192</v>
      </c>
      <c r="D51" s="227" t="s">
        <v>564</v>
      </c>
      <c r="E51" s="226">
        <v>43091.347881944443</v>
      </c>
      <c r="F51" s="226">
        <v>43091.354375000003</v>
      </c>
      <c r="G51" s="225">
        <v>48</v>
      </c>
      <c r="H51" s="227" t="s">
        <v>613</v>
      </c>
      <c r="I51" s="226">
        <v>43091.378842592596</v>
      </c>
      <c r="J51" s="225">
        <v>0</v>
      </c>
      <c r="K51" s="237" t="str">
        <f t="shared" si="0"/>
        <v>4009/4010</v>
      </c>
      <c r="L51" s="245" t="str">
        <f>VLOOKUP(A51,'Trips&amp;Operators'!$C$1:$G$99911,5,FALSE)</f>
        <v>YORK EDGAR</v>
      </c>
      <c r="M51" s="224">
        <f t="shared" si="1"/>
        <v>2.4467592593282461E-2</v>
      </c>
      <c r="N51" s="225">
        <f t="shared" si="24"/>
        <v>35.233333334326744</v>
      </c>
      <c r="O51" s="225"/>
      <c r="P51" s="225"/>
      <c r="Q51" s="228"/>
      <c r="R51" s="242"/>
      <c r="S51" s="249">
        <f t="shared" si="3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-22T07:20:57-0700',mode:absolute,to:'2017-12-22T10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247" t="str">
        <f>IF(AA51&lt;VLOOKUP(AG51,Variables!$AC$3:$AD$8,2,FALSE),"Y","N")</f>
        <v>N</v>
      </c>
      <c r="X51" s="247">
        <f t="shared" si="25"/>
        <v>1</v>
      </c>
      <c r="Y51" s="247">
        <f t="shared" si="26"/>
        <v>4.7500000000000001E-2</v>
      </c>
      <c r="Z51" s="247">
        <f t="shared" si="27"/>
        <v>23.3291</v>
      </c>
      <c r="AA51" s="247">
        <f t="shared" si="9"/>
        <v>23.281600000000001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51" s="234" t="str">
        <f t="shared" si="12"/>
        <v>"C:\Program Files (x86)\AstroGrep\AstroGrep.exe" /e /r /s /spath="%USERPROFILE%\AppData\Local\Temp\OnboardLogs" /stypes="app*4010*20171222*"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139-22 --locoid 4010 --swversion DE.1.0.9.0 --startMP 204:475 --initTime 2017-12-22T08:20:57 --startdatetime 2017-12-22T08:30:18 --delay 48 --endMP 204:233291 --enddatetime 2017-12-22T09:05:32 --enforcementcount 0 &gt;&gt;%USERPROFILE%\Documents\GitHub\eaglep3-reporting\EC\2017-12-22-refined-times.txt</v>
      </c>
      <c r="AI5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{"issue":{"subject":"","project_id":79,"tracker_id":40,"status_id":1,"priority_id":2,"assigned_to_id":338,"start_date":"2017-12-22","description":"","custom_fields":[{"id":1,"name":"Subdivision","value":"EC"},{"id":4,"name":"Milepost","value":"23.3291"},{"id":17,"name":"Train ID","value":"139-22"},{"id":16,"name":"Locomotive ID","value":"4010"},{"id":130,"name":"Impact","value":""},{"id":150,"name":"Time of Event (Mountain Time)","value":"09:05:32"},{"id":151,"name":"Denver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4010 --day 2017-12-22</v>
      </c>
      <c r="AN5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-22T07:20:57-0700',mode:absolute,to:'2017-12-22T10:05:32-0700'))&amp;_a=(columns:!('Message%20ID',Summary),filters:!(),index:'emp_*',interval:auto,query:(query_string:(analyze_wildcard:!t,query:'%22rtdc.l.rtdc.4010%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741</v>
      </c>
      <c r="B52" s="225">
        <v>4009</v>
      </c>
      <c r="C52" s="227" t="s">
        <v>192</v>
      </c>
      <c r="D52" s="227" t="s">
        <v>900</v>
      </c>
      <c r="E52" s="226">
        <v>43091.380011574074</v>
      </c>
      <c r="F52" s="226">
        <v>43091.39402777778</v>
      </c>
      <c r="G52" s="225">
        <v>47</v>
      </c>
      <c r="H52" s="227" t="s">
        <v>536</v>
      </c>
      <c r="I52" s="226">
        <v>43091.418842592589</v>
      </c>
      <c r="J52" s="225">
        <v>0</v>
      </c>
      <c r="K52" s="237" t="str">
        <f t="shared" si="0"/>
        <v>4009/4010</v>
      </c>
      <c r="L52" s="245" t="str">
        <f>VLOOKUP(A52,'Trips&amp;Operators'!$C$1:$G$99911,5,FALSE)</f>
        <v>YORK EDGAR</v>
      </c>
      <c r="M52" s="224">
        <f t="shared" si="1"/>
        <v>2.4814814809360541E-2</v>
      </c>
      <c r="N52" s="225">
        <f t="shared" si="24"/>
        <v>35.73333332547918</v>
      </c>
      <c r="O52" s="225"/>
      <c r="P52" s="225"/>
      <c r="Q52" s="228"/>
      <c r="R52" s="242"/>
      <c r="S52" s="249">
        <f t="shared" si="3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-22T08:07:13-0700',mode:absolute,to:'2017-12-22T11:03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247" t="str">
        <f>IF(AA52&lt;VLOOKUP(AG52,Variables!$AC$3:$AD$8,2,FALSE),"Y","N")</f>
        <v>N</v>
      </c>
      <c r="X52" s="247">
        <f t="shared" si="25"/>
        <v>1</v>
      </c>
      <c r="Y52" s="247">
        <f t="shared" si="26"/>
        <v>23.2974</v>
      </c>
      <c r="Z52" s="247">
        <f t="shared" si="27"/>
        <v>1.9400000000000001E-2</v>
      </c>
      <c r="AA52" s="247">
        <f t="shared" si="9"/>
        <v>23.277999999999999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52" s="234" t="str">
        <f t="shared" si="12"/>
        <v>"C:\Program Files (x86)\AstroGrep\AstroGrep.exe" /e /r /s /spath="%USERPROFILE%\AppData\Local\Temp\OnboardLogs" /stypes="app*4009*20171222*"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140-22 --locoid 4009 --swversion DE.1.0.9.0 --startMP 204:232974 --initTime 2017-12-22T09:07:13 --startdatetime 2017-12-22T09:27:24 --delay 47 --endMP 204:194 --enddatetime 2017-12-22T10:03:08 --enforcementcount 0 &gt;&gt;%USERPROFILE%\Documents\GitHub\eaglep3-reporting\EC\2017-12-22-refined-times.txt</v>
      </c>
      <c r="AI5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{"issue":{"subject":"","project_id":79,"tracker_id":40,"status_id":1,"priority_id":2,"assigned_to_id":338,"start_date":"2017-12-22","description":"","custom_fields":[{"id":1,"name":"Subdivision","value":"EC"},{"id":4,"name":"Milepost","value":"0.0194"},{"id":17,"name":"Train ID","value":"140-22"},{"id":16,"name":"Locomotive ID","value":"4009"},{"id":130,"name":"Impact","value":""},{"id":150,"name":"Time of Event (Mountain Time)","value":"10:03:08"},{"id":151,"name":"Denver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4009 --day 2017-12-22</v>
      </c>
      <c r="AN5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17:03:08"},{"id":29,"name":"Sharepoint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-22T08:07:13-0700',mode:absolute,to:'2017-12-22T11:03:08-0700'))&amp;_a=(columns:!('Message%20ID',Summary),filters:!(),index:'emp_*',interval:auto,query:(query_string:(analyze_wildcard:!t,query:'%22rtdc.l.rtdc.4009%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737</v>
      </c>
      <c r="B53" s="225">
        <v>4008</v>
      </c>
      <c r="C53" s="227" t="s">
        <v>192</v>
      </c>
      <c r="D53" s="227" t="s">
        <v>927</v>
      </c>
      <c r="E53" s="226">
        <v>43091.362939814811</v>
      </c>
      <c r="F53" s="226">
        <v>43091.364768518521</v>
      </c>
      <c r="G53" s="225">
        <v>43</v>
      </c>
      <c r="H53" s="227" t="s">
        <v>928</v>
      </c>
      <c r="I53" s="226">
        <v>43091.388912037037</v>
      </c>
      <c r="J53" s="225">
        <v>0</v>
      </c>
      <c r="K53" s="237" t="str">
        <f t="shared" si="0"/>
        <v>4007/4008</v>
      </c>
      <c r="L53" s="245" t="str">
        <f>VLOOKUP(A53,'Trips&amp;Operators'!$C$1:$G$99911,5,FALSE)</f>
        <v>MACDONALD THOMAS</v>
      </c>
      <c r="M53" s="224">
        <f t="shared" si="1"/>
        <v>2.414351851621177E-2</v>
      </c>
      <c r="N53" s="225">
        <f t="shared" si="24"/>
        <v>34.766666663344949</v>
      </c>
      <c r="O53" s="225"/>
      <c r="P53" s="225"/>
      <c r="Q53" s="228"/>
      <c r="R53" s="242"/>
      <c r="S53" s="249">
        <f t="shared" si="3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-22T07:42:38-0700',mode:absolute,to:'2017-12-22T10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247" t="str">
        <f>IF(AA53&lt;VLOOKUP(AG53,Variables!$AC$3:$AD$8,2,FALSE),"Y","N")</f>
        <v>N</v>
      </c>
      <c r="X53" s="247">
        <f t="shared" si="25"/>
        <v>1</v>
      </c>
      <c r="Y53" s="247">
        <f t="shared" si="26"/>
        <v>4.8899999999999999E-2</v>
      </c>
      <c r="Z53" s="247">
        <f t="shared" si="27"/>
        <v>23.3218</v>
      </c>
      <c r="AA53" s="247">
        <f t="shared" si="9"/>
        <v>23.2729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53" s="234" t="str">
        <f t="shared" si="12"/>
        <v>"C:\Program Files (x86)\AstroGrep\AstroGrep.exe" /e /r /s /spath="%USERPROFILE%\AppData\Local\Temp\OnboardLogs" /stypes="app*4008*20171222*"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141-22 --locoid 4008 --swversion DE.1.0.9.0 --startMP 204:489 --initTime 2017-12-22T08:42:38 --startdatetime 2017-12-22T08:45:16 --delay 43 --endMP 204:233218 --enddatetime 2017-12-22T09:20:02 --enforcementcount 0 &gt;&gt;%USERPROFILE%\Documents\GitHub\eaglep3-reporting\EC\2017-12-22-refined-times.txt</v>
      </c>
      <c r="AI5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{"issue":{"subject":"","project_id":79,"tracker_id":40,"status_id":1,"priority_id":2,"assigned_to_id":338,"start_date":"2017-12-22","description":"","custom_fields":[{"id":1,"name":"Subdivision","value":"EC"},{"id":4,"name":"Milepost","value":"23.3218"},{"id":17,"name":"Train ID","value":"141-22"},{"id":16,"name":"Locomotive ID","value":"4008"},{"id":130,"name":"Impact","value":""},{"id":150,"name":"Time of Event (Mountain Time)","value":"09:20:02"},{"id":151,"name":"Denver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4008 --day 2017-12-22</v>
      </c>
      <c r="AN5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-22T07:42:38-0700',mode:absolute,to:'2017-12-22T10:20:02-0700'))&amp;_a=(columns:!('Message%20ID',Summary),filters:!(),index:'emp_*',interval:auto,query:(query_string:(analyze_wildcard:!t,query:'%22rtdc.l.rtdc.4008%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744</v>
      </c>
      <c r="B54" s="225">
        <v>4007</v>
      </c>
      <c r="C54" s="227" t="s">
        <v>192</v>
      </c>
      <c r="D54" s="227" t="s">
        <v>929</v>
      </c>
      <c r="E54" s="226">
        <v>43091.390659722223</v>
      </c>
      <c r="F54" s="226">
        <v>43091.404456018521</v>
      </c>
      <c r="G54" s="225">
        <v>47</v>
      </c>
      <c r="H54" s="227" t="s">
        <v>544</v>
      </c>
      <c r="I54" s="226">
        <v>43091.430578703701</v>
      </c>
      <c r="J54" s="225">
        <v>0</v>
      </c>
      <c r="K54" s="237" t="str">
        <f t="shared" si="0"/>
        <v>4007/4008</v>
      </c>
      <c r="L54" s="245" t="str">
        <f>VLOOKUP(A54,'Trips&amp;Operators'!$C$1:$G$99911,5,FALSE)</f>
        <v>MACDONALD THOMAS</v>
      </c>
      <c r="M54" s="224">
        <f t="shared" si="1"/>
        <v>2.6122685179871041E-2</v>
      </c>
      <c r="N54" s="225">
        <f t="shared" si="24"/>
        <v>37.6166666590143</v>
      </c>
      <c r="O54" s="225"/>
      <c r="P54" s="225"/>
      <c r="Q54" s="228"/>
      <c r="R54" s="242"/>
      <c r="S54" s="249">
        <f t="shared" si="3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-22T08:22:33-0700',mode:absolute,to:'2017-12-22T11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247" t="str">
        <f>IF(AA54&lt;VLOOKUP(AG54,Variables!$AC$3:$AD$8,2,FALSE),"Y","N")</f>
        <v>N</v>
      </c>
      <c r="X54" s="247">
        <f t="shared" si="25"/>
        <v>1</v>
      </c>
      <c r="Y54" s="247">
        <f t="shared" si="26"/>
        <v>23.290400000000002</v>
      </c>
      <c r="Z54" s="247">
        <f t="shared" si="27"/>
        <v>2.2100000000000002E-2</v>
      </c>
      <c r="AA54" s="247">
        <f t="shared" si="9"/>
        <v>23.268300000000004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54" s="234" t="str">
        <f t="shared" si="12"/>
        <v>"C:\Program Files (x86)\AstroGrep\AstroGrep.exe" /e /r /s /spath="%USERPROFILE%\AppData\Local\Temp\OnboardLogs" /stypes="app*4007*20171222*"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142-22 --locoid 4007 --swversion DE.1.0.9.0 --startMP 204:232904 --initTime 2017-12-22T09:22:33 --startdatetime 2017-12-22T09:42:25 --delay 47 --endMP 204:221 --enddatetime 2017-12-22T10:20:02 --enforcementcount 0 &gt;&gt;%USERPROFILE%\Documents\GitHub\eaglep3-reporting\EC\2017-12-22-refined-times.txt</v>
      </c>
      <c r="AI5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{"issue":{"subject":"","project_id":79,"tracker_id":40,"status_id":1,"priority_id":2,"assigned_to_id":338,"start_date":"2017-12-22","description":"","custom_fields":[{"id":1,"name":"Subdivision","value":"EC"},{"id":4,"name":"Milepost","value":"0.0221"},{"id":17,"name":"Train ID","value":"142-22"},{"id":16,"name":"Locomotive ID","value":"4007"},{"id":130,"name":"Impact","value":""},{"id":150,"name":"Time of Event (Mountain Time)","value":"10:20:02"},{"id":151,"name":"Denver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4007 --day 2017-12-22</v>
      </c>
      <c r="AN5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-22T08:22:33-0700',mode:absolute,to:'2017-12-22T11:20:02-0700'))&amp;_a=(columns:!('Message%20ID',Summary),filters:!(),index:'emp_*',interval:auto,query:(query_string:(analyze_wildcard:!t,query:'%22rtdc.l.rtdc.4007%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738</v>
      </c>
      <c r="B55" s="225">
        <v>4044</v>
      </c>
      <c r="C55" s="227" t="s">
        <v>192</v>
      </c>
      <c r="D55" s="227" t="s">
        <v>629</v>
      </c>
      <c r="E55" s="226">
        <v>43091.37054398148</v>
      </c>
      <c r="F55" s="226">
        <v>43091.375162037039</v>
      </c>
      <c r="G55" s="225">
        <v>43</v>
      </c>
      <c r="H55" s="227" t="s">
        <v>549</v>
      </c>
      <c r="I55" s="226">
        <v>43091.399988425925</v>
      </c>
      <c r="J55" s="225">
        <v>0</v>
      </c>
      <c r="K55" s="237" t="str">
        <f t="shared" si="0"/>
        <v>4043/4044</v>
      </c>
      <c r="L55" s="245" t="str">
        <f>VLOOKUP(A55,'Trips&amp;Operators'!$C$1:$G$99911,5,FALSE)</f>
        <v>MAELZER KURT</v>
      </c>
      <c r="M55" s="224">
        <f t="shared" si="1"/>
        <v>2.4826388886140194E-2</v>
      </c>
      <c r="N55" s="225">
        <f t="shared" si="24"/>
        <v>35.749999996041879</v>
      </c>
      <c r="O55" s="225"/>
      <c r="P55" s="225"/>
      <c r="Q55" s="228"/>
      <c r="R55" s="242"/>
      <c r="S55" s="249">
        <f t="shared" si="3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-22T07:53:35-0700',mode:absolute,to:'2017-12-22T10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247" t="str">
        <f>IF(AA55&lt;VLOOKUP(AG55,Variables!$AC$3:$AD$8,2,FALSE),"Y","N")</f>
        <v>N</v>
      </c>
      <c r="X55" s="247">
        <f t="shared" si="25"/>
        <v>1</v>
      </c>
      <c r="Y55" s="247">
        <f t="shared" si="26"/>
        <v>4.8399999999999999E-2</v>
      </c>
      <c r="Z55" s="247">
        <f t="shared" si="27"/>
        <v>23.331399999999999</v>
      </c>
      <c r="AA55" s="247">
        <f t="shared" si="9"/>
        <v>23.282999999999998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55" s="234" t="str">
        <f t="shared" si="12"/>
        <v>"C:\Program Files (x86)\AstroGrep\AstroGrep.exe" /e /r /s /spath="%USERPROFILE%\AppData\Local\Temp\OnboardLogs" /stypes="app*4044*20171222*"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143-22 --locoid 4044 --swversion DE.1.0.9.0 --startMP 204:484 --initTime 2017-12-22T08:53:35 --startdatetime 2017-12-22T09:00:14 --delay 43 --endMP 204:233314 --enddatetime 2017-12-22T09:35:59 --enforcementcount 0 &gt;&gt;%USERPROFILE%\Documents\GitHub\eaglep3-reporting\EC\2017-12-22-refined-times.txt</v>
      </c>
      <c r="AI5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{"issue":{"subject":"","project_id":79,"tracker_id":40,"status_id":1,"priority_id":2,"assigned_to_id":338,"start_date":"2017-12-22","description":"","custom_fields":[{"id":1,"name":"Subdivision","value":"EC"},{"id":4,"name":"Milepost","value":"23.3314"},{"id":17,"name":"Train ID","value":"143-22"},{"id":16,"name":"Locomotive ID","value":"4044"},{"id":130,"name":"Impact","value":""},{"id":150,"name":"Time of Event (Mountain Time)","value":"09:35:59"},{"id":151,"name":"Denver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4044 --day 2017-12-22</v>
      </c>
      <c r="AN5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-22T07:53:35-0700',mode:absolute,to:'2017-12-22T10:35:59-0700'))&amp;_a=(columns:!('Message%20ID',Summary),filters:!(),index:'emp_*',interval:auto,query:(query_string:(analyze_wildcard:!t,query:'%22rtdc.l.rtdc.4044%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747</v>
      </c>
      <c r="B56" s="225">
        <v>4043</v>
      </c>
      <c r="C56" s="227" t="s">
        <v>192</v>
      </c>
      <c r="D56" s="227" t="s">
        <v>930</v>
      </c>
      <c r="E56" s="226">
        <v>43091.405497685184</v>
      </c>
      <c r="F56" s="226">
        <v>43091.415000000001</v>
      </c>
      <c r="G56" s="225">
        <v>42</v>
      </c>
      <c r="H56" s="227" t="s">
        <v>540</v>
      </c>
      <c r="I56" s="226">
        <v>43091.441296296296</v>
      </c>
      <c r="J56" s="225">
        <v>0</v>
      </c>
      <c r="K56" s="237" t="str">
        <f t="shared" si="0"/>
        <v>4043/4044</v>
      </c>
      <c r="L56" s="245" t="str">
        <f>VLOOKUP(A56,'Trips&amp;Operators'!$C$1:$G$99911,5,FALSE)</f>
        <v>MAELZER KURT</v>
      </c>
      <c r="M56" s="224">
        <f t="shared" si="1"/>
        <v>2.6296296295186039E-2</v>
      </c>
      <c r="N56" s="225">
        <f t="shared" si="24"/>
        <v>37.866666665067896</v>
      </c>
      <c r="O56" s="225"/>
      <c r="P56" s="225"/>
      <c r="Q56" s="228"/>
      <c r="R56" s="242"/>
      <c r="S56" s="249">
        <f t="shared" si="3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-22T08:43:55-0700',mode:absolute,to:'2017-12-22T11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247" t="str">
        <f>IF(AA56&lt;VLOOKUP(AG56,Variables!$AC$3:$AD$8,2,FALSE),"Y","N")</f>
        <v>N</v>
      </c>
      <c r="X56" s="247">
        <f t="shared" si="25"/>
        <v>1</v>
      </c>
      <c r="Y56" s="247">
        <f t="shared" si="26"/>
        <v>23.300599999999999</v>
      </c>
      <c r="Z56" s="247">
        <f t="shared" si="27"/>
        <v>1.9800000000000002E-2</v>
      </c>
      <c r="AA56" s="247">
        <f t="shared" si="9"/>
        <v>23.280799999999999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56" s="234" t="str">
        <f t="shared" si="12"/>
        <v>"C:\Program Files (x86)\AstroGrep\AstroGrep.exe" /e /r /s /spath="%USERPROFILE%\AppData\Local\Temp\OnboardLogs" /stypes="app*4043*20171222*"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144-22 --locoid 4043 --swversion DE.1.0.9.0 --startMP 204:233006 --initTime 2017-12-22T09:43:55 --startdatetime 2017-12-22T09:57:36 --delay 42 --endMP 204:198 --enddatetime 2017-12-22T10:35:28 --enforcementcount 0 &gt;&gt;%USERPROFILE%\Documents\GitHub\eaglep3-reporting\EC\2017-12-22-refined-times.txt</v>
      </c>
      <c r="AI5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{"issue":{"subject":"","project_id":79,"tracker_id":40,"status_id":1,"priority_id":2,"assigned_to_id":338,"start_date":"2017-12-22","description":"","custom_fields":[{"id":1,"name":"Subdivision","value":"EC"},{"id":4,"name":"Milepost","value":"0.0198"},{"id":17,"name":"Train ID","value":"144-22"},{"id":16,"name":"Locomotive ID","value":"4043"},{"id":130,"name":"Impact","value":""},{"id":150,"name":"Time of Event (Mountain Time)","value":"10:35:28"},{"id":151,"name":"Denver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4043 --day 2017-12-22</v>
      </c>
      <c r="AN5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-22T08:43:55-0700',mode:absolute,to:'2017-12-22T11:35:28-0700'))&amp;_a=(columns:!('Message%20ID',Summary),filters:!(),index:'emp_*',interval:auto,query:(query_string:(analyze_wildcard:!t,query:'%22rtdc.l.rtdc.4043%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742</v>
      </c>
      <c r="B57" s="225">
        <v>4040</v>
      </c>
      <c r="C57" s="227" t="s">
        <v>192</v>
      </c>
      <c r="D57" s="227" t="s">
        <v>623</v>
      </c>
      <c r="E57" s="226">
        <v>43091.382164351853</v>
      </c>
      <c r="F57" s="226">
        <v>43091.38559027778</v>
      </c>
      <c r="G57" s="225">
        <v>56</v>
      </c>
      <c r="H57" s="227" t="s">
        <v>931</v>
      </c>
      <c r="I57" s="226">
        <v>43091.409780092596</v>
      </c>
      <c r="J57" s="225">
        <v>0</v>
      </c>
      <c r="K57" s="237" t="str">
        <f t="shared" si="0"/>
        <v>4039/4040</v>
      </c>
      <c r="L57" s="245" t="str">
        <f>VLOOKUP(A57,'Trips&amp;Operators'!$C$1:$G$99911,5,FALSE)</f>
        <v>YANAI IAN</v>
      </c>
      <c r="M57" s="224">
        <f t="shared" si="1"/>
        <v>2.4189814816054422E-2</v>
      </c>
      <c r="N57" s="225">
        <f t="shared" si="24"/>
        <v>34.833333335118368</v>
      </c>
      <c r="O57" s="225"/>
      <c r="P57" s="225"/>
      <c r="Q57" s="228"/>
      <c r="R57" s="242"/>
      <c r="S57" s="249">
        <f t="shared" si="3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-22T08:10:19-0700',mode:absolute,to:'2017-12-22T10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247" t="str">
        <f>IF(AA57&lt;VLOOKUP(AG57,Variables!$AC$3:$AD$8,2,FALSE),"Y","N")</f>
        <v>N</v>
      </c>
      <c r="X57" s="247">
        <f t="shared" si="25"/>
        <v>1</v>
      </c>
      <c r="Y57" s="247">
        <f t="shared" si="26"/>
        <v>4.3499999999999997E-2</v>
      </c>
      <c r="Z57" s="247">
        <f t="shared" si="27"/>
        <v>23.331199999999999</v>
      </c>
      <c r="AA57" s="247">
        <f t="shared" si="9"/>
        <v>23.287699999999997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57" s="234" t="str">
        <f t="shared" si="12"/>
        <v>"C:\Program Files (x86)\AstroGrep\AstroGrep.exe" /e /r /s /spath="%USERPROFILE%\AppData\Local\Temp\OnboardLogs" /stypes="app*4040*20171222*"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145-22 --locoid 4040 --swversion DE.1.0.9.0 --startMP 204:435 --initTime 2017-12-22T09:10:19 --startdatetime 2017-12-22T09:15:15 --delay 56 --endMP 204:233312 --enddatetime 2017-12-22T09:50:05 --enforcementcount 0 &gt;&gt;%USERPROFILE%\Documents\GitHub\eaglep3-reporting\EC\2017-12-22-refined-times.txt</v>
      </c>
      <c r="AI5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{"issue":{"subject":"","project_id":79,"tracker_id":40,"status_id":1,"priority_id":2,"assigned_to_id":338,"start_date":"2017-12-22","description":"","custom_fields":[{"id":1,"name":"Subdivision","value":"EC"},{"id":4,"name":"Milepost","value":"23.3312"},{"id":17,"name":"Train ID","value":"145-22"},{"id":16,"name":"Locomotive ID","value":"4040"},{"id":130,"name":"Impact","value":""},{"id":150,"name":"Time of Event (Mountain Time)","value":"09:50:05"},{"id":151,"name":"Denver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4040 --day 2017-12-22</v>
      </c>
      <c r="AN5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-22T08:10:19-0700',mode:absolute,to:'2017-12-22T10:50:05-0700'))&amp;_a=(columns:!('Message%20ID',Summary),filters:!(),index:'emp_*',interval:auto,query:(query_string:(analyze_wildcard:!t,query:'%22rtdc.l.rtdc.4040%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749</v>
      </c>
      <c r="B58" s="225">
        <v>4039</v>
      </c>
      <c r="C58" s="227" t="s">
        <v>192</v>
      </c>
      <c r="D58" s="227" t="s">
        <v>596</v>
      </c>
      <c r="E58" s="226">
        <v>43091.411168981482</v>
      </c>
      <c r="F58" s="226">
        <v>43091.425173611111</v>
      </c>
      <c r="G58" s="225">
        <v>51</v>
      </c>
      <c r="H58" s="227" t="s">
        <v>932</v>
      </c>
      <c r="I58" s="226">
        <v>43091.450856481482</v>
      </c>
      <c r="J58" s="225">
        <v>0</v>
      </c>
      <c r="K58" s="237" t="str">
        <f t="shared" si="0"/>
        <v>4039/4040</v>
      </c>
      <c r="L58" s="245" t="str">
        <f>VLOOKUP(A58,'Trips&amp;Operators'!$C$1:$G$99911,5,FALSE)</f>
        <v>YANAI IAN</v>
      </c>
      <c r="M58" s="224">
        <f t="shared" si="1"/>
        <v>2.5682870371383615E-2</v>
      </c>
      <c r="N58" s="225">
        <f t="shared" si="24"/>
        <v>36.983333334792405</v>
      </c>
      <c r="O58" s="225"/>
      <c r="P58" s="225"/>
      <c r="Q58" s="228"/>
      <c r="R58" s="242"/>
      <c r="S58" s="249">
        <f t="shared" si="3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-22T08:52:05-0700',mode:absolute,to:'2017-12-22T11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247" t="str">
        <f>IF(AA58&lt;VLOOKUP(AG58,Variables!$AC$3:$AD$8,2,FALSE),"Y","N")</f>
        <v>N</v>
      </c>
      <c r="X58" s="247">
        <f t="shared" si="25"/>
        <v>1</v>
      </c>
      <c r="Y58" s="247">
        <f t="shared" si="26"/>
        <v>23.299600000000002</v>
      </c>
      <c r="Z58" s="247">
        <f t="shared" si="27"/>
        <v>1.6299999999999999E-2</v>
      </c>
      <c r="AA58" s="247">
        <f t="shared" si="9"/>
        <v>23.283300000000001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58" s="234" t="str">
        <f t="shared" si="12"/>
        <v>"C:\Program Files (x86)\AstroGrep\AstroGrep.exe" /e /r /s /spath="%USERPROFILE%\AppData\Local\Temp\OnboardLogs" /stypes="app*4039*20171222*"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146-22 --locoid 4039 --swversion DE.1.0.9.0 --startMP 204:232996 --initTime 2017-12-22T09:52:05 --startdatetime 2017-12-22T10:12:15 --delay 51 --endMP 204:163 --enddatetime 2017-12-22T10:49:14 --enforcementcount 0 &gt;&gt;%USERPROFILE%\Documents\GitHub\eaglep3-reporting\EC\2017-12-22-refined-times.txt</v>
      </c>
      <c r="AI5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{"issue":{"subject":"","project_id":79,"tracker_id":40,"status_id":1,"priority_id":2,"assigned_to_id":338,"start_date":"2017-12-22","description":"","custom_fields":[{"id":1,"name":"Subdivision","value":"EC"},{"id":4,"name":"Milepost","value":"0.0163"},{"id":17,"name":"Train ID","value":"146-22"},{"id":16,"name":"Locomotive ID","value":"4039"},{"id":130,"name":"Impact","value":""},{"id":150,"name":"Time of Event (Mountain Time)","value":"10:49:14"},{"id":151,"name":"Denver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4039 --day 2017-12-22</v>
      </c>
      <c r="AN5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-22T08:52:05-0700',mode:absolute,to:'2017-12-22T11:49:14-0700'))&amp;_a=(columns:!('Message%20ID',Summary),filters:!(),index:'emp_*',interval:auto,query:(query_string:(analyze_wildcard:!t,query:'%22rtdc.l.rtdc.4039%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743</v>
      </c>
      <c r="B59" s="225">
        <v>4020</v>
      </c>
      <c r="C59" s="227" t="s">
        <v>192</v>
      </c>
      <c r="D59" s="227" t="s">
        <v>913</v>
      </c>
      <c r="E59" s="226">
        <v>43091.390451388892</v>
      </c>
      <c r="F59" s="226">
        <v>43091.396018518521</v>
      </c>
      <c r="G59" s="225">
        <v>60</v>
      </c>
      <c r="H59" s="227" t="s">
        <v>895</v>
      </c>
      <c r="I59" s="226">
        <v>43091.420902777776</v>
      </c>
      <c r="J59" s="225">
        <v>0</v>
      </c>
      <c r="K59" s="237" t="str">
        <f t="shared" si="0"/>
        <v>4019/4020</v>
      </c>
      <c r="L59" s="245" t="str">
        <f>VLOOKUP(A59,'Trips&amp;Operators'!$C$1:$G$99911,5,FALSE)</f>
        <v>BONDS REYNALDO</v>
      </c>
      <c r="M59" s="224">
        <f t="shared" si="1"/>
        <v>2.488425925548654E-2</v>
      </c>
      <c r="N59" s="225">
        <f t="shared" si="24"/>
        <v>35.833333327900618</v>
      </c>
      <c r="O59" s="225"/>
      <c r="P59" s="225"/>
      <c r="Q59" s="228"/>
      <c r="R59" s="242"/>
      <c r="S59" s="249">
        <f t="shared" si="3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-22T08:22:15-0700',mode:absolute,to:'2017-12-22T11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47" t="str">
        <f>IF(AA59&lt;VLOOKUP(AG59,Variables!$AC$3:$AD$8,2,FALSE),"Y","N")</f>
        <v>N</v>
      </c>
      <c r="X59" s="247">
        <f t="shared" si="25"/>
        <v>1</v>
      </c>
      <c r="Y59" s="247">
        <f t="shared" si="26"/>
        <v>4.8800000000000003E-2</v>
      </c>
      <c r="Z59" s="247">
        <f t="shared" si="27"/>
        <v>23.329799999999999</v>
      </c>
      <c r="AA59" s="247">
        <f t="shared" si="9"/>
        <v>23.280999999999999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59" s="234" t="str">
        <f t="shared" si="12"/>
        <v>"C:\Program Files (x86)\AstroGrep\AstroGrep.exe" /e /r /s /spath="%USERPROFILE%\AppData\Local\Temp\OnboardLogs" /stypes="app*4020*20171222*"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147-22 --locoid 4020 --swversion DE.1.0.9.0 --startMP 204:488 --initTime 2017-12-22T09:22:15 --startdatetime 2017-12-22T09:30:16 --delay 60 --endMP 204:233298 --enddatetime 2017-12-22T10:06:06 --enforcementcount 0 &gt;&gt;%USERPROFILE%\Documents\GitHub\eaglep3-reporting\EC\2017-12-22-refined-times.txt</v>
      </c>
      <c r="AI5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{"issue":{"subject":"","project_id":79,"tracker_id":40,"status_id":1,"priority_id":2,"assigned_to_id":338,"start_date":"2017-12-22","description":"","custom_fields":[{"id":1,"name":"Subdivision","value":"EC"},{"id":4,"name":"Milepost","value":"23.3298"},{"id":17,"name":"Train ID","value":"147-22"},{"id":16,"name":"Locomotive ID","value":"4020"},{"id":130,"name":"Impact","value":""},{"id":150,"name":"Time of Event (Mountain Time)","value":"10:06:06"},{"id":151,"name":"Denver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4020 --day 2017-12-22</v>
      </c>
      <c r="AN5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-22T08:22:15-0700',mode:absolute,to:'2017-12-22T11:06:06-0700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756</v>
      </c>
      <c r="B60" s="225">
        <v>4019</v>
      </c>
      <c r="C60" s="227" t="s">
        <v>192</v>
      </c>
      <c r="D60" s="227" t="s">
        <v>552</v>
      </c>
      <c r="E60" s="226">
        <v>43091.432106481479</v>
      </c>
      <c r="F60" s="226">
        <v>43091.435659722221</v>
      </c>
      <c r="G60" s="225">
        <v>49</v>
      </c>
      <c r="H60" s="227" t="s">
        <v>521</v>
      </c>
      <c r="I60" s="226">
        <v>43091.462592592594</v>
      </c>
      <c r="J60" s="225">
        <v>0</v>
      </c>
      <c r="K60" s="237" t="str">
        <f t="shared" si="0"/>
        <v>4019/4020</v>
      </c>
      <c r="L60" s="245" t="str">
        <f>VLOOKUP(A60,'Trips&amp;Operators'!$C$1:$G$99911,5,FALSE)</f>
        <v>BONDS REYNALDO</v>
      </c>
      <c r="M60" s="224">
        <f t="shared" si="1"/>
        <v>2.6932870372547768E-2</v>
      </c>
      <c r="N60" s="225">
        <f t="shared" si="24"/>
        <v>38.783333336468786</v>
      </c>
      <c r="O60" s="225"/>
      <c r="P60" s="225"/>
      <c r="Q60" s="228"/>
      <c r="R60" s="242"/>
      <c r="S60" s="249">
        <f t="shared" si="3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-22T09:22:14-0700',mode:absolute,to:'2017-12-22T12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47" t="str">
        <f>IF(AA60&lt;VLOOKUP(AG60,Variables!$AC$3:$AD$8,2,FALSE),"Y","N")</f>
        <v>N</v>
      </c>
      <c r="X60" s="247">
        <f t="shared" si="25"/>
        <v>1</v>
      </c>
      <c r="Y60" s="247">
        <f t="shared" si="26"/>
        <v>23.2987</v>
      </c>
      <c r="Z60" s="247">
        <f t="shared" si="27"/>
        <v>2.01E-2</v>
      </c>
      <c r="AA60" s="247">
        <f t="shared" si="9"/>
        <v>23.278600000000001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60" s="234" t="str">
        <f t="shared" si="12"/>
        <v>"C:\Program Files (x86)\AstroGrep\AstroGrep.exe" /e /r /s /spath="%USERPROFILE%\AppData\Local\Temp\OnboardLogs" /stypes="app*4019*20171222*"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148-22 --locoid 4019 --swversion DE.1.0.9.0 --startMP 204:232987 --initTime 2017-12-22T10:22:14 --startdatetime 2017-12-22T10:27:21 --delay 49 --endMP 204:201 --enddatetime 2017-12-22T11:06:08 --enforcementcount 0 &gt;&gt;%USERPROFILE%\Documents\GitHub\eaglep3-reporting\EC\2017-12-22-refined-times.txt</v>
      </c>
      <c r="AI6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{"issue":{"subject":"","project_id":79,"tracker_id":40,"status_id":1,"priority_id":2,"assigned_to_id":338,"start_date":"2017-12-22","description":"","custom_fields":[{"id":1,"name":"Subdivision","value":"EC"},{"id":4,"name":"Milepost","value":"0.0201"},{"id":17,"name":"Train ID","value":"148-22"},{"id":16,"name":"Locomotive ID","value":"4019"},{"id":130,"name":"Impact","value":""},{"id":150,"name":"Time of Event (Mountain Time)","value":"11:06:08"},{"id":151,"name":"Denver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4019 --day 2017-12-22</v>
      </c>
      <c r="AN6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-22T09:22:14-0700',mode:absolute,to:'2017-12-22T12:06:08-0700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746</v>
      </c>
      <c r="B61" s="225">
        <v>4006</v>
      </c>
      <c r="C61" s="227" t="s">
        <v>192</v>
      </c>
      <c r="D61" s="227" t="s">
        <v>600</v>
      </c>
      <c r="E61" s="226">
        <v>43091.400578703702</v>
      </c>
      <c r="F61" s="226">
        <v>43091.406423611108</v>
      </c>
      <c r="G61" s="225">
        <v>52</v>
      </c>
      <c r="H61" s="227" t="s">
        <v>604</v>
      </c>
      <c r="I61" s="226">
        <v>43091.430358796293</v>
      </c>
      <c r="J61" s="225">
        <v>0</v>
      </c>
      <c r="K61" s="237" t="str">
        <f t="shared" si="0"/>
        <v>4005/4006</v>
      </c>
      <c r="L61" s="245" t="str">
        <f>VLOOKUP(A61,'Trips&amp;Operators'!$C$1:$G$99911,5,FALSE)</f>
        <v>GEBRETEKLE DAGNEW</v>
      </c>
      <c r="M61" s="224">
        <f t="shared" si="1"/>
        <v>2.3935185185109731E-2</v>
      </c>
      <c r="N61" s="225">
        <f t="shared" si="24"/>
        <v>34.466666666558012</v>
      </c>
      <c r="O61" s="225"/>
      <c r="P61" s="225"/>
      <c r="Q61" s="228"/>
      <c r="R61" s="242"/>
      <c r="S61" s="249">
        <f t="shared" si="3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-22T08:36:50-0700',mode:absolute,to:'2017-12-22T11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247" t="str">
        <f>IF(AA61&lt;VLOOKUP(AG61,Variables!$AC$3:$AD$8,2,FALSE),"Y","N")</f>
        <v>N</v>
      </c>
      <c r="X61" s="247">
        <f t="shared" si="25"/>
        <v>1</v>
      </c>
      <c r="Y61" s="247">
        <f t="shared" si="26"/>
        <v>4.5100000000000001E-2</v>
      </c>
      <c r="Z61" s="247">
        <f t="shared" si="27"/>
        <v>23.330300000000001</v>
      </c>
      <c r="AA61" s="247">
        <f t="shared" si="9"/>
        <v>23.2852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61" s="234" t="str">
        <f t="shared" si="12"/>
        <v>"C:\Program Files (x86)\AstroGrep\AstroGrep.exe" /e /r /s /spath="%USERPROFILE%\AppData\Local\Temp\OnboardLogs" /stypes="app*4006*20171222*"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149-22 --locoid 4006 --swversion DE.1.0.9.0 --startMP 204:451 --initTime 2017-12-22T09:36:50 --startdatetime 2017-12-22T09:45:15 --delay 52 --endMP 204:233303 --enddatetime 2017-12-22T10:19:43 --enforcementcount 0 &gt;&gt;%USERPROFILE%\Documents\GitHub\eaglep3-reporting\EC\2017-12-22-refined-times.txt</v>
      </c>
      <c r="AI6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{"issue":{"subject":"","project_id":79,"tracker_id":40,"status_id":1,"priority_id":2,"assigned_to_id":338,"start_date":"2017-12-22","description":"","custom_fields":[{"id":1,"name":"Subdivision","value":"EC"},{"id":4,"name":"Milepost","value":"23.3303"},{"id":17,"name":"Train ID","value":"149-22"},{"id":16,"name":"Locomotive ID","value":"4006"},{"id":130,"name":"Impact","value":""},{"id":150,"name":"Time of Event (Mountain Time)","value":"10:19:43"},{"id":151,"name":"Denver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4006 --day 2017-12-22</v>
      </c>
      <c r="AN6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-22T08:36:50-0700',mode:absolute,to:'2017-12-22T11:19:43-0700'))&amp;_a=(columns:!('Message%20ID',Summary),filters:!(),index:'emp_*',interval:auto,query:(query_string:(analyze_wildcard:!t,query:'%22rtdc.l.rtdc.4006%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755</v>
      </c>
      <c r="B62" s="225">
        <v>4005</v>
      </c>
      <c r="C62" s="227" t="s">
        <v>192</v>
      </c>
      <c r="D62" s="227" t="s">
        <v>532</v>
      </c>
      <c r="E62" s="226">
        <v>43091.431631944448</v>
      </c>
      <c r="F62" s="226">
        <v>43091.446018518516</v>
      </c>
      <c r="G62" s="225">
        <v>53</v>
      </c>
      <c r="H62" s="227" t="s">
        <v>563</v>
      </c>
      <c r="I62" s="226">
        <v>43091.472500000003</v>
      </c>
      <c r="J62" s="225">
        <v>0</v>
      </c>
      <c r="K62" s="237" t="str">
        <f t="shared" si="0"/>
        <v>4005/4006</v>
      </c>
      <c r="L62" s="245" t="str">
        <f>VLOOKUP(A62,'Trips&amp;Operators'!$C$1:$G$99911,5,FALSE)</f>
        <v>GEBRETEKLE DAGNEW</v>
      </c>
      <c r="M62" s="224">
        <f t="shared" si="1"/>
        <v>2.6481481487280689E-2</v>
      </c>
      <c r="N62" s="225">
        <f t="shared" si="24"/>
        <v>38.133333341684192</v>
      </c>
      <c r="O62" s="225"/>
      <c r="P62" s="225"/>
      <c r="Q62" s="228"/>
      <c r="R62" s="242"/>
      <c r="S62" s="249">
        <f t="shared" si="3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-22T09:21:33-0700',mode:absolute,to:'2017-12-22T12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247" t="str">
        <f>IF(AA62&lt;VLOOKUP(AG62,Variables!$AC$3:$AD$8,2,FALSE),"Y","N")</f>
        <v>N</v>
      </c>
      <c r="X62" s="247">
        <f t="shared" si="25"/>
        <v>1</v>
      </c>
      <c r="Y62" s="247">
        <f t="shared" si="26"/>
        <v>23.297799999999999</v>
      </c>
      <c r="Z62" s="247">
        <f t="shared" si="27"/>
        <v>1.9199999999999998E-2</v>
      </c>
      <c r="AA62" s="247">
        <f t="shared" si="9"/>
        <v>23.278599999999997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62" s="234" t="str">
        <f t="shared" si="12"/>
        <v>"C:\Program Files (x86)\AstroGrep\AstroGrep.exe" /e /r /s /spath="%USERPROFILE%\AppData\Local\Temp\OnboardLogs" /stypes="app*4005*20171222*"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150-22 --locoid 4005 --swversion DE.1.0.9.0 --startMP 204:232978 --initTime 2017-12-22T10:21:33 --startdatetime 2017-12-22T10:42:16 --delay 53 --endMP 204:192 --enddatetime 2017-12-22T11:20:24 --enforcementcount 0 &gt;&gt;%USERPROFILE%\Documents\GitHub\eaglep3-reporting\EC\2017-12-22-refined-times.txt</v>
      </c>
      <c r="AI6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{"issue":{"subject":"","project_id":79,"tracker_id":40,"status_id":1,"priority_id":2,"assigned_to_id":338,"start_date":"2017-12-22","description":"","custom_fields":[{"id":1,"name":"Subdivision","value":"EC"},{"id":4,"name":"Milepost","value":"0.0192"},{"id":17,"name":"Train ID","value":"150-22"},{"id":16,"name":"Locomotive ID","value":"4005"},{"id":130,"name":"Impact","value":""},{"id":150,"name":"Time of Event (Mountain Time)","value":"11:20:24"},{"id":151,"name":"Denver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4005 --day 2017-12-22</v>
      </c>
      <c r="AN6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-22T09:21:33-0700',mode:absolute,to:'2017-12-22T12:20:24-0700'))&amp;_a=(columns:!('Message%20ID',Summary),filters:!(),index:'emp_*',interval:auto,query:(query_string:(analyze_wildcard:!t,query:'%22rtdc.l.rtdc.4005%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748</v>
      </c>
      <c r="B63" s="225">
        <v>4062</v>
      </c>
      <c r="C63" s="227" t="s">
        <v>192</v>
      </c>
      <c r="D63" s="227" t="s">
        <v>927</v>
      </c>
      <c r="E63" s="226">
        <v>43091.410416666666</v>
      </c>
      <c r="F63" s="226">
        <v>43091.416851851849</v>
      </c>
      <c r="G63" s="225">
        <v>53</v>
      </c>
      <c r="H63" s="227" t="s">
        <v>931</v>
      </c>
      <c r="I63" s="226">
        <v>43091.441342592596</v>
      </c>
      <c r="J63" s="225">
        <v>0</v>
      </c>
      <c r="K63" s="237" t="str">
        <f t="shared" si="0"/>
        <v>4061/4062</v>
      </c>
      <c r="L63" s="245" t="str">
        <f>VLOOKUP(A63,'Trips&amp;Operators'!$C$1:$G$99911,5,FALSE)</f>
        <v>LOPES KIMBERLY</v>
      </c>
      <c r="M63" s="224">
        <f t="shared" si="1"/>
        <v>2.4490740746841766E-2</v>
      </c>
      <c r="N63" s="225">
        <f t="shared" si="24"/>
        <v>35.266666675452143</v>
      </c>
      <c r="O63" s="225"/>
      <c r="P63" s="225"/>
      <c r="Q63" s="228"/>
      <c r="R63" s="242"/>
      <c r="S63" s="249">
        <f t="shared" si="3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-22T08:51:00-0700',mode:absolute,to:'2017-12-22T11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3" s="247" t="str">
        <f>IF(AA63&lt;VLOOKUP(AG63,Variables!$AC$3:$AD$8,2,FALSE),"Y","N")</f>
        <v>N</v>
      </c>
      <c r="X63" s="247">
        <f t="shared" si="25"/>
        <v>1</v>
      </c>
      <c r="Y63" s="247">
        <f t="shared" si="26"/>
        <v>4.8899999999999999E-2</v>
      </c>
      <c r="Z63" s="247">
        <f t="shared" si="27"/>
        <v>23.331199999999999</v>
      </c>
      <c r="AA63" s="247">
        <f t="shared" si="9"/>
        <v>23.282299999999999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63" s="234" t="str">
        <f t="shared" si="12"/>
        <v>"C:\Program Files (x86)\AstroGrep\AstroGrep.exe" /e /r /s /spath="%USERPROFILE%\AppData\Local\Temp\OnboardLogs" /stypes="app*4062*20171222*"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151-22 --locoid 4062 --swversion DE.1.0.9.0 --startMP 204:489 --initTime 2017-12-22T09:51:00 --startdatetime 2017-12-22T10:00:16 --delay 53 --endMP 204:233312 --enddatetime 2017-12-22T10:35:32 --enforcementcount 0 &gt;&gt;%USERPROFILE%\Documents\GitHub\eaglep3-reporting\EC\2017-12-22-refined-times.txt</v>
      </c>
      <c r="AI6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{"issue":{"subject":"","project_id":79,"tracker_id":40,"status_id":1,"priority_id":2,"assigned_to_id":338,"start_date":"2017-12-22","description":"","custom_fields":[{"id":1,"name":"Subdivision","value":"EC"},{"id":4,"name":"Milepost","value":"23.3312"},{"id":17,"name":"Train ID","value":"151-22"},{"id":16,"name":"Locomotive ID","value":"4062"},{"id":130,"name":"Impact","value":""},{"id":150,"name":"Time of Event (Mountain Time)","value":"10:35:32"},{"id":151,"name":"Denver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4062 --day 2017-12-22</v>
      </c>
      <c r="AN6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-22T08:51:00-0700',mode:absolute,to:'2017-12-22T11:35:32-0700'))&amp;_a=(columns:!('Message%20ID',Summary),filters:!(),index:'emp_*',interval:auto,query:(query_string:(analyze_wildcard:!t,query:'%22rtdc.l.rtdc.4062%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760</v>
      </c>
      <c r="B64" s="225">
        <v>4061</v>
      </c>
      <c r="C64" s="227" t="s">
        <v>192</v>
      </c>
      <c r="D64" s="227" t="s">
        <v>933</v>
      </c>
      <c r="E64" s="226">
        <v>43091.445219907408</v>
      </c>
      <c r="F64" s="226">
        <v>43091.456423611111</v>
      </c>
      <c r="G64" s="225">
        <v>56</v>
      </c>
      <c r="H64" s="227" t="s">
        <v>563</v>
      </c>
      <c r="I64" s="226">
        <v>43091.481932870367</v>
      </c>
      <c r="J64" s="225">
        <v>0</v>
      </c>
      <c r="K64" s="237" t="str">
        <f t="shared" si="0"/>
        <v>4061/4062</v>
      </c>
      <c r="L64" s="245" t="str">
        <f>VLOOKUP(A64,'Trips&amp;Operators'!$C$1:$G$99911,5,FALSE)</f>
        <v>LOPES KIMBERLY</v>
      </c>
      <c r="M64" s="224">
        <f t="shared" si="1"/>
        <v>2.5509259256068617E-2</v>
      </c>
      <c r="N64" s="225">
        <f t="shared" si="24"/>
        <v>36.733333328738809</v>
      </c>
      <c r="O64" s="225"/>
      <c r="P64" s="225"/>
      <c r="Q64" s="228"/>
      <c r="R64" s="242"/>
      <c r="S64" s="249">
        <f t="shared" si="3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-22T09:41:07-0700',mode:absolute,to:'2017-12-22T12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4" s="247" t="str">
        <f>IF(AA64&lt;VLOOKUP(AG64,Variables!$AC$3:$AD$8,2,FALSE),"Y","N")</f>
        <v>N</v>
      </c>
      <c r="X64" s="247">
        <f t="shared" si="25"/>
        <v>1</v>
      </c>
      <c r="Y64" s="247">
        <f t="shared" si="26"/>
        <v>23.299299999999999</v>
      </c>
      <c r="Z64" s="247">
        <f t="shared" si="27"/>
        <v>1.9199999999999998E-2</v>
      </c>
      <c r="AA64" s="247">
        <f t="shared" si="9"/>
        <v>23.280099999999997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64" s="234" t="str">
        <f t="shared" si="12"/>
        <v>"C:\Program Files (x86)\AstroGrep\AstroGrep.exe" /e /r /s /spath="%USERPROFILE%\AppData\Local\Temp\OnboardLogs" /stypes="app*4061*20171222*"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152-22 --locoid 4061 --swversion DE.1.0.9.0 --startMP 204:232993 --initTime 2017-12-22T10:41:07 --startdatetime 2017-12-22T10:57:15 --delay 56 --endMP 204:192 --enddatetime 2017-12-22T11:33:59 --enforcementcount 0 &gt;&gt;%USERPROFILE%\Documents\GitHub\eaglep3-reporting\EC\2017-12-22-refined-times.txt</v>
      </c>
      <c r="AI6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{"issue":{"subject":"","project_id":79,"tracker_id":40,"status_id":1,"priority_id":2,"assigned_to_id":338,"start_date":"2017-12-22","description":"","custom_fields":[{"id":1,"name":"Subdivision","value":"EC"},{"id":4,"name":"Milepost","value":"0.0192"},{"id":17,"name":"Train ID","value":"152-22"},{"id":16,"name":"Locomotive ID","value":"4061"},{"id":130,"name":"Impact","value":""},{"id":150,"name":"Time of Event (Mountain Time)","value":"11:33:59"},{"id":151,"name":"Denver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4061 --day 2017-12-22</v>
      </c>
      <c r="AN6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-22T09:41:07-0700',mode:absolute,to:'2017-12-22T12:33:59-0700'))&amp;_a=(columns:!('Message%20ID',Summary),filters:!(),index:'emp_*',interval:auto,query:(query_string:(analyze_wildcard:!t,query:'%22rtdc.l.rtdc.4061%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754</v>
      </c>
      <c r="B65" s="225">
        <v>4010</v>
      </c>
      <c r="C65" s="227" t="s">
        <v>192</v>
      </c>
      <c r="D65" s="227" t="s">
        <v>910</v>
      </c>
      <c r="E65" s="226">
        <v>43091.423171296294</v>
      </c>
      <c r="F65" s="226">
        <v>43091.428541666668</v>
      </c>
      <c r="G65" s="225">
        <v>387</v>
      </c>
      <c r="H65" s="227" t="s">
        <v>934</v>
      </c>
      <c r="I65" s="226">
        <v>43091.453425925924</v>
      </c>
      <c r="J65" s="225">
        <v>0</v>
      </c>
      <c r="K65" s="237" t="str">
        <f t="shared" si="0"/>
        <v>4009/4010</v>
      </c>
      <c r="L65" s="245" t="str">
        <f>VLOOKUP(A65,'Trips&amp;Operators'!$C$1:$G$99911,5,FALSE)</f>
        <v>WILLIAMS DONTE</v>
      </c>
      <c r="M65" s="224">
        <f t="shared" si="1"/>
        <v>2.488425925548654E-2</v>
      </c>
      <c r="N65" s="225">
        <f t="shared" si="24"/>
        <v>35.833333327900618</v>
      </c>
      <c r="O65" s="225"/>
      <c r="P65" s="225"/>
      <c r="Q65" s="228"/>
      <c r="R65" s="242"/>
      <c r="S65" s="249">
        <f t="shared" si="3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-22T09:09:22-0700',mode:absolute,to:'2017-12-22T11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247" t="str">
        <f>IF(AA65&lt;VLOOKUP(AG65,Variables!$AC$3:$AD$8,2,FALSE),"Y","N")</f>
        <v>N</v>
      </c>
      <c r="X65" s="247">
        <f t="shared" si="25"/>
        <v>1</v>
      </c>
      <c r="Y65" s="247">
        <f t="shared" si="26"/>
        <v>4.9099999999999998E-2</v>
      </c>
      <c r="Z65" s="247">
        <f t="shared" si="27"/>
        <v>23.322800000000001</v>
      </c>
      <c r="AA65" s="247">
        <f t="shared" si="9"/>
        <v>23.273700000000002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65" s="234" t="str">
        <f t="shared" si="12"/>
        <v>"C:\Program Files (x86)\AstroGrep\AstroGrep.exe" /e /r /s /spath="%USERPROFILE%\AppData\Local\Temp\OnboardLogs" /stypes="app*4010*20171222*"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153-22 --locoid 4010 --swversion DE.1.0.9.0 --startMP 204:491 --initTime 2017-12-22T10:09:22 --startdatetime 2017-12-22T10:17:06 --delay 387 --endMP 204:233228 --enddatetime 2017-12-22T10:52:56 --enforcementcount 0 &gt;&gt;%USERPROFILE%\Documents\GitHub\eaglep3-reporting\EC\2017-12-22-refined-times.txt</v>
      </c>
      <c r="AI6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{"issue":{"subject":"","project_id":79,"tracker_id":40,"status_id":1,"priority_id":2,"assigned_to_id":338,"start_date":"2017-12-22","description":"","custom_fields":[{"id":1,"name":"Subdivision","value":"EC"},{"id":4,"name":"Milepost","value":"23.3228"},{"id":17,"name":"Train ID","value":"153-22"},{"id":16,"name":"Locomotive ID","value":"4010"},{"id":130,"name":"Impact","value":""},{"id":150,"name":"Time of Event (Mountain Time)","value":"10:52:56"},{"id":151,"name":"Denver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4010 --day 2017-12-22</v>
      </c>
      <c r="AN6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-22T09:09:22-0700',mode:absolute,to:'2017-12-22T11:52:56-0700'))&amp;_a=(columns:!('Message%20ID',Summary),filters:!(),index:'emp_*',interval:auto,query:(query_string:(analyze_wildcard:!t,query:'%22rtdc.l.rtdc.4010%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763</v>
      </c>
      <c r="B66" s="225">
        <v>4009</v>
      </c>
      <c r="C66" s="227" t="s">
        <v>192</v>
      </c>
      <c r="D66" s="227" t="s">
        <v>612</v>
      </c>
      <c r="E66" s="226">
        <v>43091.462789351855</v>
      </c>
      <c r="F66" s="226">
        <v>43091.466874999998</v>
      </c>
      <c r="G66" s="225">
        <v>80</v>
      </c>
      <c r="H66" s="227" t="s">
        <v>523</v>
      </c>
      <c r="I66" s="226">
        <v>43091.493530092594</v>
      </c>
      <c r="J66" s="225">
        <v>0</v>
      </c>
      <c r="K66" s="237" t="str">
        <f t="shared" si="0"/>
        <v>4009/4010</v>
      </c>
      <c r="L66" s="245" t="str">
        <f>VLOOKUP(A66,'Trips&amp;Operators'!$C$1:$G$99911,5,FALSE)</f>
        <v>WILLIAMS DONTE</v>
      </c>
      <c r="M66" s="224">
        <f t="shared" si="1"/>
        <v>2.6655092595319729E-2</v>
      </c>
      <c r="N66" s="225">
        <f t="shared" si="24"/>
        <v>38.38333333726041</v>
      </c>
      <c r="O66" s="225"/>
      <c r="P66" s="225"/>
      <c r="Q66" s="228"/>
      <c r="R66" s="242"/>
      <c r="S66" s="249">
        <f t="shared" si="3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-22T10:06:25-0700',mode:absolute,to:'2017-12-22T12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6" s="247" t="str">
        <f>IF(AA66&lt;VLOOKUP(AG66,Variables!$AC$3:$AD$8,2,FALSE),"Y","N")</f>
        <v>N</v>
      </c>
      <c r="X66" s="247">
        <f t="shared" si="25"/>
        <v>1</v>
      </c>
      <c r="Y66" s="247">
        <f t="shared" si="26"/>
        <v>23.292100000000001</v>
      </c>
      <c r="Z66" s="247">
        <f t="shared" si="27"/>
        <v>2.18E-2</v>
      </c>
      <c r="AA66" s="247">
        <f t="shared" si="9"/>
        <v>23.270300000000002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66" s="234" t="str">
        <f t="shared" si="12"/>
        <v>"C:\Program Files (x86)\AstroGrep\AstroGrep.exe" /e /r /s /spath="%USERPROFILE%\AppData\Local\Temp\OnboardLogs" /stypes="app*4009*20171222*"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154-22 --locoid 4009 --swversion DE.1.0.9.0 --startMP 204:232921 --initTime 2017-12-22T11:06:25 --startdatetime 2017-12-22T11:12:18 --delay 80 --endMP 204:218 --enddatetime 2017-12-22T11:50:41 --enforcementcount 0 &gt;&gt;%USERPROFILE%\Documents\GitHub\eaglep3-reporting\EC\2017-12-22-refined-times.txt</v>
      </c>
      <c r="AI6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{"issue":{"subject":"","project_id":79,"tracker_id":40,"status_id":1,"priority_id":2,"assigned_to_id":338,"start_date":"2017-12-22","description":"","custom_fields":[{"id":1,"name":"Subdivision","value":"EC"},{"id":4,"name":"Milepost","value":"0.0218"},{"id":17,"name":"Train ID","value":"154-22"},{"id":16,"name":"Locomotive ID","value":"4009"},{"id":130,"name":"Impact","value":""},{"id":150,"name":"Time of Event (Mountain Time)","value":"11:50:41"},{"id":151,"name":"Denver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4009 --day 2017-12-22</v>
      </c>
      <c r="AN6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-22T10:06:25-0700',mode:absolute,to:'2017-12-22T12:50:41-0700'))&amp;_a=(columns:!('Message%20ID',Summary),filters:!(),index:'emp_*',interval:auto,query:(query_string:(analyze_wildcard:!t,query:'%22rtdc.l.rtdc.4009%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757</v>
      </c>
      <c r="B67" s="225">
        <v>4008</v>
      </c>
      <c r="C67" s="227" t="s">
        <v>192</v>
      </c>
      <c r="D67" s="227" t="s">
        <v>935</v>
      </c>
      <c r="E67" s="226">
        <v>43091.434340277781</v>
      </c>
      <c r="F67" s="226">
        <v>43091.4377662037</v>
      </c>
      <c r="G67" s="225">
        <v>45</v>
      </c>
      <c r="H67" s="227" t="s">
        <v>567</v>
      </c>
      <c r="I67" s="226">
        <v>43091.462152777778</v>
      </c>
      <c r="J67" s="225">
        <v>0</v>
      </c>
      <c r="K67" s="237" t="str">
        <f t="shared" si="0"/>
        <v>4007/4008</v>
      </c>
      <c r="L67" s="245" t="str">
        <f>VLOOKUP(A67,'Trips&amp;Operators'!$C$1:$G$99911,5,FALSE)</f>
        <v>MACDONALD THOMAS</v>
      </c>
      <c r="M67" s="224">
        <f t="shared" si="1"/>
        <v>2.4386574077652767E-2</v>
      </c>
      <c r="N67" s="225">
        <f t="shared" si="24"/>
        <v>35.116666671819985</v>
      </c>
      <c r="O67" s="225"/>
      <c r="P67" s="225"/>
      <c r="Q67" s="228"/>
      <c r="R67" s="242"/>
      <c r="S67" s="249">
        <f t="shared" si="3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-22T09:25:27-0700',mode:absolute,to:'2017-12-22T12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247" t="str">
        <f>IF(AA67&lt;VLOOKUP(AG67,Variables!$AC$3:$AD$8,2,FALSE),"Y","N")</f>
        <v>N</v>
      </c>
      <c r="X67" s="247">
        <f t="shared" si="25"/>
        <v>1</v>
      </c>
      <c r="Y67" s="247">
        <f t="shared" si="26"/>
        <v>5.3100000000000001E-2</v>
      </c>
      <c r="Z67" s="247">
        <f t="shared" si="27"/>
        <v>23.322099999999999</v>
      </c>
      <c r="AA67" s="247">
        <f t="shared" si="9"/>
        <v>23.268999999999998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67" s="234" t="str">
        <f t="shared" si="12"/>
        <v>"C:\Program Files (x86)\AstroGrep\AstroGrep.exe" /e /r /s /spath="%USERPROFILE%\AppData\Local\Temp\OnboardLogs" /stypes="app*4008*20171222*"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155-22 --locoid 4008 --swversion DE.1.0.9.0 --startMP 204:531 --initTime 2017-12-22T10:25:27 --startdatetime 2017-12-22T10:30:23 --delay 45 --endMP 204:233221 --enddatetime 2017-12-22T11:05:30 --enforcementcount 0 &gt;&gt;%USERPROFILE%\Documents\GitHub\eaglep3-reporting\EC\2017-12-22-refined-times.txt</v>
      </c>
      <c r="AI6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{"issue":{"subject":"","project_id":79,"tracker_id":40,"status_id":1,"priority_id":2,"assigned_to_id":338,"start_date":"2017-12-22","description":"","custom_fields":[{"id":1,"name":"Subdivision","value":"EC"},{"id":4,"name":"Milepost","value":"23.3221"},{"id":17,"name":"Train ID","value":"155-22"},{"id":16,"name":"Locomotive ID","value":"4008"},{"id":130,"name":"Impact","value":""},{"id":150,"name":"Time of Event (Mountain Time)","value":"11:05:30"},{"id":151,"name":"Denver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4008 --day 2017-12-22</v>
      </c>
      <c r="AN6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-22T09:25:27-0700',mode:absolute,to:'2017-12-22T12:05:30-0700'))&amp;_a=(columns:!('Message%20ID',Summary),filters:!(),index:'emp_*',interval:auto,query:(query_string:(analyze_wildcard:!t,query:'%22rtdc.l.rtdc.4008%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764</v>
      </c>
      <c r="B68" s="225">
        <v>4007</v>
      </c>
      <c r="C68" s="227" t="s">
        <v>192</v>
      </c>
      <c r="D68" s="227" t="s">
        <v>639</v>
      </c>
      <c r="E68" s="226">
        <v>43091.463136574072</v>
      </c>
      <c r="F68" s="226">
        <v>43091.477337962962</v>
      </c>
      <c r="G68" s="225">
        <v>1175</v>
      </c>
      <c r="H68" s="227" t="s">
        <v>579</v>
      </c>
      <c r="I68" s="226">
        <v>43091.503240740742</v>
      </c>
      <c r="J68" s="225">
        <v>0</v>
      </c>
      <c r="K68" s="237" t="str">
        <f t="shared" si="0"/>
        <v>4007/4008</v>
      </c>
      <c r="L68" s="245" t="str">
        <f>VLOOKUP(A68,'Trips&amp;Operators'!$C$1:$G$99911,5,FALSE)</f>
        <v>MACDONALD THOMAS</v>
      </c>
      <c r="M68" s="224">
        <f t="shared" si="1"/>
        <v>2.5902777779265307E-2</v>
      </c>
      <c r="N68" s="225">
        <f t="shared" si="24"/>
        <v>37.300000002142042</v>
      </c>
      <c r="O68" s="225"/>
      <c r="P68" s="225"/>
      <c r="Q68" s="228"/>
      <c r="R68" s="242"/>
      <c r="S68" s="249">
        <f t="shared" si="3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-22T10:06:55-0700',mode:absolute,to:'2017-12-22T13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247" t="str">
        <f>IF(AA68&lt;VLOOKUP(AG68,Variables!$AC$3:$AD$8,2,FALSE),"Y","N")</f>
        <v>N</v>
      </c>
      <c r="X68" s="247">
        <f t="shared" si="25"/>
        <v>1</v>
      </c>
      <c r="Y68" s="247">
        <f t="shared" si="26"/>
        <v>23.29</v>
      </c>
      <c r="Z68" s="247">
        <f t="shared" si="27"/>
        <v>2.23E-2</v>
      </c>
      <c r="AA68" s="247">
        <f t="shared" si="9"/>
        <v>23.267699999999998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68" s="234" t="str">
        <f t="shared" si="12"/>
        <v>"C:\Program Files (x86)\AstroGrep\AstroGrep.exe" /e /r /s /spath="%USERPROFILE%\AppData\Local\Temp\OnboardLogs" /stypes="app*4007*20171222*"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156-22 --locoid 4007 --swversion DE.1.0.9.0 --startMP 204:232900 --initTime 2017-12-22T11:06:55 --startdatetime 2017-12-22T11:27:22 --delay 1175 --endMP 204:223 --enddatetime 2017-12-22T12:04:40 --enforcementcount 0 &gt;&gt;%USERPROFILE%\Documents\GitHub\eaglep3-reporting\EC\2017-12-22-refined-times.txt</v>
      </c>
      <c r="AI68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{"issue":{"subject":"","project_id":79,"tracker_id":40,"status_id":1,"priority_id":2,"assigned_to_id":338,"start_date":"2017-12-22","description":"","custom_fields":[{"id":1,"name":"Subdivision","value":"EC"},{"id":4,"name":"Milepost","value":"0.0223"},{"id":17,"name":"Train ID","value":"156-22"},{"id":16,"name":"Locomotive ID","value":"4007"},{"id":130,"name":"Impact","value":""},{"id":150,"name":"Time of Event (Mountain Time)","value":"12:04:40"},{"id":151,"name":"Denver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4007 --day 2017-12-22</v>
      </c>
      <c r="AN68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-22T10:06:55-0700',mode:absolute,to:'2017-12-22T13:04:40-0700'))&amp;_a=(columns:!('Message%20ID',Summary),filters:!(),index:'emp_*',interval:auto,query:(query_string:(analyze_wildcard:!t,query:'%22rtdc.l.rtdc.4007%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759</v>
      </c>
      <c r="B69" s="225">
        <v>4044</v>
      </c>
      <c r="C69" s="227" t="s">
        <v>192</v>
      </c>
      <c r="D69" s="227" t="s">
        <v>927</v>
      </c>
      <c r="E69" s="226">
        <v>43091.444236111114</v>
      </c>
      <c r="F69" s="226">
        <v>43091.448101851849</v>
      </c>
      <c r="G69" s="225">
        <v>98</v>
      </c>
      <c r="H69" s="227" t="s">
        <v>936</v>
      </c>
      <c r="I69" s="226">
        <v>43091.473275462966</v>
      </c>
      <c r="J69" s="225">
        <v>0</v>
      </c>
      <c r="K69" s="237" t="str">
        <f t="shared" si="0"/>
        <v>4043/4044</v>
      </c>
      <c r="L69" s="245" t="str">
        <f>VLOOKUP(A69,'Trips&amp;Operators'!$C$1:$G$99911,5,FALSE)</f>
        <v>BADERTSCHER DIANE</v>
      </c>
      <c r="M69" s="224">
        <f t="shared" si="1"/>
        <v>2.5173611116770189E-2</v>
      </c>
      <c r="N69" s="225">
        <f t="shared" si="24"/>
        <v>36.250000008149073</v>
      </c>
      <c r="O69" s="225"/>
      <c r="P69" s="225"/>
      <c r="Q69" s="228"/>
      <c r="R69" s="242"/>
      <c r="S69" s="249">
        <f t="shared" si="3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-22T09:39:42-0700',mode:absolute,to:'2017-12-22T12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47" t="str">
        <f>IF(AA69&lt;VLOOKUP(AG69,Variables!$AC$3:$AD$8,2,FALSE),"Y","N")</f>
        <v>N</v>
      </c>
      <c r="X69" s="247">
        <f t="shared" si="25"/>
        <v>1</v>
      </c>
      <c r="Y69" s="247">
        <f t="shared" si="26"/>
        <v>4.8899999999999999E-2</v>
      </c>
      <c r="Z69" s="247">
        <f t="shared" si="27"/>
        <v>23.322600000000001</v>
      </c>
      <c r="AA69" s="247">
        <f t="shared" si="9"/>
        <v>23.273700000000002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69" s="234" t="str">
        <f t="shared" si="12"/>
        <v>"C:\Program Files (x86)\AstroGrep\AstroGrep.exe" /e /r /s /spath="%USERPROFILE%\AppData\Local\Temp\OnboardLogs" /stypes="app*4044*20171222*"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157-22 --locoid 4044 --swversion DE.1.0.9.0 --startMP 204:489 --initTime 2017-12-22T10:39:42 --startdatetime 2017-12-22T10:45:16 --delay 98 --endMP 204:233226 --enddatetime 2017-12-22T11:21:31 --enforcementcount 0 &gt;&gt;%USERPROFILE%\Documents\GitHub\eaglep3-reporting\EC\2017-12-22-refined-times.txt</v>
      </c>
      <c r="AI69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{"issue":{"subject":"","project_id":79,"tracker_id":40,"status_id":1,"priority_id":2,"assigned_to_id":338,"start_date":"2017-12-22","description":"","custom_fields":[{"id":1,"name":"Subdivision","value":"EC"},{"id":4,"name":"Milepost","value":"23.3226"},{"id":17,"name":"Train ID","value":"157-22"},{"id":16,"name":"Locomotive ID","value":"4044"},{"id":130,"name":"Impact","value":""},{"id":150,"name":"Time of Event (Mountain Time)","value":"11:21:31"},{"id":151,"name":"Denver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4044 --day 2017-12-22</v>
      </c>
      <c r="AN69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-22T09:39:42-0700',mode:absolute,to:'2017-12-22T12:21:31-0700'))&amp;_a=(columns:!('Message%20ID',Summary),filters:!(),index:'emp_*',interval:auto,query:(query_string:(analyze_wildcard:!t,query:'%22rtdc.l.rtdc.4044%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772</v>
      </c>
      <c r="B70" s="225">
        <v>4043</v>
      </c>
      <c r="C70" s="227" t="s">
        <v>192</v>
      </c>
      <c r="D70" s="227" t="s">
        <v>937</v>
      </c>
      <c r="E70" s="226">
        <v>43091.482152777775</v>
      </c>
      <c r="F70" s="226">
        <v>43091.487662037034</v>
      </c>
      <c r="G70" s="225">
        <v>81</v>
      </c>
      <c r="H70" s="227" t="s">
        <v>938</v>
      </c>
      <c r="I70" s="226">
        <v>43091.515601851854</v>
      </c>
      <c r="J70" s="225">
        <v>0</v>
      </c>
      <c r="K70" s="237" t="str">
        <f t="shared" si="0"/>
        <v>4043/4044</v>
      </c>
      <c r="L70" s="245" t="str">
        <f>VLOOKUP(A70,'Trips&amp;Operators'!$C$1:$G$99911,5,FALSE)</f>
        <v>BADERTSCHER DIANE</v>
      </c>
      <c r="M70" s="224">
        <f t="shared" si="1"/>
        <v>2.7939814819546882E-2</v>
      </c>
      <c r="N70" s="225">
        <f t="shared" si="24"/>
        <v>40.23333334014751</v>
      </c>
      <c r="O70" s="225"/>
      <c r="P70" s="225"/>
      <c r="Q70" s="228"/>
      <c r="R70" s="242"/>
      <c r="S70" s="249">
        <f t="shared" si="3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-22T10:34:18-0700',mode:absolute,to:'2017-12-22T13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47" t="str">
        <f>IF(AA70&lt;VLOOKUP(AG70,Variables!$AC$3:$AD$8,2,FALSE),"Y","N")</f>
        <v>N</v>
      </c>
      <c r="X70" s="247">
        <f t="shared" si="25"/>
        <v>1</v>
      </c>
      <c r="Y70" s="247">
        <f t="shared" si="26"/>
        <v>23.291499999999999</v>
      </c>
      <c r="Z70" s="247">
        <f t="shared" si="27"/>
        <v>2.69E-2</v>
      </c>
      <c r="AA70" s="247">
        <f t="shared" si="9"/>
        <v>23.264599999999998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70" s="234" t="str">
        <f t="shared" si="12"/>
        <v>"C:\Program Files (x86)\AstroGrep\AstroGrep.exe" /e /r /s /spath="%USERPROFILE%\AppData\Local\Temp\OnboardLogs" /stypes="app*4043*20171222*"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158-22 --locoid 4043 --swversion DE.1.0.9.0 --startMP 204:232915 --initTime 2017-12-22T11:34:18 --startdatetime 2017-12-22T11:42:14 --delay 81 --endMP 204:269 --enddatetime 2017-12-22T12:22:28 --enforcementcount 0 &gt;&gt;%USERPROFILE%\Documents\GitHub\eaglep3-reporting\EC\2017-12-22-refined-times.txt</v>
      </c>
      <c r="AI70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{"issue":{"subject":"","project_id":79,"tracker_id":40,"status_id":1,"priority_id":2,"assigned_to_id":338,"start_date":"2017-12-22","description":"","custom_fields":[{"id":1,"name":"Subdivision","value":"EC"},{"id":4,"name":"Milepost","value":"0.0269"},{"id":17,"name":"Train ID","value":"158-22"},{"id":16,"name":"Locomotive ID","value":"4043"},{"id":130,"name":"Impact","value":""},{"id":150,"name":"Time of Event (Mountain Time)","value":"12:22:28"},{"id":151,"name":"Denver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4043 --day 2017-12-22</v>
      </c>
      <c r="AN70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-22T10:34:18-0700',mode:absolute,to:'2017-12-22T13:22:28-0700'))&amp;_a=(columns:!('Message%20ID',Summary),filters:!(),index:'emp_*',interval:auto,query:(query_string:(analyze_wildcard:!t,query:'%22rtdc.l.rtdc.4043%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761</v>
      </c>
      <c r="B71" s="225">
        <v>4040</v>
      </c>
      <c r="C71" s="227" t="s">
        <v>192</v>
      </c>
      <c r="D71" s="227" t="s">
        <v>542</v>
      </c>
      <c r="E71" s="226">
        <v>43091.452013888891</v>
      </c>
      <c r="F71" s="226">
        <v>43091.458587962959</v>
      </c>
      <c r="G71" s="225">
        <v>48</v>
      </c>
      <c r="H71" s="227" t="s">
        <v>939</v>
      </c>
      <c r="I71" s="226">
        <v>43091.483611111114</v>
      </c>
      <c r="J71" s="225">
        <v>0</v>
      </c>
      <c r="K71" s="237" t="str">
        <f t="shared" si="0"/>
        <v>4039/4040</v>
      </c>
      <c r="L71" s="245" t="str">
        <f>VLOOKUP(A71,'Trips&amp;Operators'!$C$1:$G$99911,5,FALSE)</f>
        <v>YANAI IAN</v>
      </c>
      <c r="M71" s="224">
        <f t="shared" si="1"/>
        <v>2.5023148155014496E-2</v>
      </c>
      <c r="N71" s="225">
        <f t="shared" si="24"/>
        <v>36.033333343220875</v>
      </c>
      <c r="O71" s="225"/>
      <c r="P71" s="225"/>
      <c r="Q71" s="228"/>
      <c r="R71" s="242"/>
      <c r="S71" s="249">
        <f t="shared" si="3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-22T09:50:54-0700',mode:absolute,to:'2017-12-22T12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47" t="str">
        <f>IF(AA71&lt;VLOOKUP(AG71,Variables!$AC$3:$AD$8,2,FALSE),"Y","N")</f>
        <v>N</v>
      </c>
      <c r="X71" s="247">
        <f t="shared" si="25"/>
        <v>1</v>
      </c>
      <c r="Y71" s="247">
        <f t="shared" si="26"/>
        <v>4.6399999999999997E-2</v>
      </c>
      <c r="Z71" s="247">
        <f t="shared" si="27"/>
        <v>23.3325</v>
      </c>
      <c r="AA71" s="247">
        <f t="shared" si="9"/>
        <v>23.286100000000001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71" s="234" t="str">
        <f t="shared" si="12"/>
        <v>"C:\Program Files (x86)\AstroGrep\AstroGrep.exe" /e /r /s /spath="%USERPROFILE%\AppData\Local\Temp\OnboardLogs" /stypes="app*4040*20171222*"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159-22 --locoid 4040 --swversion DE.1.0.9.0 --startMP 204:464 --initTime 2017-12-22T10:50:54 --startdatetime 2017-12-22T11:00:22 --delay 48 --endMP 204:233325 --enddatetime 2017-12-22T11:36:24 --enforcementcount 0 &gt;&gt;%USERPROFILE%\Documents\GitHub\eaglep3-reporting\EC\2017-12-22-refined-times.txt</v>
      </c>
      <c r="AI71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{"issue":{"subject":"","project_id":79,"tracker_id":40,"status_id":1,"priority_id":2,"assigned_to_id":338,"start_date":"2017-12-22","description":"","custom_fields":[{"id":1,"name":"Subdivision","value":"EC"},{"id":4,"name":"Milepost","value":"23.3325"},{"id":17,"name":"Train ID","value":"159-22"},{"id":16,"name":"Locomotive ID","value":"4040"},{"id":130,"name":"Impact","value":""},{"id":150,"name":"Time of Event (Mountain Time)","value":"11:36:24"},{"id":151,"name":"Denver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4040 --day 2017-12-22</v>
      </c>
      <c r="AN71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-22T09:50:54-0700',mode:absolute,to:'2017-12-22T12:36:24-0700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773</v>
      </c>
      <c r="B72" s="225">
        <v>4039</v>
      </c>
      <c r="C72" s="227" t="s">
        <v>192</v>
      </c>
      <c r="D72" s="227" t="s">
        <v>912</v>
      </c>
      <c r="E72" s="226">
        <v>43091.484849537039</v>
      </c>
      <c r="F72" s="226">
        <v>43091.498078703706</v>
      </c>
      <c r="G72" s="225">
        <v>70</v>
      </c>
      <c r="H72" s="227" t="s">
        <v>553</v>
      </c>
      <c r="I72" s="226">
        <v>43091.523761574077</v>
      </c>
      <c r="J72" s="225">
        <v>0</v>
      </c>
      <c r="K72" s="237" t="str">
        <f t="shared" si="0"/>
        <v>4039/4040</v>
      </c>
      <c r="L72" s="245" t="str">
        <f>VLOOKUP(A72,'Trips&amp;Operators'!$C$1:$G$99911,5,FALSE)</f>
        <v>YANAI IAN</v>
      </c>
      <c r="M72" s="224">
        <f t="shared" si="1"/>
        <v>2.5682870371383615E-2</v>
      </c>
      <c r="N72" s="225">
        <f t="shared" si="24"/>
        <v>36.983333334792405</v>
      </c>
      <c r="O72" s="225"/>
      <c r="P72" s="225"/>
      <c r="Q72" s="228"/>
      <c r="R72" s="242"/>
      <c r="S72" s="249">
        <f t="shared" si="3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-22T10:38:11-0700',mode:absolute,to:'2017-12-22T13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47" t="str">
        <f>IF(AA72&lt;VLOOKUP(AG72,Variables!$AC$3:$AD$8,2,FALSE),"Y","N")</f>
        <v>N</v>
      </c>
      <c r="X72" s="247">
        <f t="shared" si="25"/>
        <v>1</v>
      </c>
      <c r="Y72" s="247">
        <f t="shared" si="26"/>
        <v>23.300799999999999</v>
      </c>
      <c r="Z72" s="247">
        <f t="shared" si="27"/>
        <v>1.4999999999999999E-2</v>
      </c>
      <c r="AA72" s="247">
        <f t="shared" si="9"/>
        <v>23.285799999999998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72" s="234" t="str">
        <f t="shared" si="12"/>
        <v>"C:\Program Files (x86)\AstroGrep\AstroGrep.exe" /e /r /s /spath="%USERPROFILE%\AppData\Local\Temp\OnboardLogs" /stypes="app*4039*20171222*"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160-22 --locoid 4039 --swversion DE.1.0.9.0 --startMP 204:233008 --initTime 2017-12-22T11:38:11 --startdatetime 2017-12-22T11:57:14 --delay 70 --endMP 204:150 --enddatetime 2017-12-22T12:34:13 --enforcementcount 0 &gt;&gt;%USERPROFILE%\Documents\GitHub\eaglep3-reporting\EC\2017-12-22-refined-times.txt</v>
      </c>
      <c r="AI72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{"issue":{"subject":"","project_id":79,"tracker_id":40,"status_id":1,"priority_id":2,"assigned_to_id":338,"start_date":"2017-12-22","description":"","custom_fields":[{"id":1,"name":"Subdivision","value":"EC"},{"id":4,"name":"Milepost","value":"0.015"},{"id":17,"name":"Train ID","value":"160-22"},{"id":16,"name":"Locomotive ID","value":"4039"},{"id":130,"name":"Impact","value":""},{"id":150,"name":"Time of Event (Mountain Time)","value":"12:34:13"},{"id":151,"name":"Denver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4039 --day 2017-12-22</v>
      </c>
      <c r="AN72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-22T10:38:11-0700',mode:absolute,to:'2017-12-22T13:34:13-0700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765</v>
      </c>
      <c r="B73" s="225">
        <v>4020</v>
      </c>
      <c r="C73" s="227" t="s">
        <v>192</v>
      </c>
      <c r="D73" s="227" t="s">
        <v>898</v>
      </c>
      <c r="E73" s="226">
        <v>43091.465902777774</v>
      </c>
      <c r="F73" s="226">
        <v>43091.469548611109</v>
      </c>
      <c r="G73" s="225">
        <v>90</v>
      </c>
      <c r="H73" s="227" t="s">
        <v>940</v>
      </c>
      <c r="I73" s="226">
        <v>43091.494189814817</v>
      </c>
      <c r="J73" s="225">
        <v>0</v>
      </c>
      <c r="K73" s="237" t="str">
        <f t="shared" si="0"/>
        <v>4019/4020</v>
      </c>
      <c r="L73" s="245" t="str">
        <f>VLOOKUP(A73,'Trips&amp;Operators'!$C$1:$G$99911,5,FALSE)</f>
        <v>SAFIEF AEIMEN</v>
      </c>
      <c r="M73" s="224">
        <f t="shared" si="1"/>
        <v>2.4641203708597459E-2</v>
      </c>
      <c r="N73" s="225">
        <f t="shared" si="24"/>
        <v>35.483333340380341</v>
      </c>
      <c r="O73" s="225"/>
      <c r="P73" s="225"/>
      <c r="Q73" s="228"/>
      <c r="R73" s="242"/>
      <c r="S73" s="249">
        <f t="shared" si="3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-22T10:10:54-0700',mode:absolute,to:'2017-12-22T12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47" t="str">
        <f>IF(AA73&lt;VLOOKUP(AG73,Variables!$AC$3:$AD$8,2,FALSE),"Y","N")</f>
        <v>N</v>
      </c>
      <c r="X73" s="247">
        <f t="shared" si="25"/>
        <v>1</v>
      </c>
      <c r="Y73" s="247">
        <f t="shared" si="26"/>
        <v>4.9500000000000002E-2</v>
      </c>
      <c r="Z73" s="247">
        <f t="shared" si="27"/>
        <v>23.326799999999999</v>
      </c>
      <c r="AA73" s="247">
        <f t="shared" si="9"/>
        <v>23.2773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73" s="234" t="str">
        <f t="shared" si="12"/>
        <v>"C:\Program Files (x86)\AstroGrep\AstroGrep.exe" /e /r /s /spath="%USERPROFILE%\AppData\Local\Temp\OnboardLogs" /stypes="app*4020*20171222*"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161-22 --locoid 4020 --swversion DE.1.0.9.0 --startMP 204:495 --initTime 2017-12-22T11:10:54 --startdatetime 2017-12-22T11:16:09 --delay 90 --endMP 204:233268 --enddatetime 2017-12-22T11:51:38 --enforcementcount 0 &gt;&gt;%USERPROFILE%\Documents\GitHub\eaglep3-reporting\EC\2017-12-22-refined-times.txt</v>
      </c>
      <c r="AI73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{"issue":{"subject":"","project_id":79,"tracker_id":40,"status_id":1,"priority_id":2,"assigned_to_id":338,"start_date":"2017-12-22","description":"","custom_fields":[{"id":1,"name":"Subdivision","value":"EC"},{"id":4,"name":"Milepost","value":"23.3268"},{"id":17,"name":"Train ID","value":"161-22"},{"id":16,"name":"Locomotive ID","value":"4020"},{"id":130,"name":"Impact","value":""},{"id":150,"name":"Time of Event (Mountain Time)","value":"11:51:38"},{"id":151,"name":"Denver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4020 --day 2017-12-22</v>
      </c>
      <c r="AN73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-22T10:10:54-0700',mode:absolute,to:'2017-12-22T12:51:38-0700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778</v>
      </c>
      <c r="B74" s="225">
        <v>4019</v>
      </c>
      <c r="C74" s="227" t="s">
        <v>192</v>
      </c>
      <c r="D74" s="227" t="s">
        <v>941</v>
      </c>
      <c r="E74" s="226">
        <v>43091.49763888889</v>
      </c>
      <c r="F74" s="226">
        <v>43091.50849537037</v>
      </c>
      <c r="G74" s="225">
        <v>92</v>
      </c>
      <c r="H74" s="227" t="s">
        <v>536</v>
      </c>
      <c r="I74" s="226">
        <v>43091.535000000003</v>
      </c>
      <c r="J74" s="225">
        <v>0</v>
      </c>
      <c r="K74" s="237" t="str">
        <f t="shared" si="0"/>
        <v>4019/4020</v>
      </c>
      <c r="L74" s="245" t="str">
        <f>VLOOKUP(A74,'Trips&amp;Operators'!$C$1:$G$99911,5,FALSE)</f>
        <v>SAFIEF AEIMEN</v>
      </c>
      <c r="M74" s="224">
        <f t="shared" si="1"/>
        <v>2.6504629633564036E-2</v>
      </c>
      <c r="N74" s="225">
        <f t="shared" si="24"/>
        <v>38.166666672332212</v>
      </c>
      <c r="O74" s="225"/>
      <c r="P74" s="225"/>
      <c r="Q74" s="228"/>
      <c r="R74" s="242"/>
      <c r="S74" s="249">
        <f t="shared" si="3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-22T10:56:36-0700',mode:absolute,to:'2017-12-22T13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47" t="str">
        <f>IF(AA74&lt;VLOOKUP(AG74,Variables!$AC$3:$AD$8,2,FALSE),"Y","N")</f>
        <v>N</v>
      </c>
      <c r="X74" s="247">
        <f t="shared" si="25"/>
        <v>1</v>
      </c>
      <c r="Y74" s="247">
        <f t="shared" si="26"/>
        <v>23.2944</v>
      </c>
      <c r="Z74" s="247">
        <f t="shared" si="27"/>
        <v>1.9400000000000001E-2</v>
      </c>
      <c r="AA74" s="247">
        <f t="shared" si="9"/>
        <v>23.274999999999999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74" s="234" t="str">
        <f t="shared" si="12"/>
        <v>"C:\Program Files (x86)\AstroGrep\AstroGrep.exe" /e /r /s /spath="%USERPROFILE%\AppData\Local\Temp\OnboardLogs" /stypes="app*4019*20171222*"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162-22 --locoid 4019 --swversion DE.1.0.9.0 --startMP 204:232944 --initTime 2017-12-22T11:56:36 --startdatetime 2017-12-22T12:12:14 --delay 92 --endMP 204:194 --enddatetime 2017-12-22T12:50:24 --enforcementcount 0 &gt;&gt;%USERPROFILE%\Documents\GitHub\eaglep3-reporting\EC\2017-12-22-refined-times.txt</v>
      </c>
      <c r="AI74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{"issue":{"subject":"","project_id":79,"tracker_id":40,"status_id":1,"priority_id":2,"assigned_to_id":338,"start_date":"2017-12-22","description":"","custom_fields":[{"id":1,"name":"Subdivision","value":"EC"},{"id":4,"name":"Milepost","value":"0.0194"},{"id":17,"name":"Train ID","value":"162-22"},{"id":16,"name":"Locomotive ID","value":"4019"},{"id":130,"name":"Impact","value":""},{"id":150,"name":"Time of Event (Mountain Time)","value":"12:50:24"},{"id":151,"name":"Denver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4019 --day 2017-12-22</v>
      </c>
      <c r="AN74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-22T10:56:36-0700',mode:absolute,to:'2017-12-22T13:50:24-0700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769</v>
      </c>
      <c r="B75" s="225">
        <v>4006</v>
      </c>
      <c r="C75" s="227" t="s">
        <v>192</v>
      </c>
      <c r="D75" s="227" t="s">
        <v>559</v>
      </c>
      <c r="E75" s="226">
        <v>43091.473969907405</v>
      </c>
      <c r="F75" s="226">
        <v>43091.479317129626</v>
      </c>
      <c r="G75" s="225">
        <v>92</v>
      </c>
      <c r="H75" s="227" t="s">
        <v>942</v>
      </c>
      <c r="I75" s="226">
        <v>43091.503611111111</v>
      </c>
      <c r="J75" s="225">
        <v>0</v>
      </c>
      <c r="K75" s="237" t="str">
        <f t="shared" si="0"/>
        <v>4005/4006</v>
      </c>
      <c r="L75" s="245" t="str">
        <f>VLOOKUP(A75,'Trips&amp;Operators'!$C$1:$G$99911,5,FALSE)</f>
        <v>NEWELL JAMES</v>
      </c>
      <c r="M75" s="224">
        <f t="shared" si="1"/>
        <v>2.4293981485243421E-2</v>
      </c>
      <c r="N75" s="225">
        <f t="shared" si="24"/>
        <v>34.983333338750526</v>
      </c>
      <c r="O75" s="225"/>
      <c r="P75" s="225"/>
      <c r="Q75" s="228"/>
      <c r="R75" s="242"/>
      <c r="S75" s="249">
        <f t="shared" si="3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-22T10:22:31-0700',mode:absolute,to:'2017-12-22T13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47" t="str">
        <f>IF(AA75&lt;VLOOKUP(AG75,Variables!$AC$3:$AD$8,2,FALSE),"Y","N")</f>
        <v>N</v>
      </c>
      <c r="X75" s="247">
        <f t="shared" si="25"/>
        <v>1</v>
      </c>
      <c r="Y75" s="247">
        <f t="shared" si="26"/>
        <v>5.04E-2</v>
      </c>
      <c r="Z75" s="247">
        <f t="shared" si="27"/>
        <v>23.3247</v>
      </c>
      <c r="AA75" s="247">
        <f t="shared" si="9"/>
        <v>23.2743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75" s="234" t="str">
        <f t="shared" si="12"/>
        <v>"C:\Program Files (x86)\AstroGrep\AstroGrep.exe" /e /r /s /spath="%USERPROFILE%\AppData\Local\Temp\OnboardLogs" /stypes="app*4006*20171222*"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163-22 --locoid 4006 --swversion DE.1.0.9.0 --startMP 204:504 --initTime 2017-12-22T11:22:31 --startdatetime 2017-12-22T11:30:13 --delay 92 --endMP 204:233247 --enddatetime 2017-12-22T12:05:12 --enforcementcount 0 &gt;&gt;%USERPROFILE%\Documents\GitHub\eaglep3-reporting\EC\2017-12-22-refined-times.txt</v>
      </c>
      <c r="AI75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{"issue":{"subject":"","project_id":79,"tracker_id":40,"status_id":1,"priority_id":2,"assigned_to_id":338,"start_date":"2017-12-22","description":"","custom_fields":[{"id":1,"name":"Subdivision","value":"EC"},{"id":4,"name":"Milepost","value":"23.3247"},{"id":17,"name":"Train ID","value":"163-22"},{"id":16,"name":"Locomotive ID","value":"4006"},{"id":130,"name":"Impact","value":""},{"id":150,"name":"Time of Event (Mountain Time)","value":"12:05:12"},{"id":151,"name":"Denver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4006 --day 2017-12-22</v>
      </c>
      <c r="AN75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-22T10:22:31-0700',mode:absolute,to:'2017-12-22T13:05:12-0700'))&amp;_a=(columns:!('Message%20ID',Summary),filters:!(),index:'emp_*',interval:auto,query:(query_string:(analyze_wildcard:!t,query:'%22rtdc.l.rtdc.4006%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780</v>
      </c>
      <c r="B76" s="225">
        <v>4005</v>
      </c>
      <c r="C76" s="227" t="s">
        <v>192</v>
      </c>
      <c r="D76" s="227" t="s">
        <v>557</v>
      </c>
      <c r="E76" s="226">
        <v>43091.505659722221</v>
      </c>
      <c r="F76" s="226">
        <v>43091.518923611111</v>
      </c>
      <c r="G76" s="225">
        <v>56</v>
      </c>
      <c r="H76" s="227" t="s">
        <v>554</v>
      </c>
      <c r="I76" s="226">
        <v>43091.544398148151</v>
      </c>
      <c r="J76" s="225">
        <v>0</v>
      </c>
      <c r="K76" s="237" t="str">
        <f t="shared" si="0"/>
        <v>4005/4006</v>
      </c>
      <c r="L76" s="245" t="str">
        <f>VLOOKUP(A76,'Trips&amp;Operators'!$C$1:$G$99911,5,FALSE)</f>
        <v>NEWELL JAMES</v>
      </c>
      <c r="M76" s="224">
        <f t="shared" si="1"/>
        <v>2.5474537040281575E-2</v>
      </c>
      <c r="N76" s="225">
        <f t="shared" si="24"/>
        <v>36.683333338005468</v>
      </c>
      <c r="O76" s="225"/>
      <c r="P76" s="225"/>
      <c r="Q76" s="228"/>
      <c r="R76" s="242"/>
      <c r="S76" s="249">
        <f t="shared" si="3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-22T11:08:09-0700',mode:absolute,to:'2017-12-22T14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47" t="str">
        <f>IF(AA76&lt;VLOOKUP(AG76,Variables!$AC$3:$AD$8,2,FALSE),"Y","N")</f>
        <v>N</v>
      </c>
      <c r="X76" s="247">
        <f t="shared" si="25"/>
        <v>1</v>
      </c>
      <c r="Y76" s="247">
        <f t="shared" si="26"/>
        <v>23.292999999999999</v>
      </c>
      <c r="Z76" s="247">
        <f t="shared" si="27"/>
        <v>2.3599999999999999E-2</v>
      </c>
      <c r="AA76" s="247">
        <f t="shared" si="9"/>
        <v>23.269400000000001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76" s="234" t="str">
        <f t="shared" si="12"/>
        <v>"C:\Program Files (x86)\AstroGrep\AstroGrep.exe" /e /r /s /spath="%USERPROFILE%\AppData\Local\Temp\OnboardLogs" /stypes="app*4005*20171222*"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164-22 --locoid 4005 --swversion DE.1.0.9.0 --startMP 204:232930 --initTime 2017-12-22T12:08:09 --startdatetime 2017-12-22T12:27:15 --delay 56 --endMP 204:236 --enddatetime 2017-12-22T13:03:56 --enforcementcount 0 &gt;&gt;%USERPROFILE%\Documents\GitHub\eaglep3-reporting\EC\2017-12-22-refined-times.txt</v>
      </c>
      <c r="AI76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{"issue":{"subject":"","project_id":79,"tracker_id":40,"status_id":1,"priority_id":2,"assigned_to_id":338,"start_date":"2017-12-22","description":"","custom_fields":[{"id":1,"name":"Subdivision","value":"EC"},{"id":4,"name":"Milepost","value":"0.0236"},{"id":17,"name":"Train ID","value":"164-22"},{"id":16,"name":"Locomotive ID","value":"4005"},{"id":130,"name":"Impact","value":""},{"id":150,"name":"Time of Event (Mountain Time)","value":"13:03:56"},{"id":151,"name":"Denver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4005 --day 2017-12-22</v>
      </c>
      <c r="AN76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-22T11:08:09-0700',mode:absolute,to:'2017-12-22T14:03:56-0700'))&amp;_a=(columns:!('Message%20ID',Summary),filters:!(),index:'emp_*',interval:auto,query:(query_string:(analyze_wildcard:!t,query:'%22rtdc.l.rtdc.4005%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774</v>
      </c>
      <c r="B77" s="225">
        <v>4062</v>
      </c>
      <c r="C77" s="227" t="s">
        <v>192</v>
      </c>
      <c r="D77" s="227" t="s">
        <v>629</v>
      </c>
      <c r="E77" s="226">
        <v>43091.485243055555</v>
      </c>
      <c r="F77" s="226">
        <v>43091.48982638889</v>
      </c>
      <c r="G77" s="225">
        <v>89</v>
      </c>
      <c r="H77" s="227" t="s">
        <v>636</v>
      </c>
      <c r="I77" s="226">
        <v>43091.515324074076</v>
      </c>
      <c r="J77" s="225">
        <v>0</v>
      </c>
      <c r="K77" s="237" t="str">
        <f t="shared" ref="K77:K140" si="28">IF(ISEVEN(B77),(B77-1)&amp;"/"&amp;B77,B77&amp;"/"&amp;(B77+1))</f>
        <v>4061/4062</v>
      </c>
      <c r="L77" s="245" t="str">
        <f>VLOOKUP(A77,'Trips&amp;Operators'!$C$1:$G$99911,5,FALSE)</f>
        <v>LEVERE CRAIG</v>
      </c>
      <c r="M77" s="224">
        <f t="shared" ref="M77:M140" si="29">I77-F77</f>
        <v>2.5497685186564922E-2</v>
      </c>
      <c r="N77" s="225">
        <f t="shared" ref="N77:N108" si="30">24*60*SUM($M77:$M77)</f>
        <v>36.716666668653488</v>
      </c>
      <c r="O77" s="225"/>
      <c r="P77" s="225"/>
      <c r="Q77" s="228"/>
      <c r="R77" s="242"/>
      <c r="S77" s="249">
        <f t="shared" ref="S77:S140" si="31">1/IF(AG77="EC",12,1)*SUM(U77:U77)</f>
        <v>1</v>
      </c>
      <c r="T77" s="242" t="str">
        <f t="shared" ref="T77:T140" si="32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-22T10:38:45-0700',mode:absolute,to:'2017-12-22T13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247" t="str">
        <f>IF(AA77&lt;VLOOKUP(AG77,Variables!$AC$3:$AD$8,2,FALSE),"Y","N")</f>
        <v>N</v>
      </c>
      <c r="X77" s="247">
        <f t="shared" ref="X77:X108" si="34">VALUE(LEFT(AD77,4))-VALUE(LEFT(AD76,4))</f>
        <v>1</v>
      </c>
      <c r="Y77" s="247">
        <f t="shared" ref="Y77:Y108" si="35">RIGHT(D77,LEN(D77)-4)/10000</f>
        <v>4.8399999999999999E-2</v>
      </c>
      <c r="Z77" s="247">
        <f t="shared" ref="Z77:Z108" si="36">RIGHT(H77,LEN(H77)-4)/10000</f>
        <v>23.3215</v>
      </c>
      <c r="AA77" s="247">
        <f t="shared" ref="AA77:AA140" si="37">ABS(Z77-Y77)</f>
        <v>23.273099999999999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8">VALUE(LEFT(A77,LEN(A77)-3))</f>
        <v>165</v>
      </c>
      <c r="AE77" s="23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77" s="23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/stypes="app*4062*20171222*"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1">DetSubdiv(A77)</f>
        <v>EC</v>
      </c>
      <c r="AH77" s="236" t="str">
        <f t="shared" si="19"/>
        <v>"%USERPROFILE%\Documents\GitHub\eaglep3\Utilities\RefineRTDCRunTimes.py" --tripid 165-22 --locoid 4062 --swversion DE.1.0.9.0 --startMP 204:484 --initTime 2017-12-22T11:38:45 --startdatetime 2017-12-22T11:45:21 --delay 89 --endMP 204:233215 --enddatetime 2017-12-22T12:22:04 --enforcementcount 0 &gt;&gt;%USERPROFILE%\Documents\GitHub\eaglep3-reporting\EC\2017-12-22-refined-times.txt</v>
      </c>
      <c r="AI77" s="238" t="str">
        <f t="shared" si="20"/>
        <v>echo {"issue":{"subject":"","project_id":79,"tracker_id":40,"status_id":1,"priority_id":2,"assigned_to_id":338,"start_date":"2017-12-22","description":"","custom_fields":[{"id":1,"name":"Subdivision","value":"EC"},{"id":4,"name":"Milepost","value":"23.3215"},{"id":17,"name":"Train ID","value":"165-22"},{"id":16,"name":"Locomotive ID","value":"4062"},{"id":130,"name":"Impact","value":""},{"id":150,"name":"Time of Event (Mountain Time)","value":"12:22:04"},{"id":151,"name":"Denver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4062 --day 2017-12-22</v>
      </c>
      <c r="AN77" s="241" t="str">
        <f t="shared" si="22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-22T10:38:45-0700',mode:absolute,to:'2017-12-22T13:22:04-0700'))&amp;_a=(columns:!('Message%20ID',Summary),filters:!(),index:'emp_*',interval:auto,query:(query_string:(analyze_wildcard:!t,query:'%22rtdc.l.rtdc.4062%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784</v>
      </c>
      <c r="B78" s="225">
        <v>4061</v>
      </c>
      <c r="C78" s="227" t="s">
        <v>192</v>
      </c>
      <c r="D78" s="227" t="s">
        <v>943</v>
      </c>
      <c r="E78" s="226">
        <v>43091.5231712963</v>
      </c>
      <c r="F78" s="226">
        <v>43091.529340277775</v>
      </c>
      <c r="G78" s="225">
        <v>76</v>
      </c>
      <c r="H78" s="227" t="s">
        <v>632</v>
      </c>
      <c r="I78" s="226">
        <v>43091.555914351855</v>
      </c>
      <c r="J78" s="225">
        <v>0</v>
      </c>
      <c r="K78" s="237" t="str">
        <f t="shared" si="28"/>
        <v>4061/4062</v>
      </c>
      <c r="L78" s="245" t="str">
        <f>VLOOKUP(A78,'Trips&amp;Operators'!$C$1:$G$99911,5,FALSE)</f>
        <v>LEVERE CRAIG</v>
      </c>
      <c r="M78" s="224">
        <f t="shared" si="29"/>
        <v>2.6574074079690035E-2</v>
      </c>
      <c r="N78" s="225">
        <f t="shared" si="30"/>
        <v>38.266666674753651</v>
      </c>
      <c r="O78" s="225"/>
      <c r="P78" s="225"/>
      <c r="Q78" s="228"/>
      <c r="R78" s="242"/>
      <c r="S78" s="249">
        <f t="shared" si="31"/>
        <v>1</v>
      </c>
      <c r="T78" s="242" t="str">
        <f t="shared" si="32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3"/>
        <v>https://d0f6bd738d7f1b3e5a7ca70fe4ff75f0.us-east-1.aws.found.io/app/kibana#/discover/Steve-Slow-Train-Analysis-(2080s-and-2083s)?_g=(refreshInterval:(display:Off,pause:!f,section:0,value:0),time:(from:'2017-12-22T11:33:22-0700',mode:absolute,to:'2017-12-22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8" s="247" t="str">
        <f>IF(AA78&lt;VLOOKUP(AG78,Variables!$AC$3:$AD$8,2,FALSE),"Y","N")</f>
        <v>N</v>
      </c>
      <c r="X78" s="247">
        <f t="shared" si="34"/>
        <v>1</v>
      </c>
      <c r="Y78" s="247">
        <f t="shared" si="35"/>
        <v>23.290700000000001</v>
      </c>
      <c r="Z78" s="247">
        <f t="shared" si="36"/>
        <v>2.6200000000000001E-2</v>
      </c>
      <c r="AA78" s="247">
        <f t="shared" si="37"/>
        <v>23.264500000000002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8"/>
        <v>166</v>
      </c>
      <c r="AE78" s="235" t="str">
        <f t="shared" si="39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78" s="234" t="str">
        <f t="shared" si="40"/>
        <v>"C:\Program Files (x86)\AstroGrep\AstroGrep.exe" /e /r /s /spath="%USERPROFILE%\AppData\Local\Temp\OnboardLogs" /stypes="app*4061*20171222*" /stext=" 20:.+((SYSTEM_STATE.+slice.+state.+changed )|(ment ac)|(multiple cpu faults)|(system.+state.+changed )|(\[timeout)|(PRM\|1\|D)|(kpr)|(kdp)|(train st.+moving)|(\|lc)|(penalty))"</v>
      </c>
      <c r="AG78" s="244" t="str">
        <f t="shared" si="41"/>
        <v>EC</v>
      </c>
      <c r="AH78" s="236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166-22 --locoid 4061 --swversion DE.1.0.9.0 --startMP 204:232907 --initTime 2017-12-22T12:33:22 --startdatetime 2017-12-22T12:42:15 --delay 76 --endMP 204:262 --enddatetime 2017-12-22T13:20:31 --enforcementcount 0 &gt;&gt;%USERPROFILE%\Documents\GitHub\eaglep3-reporting\EC\2017-12-22-refined-times.txt</v>
      </c>
      <c r="AI78" s="238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{"issue":{"subject":"","project_id":79,"tracker_id":40,"status_id":1,"priority_id":2,"assigned_to_id":338,"start_date":"2017-12-22","description":"","custom_fields":[{"id":1,"name":"Subdivision","value":"EC"},{"id":4,"name":"Milepost","value":"0.0262"},{"id":17,"name":"Train ID","value":"166-22"},{"id":16,"name":"Locomotive ID","value":"4061"},{"id":130,"name":"Impact","value":""},{"id":150,"name":"Time of Event (Mountain Time)","value":"13:20:31"},{"id":151,"name":"Denver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1" si="44">"start /low /b "&amp;dls3logs&amp;" --loco "&amp;B78&amp;" --day "&amp;TEXT(F78,"YYYY-MM-DD")</f>
        <v>start /low /b %USERPROFILE%\Documents\GitHub\eaglep3\Utilities\DownloadLogsFromS3.py --loco 4061 --day 2017-12-22</v>
      </c>
      <c r="AN78" s="241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1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-22T11:33:22-0700',mode:absolute,to:'2017-12-22T14:20:31-0700'))&amp;_a=(columns:!('Message%20ID',Summary),filters:!(),index:'emp_*',interval:auto,query:(query_string:(analyze_wildcard:!t,query:'%22rtdc.l.rtdc.4061%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777</v>
      </c>
      <c r="B79" s="225">
        <v>4010</v>
      </c>
      <c r="C79" s="227" t="s">
        <v>192</v>
      </c>
      <c r="D79" s="227" t="s">
        <v>524</v>
      </c>
      <c r="E79" s="226">
        <v>43091.495347222219</v>
      </c>
      <c r="F79" s="226">
        <v>43091.500196759262</v>
      </c>
      <c r="G79" s="225">
        <v>90</v>
      </c>
      <c r="H79" s="227" t="s">
        <v>944</v>
      </c>
      <c r="I79" s="226">
        <v>43091.52516203704</v>
      </c>
      <c r="J79" s="225">
        <v>0</v>
      </c>
      <c r="K79" s="237" t="str">
        <f t="shared" si="28"/>
        <v>4009/4010</v>
      </c>
      <c r="L79" s="245" t="str">
        <f>VLOOKUP(A79,'Trips&amp;Operators'!$C$1:$G$99911,5,FALSE)</f>
        <v>FORTUNATO FRANK</v>
      </c>
      <c r="M79" s="224">
        <f t="shared" si="29"/>
        <v>2.4965277778392192E-2</v>
      </c>
      <c r="N79" s="225">
        <f t="shared" si="30"/>
        <v>35.950000000884756</v>
      </c>
      <c r="O79" s="225"/>
      <c r="P79" s="225"/>
      <c r="Q79" s="228"/>
      <c r="R79" s="242"/>
      <c r="S79" s="249">
        <f t="shared" si="31"/>
        <v>1</v>
      </c>
      <c r="T79" s="242" t="str">
        <f t="shared" si="32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3"/>
        <v>https://d0f6bd738d7f1b3e5a7ca70fe4ff75f0.us-east-1.aws.found.io/app/kibana#/discover/Steve-Slow-Train-Analysis-(2080s-and-2083s)?_g=(refreshInterval:(display:Off,pause:!f,section:0,value:0),time:(from:'2017-12-22T10:53:18-0700',mode:absolute,to:'2017-12-22T13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9" s="247" t="str">
        <f>IF(AA79&lt;VLOOKUP(AG79,Variables!$AC$3:$AD$8,2,FALSE),"Y","N")</f>
        <v>N</v>
      </c>
      <c r="X79" s="247">
        <f t="shared" si="34"/>
        <v>1</v>
      </c>
      <c r="Y79" s="247">
        <f t="shared" si="35"/>
        <v>5.11E-2</v>
      </c>
      <c r="Z79" s="247">
        <f t="shared" si="36"/>
        <v>23.32</v>
      </c>
      <c r="AA79" s="247">
        <f t="shared" si="37"/>
        <v>23.268899999999999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8"/>
        <v>167</v>
      </c>
      <c r="AE79" s="235" t="str">
        <f t="shared" si="39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79" s="234" t="str">
        <f t="shared" si="40"/>
        <v>"C:\Program Files (x86)\AstroGrep\AstroGrep.exe" /e /r /s /spath="%USERPROFILE%\AppData\Local\Temp\OnboardLogs" /stypes="app*4010*20171222*" /stext=" 19:.+((SYSTEM_STATE.+slice.+state.+changed )|(ment ac)|(multiple cpu faults)|(system.+state.+changed )|(\[timeout)|(PRM\|1\|D)|(kpr)|(kdp)|(train st.+moving)|(\|lc)|(penalty))"</v>
      </c>
      <c r="AG79" s="244" t="str">
        <f t="shared" si="41"/>
        <v>EC</v>
      </c>
      <c r="AH79" s="236" t="str">
        <f t="shared" si="42"/>
        <v>"%USERPROFILE%\Documents\GitHub\eaglep3\Utilities\RefineRTDCRunTimes.py" --tripid 167-22 --locoid 4010 --swversion DE.1.0.9.0 --startMP 204:511 --initTime 2017-12-22T11:53:18 --startdatetime 2017-12-22T12:00:17 --delay 90 --endMP 204:233200 --enddatetime 2017-12-22T12:36:14 --enforcementcount 0 &gt;&gt;%USERPROFILE%\Documents\GitHub\eaglep3-reporting\EC\2017-12-22-refined-times.txt</v>
      </c>
      <c r="AI7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{"issue":{"subject":"","project_id":79,"tracker_id":40,"status_id":1,"priority_id":2,"assigned_to_id":338,"start_date":"2017-12-22","description":"","custom_fields":[{"id":1,"name":"Subdivision","value":"EC"},{"id":4,"name":"Milepost","value":"23.32"},{"id":17,"name":"Train ID","value":"167-22"},{"id":16,"name":"Locomotive ID","value":"4010"},{"id":130,"name":"Impact","value":""},{"id":150,"name":"Time of Event (Mountain Time)","value":"12:36:14"},{"id":151,"name":"Denver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4"/>
        <v>start /low /b %USERPROFILE%\Documents\GitHub\eaglep3\Utilities\DownloadLogsFromS3.py --loco 4010 --day 2017-12-22</v>
      </c>
      <c r="AN79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6"/>
        <v>https://d0f6bd738d7f1b3e5a7ca70fe4ff75f0.us-east-1.aws.found.io/app/kibana#/discover/Steve-Slow-Train-Analysis-(2080s-and-2083s)?_g=(refreshInterval:(display:Off,pause:!f,section:0,value:0),time:(from:'2017-12-22T10:53:18-0700',mode:absolute,to:'2017-12-22T13:36:14-0700'))&amp;_a=(columns:!('Message%20ID',Summary),filters:!(),index:'emp_*',interval:auto,query:(query_string:(analyze_wildcard:!t,query:'%22rtdc.l.rtdc.4010%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786</v>
      </c>
      <c r="B80" s="225">
        <v>4009</v>
      </c>
      <c r="C80" s="227" t="s">
        <v>192</v>
      </c>
      <c r="D80" s="227" t="s">
        <v>945</v>
      </c>
      <c r="E80" s="226">
        <v>43091.536377314813</v>
      </c>
      <c r="F80" s="226">
        <v>43091.539733796293</v>
      </c>
      <c r="G80" s="225">
        <v>74</v>
      </c>
      <c r="H80" s="227" t="s">
        <v>467</v>
      </c>
      <c r="I80" s="226">
        <v>43091.565439814818</v>
      </c>
      <c r="J80" s="225">
        <v>0</v>
      </c>
      <c r="K80" s="237" t="str">
        <f t="shared" si="28"/>
        <v>4009/4010</v>
      </c>
      <c r="L80" s="245" t="str">
        <f>VLOOKUP(A80,'Trips&amp;Operators'!$C$1:$G$99911,5,FALSE)</f>
        <v>FORTUNATO FRANK</v>
      </c>
      <c r="M80" s="224">
        <f t="shared" si="29"/>
        <v>2.570601852494292E-2</v>
      </c>
      <c r="N80" s="225">
        <f t="shared" si="30"/>
        <v>37.016666675917804</v>
      </c>
      <c r="O80" s="225"/>
      <c r="P80" s="225"/>
      <c r="Q80" s="228"/>
      <c r="R80" s="242"/>
      <c r="S80" s="249">
        <f t="shared" si="31"/>
        <v>1</v>
      </c>
      <c r="T80" s="242" t="str">
        <f t="shared" si="32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3"/>
        <v>https://d0f6bd738d7f1b3e5a7ca70fe4ff75f0.us-east-1.aws.found.io/app/kibana#/discover/Steve-Slow-Train-Analysis-(2080s-and-2083s)?_g=(refreshInterval:(display:Off,pause:!f,section:0,value:0),time:(from:'2017-12-22T11:52:23-0700',mode:absolute,to:'2017-12-22T14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0" s="247" t="str">
        <f>IF(AA80&lt;VLOOKUP(AG80,Variables!$AC$3:$AD$8,2,FALSE),"Y","N")</f>
        <v>N</v>
      </c>
      <c r="X80" s="247">
        <f t="shared" si="34"/>
        <v>1</v>
      </c>
      <c r="Y80" s="247">
        <f t="shared" si="35"/>
        <v>23.2864</v>
      </c>
      <c r="Z80" s="247">
        <f t="shared" si="36"/>
        <v>2.1100000000000001E-2</v>
      </c>
      <c r="AA80" s="247">
        <f t="shared" si="37"/>
        <v>23.2653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8"/>
        <v>168</v>
      </c>
      <c r="AE80" s="235" t="str">
        <f t="shared" si="39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80" s="234" t="str">
        <f t="shared" si="40"/>
        <v>"C:\Program Files (x86)\AstroGrep\AstroGrep.exe" /e /r /s /spath="%USERPROFILE%\AppData\Local\Temp\OnboardLogs" /stypes="app*4009*20171222*" /stext=" 20:.+((SYSTEM_STATE.+slice.+state.+changed )|(ment ac)|(multiple cpu faults)|(system.+state.+changed )|(\[timeout)|(PRM\|1\|D)|(kpr)|(kdp)|(train st.+moving)|(\|lc)|(penalty))"</v>
      </c>
      <c r="AG80" s="244" t="str">
        <f t="shared" si="41"/>
        <v>EC</v>
      </c>
      <c r="AH80" s="236" t="str">
        <f t="shared" si="42"/>
        <v>"%USERPROFILE%\Documents\GitHub\eaglep3\Utilities\RefineRTDCRunTimes.py" --tripid 168-22 --locoid 4009 --swversion DE.1.0.9.0 --startMP 204:232864 --initTime 2017-12-22T12:52:23 --startdatetime 2017-12-22T12:57:13 --delay 74 --endMP 204:211 --enddatetime 2017-12-22T13:34:14 --enforcementcount 0 &gt;&gt;%USERPROFILE%\Documents\GitHub\eaglep3-reporting\EC\2017-12-22-refined-times.txt</v>
      </c>
      <c r="AI8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{"issue":{"subject":"","project_id":79,"tracker_id":40,"status_id":1,"priority_id":2,"assigned_to_id":338,"start_date":"2017-12-22","description":"","custom_fields":[{"id":1,"name":"Subdivision","value":"EC"},{"id":4,"name":"Milepost","value":"0.0211"},{"id":17,"name":"Train ID","value":"168-22"},{"id":16,"name":"Locomotive ID","value":"4009"},{"id":130,"name":"Impact","value":""},{"id":150,"name":"Time of Event (Mountain Time)","value":"13:34:14"},{"id":151,"name":"Denver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4"/>
        <v>start /low /b %USERPROFILE%\Documents\GitHub\eaglep3\Utilities\DownloadLogsFromS3.py --loco 4009 --day 2017-12-22</v>
      </c>
      <c r="AN80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6"/>
        <v>https://d0f6bd738d7f1b3e5a7ca70fe4ff75f0.us-east-1.aws.found.io/app/kibana#/discover/Steve-Slow-Train-Analysis-(2080s-and-2083s)?_g=(refreshInterval:(display:Off,pause:!f,section:0,value:0),time:(from:'2017-12-22T11:52:23-0700',mode:absolute,to:'2017-12-22T14:34:14-0700'))&amp;_a=(columns:!('Message%20ID',Summary),filters:!(),index:'emp_*',interval:auto,query:(query_string:(analyze_wildcard:!t,query:'%22rtdc.l.rtdc.4009%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781</v>
      </c>
      <c r="B81" s="225">
        <v>4008</v>
      </c>
      <c r="C81" s="227" t="s">
        <v>192</v>
      </c>
      <c r="D81" s="227" t="s">
        <v>541</v>
      </c>
      <c r="E81" s="226">
        <v>43091.504826388889</v>
      </c>
      <c r="F81" s="226">
        <v>43091.510706018518</v>
      </c>
      <c r="G81" s="225">
        <v>158</v>
      </c>
      <c r="H81" s="227" t="s">
        <v>610</v>
      </c>
      <c r="I81" s="226">
        <v>43091.534594907411</v>
      </c>
      <c r="J81" s="225">
        <v>0</v>
      </c>
      <c r="K81" s="237" t="str">
        <f t="shared" si="28"/>
        <v>4007/4008</v>
      </c>
      <c r="L81" s="245" t="str">
        <f>VLOOKUP(A81,'Trips&amp;Operators'!$C$1:$G$99911,5,FALSE)</f>
        <v>LEVIN SCOTT</v>
      </c>
      <c r="M81" s="224">
        <f t="shared" si="29"/>
        <v>2.3888888892543036E-2</v>
      </c>
      <c r="N81" s="225">
        <f t="shared" si="30"/>
        <v>34.400000005261973</v>
      </c>
      <c r="O81" s="225"/>
      <c r="P81" s="225"/>
      <c r="Q81" s="228"/>
      <c r="R81" s="242"/>
      <c r="S81" s="249">
        <f t="shared" si="31"/>
        <v>1</v>
      </c>
      <c r="T81" s="242" t="str">
        <f t="shared" si="32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3"/>
        <v>https://d0f6bd738d7f1b3e5a7ca70fe4ff75f0.us-east-1.aws.found.io/app/kibana#/discover/Steve-Slow-Train-Analysis-(2080s-and-2083s)?_g=(refreshInterval:(display:Off,pause:!f,section:0,value:0),time:(from:'2017-12-22T11:06:57-0700',mode:absolute,to:'2017-12-22T13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247" t="str">
        <f>IF(AA81&lt;VLOOKUP(AG81,Variables!$AC$3:$AD$8,2,FALSE),"Y","N")</f>
        <v>N</v>
      </c>
      <c r="X81" s="247">
        <f t="shared" si="34"/>
        <v>1</v>
      </c>
      <c r="Y81" s="247">
        <f t="shared" si="35"/>
        <v>5.1700000000000003E-2</v>
      </c>
      <c r="Z81" s="247">
        <f t="shared" si="36"/>
        <v>23.3307</v>
      </c>
      <c r="AA81" s="247">
        <f t="shared" si="37"/>
        <v>23.279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8"/>
        <v>169</v>
      </c>
      <c r="AE81" s="235" t="str">
        <f t="shared" si="39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81" s="234" t="str">
        <f t="shared" si="40"/>
        <v>"C:\Program Files (x86)\AstroGrep\AstroGrep.exe" /e /r /s /spath="%USERPROFILE%\AppData\Local\Temp\OnboardLogs" /stypes="app*4008*20171222*" /stext=" 19:.+((SYSTEM_STATE.+slice.+state.+changed )|(ment ac)|(multiple cpu faults)|(system.+state.+changed )|(\[timeout)|(PRM\|1\|D)|(kpr)|(kdp)|(train st.+moving)|(\|lc)|(penalty))"</v>
      </c>
      <c r="AG81" s="244" t="str">
        <f t="shared" si="41"/>
        <v>EC</v>
      </c>
      <c r="AH81" s="236" t="str">
        <f t="shared" si="42"/>
        <v>"%USERPROFILE%\Documents\GitHub\eaglep3\Utilities\RefineRTDCRunTimes.py" --tripid 169-22 --locoid 4008 --swversion DE.1.0.9.0 --startMP 204:517 --initTime 2017-12-22T12:06:57 --startdatetime 2017-12-22T12:15:25 --delay 158 --endMP 204:233307 --enddatetime 2017-12-22T12:49:49 --enforcementcount 0 &gt;&gt;%USERPROFILE%\Documents\GitHub\eaglep3-reporting\EC\2017-12-22-refined-times.txt</v>
      </c>
      <c r="AI8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{"issue":{"subject":"","project_id":79,"tracker_id":40,"status_id":1,"priority_id":2,"assigned_to_id":338,"start_date":"2017-12-22","description":"","custom_fields":[{"id":1,"name":"Subdivision","value":"EC"},{"id":4,"name":"Milepost","value":"23.3307"},{"id":17,"name":"Train ID","value":"169-22"},{"id":16,"name":"Locomotive ID","value":"4008"},{"id":130,"name":"Impact","value":""},{"id":150,"name":"Time of Event (Mountain Time)","value":"12:49:49"},{"id":151,"name":"Denver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4"/>
        <v>start /low /b %USERPROFILE%\Documents\GitHub\eaglep3\Utilities\DownloadLogsFromS3.py --loco 4008 --day 2017-12-22</v>
      </c>
      <c r="AN81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6"/>
        <v>https://d0f6bd738d7f1b3e5a7ca70fe4ff75f0.us-east-1.aws.found.io/app/kibana#/discover/Steve-Slow-Train-Analysis-(2080s-and-2083s)?_g=(refreshInterval:(display:Off,pause:!f,section:0,value:0),time:(from:'2017-12-22T11:06:57-0700',mode:absolute,to:'2017-12-22T13:49:49-0700'))&amp;_a=(columns:!('Message%20ID',Summary),filters:!(),index:'emp_*',interval:auto,query:(query_string:(analyze_wildcard:!t,query:'%22rtdc.l.rtdc.4008%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658</v>
      </c>
      <c r="B82" s="225">
        <v>4007</v>
      </c>
      <c r="C82" s="227" t="s">
        <v>192</v>
      </c>
      <c r="D82" s="227" t="s">
        <v>550</v>
      </c>
      <c r="E82" s="226">
        <v>43091.538923611108</v>
      </c>
      <c r="F82" s="226">
        <v>43091.550347222219</v>
      </c>
      <c r="G82" s="225">
        <v>63</v>
      </c>
      <c r="H82" s="227" t="s">
        <v>535</v>
      </c>
      <c r="I82" s="226">
        <v>43091.576666666668</v>
      </c>
      <c r="J82" s="225">
        <v>0</v>
      </c>
      <c r="K82" s="237" t="str">
        <f t="shared" si="28"/>
        <v>4007/4008</v>
      </c>
      <c r="L82" s="245" t="str">
        <f>VLOOKUP(A82,'Trips&amp;Operators'!$C$1:$G$99911,5,FALSE)</f>
        <v>LEVIN SCOTT</v>
      </c>
      <c r="M82" s="224">
        <f t="shared" si="29"/>
        <v>2.6319444448745344E-2</v>
      </c>
      <c r="N82" s="225">
        <f t="shared" si="30"/>
        <v>37.900000006193295</v>
      </c>
      <c r="O82" s="225"/>
      <c r="P82" s="225"/>
      <c r="Q82" s="228"/>
      <c r="R82" s="242"/>
      <c r="S82" s="249">
        <f t="shared" si="31"/>
        <v>1</v>
      </c>
      <c r="T82" s="242" t="str">
        <f t="shared" si="32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3"/>
        <v>https://d0f6bd738d7f1b3e5a7ca70fe4ff75f0.us-east-1.aws.found.io/app/kibana#/discover/Steve-Slow-Train-Analysis-(2080s-and-2083s)?_g=(refreshInterval:(display:Off,pause:!f,section:0,value:0),time:(from:'2017-12-22T11:56:03-0700',mode:absolute,to:'2017-12-22T14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247" t="str">
        <f>IF(AA82&lt;VLOOKUP(AG82,Variables!$AC$3:$AD$8,2,FALSE),"Y","N")</f>
        <v>N</v>
      </c>
      <c r="X82" s="247">
        <f t="shared" si="34"/>
        <v>1</v>
      </c>
      <c r="Y82" s="247">
        <f t="shared" si="35"/>
        <v>23.297499999999999</v>
      </c>
      <c r="Z82" s="247">
        <f t="shared" si="36"/>
        <v>1.49E-2</v>
      </c>
      <c r="AA82" s="247">
        <f t="shared" si="37"/>
        <v>23.282599999999999</v>
      </c>
      <c r="AB82" s="233" t="str">
        <f>VLOOKUP(A82,Enforcements!$C$7:$K$9,8,0)</f>
        <v>Bulletin (2)</v>
      </c>
      <c r="AC82" s="232" t="str">
        <f>VLOOKUP(A82,Enforcements!$C$7:$E$9,3,0)</f>
        <v>GRADE CROSSING</v>
      </c>
      <c r="AD82" s="243">
        <f t="shared" si="38"/>
        <v>170</v>
      </c>
      <c r="AE82" s="235" t="str">
        <f t="shared" si="39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82" s="234" t="str">
        <f t="shared" si="40"/>
        <v>"C:\Program Files (x86)\AstroGrep\AstroGrep.exe" /e /r /s /spath="%USERPROFILE%\AppData\Local\Temp\OnboardLogs" /stypes="app*4007*20171222*" /stext=" 20:.+((SYSTEM_STATE.+slice.+state.+changed )|(ment ac)|(multiple cpu faults)|(system.+state.+changed )|(\[timeout)|(PRM\|1\|D)|(kpr)|(kdp)|(train st.+moving)|(\|lc)|(penalty))"</v>
      </c>
      <c r="AG82" s="244" t="str">
        <f t="shared" si="41"/>
        <v>EC</v>
      </c>
      <c r="AH82" s="236" t="str">
        <f t="shared" si="42"/>
        <v>"%USERPROFILE%\Documents\GitHub\eaglep3\Utilities\RefineRTDCRunTimes.py" --tripid 170-22 --locoid 4007 --swversion DE.1.0.9.0 --startMP 204:232975 --initTime 2017-12-22T12:56:03 --startdatetime 2017-12-22T13:12:30 --delay 63 --endMP 204:149 --enddatetime 2017-12-22T13:50:24 --enforcementcount 0 &gt;&gt;%USERPROFILE%\Documents\GitHub\eaglep3-reporting\EC\2017-12-22-refined-times.txt</v>
      </c>
      <c r="AI82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{"issue":{"subject":"","project_id":79,"tracker_id":40,"status_id":1,"priority_id":2,"assigned_to_id":338,"start_date":"2017-12-22","description":"","custom_fields":[{"id":1,"name":"Subdivision","value":"EC"},{"id":4,"name":"Milepost","value":"0.0149"},{"id":17,"name":"Train ID","value":"170-22"},{"id":16,"name":"Locomotive ID","value":"4007"},{"id":130,"name":"Impact","value":""},{"id":150,"name":"Time of Event (Mountain Time)","value":"13:50:24"},{"id":151,"name":"Denver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4"/>
        <v>start /low /b %USERPROFILE%\Documents\GitHub\eaglep3\Utilities\DownloadLogsFromS3.py --loco 4007 --day 2017-12-22</v>
      </c>
      <c r="AN82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6"/>
        <v>https://d0f6bd738d7f1b3e5a7ca70fe4ff75f0.us-east-1.aws.found.io/app/kibana#/discover/Steve-Slow-Train-Analysis-(2080s-and-2083s)?_g=(refreshInterval:(display:Off,pause:!f,section:0,value:0),time:(from:'2017-12-22T11:56:03-0700',mode:absolute,to:'2017-12-22T14:50:24-0700'))&amp;_a=(columns:!('Message%20ID',Summary),filters:!(),index:'emp_*',interval:auto,query:(query_string:(analyze_wildcard:!t,query:'%22rtdc.l.rtdc.4007%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782</v>
      </c>
      <c r="B83" s="225">
        <v>4044</v>
      </c>
      <c r="C83" s="227" t="s">
        <v>192</v>
      </c>
      <c r="D83" s="227" t="s">
        <v>946</v>
      </c>
      <c r="E83" s="226">
        <v>43091.517453703702</v>
      </c>
      <c r="F83" s="226">
        <v>43091.521157407406</v>
      </c>
      <c r="G83" s="225">
        <v>75</v>
      </c>
      <c r="H83" s="227" t="s">
        <v>560</v>
      </c>
      <c r="I83" s="226">
        <v>43091.546701388892</v>
      </c>
      <c r="J83" s="225">
        <v>0</v>
      </c>
      <c r="K83" s="237" t="str">
        <f t="shared" si="28"/>
        <v>4043/4044</v>
      </c>
      <c r="L83" s="245" t="str">
        <f>VLOOKUP(A83,'Trips&amp;Operators'!$C$1:$G$99911,5,FALSE)</f>
        <v>BADERTSCHER DIANE</v>
      </c>
      <c r="M83" s="224">
        <f t="shared" si="29"/>
        <v>2.5543981486407574E-2</v>
      </c>
      <c r="N83" s="225">
        <f t="shared" si="30"/>
        <v>36.783333340426907</v>
      </c>
      <c r="O83" s="225"/>
      <c r="P83" s="225"/>
      <c r="Q83" s="228"/>
      <c r="R83" s="242"/>
      <c r="S83" s="249">
        <f t="shared" si="31"/>
        <v>1</v>
      </c>
      <c r="T83" s="242" t="str">
        <f t="shared" si="32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3"/>
        <v>https://d0f6bd738d7f1b3e5a7ca70fe4ff75f0.us-east-1.aws.found.io/app/kibana#/discover/Steve-Slow-Train-Analysis-(2080s-and-2083s)?_g=(refreshInterval:(display:Off,pause:!f,section:0,value:0),time:(from:'2017-12-22T11:25:08-0700',mode:absolute,to:'2017-12-22T14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47" t="str">
        <f>IF(AA83&lt;VLOOKUP(AG83,Variables!$AC$3:$AD$8,2,FALSE),"Y","N")</f>
        <v>N</v>
      </c>
      <c r="X83" s="247">
        <f t="shared" si="34"/>
        <v>1</v>
      </c>
      <c r="Y83" s="247">
        <f t="shared" si="35"/>
        <v>5.6599999999999998E-2</v>
      </c>
      <c r="Z83" s="247">
        <f t="shared" si="36"/>
        <v>23.329499999999999</v>
      </c>
      <c r="AA83" s="247">
        <f t="shared" si="37"/>
        <v>23.2729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8"/>
        <v>171</v>
      </c>
      <c r="AE83" s="235" t="str">
        <f t="shared" si="39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83" s="234" t="str">
        <f t="shared" si="40"/>
        <v>"C:\Program Files (x86)\AstroGrep\AstroGrep.exe" /e /r /s /spath="%USERPROFILE%\AppData\Local\Temp\OnboardLogs" /stypes="app*4044*20171222*" /stext=" 20:.+((SYSTEM_STATE.+slice.+state.+changed )|(ment ac)|(multiple cpu faults)|(system.+state.+changed )|(\[timeout)|(PRM\|1\|D)|(kpr)|(kdp)|(train st.+moving)|(\|lc)|(penalty))"</v>
      </c>
      <c r="AG83" s="244" t="str">
        <f t="shared" si="41"/>
        <v>EC</v>
      </c>
      <c r="AH83" s="236" t="str">
        <f t="shared" si="42"/>
        <v>"%USERPROFILE%\Documents\GitHub\eaglep3\Utilities\RefineRTDCRunTimes.py" --tripid 171-22 --locoid 4044 --swversion DE.1.0.9.0 --startMP 204:566 --initTime 2017-12-22T12:25:08 --startdatetime 2017-12-22T12:30:28 --delay 75 --endMP 204:233295 --enddatetime 2017-12-22T13:07:15 --enforcementcount 0 &gt;&gt;%USERPROFILE%\Documents\GitHub\eaglep3-reporting\EC\2017-12-22-refined-times.txt</v>
      </c>
      <c r="AI8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{"issue":{"subject":"","project_id":79,"tracker_id":40,"status_id":1,"priority_id":2,"assigned_to_id":338,"start_date":"2017-12-22","description":"","custom_fields":[{"id":1,"name":"Subdivision","value":"EC"},{"id":4,"name":"Milepost","value":"23.3295"},{"id":17,"name":"Train ID","value":"171-22"},{"id":16,"name":"Locomotive ID","value":"4044"},{"id":130,"name":"Impact","value":""},{"id":150,"name":"Time of Event (Mountain Time)","value":"13:07:15"},{"id":151,"name":"Denver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4"/>
        <v>start /low /b %USERPROFILE%\Documents\GitHub\eaglep3\Utilities\DownloadLogsFromS3.py --loco 4044 --day 2017-12-22</v>
      </c>
      <c r="AN83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6"/>
        <v>https://d0f6bd738d7f1b3e5a7ca70fe4ff75f0.us-east-1.aws.found.io/app/kibana#/discover/Steve-Slow-Train-Analysis-(2080s-and-2083s)?_g=(refreshInterval:(display:Off,pause:!f,section:0,value:0),time:(from:'2017-12-22T11:25:08-0700',mode:absolute,to:'2017-12-22T14:07:15-0700'))&amp;_a=(columns:!('Message%20ID',Summary),filters:!(),index:'emp_*',interval:auto,query:(query_string:(analyze_wildcard:!t,query:'%22rtdc.l.rtdc.4044%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790</v>
      </c>
      <c r="B84" s="225">
        <v>4043</v>
      </c>
      <c r="C84" s="227" t="s">
        <v>192</v>
      </c>
      <c r="D84" s="227" t="s">
        <v>642</v>
      </c>
      <c r="E84" s="226">
        <v>43091.555636574078</v>
      </c>
      <c r="F84" s="226">
        <v>43091.560578703706</v>
      </c>
      <c r="G84" s="225">
        <v>91</v>
      </c>
      <c r="H84" s="227" t="s">
        <v>947</v>
      </c>
      <c r="I84" s="226">
        <v>43091.588229166664</v>
      </c>
      <c r="J84" s="225">
        <v>0</v>
      </c>
      <c r="K84" s="237" t="str">
        <f t="shared" si="28"/>
        <v>4043/4044</v>
      </c>
      <c r="L84" s="245" t="str">
        <f>VLOOKUP(A84,'Trips&amp;Operators'!$C$1:$G$99911,5,FALSE)</f>
        <v>BADERTSCHER DIANE</v>
      </c>
      <c r="M84" s="224">
        <f t="shared" si="29"/>
        <v>2.7650462958263233E-2</v>
      </c>
      <c r="N84" s="225">
        <f t="shared" si="30"/>
        <v>39.816666659899056</v>
      </c>
      <c r="O84" s="225"/>
      <c r="P84" s="225"/>
      <c r="Q84" s="228"/>
      <c r="R84" s="242"/>
      <c r="S84" s="249">
        <f t="shared" si="31"/>
        <v>1</v>
      </c>
      <c r="T84" s="242" t="str">
        <f t="shared" si="32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3"/>
        <v>https://d0f6bd738d7f1b3e5a7ca70fe4ff75f0.us-east-1.aws.found.io/app/kibana#/discover/Steve-Slow-Train-Analysis-(2080s-and-2083s)?_g=(refreshInterval:(display:Off,pause:!f,section:0,value:0),time:(from:'2017-12-22T12:20:07-0700',mode:absolute,to:'2017-12-22T15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47" t="str">
        <f>IF(AA84&lt;VLOOKUP(AG84,Variables!$AC$3:$AD$8,2,FALSE),"Y","N")</f>
        <v>N</v>
      </c>
      <c r="X84" s="247">
        <f t="shared" si="34"/>
        <v>1</v>
      </c>
      <c r="Y84" s="247">
        <f t="shared" si="35"/>
        <v>23.2972</v>
      </c>
      <c r="Z84" s="247">
        <f t="shared" si="36"/>
        <v>2.8199999999999999E-2</v>
      </c>
      <c r="AA84" s="247">
        <f t="shared" si="37"/>
        <v>23.269000000000002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8"/>
        <v>172</v>
      </c>
      <c r="AE84" s="235" t="str">
        <f t="shared" si="39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84" s="234" t="str">
        <f t="shared" si="40"/>
        <v>"C:\Program Files (x86)\AstroGrep\AstroGrep.exe" /e /r /s /spath="%USERPROFILE%\AppData\Local\Temp\OnboardLogs" /stypes="app*4043*20171222*" /stext=" 21:.+((SYSTEM_STATE.+slice.+state.+changed )|(ment ac)|(multiple cpu faults)|(system.+state.+changed )|(\[timeout)|(PRM\|1\|D)|(kpr)|(kdp)|(train st.+moving)|(\|lc)|(penalty))"</v>
      </c>
      <c r="AG84" s="244" t="str">
        <f t="shared" si="41"/>
        <v>EC</v>
      </c>
      <c r="AH84" s="236" t="str">
        <f t="shared" si="42"/>
        <v>"%USERPROFILE%\Documents\GitHub\eaglep3\Utilities\RefineRTDCRunTimes.py" --tripid 172-22 --locoid 4043 --swversion DE.1.0.9.0 --startMP 204:232972 --initTime 2017-12-22T13:20:07 --startdatetime 2017-12-22T13:27:14 --delay 91 --endMP 204:282 --enddatetime 2017-12-22T14:07:03 --enforcementcount 0 &gt;&gt;%USERPROFILE%\Documents\GitHub\eaglep3-reporting\EC\2017-12-22-refined-times.txt</v>
      </c>
      <c r="AI8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{"issue":{"subject":"","project_id":79,"tracker_id":40,"status_id":1,"priority_id":2,"assigned_to_id":338,"start_date":"2017-12-22","description":"","custom_fields":[{"id":1,"name":"Subdivision","value":"EC"},{"id":4,"name":"Milepost","value":"0.0282"},{"id":17,"name":"Train ID","value":"172-22"},{"id":16,"name":"Locomotive ID","value":"4043"},{"id":130,"name":"Impact","value":""},{"id":150,"name":"Time of Event (Mountain Time)","value":"14:07:03"},{"id":151,"name":"Denver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4"/>
        <v>start /low /b %USERPROFILE%\Documents\GitHub\eaglep3\Utilities\DownloadLogsFromS3.py --loco 4043 --day 2017-12-22</v>
      </c>
      <c r="AN84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6"/>
        <v>https://d0f6bd738d7f1b3e5a7ca70fe4ff75f0.us-east-1.aws.found.io/app/kibana#/discover/Steve-Slow-Train-Analysis-(2080s-and-2083s)?_g=(refreshInterval:(display:Off,pause:!f,section:0,value:0),time:(from:'2017-12-22T12:20:07-0700',mode:absolute,to:'2017-12-22T15:07:03-0700'))&amp;_a=(columns:!('Message%20ID',Summary),filters:!(),index:'emp_*',interval:auto,query:(query_string:(analyze_wildcard:!t,query:'%22rtdc.l.rtdc.4043%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785</v>
      </c>
      <c r="B85" s="225">
        <v>4040</v>
      </c>
      <c r="C85" s="227" t="s">
        <v>192</v>
      </c>
      <c r="D85" s="227" t="s">
        <v>606</v>
      </c>
      <c r="E85" s="226">
        <v>43091.52684027778</v>
      </c>
      <c r="F85" s="226">
        <v>43091.531840277778</v>
      </c>
      <c r="G85" s="225">
        <v>65</v>
      </c>
      <c r="H85" s="227" t="s">
        <v>934</v>
      </c>
      <c r="I85" s="226">
        <v>43091.555949074071</v>
      </c>
      <c r="J85" s="225">
        <v>0</v>
      </c>
      <c r="K85" s="237" t="str">
        <f t="shared" si="28"/>
        <v>4039/4040</v>
      </c>
      <c r="L85" s="245" t="str">
        <f>VLOOKUP(A85,'Trips&amp;Operators'!$C$1:$G$99911,5,FALSE)</f>
        <v>HOLCOMB KAMDEN</v>
      </c>
      <c r="M85" s="224">
        <f t="shared" si="29"/>
        <v>2.4108796293148771E-2</v>
      </c>
      <c r="N85" s="225">
        <f t="shared" si="30"/>
        <v>34.71666666213423</v>
      </c>
      <c r="O85" s="225"/>
      <c r="P85" s="225"/>
      <c r="Q85" s="228"/>
      <c r="R85" s="242"/>
      <c r="S85" s="249">
        <f t="shared" si="31"/>
        <v>1</v>
      </c>
      <c r="T85" s="242" t="str">
        <f t="shared" si="32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3"/>
        <v>https://d0f6bd738d7f1b3e5a7ca70fe4ff75f0.us-east-1.aws.found.io/app/kibana#/discover/Steve-Slow-Train-Analysis-(2080s-and-2083s)?_g=(refreshInterval:(display:Off,pause:!f,section:0,value:0),time:(from:'2017-12-22T11:38:39-0700',mode:absolute,to:'2017-12-22T14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47" t="str">
        <f>IF(AA85&lt;VLOOKUP(AG85,Variables!$AC$3:$AD$8,2,FALSE),"Y","N")</f>
        <v>N</v>
      </c>
      <c r="X85" s="247">
        <f t="shared" si="34"/>
        <v>1</v>
      </c>
      <c r="Y85" s="247">
        <f t="shared" si="35"/>
        <v>4.4400000000000002E-2</v>
      </c>
      <c r="Z85" s="247">
        <f t="shared" si="36"/>
        <v>23.322800000000001</v>
      </c>
      <c r="AA85" s="247">
        <f t="shared" si="37"/>
        <v>23.278400000000001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8"/>
        <v>173</v>
      </c>
      <c r="AE85" s="235" t="str">
        <f t="shared" si="39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85" s="234" t="str">
        <f t="shared" si="40"/>
        <v>"C:\Program Files (x86)\AstroGrep\AstroGrep.exe" /e /r /s /spath="%USERPROFILE%\AppData\Local\Temp\OnboardLogs" /stypes="app*4040*20171222*" /stext=" 20:.+((SYSTEM_STATE.+slice.+state.+changed )|(ment ac)|(multiple cpu faults)|(system.+state.+changed )|(\[timeout)|(PRM\|1\|D)|(kpr)|(kdp)|(train st.+moving)|(\|lc)|(penalty))"</v>
      </c>
      <c r="AG85" s="244" t="str">
        <f t="shared" si="41"/>
        <v>EC</v>
      </c>
      <c r="AH85" s="236" t="str">
        <f t="shared" si="42"/>
        <v>"%USERPROFILE%\Documents\GitHub\eaglep3\Utilities\RefineRTDCRunTimes.py" --tripid 173-22 --locoid 4040 --swversion DE.1.0.9.0 --startMP 204:444 --initTime 2017-12-22T12:38:39 --startdatetime 2017-12-22T12:45:51 --delay 65 --endMP 204:233228 --enddatetime 2017-12-22T13:20:34 --enforcementcount 0 &gt;&gt;%USERPROFILE%\Documents\GitHub\eaglep3-reporting\EC\2017-12-22-refined-times.txt</v>
      </c>
      <c r="AI8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{"issue":{"subject":"","project_id":79,"tracker_id":40,"status_id":1,"priority_id":2,"assigned_to_id":338,"start_date":"2017-12-22","description":"","custom_fields":[{"id":1,"name":"Subdivision","value":"EC"},{"id":4,"name":"Milepost","value":"23.3228"},{"id":17,"name":"Train ID","value":"173-22"},{"id":16,"name":"Locomotive ID","value":"4040"},{"id":130,"name":"Impact","value":""},{"id":150,"name":"Time of Event (Mountain Time)","value":"13:20:34"},{"id":151,"name":"Denver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4"/>
        <v>start /low /b %USERPROFILE%\Documents\GitHub\eaglep3\Utilities\DownloadLogsFromS3.py --loco 4040 --day 2017-12-22</v>
      </c>
      <c r="AN85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6"/>
        <v>https://d0f6bd738d7f1b3e5a7ca70fe4ff75f0.us-east-1.aws.found.io/app/kibana#/discover/Steve-Slow-Train-Analysis-(2080s-and-2083s)?_g=(refreshInterval:(display:Off,pause:!f,section:0,value:0),time:(from:'2017-12-22T11:38:39-0700',mode:absolute,to:'2017-12-22T14:20:34-0700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793</v>
      </c>
      <c r="B86" s="225">
        <v>4039</v>
      </c>
      <c r="C86" s="227" t="s">
        <v>192</v>
      </c>
      <c r="D86" s="227" t="s">
        <v>581</v>
      </c>
      <c r="E86" s="226">
        <v>43091.565312500003</v>
      </c>
      <c r="F86" s="226">
        <v>43091.57104166667</v>
      </c>
      <c r="G86" s="225">
        <v>72</v>
      </c>
      <c r="H86" s="227" t="s">
        <v>511</v>
      </c>
      <c r="I86" s="226">
        <v>43091.596446759257</v>
      </c>
      <c r="J86" s="225">
        <v>0</v>
      </c>
      <c r="K86" s="237" t="str">
        <f t="shared" si="28"/>
        <v>4039/4040</v>
      </c>
      <c r="L86" s="245" t="str">
        <f>VLOOKUP(A86,'Trips&amp;Operators'!$C$1:$G$99911,5,FALSE)</f>
        <v>HOLCOMB KAMDEN</v>
      </c>
      <c r="M86" s="224">
        <f t="shared" si="29"/>
        <v>2.5405092586879618E-2</v>
      </c>
      <c r="N86" s="225">
        <f t="shared" si="30"/>
        <v>36.583333325106651</v>
      </c>
      <c r="O86" s="225"/>
      <c r="P86" s="225"/>
      <c r="Q86" s="228"/>
      <c r="R86" s="242"/>
      <c r="S86" s="249">
        <f t="shared" si="31"/>
        <v>1</v>
      </c>
      <c r="T86" s="242" t="str">
        <f t="shared" si="32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3"/>
        <v>https://d0f6bd738d7f1b3e5a7ca70fe4ff75f0.us-east-1.aws.found.io/app/kibana#/discover/Steve-Slow-Train-Analysis-(2080s-and-2083s)?_g=(refreshInterval:(display:Off,pause:!f,section:0,value:0),time:(from:'2017-12-22T12:34:03-0700',mode:absolute,to:'2017-12-22T15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47" t="str">
        <f>IF(AA86&lt;VLOOKUP(AG86,Variables!$AC$3:$AD$8,2,FALSE),"Y","N")</f>
        <v>N</v>
      </c>
      <c r="X86" s="247">
        <f t="shared" si="34"/>
        <v>1</v>
      </c>
      <c r="Y86" s="247">
        <f t="shared" si="35"/>
        <v>23.291699999999999</v>
      </c>
      <c r="Z86" s="247">
        <f t="shared" si="36"/>
        <v>1.89E-2</v>
      </c>
      <c r="AA86" s="247">
        <f t="shared" si="37"/>
        <v>23.2728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8"/>
        <v>174</v>
      </c>
      <c r="AE86" s="235" t="str">
        <f t="shared" si="39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86" s="234" t="str">
        <f t="shared" si="40"/>
        <v>"C:\Program Files (x86)\AstroGrep\AstroGrep.exe" /e /r /s /spath="%USERPROFILE%\AppData\Local\Temp\OnboardLogs" /stypes="app*4039*20171222*" /stext=" 21:.+((SYSTEM_STATE.+slice.+state.+changed )|(ment ac)|(multiple cpu faults)|(system.+state.+changed )|(\[timeout)|(PRM\|1\|D)|(kpr)|(kdp)|(train st.+moving)|(\|lc)|(penalty))"</v>
      </c>
      <c r="AG86" s="244" t="str">
        <f t="shared" si="41"/>
        <v>EC</v>
      </c>
      <c r="AH86" s="236" t="str">
        <f t="shared" si="42"/>
        <v>"%USERPROFILE%\Documents\GitHub\eaglep3\Utilities\RefineRTDCRunTimes.py" --tripid 174-22 --locoid 4039 --swversion DE.1.0.9.0 --startMP 204:232917 --initTime 2017-12-22T13:34:03 --startdatetime 2017-12-22T13:42:18 --delay 72 --endMP 204:189 --enddatetime 2017-12-22T14:18:53 --enforcementcount 0 &gt;&gt;%USERPROFILE%\Documents\GitHub\eaglep3-reporting\EC\2017-12-22-refined-times.txt</v>
      </c>
      <c r="AI8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{"issue":{"subject":"","project_id":79,"tracker_id":40,"status_id":1,"priority_id":2,"assigned_to_id":338,"start_date":"2017-12-22","description":"","custom_fields":[{"id":1,"name":"Subdivision","value":"EC"},{"id":4,"name":"Milepost","value":"0.0189"},{"id":17,"name":"Train ID","value":"174-22"},{"id":16,"name":"Locomotive ID","value":"4039"},{"id":130,"name":"Impact","value":""},{"id":150,"name":"Time of Event (Mountain Time)","value":"14:18:53"},{"id":151,"name":"Denver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4"/>
        <v>start /low /b %USERPROFILE%\Documents\GitHub\eaglep3\Utilities\DownloadLogsFromS3.py --loco 4039 --day 2017-12-22</v>
      </c>
      <c r="AN86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6"/>
        <v>https://d0f6bd738d7f1b3e5a7ca70fe4ff75f0.us-east-1.aws.found.io/app/kibana#/discover/Steve-Slow-Train-Analysis-(2080s-and-2083s)?_g=(refreshInterval:(display:Off,pause:!f,section:0,value:0),time:(from:'2017-12-22T12:34:03-0700',mode:absolute,to:'2017-12-22T15:18:53-0700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787</v>
      </c>
      <c r="B87" s="225">
        <v>4020</v>
      </c>
      <c r="C87" s="227" t="s">
        <v>192</v>
      </c>
      <c r="D87" s="227" t="s">
        <v>593</v>
      </c>
      <c r="E87" s="226">
        <v>43091.537210648145</v>
      </c>
      <c r="F87" s="226">
        <v>43091.542175925926</v>
      </c>
      <c r="G87" s="225">
        <v>95</v>
      </c>
      <c r="H87" s="227" t="s">
        <v>510</v>
      </c>
      <c r="I87" s="226">
        <v>43091.567048611112</v>
      </c>
      <c r="J87" s="225">
        <v>0</v>
      </c>
      <c r="K87" s="237" t="str">
        <f t="shared" si="28"/>
        <v>4019/4020</v>
      </c>
      <c r="L87" s="245" t="str">
        <f>VLOOKUP(A87,'Trips&amp;Operators'!$C$1:$G$99911,5,FALSE)</f>
        <v>SAFIEF AEIMEN</v>
      </c>
      <c r="M87" s="224">
        <f t="shared" si="29"/>
        <v>2.4872685185982846E-2</v>
      </c>
      <c r="N87" s="225">
        <f t="shared" si="30"/>
        <v>35.816666667815298</v>
      </c>
      <c r="O87" s="225"/>
      <c r="P87" s="225"/>
      <c r="Q87" s="228"/>
      <c r="R87" s="242"/>
      <c r="S87" s="249">
        <f t="shared" si="31"/>
        <v>1</v>
      </c>
      <c r="T87" s="242" t="str">
        <f t="shared" si="32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3"/>
        <v>https://d0f6bd738d7f1b3e5a7ca70fe4ff75f0.us-east-1.aws.found.io/app/kibana#/discover/Steve-Slow-Train-Analysis-(2080s-and-2083s)?_g=(refreshInterval:(display:Off,pause:!f,section:0,value:0),time:(from:'2017-12-22T11:53:35-0700',mode:absolute,to:'2017-12-22T14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47" t="str">
        <f>IF(AA87&lt;VLOOKUP(AG87,Variables!$AC$3:$AD$8,2,FALSE),"Y","N")</f>
        <v>N</v>
      </c>
      <c r="X87" s="247">
        <f t="shared" si="34"/>
        <v>1</v>
      </c>
      <c r="Y87" s="247">
        <f t="shared" si="35"/>
        <v>4.9299999999999997E-2</v>
      </c>
      <c r="Z87" s="247">
        <f t="shared" si="36"/>
        <v>23.325299999999999</v>
      </c>
      <c r="AA87" s="247">
        <f t="shared" si="37"/>
        <v>23.276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8"/>
        <v>175</v>
      </c>
      <c r="AE87" s="235" t="str">
        <f t="shared" si="39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87" s="234" t="str">
        <f t="shared" si="40"/>
        <v>"C:\Program Files (x86)\AstroGrep\AstroGrep.exe" /e /r /s /spath="%USERPROFILE%\AppData\Local\Temp\OnboardLogs" /stypes="app*4020*20171222*" /stext=" 20:.+((SYSTEM_STATE.+slice.+state.+changed )|(ment ac)|(multiple cpu faults)|(system.+state.+changed )|(\[timeout)|(PRM\|1\|D)|(kpr)|(kdp)|(train st.+moving)|(\|lc)|(penalty))"</v>
      </c>
      <c r="AG87" s="244" t="str">
        <f t="shared" si="41"/>
        <v>EC</v>
      </c>
      <c r="AH87" s="236" t="str">
        <f t="shared" si="42"/>
        <v>"%USERPROFILE%\Documents\GitHub\eaglep3\Utilities\RefineRTDCRunTimes.py" --tripid 175-22 --locoid 4020 --swversion DE.1.0.9.0 --startMP 204:493 --initTime 2017-12-22T12:53:35 --startdatetime 2017-12-22T13:00:44 --delay 95 --endMP 204:233253 --enddatetime 2017-12-22T13:36:33 --enforcementcount 0 &gt;&gt;%USERPROFILE%\Documents\GitHub\eaglep3-reporting\EC\2017-12-22-refined-times.txt</v>
      </c>
      <c r="AI8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{"issue":{"subject":"","project_id":79,"tracker_id":40,"status_id":1,"priority_id":2,"assigned_to_id":338,"start_date":"2017-12-22","description":"","custom_fields":[{"id":1,"name":"Subdivision","value":"EC"},{"id":4,"name":"Milepost","value":"23.3253"},{"id":17,"name":"Train ID","value":"175-22"},{"id":16,"name":"Locomotive ID","value":"4020"},{"id":130,"name":"Impact","value":""},{"id":150,"name":"Time of Event (Mountain Time)","value":"13:36:33"},{"id":151,"name":"Denver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4"/>
        <v>start /low /b %USERPROFILE%\Documents\GitHub\eaglep3\Utilities\DownloadLogsFromS3.py --loco 4020 --day 2017-12-22</v>
      </c>
      <c r="AN87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6"/>
        <v>https://d0f6bd738d7f1b3e5a7ca70fe4ff75f0.us-east-1.aws.found.io/app/kibana#/discover/Steve-Slow-Train-Analysis-(2080s-and-2083s)?_g=(refreshInterval:(display:Off,pause:!f,section:0,value:0),time:(from:'2017-12-22T11:53:35-0700',mode:absolute,to:'2017-12-22T14:36:33-0700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795</v>
      </c>
      <c r="B88" s="225">
        <v>4019</v>
      </c>
      <c r="C88" s="227" t="s">
        <v>192</v>
      </c>
      <c r="D88" s="227" t="s">
        <v>611</v>
      </c>
      <c r="E88" s="226">
        <v>43091.569953703707</v>
      </c>
      <c r="F88" s="226">
        <v>43091.581631944442</v>
      </c>
      <c r="G88" s="225">
        <v>87</v>
      </c>
      <c r="H88" s="227" t="s">
        <v>511</v>
      </c>
      <c r="I88" s="226">
        <v>43091.607615740744</v>
      </c>
      <c r="J88" s="225">
        <v>0</v>
      </c>
      <c r="K88" s="237" t="str">
        <f t="shared" si="28"/>
        <v>4019/4020</v>
      </c>
      <c r="L88" s="245" t="str">
        <f>VLOOKUP(A88,'Trips&amp;Operators'!$C$1:$G$99911,5,FALSE)</f>
        <v>SAFIEF AEIMEN</v>
      </c>
      <c r="M88" s="224">
        <f t="shared" si="29"/>
        <v>2.5983796302170958E-2</v>
      </c>
      <c r="N88" s="225">
        <f t="shared" si="30"/>
        <v>37.41666667512618</v>
      </c>
      <c r="O88" s="225"/>
      <c r="P88" s="225"/>
      <c r="Q88" s="228"/>
      <c r="R88" s="242" t="s">
        <v>1086</v>
      </c>
      <c r="S88" s="249">
        <f t="shared" si="31"/>
        <v>1</v>
      </c>
      <c r="T88" s="242" t="str">
        <f t="shared" si="32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3"/>
        <v>https://d0f6bd738d7f1b3e5a7ca70fe4ff75f0.us-east-1.aws.found.io/app/kibana#/discover/Steve-Slow-Train-Analysis-(2080s-and-2083s)?_g=(refreshInterval:(display:Off,pause:!f,section:0,value:0),time:(from:'2017-12-22T12:40:44-0700',mode:absolute,to:'2017-12-22T15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47" t="str">
        <f>IF(AA88&lt;VLOOKUP(AG88,Variables!$AC$3:$AD$8,2,FALSE),"Y","N")</f>
        <v>N</v>
      </c>
      <c r="X88" s="247">
        <f t="shared" si="34"/>
        <v>1</v>
      </c>
      <c r="Y88" s="247">
        <f t="shared" si="35"/>
        <v>23.293600000000001</v>
      </c>
      <c r="Z88" s="247">
        <f t="shared" si="36"/>
        <v>1.89E-2</v>
      </c>
      <c r="AA88" s="247">
        <f t="shared" si="37"/>
        <v>23.274700000000003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8"/>
        <v>176</v>
      </c>
      <c r="AE88" s="235" t="str">
        <f t="shared" si="39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88" s="234" t="str">
        <f t="shared" si="40"/>
        <v>"C:\Program Files (x86)\AstroGrep\AstroGrep.exe" /e /r /s /spath="%USERPROFILE%\AppData\Local\Temp\OnboardLogs" /stypes="app*4019*20171222*" /stext=" 21:.+((SYSTEM_STATE.+slice.+state.+changed )|(ment ac)|(multiple cpu faults)|(system.+state.+changed )|(\[timeout)|(PRM\|1\|D)|(kpr)|(kdp)|(train st.+moving)|(\|lc)|(penalty))"</v>
      </c>
      <c r="AG88" s="244" t="str">
        <f t="shared" si="41"/>
        <v>EC</v>
      </c>
      <c r="AH88" s="236" t="str">
        <f t="shared" si="42"/>
        <v>"%USERPROFILE%\Documents\GitHub\eaglep3\Utilities\RefineRTDCRunTimes.py" --tripid 176-22 --locoid 4019 --swversion DE.1.0.9.0 --startMP 204:232936 --initTime 2017-12-22T13:40:44 --startdatetime 2017-12-22T13:57:33 --delay 87 --endMP 204:189 --enddatetime 2017-12-22T14:34:58 --enforcementcount 0 &gt;&gt;%USERPROFILE%\Documents\GitHub\eaglep3-reporting\EC\2017-12-22-refined-times.txt</v>
      </c>
      <c r="AI88" s="238" t="str">
        <f t="shared" si="43"/>
        <v>echo {"issue":{"subject":"Observed unhealthy xing at Chambers due to minor onboard en route failure","project_id":79,"tracker_id":40,"status_id":1,"priority_id":2,"assigned_to_id":338,"start_date":"2017-12-22","description":"","custom_fields":[{"id":1,"name":"Subdivision","value":"EC"},{"id":4,"name":"Milepost","value":"0.0189"},{"id":17,"name":"Train ID","value":"176-22"},{"id":16,"name":"Locomotive ID","value":"4019"},{"id":130,"name":"Impact","value":""},{"id":150,"name":"Time of Event (Mountain Time)","value":"14:34:58"},{"id":151,"name":"Denver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4"/>
        <v>start /low /b %USERPROFILE%\Documents\GitHub\eaglep3\Utilities\DownloadLogsFromS3.py --loco 4019 --day 2017-12-22</v>
      </c>
      <c r="AN88" s="241" t="str">
        <f t="shared" si="45"/>
        <v>echo {"issue":{"subject":"Observed unhealthy xing at Chambers due to minor onboard en route failure","project_id":30,"tracker_id":4,"status_id":1,"priority_id":1,"assigned_to_id":10,"start_date":"2017-12-22","description":"","custom_fields":[{"id":30,"name":"Category","value":"Issue"},{"id":3,"name":"Functional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6"/>
        <v>https://d0f6bd738d7f1b3e5a7ca70fe4ff75f0.us-east-1.aws.found.io/app/kibana#/discover/Steve-Slow-Train-Analysis-(2080s-and-2083s)?_g=(refreshInterval:(display:Off,pause:!f,section:0,value:0),time:(from:'2017-12-22T12:40:44-0700',mode:absolute,to:'2017-12-22T15:34:58-0700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789</v>
      </c>
      <c r="B89" s="225">
        <v>4006</v>
      </c>
      <c r="C89" s="227" t="s">
        <v>192</v>
      </c>
      <c r="D89" s="227" t="s">
        <v>948</v>
      </c>
      <c r="E89" s="226">
        <v>43091.548368055555</v>
      </c>
      <c r="F89" s="226">
        <v>43091.552511574075</v>
      </c>
      <c r="G89" s="225">
        <v>68</v>
      </c>
      <c r="H89" s="227" t="s">
        <v>949</v>
      </c>
      <c r="I89" s="226">
        <v>43091.57712962963</v>
      </c>
      <c r="J89" s="225">
        <v>0</v>
      </c>
      <c r="K89" s="237" t="str">
        <f t="shared" si="28"/>
        <v>4005/4006</v>
      </c>
      <c r="L89" s="245" t="str">
        <f>VLOOKUP(A89,'Trips&amp;Operators'!$C$1:$G$99911,5,FALSE)</f>
        <v>MOSES BRADLEY</v>
      </c>
      <c r="M89" s="224">
        <f t="shared" si="29"/>
        <v>2.4618055555038154E-2</v>
      </c>
      <c r="N89" s="225">
        <f t="shared" si="30"/>
        <v>35.449999999254942</v>
      </c>
      <c r="O89" s="225"/>
      <c r="P89" s="225"/>
      <c r="Q89" s="228"/>
      <c r="R89" s="242"/>
      <c r="S89" s="249">
        <f t="shared" si="31"/>
        <v>1</v>
      </c>
      <c r="T89" s="242" t="str">
        <f t="shared" si="32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3"/>
        <v>https://d0f6bd738d7f1b3e5a7ca70fe4ff75f0.us-east-1.aws.found.io/app/kibana#/discover/Steve-Slow-Train-Analysis-(2080s-and-2083s)?_g=(refreshInterval:(display:Off,pause:!f,section:0,value:0),time:(from:'2017-12-22T12:09:39-0700',mode:absolute,to:'2017-12-22T14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47" t="str">
        <f>IF(AA89&lt;VLOOKUP(AG89,Variables!$AC$3:$AD$8,2,FALSE),"Y","N")</f>
        <v>N</v>
      </c>
      <c r="X89" s="247">
        <f t="shared" si="34"/>
        <v>1</v>
      </c>
      <c r="Y89" s="247">
        <f t="shared" si="35"/>
        <v>5.7700000000000001E-2</v>
      </c>
      <c r="Z89" s="247">
        <f t="shared" si="36"/>
        <v>23.3245</v>
      </c>
      <c r="AA89" s="247">
        <f t="shared" si="37"/>
        <v>23.2668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8"/>
        <v>177</v>
      </c>
      <c r="AE89" s="235" t="str">
        <f t="shared" si="39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89" s="234" t="str">
        <f t="shared" si="40"/>
        <v>"C:\Program Files (x86)\AstroGrep\AstroGrep.exe" /e /r /s /spath="%USERPROFILE%\AppData\Local\Temp\OnboardLogs" /stypes="app*4006*20171222*" /stext=" 20:.+((SYSTEM_STATE.+slice.+state.+changed )|(ment ac)|(multiple cpu faults)|(system.+state.+changed )|(\[timeout)|(PRM\|1\|D)|(kpr)|(kdp)|(train st.+moving)|(\|lc)|(penalty))"</v>
      </c>
      <c r="AG89" s="244" t="str">
        <f t="shared" si="41"/>
        <v>EC</v>
      </c>
      <c r="AH89" s="236" t="str">
        <f t="shared" si="42"/>
        <v>"%USERPROFILE%\Documents\GitHub\eaglep3\Utilities\RefineRTDCRunTimes.py" --tripid 177-22 --locoid 4006 --swversion DE.1.0.9.0 --startMP 204:577 --initTime 2017-12-22T13:09:39 --startdatetime 2017-12-22T13:15:37 --delay 68 --endMP 204:233245 --enddatetime 2017-12-22T13:51:04 --enforcementcount 0 &gt;&gt;%USERPROFILE%\Documents\GitHub\eaglep3-reporting\EC\2017-12-22-refined-times.txt</v>
      </c>
      <c r="AI8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{"issue":{"subject":"","project_id":79,"tracker_id":40,"status_id":1,"priority_id":2,"assigned_to_id":338,"start_date":"2017-12-22","description":"","custom_fields":[{"id":1,"name":"Subdivision","value":"EC"},{"id":4,"name":"Milepost","value":"23.3245"},{"id":17,"name":"Train ID","value":"177-22"},{"id":16,"name":"Locomotive ID","value":"4006"},{"id":130,"name":"Impact","value":""},{"id":150,"name":"Time of Event (Mountain Time)","value":"13:51:04"},{"id":151,"name":"Denver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4"/>
        <v>start /low /b %USERPROFILE%\Documents\GitHub\eaglep3\Utilities\DownloadLogsFromS3.py --loco 4006 --day 2017-12-22</v>
      </c>
      <c r="AN89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6"/>
        <v>https://d0f6bd738d7f1b3e5a7ca70fe4ff75f0.us-east-1.aws.found.io/app/kibana#/discover/Steve-Slow-Train-Analysis-(2080s-and-2083s)?_g=(refreshInterval:(display:Off,pause:!f,section:0,value:0),time:(from:'2017-12-22T12:09:39-0700',mode:absolute,to:'2017-12-22T14:51:04-0700'))&amp;_a=(columns:!('Message%20ID',Summary),filters:!(),index:'emp_*',interval:auto,query:(query_string:(analyze_wildcard:!t,query:'%22rtdc.l.rtdc.4006%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659</v>
      </c>
      <c r="B90" s="225">
        <v>4005</v>
      </c>
      <c r="C90" s="227" t="s">
        <v>192</v>
      </c>
      <c r="D90" s="227" t="s">
        <v>568</v>
      </c>
      <c r="E90" s="226">
        <v>43091.578298611108</v>
      </c>
      <c r="F90" s="226">
        <v>43091.591932870368</v>
      </c>
      <c r="G90" s="225">
        <v>71</v>
      </c>
      <c r="H90" s="227" t="s">
        <v>608</v>
      </c>
      <c r="I90" s="226">
        <v>43091.618587962963</v>
      </c>
      <c r="J90" s="225">
        <v>0</v>
      </c>
      <c r="K90" s="237" t="str">
        <f t="shared" si="28"/>
        <v>4005/4006</v>
      </c>
      <c r="L90" s="245" t="str">
        <f>VLOOKUP(A90,'Trips&amp;Operators'!$C$1:$G$99911,5,FALSE)</f>
        <v>MOSES BRADLEY</v>
      </c>
      <c r="M90" s="224">
        <f t="shared" si="29"/>
        <v>2.6655092595319729E-2</v>
      </c>
      <c r="N90" s="225">
        <f t="shared" si="30"/>
        <v>38.38333333726041</v>
      </c>
      <c r="O90" s="225"/>
      <c r="P90" s="225"/>
      <c r="Q90" s="228"/>
      <c r="R90" s="242"/>
      <c r="S90" s="249">
        <f t="shared" si="31"/>
        <v>1</v>
      </c>
      <c r="T90" s="242" t="str">
        <f t="shared" si="32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3"/>
        <v>https://d0f6bd738d7f1b3e5a7ca70fe4ff75f0.us-east-1.aws.found.io/app/kibana#/discover/Steve-Slow-Train-Analysis-(2080s-and-2083s)?_g=(refreshInterval:(display:Off,pause:!f,section:0,value:0),time:(from:'2017-12-22T12:52:45-0700',mode:absolute,to:'2017-12-22T15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47" t="str">
        <f>IF(AA90&lt;VLOOKUP(AG90,Variables!$AC$3:$AD$8,2,FALSE),"Y","N")</f>
        <v>N</v>
      </c>
      <c r="X90" s="247">
        <f t="shared" si="34"/>
        <v>1</v>
      </c>
      <c r="Y90" s="247">
        <f t="shared" si="35"/>
        <v>23.293800000000001</v>
      </c>
      <c r="Z90" s="247">
        <f t="shared" si="36"/>
        <v>1.8100000000000002E-2</v>
      </c>
      <c r="AA90" s="247">
        <f t="shared" si="37"/>
        <v>23.275700000000001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8"/>
        <v>178</v>
      </c>
      <c r="AE90" s="235" t="str">
        <f t="shared" si="39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90" s="234" t="str">
        <f t="shared" si="40"/>
        <v>"C:\Program Files (x86)\AstroGrep\AstroGrep.exe" /e /r /s /spath="%USERPROFILE%\AppData\Local\Temp\OnboardLogs" /stypes="app*4005*20171222*" /stext=" 21:.+((SYSTEM_STATE.+slice.+state.+changed )|(ment ac)|(multiple cpu faults)|(system.+state.+changed )|(\[timeout)|(PRM\|1\|D)|(kpr)|(kdp)|(train st.+moving)|(\|lc)|(penalty))"</v>
      </c>
      <c r="AG90" s="244" t="str">
        <f t="shared" si="41"/>
        <v>EC</v>
      </c>
      <c r="AH90" s="236" t="str">
        <f t="shared" si="42"/>
        <v>"%USERPROFILE%\Documents\GitHub\eaglep3\Utilities\RefineRTDCRunTimes.py" --tripid 178-22 --locoid 4005 --swversion DE.1.0.9.0 --startMP 204:232938 --initTime 2017-12-22T13:52:45 --startdatetime 2017-12-22T14:12:23 --delay 71 --endMP 204:181 --enddatetime 2017-12-22T14:50:46 --enforcementcount 0 &gt;&gt;%USERPROFILE%\Documents\GitHub\eaglep3-reporting\EC\2017-12-22-refined-times.txt</v>
      </c>
      <c r="AI9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{"issue":{"subject":"","project_id":79,"tracker_id":40,"status_id":1,"priority_id":2,"assigned_to_id":338,"start_date":"2017-12-22","description":"","custom_fields":[{"id":1,"name":"Subdivision","value":"EC"},{"id":4,"name":"Milepost","value":"0.0181"},{"id":17,"name":"Train ID","value":"178-22"},{"id":16,"name":"Locomotive ID","value":"4005"},{"id":130,"name":"Impact","value":""},{"id":150,"name":"Time of Event (Mountain Time)","value":"14:50:46"},{"id":151,"name":"Denver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4"/>
        <v>start /low /b %USERPROFILE%\Documents\GitHub\eaglep3\Utilities\DownloadLogsFromS3.py --loco 4005 --day 2017-12-22</v>
      </c>
      <c r="AN90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6"/>
        <v>https://d0f6bd738d7f1b3e5a7ca70fe4ff75f0.us-east-1.aws.found.io/app/kibana#/discover/Steve-Slow-Train-Analysis-(2080s-and-2083s)?_g=(refreshInterval:(display:Off,pause:!f,section:0,value:0),time:(from:'2017-12-22T12:52:45-0700',mode:absolute,to:'2017-12-22T15:50:46-0700'))&amp;_a=(columns:!('Message%20ID',Summary),filters:!(),index:'emp_*',interval:auto,query:(query_string:(analyze_wildcard:!t,query:'%22rtdc.l.rtdc.4005%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791</v>
      </c>
      <c r="B91" s="225">
        <v>4062</v>
      </c>
      <c r="C91" s="227" t="s">
        <v>192</v>
      </c>
      <c r="D91" s="227" t="s">
        <v>651</v>
      </c>
      <c r="E91" s="226">
        <v>43091.557337962964</v>
      </c>
      <c r="F91" s="226">
        <v>43091.562685185185</v>
      </c>
      <c r="G91" s="225">
        <v>62</v>
      </c>
      <c r="H91" s="227" t="s">
        <v>601</v>
      </c>
      <c r="I91" s="226">
        <v>43091.58798611111</v>
      </c>
      <c r="J91" s="225">
        <v>0</v>
      </c>
      <c r="K91" s="237" t="str">
        <f t="shared" si="28"/>
        <v>4061/4062</v>
      </c>
      <c r="L91" s="245" t="str">
        <f>VLOOKUP(A91,'Trips&amp;Operators'!$C$1:$G$99911,5,FALSE)</f>
        <v>LEVERE CRAIG</v>
      </c>
      <c r="M91" s="224">
        <f t="shared" si="29"/>
        <v>2.5300925924966577E-2</v>
      </c>
      <c r="N91" s="225">
        <f t="shared" si="30"/>
        <v>36.433333331951872</v>
      </c>
      <c r="O91" s="225"/>
      <c r="P91" s="225"/>
      <c r="Q91" s="228"/>
      <c r="R91" s="242"/>
      <c r="S91" s="249">
        <f t="shared" si="31"/>
        <v>1</v>
      </c>
      <c r="T91" s="242" t="str">
        <f t="shared" si="32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3"/>
        <v>https://d0f6bd738d7f1b3e5a7ca70fe4ff75f0.us-east-1.aws.found.io/app/kibana#/discover/Steve-Slow-Train-Analysis-(2080s-and-2083s)?_g=(refreshInterval:(display:Off,pause:!f,section:0,value:0),time:(from:'2017-12-22T12:22:34-0700',mode:absolute,to:'2017-12-22T15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47" t="str">
        <f>IF(AA91&lt;VLOOKUP(AG91,Variables!$AC$3:$AD$8,2,FALSE),"Y","N")</f>
        <v>N</v>
      </c>
      <c r="X91" s="247">
        <f t="shared" si="34"/>
        <v>1</v>
      </c>
      <c r="Y91" s="247">
        <f t="shared" si="35"/>
        <v>5.4199999999999998E-2</v>
      </c>
      <c r="Z91" s="247">
        <f t="shared" si="36"/>
        <v>23.326599999999999</v>
      </c>
      <c r="AA91" s="247">
        <f t="shared" si="37"/>
        <v>23.272399999999998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8"/>
        <v>179</v>
      </c>
      <c r="AE91" s="235" t="str">
        <f t="shared" si="39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91" s="234" t="str">
        <f t="shared" si="40"/>
        <v>"C:\Program Files (x86)\AstroGrep\AstroGrep.exe" /e /r /s /spath="%USERPROFILE%\AppData\Local\Temp\OnboardLogs" /stypes="app*4062*20171222*" /stext=" 21:.+((SYSTEM_STATE.+slice.+state.+changed )|(ment ac)|(multiple cpu faults)|(system.+state.+changed )|(\[timeout)|(PRM\|1\|D)|(kpr)|(kdp)|(train st.+moving)|(\|lc)|(penalty))"</v>
      </c>
      <c r="AG91" s="244" t="str">
        <f t="shared" si="41"/>
        <v>EC</v>
      </c>
      <c r="AH91" s="236" t="str">
        <f t="shared" si="42"/>
        <v>"%USERPROFILE%\Documents\GitHub\eaglep3\Utilities\RefineRTDCRunTimes.py" --tripid 179-22 --locoid 4062 --swversion DE.1.0.9.0 --startMP 204:542 --initTime 2017-12-22T13:22:34 --startdatetime 2017-12-22T13:30:16 --delay 62 --endMP 204:233266 --enddatetime 2017-12-22T14:06:42 --enforcementcount 0 &gt;&gt;%USERPROFILE%\Documents\GitHub\eaglep3-reporting\EC\2017-12-22-refined-times.txt</v>
      </c>
      <c r="AI9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{"issue":{"subject":"","project_id":79,"tracker_id":40,"status_id":1,"priority_id":2,"assigned_to_id":338,"start_date":"2017-12-22","description":"","custom_fields":[{"id":1,"name":"Subdivision","value":"EC"},{"id":4,"name":"Milepost","value":"23.3266"},{"id":17,"name":"Train ID","value":"179-22"},{"id":16,"name":"Locomotive ID","value":"4062"},{"id":130,"name":"Impact","value":""},{"id":150,"name":"Time of Event (Mountain Time)","value":"14:06:42"},{"id":151,"name":"Denver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4"/>
        <v>start /low /b %USERPROFILE%\Documents\GitHub\eaglep3\Utilities\DownloadLogsFromS3.py --loco 4062 --day 2017-12-22</v>
      </c>
      <c r="AN91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6"/>
        <v>https://d0f6bd738d7f1b3e5a7ca70fe4ff75f0.us-east-1.aws.found.io/app/kibana#/discover/Steve-Slow-Train-Analysis-(2080s-and-2083s)?_g=(refreshInterval:(display:Off,pause:!f,section:0,value:0),time:(from:'2017-12-22T12:22:34-0700',mode:absolute,to:'2017-12-22T15:06:42-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799</v>
      </c>
      <c r="B92" s="225">
        <v>4061</v>
      </c>
      <c r="C92" s="227" t="s">
        <v>192</v>
      </c>
      <c r="D92" s="227" t="s">
        <v>635</v>
      </c>
      <c r="E92" s="226">
        <v>43091.596180555556</v>
      </c>
      <c r="F92" s="226">
        <v>43091.602476851855</v>
      </c>
      <c r="G92" s="225">
        <v>74</v>
      </c>
      <c r="H92" s="227" t="s">
        <v>616</v>
      </c>
      <c r="I92" s="226">
        <v>43091.628645833334</v>
      </c>
      <c r="J92" s="225">
        <v>0</v>
      </c>
      <c r="K92" s="237" t="str">
        <f t="shared" si="28"/>
        <v>4061/4062</v>
      </c>
      <c r="L92" s="245" t="str">
        <f>VLOOKUP(A92,'Trips&amp;Operators'!$C$1:$G$99911,5,FALSE)</f>
        <v>LEVERE CRAIG</v>
      </c>
      <c r="M92" s="224">
        <f t="shared" si="29"/>
        <v>2.6168981479713693E-2</v>
      </c>
      <c r="N92" s="225">
        <f t="shared" si="30"/>
        <v>37.683333330787718</v>
      </c>
      <c r="O92" s="225"/>
      <c r="P92" s="225"/>
      <c r="Q92" s="228"/>
      <c r="R92" s="242"/>
      <c r="S92" s="249">
        <f t="shared" si="31"/>
        <v>1</v>
      </c>
      <c r="T92" s="242" t="str">
        <f t="shared" si="32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3"/>
        <v>https://d0f6bd738d7f1b3e5a7ca70fe4ff75f0.us-east-1.aws.found.io/app/kibana#/discover/Steve-Slow-Train-Analysis-(2080s-and-2083s)?_g=(refreshInterval:(display:Off,pause:!f,section:0,value:0),time:(from:'2017-12-22T13:18:30-0700',mode:absolute,to:'2017-12-22T16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47" t="str">
        <f>IF(AA92&lt;VLOOKUP(AG92,Variables!$AC$3:$AD$8,2,FALSE),"Y","N")</f>
        <v>N</v>
      </c>
      <c r="X92" s="247">
        <f t="shared" si="34"/>
        <v>1</v>
      </c>
      <c r="Y92" s="247">
        <f t="shared" si="35"/>
        <v>23.294699999999999</v>
      </c>
      <c r="Z92" s="247">
        <f t="shared" si="36"/>
        <v>2.4199999999999999E-2</v>
      </c>
      <c r="AA92" s="247">
        <f t="shared" si="37"/>
        <v>23.270499999999998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8"/>
        <v>180</v>
      </c>
      <c r="AE92" s="235" t="str">
        <f t="shared" si="39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92" s="234" t="str">
        <f t="shared" si="40"/>
        <v>"C:\Program Files (x86)\AstroGrep\AstroGrep.exe" /e /r /s /spath="%USERPROFILE%\AppData\Local\Temp\OnboardLogs" /stypes="app*4061*20171222*" /stext=" 22:.+((SYSTEM_STATE.+slice.+state.+changed )|(ment ac)|(multiple cpu faults)|(system.+state.+changed )|(\[timeout)|(PRM\|1\|D)|(kpr)|(kdp)|(train st.+moving)|(\|lc)|(penalty))"</v>
      </c>
      <c r="AG92" s="244" t="str">
        <f t="shared" si="41"/>
        <v>EC</v>
      </c>
      <c r="AH92" s="236" t="str">
        <f t="shared" si="42"/>
        <v>"%USERPROFILE%\Documents\GitHub\eaglep3\Utilities\RefineRTDCRunTimes.py" --tripid 180-22 --locoid 4061 --swversion DE.1.0.9.0 --startMP 204:232947 --initTime 2017-12-22T14:18:30 --startdatetime 2017-12-22T14:27:34 --delay 74 --endMP 204:242 --enddatetime 2017-12-22T15:05:15 --enforcementcount 0 &gt;&gt;%USERPROFILE%\Documents\GitHub\eaglep3-reporting\EC\2017-12-22-refined-times.txt</v>
      </c>
      <c r="AI92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{"issue":{"subject":"","project_id":79,"tracker_id":40,"status_id":1,"priority_id":2,"assigned_to_id":338,"start_date":"2017-12-22","description":"","custom_fields":[{"id":1,"name":"Subdivision","value":"EC"},{"id":4,"name":"Milepost","value":"0.0242"},{"id":17,"name":"Train ID","value":"180-22"},{"id":16,"name":"Locomotive ID","value":"4061"},{"id":130,"name":"Impact","value":""},{"id":150,"name":"Time of Event (Mountain Time)","value":"15:05:15"},{"id":151,"name":"Denver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4"/>
        <v>start /low /b %USERPROFILE%\Documents\GitHub\eaglep3\Utilities\DownloadLogsFromS3.py --loco 4061 --day 2017-12-22</v>
      </c>
      <c r="AN92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6"/>
        <v>https://d0f6bd738d7f1b3e5a7ca70fe4ff75f0.us-east-1.aws.found.io/app/kibana#/discover/Steve-Slow-Train-Analysis-(2080s-and-2083s)?_g=(refreshInterval:(display:Off,pause:!f,section:0,value:0),time:(from:'2017-12-22T13:18:30-0700',mode:absolute,to:'2017-12-22T16:05:15-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794</v>
      </c>
      <c r="B93" s="225">
        <v>4010</v>
      </c>
      <c r="C93" s="227" t="s">
        <v>192</v>
      </c>
      <c r="D93" s="227" t="s">
        <v>559</v>
      </c>
      <c r="E93" s="226">
        <v>43091.568541666667</v>
      </c>
      <c r="F93" s="226">
        <v>43091.573113425926</v>
      </c>
      <c r="G93" s="225">
        <v>59</v>
      </c>
      <c r="H93" s="227" t="s">
        <v>950</v>
      </c>
      <c r="I93" s="226">
        <v>43091.597905092596</v>
      </c>
      <c r="J93" s="225">
        <v>0</v>
      </c>
      <c r="K93" s="237" t="str">
        <f t="shared" si="28"/>
        <v>4009/4010</v>
      </c>
      <c r="L93" s="245" t="str">
        <f>VLOOKUP(A93,'Trips&amp;Operators'!$C$1:$G$99911,5,FALSE)</f>
        <v>FORTUNATO FRANK</v>
      </c>
      <c r="M93" s="224">
        <f t="shared" si="29"/>
        <v>2.4791666670353152E-2</v>
      </c>
      <c r="N93" s="225">
        <f t="shared" si="30"/>
        <v>35.700000005308539</v>
      </c>
      <c r="O93" s="225"/>
      <c r="P93" s="225"/>
      <c r="Q93" s="228"/>
      <c r="R93" s="242"/>
      <c r="S93" s="249">
        <f t="shared" si="31"/>
        <v>1</v>
      </c>
      <c r="T93" s="242" t="str">
        <f t="shared" si="32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3"/>
        <v>https://d0f6bd738d7f1b3e5a7ca70fe4ff75f0.us-east-1.aws.found.io/app/kibana#/discover/Steve-Slow-Train-Analysis-(2080s-and-2083s)?_g=(refreshInterval:(display:Off,pause:!f,section:0,value:0),time:(from:'2017-12-22T12:38:42-0700',mode:absolute,to:'2017-12-22T15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3" s="247" t="str">
        <f>IF(AA93&lt;VLOOKUP(AG93,Variables!$AC$3:$AD$8,2,FALSE),"Y","N")</f>
        <v>N</v>
      </c>
      <c r="X93" s="247">
        <f t="shared" si="34"/>
        <v>1</v>
      </c>
      <c r="Y93" s="247">
        <f t="shared" si="35"/>
        <v>5.04E-2</v>
      </c>
      <c r="Z93" s="247">
        <f t="shared" si="36"/>
        <v>23.317799999999998</v>
      </c>
      <c r="AA93" s="247">
        <f t="shared" si="37"/>
        <v>23.267399999999999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8"/>
        <v>181</v>
      </c>
      <c r="AE93" s="235" t="str">
        <f t="shared" si="39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93" s="234" t="str">
        <f t="shared" si="40"/>
        <v>"C:\Program Files (x86)\AstroGrep\AstroGrep.exe" /e /r /s /spath="%USERPROFILE%\AppData\Local\Temp\OnboardLogs" /stypes="app*4010*20171222*" /stext=" 21:.+((SYSTEM_STATE.+slice.+state.+changed )|(ment ac)|(multiple cpu faults)|(system.+state.+changed )|(\[timeout)|(PRM\|1\|D)|(kpr)|(kdp)|(train st.+moving)|(\|lc)|(penalty))"</v>
      </c>
      <c r="AG93" s="244" t="str">
        <f t="shared" si="41"/>
        <v>EC</v>
      </c>
      <c r="AH93" s="236" t="str">
        <f t="shared" si="42"/>
        <v>"%USERPROFILE%\Documents\GitHub\eaglep3\Utilities\RefineRTDCRunTimes.py" --tripid 181-22 --locoid 4010 --swversion DE.1.0.9.0 --startMP 204:504 --initTime 2017-12-22T13:38:42 --startdatetime 2017-12-22T13:45:17 --delay 59 --endMP 204:233178 --enddatetime 2017-12-22T14:20:59 --enforcementcount 0 &gt;&gt;%USERPROFILE%\Documents\GitHub\eaglep3-reporting\EC\2017-12-22-refined-times.txt</v>
      </c>
      <c r="AI9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{"issue":{"subject":"","project_id":79,"tracker_id":40,"status_id":1,"priority_id":2,"assigned_to_id":338,"start_date":"2017-12-22","description":"","custom_fields":[{"id":1,"name":"Subdivision","value":"EC"},{"id":4,"name":"Milepost","value":"23.3178"},{"id":17,"name":"Train ID","value":"181-22"},{"id":16,"name":"Locomotive ID","value":"4010"},{"id":130,"name":"Impact","value":""},{"id":150,"name":"Time of Event (Mountain Time)","value":"14:20:59"},{"id":151,"name":"Denver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4"/>
        <v>start /low /b %USERPROFILE%\Documents\GitHub\eaglep3\Utilities\DownloadLogsFromS3.py --loco 4010 --day 2017-12-22</v>
      </c>
      <c r="AN93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6"/>
        <v>https://d0f6bd738d7f1b3e5a7ca70fe4ff75f0.us-east-1.aws.found.io/app/kibana#/discover/Steve-Slow-Train-Analysis-(2080s-and-2083s)?_g=(refreshInterval:(display:Off,pause:!f,section:0,value:0),time:(from:'2017-12-22T12:38:42-0700',mode:absolute,to:'2017-12-22T15:20:59-0700'))&amp;_a=(columns:!('Message%20ID',Summary),filters:!(),index:'emp_*',interval:auto,query:(query_string:(analyze_wildcard:!t,query:'%22rtdc.l.rtdc.4010%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803</v>
      </c>
      <c r="B94" s="225">
        <v>4009</v>
      </c>
      <c r="C94" s="227" t="s">
        <v>192</v>
      </c>
      <c r="D94" s="227" t="s">
        <v>951</v>
      </c>
      <c r="E94" s="226">
        <v>43091.612210648149</v>
      </c>
      <c r="F94" s="226">
        <v>43091.613680555558</v>
      </c>
      <c r="G94" s="225">
        <v>70</v>
      </c>
      <c r="H94" s="227" t="s">
        <v>533</v>
      </c>
      <c r="I94" s="226">
        <v>43091.639710648145</v>
      </c>
      <c r="J94" s="225">
        <v>0</v>
      </c>
      <c r="K94" s="237" t="str">
        <f t="shared" si="28"/>
        <v>4009/4010</v>
      </c>
      <c r="L94" s="245" t="str">
        <f>VLOOKUP(A94,'Trips&amp;Operators'!$C$1:$G$99911,5,FALSE)</f>
        <v>FORTUNATO FRANK</v>
      </c>
      <c r="M94" s="224">
        <f t="shared" si="29"/>
        <v>2.6030092587461695E-2</v>
      </c>
      <c r="N94" s="225">
        <f t="shared" si="30"/>
        <v>37.483333325944841</v>
      </c>
      <c r="O94" s="225"/>
      <c r="P94" s="225"/>
      <c r="Q94" s="228"/>
      <c r="R94" s="242"/>
      <c r="S94" s="249">
        <f t="shared" si="31"/>
        <v>1</v>
      </c>
      <c r="T94" s="242" t="str">
        <f t="shared" si="32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3"/>
        <v>https://d0f6bd738d7f1b3e5a7ca70fe4ff75f0.us-east-1.aws.found.io/app/kibana#/discover/Steve-Slow-Train-Analysis-(2080s-and-2083s)?_g=(refreshInterval:(display:Off,pause:!f,section:0,value:0),time:(from:'2017-12-22T13:41:35-0700',mode:absolute,to:'2017-12-22T16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4" s="247" t="str">
        <f>IF(AA94&lt;VLOOKUP(AG94,Variables!$AC$3:$AD$8,2,FALSE),"Y","N")</f>
        <v>N</v>
      </c>
      <c r="X94" s="247">
        <f t="shared" si="34"/>
        <v>1</v>
      </c>
      <c r="Y94" s="247">
        <f t="shared" si="35"/>
        <v>23.284800000000001</v>
      </c>
      <c r="Z94" s="247">
        <f t="shared" si="36"/>
        <v>2.1999999999999999E-2</v>
      </c>
      <c r="AA94" s="247">
        <f t="shared" si="37"/>
        <v>23.262800000000002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8"/>
        <v>182</v>
      </c>
      <c r="AE94" s="235" t="str">
        <f t="shared" si="39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94" s="234" t="str">
        <f t="shared" si="40"/>
        <v>"C:\Program Files (x86)\AstroGrep\AstroGrep.exe" /e /r /s /spath="%USERPROFILE%\AppData\Local\Temp\OnboardLogs" /stypes="app*4009*20171222*" /stext=" 22:.+((SYSTEM_STATE.+slice.+state.+changed )|(ment ac)|(multiple cpu faults)|(system.+state.+changed )|(\[timeout)|(PRM\|1\|D)|(kpr)|(kdp)|(train st.+moving)|(\|lc)|(penalty))"</v>
      </c>
      <c r="AG94" s="244" t="str">
        <f t="shared" si="41"/>
        <v>EC</v>
      </c>
      <c r="AH94" s="236" t="str">
        <f t="shared" si="42"/>
        <v>"%USERPROFILE%\Documents\GitHub\eaglep3\Utilities\RefineRTDCRunTimes.py" --tripid 182-22 --locoid 4009 --swversion DE.1.0.9.0 --startMP 204:232848 --initTime 2017-12-22T14:41:35 --startdatetime 2017-12-22T14:43:42 --delay 70 --endMP 204:220 --enddatetime 2017-12-22T15:21:11 --enforcementcount 0 &gt;&gt;%USERPROFILE%\Documents\GitHub\eaglep3-reporting\EC\2017-12-22-refined-times.txt</v>
      </c>
      <c r="AI9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{"issue":{"subject":"","project_id":79,"tracker_id":40,"status_id":1,"priority_id":2,"assigned_to_id":338,"start_date":"2017-12-22","description":"","custom_fields":[{"id":1,"name":"Subdivision","value":"EC"},{"id":4,"name":"Milepost","value":"0.022"},{"id":17,"name":"Train ID","value":"182-22"},{"id":16,"name":"Locomotive ID","value":"4009"},{"id":130,"name":"Impact","value":""},{"id":150,"name":"Time of Event (Mountain Time)","value":"15:21:11"},{"id":151,"name":"Denver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4"/>
        <v>start /low /b %USERPROFILE%\Documents\GitHub\eaglep3\Utilities\DownloadLogsFromS3.py --loco 4009 --day 2017-12-22</v>
      </c>
      <c r="AN94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6"/>
        <v>https://d0f6bd738d7f1b3e5a7ca70fe4ff75f0.us-east-1.aws.found.io/app/kibana#/discover/Steve-Slow-Train-Analysis-(2080s-and-2083s)?_g=(refreshInterval:(display:Off,pause:!f,section:0,value:0),time:(from:'2017-12-22T13:41:35-0700',mode:absolute,to:'2017-12-22T16:21:11-0700'))&amp;_a=(columns:!('Message%20ID',Summary),filters:!(),index:'emp_*',interval:auto,query:(query_string:(analyze_wildcard:!t,query:'%22rtdc.l.rtdc.4009%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796</v>
      </c>
      <c r="B95" s="225">
        <v>4008</v>
      </c>
      <c r="C95" s="227" t="s">
        <v>192</v>
      </c>
      <c r="D95" s="227" t="s">
        <v>543</v>
      </c>
      <c r="E95" s="226">
        <v>43091.580891203703</v>
      </c>
      <c r="F95" s="226">
        <v>43091.583506944444</v>
      </c>
      <c r="G95" s="225">
        <v>49</v>
      </c>
      <c r="H95" s="227" t="s">
        <v>594</v>
      </c>
      <c r="I95" s="226">
        <v>43091.608344907407</v>
      </c>
      <c r="J95" s="225">
        <v>0</v>
      </c>
      <c r="K95" s="237" t="str">
        <f t="shared" si="28"/>
        <v>4007/4008</v>
      </c>
      <c r="L95" s="245" t="str">
        <f>VLOOKUP(A95,'Trips&amp;Operators'!$C$1:$G$99911,5,FALSE)</f>
        <v>LEVIN SCOTT</v>
      </c>
      <c r="M95" s="224">
        <f t="shared" si="29"/>
        <v>2.4837962962919846E-2</v>
      </c>
      <c r="N95" s="225">
        <f t="shared" si="30"/>
        <v>35.766666666604578</v>
      </c>
      <c r="O95" s="225"/>
      <c r="P95" s="225"/>
      <c r="Q95" s="228"/>
      <c r="R95" s="242"/>
      <c r="S95" s="249">
        <f t="shared" si="31"/>
        <v>1</v>
      </c>
      <c r="T95" s="242" t="str">
        <f t="shared" si="32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3"/>
        <v>https://d0f6bd738d7f1b3e5a7ca70fe4ff75f0.us-east-1.aws.found.io/app/kibana#/discover/Steve-Slow-Train-Analysis-(2080s-and-2083s)?_g=(refreshInterval:(display:Off,pause:!f,section:0,value:0),time:(from:'2017-12-22T12:56:29-0700',mode:absolute,to:'2017-12-22T15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247" t="str">
        <f>IF(AA95&lt;VLOOKUP(AG95,Variables!$AC$3:$AD$8,2,FALSE),"Y","N")</f>
        <v>N</v>
      </c>
      <c r="X95" s="247">
        <f t="shared" si="34"/>
        <v>1</v>
      </c>
      <c r="Y95" s="247">
        <f t="shared" si="35"/>
        <v>4.3999999999999997E-2</v>
      </c>
      <c r="Z95" s="247">
        <f t="shared" si="36"/>
        <v>23.334900000000001</v>
      </c>
      <c r="AA95" s="247">
        <f t="shared" si="37"/>
        <v>23.290900000000001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8"/>
        <v>183</v>
      </c>
      <c r="AE95" s="235" t="str">
        <f t="shared" si="39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95" s="234" t="str">
        <f t="shared" si="40"/>
        <v>"C:\Program Files (x86)\AstroGrep\AstroGrep.exe" /e /r /s /spath="%USERPROFILE%\AppData\Local\Temp\OnboardLogs" /stypes="app*4008*20171222*" /stext=" 21:.+((SYSTEM_STATE.+slice.+state.+changed )|(ment ac)|(multiple cpu faults)|(system.+state.+changed )|(\[timeout)|(PRM\|1\|D)|(kpr)|(kdp)|(train st.+moving)|(\|lc)|(penalty))"</v>
      </c>
      <c r="AG95" s="244" t="str">
        <f t="shared" si="41"/>
        <v>EC</v>
      </c>
      <c r="AH95" s="236" t="str">
        <f t="shared" si="42"/>
        <v>"%USERPROFILE%\Documents\GitHub\eaglep3\Utilities\RefineRTDCRunTimes.py" --tripid 183-22 --locoid 4008 --swversion DE.1.0.9.0 --startMP 204:440 --initTime 2017-12-22T13:56:29 --startdatetime 2017-12-22T14:00:15 --delay 49 --endMP 204:233349 --enddatetime 2017-12-22T14:36:01 --enforcementcount 0 &gt;&gt;%USERPROFILE%\Documents\GitHub\eaglep3-reporting\EC\2017-12-22-refined-times.txt</v>
      </c>
      <c r="AI9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{"issue":{"subject":"","project_id":79,"tracker_id":40,"status_id":1,"priority_id":2,"assigned_to_id":338,"start_date":"2017-12-22","description":"","custom_fields":[{"id":1,"name":"Subdivision","value":"EC"},{"id":4,"name":"Milepost","value":"23.3349"},{"id":17,"name":"Train ID","value":"183-22"},{"id":16,"name":"Locomotive ID","value":"4008"},{"id":130,"name":"Impact","value":""},{"id":150,"name":"Time of Event (Mountain Time)","value":"14:36:01"},{"id":151,"name":"Denver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4"/>
        <v>start /low /b %USERPROFILE%\Documents\GitHub\eaglep3\Utilities\DownloadLogsFromS3.py --loco 4008 --day 2017-12-22</v>
      </c>
      <c r="AN95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6"/>
        <v>https://d0f6bd738d7f1b3e5a7ca70fe4ff75f0.us-east-1.aws.found.io/app/kibana#/discover/Steve-Slow-Train-Analysis-(2080s-and-2083s)?_g=(refreshInterval:(display:Off,pause:!f,section:0,value:0),time:(from:'2017-12-22T12:56:29-0700',mode:absolute,to:'2017-12-22T15:36:01-0700'))&amp;_a=(columns:!('Message%20ID',Summary),filters:!(),index:'emp_*',interval:auto,query:(query_string:(analyze_wildcard:!t,query:'%22rtdc.l.rtdc.4008%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804</v>
      </c>
      <c r="B96" s="225">
        <v>4007</v>
      </c>
      <c r="C96" s="227" t="s">
        <v>192</v>
      </c>
      <c r="D96" s="227" t="s">
        <v>640</v>
      </c>
      <c r="E96" s="226">
        <v>43091.614537037036</v>
      </c>
      <c r="F96" s="226">
        <v>43091.623113425929</v>
      </c>
      <c r="G96" s="225">
        <v>55</v>
      </c>
      <c r="H96" s="227" t="s">
        <v>558</v>
      </c>
      <c r="I96" s="226">
        <v>43091.648900462962</v>
      </c>
      <c r="J96" s="225">
        <v>0</v>
      </c>
      <c r="K96" s="237" t="str">
        <f t="shared" si="28"/>
        <v>4007/4008</v>
      </c>
      <c r="L96" s="245" t="str">
        <f>VLOOKUP(A96,'Trips&amp;Operators'!$C$1:$G$99911,5,FALSE)</f>
        <v>LEVIN SCOTT</v>
      </c>
      <c r="M96" s="224">
        <f t="shared" si="29"/>
        <v>2.5787037033296656E-2</v>
      </c>
      <c r="N96" s="225">
        <f t="shared" si="30"/>
        <v>37.133333327947184</v>
      </c>
      <c r="O96" s="225"/>
      <c r="P96" s="225"/>
      <c r="Q96" s="228"/>
      <c r="R96" s="242"/>
      <c r="S96" s="249">
        <f t="shared" si="31"/>
        <v>1</v>
      </c>
      <c r="T96" s="242" t="str">
        <f t="shared" si="32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3"/>
        <v>https://d0f6bd738d7f1b3e5a7ca70fe4ff75f0.us-east-1.aws.found.io/app/kibana#/discover/Steve-Slow-Train-Analysis-(2080s-and-2083s)?_g=(refreshInterval:(display:Off,pause:!f,section:0,value:0),time:(from:'2017-12-22T13:44:56-0700',mode:absolute,to:'2017-12-22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247" t="str">
        <f>IF(AA96&lt;VLOOKUP(AG96,Variables!$AC$3:$AD$8,2,FALSE),"Y","N")</f>
        <v>N</v>
      </c>
      <c r="X96" s="247">
        <f t="shared" si="34"/>
        <v>1</v>
      </c>
      <c r="Y96" s="247">
        <f t="shared" si="35"/>
        <v>23.301300000000001</v>
      </c>
      <c r="Z96" s="247">
        <f t="shared" si="36"/>
        <v>1.5800000000000002E-2</v>
      </c>
      <c r="AA96" s="247">
        <f t="shared" si="37"/>
        <v>23.285500000000003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8"/>
        <v>184</v>
      </c>
      <c r="AE96" s="235" t="str">
        <f t="shared" si="39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96" s="234" t="str">
        <f t="shared" si="40"/>
        <v>"C:\Program Files (x86)\AstroGrep\AstroGrep.exe" /e /r /s /spath="%USERPROFILE%\AppData\Local\Temp\OnboardLogs" /stypes="app*4007*20171222*" /stext=" 22:.+((SYSTEM_STATE.+slice.+state.+changed )|(ment ac)|(multiple cpu faults)|(system.+state.+changed )|(\[timeout)|(PRM\|1\|D)|(kpr)|(kdp)|(train st.+moving)|(\|lc)|(penalty))"</v>
      </c>
      <c r="AG96" s="244" t="str">
        <f t="shared" si="41"/>
        <v>EC</v>
      </c>
      <c r="AH96" s="236" t="str">
        <f t="shared" si="42"/>
        <v>"%USERPROFILE%\Documents\GitHub\eaglep3\Utilities\RefineRTDCRunTimes.py" --tripid 184-22 --locoid 4007 --swversion DE.1.0.9.0 --startMP 204:233013 --initTime 2017-12-22T14:44:56 --startdatetime 2017-12-22T14:57:17 --delay 55 --endMP 204:158 --enddatetime 2017-12-22T15:34:25 --enforcementcount 0 &gt;&gt;%USERPROFILE%\Documents\GitHub\eaglep3-reporting\EC\2017-12-22-refined-times.txt</v>
      </c>
      <c r="AI9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{"issue":{"subject":"","project_id":79,"tracker_id":40,"status_id":1,"priority_id":2,"assigned_to_id":338,"start_date":"2017-12-22","description":"","custom_fields":[{"id":1,"name":"Subdivision","value":"EC"},{"id":4,"name":"Milepost","value":"0.0158"},{"id":17,"name":"Train ID","value":"184-22"},{"id":16,"name":"Locomotive ID","value":"4007"},{"id":130,"name":"Impact","value":""},{"id":150,"name":"Time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4"/>
        <v>start /low /b %USERPROFILE%\Documents\GitHub\eaglep3\Utilities\DownloadLogsFromS3.py --loco 4007 --day 2017-12-22</v>
      </c>
      <c r="AN96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6"/>
        <v>https://d0f6bd738d7f1b3e5a7ca70fe4ff75f0.us-east-1.aws.found.io/app/kibana#/discover/Steve-Slow-Train-Analysis-(2080s-and-2083s)?_g=(refreshInterval:(display:Off,pause:!f,section:0,value:0),time:(from:'2017-12-22T13:44:56-0700',mode:absolute,to:'2017-12-22T16:34:25-0700'))&amp;_a=(columns:!('Message%20ID',Summary),filters:!(),index:'emp_*',interval:auto,query:(query_string:(analyze_wildcard:!t,query:'%22rtdc.l.rtdc.4007%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798</v>
      </c>
      <c r="B97" s="225">
        <v>4044</v>
      </c>
      <c r="C97" s="227" t="s">
        <v>192</v>
      </c>
      <c r="D97" s="227" t="s">
        <v>952</v>
      </c>
      <c r="E97" s="226">
        <v>43091.590173611112</v>
      </c>
      <c r="F97" s="226">
        <v>43091.593958333331</v>
      </c>
      <c r="G97" s="225">
        <v>61</v>
      </c>
      <c r="H97" s="227" t="s">
        <v>575</v>
      </c>
      <c r="I97" s="226">
        <v>43091.619328703702</v>
      </c>
      <c r="J97" s="225">
        <v>0</v>
      </c>
      <c r="K97" s="237" t="str">
        <f t="shared" si="28"/>
        <v>4043/4044</v>
      </c>
      <c r="L97" s="245" t="str">
        <f>VLOOKUP(A97,'Trips&amp;Operators'!$C$1:$G$99911,5,FALSE)</f>
        <v>BADERTSCHER DIANE</v>
      </c>
      <c r="M97" s="224">
        <f t="shared" si="29"/>
        <v>2.5370370371092577E-2</v>
      </c>
      <c r="N97" s="225">
        <f t="shared" si="30"/>
        <v>36.53333333437331</v>
      </c>
      <c r="O97" s="225"/>
      <c r="P97" s="225"/>
      <c r="Q97" s="228"/>
      <c r="R97" s="242"/>
      <c r="S97" s="249">
        <f t="shared" si="31"/>
        <v>1</v>
      </c>
      <c r="T97" s="242" t="str">
        <f t="shared" si="32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3"/>
        <v>https://d0f6bd738d7f1b3e5a7ca70fe4ff75f0.us-east-1.aws.found.io/app/kibana#/discover/Steve-Slow-Train-Analysis-(2080s-and-2083s)?_g=(refreshInterval:(display:Off,pause:!f,section:0,value:0),time:(from:'2017-12-22T13:09:51-0700',mode:absolute,to:'2017-12-22T15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247" t="str">
        <f>IF(AA97&lt;VLOOKUP(AG97,Variables!$AC$3:$AD$8,2,FALSE),"Y","N")</f>
        <v>N</v>
      </c>
      <c r="X97" s="247">
        <f t="shared" si="34"/>
        <v>1</v>
      </c>
      <c r="Y97" s="247">
        <f t="shared" si="35"/>
        <v>5.79E-2</v>
      </c>
      <c r="Z97" s="247">
        <f t="shared" si="36"/>
        <v>23.3293</v>
      </c>
      <c r="AA97" s="247">
        <f t="shared" si="37"/>
        <v>23.2714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8"/>
        <v>185</v>
      </c>
      <c r="AE97" s="235" t="str">
        <f t="shared" si="39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97" s="234" t="str">
        <f t="shared" si="40"/>
        <v>"C:\Program Files (x86)\AstroGrep\AstroGrep.exe" /e /r /s /spath="%USERPROFILE%\AppData\Local\Temp\OnboardLogs" /stypes="app*4044*20171222*" /stext=" 21:.+((SYSTEM_STATE.+slice.+state.+changed )|(ment ac)|(multiple cpu faults)|(system.+state.+changed )|(\[timeout)|(PRM\|1\|D)|(kpr)|(kdp)|(train st.+moving)|(\|lc)|(penalty))"</v>
      </c>
      <c r="AG97" s="244" t="str">
        <f t="shared" si="41"/>
        <v>EC</v>
      </c>
      <c r="AH97" s="236" t="str">
        <f t="shared" si="42"/>
        <v>"%USERPROFILE%\Documents\GitHub\eaglep3\Utilities\RefineRTDCRunTimes.py" --tripid 185-22 --locoid 4044 --swversion DE.1.0.9.0 --startMP 204:579 --initTime 2017-12-22T14:09:51 --startdatetime 2017-12-22T14:15:18 --delay 61 --endMP 204:233293 --enddatetime 2017-12-22T14:51:50 --enforcementcount 0 &gt;&gt;%USERPROFILE%\Documents\GitHub\eaglep3-reporting\EC\2017-12-22-refined-times.txt</v>
      </c>
      <c r="AI9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{"issue":{"subject":"","project_id":79,"tracker_id":40,"status_id":1,"priority_id":2,"assigned_to_id":338,"start_date":"2017-12-22","description":"","custom_fields":[{"id":1,"name":"Subdivision","value":"EC"},{"id":4,"name":"Milepost","value":"23.3293"},{"id":17,"name":"Train ID","value":"185-22"},{"id":16,"name":"Locomotive ID","value":"4044"},{"id":130,"name":"Impact","value":""},{"id":150,"name":"Time of Event (Mountain Time)","value":"14:51:50"},{"id":151,"name":"Denver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4"/>
        <v>start /low /b %USERPROFILE%\Documents\GitHub\eaglep3\Utilities\DownloadLogsFromS3.py --loco 4044 --day 2017-12-22</v>
      </c>
      <c r="AN97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6"/>
        <v>https://d0f6bd738d7f1b3e5a7ca70fe4ff75f0.us-east-1.aws.found.io/app/kibana#/discover/Steve-Slow-Train-Analysis-(2080s-and-2083s)?_g=(refreshInterval:(display:Off,pause:!f,section:0,value:0),time:(from:'2017-12-22T13:09:51-0700',mode:absolute,to:'2017-12-22T15:51:50-0700'))&amp;_a=(columns:!('Message%20ID',Summary),filters:!(),index:'emp_*',interval:auto,query:(query_string:(analyze_wildcard:!t,query:'%22rtdc.l.rtdc.4044%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807</v>
      </c>
      <c r="B98" s="225">
        <v>4043</v>
      </c>
      <c r="C98" s="227" t="s">
        <v>192</v>
      </c>
      <c r="D98" s="227" t="s">
        <v>550</v>
      </c>
      <c r="E98" s="226">
        <v>43091.628009259257</v>
      </c>
      <c r="F98" s="226">
        <v>43091.633564814816</v>
      </c>
      <c r="G98" s="225">
        <v>90</v>
      </c>
      <c r="H98" s="227" t="s">
        <v>579</v>
      </c>
      <c r="I98" s="226">
        <v>43091.661631944444</v>
      </c>
      <c r="J98" s="225">
        <v>0</v>
      </c>
      <c r="K98" s="237" t="str">
        <f t="shared" si="28"/>
        <v>4043/4044</v>
      </c>
      <c r="L98" s="245" t="str">
        <f>VLOOKUP(A98,'Trips&amp;Operators'!$C$1:$G$99911,5,FALSE)</f>
        <v>BADERTSCHER DIANE</v>
      </c>
      <c r="M98" s="224">
        <f t="shared" si="29"/>
        <v>2.806712962774327E-2</v>
      </c>
      <c r="N98" s="225">
        <f t="shared" si="30"/>
        <v>40.416666663950309</v>
      </c>
      <c r="O98" s="225"/>
      <c r="P98" s="225"/>
      <c r="Q98" s="228"/>
      <c r="R98" s="242"/>
      <c r="S98" s="249">
        <f t="shared" si="31"/>
        <v>1</v>
      </c>
      <c r="T98" s="242" t="str">
        <f t="shared" si="32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3"/>
        <v>https://d0f6bd738d7f1b3e5a7ca70fe4ff75f0.us-east-1.aws.found.io/app/kibana#/discover/Steve-Slow-Train-Analysis-(2080s-and-2083s)?_g=(refreshInterval:(display:Off,pause:!f,section:0,value:0),time:(from:'2017-12-22T14:04:20-0700',mode:absolute,to:'2017-12-22T16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247" t="str">
        <f>IF(AA98&lt;VLOOKUP(AG98,Variables!$AC$3:$AD$8,2,FALSE),"Y","N")</f>
        <v>N</v>
      </c>
      <c r="X98" s="247">
        <f t="shared" si="34"/>
        <v>1</v>
      </c>
      <c r="Y98" s="247">
        <f t="shared" si="35"/>
        <v>23.297499999999999</v>
      </c>
      <c r="Z98" s="247">
        <f t="shared" si="36"/>
        <v>2.23E-2</v>
      </c>
      <c r="AA98" s="247">
        <f t="shared" si="37"/>
        <v>23.275199999999998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8"/>
        <v>186</v>
      </c>
      <c r="AE98" s="235" t="str">
        <f t="shared" si="39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98" s="234" t="str">
        <f t="shared" si="40"/>
        <v>"C:\Program Files (x86)\AstroGrep\AstroGrep.exe" /e /r /s /spath="%USERPROFILE%\AppData\Local\Temp\OnboardLogs" /stypes="app*4043*20171222*" /stext=" 22:.+((SYSTEM_STATE.+slice.+state.+changed )|(ment ac)|(multiple cpu faults)|(system.+state.+changed )|(\[timeout)|(PRM\|1\|D)|(kpr)|(kdp)|(train st.+moving)|(\|lc)|(penalty))"</v>
      </c>
      <c r="AG98" s="244" t="str">
        <f t="shared" si="41"/>
        <v>EC</v>
      </c>
      <c r="AH98" s="236" t="str">
        <f t="shared" si="42"/>
        <v>"%USERPROFILE%\Documents\GitHub\eaglep3\Utilities\RefineRTDCRunTimes.py" --tripid 186-22 --locoid 4043 --swversion DE.1.0.9.0 --startMP 204:232975 --initTime 2017-12-22T15:04:20 --startdatetime 2017-12-22T15:12:20 --delay 90 --endMP 204:223 --enddatetime 2017-12-22T15:52:45 --enforcementcount 0 &gt;&gt;%USERPROFILE%\Documents\GitHub\eaglep3-reporting\EC\2017-12-22-refined-times.txt</v>
      </c>
      <c r="AI98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{"issue":{"subject":"","project_id":79,"tracker_id":40,"status_id":1,"priority_id":2,"assigned_to_id":338,"start_date":"2017-12-22","description":"","custom_fields":[{"id":1,"name":"Subdivision","value":"EC"},{"id":4,"name":"Milepost","value":"0.0223"},{"id":17,"name":"Train ID","value":"186-22"},{"id":16,"name":"Locomotive ID","value":"4043"},{"id":130,"name":"Impact","value":""},{"id":150,"name":"Time of Event (Mountain Time)","value":"15:52:45"},{"id":151,"name":"Denver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4"/>
        <v>start /low /b %USERPROFILE%\Documents\GitHub\eaglep3\Utilities\DownloadLogsFromS3.py --loco 4043 --day 2017-12-22</v>
      </c>
      <c r="AN98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6"/>
        <v>https://d0f6bd738d7f1b3e5a7ca70fe4ff75f0.us-east-1.aws.found.io/app/kibana#/discover/Steve-Slow-Train-Analysis-(2080s-and-2083s)?_g=(refreshInterval:(display:Off,pause:!f,section:0,value:0),time:(from:'2017-12-22T14:04:20-0700',mode:absolute,to:'2017-12-22T16:52:45-0700'))&amp;_a=(columns:!('Message%20ID',Summary),filters:!(),index:'emp_*',interval:auto,query:(query_string:(analyze_wildcard:!t,query:'%22rtdc.l.rtdc.4043%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800</v>
      </c>
      <c r="B99" s="225">
        <v>4040</v>
      </c>
      <c r="C99" s="227" t="s">
        <v>192</v>
      </c>
      <c r="D99" s="227" t="s">
        <v>953</v>
      </c>
      <c r="E99" s="226">
        <v>43091.601331018515</v>
      </c>
      <c r="F99" s="226">
        <v>43091.604351851849</v>
      </c>
      <c r="G99" s="225">
        <v>53</v>
      </c>
      <c r="H99" s="227" t="s">
        <v>598</v>
      </c>
      <c r="I99" s="226">
        <v>43091.628935185188</v>
      </c>
      <c r="J99" s="225">
        <v>0</v>
      </c>
      <c r="K99" s="237" t="str">
        <f t="shared" si="28"/>
        <v>4039/4040</v>
      </c>
      <c r="L99" s="245" t="str">
        <f>VLOOKUP(A99,'Trips&amp;Operators'!$C$1:$G$99911,5,FALSE)</f>
        <v>HOLCOMB KAMDEN</v>
      </c>
      <c r="M99" s="224">
        <f t="shared" si="29"/>
        <v>2.4583333339251112E-2</v>
      </c>
      <c r="N99" s="225">
        <f t="shared" si="30"/>
        <v>35.400000008521602</v>
      </c>
      <c r="O99" s="225"/>
      <c r="P99" s="225"/>
      <c r="Q99" s="228"/>
      <c r="R99" s="242"/>
      <c r="S99" s="249">
        <f t="shared" si="31"/>
        <v>1</v>
      </c>
      <c r="T99" s="242" t="str">
        <f t="shared" si="32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3"/>
        <v>https://d0f6bd738d7f1b3e5a7ca70fe4ff75f0.us-east-1.aws.found.io/app/kibana#/discover/Steve-Slow-Train-Analysis-(2080s-and-2083s)?_g=(refreshInterval:(display:Off,pause:!f,section:0,value:0),time:(from:'2017-12-22T13:25:55-0700',mode:absolute,to:'2017-12-22T16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247" t="str">
        <f>IF(AA99&lt;VLOOKUP(AG99,Variables!$AC$3:$AD$8,2,FALSE),"Y","N")</f>
        <v>N</v>
      </c>
      <c r="X99" s="247">
        <f t="shared" si="34"/>
        <v>1</v>
      </c>
      <c r="Y99" s="247">
        <f t="shared" si="35"/>
        <v>4.53E-2</v>
      </c>
      <c r="Z99" s="247">
        <f t="shared" si="36"/>
        <v>23.3232</v>
      </c>
      <c r="AA99" s="247">
        <f t="shared" si="37"/>
        <v>23.277899999999999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8"/>
        <v>187</v>
      </c>
      <c r="AE99" s="235" t="str">
        <f t="shared" si="39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99" s="234" t="str">
        <f t="shared" si="40"/>
        <v>"C:\Program Files (x86)\AstroGrep\AstroGrep.exe" /e /r /s /spath="%USERPROFILE%\AppData\Local\Temp\OnboardLogs" /stypes="app*4040*20171222*" /stext=" 22:.+((SYSTEM_STATE.+slice.+state.+changed )|(ment ac)|(multiple cpu faults)|(system.+state.+changed )|(\[timeout)|(PRM\|1\|D)|(kpr)|(kdp)|(train st.+moving)|(\|lc)|(penalty))"</v>
      </c>
      <c r="AG99" s="244" t="str">
        <f t="shared" si="41"/>
        <v>EC</v>
      </c>
      <c r="AH99" s="236" t="str">
        <f t="shared" si="42"/>
        <v>"%USERPROFILE%\Documents\GitHub\eaglep3\Utilities\RefineRTDCRunTimes.py" --tripid 187-22 --locoid 4040 --swversion DE.1.0.9.0 --startMP 204:453 --initTime 2017-12-22T14:25:55 --startdatetime 2017-12-22T14:30:16 --delay 53 --endMP 204:233232 --enddatetime 2017-12-22T15:05:40 --enforcementcount 0 &gt;&gt;%USERPROFILE%\Documents\GitHub\eaglep3-reporting\EC\2017-12-22-refined-times.txt</v>
      </c>
      <c r="AI9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{"issue":{"subject":"","project_id":79,"tracker_id":40,"status_id":1,"priority_id":2,"assigned_to_id":338,"start_date":"2017-12-22","description":"","custom_fields":[{"id":1,"name":"Subdivision","value":"EC"},{"id":4,"name":"Milepost","value":"23.3232"},{"id":17,"name":"Train ID","value":"187-22"},{"id":16,"name":"Locomotive ID","value":"4040"},{"id":130,"name":"Impact","value":""},{"id":150,"name":"Time of Event (Mountain Time)","value":"15:05:40"},{"id":151,"name":"Denver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4"/>
        <v>start /low /b %USERPROFILE%\Documents\GitHub\eaglep3\Utilities\DownloadLogsFromS3.py --loco 4040 --day 2017-12-22</v>
      </c>
      <c r="AN99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6"/>
        <v>https://d0f6bd738d7f1b3e5a7ca70fe4ff75f0.us-east-1.aws.found.io/app/kibana#/discover/Steve-Slow-Train-Analysis-(2080s-and-2083s)?_g=(refreshInterval:(display:Off,pause:!f,section:0,value:0),time:(from:'2017-12-22T13:25:55-0700',mode:absolute,to:'2017-12-22T16:05:40-0700'))&amp;_a=(columns:!('Message%20ID',Summary),filters:!(),index:'emp_*',interval:auto,query:(query_string:(analyze_wildcard:!t,query:'%22rtdc.l.rtdc.4040%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810</v>
      </c>
      <c r="B100" s="225">
        <v>4039</v>
      </c>
      <c r="C100" s="227" t="s">
        <v>192</v>
      </c>
      <c r="D100" s="227" t="s">
        <v>954</v>
      </c>
      <c r="E100" s="226">
        <v>43091.640509259261</v>
      </c>
      <c r="F100" s="226">
        <v>43091.644178240742</v>
      </c>
      <c r="G100" s="225">
        <v>128</v>
      </c>
      <c r="H100" s="227" t="s">
        <v>906</v>
      </c>
      <c r="I100" s="226">
        <v>43091.669687499998</v>
      </c>
      <c r="J100" s="225">
        <v>0</v>
      </c>
      <c r="K100" s="237" t="str">
        <f t="shared" si="28"/>
        <v>4039/4040</v>
      </c>
      <c r="L100" s="245" t="str">
        <f>VLOOKUP(A100,'Trips&amp;Operators'!$C$1:$G$99911,5,FALSE)</f>
        <v>HOLCOMB KAMDEN</v>
      </c>
      <c r="M100" s="224">
        <f t="shared" si="29"/>
        <v>2.5509259256068617E-2</v>
      </c>
      <c r="N100" s="225">
        <f t="shared" si="30"/>
        <v>36.733333328738809</v>
      </c>
      <c r="O100" s="225"/>
      <c r="P100" s="225"/>
      <c r="Q100" s="228"/>
      <c r="R100" s="242"/>
      <c r="S100" s="249">
        <f t="shared" si="31"/>
        <v>1</v>
      </c>
      <c r="T100" s="242" t="str">
        <f t="shared" si="32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3"/>
        <v>https://d0f6bd738d7f1b3e5a7ca70fe4ff75f0.us-east-1.aws.found.io/app/kibana#/discover/Steve-Slow-Train-Analysis-(2080s-and-2083s)?_g=(refreshInterval:(display:Off,pause:!f,section:0,value:0),time:(from:'2017-12-22T14:22:20-0700',mode:absolute,to:'2017-12-22T17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247" t="str">
        <f>IF(AA100&lt;VLOOKUP(AG100,Variables!$AC$3:$AD$8,2,FALSE),"Y","N")</f>
        <v>N</v>
      </c>
      <c r="X100" s="247">
        <f t="shared" si="34"/>
        <v>1</v>
      </c>
      <c r="Y100" s="247">
        <f t="shared" si="35"/>
        <v>23.2913</v>
      </c>
      <c r="Z100" s="247">
        <f t="shared" si="36"/>
        <v>1.52E-2</v>
      </c>
      <c r="AA100" s="247">
        <f t="shared" si="37"/>
        <v>23.2761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8"/>
        <v>188</v>
      </c>
      <c r="AE100" s="235" t="str">
        <f t="shared" si="39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100" s="234" t="str">
        <f t="shared" si="40"/>
        <v>"C:\Program Files (x86)\AstroGrep\AstroGrep.exe" /e /r /s /spath="%USERPROFILE%\AppData\Local\Temp\OnboardLogs" /stypes="app*4039*20171222*" /stext=" 23:.+((SYSTEM_STATE.+slice.+state.+changed )|(ment ac)|(multiple cpu faults)|(system.+state.+changed )|(\[timeout)|(PRM\|1\|D)|(kpr)|(kdp)|(train st.+moving)|(\|lc)|(penalty))"</v>
      </c>
      <c r="AG100" s="244" t="str">
        <f t="shared" si="41"/>
        <v>EC</v>
      </c>
      <c r="AH100" s="236" t="str">
        <f t="shared" si="42"/>
        <v>"%USERPROFILE%\Documents\GitHub\eaglep3\Utilities\RefineRTDCRunTimes.py" --tripid 188-22 --locoid 4039 --swversion DE.1.0.9.0 --startMP 204:232913 --initTime 2017-12-22T15:22:20 --startdatetime 2017-12-22T15:27:37 --delay 128 --endMP 204:152 --enddatetime 2017-12-22T16:04:21 --enforcementcount 0 &gt;&gt;%USERPROFILE%\Documents\GitHub\eaglep3-reporting\EC\2017-12-22-refined-times.txt</v>
      </c>
      <c r="AI10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{"issue":{"subject":"","project_id":79,"tracker_id":40,"status_id":1,"priority_id":2,"assigned_to_id":338,"start_date":"2017-12-22","description":"","custom_fields":[{"id":1,"name":"Subdivision","value":"EC"},{"id":4,"name":"Milepost","value":"0.0152"},{"id":17,"name":"Train ID","value":"188-22"},{"id":16,"name":"Locomotive ID","value":"4039"},{"id":130,"name":"Impact","value":""},{"id":150,"name":"Time of Event (Mountain Time)","value":"16:04:21"},{"id":151,"name":"Denver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4"/>
        <v>start /low /b %USERPROFILE%\Documents\GitHub\eaglep3\Utilities\DownloadLogsFromS3.py --loco 4039 --day 2017-12-22</v>
      </c>
      <c r="AN100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6"/>
        <v>https://d0f6bd738d7f1b3e5a7ca70fe4ff75f0.us-east-1.aws.found.io/app/kibana#/discover/Steve-Slow-Train-Analysis-(2080s-and-2083s)?_g=(refreshInterval:(display:Off,pause:!f,section:0,value:0),time:(from:'2017-12-22T14:22:20-0700',mode:absolute,to:'2017-12-22T17:04:21-0700'))&amp;_a=(columns:!('Message%20ID',Summary),filters:!(),index:'emp_*',interval:auto,query:(query_string:(analyze_wildcard:!t,query:'%22rtdc.l.rtdc.4039%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229" t="s">
        <v>802</v>
      </c>
      <c r="B101" s="225">
        <v>4020</v>
      </c>
      <c r="C101" s="227" t="s">
        <v>192</v>
      </c>
      <c r="D101" s="227" t="s">
        <v>918</v>
      </c>
      <c r="E101" s="226">
        <v>43091.610763888886</v>
      </c>
      <c r="F101" s="226">
        <v>43091.614895833336</v>
      </c>
      <c r="G101" s="225">
        <v>69</v>
      </c>
      <c r="H101" s="227" t="s">
        <v>525</v>
      </c>
      <c r="I101" s="226">
        <v>43091.640173611115</v>
      </c>
      <c r="J101" s="225">
        <v>0</v>
      </c>
      <c r="K101" s="237" t="str">
        <f t="shared" si="28"/>
        <v>4019/4020</v>
      </c>
      <c r="L101" s="245" t="str">
        <f>VLOOKUP(A101,'Trips&amp;Operators'!$C$1:$G$99911,5,FALSE)</f>
        <v>SAFIEF AEIMEN</v>
      </c>
      <c r="M101" s="224">
        <f t="shared" si="29"/>
        <v>2.527777777868323E-2</v>
      </c>
      <c r="N101" s="225">
        <f t="shared" si="30"/>
        <v>36.400000001303852</v>
      </c>
      <c r="O101" s="225"/>
      <c r="P101" s="225"/>
      <c r="Q101" s="228"/>
      <c r="R101" s="242"/>
      <c r="S101" s="249">
        <f t="shared" si="31"/>
        <v>1</v>
      </c>
      <c r="T101" s="242" t="str">
        <f t="shared" si="32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3"/>
        <v>https://d0f6bd738d7f1b3e5a7ca70fe4ff75f0.us-east-1.aws.found.io/app/kibana#/discover/Steve-Slow-Train-Analysis-(2080s-and-2083s)?_g=(refreshInterval:(display:Off,pause:!f,section:0,value:0),time:(from:'2017-12-22T13:39:30-0700',mode:absolute,to:'2017-12-22T16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47" t="str">
        <f>IF(AA101&lt;VLOOKUP(AG101,Variables!$AC$3:$AD$8,2,FALSE),"Y","N")</f>
        <v>N</v>
      </c>
      <c r="X101" s="247">
        <f t="shared" si="34"/>
        <v>1</v>
      </c>
      <c r="Y101" s="247">
        <f t="shared" si="35"/>
        <v>4.9799999999999997E-2</v>
      </c>
      <c r="Z101" s="247">
        <f t="shared" si="36"/>
        <v>23.325900000000001</v>
      </c>
      <c r="AA101" s="247">
        <f t="shared" si="37"/>
        <v>23.2761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8"/>
        <v>189</v>
      </c>
      <c r="AE101" s="235" t="str">
        <f t="shared" si="39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01" s="234" t="str">
        <f t="shared" si="40"/>
        <v>"C:\Program Files (x86)\AstroGrep\AstroGrep.exe" /e /r /s /spath="%USERPROFILE%\AppData\Local\Temp\OnboardLogs" /stypes="app*4020*20171222*" /stext=" 22:.+((SYSTEM_STATE.+slice.+state.+changed )|(ment ac)|(multiple cpu faults)|(system.+state.+changed )|(\[timeout)|(PRM\|1\|D)|(kpr)|(kdp)|(train st.+moving)|(\|lc)|(penalty))"</v>
      </c>
      <c r="AG101" s="244" t="str">
        <f t="shared" si="41"/>
        <v>EC</v>
      </c>
      <c r="AH101" s="236" t="str">
        <f t="shared" si="42"/>
        <v>"%USERPROFILE%\Documents\GitHub\eaglep3\Utilities\RefineRTDCRunTimes.py" --tripid 189-22 --locoid 4020 --swversion DE.1.0.9.0 --startMP 204:498 --initTime 2017-12-22T14:39:30 --startdatetime 2017-12-22T14:45:27 --delay 69 --endMP 204:233259 --enddatetime 2017-12-22T15:21:51 --enforcementcount 0 &gt;&gt;%USERPROFILE%\Documents\GitHub\eaglep3-reporting\EC\2017-12-22-refined-times.txt</v>
      </c>
      <c r="AI10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{"issue":{"subject":"","project_id":79,"tracker_id":40,"status_id":1,"priority_id":2,"assigned_to_id":338,"start_date":"2017-12-22","description":"","custom_fields":[{"id":1,"name":"Subdivision","value":"EC"},{"id":4,"name":"Milepost","value":"23.3259"},{"id":17,"name":"Train ID","value":"189-22"},{"id":16,"name":"Locomotive ID","value":"4020"},{"id":130,"name":"Impact","value":""},{"id":150,"name":"Time of Event (Mountain Time)","value":"15:21:51"},{"id":151,"name":"Denver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4"/>
        <v>start /low /b %USERPROFILE%\Documents\GitHub\eaglep3\Utilities\DownloadLogsFromS3.py --loco 4020 --day 2017-12-22</v>
      </c>
      <c r="AN101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6"/>
        <v>https://d0f6bd738d7f1b3e5a7ca70fe4ff75f0.us-east-1.aws.found.io/app/kibana#/discover/Steve-Slow-Train-Analysis-(2080s-and-2083s)?_g=(refreshInterval:(display:Off,pause:!f,section:0,value:0),time:(from:'2017-12-22T13:39:30-0700',mode:absolute,to:'2017-12-22T16:21:51-0700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229" t="s">
        <v>812</v>
      </c>
      <c r="B102" s="225">
        <v>4019</v>
      </c>
      <c r="C102" s="227" t="s">
        <v>192</v>
      </c>
      <c r="D102" s="227" t="s">
        <v>955</v>
      </c>
      <c r="E102" s="226">
        <v>43091.642962962964</v>
      </c>
      <c r="F102" s="226">
        <v>43091.654363425929</v>
      </c>
      <c r="G102" s="225">
        <v>98</v>
      </c>
      <c r="H102" s="227" t="s">
        <v>536</v>
      </c>
      <c r="I102" s="226">
        <v>43091.680925925924</v>
      </c>
      <c r="J102" s="225">
        <v>0</v>
      </c>
      <c r="K102" s="237" t="str">
        <f t="shared" si="28"/>
        <v>4019/4020</v>
      </c>
      <c r="L102" s="245" t="str">
        <f>VLOOKUP(A102,'Trips&amp;Operators'!$C$1:$G$99911,5,FALSE)</f>
        <v>SAFIEF AEIMEN</v>
      </c>
      <c r="M102" s="224">
        <f t="shared" si="29"/>
        <v>2.6562499995634425E-2</v>
      </c>
      <c r="N102" s="225">
        <f t="shared" si="30"/>
        <v>38.249999993713573</v>
      </c>
      <c r="O102" s="225"/>
      <c r="P102" s="225"/>
      <c r="Q102" s="228"/>
      <c r="R102" s="242"/>
      <c r="S102" s="249">
        <f t="shared" si="31"/>
        <v>1</v>
      </c>
      <c r="T102" s="242" t="str">
        <f t="shared" si="32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3"/>
        <v>https://d0f6bd738d7f1b3e5a7ca70fe4ff75f0.us-east-1.aws.found.io/app/kibana#/discover/Steve-Slow-Train-Analysis-(2080s-and-2083s)?_g=(refreshInterval:(display:Off,pause:!f,section:0,value:0),time:(from:'2017-12-22T14:25:52-0700',mode:absolute,to:'2017-12-22T17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47" t="str">
        <f>IF(AA102&lt;VLOOKUP(AG102,Variables!$AC$3:$AD$8,2,FALSE),"Y","N")</f>
        <v>N</v>
      </c>
      <c r="X102" s="247">
        <f t="shared" si="34"/>
        <v>1</v>
      </c>
      <c r="Y102" s="247">
        <f t="shared" si="35"/>
        <v>23.293399999999998</v>
      </c>
      <c r="Z102" s="247">
        <f t="shared" si="36"/>
        <v>1.9400000000000001E-2</v>
      </c>
      <c r="AA102" s="247">
        <f t="shared" si="37"/>
        <v>23.273999999999997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8"/>
        <v>190</v>
      </c>
      <c r="AE102" s="235" t="str">
        <f t="shared" si="39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02" s="234" t="str">
        <f t="shared" si="40"/>
        <v>"C:\Program Files (x86)\AstroGrep\AstroGrep.exe" /e /r /s /spath="%USERPROFILE%\AppData\Local\Temp\OnboardLogs" /stypes="app*4019*20171222*" /stext=" 23:.+((SYSTEM_STATE.+slice.+state.+changed )|(ment ac)|(multiple cpu faults)|(system.+state.+changed )|(\[timeout)|(PRM\|1\|D)|(kpr)|(kdp)|(train st.+moving)|(\|lc)|(penalty))"</v>
      </c>
      <c r="AG102" s="244" t="str">
        <f t="shared" si="41"/>
        <v>EC</v>
      </c>
      <c r="AH102" s="236" t="str">
        <f t="shared" si="42"/>
        <v>"%USERPROFILE%\Documents\GitHub\eaglep3\Utilities\RefineRTDCRunTimes.py" --tripid 190-22 --locoid 4019 --swversion DE.1.0.9.0 --startMP 204:232934 --initTime 2017-12-22T15:25:52 --startdatetime 2017-12-22T15:42:17 --delay 98 --endMP 204:194 --enddatetime 2017-12-22T16:20:32 --enforcementcount 0 &gt;&gt;%USERPROFILE%\Documents\GitHub\eaglep3-reporting\EC\2017-12-22-refined-times.txt</v>
      </c>
      <c r="AI102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{"issue":{"subject":"","project_id":79,"tracker_id":40,"status_id":1,"priority_id":2,"assigned_to_id":338,"start_date":"2017-12-22","description":"","custom_fields":[{"id":1,"name":"Subdivision","value":"EC"},{"id":4,"name":"Milepost","value":"0.0194"},{"id":17,"name":"Train ID","value":"190-22"},{"id":16,"name":"Locomotive ID","value":"4019"},{"id":130,"name":"Impact","value":""},{"id":150,"name":"Time of Event (Mountain Time)","value":"16:20:32"},{"id":151,"name":"Denver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4"/>
        <v>start /low /b %USERPROFILE%\Documents\GitHub\eaglep3\Utilities\DownloadLogsFromS3.py --loco 4019 --day 2017-12-22</v>
      </c>
      <c r="AN102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6"/>
        <v>https://d0f6bd738d7f1b3e5a7ca70fe4ff75f0.us-east-1.aws.found.io/app/kibana#/discover/Steve-Slow-Train-Analysis-(2080s-and-2083s)?_g=(refreshInterval:(display:Off,pause:!f,section:0,value:0),time:(from:'2017-12-22T14:25:52-0700',mode:absolute,to:'2017-12-22T17:20:32-0700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805</v>
      </c>
      <c r="B103" s="225">
        <v>4006</v>
      </c>
      <c r="C103" s="227" t="s">
        <v>192</v>
      </c>
      <c r="D103" s="227" t="s">
        <v>565</v>
      </c>
      <c r="E103" s="226">
        <v>43091.622581018521</v>
      </c>
      <c r="F103" s="226">
        <v>43091.625243055554</v>
      </c>
      <c r="G103" s="225">
        <v>61</v>
      </c>
      <c r="H103" s="227" t="s">
        <v>531</v>
      </c>
      <c r="I103" s="226">
        <v>43091.650173611109</v>
      </c>
      <c r="J103" s="225">
        <v>0</v>
      </c>
      <c r="K103" s="237" t="str">
        <f t="shared" si="28"/>
        <v>4005/4006</v>
      </c>
      <c r="L103" s="245" t="str">
        <f>VLOOKUP(A103,'Trips&amp;Operators'!$C$1:$G$99911,5,FALSE)</f>
        <v>MOSES BRADLEY</v>
      </c>
      <c r="M103" s="224">
        <f t="shared" si="29"/>
        <v>2.4930555555329192E-2</v>
      </c>
      <c r="N103" s="225">
        <f t="shared" si="30"/>
        <v>35.899999999674037</v>
      </c>
      <c r="O103" s="225"/>
      <c r="P103" s="225"/>
      <c r="Q103" s="228"/>
      <c r="R103" s="242"/>
      <c r="S103" s="249">
        <f t="shared" si="31"/>
        <v>1</v>
      </c>
      <c r="T103" s="242" t="str">
        <f t="shared" si="32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3"/>
        <v>https://d0f6bd738d7f1b3e5a7ca70fe4ff75f0.us-east-1.aws.found.io/app/kibana#/discover/Steve-Slow-Train-Analysis-(2080s-and-2083s)?_g=(refreshInterval:(display:Off,pause:!f,section:0,value:0),time:(from:'2017-12-22T13:56:31-0700',mode:absolute,to:'2017-12-22T16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247" t="str">
        <f>IF(AA103&lt;VLOOKUP(AG103,Variables!$AC$3:$AD$8,2,FALSE),"Y","N")</f>
        <v>N</v>
      </c>
      <c r="X103" s="247">
        <f t="shared" si="34"/>
        <v>1</v>
      </c>
      <c r="Y103" s="247">
        <f t="shared" si="35"/>
        <v>4.82E-2</v>
      </c>
      <c r="Z103" s="247">
        <f t="shared" si="36"/>
        <v>23.325700000000001</v>
      </c>
      <c r="AA103" s="247">
        <f t="shared" si="37"/>
        <v>23.2775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8"/>
        <v>191</v>
      </c>
      <c r="AE103" s="235" t="str">
        <f t="shared" si="39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03" s="234" t="str">
        <f t="shared" si="40"/>
        <v>"C:\Program Files (x86)\AstroGrep\AstroGrep.exe" /e /r /s /spath="%USERPROFILE%\AppData\Local\Temp\OnboardLogs" /stypes="app*4006*20171222*" /stext=" 22:.+((SYSTEM_STATE.+slice.+state.+changed )|(ment ac)|(multiple cpu faults)|(system.+state.+changed )|(\[timeout)|(PRM\|1\|D)|(kpr)|(kdp)|(train st.+moving)|(\|lc)|(penalty))"</v>
      </c>
      <c r="AG103" s="244" t="str">
        <f t="shared" si="41"/>
        <v>EC</v>
      </c>
      <c r="AH103" s="236" t="str">
        <f t="shared" si="42"/>
        <v>"%USERPROFILE%\Documents\GitHub\eaglep3\Utilities\RefineRTDCRunTimes.py" --tripid 191-22 --locoid 4006 --swversion DE.1.0.9.0 --startMP 204:482 --initTime 2017-12-22T14:56:31 --startdatetime 2017-12-22T15:00:21 --delay 61 --endMP 204:233257 --enddatetime 2017-12-22T15:36:15 --enforcementcount 0 &gt;&gt;%USERPROFILE%\Documents\GitHub\eaglep3-reporting\EC\2017-12-22-refined-times.txt</v>
      </c>
      <c r="AI10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{"issue":{"subject":"","project_id":79,"tracker_id":40,"status_id":1,"priority_id":2,"assigned_to_id":338,"start_date":"2017-12-22","description":"","custom_fields":[{"id":1,"name":"Subdivision","value":"EC"},{"id":4,"name":"Milepost","value":"23.3257"},{"id":17,"name":"Train ID","value":"191-22"},{"id":16,"name":"Locomotive ID","value":"4006"},{"id":130,"name":"Impact","value":""},{"id":150,"name":"Time of Event (Mountain Time)","value":"15:36:15"},{"id":151,"name":"Denver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4"/>
        <v>start /low /b %USERPROFILE%\Documents\GitHub\eaglep3\Utilities\DownloadLogsFromS3.py --loco 4006 --day 2017-12-22</v>
      </c>
      <c r="AN103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6"/>
        <v>https://d0f6bd738d7f1b3e5a7ca70fe4ff75f0.us-east-1.aws.found.io/app/kibana#/discover/Steve-Slow-Train-Analysis-(2080s-and-2083s)?_g=(refreshInterval:(display:Off,pause:!f,section:0,value:0),time:(from:'2017-12-22T13:56:31-0700',mode:absolute,to:'2017-12-22T16:36:15-0700'))&amp;_a=(columns:!('Message%20ID',Summary),filters:!(),index:'emp_*',interval:auto,query:(query_string:(analyze_wildcard:!t,query:'%22rtdc.l.rtdc.4006%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816</v>
      </c>
      <c r="B104" s="225">
        <v>4005</v>
      </c>
      <c r="C104" s="227" t="s">
        <v>192</v>
      </c>
      <c r="D104" s="227" t="s">
        <v>956</v>
      </c>
      <c r="E104" s="226">
        <v>43091.661134259259</v>
      </c>
      <c r="F104" s="226">
        <v>43091.664907407408</v>
      </c>
      <c r="G104" s="225">
        <v>59</v>
      </c>
      <c r="H104" s="227" t="s">
        <v>540</v>
      </c>
      <c r="I104" s="226">
        <v>43091.690995370373</v>
      </c>
      <c r="J104" s="225">
        <v>0</v>
      </c>
      <c r="K104" s="237" t="str">
        <f t="shared" si="28"/>
        <v>4005/4006</v>
      </c>
      <c r="L104" s="245" t="str">
        <f>VLOOKUP(A104,'Trips&amp;Operators'!$C$1:$G$99911,5,FALSE)</f>
        <v>MOSES BRADLEY</v>
      </c>
      <c r="M104" s="224">
        <f t="shared" si="29"/>
        <v>2.6087962964083999E-2</v>
      </c>
      <c r="N104" s="225">
        <f t="shared" si="30"/>
        <v>37.566666668280959</v>
      </c>
      <c r="O104" s="225"/>
      <c r="P104" s="225"/>
      <c r="Q104" s="228"/>
      <c r="R104" s="242"/>
      <c r="S104" s="249">
        <f t="shared" si="31"/>
        <v>1</v>
      </c>
      <c r="T104" s="242" t="str">
        <f t="shared" si="32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3"/>
        <v>https://d0f6bd738d7f1b3e5a7ca70fe4ff75f0.us-east-1.aws.found.io/app/kibana#/discover/Steve-Slow-Train-Analysis-(2080s-and-2083s)?_g=(refreshInterval:(display:Off,pause:!f,section:0,value:0),time:(from:'2017-12-22T14:52:02-0700',mode:absolute,to:'2017-12-22T17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247" t="str">
        <f>IF(AA104&lt;VLOOKUP(AG104,Variables!$AC$3:$AD$8,2,FALSE),"Y","N")</f>
        <v>N</v>
      </c>
      <c r="X104" s="247">
        <f t="shared" si="34"/>
        <v>1</v>
      </c>
      <c r="Y104" s="247">
        <f t="shared" si="35"/>
        <v>23.295500000000001</v>
      </c>
      <c r="Z104" s="247">
        <f t="shared" si="36"/>
        <v>1.9800000000000002E-2</v>
      </c>
      <c r="AA104" s="247">
        <f t="shared" si="37"/>
        <v>23.275700000000001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8"/>
        <v>192</v>
      </c>
      <c r="AE104" s="235" t="str">
        <f t="shared" si="39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104" s="234" t="str">
        <f t="shared" si="40"/>
        <v>"C:\Program Files (x86)\AstroGrep\AstroGrep.exe" /e /r /s /spath="%USERPROFILE%\AppData\Local\Temp\OnboardLogs" /stypes="app*4005*20171222*" /stext=" 23:.+((SYSTEM_STATE.+slice.+state.+changed )|(ment ac)|(multiple cpu faults)|(system.+state.+changed )|(\[timeout)|(PRM\|1\|D)|(kpr)|(kdp)|(train st.+moving)|(\|lc)|(penalty))"</v>
      </c>
      <c r="AG104" s="244" t="str">
        <f t="shared" si="41"/>
        <v>EC</v>
      </c>
      <c r="AH104" s="236" t="str">
        <f t="shared" si="42"/>
        <v>"%USERPROFILE%\Documents\GitHub\eaglep3\Utilities\RefineRTDCRunTimes.py" --tripid 192-22 --locoid 4005 --swversion DE.1.0.9.0 --startMP 204:232955 --initTime 2017-12-22T15:52:02 --startdatetime 2017-12-22T15:57:28 --delay 59 --endMP 204:198 --enddatetime 2017-12-22T16:35:02 --enforcementcount 0 &gt;&gt;%USERPROFILE%\Documents\GitHub\eaglep3-reporting\EC\2017-12-22-refined-times.txt</v>
      </c>
      <c r="AI10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{"issue":{"subject":"","project_id":79,"tracker_id":40,"status_id":1,"priority_id":2,"assigned_to_id":338,"start_date":"2017-12-22","description":"","custom_fields":[{"id":1,"name":"Subdivision","value":"EC"},{"id":4,"name":"Milepost","value":"0.0198"},{"id":17,"name":"Train ID","value":"192-22"},{"id":16,"name":"Locomotive ID","value":"4005"},{"id":130,"name":"Impact","value":""},{"id":150,"name":"Time of Event (Mountain Time)","value":"16:35:02"},{"id":151,"name":"Denver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4"/>
        <v>start /low /b %USERPROFILE%\Documents\GitHub\eaglep3\Utilities\DownloadLogsFromS3.py --loco 4005 --day 2017-12-22</v>
      </c>
      <c r="AN104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6"/>
        <v>https://d0f6bd738d7f1b3e5a7ca70fe4ff75f0.us-east-1.aws.found.io/app/kibana#/discover/Steve-Slow-Train-Analysis-(2080s-and-2083s)?_g=(refreshInterval:(display:Off,pause:!f,section:0,value:0),time:(from:'2017-12-22T14:52:02-0700',mode:absolute,to:'2017-12-22T17:35:02-0700'))&amp;_a=(columns:!('Message%20ID',Summary),filters:!(),index:'emp_*',interval:auto,query:(query_string:(analyze_wildcard:!t,query:'%22rtdc.l.rtdc.4005%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808</v>
      </c>
      <c r="B105" s="225">
        <v>4062</v>
      </c>
      <c r="C105" s="227" t="s">
        <v>192</v>
      </c>
      <c r="D105" s="227" t="s">
        <v>651</v>
      </c>
      <c r="E105" s="226">
        <v>43091.630266203705</v>
      </c>
      <c r="F105" s="226">
        <v>43091.635613425926</v>
      </c>
      <c r="G105" s="225">
        <v>69</v>
      </c>
      <c r="H105" s="227" t="s">
        <v>940</v>
      </c>
      <c r="I105" s="226">
        <v>43091.661122685182</v>
      </c>
      <c r="J105" s="225">
        <v>0</v>
      </c>
      <c r="K105" s="237" t="str">
        <f t="shared" si="28"/>
        <v>4061/4062</v>
      </c>
      <c r="L105" s="245" t="str">
        <f>VLOOKUP(A105,'Trips&amp;Operators'!$C$1:$G$99911,5,FALSE)</f>
        <v>LEVERE CRAIG</v>
      </c>
      <c r="M105" s="224">
        <f t="shared" si="29"/>
        <v>2.5509259256068617E-2</v>
      </c>
      <c r="N105" s="225">
        <f t="shared" si="30"/>
        <v>36.733333328738809</v>
      </c>
      <c r="O105" s="225"/>
      <c r="P105" s="225"/>
      <c r="Q105" s="228"/>
      <c r="R105" s="242"/>
      <c r="S105" s="249">
        <f t="shared" si="31"/>
        <v>1</v>
      </c>
      <c r="T105" s="242" t="str">
        <f t="shared" si="32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3"/>
        <v>https://d0f6bd738d7f1b3e5a7ca70fe4ff75f0.us-east-1.aws.found.io/app/kibana#/discover/Steve-Slow-Train-Analysis-(2080s-and-2083s)?_g=(refreshInterval:(display:Off,pause:!f,section:0,value:0),time:(from:'2017-12-22T14:07:35-0700',mode:absolute,to:'2017-12-22T16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5" s="247" t="str">
        <f>IF(AA105&lt;VLOOKUP(AG105,Variables!$AC$3:$AD$8,2,FALSE),"Y","N")</f>
        <v>N</v>
      </c>
      <c r="X105" s="247">
        <f t="shared" si="34"/>
        <v>1</v>
      </c>
      <c r="Y105" s="247">
        <f t="shared" si="35"/>
        <v>5.4199999999999998E-2</v>
      </c>
      <c r="Z105" s="247">
        <f t="shared" si="36"/>
        <v>23.326799999999999</v>
      </c>
      <c r="AA105" s="247">
        <f t="shared" si="37"/>
        <v>23.272599999999997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8"/>
        <v>193</v>
      </c>
      <c r="AE105" s="235" t="str">
        <f t="shared" si="39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105" s="234" t="str">
        <f t="shared" si="40"/>
        <v>"C:\Program Files (x86)\AstroGrep\AstroGrep.exe" /e /r /s /spath="%USERPROFILE%\AppData\Local\Temp\OnboardLogs" /stypes="app*4062*20171222*" /stext=" 22:.+((SYSTEM_STATE.+slice.+state.+changed )|(ment ac)|(multiple cpu faults)|(system.+state.+changed )|(\[timeout)|(PRM\|1\|D)|(kpr)|(kdp)|(train st.+moving)|(\|lc)|(penalty))"</v>
      </c>
      <c r="AG105" s="244" t="str">
        <f t="shared" si="41"/>
        <v>EC</v>
      </c>
      <c r="AH105" s="236" t="str">
        <f t="shared" si="42"/>
        <v>"%USERPROFILE%\Documents\GitHub\eaglep3\Utilities\RefineRTDCRunTimes.py" --tripid 193-22 --locoid 4062 --swversion DE.1.0.9.0 --startMP 204:542 --initTime 2017-12-22T15:07:35 --startdatetime 2017-12-22T15:15:17 --delay 69 --endMP 204:233268 --enddatetime 2017-12-22T15:52:01 --enforcementcount 0 &gt;&gt;%USERPROFILE%\Documents\GitHub\eaglep3-reporting\EC\2017-12-22-refined-times.txt</v>
      </c>
      <c r="AI10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{"issue":{"subject":"","project_id":79,"tracker_id":40,"status_id":1,"priority_id":2,"assigned_to_id":338,"start_date":"2017-12-22","description":"","custom_fields":[{"id":1,"name":"Subdivision","value":"EC"},{"id":4,"name":"Milepost","value":"23.3268"},{"id":17,"name":"Train ID","value":"193-22"},{"id":16,"name":"Locomotive ID","value":"4062"},{"id":130,"name":"Impact","value":""},{"id":150,"name":"Time of Event (Mountain Time)","value":"15:52:01"},{"id":151,"name":"Denver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4"/>
        <v>start /low /b %USERPROFILE%\Documents\GitHub\eaglep3\Utilities\DownloadLogsFromS3.py --loco 4062 --day 2017-12-22</v>
      </c>
      <c r="AN105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6"/>
        <v>https://d0f6bd738d7f1b3e5a7ca70fe4ff75f0.us-east-1.aws.found.io/app/kibana#/discover/Steve-Slow-Train-Analysis-(2080s-and-2083s)?_g=(refreshInterval:(display:Off,pause:!f,section:0,value:0),time:(from:'2017-12-22T14:07:35-0700',mode:absolute,to:'2017-12-22T16:52:01-0700'))&amp;_a=(columns:!('Message%20ID',Summary),filters:!(),index:'emp_*',interval:auto,query:(query_string:(analyze_wildcard:!t,query:'%22rtdc.l.rtdc.4062%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820</v>
      </c>
      <c r="B106" s="225">
        <v>4061</v>
      </c>
      <c r="C106" s="227" t="s">
        <v>192</v>
      </c>
      <c r="D106" s="227" t="s">
        <v>633</v>
      </c>
      <c r="E106" s="226">
        <v>43091.669409722221</v>
      </c>
      <c r="F106" s="226">
        <v>43091.675185185188</v>
      </c>
      <c r="G106" s="225">
        <v>62</v>
      </c>
      <c r="H106" s="227" t="s">
        <v>597</v>
      </c>
      <c r="I106" s="226">
        <v>43091.701504629629</v>
      </c>
      <c r="J106" s="225">
        <v>0</v>
      </c>
      <c r="K106" s="237" t="str">
        <f t="shared" si="28"/>
        <v>4061/4062</v>
      </c>
      <c r="L106" s="245" t="str">
        <f>VLOOKUP(A106,'Trips&amp;Operators'!$C$1:$G$99911,5,FALSE)</f>
        <v>LEVERE CRAIG</v>
      </c>
      <c r="M106" s="224">
        <f t="shared" si="29"/>
        <v>2.6319444441469386E-2</v>
      </c>
      <c r="N106" s="225">
        <f t="shared" si="30"/>
        <v>37.899999995715916</v>
      </c>
      <c r="O106" s="225"/>
      <c r="P106" s="225"/>
      <c r="Q106" s="228"/>
      <c r="R106" s="242"/>
      <c r="S106" s="249">
        <f t="shared" si="31"/>
        <v>1</v>
      </c>
      <c r="T106" s="242" t="str">
        <f t="shared" si="32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3"/>
        <v>https://d0f6bd738d7f1b3e5a7ca70fe4ff75f0.us-east-1.aws.found.io/app/kibana#/discover/Steve-Slow-Train-Analysis-(2080s-and-2083s)?_g=(refreshInterval:(display:Off,pause:!f,section:0,value:0),time:(from:'2017-12-22T15:03:57-0700',mode:absolute,to:'2017-12-22T17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6" s="247" t="str">
        <f>IF(AA106&lt;VLOOKUP(AG106,Variables!$AC$3:$AD$8,2,FALSE),"Y","N")</f>
        <v>N</v>
      </c>
      <c r="X106" s="247">
        <f t="shared" si="34"/>
        <v>1</v>
      </c>
      <c r="Y106" s="247">
        <f t="shared" si="35"/>
        <v>23.294799999999999</v>
      </c>
      <c r="Z106" s="247">
        <f t="shared" si="36"/>
        <v>2.1600000000000001E-2</v>
      </c>
      <c r="AA106" s="247">
        <f t="shared" si="37"/>
        <v>23.273199999999999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8"/>
        <v>194</v>
      </c>
      <c r="AE106" s="235" t="str">
        <f t="shared" si="39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106" s="234" t="str">
        <f t="shared" si="40"/>
        <v>"C:\Program Files (x86)\AstroGrep\AstroGrep.exe" /e /r /s /spath="%USERPROFILE%\AppData\Local\Temp\OnboardLogs" /stypes="app*4061*20171222*" /stext=" 23:.+((SYSTEM_STATE.+slice.+state.+changed )|(ment ac)|(multiple cpu faults)|(system.+state.+changed )|(\[timeout)|(PRM\|1\|D)|(kpr)|(kdp)|(train st.+moving)|(\|lc)|(penalty))"</v>
      </c>
      <c r="AG106" s="244" t="str">
        <f t="shared" si="41"/>
        <v>EC</v>
      </c>
      <c r="AH106" s="236" t="str">
        <f t="shared" si="42"/>
        <v>"%USERPROFILE%\Documents\GitHub\eaglep3\Utilities\RefineRTDCRunTimes.py" --tripid 194-22 --locoid 4061 --swversion DE.1.0.9.0 --startMP 204:232948 --initTime 2017-12-22T16:03:57 --startdatetime 2017-12-22T16:12:16 --delay 62 --endMP 204:216 --enddatetime 2017-12-22T16:50:10 --enforcementcount 0 &gt;&gt;%USERPROFILE%\Documents\GitHub\eaglep3-reporting\EC\2017-12-22-refined-times.txt</v>
      </c>
      <c r="AI10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{"issue":{"subject":"","project_id":79,"tracker_id":40,"status_id":1,"priority_id":2,"assigned_to_id":338,"start_date":"2017-12-22","description":"","custom_fields":[{"id":1,"name":"Subdivision","value":"EC"},{"id":4,"name":"Milepost","value":"0.0216"},{"id":17,"name":"Train ID","value":"194-22"},{"id":16,"name":"Locomotive ID","value":"4061"},{"id":130,"name":"Impact","value":""},{"id":150,"name":"Time of Event (Mountain Time)","value":"16:50:10"},{"id":151,"name":"Denver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4"/>
        <v>start /low /b %USERPROFILE%\Documents\GitHub\eaglep3\Utilities\DownloadLogsFromS3.py --loco 4061 --day 2017-12-22</v>
      </c>
      <c r="AN106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6"/>
        <v>https://d0f6bd738d7f1b3e5a7ca70fe4ff75f0.us-east-1.aws.found.io/app/kibana#/discover/Steve-Slow-Train-Analysis-(2080s-and-2083s)?_g=(refreshInterval:(display:Off,pause:!f,section:0,value:0),time:(from:'2017-12-22T15:03:57-0700',mode:absolute,to:'2017-12-22T17:50:10-0700'))&amp;_a=(columns:!('Message%20ID',Summary),filters:!(),index:'emp_*',interval:auto,query:(query_string:(analyze_wildcard:!t,query:'%22rtdc.l.rtdc.4061%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811</v>
      </c>
      <c r="B107" s="225">
        <v>4010</v>
      </c>
      <c r="C107" s="227" t="s">
        <v>192</v>
      </c>
      <c r="D107" s="227" t="s">
        <v>537</v>
      </c>
      <c r="E107" s="226">
        <v>43091.641296296293</v>
      </c>
      <c r="F107" s="226">
        <v>43091.645983796298</v>
      </c>
      <c r="G107" s="225">
        <v>58</v>
      </c>
      <c r="H107" s="227" t="s">
        <v>957</v>
      </c>
      <c r="I107" s="226">
        <v>43091.671099537038</v>
      </c>
      <c r="J107" s="225">
        <v>0</v>
      </c>
      <c r="K107" s="237" t="str">
        <f t="shared" si="28"/>
        <v>4009/4010</v>
      </c>
      <c r="L107" s="245" t="str">
        <f>VLOOKUP(A107,'Trips&amp;Operators'!$C$1:$G$99911,5,FALSE)</f>
        <v>FORTUNATO FRANK</v>
      </c>
      <c r="M107" s="224">
        <f t="shared" si="29"/>
        <v>2.5115740740147885E-2</v>
      </c>
      <c r="N107" s="225">
        <f t="shared" si="30"/>
        <v>36.166666665812954</v>
      </c>
      <c r="O107" s="225"/>
      <c r="P107" s="225"/>
      <c r="Q107" s="228"/>
      <c r="R107" s="242"/>
      <c r="S107" s="249">
        <f t="shared" si="31"/>
        <v>1</v>
      </c>
      <c r="T107" s="242" t="str">
        <f t="shared" si="32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3"/>
        <v>https://d0f6bd738d7f1b3e5a7ca70fe4ff75f0.us-east-1.aws.found.io/app/kibana#/discover/Steve-Slow-Train-Analysis-(2080s-and-2083s)?_g=(refreshInterval:(display:Off,pause:!f,section:0,value:0),time:(from:'2017-12-22T14:23:28-0700',mode:absolute,to:'2017-12-22T17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7" s="247" t="str">
        <f>IF(AA107&lt;VLOOKUP(AG107,Variables!$AC$3:$AD$8,2,FALSE),"Y","N")</f>
        <v>N</v>
      </c>
      <c r="X107" s="247">
        <f t="shared" si="34"/>
        <v>1</v>
      </c>
      <c r="Y107" s="247">
        <f t="shared" si="35"/>
        <v>5.2600000000000001E-2</v>
      </c>
      <c r="Z107" s="247">
        <f t="shared" si="36"/>
        <v>23.319099999999999</v>
      </c>
      <c r="AA107" s="247">
        <f t="shared" si="37"/>
        <v>23.266499999999997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8"/>
        <v>195</v>
      </c>
      <c r="AE107" s="235" t="str">
        <f t="shared" si="39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107" s="234" t="str">
        <f t="shared" si="40"/>
        <v>"C:\Program Files (x86)\AstroGrep\AstroGrep.exe" /e /r /s /spath="%USERPROFILE%\AppData\Local\Temp\OnboardLogs" /stypes="app*4010*20171222*" /stext=" 23:.+((SYSTEM_STATE.+slice.+state.+changed )|(ment ac)|(multiple cpu faults)|(system.+state.+changed )|(\[timeout)|(PRM\|1\|D)|(kpr)|(kdp)|(train st.+moving)|(\|lc)|(penalty))"</v>
      </c>
      <c r="AG107" s="244" t="str">
        <f t="shared" si="41"/>
        <v>EC</v>
      </c>
      <c r="AH107" s="236" t="str">
        <f t="shared" si="42"/>
        <v>"%USERPROFILE%\Documents\GitHub\eaglep3\Utilities\RefineRTDCRunTimes.py" --tripid 195-22 --locoid 4010 --swversion DE.1.0.9.0 --startMP 204:526 --initTime 2017-12-22T15:23:28 --startdatetime 2017-12-22T15:30:13 --delay 58 --endMP 204:233191 --enddatetime 2017-12-22T16:06:23 --enforcementcount 0 &gt;&gt;%USERPROFILE%\Documents\GitHub\eaglep3-reporting\EC\2017-12-22-refined-times.txt</v>
      </c>
      <c r="AI10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{"issue":{"subject":"","project_id":79,"tracker_id":40,"status_id":1,"priority_id":2,"assigned_to_id":338,"start_date":"2017-12-22","description":"","custom_fields":[{"id":1,"name":"Subdivision","value":"EC"},{"id":4,"name":"Milepost","value":"23.3191"},{"id":17,"name":"Train ID","value":"195-22"},{"id":16,"name":"Locomotive ID","value":"4010"},{"id":130,"name":"Impact","value":""},{"id":150,"name":"Time of Event (Mountain Time)","value":"16:06:23"},{"id":151,"name":"Denver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4"/>
        <v>start /low /b %USERPROFILE%\Documents\GitHub\eaglep3\Utilities\DownloadLogsFromS3.py --loco 4010 --day 2017-12-22</v>
      </c>
      <c r="AN107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6"/>
        <v>https://d0f6bd738d7f1b3e5a7ca70fe4ff75f0.us-east-1.aws.found.io/app/kibana#/discover/Steve-Slow-Train-Analysis-(2080s-and-2083s)?_g=(refreshInterval:(display:Off,pause:!f,section:0,value:0),time:(from:'2017-12-22T14:23:28-0700',mode:absolute,to:'2017-12-22T17:06:23-0700'))&amp;_a=(columns:!('Message%20ID',Summary),filters:!(),index:'emp_*',interval:auto,query:(query_string:(analyze_wildcard:!t,query:'%22rtdc.l.rtdc.4010%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821</v>
      </c>
      <c r="B108" s="225">
        <v>4009</v>
      </c>
      <c r="C108" s="227" t="s">
        <v>192</v>
      </c>
      <c r="D108" s="227" t="s">
        <v>958</v>
      </c>
      <c r="E108" s="226">
        <v>43091.673483796294</v>
      </c>
      <c r="F108" s="226">
        <v>43091.685590277775</v>
      </c>
      <c r="G108" s="225">
        <v>49</v>
      </c>
      <c r="H108" s="227" t="s">
        <v>959</v>
      </c>
      <c r="I108" s="226">
        <v>43091.711226851854</v>
      </c>
      <c r="J108" s="225">
        <v>0</v>
      </c>
      <c r="K108" s="237" t="str">
        <f t="shared" si="28"/>
        <v>4009/4010</v>
      </c>
      <c r="L108" s="245" t="str">
        <f>VLOOKUP(A108,'Trips&amp;Operators'!$C$1:$G$99911,5,FALSE)</f>
        <v>FORTUNATO FRANK</v>
      </c>
      <c r="M108" s="224">
        <f t="shared" si="29"/>
        <v>2.5636574078816921E-2</v>
      </c>
      <c r="N108" s="225">
        <f t="shared" si="30"/>
        <v>36.916666673496366</v>
      </c>
      <c r="O108" s="225"/>
      <c r="P108" s="225"/>
      <c r="Q108" s="228"/>
      <c r="R108" s="242"/>
      <c r="S108" s="249">
        <f t="shared" si="31"/>
        <v>1</v>
      </c>
      <c r="T108" s="242" t="str">
        <f t="shared" si="32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3"/>
        <v>https://d0f6bd738d7f1b3e5a7ca70fe4ff75f0.us-east-1.aws.found.io/app/kibana#/discover/Steve-Slow-Train-Analysis-(2080s-and-2083s)?_g=(refreshInterval:(display:Off,pause:!f,section:0,value:0),time:(from:'2017-12-22T15:09:49-0700',mode:absolute,to:'2017-12-22T18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8" s="247" t="str">
        <f>IF(AA108&lt;VLOOKUP(AG108,Variables!$AC$3:$AD$8,2,FALSE),"Y","N")</f>
        <v>N</v>
      </c>
      <c r="X108" s="247">
        <f t="shared" si="34"/>
        <v>1</v>
      </c>
      <c r="Y108" s="247">
        <f t="shared" si="35"/>
        <v>23.287500000000001</v>
      </c>
      <c r="Z108" s="247">
        <f t="shared" si="36"/>
        <v>2.12E-2</v>
      </c>
      <c r="AA108" s="247">
        <f t="shared" si="37"/>
        <v>23.266300000000001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8"/>
        <v>196</v>
      </c>
      <c r="AE108" s="235" t="str">
        <f t="shared" si="39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108" s="234" t="str">
        <f t="shared" si="40"/>
        <v>"C:\Program Files (x86)\AstroGrep\AstroGrep.exe" /e /r /s /spath="%USERPROFILE%\AppData\Local\Temp\OnboardLogs" /stypes="app*4009*20171223*" /stext=" 00:.+((SYSTEM_STATE.+slice.+state.+changed )|(ment ac)|(multiple cpu faults)|(system.+state.+changed )|(\[timeout)|(PRM\|1\|D)|(kpr)|(kdp)|(train st.+moving)|(\|lc)|(penalty))"</v>
      </c>
      <c r="AG108" s="244" t="str">
        <f t="shared" si="41"/>
        <v>EC</v>
      </c>
      <c r="AH108" s="236" t="str">
        <f t="shared" si="42"/>
        <v>"%USERPROFILE%\Documents\GitHub\eaglep3\Utilities\RefineRTDCRunTimes.py" --tripid 196-22 --locoid 4009 --swversion DE.1.0.9.0 --startMP 204:232875 --initTime 2017-12-22T16:09:49 --startdatetime 2017-12-22T16:27:15 --delay 49 --endMP 204:212 --enddatetime 2017-12-22T17:04:10 --enforcementcount 0 &gt;&gt;%USERPROFILE%\Documents\GitHub\eaglep3-reporting\EC\2017-12-22-refined-times.txt</v>
      </c>
      <c r="AI108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{"issue":{"subject":"","project_id":79,"tracker_id":40,"status_id":1,"priority_id":2,"assigned_to_id":338,"start_date":"2017-12-22","description":"","custom_fields":[{"id":1,"name":"Subdivision","value":"EC"},{"id":4,"name":"Milepost","value":"0.0212"},{"id":17,"name":"Train ID","value":"196-22"},{"id":16,"name":"Locomotive ID","value":"4009"},{"id":130,"name":"Impact","value":""},{"id":150,"name":"Time of Event (Mountain Time)","value":"17:04:10"},{"id":151,"name":"Denver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4"/>
        <v>start /low /b %USERPROFILE%\Documents\GitHub\eaglep3\Utilities\DownloadLogsFromS3.py --loco 4009 --day 2017-12-22</v>
      </c>
      <c r="AN108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6"/>
        <v>https://d0f6bd738d7f1b3e5a7ca70fe4ff75f0.us-east-1.aws.found.io/app/kibana#/discover/Steve-Slow-Train-Analysis-(2080s-and-2083s)?_g=(refreshInterval:(display:Off,pause:!f,section:0,value:0),time:(from:'2017-12-22T15:09:49-0700',mode:absolute,to:'2017-12-22T18:04:10-0700'))&amp;_a=(columns:!('Message%20ID',Summary),filters:!(),index:'emp_*',interval:auto,query:(query_string:(analyze_wildcard:!t,query:'%22rtdc.l.rtdc.4009%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815</v>
      </c>
      <c r="B109" s="225">
        <v>4008</v>
      </c>
      <c r="C109" s="227" t="s">
        <v>192</v>
      </c>
      <c r="D109" s="227" t="s">
        <v>960</v>
      </c>
      <c r="E109" s="226">
        <v>43091.650787037041</v>
      </c>
      <c r="F109" s="226">
        <v>43091.656493055554</v>
      </c>
      <c r="G109" s="225">
        <v>75</v>
      </c>
      <c r="H109" s="227" t="s">
        <v>610</v>
      </c>
      <c r="I109" s="226">
        <v>43091.681562500002</v>
      </c>
      <c r="J109" s="225">
        <v>0</v>
      </c>
      <c r="K109" s="237" t="str">
        <f t="shared" si="28"/>
        <v>4007/4008</v>
      </c>
      <c r="L109" s="245" t="str">
        <f>VLOOKUP(A109,'Trips&amp;Operators'!$C$1:$G$99911,5,FALSE)</f>
        <v>LEVIN SCOTT</v>
      </c>
      <c r="M109" s="224">
        <f t="shared" si="29"/>
        <v>2.5069444447581191E-2</v>
      </c>
      <c r="N109" s="225">
        <f t="shared" ref="N109:N140" si="47">24*60*SUM($M109:$M109)</f>
        <v>36.100000004516914</v>
      </c>
      <c r="O109" s="225"/>
      <c r="P109" s="225"/>
      <c r="Q109" s="228"/>
      <c r="R109" s="242"/>
      <c r="S109" s="249">
        <f t="shared" si="31"/>
        <v>1</v>
      </c>
      <c r="T109" s="242" t="str">
        <f t="shared" si="32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3"/>
        <v>https://d0f6bd738d7f1b3e5a7ca70fe4ff75f0.us-east-1.aws.found.io/app/kibana#/discover/Steve-Slow-Train-Analysis-(2080s-and-2083s)?_g=(refreshInterval:(display:Off,pause:!f,section:0,value:0),time:(from:'2017-12-22T14:37:08-0700',mode:absolute,to:'2017-12-22T17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247" t="str">
        <f>IF(AA109&lt;VLOOKUP(AG109,Variables!$AC$3:$AD$8,2,FALSE),"Y","N")</f>
        <v>N</v>
      </c>
      <c r="X109" s="247">
        <f t="shared" ref="X109:X140" si="48">VALUE(LEFT(AD109,4))-VALUE(LEFT(AD108,4))</f>
        <v>1</v>
      </c>
      <c r="Y109" s="247">
        <f t="shared" ref="Y109:Y140" si="49">RIGHT(D109,LEN(D109)-4)/10000</f>
        <v>4.7300000000000002E-2</v>
      </c>
      <c r="Z109" s="247">
        <f t="shared" ref="Z109:Z140" si="50">RIGHT(H109,LEN(H109)-4)/10000</f>
        <v>23.3307</v>
      </c>
      <c r="AA109" s="247">
        <f t="shared" si="37"/>
        <v>23.2834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8"/>
        <v>197</v>
      </c>
      <c r="AE109" s="235" t="str">
        <f t="shared" si="39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109" s="234" t="str">
        <f t="shared" si="40"/>
        <v>"C:\Program Files (x86)\AstroGrep\AstroGrep.exe" /e /r /s /spath="%USERPROFILE%\AppData\Local\Temp\OnboardLogs" /stypes="app*4008*20171222*" /stext=" 23:.+((SYSTEM_STATE.+slice.+state.+changed )|(ment ac)|(multiple cpu faults)|(system.+state.+changed )|(\[timeout)|(PRM\|1\|D)|(kpr)|(kdp)|(train st.+moving)|(\|lc)|(penalty))"</v>
      </c>
      <c r="AG109" s="244" t="str">
        <f t="shared" si="41"/>
        <v>EC</v>
      </c>
      <c r="AH109" s="236" t="str">
        <f t="shared" si="42"/>
        <v>"%USERPROFILE%\Documents\GitHub\eaglep3\Utilities\RefineRTDCRunTimes.py" --tripid 197-22 --locoid 4008 --swversion DE.1.0.9.0 --startMP 204:473 --initTime 2017-12-22T15:37:08 --startdatetime 2017-12-22T15:45:21 --delay 75 --endMP 204:233307 --enddatetime 2017-12-22T16:21:27 --enforcementcount 0 &gt;&gt;%USERPROFILE%\Documents\GitHub\eaglep3-reporting\EC\2017-12-22-refined-times.txt</v>
      </c>
      <c r="AI10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{"issue":{"subject":"","project_id":79,"tracker_id":40,"status_id":1,"priority_id":2,"assigned_to_id":338,"start_date":"2017-12-22","description":"","custom_fields":[{"id":1,"name":"Subdivision","value":"EC"},{"id":4,"name":"Milepost","value":"23.3307"},{"id":17,"name":"Train ID","value":"197-22"},{"id":16,"name":"Locomotive ID","value":"4008"},{"id":130,"name":"Impact","value":""},{"id":150,"name":"Time of Event (Mountain Time)","value":"16:21:27"},{"id":151,"name":"Denver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4"/>
        <v>start /low /b %USERPROFILE%\Documents\GitHub\eaglep3\Utilities\DownloadLogsFromS3.py --loco 4008 --day 2017-12-22</v>
      </c>
      <c r="AN109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6"/>
        <v>https://d0f6bd738d7f1b3e5a7ca70fe4ff75f0.us-east-1.aws.found.io/app/kibana#/discover/Steve-Slow-Train-Analysis-(2080s-and-2083s)?_g=(refreshInterval:(display:Off,pause:!f,section:0,value:0),time:(from:'2017-12-22T14:37:08-0700',mode:absolute,to:'2017-12-22T17:21:27-0700'))&amp;_a=(columns:!('Message%20ID',Summary),filters:!(),index:'emp_*',interval:auto,query:(query_string:(analyze_wildcard:!t,query:'%22rtdc.l.rtdc.4008%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825</v>
      </c>
      <c r="B110" s="225">
        <v>4007</v>
      </c>
      <c r="C110" s="227" t="s">
        <v>192</v>
      </c>
      <c r="D110" s="227" t="s">
        <v>961</v>
      </c>
      <c r="E110" s="226">
        <v>43091.685902777775</v>
      </c>
      <c r="F110" s="226">
        <v>43091.696018518516</v>
      </c>
      <c r="G110" s="225">
        <v>47</v>
      </c>
      <c r="H110" s="227" t="s">
        <v>578</v>
      </c>
      <c r="I110" s="226">
        <v>43091.721585648149</v>
      </c>
      <c r="J110" s="225">
        <v>0</v>
      </c>
      <c r="K110" s="237" t="str">
        <f t="shared" si="28"/>
        <v>4007/4008</v>
      </c>
      <c r="L110" s="245" t="str">
        <f>VLOOKUP(A110,'Trips&amp;Operators'!$C$1:$G$99911,5,FALSE)</f>
        <v>LEVIN SCOTT</v>
      </c>
      <c r="M110" s="224">
        <f t="shared" si="29"/>
        <v>2.5567129632690921E-2</v>
      </c>
      <c r="N110" s="225">
        <f t="shared" si="47"/>
        <v>36.816666671074927</v>
      </c>
      <c r="O110" s="225"/>
      <c r="P110" s="225"/>
      <c r="Q110" s="228"/>
      <c r="R110" s="242"/>
      <c r="S110" s="249">
        <f t="shared" si="31"/>
        <v>1</v>
      </c>
      <c r="T110" s="242" t="str">
        <f t="shared" si="32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3"/>
        <v>https://d0f6bd738d7f1b3e5a7ca70fe4ff75f0.us-east-1.aws.found.io/app/kibana#/discover/Steve-Slow-Train-Analysis-(2080s-and-2083s)?_g=(refreshInterval:(display:Off,pause:!f,section:0,value:0),time:(from:'2017-12-22T15:27:42-0700',mode:absolute,to:'2017-12-22T18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247" t="str">
        <f>IF(AA110&lt;VLOOKUP(AG110,Variables!$AC$3:$AD$8,2,FALSE),"Y","N")</f>
        <v>N</v>
      </c>
      <c r="X110" s="247">
        <f t="shared" si="48"/>
        <v>1</v>
      </c>
      <c r="Y110" s="247">
        <f t="shared" si="49"/>
        <v>23.298200000000001</v>
      </c>
      <c r="Z110" s="247">
        <f t="shared" si="50"/>
        <v>1.7000000000000001E-2</v>
      </c>
      <c r="AA110" s="247">
        <f t="shared" si="37"/>
        <v>23.281200000000002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8"/>
        <v>198</v>
      </c>
      <c r="AE110" s="235" t="str">
        <f t="shared" si="39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110" s="234" t="str">
        <f t="shared" si="40"/>
        <v>"C:\Program Files (x86)\AstroGrep\AstroGrep.exe" /e /r /s /spath="%USERPROFILE%\AppData\Local\Temp\OnboardLogs" /stypes="app*4007*20171223*" /stext=" 00:.+((SYSTEM_STATE.+slice.+state.+changed )|(ment ac)|(multiple cpu faults)|(system.+state.+changed )|(\[timeout)|(PRM\|1\|D)|(kpr)|(kdp)|(train st.+moving)|(\|lc)|(penalty))"</v>
      </c>
      <c r="AG110" s="244" t="str">
        <f t="shared" si="41"/>
        <v>EC</v>
      </c>
      <c r="AH110" s="236" t="str">
        <f t="shared" si="42"/>
        <v>"%USERPROFILE%\Documents\GitHub\eaglep3\Utilities\RefineRTDCRunTimes.py" --tripid 198-22 --locoid 4007 --swversion DE.1.0.9.0 --startMP 204:232982 --initTime 2017-12-22T16:27:42 --startdatetime 2017-12-22T16:42:16 --delay 47 --endMP 204:170 --enddatetime 2017-12-22T17:19:05 --enforcementcount 0 &gt;&gt;%USERPROFILE%\Documents\GitHub\eaglep3-reporting\EC\2017-12-22-refined-times.txt</v>
      </c>
      <c r="AI11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{"issue":{"subject":"","project_id":79,"tracker_id":40,"status_id":1,"priority_id":2,"assigned_to_id":338,"start_date":"2017-12-22","description":"","custom_fields":[{"id":1,"name":"Subdivision","value":"EC"},{"id":4,"name":"Milepost","value":"0.017"},{"id":17,"name":"Train ID","value":"198-22"},{"id":16,"name":"Locomotive ID","value":"4007"},{"id":130,"name":"Impact","value":""},{"id":150,"name":"Time of Event (Mountain Time)","value":"17:19:05"},{"id":151,"name":"Denver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4"/>
        <v>start /low /b %USERPROFILE%\Documents\GitHub\eaglep3\Utilities\DownloadLogsFromS3.py --loco 4007 --day 2017-12-22</v>
      </c>
      <c r="AN110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6"/>
        <v>https://d0f6bd738d7f1b3e5a7ca70fe4ff75f0.us-east-1.aws.found.io/app/kibana#/discover/Steve-Slow-Train-Analysis-(2080s-and-2083s)?_g=(refreshInterval:(display:Off,pause:!f,section:0,value:0),time:(from:'2017-12-22T15:27:42-0700',mode:absolute,to:'2017-12-22T18:19:05-0700'))&amp;_a=(columns:!('Message%20ID',Summary),filters:!(),index:'emp_*',interval:auto,query:(query_string:(analyze_wildcard:!t,query:'%22rtdc.l.rtdc.4007%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818</v>
      </c>
      <c r="B111" s="225">
        <v>4044</v>
      </c>
      <c r="C111" s="227" t="s">
        <v>192</v>
      </c>
      <c r="D111" s="227" t="s">
        <v>628</v>
      </c>
      <c r="E111" s="226">
        <v>43091.663888888892</v>
      </c>
      <c r="F111" s="226">
        <v>43091.66684027778</v>
      </c>
      <c r="G111" s="225">
        <v>60</v>
      </c>
      <c r="H111" s="227" t="s">
        <v>508</v>
      </c>
      <c r="I111" s="226">
        <v>43091.692407407405</v>
      </c>
      <c r="J111" s="225">
        <v>0</v>
      </c>
      <c r="K111" s="237" t="str">
        <f t="shared" si="28"/>
        <v>4043/4044</v>
      </c>
      <c r="L111" s="245" t="str">
        <f>VLOOKUP(A111,'Trips&amp;Operators'!$C$1:$G$99911,5,FALSE)</f>
        <v>BADERTSCHER DIANE</v>
      </c>
      <c r="M111" s="224">
        <f t="shared" si="29"/>
        <v>2.5567129625414964E-2</v>
      </c>
      <c r="N111" s="225">
        <f t="shared" si="47"/>
        <v>36.816666660597548</v>
      </c>
      <c r="O111" s="225"/>
      <c r="P111" s="225"/>
      <c r="Q111" s="228"/>
      <c r="R111" s="242"/>
      <c r="S111" s="249">
        <f t="shared" si="31"/>
        <v>1</v>
      </c>
      <c r="T111" s="242" t="str">
        <f t="shared" si="32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3"/>
        <v>https://d0f6bd738d7f1b3e5a7ca70fe4ff75f0.us-east-1.aws.found.io/app/kibana#/discover/Steve-Slow-Train-Analysis-(2080s-and-2083s)?_g=(refreshInterval:(display:Off,pause:!f,section:0,value:0),time:(from:'2017-12-22T14:56:00-0700',mode:absolute,to:'2017-12-22T17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247" t="str">
        <f>IF(AA111&lt;VLOOKUP(AG111,Variables!$AC$3:$AD$8,2,FALSE),"Y","N")</f>
        <v>N</v>
      </c>
      <c r="X111" s="247">
        <f t="shared" si="48"/>
        <v>1</v>
      </c>
      <c r="Y111" s="247">
        <f t="shared" si="49"/>
        <v>5.3999999999999999E-2</v>
      </c>
      <c r="Z111" s="247">
        <f t="shared" si="50"/>
        <v>23.327000000000002</v>
      </c>
      <c r="AA111" s="247">
        <f t="shared" si="37"/>
        <v>23.273000000000003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8"/>
        <v>199</v>
      </c>
      <c r="AE111" s="235" t="str">
        <f t="shared" si="39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11" s="234" t="str">
        <f t="shared" si="40"/>
        <v>"C:\Program Files (x86)\AstroGrep\AstroGrep.exe" /e /r /s /spath="%USERPROFILE%\AppData\Local\Temp\OnboardLogs" /stypes="app*4044*20171222*" /stext=" 23:.+((SYSTEM_STATE.+slice.+state.+changed )|(ment ac)|(multiple cpu faults)|(system.+state.+changed )|(\[timeout)|(PRM\|1\|D)|(kpr)|(kdp)|(train st.+moving)|(\|lc)|(penalty))"</v>
      </c>
      <c r="AG111" s="244" t="str">
        <f t="shared" si="41"/>
        <v>EC</v>
      </c>
      <c r="AH111" s="236" t="str">
        <f t="shared" si="42"/>
        <v>"%USERPROFILE%\Documents\GitHub\eaglep3\Utilities\RefineRTDCRunTimes.py" --tripid 199-22 --locoid 4044 --swversion DE.1.0.9.0 --startMP 204:540 --initTime 2017-12-22T15:56:00 --startdatetime 2017-12-22T16:00:15 --delay 60 --endMP 204:233270 --enddatetime 2017-12-22T16:37:04 --enforcementcount 0 &gt;&gt;%USERPROFILE%\Documents\GitHub\eaglep3-reporting\EC\2017-12-22-refined-times.txt</v>
      </c>
      <c r="AI11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{"issue":{"subject":"","project_id":79,"tracker_id":40,"status_id":1,"priority_id":2,"assigned_to_id":338,"start_date":"2017-12-22","description":"","custom_fields":[{"id":1,"name":"Subdivision","value":"EC"},{"id":4,"name":"Milepost","value":"23.327"},{"id":17,"name":"Train ID","value":"199-22"},{"id":16,"name":"Locomotive ID","value":"4044"},{"id":130,"name":"Impact","value":""},{"id":150,"name":"Time of Event (Mountain Time)","value":"16:37:04"},{"id":151,"name":"Denver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4"/>
        <v>start /low /b %USERPROFILE%\Documents\GitHub\eaglep3\Utilities\DownloadLogsFromS3.py --loco 4044 --day 2017-12-22</v>
      </c>
      <c r="AN111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6"/>
        <v>https://d0f6bd738d7f1b3e5a7ca70fe4ff75f0.us-east-1.aws.found.io/app/kibana#/discover/Steve-Slow-Train-Analysis-(2080s-and-2083s)?_g=(refreshInterval:(display:Off,pause:!f,section:0,value:0),time:(from:'2017-12-22T14:56:00-0700',mode:absolute,to:'2017-12-22T17:37:04-0700'))&amp;_a=(columns:!('Message%20ID',Summary),filters:!(),index:'emp_*',interval:auto,query:(query_string:(analyze_wildcard:!t,query:'%22rtdc.l.rtdc.4044%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829</v>
      </c>
      <c r="B112" s="225">
        <v>4043</v>
      </c>
      <c r="C112" s="227" t="s">
        <v>192</v>
      </c>
      <c r="D112" s="227" t="s">
        <v>635</v>
      </c>
      <c r="E112" s="226">
        <v>43091.69939814815</v>
      </c>
      <c r="F112" s="226">
        <v>43091.706446759257</v>
      </c>
      <c r="G112" s="225">
        <v>65</v>
      </c>
      <c r="H112" s="227" t="s">
        <v>917</v>
      </c>
      <c r="I112" s="226">
        <v>43091.734097222223</v>
      </c>
      <c r="J112" s="225">
        <v>0</v>
      </c>
      <c r="K112" s="237" t="str">
        <f t="shared" si="28"/>
        <v>4043/4044</v>
      </c>
      <c r="L112" s="245" t="str">
        <f>VLOOKUP(A112,'Trips&amp;Operators'!$C$1:$G$99911,5,FALSE)</f>
        <v>BADERTSCHER DIANE</v>
      </c>
      <c r="M112" s="224">
        <f t="shared" si="29"/>
        <v>2.7650462965539191E-2</v>
      </c>
      <c r="N112" s="225">
        <f t="shared" si="47"/>
        <v>39.816666670376435</v>
      </c>
      <c r="O112" s="225"/>
      <c r="P112" s="225"/>
      <c r="Q112" s="228"/>
      <c r="R112" s="242"/>
      <c r="S112" s="249">
        <f t="shared" si="31"/>
        <v>1</v>
      </c>
      <c r="T112" s="242" t="str">
        <f t="shared" si="32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3"/>
        <v>https://d0f6bd738d7f1b3e5a7ca70fe4ff75f0.us-east-1.aws.found.io/app/kibana#/discover/Steve-Slow-Train-Analysis-(2080s-and-2083s)?_g=(refreshInterval:(display:Off,pause:!f,section:0,value:0),time:(from:'2017-12-22T15:47:08-0700',mode:absolute,to:'2017-12-22T18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247" t="str">
        <f>IF(AA112&lt;VLOOKUP(AG112,Variables!$AC$3:$AD$8,2,FALSE),"Y","N")</f>
        <v>N</v>
      </c>
      <c r="X112" s="247">
        <f t="shared" si="48"/>
        <v>1</v>
      </c>
      <c r="Y112" s="247">
        <f t="shared" si="49"/>
        <v>23.294699999999999</v>
      </c>
      <c r="Z112" s="247">
        <f t="shared" si="50"/>
        <v>2.2700000000000001E-2</v>
      </c>
      <c r="AA112" s="247">
        <f t="shared" si="37"/>
        <v>23.271999999999998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8"/>
        <v>200</v>
      </c>
      <c r="AE112" s="235" t="str">
        <f t="shared" si="39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112" s="234" t="str">
        <f t="shared" si="40"/>
        <v>"C:\Program Files (x86)\AstroGrep\AstroGrep.exe" /e /r /s /spath="%USERPROFILE%\AppData\Local\Temp\OnboardLogs" /stypes="app*4043*20171223*" /stext=" 00:.+((SYSTEM_STATE.+slice.+state.+changed )|(ment ac)|(multiple cpu faults)|(system.+state.+changed )|(\[timeout)|(PRM\|1\|D)|(kpr)|(kdp)|(train st.+moving)|(\|lc)|(penalty))"</v>
      </c>
      <c r="AG112" s="244" t="str">
        <f t="shared" si="41"/>
        <v>EC</v>
      </c>
      <c r="AH112" s="236" t="str">
        <f t="shared" si="42"/>
        <v>"%USERPROFILE%\Documents\GitHub\eaglep3\Utilities\RefineRTDCRunTimes.py" --tripid 200-22 --locoid 4043 --swversion DE.1.0.9.0 --startMP 204:232947 --initTime 2017-12-22T16:47:08 --startdatetime 2017-12-22T16:57:17 --delay 65 --endMP 204:227 --enddatetime 2017-12-22T17:37:06 --enforcementcount 0 &gt;&gt;%USERPROFILE%\Documents\GitHub\eaglep3-reporting\EC\2017-12-22-refined-times.txt</v>
      </c>
      <c r="AI112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{"issue":{"subject":"","project_id":79,"tracker_id":40,"status_id":1,"priority_id":2,"assigned_to_id":338,"start_date":"2017-12-22","description":"","custom_fields":[{"id":1,"name":"Subdivision","value":"EC"},{"id":4,"name":"Milepost","value":"0.0227"},{"id":17,"name":"Train ID","value":"200-22"},{"id":16,"name":"Locomotive ID","value":"4043"},{"id":130,"name":"Impact","value":""},{"id":150,"name":"Time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4"/>
        <v>start /low /b %USERPROFILE%\Documents\GitHub\eaglep3\Utilities\DownloadLogsFromS3.py --loco 4043 --day 2017-12-22</v>
      </c>
      <c r="AN112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6"/>
        <v>https://d0f6bd738d7f1b3e5a7ca70fe4ff75f0.us-east-1.aws.found.io/app/kibana#/discover/Steve-Slow-Train-Analysis-(2080s-and-2083s)?_g=(refreshInterval:(display:Off,pause:!f,section:0,value:0),time:(from:'2017-12-22T15:47:08-0700',mode:absolute,to:'2017-12-22T18:37:06-0700'))&amp;_a=(columns:!('Message%20ID',Summary),filters:!(),index:'emp_*',interval:auto,query:(query_string:(analyze_wildcard:!t,query:'%22rtdc.l.rtdc.4043%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3">
      <c r="A113" s="229" t="s">
        <v>822</v>
      </c>
      <c r="B113" s="225">
        <v>4040</v>
      </c>
      <c r="C113" s="227" t="s">
        <v>192</v>
      </c>
      <c r="D113" s="227" t="s">
        <v>953</v>
      </c>
      <c r="E113" s="226">
        <v>43091.673622685186</v>
      </c>
      <c r="F113" s="226">
        <v>43091.677268518521</v>
      </c>
      <c r="G113" s="225">
        <v>54</v>
      </c>
      <c r="H113" s="227" t="s">
        <v>601</v>
      </c>
      <c r="I113" s="226">
        <v>43091.702222222222</v>
      </c>
      <c r="J113" s="225">
        <v>0</v>
      </c>
      <c r="K113" s="237" t="str">
        <f t="shared" si="28"/>
        <v>4039/4040</v>
      </c>
      <c r="L113" s="245" t="str">
        <f>VLOOKUP(A113,'Trips&amp;Operators'!$C$1:$G$99911,5,FALSE)</f>
        <v>HOLCOMB KAMDEN</v>
      </c>
      <c r="M113" s="224">
        <f t="shared" si="29"/>
        <v>2.495370370161254E-2</v>
      </c>
      <c r="N113" s="225">
        <f t="shared" si="47"/>
        <v>35.933333330322057</v>
      </c>
      <c r="O113" s="225"/>
      <c r="P113" s="225"/>
      <c r="Q113" s="228"/>
      <c r="R113" s="242"/>
      <c r="S113" s="249">
        <f t="shared" si="31"/>
        <v>1</v>
      </c>
      <c r="T113" s="242" t="str">
        <f t="shared" si="32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3"/>
        <v>https://d0f6bd738d7f1b3e5a7ca70fe4ff75f0.us-east-1.aws.found.io/app/kibana#/discover/Steve-Slow-Train-Analysis-(2080s-and-2083s)?_g=(refreshInterval:(display:Off,pause:!f,section:0,value:0),time:(from:'2017-12-22T15:10:01-0700',mode:absolute,to:'2017-12-22T17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247" t="str">
        <f>IF(AA113&lt;VLOOKUP(AG113,Variables!$AC$3:$AD$8,2,FALSE),"Y","N")</f>
        <v>N</v>
      </c>
      <c r="X113" s="247">
        <f t="shared" si="48"/>
        <v>1</v>
      </c>
      <c r="Y113" s="247">
        <f t="shared" si="49"/>
        <v>4.53E-2</v>
      </c>
      <c r="Z113" s="247">
        <f t="shared" si="50"/>
        <v>23.326599999999999</v>
      </c>
      <c r="AA113" s="247">
        <f t="shared" si="37"/>
        <v>23.281299999999998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8"/>
        <v>201</v>
      </c>
      <c r="AE113" s="235" t="str">
        <f t="shared" si="39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113" s="234" t="str">
        <f t="shared" si="40"/>
        <v>"C:\Program Files (x86)\AstroGrep\AstroGrep.exe" /e /r /s /spath="%USERPROFILE%\AppData\Local\Temp\OnboardLogs" /stypes="app*4040*20171222*" /stext=" 23:.+((SYSTEM_STATE.+slice.+state.+changed )|(ment ac)|(multiple cpu faults)|(system.+state.+changed )|(\[timeout)|(PRM\|1\|D)|(kpr)|(kdp)|(train st.+moving)|(\|lc)|(penalty))"</v>
      </c>
      <c r="AG113" s="244" t="str">
        <f t="shared" si="41"/>
        <v>EC</v>
      </c>
      <c r="AH113" s="236" t="str">
        <f t="shared" si="42"/>
        <v>"%USERPROFILE%\Documents\GitHub\eaglep3\Utilities\RefineRTDCRunTimes.py" --tripid 201-22 --locoid 4040 --swversion DE.1.0.9.0 --startMP 204:453 --initTime 2017-12-22T16:10:01 --startdatetime 2017-12-22T16:15:16 --delay 54 --endMP 204:233266 --enddatetime 2017-12-22T16:51:12 --enforcementcount 0 &gt;&gt;%USERPROFILE%\Documents\GitHub\eaglep3-reporting\EC\2017-12-22-refined-times.txt</v>
      </c>
      <c r="AI11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{"issue":{"subject":"","project_id":79,"tracker_id":40,"status_id":1,"priority_id":2,"assigned_to_id":338,"start_date":"2017-12-22","description":"","custom_fields":[{"id":1,"name":"Subdivision","value":"EC"},{"id":4,"name":"Milepost","value":"23.3266"},{"id":17,"name":"Train ID","value":"201-22"},{"id":16,"name":"Locomotive ID","value":"4040"},{"id":130,"name":"Impact","value":""},{"id":150,"name":"Time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44"/>
        <v>start /low /b %USERPROFILE%\Documents\GitHub\eaglep3\Utilities\DownloadLogsFromS3.py --loco 4040 --day 2017-12-22</v>
      </c>
      <c r="AN113" s="241" t="str">
        <f t="shared" si="45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6"/>
        <v>https://d0f6bd738d7f1b3e5a7ca70fe4ff75f0.us-east-1.aws.found.io/app/kibana#/discover/Steve-Slow-Train-Analysis-(2080s-and-2083s)?_g=(refreshInterval:(display:Off,pause:!f,section:0,value:0),time:(from:'2017-12-22T15:10:01-0700',mode:absolute,to:'2017-12-22T17:51:12-0700'))&amp;_a=(columns:!('Message%20ID',Summary),filters:!(),index:'emp_*',interval:auto,query:(query_string:(analyze_wildcard:!t,query:'%22rtdc.l.rtdc.4040%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3">
      <c r="A114" s="229" t="s">
        <v>834</v>
      </c>
      <c r="B114" s="225">
        <v>4039</v>
      </c>
      <c r="C114" s="227" t="s">
        <v>192</v>
      </c>
      <c r="D114" s="227" t="s">
        <v>633</v>
      </c>
      <c r="E114" s="226">
        <v>43091.715497685182</v>
      </c>
      <c r="F114" s="226">
        <v>43091.717083333337</v>
      </c>
      <c r="G114" s="225">
        <v>60</v>
      </c>
      <c r="H114" s="227" t="s">
        <v>563</v>
      </c>
      <c r="I114" s="226">
        <v>43091.7424537037</v>
      </c>
      <c r="J114" s="225">
        <v>0</v>
      </c>
      <c r="K114" s="237" t="str">
        <f t="shared" si="28"/>
        <v>4039/4040</v>
      </c>
      <c r="L114" s="245" t="str">
        <f>VLOOKUP(A114,'Trips&amp;Operators'!$C$1:$G$99911,5,FALSE)</f>
        <v>HOLCOMB KAMDEN</v>
      </c>
      <c r="M114" s="224">
        <f t="shared" si="29"/>
        <v>2.5370370363816619E-2</v>
      </c>
      <c r="N114" s="225">
        <f t="shared" si="47"/>
        <v>36.533333323895931</v>
      </c>
      <c r="O114" s="225"/>
      <c r="P114" s="225"/>
      <c r="Q114" s="228"/>
      <c r="R114" s="242"/>
      <c r="S114" s="249">
        <f t="shared" si="31"/>
        <v>1</v>
      </c>
      <c r="T114" s="242" t="str">
        <f t="shared" si="32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3"/>
        <v>https://d0f6bd738d7f1b3e5a7ca70fe4ff75f0.us-east-1.aws.found.io/app/kibana#/discover/Steve-Slow-Train-Analysis-(2080s-and-2083s)?_g=(refreshInterval:(display:Off,pause:!f,section:0,value:0),time:(from:'2017-12-22T16:10:19-0700',mode:absolute,to:'2017-12-22T18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247" t="str">
        <f>IF(AA114&lt;VLOOKUP(AG114,Variables!$AC$3:$AD$8,2,FALSE),"Y","N")</f>
        <v>N</v>
      </c>
      <c r="X114" s="247">
        <f t="shared" si="48"/>
        <v>1</v>
      </c>
      <c r="Y114" s="247">
        <f t="shared" si="49"/>
        <v>23.294799999999999</v>
      </c>
      <c r="Z114" s="247">
        <f t="shared" si="50"/>
        <v>1.9199999999999998E-2</v>
      </c>
      <c r="AA114" s="247">
        <f t="shared" si="37"/>
        <v>23.275599999999997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8"/>
        <v>202</v>
      </c>
      <c r="AE114" s="235" t="str">
        <f t="shared" si="39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114" s="234" t="str">
        <f t="shared" si="40"/>
        <v>"C:\Program Files (x86)\AstroGrep\AstroGrep.exe" /e /r /s /spath="%USERPROFILE%\AppData\Local\Temp\OnboardLogs" /stypes="app*4039*20171223*" /stext=" 00:.+((SYSTEM_STATE.+slice.+state.+changed )|(ment ac)|(multiple cpu faults)|(system.+state.+changed )|(\[timeout)|(PRM\|1\|D)|(kpr)|(kdp)|(train st.+moving)|(\|lc)|(penalty))"</v>
      </c>
      <c r="AG114" s="244" t="str">
        <f t="shared" si="41"/>
        <v>EC</v>
      </c>
      <c r="AH114" s="236" t="str">
        <f t="shared" si="42"/>
        <v>"%USERPROFILE%\Documents\GitHub\eaglep3\Utilities\RefineRTDCRunTimes.py" --tripid 202-22 --locoid 4039 --swversion DE.1.0.9.0 --startMP 204:232948 --initTime 2017-12-22T17:10:19 --startdatetime 2017-12-22T17:12:36 --delay 60 --endMP 204:192 --enddatetime 2017-12-22T17:49:08 --enforcementcount 0 &gt;&gt;%USERPROFILE%\Documents\GitHub\eaglep3-reporting\EC\2017-12-22-refined-times.txt</v>
      </c>
      <c r="AI11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{"issue":{"subject":"","project_id":79,"tracker_id":40,"status_id":1,"priority_id":2,"assigned_to_id":338,"start_date":"2017-12-22","description":"","custom_fields":[{"id":1,"name":"Subdivision","value":"EC"},{"id":4,"name":"Milepost","value":"0.0192"},{"id":17,"name":"Train ID","value":"202-22"},{"id":16,"name":"Locomotive ID","value":"4039"},{"id":130,"name":"Impact","value":""},{"id":150,"name":"Time of Event (Mountain Time)","value":"17:49:08"},{"id":151,"name":"Denver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44"/>
        <v>start /low /b %USERPROFILE%\Documents\GitHub\eaglep3\Utilities\DownloadLogsFromS3.py --loco 4039 --day 2017-12-22</v>
      </c>
      <c r="AN114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6"/>
        <v>https://d0f6bd738d7f1b3e5a7ca70fe4ff75f0.us-east-1.aws.found.io/app/kibana#/discover/Steve-Slow-Train-Analysis-(2080s-and-2083s)?_g=(refreshInterval:(display:Off,pause:!f,section:0,value:0),time:(from:'2017-12-22T16:10:19-0700',mode:absolute,to:'2017-12-22T18:49:08-0700'))&amp;_a=(columns:!('Message%20ID',Summary),filters:!(),index:'emp_*',interval:auto,query:(query_string:(analyze_wildcard:!t,query:'%22rtdc.l.rtdc.4039%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824</v>
      </c>
      <c r="B115" s="225">
        <v>4020</v>
      </c>
      <c r="C115" s="227" t="s">
        <v>192</v>
      </c>
      <c r="D115" s="227" t="s">
        <v>593</v>
      </c>
      <c r="E115" s="226">
        <v>43091.68341435185</v>
      </c>
      <c r="F115" s="226">
        <v>43091.687673611108</v>
      </c>
      <c r="G115" s="225">
        <v>86</v>
      </c>
      <c r="H115" s="227" t="s">
        <v>634</v>
      </c>
      <c r="I115" s="226">
        <v>43091.712893518517</v>
      </c>
      <c r="J115" s="225">
        <v>0</v>
      </c>
      <c r="K115" s="237" t="str">
        <f t="shared" si="28"/>
        <v>4019/4020</v>
      </c>
      <c r="L115" s="245" t="str">
        <f>VLOOKUP(A115,'Trips&amp;Operators'!$C$1:$G$99911,5,FALSE)</f>
        <v>SAFIEF AEIMEN</v>
      </c>
      <c r="M115" s="224">
        <f t="shared" si="29"/>
        <v>2.5219907409336884E-2</v>
      </c>
      <c r="N115" s="225">
        <f t="shared" si="47"/>
        <v>36.316666669445112</v>
      </c>
      <c r="O115" s="225"/>
      <c r="P115" s="225"/>
      <c r="Q115" s="228"/>
      <c r="R115" s="242"/>
      <c r="S115" s="249">
        <f t="shared" si="31"/>
        <v>1</v>
      </c>
      <c r="T115" s="242" t="str">
        <f t="shared" si="32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3"/>
        <v>https://d0f6bd738d7f1b3e5a7ca70fe4ff75f0.us-east-1.aws.found.io/app/kibana#/discover/Steve-Slow-Train-Analysis-(2080s-and-2083s)?_g=(refreshInterval:(display:Off,pause:!f,section:0,value:0),time:(from:'2017-12-22T15:24:07-0700',mode:absolute,to:'2017-12-22T18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247" t="str">
        <f>IF(AA115&lt;VLOOKUP(AG115,Variables!$AC$3:$AD$8,2,FALSE),"Y","N")</f>
        <v>N</v>
      </c>
      <c r="X115" s="247">
        <f t="shared" si="48"/>
        <v>1</v>
      </c>
      <c r="Y115" s="247">
        <f t="shared" si="49"/>
        <v>4.9299999999999997E-2</v>
      </c>
      <c r="Z115" s="247">
        <f t="shared" si="50"/>
        <v>23.3264</v>
      </c>
      <c r="AA115" s="247">
        <f t="shared" si="37"/>
        <v>23.277100000000001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8"/>
        <v>203</v>
      </c>
      <c r="AE115" s="235" t="str">
        <f t="shared" si="39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15" s="234" t="str">
        <f t="shared" si="40"/>
        <v>"C:\Program Files (x86)\AstroGrep\AstroGrep.exe" /e /r /s /spath="%USERPROFILE%\AppData\Local\Temp\OnboardLogs" /stypes="app*4020*20171223*" /stext=" 00:.+((SYSTEM_STATE.+slice.+state.+changed )|(ment ac)|(multiple cpu faults)|(system.+state.+changed )|(\[timeout)|(PRM\|1\|D)|(kpr)|(kdp)|(train st.+moving)|(\|lc)|(penalty))"</v>
      </c>
      <c r="AG115" s="244" t="str">
        <f t="shared" si="41"/>
        <v>EC</v>
      </c>
      <c r="AH115" s="236" t="str">
        <f t="shared" si="42"/>
        <v>"%USERPROFILE%\Documents\GitHub\eaglep3\Utilities\RefineRTDCRunTimes.py" --tripid 203-22 --locoid 4020 --swversion DE.1.0.9.0 --startMP 204:493 --initTime 2017-12-22T16:24:07 --startdatetime 2017-12-22T16:30:15 --delay 86 --endMP 204:233264 --enddatetime 2017-12-22T17:06:34 --enforcementcount 0 &gt;&gt;%USERPROFILE%\Documents\GitHub\eaglep3-reporting\EC\2017-12-22-refined-times.txt</v>
      </c>
      <c r="AI11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{"issue":{"subject":"","project_id":79,"tracker_id":40,"status_id":1,"priority_id":2,"assigned_to_id":338,"start_date":"2017-12-22","description":"","custom_fields":[{"id":1,"name":"Subdivision","value":"EC"},{"id":4,"name":"Milepost","value":"23.3264"},{"id":17,"name":"Train ID","value":"203-22"},{"id":16,"name":"Locomotive ID","value":"4020"},{"id":130,"name":"Impact","value":""},{"id":150,"name":"Time of Event (Mountain Time)","value":"17:06:34"},{"id":151,"name":"Denver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4"/>
        <v>start /low /b %USERPROFILE%\Documents\GitHub\eaglep3\Utilities\DownloadLogsFromS3.py --loco 4020 --day 2017-12-22</v>
      </c>
      <c r="AN115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6"/>
        <v>https://d0f6bd738d7f1b3e5a7ca70fe4ff75f0.us-east-1.aws.found.io/app/kibana#/discover/Steve-Slow-Train-Analysis-(2080s-and-2083s)?_g=(refreshInterval:(display:Off,pause:!f,section:0,value:0),time:(from:'2017-12-22T15:24:07-0700',mode:absolute,to:'2017-12-22T18:06:34-0700'))&amp;_a=(columns:!('Message%20ID',Summary),filters:!(),index:'emp_*',interval:auto,query:(query_string:(analyze_wildcard:!t,query:'%22rtdc.l.rtdc.4020%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835</v>
      </c>
      <c r="B116" s="225">
        <v>4019</v>
      </c>
      <c r="C116" s="227" t="s">
        <v>192</v>
      </c>
      <c r="D116" s="227" t="s">
        <v>962</v>
      </c>
      <c r="E116" s="226">
        <v>43091.719652777778</v>
      </c>
      <c r="F116" s="226">
        <v>43091.727789351855</v>
      </c>
      <c r="G116" s="225">
        <v>72</v>
      </c>
      <c r="H116" s="227" t="s">
        <v>609</v>
      </c>
      <c r="I116" s="226">
        <v>43091.753761574073</v>
      </c>
      <c r="J116" s="225">
        <v>0</v>
      </c>
      <c r="K116" s="237" t="str">
        <f t="shared" si="28"/>
        <v>4019/4020</v>
      </c>
      <c r="L116" s="245" t="str">
        <f>VLOOKUP(A116,'Trips&amp;Operators'!$C$1:$G$99911,5,FALSE)</f>
        <v>SAFIEF AEIMEN</v>
      </c>
      <c r="M116" s="224">
        <f t="shared" si="29"/>
        <v>2.5972222218115348E-2</v>
      </c>
      <c r="N116" s="225">
        <f t="shared" si="47"/>
        <v>37.399999994086102</v>
      </c>
      <c r="O116" s="225"/>
      <c r="P116" s="225"/>
      <c r="Q116" s="228"/>
      <c r="R116" s="242"/>
      <c r="S116" s="249">
        <f t="shared" si="31"/>
        <v>1</v>
      </c>
      <c r="T116" s="242" t="str">
        <f t="shared" si="32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3"/>
        <v>https://d0f6bd738d7f1b3e5a7ca70fe4ff75f0.us-east-1.aws.found.io/app/kibana#/discover/Steve-Slow-Train-Analysis-(2080s-and-2083s)?_g=(refreshInterval:(display:Off,pause:!f,section:0,value:0),time:(from:'2017-12-22T16:16:18-0700',mode:absolute,to:'2017-12-22T19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247" t="str">
        <f>IF(AA116&lt;VLOOKUP(AG116,Variables!$AC$3:$AD$8,2,FALSE),"Y","N")</f>
        <v>N</v>
      </c>
      <c r="X116" s="247">
        <f t="shared" si="48"/>
        <v>1</v>
      </c>
      <c r="Y116" s="247">
        <f t="shared" si="49"/>
        <v>23.294</v>
      </c>
      <c r="Z116" s="247">
        <f t="shared" si="50"/>
        <v>0.02</v>
      </c>
      <c r="AA116" s="247">
        <f t="shared" si="37"/>
        <v>23.274000000000001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8"/>
        <v>204</v>
      </c>
      <c r="AE116" s="235" t="str">
        <f t="shared" si="39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16" s="234" t="str">
        <f t="shared" si="40"/>
        <v>"C:\Program Files (x86)\AstroGrep\AstroGrep.exe" /e /r /s /spath="%USERPROFILE%\AppData\Local\Temp\OnboardLogs" /stypes="app*4019*20171223*" /stext=" 01:.+((SYSTEM_STATE.+slice.+state.+changed )|(ment ac)|(multiple cpu faults)|(system.+state.+changed )|(\[timeout)|(PRM\|1\|D)|(kpr)|(kdp)|(train st.+moving)|(\|lc)|(penalty))"</v>
      </c>
      <c r="AG116" s="244" t="str">
        <f t="shared" si="41"/>
        <v>EC</v>
      </c>
      <c r="AH116" s="236" t="str">
        <f t="shared" si="42"/>
        <v>"%USERPROFILE%\Documents\GitHub\eaglep3\Utilities\RefineRTDCRunTimes.py" --tripid 204-22 --locoid 4019 --swversion DE.1.0.9.0 --startMP 204:232940 --initTime 2017-12-22T17:16:18 --startdatetime 2017-12-22T17:28:01 --delay 72 --endMP 204:200 --enddatetime 2017-12-22T18:05:25 --enforcementcount 0 &gt;&gt;%USERPROFILE%\Documents\GitHub\eaglep3-reporting\EC\2017-12-22-refined-times.txt</v>
      </c>
      <c r="AI11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{"issue":{"subject":"","project_id":79,"tracker_id":40,"status_id":1,"priority_id":2,"assigned_to_id":338,"start_date":"2017-12-22","description":"","custom_fields":[{"id":1,"name":"Subdivision","value":"EC"},{"id":4,"name":"Milepost","value":"0.02"},{"id":17,"name":"Train ID","value":"204-22"},{"id":16,"name":"Locomotive ID","value":"4019"},{"id":130,"name":"Impact","value":""},{"id":150,"name":"Time of Event (Mountain Time)","value":"18:05:25"},{"id":151,"name":"Denver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4"/>
        <v>start /low /b %USERPROFILE%\Documents\GitHub\eaglep3\Utilities\DownloadLogsFromS3.py --loco 4019 --day 2017-12-22</v>
      </c>
      <c r="AN116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6"/>
        <v>https://d0f6bd738d7f1b3e5a7ca70fe4ff75f0.us-east-1.aws.found.io/app/kibana#/discover/Steve-Slow-Train-Analysis-(2080s-and-2083s)?_g=(refreshInterval:(display:Off,pause:!f,section:0,value:0),time:(from:'2017-12-22T16:16:18-0700',mode:absolute,to:'2017-12-22T19:05:25-0700'))&amp;_a=(columns:!('Message%20ID',Summary),filters:!(),index:'emp_*',interval:auto,query:(query_string:(analyze_wildcard:!t,query:'%22rtdc.l.rtdc.4019%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828</v>
      </c>
      <c r="B117" s="225">
        <v>4006</v>
      </c>
      <c r="C117" s="227" t="s">
        <v>192</v>
      </c>
      <c r="D117" s="227" t="s">
        <v>910</v>
      </c>
      <c r="E117" s="226">
        <v>43091.695486111108</v>
      </c>
      <c r="F117" s="226">
        <v>43091.698217592595</v>
      </c>
      <c r="G117" s="225">
        <v>55</v>
      </c>
      <c r="H117" s="227" t="s">
        <v>551</v>
      </c>
      <c r="I117" s="226">
        <v>43091.723668981482</v>
      </c>
      <c r="J117" s="225">
        <v>0</v>
      </c>
      <c r="K117" s="237" t="str">
        <f t="shared" si="28"/>
        <v>4005/4006</v>
      </c>
      <c r="L117" s="245" t="str">
        <f>VLOOKUP(A117,'Trips&amp;Operators'!$C$1:$G$99911,5,FALSE)</f>
        <v>MOSES BRADLEY</v>
      </c>
      <c r="M117" s="224">
        <f t="shared" si="29"/>
        <v>2.545138888672227E-2</v>
      </c>
      <c r="N117" s="225">
        <f t="shared" si="47"/>
        <v>36.649999996880069</v>
      </c>
      <c r="O117" s="225"/>
      <c r="P117" s="225"/>
      <c r="Q117" s="228"/>
      <c r="R117" s="242"/>
      <c r="S117" s="249">
        <f t="shared" si="31"/>
        <v>1</v>
      </c>
      <c r="T117" s="242" t="str">
        <f t="shared" si="32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3"/>
        <v>https://d0f6bd738d7f1b3e5a7ca70fe4ff75f0.us-east-1.aws.found.io/app/kibana#/discover/Steve-Slow-Train-Analysis-(2080s-and-2083s)?_g=(refreshInterval:(display:Off,pause:!f,section:0,value:0),time:(from:'2017-12-22T15:41:30-0700',mode:absolute,to:'2017-12-22T18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247" t="str">
        <f>IF(AA117&lt;VLOOKUP(AG117,Variables!$AC$3:$AD$8,2,FALSE),"Y","N")</f>
        <v>N</v>
      </c>
      <c r="X117" s="247">
        <f t="shared" si="48"/>
        <v>1</v>
      </c>
      <c r="Y117" s="247">
        <f t="shared" si="49"/>
        <v>4.9099999999999998E-2</v>
      </c>
      <c r="Z117" s="247">
        <f t="shared" si="50"/>
        <v>23.3261</v>
      </c>
      <c r="AA117" s="247">
        <f t="shared" si="37"/>
        <v>23.277000000000001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8"/>
        <v>205</v>
      </c>
      <c r="AE117" s="235" t="str">
        <f t="shared" si="39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17" s="234" t="str">
        <f t="shared" si="40"/>
        <v>"C:\Program Files (x86)\AstroGrep\AstroGrep.exe" /e /r /s /spath="%USERPROFILE%\AppData\Local\Temp\OnboardLogs" /stypes="app*4006*20171223*" /stext=" 00:.+((SYSTEM_STATE.+slice.+state.+changed )|(ment ac)|(multiple cpu faults)|(system.+state.+changed )|(\[timeout)|(PRM\|1\|D)|(kpr)|(kdp)|(train st.+moving)|(\|lc)|(penalty))"</v>
      </c>
      <c r="AG117" s="244" t="str">
        <f t="shared" si="41"/>
        <v>EC</v>
      </c>
      <c r="AH117" s="236" t="str">
        <f t="shared" si="42"/>
        <v>"%USERPROFILE%\Documents\GitHub\eaglep3\Utilities\RefineRTDCRunTimes.py" --tripid 205-22 --locoid 4006 --swversion DE.1.0.9.0 --startMP 204:491 --initTime 2017-12-22T16:41:30 --startdatetime 2017-12-22T16:45:26 --delay 55 --endMP 204:233261 --enddatetime 2017-12-22T17:22:05 --enforcementcount 0 &gt;&gt;%USERPROFILE%\Documents\GitHub\eaglep3-reporting\EC\2017-12-22-refined-times.txt</v>
      </c>
      <c r="AI11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{"issue":{"subject":"","project_id":79,"tracker_id":40,"status_id":1,"priority_id":2,"assigned_to_id":338,"start_date":"2017-12-22","description":"","custom_fields":[{"id":1,"name":"Subdivision","value":"EC"},{"id":4,"name":"Milepost","value":"23.3261"},{"id":17,"name":"Train ID","value":"205-22"},{"id":16,"name":"Locomotive ID","value":"4006"},{"id":130,"name":"Impact","value":""},{"id":150,"name":"Time of Event (Mountain Time)","value":"17:22:05"},{"id":151,"name":"Denver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4"/>
        <v>start /low /b %USERPROFILE%\Documents\GitHub\eaglep3\Utilities\DownloadLogsFromS3.py --loco 4006 --day 2017-12-22</v>
      </c>
      <c r="AN117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6"/>
        <v>https://d0f6bd738d7f1b3e5a7ca70fe4ff75f0.us-east-1.aws.found.io/app/kibana#/discover/Steve-Slow-Train-Analysis-(2080s-and-2083s)?_g=(refreshInterval:(display:Off,pause:!f,section:0,value:0),time:(from:'2017-12-22T15:41:30-0700',mode:absolute,to:'2017-12-22T18:22:05-0700'))&amp;_a=(columns:!('Message%20ID',Summary),filters:!(),index:'emp_*',interval:auto,query:(query_string:(analyze_wildcard:!t,query:'%22rtdc.l.rtdc.4006%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841</v>
      </c>
      <c r="B118" s="225">
        <v>4005</v>
      </c>
      <c r="C118" s="227" t="s">
        <v>192</v>
      </c>
      <c r="D118" s="227" t="s">
        <v>633</v>
      </c>
      <c r="E118" s="226">
        <v>43091.734120370369</v>
      </c>
      <c r="F118" s="226">
        <v>43091.737881944442</v>
      </c>
      <c r="G118" s="225">
        <v>71</v>
      </c>
      <c r="H118" s="227" t="s">
        <v>442</v>
      </c>
      <c r="I118" s="226">
        <v>43091.764884259261</v>
      </c>
      <c r="J118" s="225">
        <v>0</v>
      </c>
      <c r="K118" s="237" t="str">
        <f t="shared" si="28"/>
        <v>4005/4006</v>
      </c>
      <c r="L118" s="245" t="str">
        <f>VLOOKUP(A118,'Trips&amp;Operators'!$C$1:$G$99911,5,FALSE)</f>
        <v>MOSES BRADLEY</v>
      </c>
      <c r="M118" s="224">
        <f t="shared" si="29"/>
        <v>2.7002314818673767E-2</v>
      </c>
      <c r="N118" s="225">
        <f t="shared" si="47"/>
        <v>38.883333338890225</v>
      </c>
      <c r="O118" s="225"/>
      <c r="P118" s="225"/>
      <c r="Q118" s="228"/>
      <c r="R118" s="242"/>
      <c r="S118" s="249">
        <f t="shared" si="31"/>
        <v>1</v>
      </c>
      <c r="T118" s="242" t="str">
        <f t="shared" si="32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3"/>
        <v>https://d0f6bd738d7f1b3e5a7ca70fe4ff75f0.us-east-1.aws.found.io/app/kibana#/discover/Steve-Slow-Train-Analysis-(2080s-and-2083s)?_g=(refreshInterval:(display:Off,pause:!f,section:0,value:0),time:(from:'2017-12-22T16:37:08-0700',mode:absolute,to:'2017-12-22T19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247" t="str">
        <f>IF(AA118&lt;VLOOKUP(AG118,Variables!$AC$3:$AD$8,2,FALSE),"Y","N")</f>
        <v>N</v>
      </c>
      <c r="X118" s="247">
        <f t="shared" si="48"/>
        <v>1</v>
      </c>
      <c r="Y118" s="247">
        <f t="shared" si="49"/>
        <v>23.294799999999999</v>
      </c>
      <c r="Z118" s="247">
        <f t="shared" si="50"/>
        <v>2.07E-2</v>
      </c>
      <c r="AA118" s="247">
        <f t="shared" si="37"/>
        <v>23.274099999999997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8"/>
        <v>206</v>
      </c>
      <c r="AE118" s="235" t="str">
        <f t="shared" si="39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118" s="234" t="str">
        <f t="shared" si="40"/>
        <v>"C:\Program Files (x86)\AstroGrep\AstroGrep.exe" /e /r /s /spath="%USERPROFILE%\AppData\Local\Temp\OnboardLogs" /stypes="app*4005*20171223*" /stext=" 01:.+((SYSTEM_STATE.+slice.+state.+changed )|(ment ac)|(multiple cpu faults)|(system.+state.+changed )|(\[timeout)|(PRM\|1\|D)|(kpr)|(kdp)|(train st.+moving)|(\|lc)|(penalty))"</v>
      </c>
      <c r="AG118" s="244" t="str">
        <f t="shared" si="41"/>
        <v>EC</v>
      </c>
      <c r="AH118" s="236" t="str">
        <f t="shared" si="42"/>
        <v>"%USERPROFILE%\Documents\GitHub\eaglep3\Utilities\RefineRTDCRunTimes.py" --tripid 206-22 --locoid 4005 --swversion DE.1.0.9.0 --startMP 204:232948 --initTime 2017-12-22T17:37:08 --startdatetime 2017-12-22T17:42:33 --delay 71 --endMP 204:207 --enddatetime 2017-12-22T18:21:26 --enforcementcount 0 &gt;&gt;%USERPROFILE%\Documents\GitHub\eaglep3-reporting\EC\2017-12-22-refined-times.txt</v>
      </c>
      <c r="AI118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{"issue":{"subject":"","project_id":79,"tracker_id":40,"status_id":1,"priority_id":2,"assigned_to_id":338,"start_date":"2017-12-22","description":"","custom_fields":[{"id":1,"name":"Subdivision","value":"EC"},{"id":4,"name":"Milepost","value":"0.0207"},{"id":17,"name":"Train ID","value":"206-22"},{"id":16,"name":"Locomotive ID","value":"4005"},{"id":130,"name":"Impact","value":""},{"id":150,"name":"Time of Event (Mountain Time)","value":"18:21:26"},{"id":151,"name":"Denver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4"/>
        <v>start /low /b %USERPROFILE%\Documents\GitHub\eaglep3\Utilities\DownloadLogsFromS3.py --loco 4005 --day 2017-12-22</v>
      </c>
      <c r="AN118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6"/>
        <v>https://d0f6bd738d7f1b3e5a7ca70fe4ff75f0.us-east-1.aws.found.io/app/kibana#/discover/Steve-Slow-Train-Analysis-(2080s-and-2083s)?_g=(refreshInterval:(display:Off,pause:!f,section:0,value:0),time:(from:'2017-12-22T16:37:08-0700',mode:absolute,to:'2017-12-22T19:21:26-0700'))&amp;_a=(columns:!('Message%20ID',Summary),filters:!(),index:'emp_*',interval:auto,query:(query_string:(analyze_wildcard:!t,query:'%22rtdc.l.rtdc.4005%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830</v>
      </c>
      <c r="B119" s="225">
        <v>4062</v>
      </c>
      <c r="C119" s="227" t="s">
        <v>192</v>
      </c>
      <c r="D119" s="227" t="s">
        <v>651</v>
      </c>
      <c r="E119" s="226">
        <v>43091.703194444446</v>
      </c>
      <c r="F119" s="226">
        <v>43091.708553240744</v>
      </c>
      <c r="G119" s="225">
        <v>74</v>
      </c>
      <c r="H119" s="227" t="s">
        <v>963</v>
      </c>
      <c r="I119" s="226">
        <v>43091.734224537038</v>
      </c>
      <c r="J119" s="225">
        <v>0</v>
      </c>
      <c r="K119" s="237" t="str">
        <f t="shared" si="28"/>
        <v>4061/4062</v>
      </c>
      <c r="L119" s="245" t="str">
        <f>VLOOKUP(A119,'Trips&amp;Operators'!$C$1:$G$99911,5,FALSE)</f>
        <v>LEVERE CRAIG</v>
      </c>
      <c r="M119" s="224">
        <f t="shared" si="29"/>
        <v>2.5671296294603962E-2</v>
      </c>
      <c r="N119" s="225">
        <f t="shared" si="47"/>
        <v>36.966666664229706</v>
      </c>
      <c r="O119" s="225"/>
      <c r="P119" s="225"/>
      <c r="Q119" s="228"/>
      <c r="R119" s="242"/>
      <c r="S119" s="249">
        <f t="shared" si="31"/>
        <v>1</v>
      </c>
      <c r="T119" s="242" t="str">
        <f t="shared" si="32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3"/>
        <v>https://d0f6bd738d7f1b3e5a7ca70fe4ff75f0.us-east-1.aws.found.io/app/kibana#/discover/Steve-Slow-Train-Analysis-(2080s-and-2083s)?_g=(refreshInterval:(display:Off,pause:!f,section:0,value:0),time:(from:'2017-12-22T15:52:36-0700',mode:absolute,to:'2017-12-22T18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9" s="247" t="str">
        <f>IF(AA119&lt;VLOOKUP(AG119,Variables!$AC$3:$AD$8,2,FALSE),"Y","N")</f>
        <v>N</v>
      </c>
      <c r="X119" s="247">
        <f t="shared" si="48"/>
        <v>1</v>
      </c>
      <c r="Y119" s="247">
        <f t="shared" si="49"/>
        <v>5.4199999999999998E-2</v>
      </c>
      <c r="Z119" s="247">
        <f t="shared" si="50"/>
        <v>23.325099999999999</v>
      </c>
      <c r="AA119" s="247">
        <f t="shared" si="37"/>
        <v>23.270899999999997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8"/>
        <v>207</v>
      </c>
      <c r="AE119" s="235" t="str">
        <f t="shared" si="39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119" s="234" t="str">
        <f t="shared" si="40"/>
        <v>"C:\Program Files (x86)\AstroGrep\AstroGrep.exe" /e /r /s /spath="%USERPROFILE%\AppData\Local\Temp\OnboardLogs" /stypes="app*4062*20171223*" /stext=" 00:.+((SYSTEM_STATE.+slice.+state.+changed )|(ment ac)|(multiple cpu faults)|(system.+state.+changed )|(\[timeout)|(PRM\|1\|D)|(kpr)|(kdp)|(train st.+moving)|(\|lc)|(penalty))"</v>
      </c>
      <c r="AG119" s="244" t="str">
        <f t="shared" si="41"/>
        <v>EC</v>
      </c>
      <c r="AH119" s="236" t="str">
        <f t="shared" si="42"/>
        <v>"%USERPROFILE%\Documents\GitHub\eaglep3\Utilities\RefineRTDCRunTimes.py" --tripid 207-22 --locoid 4062 --swversion DE.1.0.9.0 --startMP 204:542 --initTime 2017-12-22T16:52:36 --startdatetime 2017-12-22T17:00:19 --delay 74 --endMP 204:233251 --enddatetime 2017-12-22T17:37:17 --enforcementcount 0 &gt;&gt;%USERPROFILE%\Documents\GitHub\eaglep3-reporting\EC\2017-12-22-refined-times.txt</v>
      </c>
      <c r="AI11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{"issue":{"subject":"","project_id":79,"tracker_id":40,"status_id":1,"priority_id":2,"assigned_to_id":338,"start_date":"2017-12-22","description":"","custom_fields":[{"id":1,"name":"Subdivision","value":"EC"},{"id":4,"name":"Milepost","value":"23.3251"},{"id":17,"name":"Train ID","value":"207-22"},{"id":16,"name":"Locomotive ID","value":"4062"},{"id":130,"name":"Impact","value":""},{"id":150,"name":"Time of Event (Mountain Time)","value":"17:37:17"},{"id":151,"name":"Denver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4"/>
        <v>start /low /b %USERPROFILE%\Documents\GitHub\eaglep3\Utilities\DownloadLogsFromS3.py --loco 4062 --day 2017-12-22</v>
      </c>
      <c r="AN119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6"/>
        <v>https://d0f6bd738d7f1b3e5a7ca70fe4ff75f0.us-east-1.aws.found.io/app/kibana#/discover/Steve-Slow-Train-Analysis-(2080s-and-2083s)?_g=(refreshInterval:(display:Off,pause:!f,section:0,value:0),time:(from:'2017-12-22T15:52:36-0700',mode:absolute,to:'2017-12-22T18:37:17-0700'))&amp;_a=(columns:!('Message%20ID',Summary),filters:!(),index:'emp_*',interval:auto,query:(query_string:(analyze_wildcard:!t,query:'%22rtdc.l.rtdc.4062%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844</v>
      </c>
      <c r="B120" s="225">
        <v>4061</v>
      </c>
      <c r="C120" s="227" t="s">
        <v>192</v>
      </c>
      <c r="D120" s="227" t="s">
        <v>964</v>
      </c>
      <c r="E120" s="226">
        <v>43091.742083333331</v>
      </c>
      <c r="F120" s="226">
        <v>43091.748090277775</v>
      </c>
      <c r="G120" s="225">
        <v>74</v>
      </c>
      <c r="H120" s="227" t="s">
        <v>965</v>
      </c>
      <c r="I120" s="226">
        <v>43091.774791666663</v>
      </c>
      <c r="J120" s="225">
        <v>0</v>
      </c>
      <c r="K120" s="237" t="str">
        <f t="shared" si="28"/>
        <v>4061/4062</v>
      </c>
      <c r="L120" s="245" t="str">
        <f>VLOOKUP(A120,'Trips&amp;Operators'!$C$1:$G$99911,5,FALSE)</f>
        <v>LEVERE CRAIG</v>
      </c>
      <c r="M120" s="224">
        <f t="shared" si="29"/>
        <v>2.6701388887886424E-2</v>
      </c>
      <c r="N120" s="225">
        <f t="shared" si="47"/>
        <v>38.44999999855645</v>
      </c>
      <c r="O120" s="225"/>
      <c r="P120" s="225"/>
      <c r="Q120" s="228"/>
      <c r="R120" s="242"/>
      <c r="S120" s="249">
        <f t="shared" si="31"/>
        <v>1</v>
      </c>
      <c r="T120" s="242" t="str">
        <f t="shared" si="32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3"/>
        <v>https://d0f6bd738d7f1b3e5a7ca70fe4ff75f0.us-east-1.aws.found.io/app/kibana#/discover/Steve-Slow-Train-Analysis-(2080s-and-2083s)?_g=(refreshInterval:(display:Off,pause:!f,section:0,value:0),time:(from:'2017-12-22T16:48:36-0700',mode:absolute,to:'2017-12-22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0" s="247" t="str">
        <f>IF(AA120&lt;VLOOKUP(AG120,Variables!$AC$3:$AD$8,2,FALSE),"Y","N")</f>
        <v>N</v>
      </c>
      <c r="X120" s="247">
        <f t="shared" si="48"/>
        <v>1</v>
      </c>
      <c r="Y120" s="247">
        <f t="shared" si="49"/>
        <v>23.293199999999999</v>
      </c>
      <c r="Z120" s="247">
        <f t="shared" si="50"/>
        <v>2.3400000000000001E-2</v>
      </c>
      <c r="AA120" s="247">
        <f t="shared" si="37"/>
        <v>23.2698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8"/>
        <v>208</v>
      </c>
      <c r="AE120" s="235" t="str">
        <f t="shared" si="39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120" s="234" t="str">
        <f t="shared" si="40"/>
        <v>"C:\Program Files (x86)\AstroGrep\AstroGrep.exe" /e /r /s /spath="%USERPROFILE%\AppData\Local\Temp\OnboardLogs" /stypes="app*4061*20171223*" /stext=" 01:.+((SYSTEM_STATE.+slice.+state.+changed )|(ment ac)|(multiple cpu faults)|(system.+state.+changed )|(\[timeout)|(PRM\|1\|D)|(kpr)|(kdp)|(train st.+moving)|(\|lc)|(penalty))"</v>
      </c>
      <c r="AG120" s="244" t="str">
        <f t="shared" si="41"/>
        <v>EC</v>
      </c>
      <c r="AH120" s="236" t="str">
        <f t="shared" si="42"/>
        <v>"%USERPROFILE%\Documents\GitHub\eaglep3\Utilities\RefineRTDCRunTimes.py" --tripid 208-22 --locoid 4061 --swversion DE.1.0.9.0 --startMP 204:232932 --initTime 2017-12-22T17:48:36 --startdatetime 2017-12-22T17:57:15 --delay 74 --endMP 204:234 --enddatetime 2017-12-22T18:35:42 --enforcementcount 0 &gt;&gt;%USERPROFILE%\Documents\GitHub\eaglep3-reporting\EC\2017-12-22-refined-times.txt</v>
      </c>
      <c r="AI12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{"issue":{"subject":"","project_id":79,"tracker_id":40,"status_id":1,"priority_id":2,"assigned_to_id":338,"start_date":"2017-12-22","description":"","custom_fields":[{"id":1,"name":"Subdivision","value":"EC"},{"id":4,"name":"Milepost","value":"0.0234"},{"id":17,"name":"Train ID","value":"208-22"},{"id":16,"name":"Locomotive ID","value":"4061"},{"id":130,"name":"Impact","value":""},{"id":150,"name":"Time of Event (Mountain Time)","value":"18:35:42"},{"id":151,"name":"Denver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44"/>
        <v>start /low /b %USERPROFILE%\Documents\GitHub\eaglep3\Utilities\DownloadLogsFromS3.py --loco 4061 --day 2017-12-22</v>
      </c>
      <c r="AN120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6"/>
        <v>https://d0f6bd738d7f1b3e5a7ca70fe4ff75f0.us-east-1.aws.found.io/app/kibana#/discover/Steve-Slow-Train-Analysis-(2080s-and-2083s)?_g=(refreshInterval:(display:Off,pause:!f,section:0,value:0),time:(from:'2017-12-22T16:48:36-0700',mode:absolute,to:'2017-12-22T19:35:42-0700'))&amp;_a=(columns:!('Message%20ID',Summary),filters:!(),index:'emp_*',interval:auto,query:(query_string:(analyze_wildcard:!t,query:'%22rtdc.l.rtdc.4061%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833</v>
      </c>
      <c r="B121" s="225">
        <v>4010</v>
      </c>
      <c r="C121" s="227" t="s">
        <v>192</v>
      </c>
      <c r="D121" s="227" t="s">
        <v>966</v>
      </c>
      <c r="E121" s="226">
        <v>43091.712870370371</v>
      </c>
      <c r="F121" s="226">
        <v>43091.7190162037</v>
      </c>
      <c r="G121" s="225">
        <v>54</v>
      </c>
      <c r="H121" s="227" t="s">
        <v>967</v>
      </c>
      <c r="I121" s="226">
        <v>43091.744710648149</v>
      </c>
      <c r="J121" s="225">
        <v>0</v>
      </c>
      <c r="K121" s="237" t="str">
        <f t="shared" si="28"/>
        <v>4009/4010</v>
      </c>
      <c r="L121" s="245" t="str">
        <f>VLOOKUP(A121,'Trips&amp;Operators'!$C$1:$G$99911,5,FALSE)</f>
        <v>FORTUNATO FRANK</v>
      </c>
      <c r="M121" s="224">
        <f t="shared" si="29"/>
        <v>2.5694444448163267E-2</v>
      </c>
      <c r="N121" s="225">
        <f t="shared" si="47"/>
        <v>37.000000005355105</v>
      </c>
      <c r="O121" s="225"/>
      <c r="P121" s="225"/>
      <c r="Q121" s="228"/>
      <c r="R121" s="242"/>
      <c r="S121" s="249">
        <f t="shared" si="31"/>
        <v>1</v>
      </c>
      <c r="T121" s="242" t="str">
        <f t="shared" si="32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3"/>
        <v>https://d0f6bd738d7f1b3e5a7ca70fe4ff75f0.us-east-1.aws.found.io/app/kibana#/discover/Steve-Slow-Train-Analysis-(2080s-and-2083s)?_g=(refreshInterval:(display:Off,pause:!f,section:0,value:0),time:(from:'2017-12-22T16:06:32-0700',mode:absolute,to:'2017-12-22T18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247" t="str">
        <f>IF(AA121&lt;VLOOKUP(AG121,Variables!$AC$3:$AD$8,2,FALSE),"Y","N")</f>
        <v>N</v>
      </c>
      <c r="X121" s="247">
        <f t="shared" si="48"/>
        <v>1</v>
      </c>
      <c r="Y121" s="247">
        <f t="shared" si="49"/>
        <v>5.2400000000000002E-2</v>
      </c>
      <c r="Z121" s="247">
        <f t="shared" si="50"/>
        <v>23.318999999999999</v>
      </c>
      <c r="AA121" s="247">
        <f t="shared" si="37"/>
        <v>23.2666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8"/>
        <v>209</v>
      </c>
      <c r="AE121" s="235" t="str">
        <f t="shared" si="39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121" s="234" t="str">
        <f t="shared" si="40"/>
        <v>"C:\Program Files (x86)\AstroGrep\AstroGrep.exe" /e /r /s /spath="%USERPROFILE%\AppData\Local\Temp\OnboardLogs" /stypes="app*4010*20171223*" /stext=" 00:.+((SYSTEM_STATE.+slice.+state.+changed )|(ment ac)|(multiple cpu faults)|(system.+state.+changed )|(\[timeout)|(PRM\|1\|D)|(kpr)|(kdp)|(train st.+moving)|(\|lc)|(penalty))"</v>
      </c>
      <c r="AG121" s="244" t="str">
        <f t="shared" si="41"/>
        <v>EC</v>
      </c>
      <c r="AH121" s="236" t="str">
        <f t="shared" si="42"/>
        <v>"%USERPROFILE%\Documents\GitHub\eaglep3\Utilities\RefineRTDCRunTimes.py" --tripid 209-22 --locoid 4010 --swversion DE.1.0.9.0 --startMP 204:524 --initTime 2017-12-22T17:06:32 --startdatetime 2017-12-22T17:15:23 --delay 54 --endMP 204:233190 --enddatetime 2017-12-22T17:52:23 --enforcementcount 0 &gt;&gt;%USERPROFILE%\Documents\GitHub\eaglep3-reporting\EC\2017-12-22-refined-times.txt</v>
      </c>
      <c r="AI12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{"issue":{"subject":"","project_id":79,"tracker_id":40,"status_id":1,"priority_id":2,"assigned_to_id":338,"start_date":"2017-12-22","description":"","custom_fields":[{"id":1,"name":"Subdivision","value":"EC"},{"id":4,"name":"Milepost","value":"23.319"},{"id":17,"name":"Train ID","value":"209-22"},{"id":16,"name":"Locomotive ID","value":"4010"},{"id":130,"name":"Impact","value":""},{"id":150,"name":"Time of Event (Mountain Time)","value":"17:52:23"},{"id":151,"name":"Denver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4"/>
        <v>start /low /b %USERPROFILE%\Documents\GitHub\eaglep3\Utilities\DownloadLogsFromS3.py --loco 4010 --day 2017-12-22</v>
      </c>
      <c r="AN121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6"/>
        <v>https://d0f6bd738d7f1b3e5a7ca70fe4ff75f0.us-east-1.aws.found.io/app/kibana#/discover/Steve-Slow-Train-Analysis-(2080s-and-2083s)?_g=(refreshInterval:(display:Off,pause:!f,section:0,value:0),time:(from:'2017-12-22T16:06:32-0700',mode:absolute,to:'2017-12-22T18:52:23-0700'))&amp;_a=(columns:!('Message%20ID',Summary),filters:!(),index:'emp_*',interval:auto,query:(query_string:(analyze_wildcard:!t,query:'%22rtdc.l.rtdc.4010%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660</v>
      </c>
      <c r="B122" s="225">
        <v>4009</v>
      </c>
      <c r="C122" s="227" t="s">
        <v>192</v>
      </c>
      <c r="D122" s="227" t="s">
        <v>968</v>
      </c>
      <c r="E122" s="226">
        <v>43091.746041666665</v>
      </c>
      <c r="F122" s="226">
        <v>43091.758483796293</v>
      </c>
      <c r="G122" s="225">
        <v>56</v>
      </c>
      <c r="H122" s="227" t="s">
        <v>969</v>
      </c>
      <c r="I122" s="226">
        <v>43091.78665509259</v>
      </c>
      <c r="J122" s="225">
        <v>0</v>
      </c>
      <c r="K122" s="237" t="str">
        <f t="shared" si="28"/>
        <v>4009/4010</v>
      </c>
      <c r="L122" s="245" t="str">
        <f>VLOOKUP(A122,'Trips&amp;Operators'!$C$1:$G$99911,5,FALSE)</f>
        <v>FORTUNATO FRANK</v>
      </c>
      <c r="M122" s="224">
        <f t="shared" si="29"/>
        <v>2.8171296296932269E-2</v>
      </c>
      <c r="N122" s="225">
        <f t="shared" si="47"/>
        <v>40.566666667582467</v>
      </c>
      <c r="O122" s="225"/>
      <c r="P122" s="225"/>
      <c r="Q122" s="228"/>
      <c r="R122" s="242" t="s">
        <v>1087</v>
      </c>
      <c r="S122" s="249">
        <f t="shared" si="31"/>
        <v>1</v>
      </c>
      <c r="T122" s="242" t="str">
        <f t="shared" si="32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3"/>
        <v>https://d0f6bd738d7f1b3e5a7ca70fe4ff75f0.us-east-1.aws.found.io/app/kibana#/discover/Steve-Slow-Train-Analysis-(2080s-and-2083s)?_g=(refreshInterval:(display:Off,pause:!f,section:0,value:0),time:(from:'2017-12-22T16:54:18-0700',mode:absolute,to:'2017-12-22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2" s="247" t="str">
        <f>IF(AA122&lt;VLOOKUP(AG122,Variables!$AC$3:$AD$8,2,FALSE),"Y","N")</f>
        <v>N</v>
      </c>
      <c r="X122" s="247">
        <f t="shared" si="48"/>
        <v>1</v>
      </c>
      <c r="Y122" s="247">
        <f t="shared" si="49"/>
        <v>23.286100000000001</v>
      </c>
      <c r="Z122" s="247">
        <f t="shared" si="50"/>
        <v>2.1399999999999999E-2</v>
      </c>
      <c r="AA122" s="247">
        <f t="shared" si="37"/>
        <v>23.264700000000001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8"/>
        <v>210</v>
      </c>
      <c r="AE122" s="235" t="str">
        <f t="shared" si="39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122" s="234" t="str">
        <f t="shared" si="40"/>
        <v>"C:\Program Files (x86)\AstroGrep\AstroGrep.exe" /e /r /s /spath="%USERPROFILE%\AppData\Local\Temp\OnboardLogs" /stypes="app*4009*20171223*" /stext=" 01:.+((SYSTEM_STATE.+slice.+state.+changed )|(ment ac)|(multiple cpu faults)|(system.+state.+changed )|(\[timeout)|(PRM\|1\|D)|(kpr)|(kdp)|(train st.+moving)|(\|lc)|(penalty))"</v>
      </c>
      <c r="AG122" s="244" t="str">
        <f t="shared" si="41"/>
        <v>EC</v>
      </c>
      <c r="AH122" s="236" t="str">
        <f t="shared" si="42"/>
        <v>"%USERPROFILE%\Documents\GitHub\eaglep3\Utilities\RefineRTDCRunTimes.py" --tripid 210-22 --locoid 4009 --swversion DE.1.0.9.0 --startMP 204:232861 --initTime 2017-12-22T17:54:18 --startdatetime 2017-12-22T18:12:13 --delay 56 --endMP 204:214 --enddatetime 2017-12-22T18:52:47 --enforcementcount 0 &gt;&gt;%USERPROFILE%\Documents\GitHub\eaglep3-reporting\EC\2017-12-22-refined-times.txt</v>
      </c>
      <c r="AI122" s="238" t="str">
        <f t="shared" si="43"/>
        <v>echo {"issue":{"subject":"Operator reported 2 overspeed enforcements, ATC/PTC speedo mismatch","project_id":79,"tracker_id":40,"status_id":1,"priority_id":2,"assigned_to_id":338,"start_date":"2017-12-22","description":"","custom_fields":[{"id":1,"name":"Subdivision","value":"EC"},{"id":4,"name":"Milepost","value":"0.0214"},{"id":17,"name":"Train ID","value":"210-22"},{"id":16,"name":"Locomotive ID","value":"4009"},{"id":130,"name":"Impact","value":""},{"id":150,"name":"Time of Event (Mountain Time)","value":"18:52:47"},{"id":151,"name":"Denver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44"/>
        <v>start /low /b %USERPROFILE%\Documents\GitHub\eaglep3\Utilities\DownloadLogsFromS3.py --loco 4009 --day 2017-12-22</v>
      </c>
      <c r="AN122" s="241" t="str">
        <f t="shared" si="45"/>
        <v>echo {"issue":{"subject":"Operator reported 2 overspeed enforcements, ATC/PTC speedo mismatch","project_id":30,"tracker_id":4,"status_id":1,"priority_id":1,"assigned_to_id":10,"start_date":"2017-12-23","description":"","custom_fields":[{"id":30,"name":"Category","value":"Issue"},{"id":3,"name":"Functional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6"/>
        <v>https://d0f6bd738d7f1b3e5a7ca70fe4ff75f0.us-east-1.aws.found.io/app/kibana#/discover/Steve-Slow-Train-Analysis-(2080s-and-2083s)?_g=(refreshInterval:(display:Off,pause:!f,section:0,value:0),time:(from:'2017-12-22T16:54:18-0700',mode:absolute,to:'2017-12-22T19:52:47-0700'))&amp;_a=(columns:!('Message%20ID',Summary),filters:!(),index:'emp_*',interval:auto,query:(query_string:(analyze_wildcard:!t,query:'%22rtdc.l.rtdc.4009%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836</v>
      </c>
      <c r="B123" s="225">
        <v>4008</v>
      </c>
      <c r="C123" s="227" t="s">
        <v>192</v>
      </c>
      <c r="D123" s="227" t="s">
        <v>898</v>
      </c>
      <c r="E123" s="226">
        <v>43091.726377314815</v>
      </c>
      <c r="F123" s="226">
        <v>43091.729421296295</v>
      </c>
      <c r="G123" s="225">
        <v>61</v>
      </c>
      <c r="H123" s="227" t="s">
        <v>970</v>
      </c>
      <c r="I123" s="226">
        <v>43091.754560185182</v>
      </c>
      <c r="J123" s="225">
        <v>0</v>
      </c>
      <c r="K123" s="237" t="str">
        <f t="shared" si="28"/>
        <v>4007/4008</v>
      </c>
      <c r="L123" s="245" t="str">
        <f>VLOOKUP(A123,'Trips&amp;Operators'!$C$1:$G$99911,5,FALSE)</f>
        <v>LEVIN SCOTT</v>
      </c>
      <c r="M123" s="224">
        <f t="shared" si="29"/>
        <v>2.5138888886431232E-2</v>
      </c>
      <c r="N123" s="225">
        <f t="shared" si="47"/>
        <v>36.199999996460974</v>
      </c>
      <c r="O123" s="225"/>
      <c r="P123" s="225"/>
      <c r="Q123" s="228"/>
      <c r="R123" s="242"/>
      <c r="S123" s="249">
        <f t="shared" si="31"/>
        <v>1</v>
      </c>
      <c r="T123" s="242" t="str">
        <f t="shared" si="32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3"/>
        <v>https://d0f6bd738d7f1b3e5a7ca70fe4ff75f0.us-east-1.aws.found.io/app/kibana#/discover/Steve-Slow-Train-Analysis-(2080s-and-2083s)?_g=(refreshInterval:(display:Off,pause:!f,section:0,value:0),time:(from:'2017-12-22T16:25:59-0700',mode:absolute,to:'2017-12-22T19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247" t="str">
        <f>IF(AA123&lt;VLOOKUP(AG123,Variables!$AC$3:$AD$8,2,FALSE),"Y","N")</f>
        <v>N</v>
      </c>
      <c r="X123" s="247">
        <f t="shared" si="48"/>
        <v>1</v>
      </c>
      <c r="Y123" s="247">
        <f t="shared" si="49"/>
        <v>4.9500000000000002E-2</v>
      </c>
      <c r="Z123" s="247">
        <f t="shared" si="50"/>
        <v>23.334700000000002</v>
      </c>
      <c r="AA123" s="247">
        <f t="shared" si="37"/>
        <v>23.285200000000003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8"/>
        <v>211</v>
      </c>
      <c r="AE123" s="235" t="str">
        <f t="shared" si="39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123" s="234" t="str">
        <f t="shared" si="40"/>
        <v>"C:\Program Files (x86)\AstroGrep\AstroGrep.exe" /e /r /s /spath="%USERPROFILE%\AppData\Local\Temp\OnboardLogs" /stypes="app*4008*20171223*" /stext=" 01:.+((SYSTEM_STATE.+slice.+state.+changed )|(ment ac)|(multiple cpu faults)|(system.+state.+changed )|(\[timeout)|(PRM\|1\|D)|(kpr)|(kdp)|(train st.+moving)|(\|lc)|(penalty))"</v>
      </c>
      <c r="AG123" s="244" t="str">
        <f t="shared" si="41"/>
        <v>EC</v>
      </c>
      <c r="AH123" s="236" t="str">
        <f t="shared" si="42"/>
        <v>"%USERPROFILE%\Documents\GitHub\eaglep3\Utilities\RefineRTDCRunTimes.py" --tripid 211-22 --locoid 4008 --swversion DE.1.0.9.0 --startMP 204:495 --initTime 2017-12-22T17:25:59 --startdatetime 2017-12-22T17:30:22 --delay 61 --endMP 204:233347 --enddatetime 2017-12-22T18:06:34 --enforcementcount 0 &gt;&gt;%USERPROFILE%\Documents\GitHub\eaglep3-reporting\EC\2017-12-22-refined-times.txt</v>
      </c>
      <c r="AI12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{"issue":{"subject":"","project_id":79,"tracker_id":40,"status_id":1,"priority_id":2,"assigned_to_id":338,"start_date":"2017-12-22","description":"","custom_fields":[{"id":1,"name":"Subdivision","value":"EC"},{"id":4,"name":"Milepost","value":"23.3347"},{"id":17,"name":"Train ID","value":"211-22"},{"id":16,"name":"Locomotive ID","value":"4008"},{"id":130,"name":"Impact","value":""},{"id":150,"name":"Time of Event (Mountain Time)","value":"18:06:34"},{"id":151,"name":"Denver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4"/>
        <v>start /low /b %USERPROFILE%\Documents\GitHub\eaglep3\Utilities\DownloadLogsFromS3.py --loco 4008 --day 2017-12-22</v>
      </c>
      <c r="AN123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6"/>
        <v>https://d0f6bd738d7f1b3e5a7ca70fe4ff75f0.us-east-1.aws.found.io/app/kibana#/discover/Steve-Slow-Train-Analysis-(2080s-and-2083s)?_g=(refreshInterval:(display:Off,pause:!f,section:0,value:0),time:(from:'2017-12-22T16:25:59-0700',mode:absolute,to:'2017-12-22T19:06:34-0700'))&amp;_a=(columns:!('Message%20ID',Summary),filters:!(),index:'emp_*',interval:auto,query:(query_string:(analyze_wildcard:!t,query:'%22rtdc.l.rtdc.4008%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851</v>
      </c>
      <c r="B124" s="225">
        <v>4007</v>
      </c>
      <c r="C124" s="227" t="s">
        <v>192</v>
      </c>
      <c r="D124" s="227" t="s">
        <v>971</v>
      </c>
      <c r="E124" s="226">
        <v>43091.759270833332</v>
      </c>
      <c r="F124" s="226">
        <v>43091.768923611111</v>
      </c>
      <c r="G124" s="225">
        <v>48</v>
      </c>
      <c r="H124" s="227" t="s">
        <v>545</v>
      </c>
      <c r="I124" s="226">
        <v>43091.794537037036</v>
      </c>
      <c r="J124" s="225">
        <v>0</v>
      </c>
      <c r="K124" s="237" t="str">
        <f t="shared" si="28"/>
        <v>4007/4008</v>
      </c>
      <c r="L124" s="245" t="str">
        <f>VLOOKUP(A124,'Trips&amp;Operators'!$C$1:$G$99911,5,FALSE)</f>
        <v>LEVIN SCOTT</v>
      </c>
      <c r="M124" s="224">
        <f t="shared" si="29"/>
        <v>2.5613425925257616E-2</v>
      </c>
      <c r="N124" s="225">
        <f t="shared" si="47"/>
        <v>36.883333332370967</v>
      </c>
      <c r="O124" s="225"/>
      <c r="P124" s="225"/>
      <c r="Q124" s="228"/>
      <c r="R124" s="242"/>
      <c r="S124" s="249">
        <f t="shared" si="31"/>
        <v>1</v>
      </c>
      <c r="T124" s="242" t="str">
        <f t="shared" si="32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3"/>
        <v>https://d0f6bd738d7f1b3e5a7ca70fe4ff75f0.us-east-1.aws.found.io/app/kibana#/discover/Steve-Slow-Train-Analysis-(2080s-and-2083s)?_g=(refreshInterval:(display:Off,pause:!f,section:0,value:0),time:(from:'2017-12-22T17:13:21-0700',mode:absolute,to:'2017-12-22T20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247" t="str">
        <f>IF(AA124&lt;VLOOKUP(AG124,Variables!$AC$3:$AD$8,2,FALSE),"Y","N")</f>
        <v>N</v>
      </c>
      <c r="X124" s="247">
        <f t="shared" si="48"/>
        <v>1</v>
      </c>
      <c r="Y124" s="247">
        <f t="shared" si="49"/>
        <v>23.3019</v>
      </c>
      <c r="Z124" s="247">
        <f t="shared" si="50"/>
        <v>1.78E-2</v>
      </c>
      <c r="AA124" s="247">
        <f t="shared" si="37"/>
        <v>23.284099999999999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8"/>
        <v>212</v>
      </c>
      <c r="AE124" s="235" t="str">
        <f t="shared" si="39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124" s="234" t="str">
        <f t="shared" si="40"/>
        <v>"C:\Program Files (x86)\AstroGrep\AstroGrep.exe" /e /r /s /spath="%USERPROFILE%\AppData\Local\Temp\OnboardLogs" /stypes="app*4007*20171223*" /stext=" 02:.+((SYSTEM_STATE.+slice.+state.+changed )|(ment ac)|(multiple cpu faults)|(system.+state.+changed )|(\[timeout)|(PRM\|1\|D)|(kpr)|(kdp)|(train st.+moving)|(\|lc)|(penalty))"</v>
      </c>
      <c r="AG124" s="244" t="str">
        <f t="shared" si="41"/>
        <v>EC</v>
      </c>
      <c r="AH124" s="236" t="str">
        <f t="shared" si="42"/>
        <v>"%USERPROFILE%\Documents\GitHub\eaglep3\Utilities\RefineRTDCRunTimes.py" --tripid 212-22 --locoid 4007 --swversion DE.1.0.9.0 --startMP 204:233019 --initTime 2017-12-22T18:13:21 --startdatetime 2017-12-22T18:27:15 --delay 48 --endMP 204:178 --enddatetime 2017-12-22T19:04:08 --enforcementcount 0 &gt;&gt;%USERPROFILE%\Documents\GitHub\eaglep3-reporting\EC\2017-12-22-refined-times.txt</v>
      </c>
      <c r="AI12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{"issue":{"subject":"","project_id":79,"tracker_id":40,"status_id":1,"priority_id":2,"assigned_to_id":338,"start_date":"2017-12-22","description":"","custom_fields":[{"id":1,"name":"Subdivision","value":"EC"},{"id":4,"name":"Milepost","value":"0.0178"},{"id":17,"name":"Train ID","value":"212-22"},{"id":16,"name":"Locomotive ID","value":"4007"},{"id":130,"name":"Impact","value":""},{"id":150,"name":"Time of Event (Mountain Time)","value":"19:04:08"},{"id":151,"name":"Denver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4"/>
        <v>start /low /b %USERPROFILE%\Documents\GitHub\eaglep3\Utilities\DownloadLogsFromS3.py --loco 4007 --day 2017-12-22</v>
      </c>
      <c r="AN124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6"/>
        <v>https://d0f6bd738d7f1b3e5a7ca70fe4ff75f0.us-east-1.aws.found.io/app/kibana#/discover/Steve-Slow-Train-Analysis-(2080s-and-2083s)?_g=(refreshInterval:(display:Off,pause:!f,section:0,value:0),time:(from:'2017-12-22T17:13:21-0700',mode:absolute,to:'2017-12-22T20:04:08-0700'))&amp;_a=(columns:!('Message%20ID',Summary),filters:!(),index:'emp_*',interval:auto,query:(query_string:(analyze_wildcard:!t,query:'%22rtdc.l.rtdc.4007%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842</v>
      </c>
      <c r="B125" s="225">
        <v>4044</v>
      </c>
      <c r="C125" s="227" t="s">
        <v>192</v>
      </c>
      <c r="D125" s="227" t="s">
        <v>972</v>
      </c>
      <c r="E125" s="226">
        <v>43091.735844907409</v>
      </c>
      <c r="F125" s="226">
        <v>43091.740011574075</v>
      </c>
      <c r="G125" s="225">
        <v>83</v>
      </c>
      <c r="H125" s="227" t="s">
        <v>634</v>
      </c>
      <c r="I125" s="226">
        <v>43091.766099537039</v>
      </c>
      <c r="J125" s="225">
        <v>0</v>
      </c>
      <c r="K125" s="237" t="str">
        <f t="shared" si="28"/>
        <v>4043/4044</v>
      </c>
      <c r="L125" s="245" t="str">
        <f>VLOOKUP(A125,'Trips&amp;Operators'!$C$1:$G$99911,5,FALSE)</f>
        <v>DAVIDSON DAVID</v>
      </c>
      <c r="M125" s="224">
        <f t="shared" si="29"/>
        <v>2.6087962964083999E-2</v>
      </c>
      <c r="N125" s="225">
        <f t="shared" si="47"/>
        <v>37.566666668280959</v>
      </c>
      <c r="O125" s="225"/>
      <c r="P125" s="225"/>
      <c r="Q125" s="228"/>
      <c r="R125" s="242"/>
      <c r="S125" s="249">
        <f t="shared" si="31"/>
        <v>1</v>
      </c>
      <c r="T125" s="242" t="str">
        <f t="shared" si="32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3"/>
        <v>https://d0f6bd738d7f1b3e5a7ca70fe4ff75f0.us-east-1.aws.found.io/app/kibana#/discover/Steve-Slow-Train-Analysis-(2080s-and-2083s)?_g=(refreshInterval:(display:Off,pause:!f,section:0,value:0),time:(from:'2017-12-22T16:39:37-0700',mode:absolute,to:'2017-12-22T19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247" t="str">
        <f>IF(AA125&lt;VLOOKUP(AG125,Variables!$AC$3:$AD$8,2,FALSE),"Y","N")</f>
        <v>N</v>
      </c>
      <c r="X125" s="247">
        <f t="shared" si="48"/>
        <v>1</v>
      </c>
      <c r="Y125" s="247">
        <f t="shared" si="49"/>
        <v>5.4600000000000003E-2</v>
      </c>
      <c r="Z125" s="247">
        <f t="shared" si="50"/>
        <v>23.3264</v>
      </c>
      <c r="AA125" s="247">
        <f t="shared" si="37"/>
        <v>23.271799999999999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8"/>
        <v>213</v>
      </c>
      <c r="AE125" s="235" t="str">
        <f t="shared" si="39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25" s="234" t="str">
        <f t="shared" si="40"/>
        <v>"C:\Program Files (x86)\AstroGrep\AstroGrep.exe" /e /r /s /spath="%USERPROFILE%\AppData\Local\Temp\OnboardLogs" /stypes="app*4044*20171223*" /stext=" 01:.+((SYSTEM_STATE.+slice.+state.+changed )|(ment ac)|(multiple cpu faults)|(system.+state.+changed )|(\[timeout)|(PRM\|1\|D)|(kpr)|(kdp)|(train st.+moving)|(\|lc)|(penalty))"</v>
      </c>
      <c r="AG125" s="244" t="str">
        <f t="shared" si="41"/>
        <v>EC</v>
      </c>
      <c r="AH125" s="236" t="str">
        <f t="shared" si="42"/>
        <v>"%USERPROFILE%\Documents\GitHub\eaglep3\Utilities\RefineRTDCRunTimes.py" --tripid 213-22 --locoid 4044 --swversion DE.1.0.9.0 --startMP 204:546 --initTime 2017-12-22T17:39:37 --startdatetime 2017-12-22T17:45:37 --delay 83 --endMP 204:233264 --enddatetime 2017-12-22T18:23:11 --enforcementcount 0 &gt;&gt;%USERPROFILE%\Documents\GitHub\eaglep3-reporting\EC\2017-12-22-refined-times.txt</v>
      </c>
      <c r="AI12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{"issue":{"subject":"","project_id":79,"tracker_id":40,"status_id":1,"priority_id":2,"assigned_to_id":338,"start_date":"2017-12-22","description":"","custom_fields":[{"id":1,"name":"Subdivision","value":"EC"},{"id":4,"name":"Milepost","value":"23.3264"},{"id":17,"name":"Train ID","value":"213-22"},{"id":16,"name":"Locomotive ID","value":"4044"},{"id":130,"name":"Impact","value":""},{"id":150,"name":"Time of Event (Mountain Time)","value":"18:23:11"},{"id":151,"name":"Denver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4"/>
        <v>start /low /b %USERPROFILE%\Documents\GitHub\eaglep3\Utilities\DownloadLogsFromS3.py --loco 4044 --day 2017-12-22</v>
      </c>
      <c r="AN125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6"/>
        <v>https://d0f6bd738d7f1b3e5a7ca70fe4ff75f0.us-east-1.aws.found.io/app/kibana#/discover/Steve-Slow-Train-Analysis-(2080s-and-2083s)?_g=(refreshInterval:(display:Off,pause:!f,section:0,value:0),time:(from:'2017-12-22T16:39:37-0700',mode:absolute,to:'2017-12-22T19:23:11-0700'))&amp;_a=(columns:!('Message%20ID',Summary),filters:!(),index:'emp_*',interval:auto,query:(query_string:(analyze_wildcard:!t,query:'%22rtdc.l.rtdc.4044%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853</v>
      </c>
      <c r="B126" s="225">
        <v>4043</v>
      </c>
      <c r="C126" s="227" t="s">
        <v>192</v>
      </c>
      <c r="D126" s="227" t="s">
        <v>633</v>
      </c>
      <c r="E126" s="226">
        <v>43091.767696759256</v>
      </c>
      <c r="F126" s="226">
        <v>43091.779374999998</v>
      </c>
      <c r="G126" s="225">
        <v>73</v>
      </c>
      <c r="H126" s="227" t="s">
        <v>523</v>
      </c>
      <c r="I126" s="226">
        <v>43091.805960648147</v>
      </c>
      <c r="J126" s="225">
        <v>0</v>
      </c>
      <c r="K126" s="237" t="str">
        <f t="shared" si="28"/>
        <v>4043/4044</v>
      </c>
      <c r="L126" s="245" t="str">
        <f>VLOOKUP(A126,'Trips&amp;Operators'!$C$1:$G$99911,5,FALSE)</f>
        <v>DAVIDSON DAVID</v>
      </c>
      <c r="M126" s="224">
        <f t="shared" si="29"/>
        <v>2.658564814919373E-2</v>
      </c>
      <c r="N126" s="225">
        <f t="shared" si="47"/>
        <v>38.283333334838971</v>
      </c>
      <c r="O126" s="225"/>
      <c r="P126" s="225"/>
      <c r="Q126" s="228"/>
      <c r="R126" s="242"/>
      <c r="S126" s="249">
        <f t="shared" si="31"/>
        <v>1</v>
      </c>
      <c r="T126" s="242" t="str">
        <f t="shared" si="32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3"/>
        <v>https://d0f6bd738d7f1b3e5a7ca70fe4ff75f0.us-east-1.aws.found.io/app/kibana#/discover/Steve-Slow-Train-Analysis-(2080s-and-2083s)?_g=(refreshInterval:(display:Off,pause:!f,section:0,value:0),time:(from:'2017-12-22T17:25:29-0700',mode:absolute,to:'2017-12-22T20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247" t="str">
        <f>IF(AA126&lt;VLOOKUP(AG126,Variables!$AC$3:$AD$8,2,FALSE),"Y","N")</f>
        <v>N</v>
      </c>
      <c r="X126" s="247">
        <f t="shared" si="48"/>
        <v>1</v>
      </c>
      <c r="Y126" s="247">
        <f t="shared" si="49"/>
        <v>23.294799999999999</v>
      </c>
      <c r="Z126" s="247">
        <f t="shared" si="50"/>
        <v>2.18E-2</v>
      </c>
      <c r="AA126" s="247">
        <f t="shared" si="37"/>
        <v>23.273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8"/>
        <v>214</v>
      </c>
      <c r="AE126" s="235" t="str">
        <f t="shared" si="39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126" s="234" t="str">
        <f t="shared" si="40"/>
        <v>"C:\Program Files (x86)\AstroGrep\AstroGrep.exe" /e /r /s /spath="%USERPROFILE%\AppData\Local\Temp\OnboardLogs" /stypes="app*4043*20171223*" /stext=" 02:.+((SYSTEM_STATE.+slice.+state.+changed )|(ment ac)|(multiple cpu faults)|(system.+state.+changed )|(\[timeout)|(PRM\|1\|D)|(kpr)|(kdp)|(train st.+moving)|(\|lc)|(penalty))"</v>
      </c>
      <c r="AG126" s="244" t="str">
        <f t="shared" si="41"/>
        <v>EC</v>
      </c>
      <c r="AH126" s="236" t="str">
        <f t="shared" si="42"/>
        <v>"%USERPROFILE%\Documents\GitHub\eaglep3\Utilities\RefineRTDCRunTimes.py" --tripid 214-22 --locoid 4043 --swversion DE.1.0.9.0 --startMP 204:232948 --initTime 2017-12-22T18:25:29 --startdatetime 2017-12-22T18:42:18 --delay 73 --endMP 204:218 --enddatetime 2017-12-22T19:20:35 --enforcementcount 0 &gt;&gt;%USERPROFILE%\Documents\GitHub\eaglep3-reporting\EC\2017-12-22-refined-times.txt</v>
      </c>
      <c r="AI12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{"issue":{"subject":"","project_id":79,"tracker_id":40,"status_id":1,"priority_id":2,"assigned_to_id":338,"start_date":"2017-12-22","description":"","custom_fields":[{"id":1,"name":"Subdivision","value":"EC"},{"id":4,"name":"Milepost","value":"0.0218"},{"id":17,"name":"Train ID","value":"214-22"},{"id":16,"name":"Locomotive ID","value":"4043"},{"id":130,"name":"Impact","value":""},{"id":150,"name":"Time of Event (Mountain Time)","value":"19:20:35"},{"id":151,"name":"Denver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4"/>
        <v>start /low /b %USERPROFILE%\Documents\GitHub\eaglep3\Utilities\DownloadLogsFromS3.py --loco 4043 --day 2017-12-22</v>
      </c>
      <c r="AN126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6"/>
        <v>https://d0f6bd738d7f1b3e5a7ca70fe4ff75f0.us-east-1.aws.found.io/app/kibana#/discover/Steve-Slow-Train-Analysis-(2080s-and-2083s)?_g=(refreshInterval:(display:Off,pause:!f,section:0,value:0),time:(from:'2017-12-22T17:25:29-0700',mode:absolute,to:'2017-12-22T20:20:35-0700'))&amp;_a=(columns:!('Message%20ID',Summary),filters:!(),index:'emp_*',interval:auto,query:(query_string:(analyze_wildcard:!t,query:'%22rtdc.l.rtdc.4043%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845</v>
      </c>
      <c r="B127" s="225">
        <v>4040</v>
      </c>
      <c r="C127" s="227" t="s">
        <v>192</v>
      </c>
      <c r="D127" s="227" t="s">
        <v>904</v>
      </c>
      <c r="E127" s="226">
        <v>43091.745219907411</v>
      </c>
      <c r="F127" s="226">
        <v>43091.750277777777</v>
      </c>
      <c r="G127" s="225">
        <v>79</v>
      </c>
      <c r="H127" s="227" t="s">
        <v>973</v>
      </c>
      <c r="I127" s="226">
        <v>43091.775000000001</v>
      </c>
      <c r="J127" s="225">
        <v>0</v>
      </c>
      <c r="K127" s="237" t="str">
        <f t="shared" si="28"/>
        <v>4039/4040</v>
      </c>
      <c r="L127" s="245" t="str">
        <f>VLOOKUP(A127,'Trips&amp;Operators'!$C$1:$G$99911,5,FALSE)</f>
        <v>ZEWDU DEREJE</v>
      </c>
      <c r="M127" s="224">
        <f t="shared" si="29"/>
        <v>2.4722222224227153E-2</v>
      </c>
      <c r="N127" s="225">
        <f t="shared" si="47"/>
        <v>35.6000000028871</v>
      </c>
      <c r="O127" s="225"/>
      <c r="P127" s="225"/>
      <c r="Q127" s="228"/>
      <c r="R127" s="242"/>
      <c r="S127" s="249">
        <f t="shared" si="31"/>
        <v>1</v>
      </c>
      <c r="T127" s="242" t="str">
        <f t="shared" si="32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3"/>
        <v>https://d0f6bd738d7f1b3e5a7ca70fe4ff75f0.us-east-1.aws.found.io/app/kibana#/discover/Steve-Slow-Train-Analysis-(2080s-and-2083s)?_g=(refreshInterval:(display:Off,pause:!f,section:0,value:0),time:(from:'2017-12-22T16:53:07-0700',mode:absolute,to:'2017-12-22T19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247" t="str">
        <f>IF(AA127&lt;VLOOKUP(AG127,Variables!$AC$3:$AD$8,2,FALSE),"Y","N")</f>
        <v>N</v>
      </c>
      <c r="X127" s="247">
        <f t="shared" si="48"/>
        <v>1</v>
      </c>
      <c r="Y127" s="247">
        <f t="shared" si="49"/>
        <v>4.5999999999999999E-2</v>
      </c>
      <c r="Z127" s="247">
        <f t="shared" si="50"/>
        <v>23.328700000000001</v>
      </c>
      <c r="AA127" s="247">
        <f t="shared" si="37"/>
        <v>23.282700000000002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8"/>
        <v>215</v>
      </c>
      <c r="AE127" s="235" t="str">
        <f t="shared" si="39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127" s="234" t="str">
        <f t="shared" si="40"/>
        <v>"C:\Program Files (x86)\AstroGrep\AstroGrep.exe" /e /r /s /spath="%USERPROFILE%\AppData\Local\Temp\OnboardLogs" /stypes="app*4040*20171223*" /stext=" 01:.+((SYSTEM_STATE.+slice.+state.+changed )|(ment ac)|(multiple cpu faults)|(system.+state.+changed )|(\[timeout)|(PRM\|1\|D)|(kpr)|(kdp)|(train st.+moving)|(\|lc)|(penalty))"</v>
      </c>
      <c r="AG127" s="244" t="str">
        <f t="shared" si="41"/>
        <v>EC</v>
      </c>
      <c r="AH127" s="236" t="str">
        <f t="shared" si="42"/>
        <v>"%USERPROFILE%\Documents\GitHub\eaglep3\Utilities\RefineRTDCRunTimes.py" --tripid 215-22 --locoid 4040 --swversion DE.1.0.9.0 --startMP 204:460 --initTime 2017-12-22T17:53:07 --startdatetime 2017-12-22T18:00:24 --delay 79 --endMP 204:233287 --enddatetime 2017-12-22T18:36:00 --enforcementcount 0 &gt;&gt;%USERPROFILE%\Documents\GitHub\eaglep3-reporting\EC\2017-12-22-refined-times.txt</v>
      </c>
      <c r="AI12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{"issue":{"subject":"","project_id":79,"tracker_id":40,"status_id":1,"priority_id":2,"assigned_to_id":338,"start_date":"2017-12-22","description":"","custom_fields":[{"id":1,"name":"Subdivision","value":"EC"},{"id":4,"name":"Milepost","value":"23.3287"},{"id":17,"name":"Train ID","value":"215-22"},{"id":16,"name":"Locomotive ID","value":"4040"},{"id":130,"name":"Impact","value":""},{"id":150,"name":"Time of Event (Mountain Time)","value":"18:36:00"},{"id":151,"name":"Denver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4"/>
        <v>start /low /b %USERPROFILE%\Documents\GitHub\eaglep3\Utilities\DownloadLogsFromS3.py --loco 4040 --day 2017-12-22</v>
      </c>
      <c r="AN127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6"/>
        <v>https://d0f6bd738d7f1b3e5a7ca70fe4ff75f0.us-east-1.aws.found.io/app/kibana#/discover/Steve-Slow-Train-Analysis-(2080s-and-2083s)?_g=(refreshInterval:(display:Off,pause:!f,section:0,value:0),time:(from:'2017-12-22T16:53:07-0700',mode:absolute,to:'2017-12-22T19:36:00-0700'))&amp;_a=(columns:!('Message%20ID',Summary),filters:!(),index:'emp_*',interval:auto,query:(query_string:(analyze_wildcard:!t,query:'%22rtdc.l.rtdc.4040%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856</v>
      </c>
      <c r="B128" s="225">
        <v>4039</v>
      </c>
      <c r="C128" s="227" t="s">
        <v>192</v>
      </c>
      <c r="D128" s="227" t="s">
        <v>615</v>
      </c>
      <c r="E128" s="226">
        <v>43091.784571759257</v>
      </c>
      <c r="F128" s="226">
        <v>43091.789780092593</v>
      </c>
      <c r="G128" s="225">
        <v>69</v>
      </c>
      <c r="H128" s="227" t="s">
        <v>616</v>
      </c>
      <c r="I128" s="226">
        <v>43091.81523148148</v>
      </c>
      <c r="J128" s="225">
        <v>0</v>
      </c>
      <c r="K128" s="237" t="str">
        <f t="shared" si="28"/>
        <v>4039/4040</v>
      </c>
      <c r="L128" s="245" t="str">
        <f>VLOOKUP(A128,'Trips&amp;Operators'!$C$1:$G$99911,5,FALSE)</f>
        <v>ZEWDU DEREJE</v>
      </c>
      <c r="M128" s="224">
        <f t="shared" si="29"/>
        <v>2.545138888672227E-2</v>
      </c>
      <c r="N128" s="225">
        <f t="shared" si="47"/>
        <v>36.649999996880069</v>
      </c>
      <c r="O128" s="225"/>
      <c r="P128" s="225"/>
      <c r="Q128" s="228"/>
      <c r="R128" s="242"/>
      <c r="S128" s="249">
        <f t="shared" si="31"/>
        <v>1</v>
      </c>
      <c r="T128" s="242" t="str">
        <f t="shared" si="32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3"/>
        <v>https://d0f6bd738d7f1b3e5a7ca70fe4ff75f0.us-east-1.aws.found.io/app/kibana#/discover/Steve-Slow-Train-Analysis-(2080s-and-2083s)?_g=(refreshInterval:(display:Off,pause:!f,section:0,value:0),time:(from:'2017-12-22T17:49:47-0700',mode:absolute,to:'2017-12-22T20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247" t="str">
        <f>IF(AA128&lt;VLOOKUP(AG128,Variables!$AC$3:$AD$8,2,FALSE),"Y","N")</f>
        <v>N</v>
      </c>
      <c r="X128" s="247">
        <f t="shared" si="48"/>
        <v>1</v>
      </c>
      <c r="Y128" s="247">
        <f t="shared" si="49"/>
        <v>23.296399999999998</v>
      </c>
      <c r="Z128" s="247">
        <f t="shared" si="50"/>
        <v>2.4199999999999999E-2</v>
      </c>
      <c r="AA128" s="247">
        <f t="shared" si="37"/>
        <v>23.272199999999998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8"/>
        <v>216</v>
      </c>
      <c r="AE128" s="235" t="str">
        <f t="shared" si="39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128" s="234" t="str">
        <f t="shared" si="40"/>
        <v>"C:\Program Files (x86)\AstroGrep\AstroGrep.exe" /e /r /s /spath="%USERPROFILE%\AppData\Local\Temp\OnboardLogs" /stypes="app*4039*20171223*" /stext=" 02:.+((SYSTEM_STATE.+slice.+state.+changed )|(ment ac)|(multiple cpu faults)|(system.+state.+changed )|(\[timeout)|(PRM\|1\|D)|(kpr)|(kdp)|(train st.+moving)|(\|lc)|(penalty))"</v>
      </c>
      <c r="AG128" s="244" t="str">
        <f t="shared" si="41"/>
        <v>EC</v>
      </c>
      <c r="AH128" s="236" t="str">
        <f t="shared" si="42"/>
        <v>"%USERPROFILE%\Documents\GitHub\eaglep3\Utilities\RefineRTDCRunTimes.py" --tripid 216-22 --locoid 4039 --swversion DE.1.0.9.0 --startMP 204:232964 --initTime 2017-12-22T18:49:47 --startdatetime 2017-12-22T18:57:17 --delay 69 --endMP 204:242 --enddatetime 2017-12-22T19:33:56 --enforcementcount 0 &gt;&gt;%USERPROFILE%\Documents\GitHub\eaglep3-reporting\EC\2017-12-22-refined-times.txt</v>
      </c>
      <c r="AI128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{"issue":{"subject":"","project_id":79,"tracker_id":40,"status_id":1,"priority_id":2,"assigned_to_id":338,"start_date":"2017-12-22","description":"","custom_fields":[{"id":1,"name":"Subdivision","value":"EC"},{"id":4,"name":"Milepost","value":"0.0242"},{"id":17,"name":"Train ID","value":"216-22"},{"id":16,"name":"Locomotive ID","value":"4039"},{"id":130,"name":"Impact","value":""},{"id":150,"name":"Time of Event (Mountain Time)","value":"19:33:56"},{"id":151,"name":"Denver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4"/>
        <v>start /low /b %USERPROFILE%\Documents\GitHub\eaglep3\Utilities\DownloadLogsFromS3.py --loco 4039 --day 2017-12-22</v>
      </c>
      <c r="AN128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6"/>
        <v>https://d0f6bd738d7f1b3e5a7ca70fe4ff75f0.us-east-1.aws.found.io/app/kibana#/discover/Steve-Slow-Train-Analysis-(2080s-and-2083s)?_g=(refreshInterval:(display:Off,pause:!f,section:0,value:0),time:(from:'2017-12-22T17:49:47-0700',mode:absolute,to:'2017-12-22T20:33:56-0700'))&amp;_a=(columns:!('Message%20ID',Summary),filters:!(),index:'emp_*',interval:auto,query:(query_string:(analyze_wildcard:!t,query:'%22rtdc.l.rtdc.4039%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850</v>
      </c>
      <c r="B129" s="225">
        <v>4020</v>
      </c>
      <c r="C129" s="227" t="s">
        <v>192</v>
      </c>
      <c r="D129" s="227" t="s">
        <v>524</v>
      </c>
      <c r="E129" s="226">
        <v>43091.756828703707</v>
      </c>
      <c r="F129" s="226">
        <v>43091.760717592595</v>
      </c>
      <c r="G129" s="225">
        <v>104</v>
      </c>
      <c r="H129" s="227" t="s">
        <v>974</v>
      </c>
      <c r="I129" s="226">
        <v>43091.786168981482</v>
      </c>
      <c r="J129" s="225">
        <v>0</v>
      </c>
      <c r="K129" s="237" t="str">
        <f t="shared" si="28"/>
        <v>4019/4020</v>
      </c>
      <c r="L129" s="245" t="str">
        <f>VLOOKUP(A129,'Trips&amp;Operators'!$C$1:$G$99911,5,FALSE)</f>
        <v>NICHOLSON WESLEY</v>
      </c>
      <c r="M129" s="224">
        <f t="shared" si="29"/>
        <v>2.545138888672227E-2</v>
      </c>
      <c r="N129" s="225">
        <f t="shared" si="47"/>
        <v>36.649999996880069</v>
      </c>
      <c r="O129" s="225"/>
      <c r="P129" s="225"/>
      <c r="Q129" s="228"/>
      <c r="R129" s="242"/>
      <c r="S129" s="249">
        <f t="shared" si="31"/>
        <v>1</v>
      </c>
      <c r="T129" s="242" t="str">
        <f t="shared" si="32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3"/>
        <v>https://d0f6bd738d7f1b3e5a7ca70fe4ff75f0.us-east-1.aws.found.io/app/kibana#/discover/Steve-Slow-Train-Analysis-(2080s-and-2083s)?_g=(refreshInterval:(display:Off,pause:!f,section:0,value:0),time:(from:'2017-12-22T17:09:50-0700',mode:absolute,to:'2017-12-22T19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247" t="str">
        <f>IF(AA129&lt;VLOOKUP(AG129,Variables!$AC$3:$AD$8,2,FALSE),"Y","N")</f>
        <v>N</v>
      </c>
      <c r="X129" s="247">
        <f t="shared" si="48"/>
        <v>1</v>
      </c>
      <c r="Y129" s="247">
        <f t="shared" si="49"/>
        <v>5.11E-2</v>
      </c>
      <c r="Z129" s="247">
        <f t="shared" si="50"/>
        <v>23.3186</v>
      </c>
      <c r="AA129" s="247">
        <f t="shared" si="37"/>
        <v>23.267499999999998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8"/>
        <v>217</v>
      </c>
      <c r="AE129" s="235" t="str">
        <f t="shared" si="39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29" s="234" t="str">
        <f t="shared" si="40"/>
        <v>"C:\Program Files (x86)\AstroGrep\AstroGrep.exe" /e /r /s /spath="%USERPROFILE%\AppData\Local\Temp\OnboardLogs" /stypes="app*4020*20171223*" /stext=" 01:.+((SYSTEM_STATE.+slice.+state.+changed )|(ment ac)|(multiple cpu faults)|(system.+state.+changed )|(\[timeout)|(PRM\|1\|D)|(kpr)|(kdp)|(train st.+moving)|(\|lc)|(penalty))"</v>
      </c>
      <c r="AG129" s="244" t="str">
        <f t="shared" si="41"/>
        <v>EC</v>
      </c>
      <c r="AH129" s="236" t="str">
        <f t="shared" si="42"/>
        <v>"%USERPROFILE%\Documents\GitHub\eaglep3\Utilities\RefineRTDCRunTimes.py" --tripid 217-22 --locoid 4020 --swversion DE.1.0.9.0 --startMP 204:511 --initTime 2017-12-22T18:09:50 --startdatetime 2017-12-22T18:15:26 --delay 104 --endMP 204:233186 --enddatetime 2017-12-22T18:52:05 --enforcementcount 0 &gt;&gt;%USERPROFILE%\Documents\GitHub\eaglep3-reporting\EC\2017-12-22-refined-times.txt</v>
      </c>
      <c r="AI12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{"issue":{"subject":"","project_id":79,"tracker_id":40,"status_id":1,"priority_id":2,"assigned_to_id":338,"start_date":"2017-12-22","description":"","custom_fields":[{"id":1,"name":"Subdivision","value":"EC"},{"id":4,"name":"Milepost","value":"23.3186"},{"id":17,"name":"Train ID","value":"217-22"},{"id":16,"name":"Locomotive ID","value":"4020"},{"id":130,"name":"Impact","value":""},{"id":150,"name":"Time of Event (Mountain Time)","value":"18:52:05"},{"id":151,"name":"Denver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4"/>
        <v>start /low /b %USERPROFILE%\Documents\GitHub\eaglep3\Utilities\DownloadLogsFromS3.py --loco 4020 --day 2017-12-22</v>
      </c>
      <c r="AN129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6"/>
        <v>https://d0f6bd738d7f1b3e5a7ca70fe4ff75f0.us-east-1.aws.found.io/app/kibana#/discover/Steve-Slow-Train-Analysis-(2080s-and-2083s)?_g=(refreshInterval:(display:Off,pause:!f,section:0,value:0),time:(from:'2017-12-22T17:09:50-0700',mode:absolute,to:'2017-12-22T19:52:05-0700'))&amp;_a=(columns:!('Message%20ID',Summary),filters:!(),index:'emp_*',interval:auto,query:(query_string:(analyze_wildcard:!t,query:'%22rtdc.l.rtdc.4020%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858</v>
      </c>
      <c r="B130" s="225">
        <v>4019</v>
      </c>
      <c r="C130" s="227" t="s">
        <v>192</v>
      </c>
      <c r="D130" s="227" t="s">
        <v>968</v>
      </c>
      <c r="E130" s="226">
        <v>43091.789664351854</v>
      </c>
      <c r="F130" s="226">
        <v>43091.800162037034</v>
      </c>
      <c r="G130" s="225">
        <v>102</v>
      </c>
      <c r="H130" s="227" t="s">
        <v>614</v>
      </c>
      <c r="I130" s="226">
        <v>43091.826261574075</v>
      </c>
      <c r="J130" s="225">
        <v>0</v>
      </c>
      <c r="K130" s="237" t="str">
        <f t="shared" si="28"/>
        <v>4019/4020</v>
      </c>
      <c r="L130" s="245" t="str">
        <f>VLOOKUP(A130,'Trips&amp;Operators'!$C$1:$G$99911,5,FALSE)</f>
        <v>SANTIZO D. EDY</v>
      </c>
      <c r="M130" s="224">
        <f t="shared" si="29"/>
        <v>2.6099537040863652E-2</v>
      </c>
      <c r="N130" s="225">
        <f t="shared" si="47"/>
        <v>37.583333338843659</v>
      </c>
      <c r="O130" s="225"/>
      <c r="P130" s="225"/>
      <c r="Q130" s="228"/>
      <c r="R130" s="242"/>
      <c r="S130" s="249">
        <f t="shared" si="31"/>
        <v>1</v>
      </c>
      <c r="T130" s="242" t="str">
        <f t="shared" si="32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3"/>
        <v>https://d0f6bd738d7f1b3e5a7ca70fe4ff75f0.us-east-1.aws.found.io/app/kibana#/discover/Steve-Slow-Train-Analysis-(2080s-and-2083s)?_g=(refreshInterval:(display:Off,pause:!f,section:0,value:0),time:(from:'2017-12-22T17:57:07-0700',mode:absolute,to:'2017-12-22T20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47" t="str">
        <f>IF(AA130&lt;VLOOKUP(AG130,Variables!$AC$3:$AD$8,2,FALSE),"Y","N")</f>
        <v>N</v>
      </c>
      <c r="X130" s="247">
        <f t="shared" si="48"/>
        <v>1</v>
      </c>
      <c r="Y130" s="247">
        <f t="shared" si="49"/>
        <v>23.286100000000001</v>
      </c>
      <c r="Z130" s="247">
        <f t="shared" si="50"/>
        <v>2.58E-2</v>
      </c>
      <c r="AA130" s="247">
        <f t="shared" si="37"/>
        <v>23.260300000000001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8"/>
        <v>218</v>
      </c>
      <c r="AE130" s="235" t="str">
        <f t="shared" si="39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30" s="234" t="str">
        <f t="shared" si="40"/>
        <v>"C:\Program Files (x86)\AstroGrep\AstroGrep.exe" /e /r /s /spath="%USERPROFILE%\AppData\Local\Temp\OnboardLogs" /stypes="app*4019*20171223*" /stext=" 02:.+((SYSTEM_STATE.+slice.+state.+changed )|(ment ac)|(multiple cpu faults)|(system.+state.+changed )|(\[timeout)|(PRM\|1\|D)|(kpr)|(kdp)|(train st.+moving)|(\|lc)|(penalty))"</v>
      </c>
      <c r="AG130" s="244" t="str">
        <f t="shared" si="41"/>
        <v>EC</v>
      </c>
      <c r="AH130" s="236" t="str">
        <f t="shared" si="42"/>
        <v>"%USERPROFILE%\Documents\GitHub\eaglep3\Utilities\RefineRTDCRunTimes.py" --tripid 218-22 --locoid 4019 --swversion DE.1.0.9.0 --startMP 204:232861 --initTime 2017-12-22T18:57:07 --startdatetime 2017-12-22T19:12:14 --delay 102 --endMP 204:258 --enddatetime 2017-12-22T19:49:49 --enforcementcount 0 &gt;&gt;%USERPROFILE%\Documents\GitHub\eaglep3-reporting\EC\2017-12-22-refined-times.txt</v>
      </c>
      <c r="AI13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{"issue":{"subject":"","project_id":79,"tracker_id":40,"status_id":1,"priority_id":2,"assigned_to_id":338,"start_date":"2017-12-22","description":"","custom_fields":[{"id":1,"name":"Subdivision","value":"EC"},{"id":4,"name":"Milepost","value":"0.0258"},{"id":17,"name":"Train ID","value":"218-22"},{"id":16,"name":"Locomotive ID","value":"4019"},{"id":130,"name":"Impact","value":""},{"id":150,"name":"Time of Event (Mountain Time)","value":"19:49:49"},{"id":151,"name":"Denver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4"/>
        <v>start /low /b %USERPROFILE%\Documents\GitHub\eaglep3\Utilities\DownloadLogsFromS3.py --loco 4019 --day 2017-12-22</v>
      </c>
      <c r="AN130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6"/>
        <v>https://d0f6bd738d7f1b3e5a7ca70fe4ff75f0.us-east-1.aws.found.io/app/kibana#/discover/Steve-Slow-Train-Analysis-(2080s-and-2083s)?_g=(refreshInterval:(display:Off,pause:!f,section:0,value:0),time:(from:'2017-12-22T17:57:07-0700',mode:absolute,to:'2017-12-22T20:49:49-0700'))&amp;_a=(columns:!('Message%20ID',Summary),filters:!(),index:'emp_*',interval:auto,query:(query_string:(analyze_wildcard:!t,query:'%22rtdc.l.rtdc.4019%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852</v>
      </c>
      <c r="B131" s="225">
        <v>4006</v>
      </c>
      <c r="C131" s="227" t="s">
        <v>192</v>
      </c>
      <c r="D131" s="227" t="s">
        <v>565</v>
      </c>
      <c r="E131" s="226">
        <v>43091.766099537039</v>
      </c>
      <c r="F131" s="226">
        <v>43091.770983796298</v>
      </c>
      <c r="G131" s="225">
        <v>90</v>
      </c>
      <c r="H131" s="227" t="s">
        <v>963</v>
      </c>
      <c r="I131" s="226">
        <v>43091.79546296296</v>
      </c>
      <c r="J131" s="225">
        <v>0</v>
      </c>
      <c r="K131" s="237" t="str">
        <f t="shared" si="28"/>
        <v>4005/4006</v>
      </c>
      <c r="L131" s="245" t="str">
        <f>VLOOKUP(A131,'Trips&amp;Operators'!$C$1:$G$99911,5,FALSE)</f>
        <v>ELBAUM MIKE</v>
      </c>
      <c r="M131" s="224">
        <f t="shared" si="29"/>
        <v>2.4479166662786156E-2</v>
      </c>
      <c r="N131" s="225">
        <f t="shared" si="47"/>
        <v>35.249999994412065</v>
      </c>
      <c r="O131" s="225"/>
      <c r="P131" s="225"/>
      <c r="Q131" s="228"/>
      <c r="R131" s="242"/>
      <c r="S131" s="249">
        <f t="shared" si="31"/>
        <v>1</v>
      </c>
      <c r="T131" s="242" t="str">
        <f t="shared" si="32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3"/>
        <v>https://d0f6bd738d7f1b3e5a7ca70fe4ff75f0.us-east-1.aws.found.io/app/kibana#/discover/Steve-Slow-Train-Analysis-(2080s-and-2083s)?_g=(refreshInterval:(display:Off,pause:!f,section:0,value:0),time:(from:'2017-12-22T17:23:11-0700',mode:absolute,to:'2017-12-22T20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247" t="str">
        <f>IF(AA131&lt;VLOOKUP(AG131,Variables!$AC$3:$AD$8,2,FALSE),"Y","N")</f>
        <v>N</v>
      </c>
      <c r="X131" s="247">
        <f t="shared" si="48"/>
        <v>1</v>
      </c>
      <c r="Y131" s="247">
        <f t="shared" si="49"/>
        <v>4.82E-2</v>
      </c>
      <c r="Z131" s="247">
        <f t="shared" si="50"/>
        <v>23.325099999999999</v>
      </c>
      <c r="AA131" s="247">
        <f t="shared" si="37"/>
        <v>23.276899999999998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8"/>
        <v>219</v>
      </c>
      <c r="AE131" s="235" t="str">
        <f t="shared" si="39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31" s="234" t="str">
        <f t="shared" si="40"/>
        <v>"C:\Program Files (x86)\AstroGrep\AstroGrep.exe" /e /r /s /spath="%USERPROFILE%\AppData\Local\Temp\OnboardLogs" /stypes="app*4006*20171223*" /stext=" 02:.+((SYSTEM_STATE.+slice.+state.+changed )|(ment ac)|(multiple cpu faults)|(system.+state.+changed )|(\[timeout)|(PRM\|1\|D)|(kpr)|(kdp)|(train st.+moving)|(\|lc)|(penalty))"</v>
      </c>
      <c r="AG131" s="244" t="str">
        <f t="shared" si="41"/>
        <v>EC</v>
      </c>
      <c r="AH131" s="236" t="str">
        <f t="shared" si="42"/>
        <v>"%USERPROFILE%\Documents\GitHub\eaglep3\Utilities\RefineRTDCRunTimes.py" --tripid 219-22 --locoid 4006 --swversion DE.1.0.9.0 --startMP 204:482 --initTime 2017-12-22T18:23:11 --startdatetime 2017-12-22T18:30:13 --delay 90 --endMP 204:233251 --enddatetime 2017-12-22T19:05:28 --enforcementcount 0 &gt;&gt;%USERPROFILE%\Documents\GitHub\eaglep3-reporting\EC\2017-12-22-refined-times.txt</v>
      </c>
      <c r="AI13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{"issue":{"subject":"","project_id":79,"tracker_id":40,"status_id":1,"priority_id":2,"assigned_to_id":338,"start_date":"2017-12-22","description":"","custom_fields":[{"id":1,"name":"Subdivision","value":"EC"},{"id":4,"name":"Milepost","value":"23.3251"},{"id":17,"name":"Train ID","value":"219-22"},{"id":16,"name":"Locomotive ID","value":"4006"},{"id":130,"name":"Impact","value":""},{"id":150,"name":"Time of Event (Mountain Time)","value":"19:05:28"},{"id":151,"name":"Denver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4"/>
        <v>start /low /b %USERPROFILE%\Documents\GitHub\eaglep3\Utilities\DownloadLogsFromS3.py --loco 4006 --day 2017-12-22</v>
      </c>
      <c r="AN131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6"/>
        <v>https://d0f6bd738d7f1b3e5a7ca70fe4ff75f0.us-east-1.aws.found.io/app/kibana#/discover/Steve-Slow-Train-Analysis-(2080s-and-2083s)?_g=(refreshInterval:(display:Off,pause:!f,section:0,value:0),time:(from:'2017-12-22T17:23:11-0700',mode:absolute,to:'2017-12-22T20:05:28-0700'))&amp;_a=(columns:!('Message%20ID',Summary),filters:!(),index:'emp_*',interval:auto,query:(query_string:(analyze_wildcard:!t,query:'%22rtdc.l.rtdc.4006%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662</v>
      </c>
      <c r="B132" s="225">
        <v>4005</v>
      </c>
      <c r="C132" s="227" t="s">
        <v>192</v>
      </c>
      <c r="D132" s="227" t="s">
        <v>962</v>
      </c>
      <c r="E132" s="226">
        <v>43091.797418981485</v>
      </c>
      <c r="F132" s="226">
        <v>43091.810567129629</v>
      </c>
      <c r="G132" s="225">
        <v>74</v>
      </c>
      <c r="H132" s="227" t="s">
        <v>938</v>
      </c>
      <c r="I132" s="226">
        <v>43091.836134259262</v>
      </c>
      <c r="J132" s="225">
        <v>0</v>
      </c>
      <c r="K132" s="237" t="str">
        <f t="shared" si="28"/>
        <v>4005/4006</v>
      </c>
      <c r="L132" s="245" t="str">
        <f>VLOOKUP(A132,'Trips&amp;Operators'!$C$1:$G$99911,5,FALSE)</f>
        <v>ELBAUM MIKE</v>
      </c>
      <c r="M132" s="224">
        <f t="shared" si="29"/>
        <v>2.5567129632690921E-2</v>
      </c>
      <c r="N132" s="225">
        <f t="shared" si="47"/>
        <v>36.816666671074927</v>
      </c>
      <c r="O132" s="225"/>
      <c r="P132" s="225"/>
      <c r="Q132" s="228"/>
      <c r="R132" s="242"/>
      <c r="S132" s="249">
        <f t="shared" si="31"/>
        <v>1</v>
      </c>
      <c r="T132" s="242" t="str">
        <f t="shared" si="32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3"/>
        <v>https://d0f6bd738d7f1b3e5a7ca70fe4ff75f0.us-east-1.aws.found.io/app/kibana#/discover/Steve-Slow-Train-Analysis-(2080s-and-2083s)?_g=(refreshInterval:(display:Off,pause:!f,section:0,value:0),time:(from:'2017-12-22T18:08:17-0700',mode:absolute,to:'2017-12-22T21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247" t="str">
        <f>IF(AA132&lt;VLOOKUP(AG132,Variables!$AC$3:$AD$8,2,FALSE),"Y","N")</f>
        <v>N</v>
      </c>
      <c r="X132" s="247">
        <f t="shared" si="48"/>
        <v>1</v>
      </c>
      <c r="Y132" s="247">
        <f t="shared" si="49"/>
        <v>23.294</v>
      </c>
      <c r="Z132" s="247">
        <f t="shared" si="50"/>
        <v>2.69E-2</v>
      </c>
      <c r="AA132" s="247">
        <f t="shared" si="37"/>
        <v>23.267099999999999</v>
      </c>
      <c r="AB132" s="233" t="str">
        <f>VLOOKUP(A132,Enforcements!$C$7:$K$9,8,0)</f>
        <v>Bulletin (2)</v>
      </c>
      <c r="AC132" s="232" t="str">
        <f>VLOOKUP(A132,Enforcements!$C$7:$E$9,3,0)</f>
        <v>GRADE CROSSING</v>
      </c>
      <c r="AD132" s="243">
        <f t="shared" si="38"/>
        <v>220</v>
      </c>
      <c r="AE132" s="235" t="str">
        <f t="shared" si="39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132" s="234" t="str">
        <f t="shared" si="40"/>
        <v>"C:\Program Files (x86)\AstroGrep\AstroGrep.exe" /e /r /s /spath="%USERPROFILE%\AppData\Local\Temp\OnboardLogs" /stypes="app*4005*20171223*" /stext=" 03:.+((SYSTEM_STATE.+slice.+state.+changed )|(ment ac)|(multiple cpu faults)|(system.+state.+changed )|(\[timeout)|(PRM\|1\|D)|(kpr)|(kdp)|(train st.+moving)|(\|lc)|(penalty))"</v>
      </c>
      <c r="AG132" s="244" t="str">
        <f t="shared" si="41"/>
        <v>EC</v>
      </c>
      <c r="AH132" s="236" t="str">
        <f t="shared" si="42"/>
        <v>"%USERPROFILE%\Documents\GitHub\eaglep3\Utilities\RefineRTDCRunTimes.py" --tripid 220-22 --locoid 4005 --swversion DE.1.0.9.0 --startMP 204:232940 --initTime 2017-12-22T19:08:17 --startdatetime 2017-12-22T19:27:13 --delay 74 --endMP 204:269 --enddatetime 2017-12-22T20:04:02 --enforcementcount 0 &gt;&gt;%USERPROFILE%\Documents\GitHub\eaglep3-reporting\EC\2017-12-22-refined-times.txt</v>
      </c>
      <c r="AI132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{"issue":{"subject":"","project_id":79,"tracker_id":40,"status_id":1,"priority_id":2,"assigned_to_id":338,"start_date":"2017-12-22","description":"","custom_fields":[{"id":1,"name":"Subdivision","value":"EC"},{"id":4,"name":"Milepost","value":"0.0269"},{"id":17,"name":"Train ID","value":"220-22"},{"id":16,"name":"Locomotive ID","value":"4005"},{"id":130,"name":"Impact","value":""},{"id":150,"name":"Time of Event (Mountain Time)","value":"20:04:02"},{"id":151,"name":"Denver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4"/>
        <v>start /low /b %USERPROFILE%\Documents\GitHub\eaglep3\Utilities\DownloadLogsFromS3.py --loco 4005 --day 2017-12-22</v>
      </c>
      <c r="AN132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6"/>
        <v>https://d0f6bd738d7f1b3e5a7ca70fe4ff75f0.us-east-1.aws.found.io/app/kibana#/discover/Steve-Slow-Train-Analysis-(2080s-and-2083s)?_g=(refreshInterval:(display:Off,pause:!f,section:0,value:0),time:(from:'2017-12-22T18:08:17-0700',mode:absolute,to:'2017-12-22T21:04:02-0700'))&amp;_a=(columns:!('Message%20ID',Summary),filters:!(),index:'emp_*',interval:auto,query:(query_string:(analyze_wildcard:!t,query:'%22rtdc.l.rtdc.4005%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861</v>
      </c>
      <c r="B133" s="225">
        <v>4010</v>
      </c>
      <c r="C133" s="227" t="s">
        <v>192</v>
      </c>
      <c r="D133" s="227" t="s">
        <v>559</v>
      </c>
      <c r="E133" s="226">
        <v>43091.789953703701</v>
      </c>
      <c r="F133" s="226">
        <v>43091.792384259257</v>
      </c>
      <c r="G133" s="225">
        <v>73</v>
      </c>
      <c r="H133" s="227" t="s">
        <v>899</v>
      </c>
      <c r="I133" s="226">
        <v>43091.81722222222</v>
      </c>
      <c r="J133" s="225">
        <v>0</v>
      </c>
      <c r="K133" s="237" t="str">
        <f t="shared" si="28"/>
        <v>4009/4010</v>
      </c>
      <c r="L133" s="245" t="str">
        <f>VLOOKUP(A133,'Trips&amp;Operators'!$C$1:$G$99911,5,FALSE)</f>
        <v>ANDERS STEVEN</v>
      </c>
      <c r="M133" s="224">
        <f t="shared" si="29"/>
        <v>2.4837962962919846E-2</v>
      </c>
      <c r="N133" s="225">
        <f t="shared" si="47"/>
        <v>35.766666666604578</v>
      </c>
      <c r="O133" s="225"/>
      <c r="P133" s="225"/>
      <c r="Q133" s="228"/>
      <c r="R133" s="242"/>
      <c r="S133" s="249">
        <f t="shared" si="31"/>
        <v>1</v>
      </c>
      <c r="T133" s="242" t="str">
        <f t="shared" si="32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3"/>
        <v>https://d0f6bd738d7f1b3e5a7ca70fe4ff75f0.us-east-1.aws.found.io/app/kibana#/discover/Steve-Slow-Train-Analysis-(2080s-and-2083s)?_g=(refreshInterval:(display:Off,pause:!f,section:0,value:0),time:(from:'2017-12-22T17:57:32-0700',mode:absolute,to:'2017-12-22T20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3" s="247" t="str">
        <f>IF(AA133&lt;VLOOKUP(AG133,Variables!$AC$3:$AD$8,2,FALSE),"Y","N")</f>
        <v>N</v>
      </c>
      <c r="X133" s="247">
        <f t="shared" si="48"/>
        <v>1</v>
      </c>
      <c r="Y133" s="247">
        <f t="shared" si="49"/>
        <v>5.04E-2</v>
      </c>
      <c r="Z133" s="247">
        <f t="shared" si="50"/>
        <v>23.328399999999998</v>
      </c>
      <c r="AA133" s="247">
        <f t="shared" si="37"/>
        <v>23.277999999999999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8"/>
        <v>221</v>
      </c>
      <c r="AE133" s="235" t="str">
        <f t="shared" si="39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133" s="234" t="str">
        <f t="shared" si="40"/>
        <v>"C:\Program Files (x86)\AstroGrep\AstroGrep.exe" /e /r /s /spath="%USERPROFILE%\AppData\Local\Temp\OnboardLogs" /stypes="app*4010*20171223*" /stext=" 02:.+((SYSTEM_STATE.+slice.+state.+changed )|(ment ac)|(multiple cpu faults)|(system.+state.+changed )|(\[timeout)|(PRM\|1\|D)|(kpr)|(kdp)|(train st.+moving)|(\|lc)|(penalty))"</v>
      </c>
      <c r="AG133" s="244" t="str">
        <f t="shared" si="41"/>
        <v>EC</v>
      </c>
      <c r="AH133" s="236" t="str">
        <f t="shared" si="42"/>
        <v>"%USERPROFILE%\Documents\GitHub\eaglep3\Utilities\RefineRTDCRunTimes.py" --tripid 221-22 --locoid 4010 --swversion DE.1.0.9.0 --startMP 204:504 --initTime 2017-12-22T18:57:32 --startdatetime 2017-12-22T19:01:02 --delay 73 --endMP 204:233284 --enddatetime 2017-12-22T19:36:48 --enforcementcount 0 &gt;&gt;%USERPROFILE%\Documents\GitHub\eaglep3-reporting\EC\2017-12-22-refined-times.txt</v>
      </c>
      <c r="AI133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{"issue":{"subject":"","project_id":79,"tracker_id":40,"status_id":1,"priority_id":2,"assigned_to_id":338,"start_date":"2017-12-22","description":"","custom_fields":[{"id":1,"name":"Subdivision","value":"EC"},{"id":4,"name":"Milepost","value":"23.3284"},{"id":17,"name":"Train ID","value":"221-22"},{"id":16,"name":"Locomotive ID","value":"4010"},{"id":130,"name":"Impact","value":""},{"id":150,"name":"Time of Event (Mountain Time)","value":"19:36:48"},{"id":151,"name":"Denver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4"/>
        <v>start /low /b %USERPROFILE%\Documents\GitHub\eaglep3\Utilities\DownloadLogsFromS3.py --loco 4010 --day 2017-12-22</v>
      </c>
      <c r="AN133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6"/>
        <v>https://d0f6bd738d7f1b3e5a7ca70fe4ff75f0.us-east-1.aws.found.io/app/kibana#/discover/Steve-Slow-Train-Analysis-(2080s-and-2083s)?_g=(refreshInterval:(display:Off,pause:!f,section:0,value:0),time:(from:'2017-12-22T17:57:32-0700',mode:absolute,to:'2017-12-22T20:36:48-0700'))&amp;_a=(columns:!('Message%20ID',Summary),filters:!(),index:'emp_*',interval:auto,query:(query_string:(analyze_wildcard:!t,query:'%22rtdc.l.rtdc.4010%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866</v>
      </c>
      <c r="B134" s="225">
        <v>4009</v>
      </c>
      <c r="C134" s="227" t="s">
        <v>192</v>
      </c>
      <c r="D134" s="227" t="s">
        <v>975</v>
      </c>
      <c r="E134" s="226">
        <v>43091.825254629628</v>
      </c>
      <c r="F134" s="226">
        <v>43091.831597222219</v>
      </c>
      <c r="G134" s="225">
        <v>83</v>
      </c>
      <c r="H134" s="227" t="s">
        <v>976</v>
      </c>
      <c r="I134" s="226">
        <v>43091.858206018522</v>
      </c>
      <c r="J134" s="225">
        <v>0</v>
      </c>
      <c r="K134" s="237" t="str">
        <f t="shared" si="28"/>
        <v>4009/4010</v>
      </c>
      <c r="L134" s="245" t="str">
        <f>VLOOKUP(A134,'Trips&amp;Operators'!$C$1:$G$99911,5,FALSE)</f>
        <v>ANDERS STEVEN</v>
      </c>
      <c r="M134" s="224">
        <f t="shared" si="29"/>
        <v>2.6608796302753035E-2</v>
      </c>
      <c r="N134" s="225">
        <f t="shared" si="47"/>
        <v>38.31666667596437</v>
      </c>
      <c r="O134" s="225"/>
      <c r="P134" s="225"/>
      <c r="Q134" s="228"/>
      <c r="R134" s="242"/>
      <c r="S134" s="249">
        <f t="shared" si="31"/>
        <v>1</v>
      </c>
      <c r="T134" s="242" t="str">
        <f t="shared" si="32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3"/>
        <v>https://d0f6bd738d7f1b3e5a7ca70fe4ff75f0.us-east-1.aws.found.io/app/kibana#/discover/Steve-Slow-Train-Analysis-(2080s-and-2083s)?_g=(refreshInterval:(display:Off,pause:!f,section:0,value:0),time:(from:'2017-12-22T18:48:22-0700',mode:absolute,to:'2017-12-22T21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4" s="247" t="str">
        <f>IF(AA134&lt;VLOOKUP(AG134,Variables!$AC$3:$AD$8,2,FALSE),"Y","N")</f>
        <v>N</v>
      </c>
      <c r="X134" s="247">
        <f t="shared" si="48"/>
        <v>1</v>
      </c>
      <c r="Y134" s="247">
        <f t="shared" si="49"/>
        <v>23.294599999999999</v>
      </c>
      <c r="Z134" s="247">
        <f t="shared" si="50"/>
        <v>2.4500000000000001E-2</v>
      </c>
      <c r="AA134" s="247">
        <f t="shared" si="37"/>
        <v>23.270099999999999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8"/>
        <v>222</v>
      </c>
      <c r="AE134" s="235" t="str">
        <f t="shared" si="39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134" s="234" t="str">
        <f t="shared" si="40"/>
        <v>"C:\Program Files (x86)\AstroGrep\AstroGrep.exe" /e /r /s /spath="%USERPROFILE%\AppData\Local\Temp\OnboardLogs" /stypes="app*4009*20171223*" /stext=" 03:.+((SYSTEM_STATE.+slice.+state.+changed )|(ment ac)|(multiple cpu faults)|(system.+state.+changed )|(\[timeout)|(PRM\|1\|D)|(kpr)|(kdp)|(train st.+moving)|(\|lc)|(penalty))"</v>
      </c>
      <c r="AG134" s="244" t="str">
        <f t="shared" si="41"/>
        <v>EC</v>
      </c>
      <c r="AH134" s="236" t="str">
        <f t="shared" si="42"/>
        <v>"%USERPROFILE%\Documents\GitHub\eaglep3\Utilities\RefineRTDCRunTimes.py" --tripid 222-22 --locoid 4009 --swversion DE.1.0.9.0 --startMP 204:232946 --initTime 2017-12-22T19:48:22 --startdatetime 2017-12-22T19:57:30 --delay 83 --endMP 204:245 --enddatetime 2017-12-22T20:35:49 --enforcementcount 0 &gt;&gt;%USERPROFILE%\Documents\GitHub\eaglep3-reporting\EC\2017-12-22-refined-times.txt</v>
      </c>
      <c r="AI134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{"issue":{"subject":"","project_id":79,"tracker_id":40,"status_id":1,"priority_id":2,"assigned_to_id":338,"start_date":"2017-12-22","description":"","custom_fields":[{"id":1,"name":"Subdivision","value":"EC"},{"id":4,"name":"Milepost","value":"0.0245"},{"id":17,"name":"Train ID","value":"222-22"},{"id":16,"name":"Locomotive ID","value":"4009"},{"id":130,"name":"Impact","value":""},{"id":150,"name":"Time of Event (Mountain Time)","value":"20:35:49"},{"id":151,"name":"Denver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4"/>
        <v>start /low /b %USERPROFILE%\Documents\GitHub\eaglep3\Utilities\DownloadLogsFromS3.py --loco 4009 --day 2017-12-22</v>
      </c>
      <c r="AN134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6"/>
        <v>https://d0f6bd738d7f1b3e5a7ca70fe4ff75f0.us-east-1.aws.found.io/app/kibana#/discover/Steve-Slow-Train-Analysis-(2080s-and-2083s)?_g=(refreshInterval:(display:Off,pause:!f,section:0,value:0),time:(from:'2017-12-22T18:48:22-0700',mode:absolute,to:'2017-12-22T21:35:49-0700'))&amp;_a=(columns:!('Message%20ID',Summary),filters:!(),index:'emp_*',interval:auto,query:(query_string:(analyze_wildcard:!t,query:'%22rtdc.l.rtdc.4009%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864</v>
      </c>
      <c r="B135" s="225">
        <v>4044</v>
      </c>
      <c r="C135" s="227" t="s">
        <v>192</v>
      </c>
      <c r="D135" s="227" t="s">
        <v>935</v>
      </c>
      <c r="E135" s="226">
        <v>43091.807847222219</v>
      </c>
      <c r="F135" s="226">
        <v>43091.812719907408</v>
      </c>
      <c r="G135" s="225">
        <v>60</v>
      </c>
      <c r="H135" s="227" t="s">
        <v>525</v>
      </c>
      <c r="I135" s="226">
        <v>43091.838645833333</v>
      </c>
      <c r="J135" s="225">
        <v>0</v>
      </c>
      <c r="K135" s="237" t="str">
        <f t="shared" si="28"/>
        <v>4043/4044</v>
      </c>
      <c r="L135" s="245" t="str">
        <f>VLOOKUP(A135,'Trips&amp;Operators'!$C$1:$G$99911,5,FALSE)</f>
        <v>DAVIDSON DAVID</v>
      </c>
      <c r="M135" s="224">
        <f t="shared" si="29"/>
        <v>2.5925925925548654E-2</v>
      </c>
      <c r="N135" s="225">
        <f t="shared" si="47"/>
        <v>37.333333332790062</v>
      </c>
      <c r="O135" s="225"/>
      <c r="P135" s="225"/>
      <c r="Q135" s="228"/>
      <c r="R135" s="242"/>
      <c r="S135" s="249">
        <f t="shared" si="31"/>
        <v>1</v>
      </c>
      <c r="T135" s="242" t="str">
        <f t="shared" si="32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3"/>
        <v>https://d0f6bd738d7f1b3e5a7ca70fe4ff75f0.us-east-1.aws.found.io/app/kibana#/discover/Steve-Slow-Train-Analysis-(2080s-and-2083s)?_g=(refreshInterval:(display:Off,pause:!f,section:0,value:0),time:(from:'2017-12-22T18:23:18-0700',mode:absolute,to:'2017-12-22T21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47" t="str">
        <f>IF(AA135&lt;VLOOKUP(AG135,Variables!$AC$3:$AD$8,2,FALSE),"Y","N")</f>
        <v>N</v>
      </c>
      <c r="X135" s="247">
        <f t="shared" si="48"/>
        <v>1</v>
      </c>
      <c r="Y135" s="247">
        <f t="shared" si="49"/>
        <v>5.3100000000000001E-2</v>
      </c>
      <c r="Z135" s="247">
        <f t="shared" si="50"/>
        <v>23.325900000000001</v>
      </c>
      <c r="AA135" s="247">
        <f t="shared" si="37"/>
        <v>23.2728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8"/>
        <v>223</v>
      </c>
      <c r="AE135" s="235" t="str">
        <f t="shared" si="39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35" s="234" t="str">
        <f t="shared" si="40"/>
        <v>"C:\Program Files (x86)\AstroGrep\AstroGrep.exe" /e /r /s /spath="%USERPROFILE%\AppData\Local\Temp\OnboardLogs" /stypes="app*4044*20171223*" /stext=" 03:.+((SYSTEM_STATE.+slice.+state.+changed )|(ment ac)|(multiple cpu faults)|(system.+state.+changed )|(\[timeout)|(PRM\|1\|D)|(kpr)|(kdp)|(train st.+moving)|(\|lc)|(penalty))"</v>
      </c>
      <c r="AG135" s="244" t="str">
        <f t="shared" si="41"/>
        <v>EC</v>
      </c>
      <c r="AH135" s="236" t="str">
        <f t="shared" si="42"/>
        <v>"%USERPROFILE%\Documents\GitHub\eaglep3\Utilities\RefineRTDCRunTimes.py" --tripid 223-22 --locoid 4044 --swversion DE.1.0.9.0 --startMP 204:531 --initTime 2017-12-22T19:23:18 --startdatetime 2017-12-22T19:30:19 --delay 60 --endMP 204:233259 --enddatetime 2017-12-22T20:07:39 --enforcementcount 0 &gt;&gt;%USERPROFILE%\Documents\GitHub\eaglep3-reporting\EC\2017-12-22-refined-times.txt</v>
      </c>
      <c r="AI135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{"issue":{"subject":"","project_id":79,"tracker_id":40,"status_id":1,"priority_id":2,"assigned_to_id":338,"start_date":"2017-12-22","description":"","custom_fields":[{"id":1,"name":"Subdivision","value":"EC"},{"id":4,"name":"Milepost","value":"23.3259"},{"id":17,"name":"Train ID","value":"223-22"},{"id":16,"name":"Locomotive ID","value":"4044"},{"id":130,"name":"Impact","value":""},{"id":150,"name":"Time of Event (Mountain Time)","value":"20:07:39"},{"id":151,"name":"Denver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4"/>
        <v>start /low /b %USERPROFILE%\Documents\GitHub\eaglep3\Utilities\DownloadLogsFromS3.py --loco 4044 --day 2017-12-22</v>
      </c>
      <c r="AN135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6"/>
        <v>https://d0f6bd738d7f1b3e5a7ca70fe4ff75f0.us-east-1.aws.found.io/app/kibana#/discover/Steve-Slow-Train-Analysis-(2080s-and-2083s)?_g=(refreshInterval:(display:Off,pause:!f,section:0,value:0),time:(from:'2017-12-22T18:23:18-0700',mode:absolute,to:'2017-12-22T21:07:39-0700'))&amp;_a=(columns:!('Message%20ID',Summary),filters:!(),index:'emp_*',interval:auto,query:(query_string:(analyze_wildcard:!t,query:'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869</v>
      </c>
      <c r="B136" s="225">
        <v>4043</v>
      </c>
      <c r="C136" s="227" t="s">
        <v>192</v>
      </c>
      <c r="D136" s="227" t="s">
        <v>977</v>
      </c>
      <c r="E136" s="226">
        <v>43091.840775462966</v>
      </c>
      <c r="F136" s="226">
        <v>43091.852372685185</v>
      </c>
      <c r="G136" s="225">
        <v>54</v>
      </c>
      <c r="H136" s="227" t="s">
        <v>523</v>
      </c>
      <c r="I136" s="226">
        <v>43091.879282407404</v>
      </c>
      <c r="J136" s="225">
        <v>0</v>
      </c>
      <c r="K136" s="237" t="str">
        <f t="shared" si="28"/>
        <v>4043/4044</v>
      </c>
      <c r="L136" s="245" t="str">
        <f>VLOOKUP(A136,'Trips&amp;Operators'!$C$1:$G$99911,5,FALSE)</f>
        <v>DAVIDSON DAVID</v>
      </c>
      <c r="M136" s="224">
        <f t="shared" si="29"/>
        <v>2.6909722218988463E-2</v>
      </c>
      <c r="N136" s="225">
        <f t="shared" si="47"/>
        <v>38.749999995343387</v>
      </c>
      <c r="O136" s="225"/>
      <c r="P136" s="225"/>
      <c r="Q136" s="228"/>
      <c r="R136" s="242"/>
      <c r="S136" s="249">
        <f t="shared" si="31"/>
        <v>1</v>
      </c>
      <c r="T136" s="242" t="str">
        <f t="shared" si="32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3"/>
        <v>https://d0f6bd738d7f1b3e5a7ca70fe4ff75f0.us-east-1.aws.found.io/app/kibana#/discover/Steve-Slow-Train-Analysis-(2080s-and-2083s)?_g=(refreshInterval:(display:Off,pause:!f,section:0,value:0),time:(from:'2017-12-22T19:10:43-0700',mode:absolute,to:'2017-12-22T22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247" t="str">
        <f>IF(AA136&lt;VLOOKUP(AG136,Variables!$AC$3:$AD$8,2,FALSE),"Y","N")</f>
        <v>N</v>
      </c>
      <c r="X136" s="247">
        <f t="shared" si="48"/>
        <v>1</v>
      </c>
      <c r="Y136" s="247">
        <f t="shared" si="49"/>
        <v>23.294899999999998</v>
      </c>
      <c r="Z136" s="247">
        <f t="shared" si="50"/>
        <v>2.18E-2</v>
      </c>
      <c r="AA136" s="247">
        <f t="shared" si="37"/>
        <v>23.273099999999999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8"/>
        <v>224</v>
      </c>
      <c r="AE136" s="235" t="str">
        <f t="shared" si="39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136" s="234" t="str">
        <f t="shared" si="40"/>
        <v>"C:\Program Files (x86)\AstroGrep\AstroGrep.exe" /e /r /s /spath="%USERPROFILE%\AppData\Local\Temp\OnboardLogs" /stypes="app*4043*20171223*" /stext=" 04:.+((SYSTEM_STATE.+slice.+state.+changed )|(ment ac)|(multiple cpu faults)|(system.+state.+changed )|(\[timeout)|(PRM\|1\|D)|(kpr)|(kdp)|(train st.+moving)|(\|lc)|(penalty))"</v>
      </c>
      <c r="AG136" s="244" t="str">
        <f t="shared" si="41"/>
        <v>EC</v>
      </c>
      <c r="AH136" s="236" t="str">
        <f t="shared" si="42"/>
        <v>"%USERPROFILE%\Documents\GitHub\eaglep3\Utilities\RefineRTDCRunTimes.py" --tripid 224-22 --locoid 4043 --swversion DE.1.0.9.0 --startMP 204:232949 --initTime 2017-12-22T20:10:43 --startdatetime 2017-12-22T20:27:25 --delay 54 --endMP 204:218 --enddatetime 2017-12-22T21:06:10 --enforcementcount 0 &gt;&gt;%USERPROFILE%\Documents\GitHub\eaglep3-reporting\EC\2017-12-22-refined-times.txt</v>
      </c>
      <c r="AI136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{"issue":{"subject":"","project_id":79,"tracker_id":40,"status_id":1,"priority_id":2,"assigned_to_id":338,"start_date":"2017-12-22","description":"","custom_fields":[{"id":1,"name":"Subdivision","value":"EC"},{"id":4,"name":"Milepost","value":"0.0218"},{"id":17,"name":"Train ID","value":"224-22"},{"id":16,"name":"Locomotive ID","value":"4043"},{"id":130,"name":"Impact","value":""},{"id":150,"name":"Time of Event (Mountain Time)","value":"21:06:10"},{"id":151,"name":"Denver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4"/>
        <v>start /low /b %USERPROFILE%\Documents\GitHub\eaglep3\Utilities\DownloadLogsFromS3.py --loco 4043 --day 2017-12-22</v>
      </c>
      <c r="AN136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04:06:10"},{"id":29,"name":"Sharepoint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6"/>
        <v>https://d0f6bd738d7f1b3e5a7ca70fe4ff75f0.us-east-1.aws.found.io/app/kibana#/discover/Steve-Slow-Train-Analysis-(2080s-and-2083s)?_g=(refreshInterval:(display:Off,pause:!f,section:0,value:0),time:(from:'2017-12-22T19:10:43-0700',mode:absolute,to:'2017-12-22T22:06:10-0700'))&amp;_a=(columns:!('Message%20ID',Summary),filters:!(),index:'emp_*',interval:auto,query:(query_string:(analyze_wildcard:!t,query:'%22rtdc.l.rtdc.4043%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867</v>
      </c>
      <c r="B137" s="225">
        <v>4020</v>
      </c>
      <c r="C137" s="227" t="s">
        <v>192</v>
      </c>
      <c r="D137" s="227" t="s">
        <v>582</v>
      </c>
      <c r="E137" s="226">
        <v>43091.827592592592</v>
      </c>
      <c r="F137" s="226">
        <v>43091.83357638889</v>
      </c>
      <c r="G137" s="225">
        <v>134</v>
      </c>
      <c r="H137" s="227" t="s">
        <v>978</v>
      </c>
      <c r="I137" s="226">
        <v>43091.858726851853</v>
      </c>
      <c r="J137" s="225">
        <v>0</v>
      </c>
      <c r="K137" s="237" t="str">
        <f t="shared" si="28"/>
        <v>4019/4020</v>
      </c>
      <c r="L137" s="245" t="str">
        <f>VLOOKUP(A137,'Trips&amp;Operators'!$C$1:$G$99911,5,FALSE)</f>
        <v>SANTIZO D. EDY</v>
      </c>
      <c r="M137" s="224">
        <f t="shared" si="29"/>
        <v>2.5150462963210884E-2</v>
      </c>
      <c r="N137" s="225">
        <f t="shared" si="47"/>
        <v>36.216666667023674</v>
      </c>
      <c r="O137" s="225"/>
      <c r="P137" s="225"/>
      <c r="Q137" s="228"/>
      <c r="R137" s="242"/>
      <c r="S137" s="249">
        <f t="shared" si="31"/>
        <v>1</v>
      </c>
      <c r="T137" s="242" t="str">
        <f t="shared" si="32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3"/>
        <v>https://d0f6bd738d7f1b3e5a7ca70fe4ff75f0.us-east-1.aws.found.io/app/kibana#/discover/Steve-Slow-Train-Analysis-(2080s-and-2083s)?_g=(refreshInterval:(display:Off,pause:!f,section:0,value:0),time:(from:'2017-12-22T18:51:44-0700',mode:absolute,to:'2017-12-22T21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247" t="str">
        <f>IF(AA137&lt;VLOOKUP(AG137,Variables!$AC$3:$AD$8,2,FALSE),"Y","N")</f>
        <v>N</v>
      </c>
      <c r="X137" s="247">
        <f t="shared" si="48"/>
        <v>1</v>
      </c>
      <c r="Y137" s="247">
        <f t="shared" si="49"/>
        <v>5.5100000000000003E-2</v>
      </c>
      <c r="Z137" s="247">
        <f t="shared" si="50"/>
        <v>23.320399999999999</v>
      </c>
      <c r="AA137" s="247">
        <f t="shared" si="37"/>
        <v>23.2653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8"/>
        <v>225</v>
      </c>
      <c r="AE137" s="235" t="str">
        <f t="shared" si="39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37" s="234" t="str">
        <f t="shared" si="40"/>
        <v>"C:\Program Files (x86)\AstroGrep\AstroGrep.exe" /e /r /s /spath="%USERPROFILE%\AppData\Local\Temp\OnboardLogs" /stypes="app*4020*20171223*" /stext=" 03:.+((SYSTEM_STATE.+slice.+state.+changed )|(ment ac)|(multiple cpu faults)|(system.+state.+changed )|(\[timeout)|(PRM\|1\|D)|(kpr)|(kdp)|(train st.+moving)|(\|lc)|(penalty))"</v>
      </c>
      <c r="AG137" s="244" t="str">
        <f t="shared" si="41"/>
        <v>EC</v>
      </c>
      <c r="AH137" s="236" t="str">
        <f t="shared" si="42"/>
        <v>"%USERPROFILE%\Documents\GitHub\eaglep3\Utilities\RefineRTDCRunTimes.py" --tripid 225-22 --locoid 4020 --swversion DE.1.0.9.0 --startMP 204:551 --initTime 2017-12-22T19:51:44 --startdatetime 2017-12-22T20:00:21 --delay 134 --endMP 204:233204 --enddatetime 2017-12-22T20:36:34 --enforcementcount 0 &gt;&gt;%USERPROFILE%\Documents\GitHub\eaglep3-reporting\EC\2017-12-22-refined-times.txt</v>
      </c>
      <c r="AI137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{"issue":{"subject":"","project_id":79,"tracker_id":40,"status_id":1,"priority_id":2,"assigned_to_id":338,"start_date":"2017-12-22","description":"","custom_fields":[{"id":1,"name":"Subdivision","value":"EC"},{"id":4,"name":"Milepost","value":"23.3204"},{"id":17,"name":"Train ID","value":"225-22"},{"id":16,"name":"Locomotive ID","value":"4020"},{"id":130,"name":"Impact","value":""},{"id":150,"name":"Time of Event (Mountain Time)","value":"20:36:34"},{"id":151,"name":"Denver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4"/>
        <v>start /low /b %USERPROFILE%\Documents\GitHub\eaglep3\Utilities\DownloadLogsFromS3.py --loco 4020 --day 2017-12-22</v>
      </c>
      <c r="AN137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6"/>
        <v>https://d0f6bd738d7f1b3e5a7ca70fe4ff75f0.us-east-1.aws.found.io/app/kibana#/discover/Steve-Slow-Train-Analysis-(2080s-and-2083s)?_g=(refreshInterval:(display:Off,pause:!f,section:0,value:0),time:(from:'2017-12-22T18:51:44-0700',mode:absolute,to:'2017-12-22T21:36:34-0700'))&amp;_a=(columns:!('Message%20ID',Summary),filters:!(),index:'emp_*',interval:auto,query:(query_string:(analyze_wildcard:!t,query:'%22rtdc.l.rtdc.4020%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872</v>
      </c>
      <c r="B138" s="225">
        <v>4019</v>
      </c>
      <c r="C138" s="227" t="s">
        <v>192</v>
      </c>
      <c r="D138" s="227" t="s">
        <v>958</v>
      </c>
      <c r="E138" s="226">
        <v>43091.861226851855</v>
      </c>
      <c r="F138" s="226">
        <v>43091.916979166665</v>
      </c>
      <c r="G138" s="225">
        <v>128</v>
      </c>
      <c r="H138" s="227" t="s">
        <v>976</v>
      </c>
      <c r="I138" s="226">
        <v>43091.941458333335</v>
      </c>
      <c r="J138" s="225">
        <v>0</v>
      </c>
      <c r="K138" s="237" t="str">
        <f t="shared" si="28"/>
        <v>4019/4020</v>
      </c>
      <c r="L138" s="245" t="str">
        <f>VLOOKUP(A138,'Trips&amp;Operators'!$C$1:$G$99911,5,FALSE)</f>
        <v>NICHOLSON WESLEY</v>
      </c>
      <c r="M138" s="224">
        <f t="shared" si="29"/>
        <v>2.4479166670062114E-2</v>
      </c>
      <c r="N138" s="225">
        <f t="shared" si="47"/>
        <v>35.250000004889444</v>
      </c>
      <c r="O138" s="225"/>
      <c r="P138" s="225"/>
      <c r="Q138" s="228"/>
      <c r="R138" s="242"/>
      <c r="S138" s="249">
        <f t="shared" si="31"/>
        <v>1</v>
      </c>
      <c r="T138" s="242" t="str">
        <f t="shared" si="32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3"/>
        <v>https://d0f6bd738d7f1b3e5a7ca70fe4ff75f0.us-east-1.aws.found.io/app/kibana#/discover/Steve-Slow-Train-Analysis-(2080s-and-2083s)?_g=(refreshInterval:(display:Off,pause:!f,section:0,value:0),time:(from:'2017-12-22T19:40:10-0700',mode:absolute,to:'2017-12-22T23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247" t="str">
        <f>IF(AA138&lt;VLOOKUP(AG138,Variables!$AC$3:$AD$8,2,FALSE),"Y","N")</f>
        <v>N</v>
      </c>
      <c r="X138" s="247">
        <f t="shared" si="48"/>
        <v>1</v>
      </c>
      <c r="Y138" s="247">
        <f t="shared" si="49"/>
        <v>23.287500000000001</v>
      </c>
      <c r="Z138" s="247">
        <f t="shared" si="50"/>
        <v>2.4500000000000001E-2</v>
      </c>
      <c r="AA138" s="247">
        <f t="shared" si="37"/>
        <v>23.263000000000002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8"/>
        <v>226</v>
      </c>
      <c r="AE138" s="235" t="str">
        <f t="shared" si="39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38" s="234" t="str">
        <f t="shared" si="40"/>
        <v>"C:\Program Files (x86)\AstroGrep\AstroGrep.exe" /e /r /s /spath="%USERPROFILE%\AppData\Local\Temp\OnboardLogs" /stypes="app*4019*20171223*" /stext=" 05:.+((SYSTEM_STATE.+slice.+state.+changed )|(ment ac)|(multiple cpu faults)|(system.+state.+changed )|(\[timeout)|(PRM\|1\|D)|(kpr)|(kdp)|(train st.+moving)|(\|lc)|(penalty))"</v>
      </c>
      <c r="AG138" s="244" t="str">
        <f t="shared" si="41"/>
        <v>EC</v>
      </c>
      <c r="AH138" s="236" t="str">
        <f t="shared" si="42"/>
        <v>"%USERPROFILE%\Documents\GitHub\eaglep3\Utilities\RefineRTDCRunTimes.py" --tripid 226-22 --locoid 4019 --swversion DE.1.0.9.0 --startMP 204:232875 --initTime 2017-12-22T20:40:10 --startdatetime 2017-12-22T22:00:27 --delay 128 --endMP 204:245 --enddatetime 2017-12-22T22:35:42 --enforcementcount 0 &gt;&gt;%USERPROFILE%\Documents\GitHub\eaglep3-reporting\EC\2017-12-22-refined-times.txt</v>
      </c>
      <c r="AI138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{"issue":{"subject":"","project_id":79,"tracker_id":40,"status_id":1,"priority_id":2,"assigned_to_id":338,"start_date":"2017-12-22","description":"","custom_fields":[{"id":1,"name":"Subdivision","value":"EC"},{"id":4,"name":"Milepost","value":"0.0245"},{"id":17,"name":"Train ID","value":"226-22"},{"id":16,"name":"Locomotive ID","value":"4019"},{"id":130,"name":"Impact","value":""},{"id":150,"name":"Time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44"/>
        <v>start /low /b %USERPROFILE%\Documents\GitHub\eaglep3\Utilities\DownloadLogsFromS3.py --loco 4019 --day 2017-12-22</v>
      </c>
      <c r="AN138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6"/>
        <v>https://d0f6bd738d7f1b3e5a7ca70fe4ff75f0.us-east-1.aws.found.io/app/kibana#/discover/Steve-Slow-Train-Analysis-(2080s-and-2083s)?_g=(refreshInterval:(display:Off,pause:!f,section:0,value:0),time:(from:'2017-12-22T19:40:10-0700',mode:absolute,to:'2017-12-22T23:35:42-0700'))&amp;_a=(columns:!('Message%20ID',Summary),filters:!(),index:'emp_*',interval:auto,query:(query_string:(analyze_wildcard:!t,query:'%22rtdc.l.rtdc.4019%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870</v>
      </c>
      <c r="B139" s="225">
        <v>4006</v>
      </c>
      <c r="C139" s="227" t="s">
        <v>192</v>
      </c>
      <c r="D139" s="227" t="s">
        <v>644</v>
      </c>
      <c r="E139" s="226">
        <v>43091.837789351855</v>
      </c>
      <c r="F139" s="226">
        <v>43091.854467592595</v>
      </c>
      <c r="G139" s="225">
        <v>1222</v>
      </c>
      <c r="H139" s="227" t="s">
        <v>979</v>
      </c>
      <c r="I139" s="226">
        <v>43091.878425925926</v>
      </c>
      <c r="J139" s="225">
        <v>0</v>
      </c>
      <c r="K139" s="237" t="str">
        <f t="shared" si="28"/>
        <v>4005/4006</v>
      </c>
      <c r="L139" s="245" t="str">
        <f>VLOOKUP(A139,'Trips&amp;Operators'!$C$1:$G$99911,5,FALSE)</f>
        <v>ELBAUM MIKE</v>
      </c>
      <c r="M139" s="224">
        <f t="shared" si="29"/>
        <v>2.3958333331393078E-2</v>
      </c>
      <c r="N139" s="225">
        <f t="shared" si="47"/>
        <v>34.499999997206032</v>
      </c>
      <c r="O139" s="225"/>
      <c r="P139" s="225"/>
      <c r="Q139" s="228"/>
      <c r="R139" s="242"/>
      <c r="S139" s="249">
        <f t="shared" si="31"/>
        <v>1</v>
      </c>
      <c r="T139" s="242" t="str">
        <f t="shared" si="32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3"/>
        <v>https://d0f6bd738d7f1b3e5a7ca70fe4ff75f0.us-east-1.aws.found.io/app/kibana#/discover/Steve-Slow-Train-Analysis-(2080s-and-2083s)?_g=(refreshInterval:(display:Off,pause:!f,section:0,value:0),time:(from:'2017-12-22T19:06:25-0700',mode:absolute,to:'2017-12-22T22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247" t="str">
        <f>IF(AA139&lt;VLOOKUP(AG139,Variables!$AC$3:$AD$8,2,FALSE),"Y","N")</f>
        <v>N</v>
      </c>
      <c r="X139" s="247">
        <f t="shared" si="48"/>
        <v>1</v>
      </c>
      <c r="Y139" s="247">
        <f t="shared" si="49"/>
        <v>5.6800000000000003E-2</v>
      </c>
      <c r="Z139" s="247">
        <f t="shared" si="50"/>
        <v>23.325500000000002</v>
      </c>
      <c r="AA139" s="247">
        <f t="shared" si="37"/>
        <v>23.268700000000003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8"/>
        <v>227</v>
      </c>
      <c r="AE139" s="235" t="str">
        <f t="shared" si="39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39" s="234" t="str">
        <f t="shared" si="40"/>
        <v>"C:\Program Files (x86)\AstroGrep\AstroGrep.exe" /e /r /s /spath="%USERPROFILE%\AppData\Local\Temp\OnboardLogs" /stypes="app*4006*20171223*" /stext=" 04:.+((SYSTEM_STATE.+slice.+state.+changed )|(ment ac)|(multiple cpu faults)|(system.+state.+changed )|(\[timeout)|(PRM\|1\|D)|(kpr)|(kdp)|(train st.+moving)|(\|lc)|(penalty))"</v>
      </c>
      <c r="AG139" s="244" t="str">
        <f t="shared" si="41"/>
        <v>EC</v>
      </c>
      <c r="AH139" s="236" t="str">
        <f t="shared" si="42"/>
        <v>"%USERPROFILE%\Documents\GitHub\eaglep3\Utilities\RefineRTDCRunTimes.py" --tripid 227-22 --locoid 4006 --swversion DE.1.0.9.0 --startMP 204:568 --initTime 2017-12-22T20:06:25 --startdatetime 2017-12-22T20:30:26 --delay 1222 --endMP 204:233255 --enddatetime 2017-12-22T21:04:56 --enforcementcount 0 &gt;&gt;%USERPROFILE%\Documents\GitHub\eaglep3-reporting\EC\2017-12-22-refined-times.txt</v>
      </c>
      <c r="AI139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{"issue":{"subject":"","project_id":79,"tracker_id":40,"status_id":1,"priority_id":2,"assigned_to_id":338,"start_date":"2017-12-22","description":"","custom_fields":[{"id":1,"name":"Subdivision","value":"EC"},{"id":4,"name":"Milepost","value":"23.3255"},{"id":17,"name":"Train ID","value":"227-22"},{"id":16,"name":"Locomotive ID","value":"4006"},{"id":130,"name":"Impact","value":""},{"id":150,"name":"Time of Event (Mountain Time)","value":"21:04:56"},{"id":151,"name":"Denver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44"/>
        <v>start /low /b %USERPROFILE%\Documents\GitHub\eaglep3\Utilities\DownloadLogsFromS3.py --loco 4006 --day 2017-12-22</v>
      </c>
      <c r="AN139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04:04:56"},{"id":29,"name":"Sharepoint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6"/>
        <v>https://d0f6bd738d7f1b3e5a7ca70fe4ff75f0.us-east-1.aws.found.io/app/kibana#/discover/Steve-Slow-Train-Analysis-(2080s-and-2083s)?_g=(refreshInterval:(display:Off,pause:!f,section:0,value:0),time:(from:'2017-12-22T19:06:25-0700',mode:absolute,to:'2017-12-22T22:04:56-0700'))&amp;_a=(columns:!('Message%20ID',Summary),filters:!(),index:'emp_*',interval:auto,query:(query_string:(analyze_wildcard:!t,query:'%22rtdc.l.rtdc.4006%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875</v>
      </c>
      <c r="B140" s="225">
        <v>4005</v>
      </c>
      <c r="C140" s="227" t="s">
        <v>192</v>
      </c>
      <c r="D140" s="227" t="s">
        <v>635</v>
      </c>
      <c r="E140" s="226">
        <v>43091.879884259259</v>
      </c>
      <c r="F140" s="226">
        <v>43091.893923611111</v>
      </c>
      <c r="G140" s="225">
        <v>53</v>
      </c>
      <c r="H140" s="227" t="s">
        <v>980</v>
      </c>
      <c r="I140" s="226">
        <v>43091.918912037036</v>
      </c>
      <c r="J140" s="225">
        <v>0</v>
      </c>
      <c r="K140" s="237" t="str">
        <f t="shared" si="28"/>
        <v>4005/4006</v>
      </c>
      <c r="L140" s="245" t="str">
        <f>VLOOKUP(A140,'Trips&amp;Operators'!$C$1:$G$99911,5,FALSE)</f>
        <v>ELBAUM MIKE</v>
      </c>
      <c r="M140" s="224">
        <f t="shared" si="29"/>
        <v>2.4988425924675539E-2</v>
      </c>
      <c r="N140" s="225">
        <f t="shared" si="47"/>
        <v>35.983333331532776</v>
      </c>
      <c r="O140" s="225"/>
      <c r="P140" s="225"/>
      <c r="Q140" s="228"/>
      <c r="R140" s="242"/>
      <c r="S140" s="249">
        <f t="shared" si="31"/>
        <v>1</v>
      </c>
      <c r="T140" s="242" t="str">
        <f t="shared" si="32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3"/>
        <v>https://d0f6bd738d7f1b3e5a7ca70fe4ff75f0.us-east-1.aws.found.io/app/kibana#/discover/Steve-Slow-Train-Analysis-(2080s-and-2083s)?_g=(refreshInterval:(display:Off,pause:!f,section:0,value:0),time:(from:'2017-12-22T20:07:02-0700',mode:absolute,to:'2017-12-22T23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247" t="str">
        <f>IF(AA140&lt;VLOOKUP(AG140,Variables!$AC$3:$AD$8,2,FALSE),"Y","N")</f>
        <v>N</v>
      </c>
      <c r="X140" s="247">
        <f t="shared" si="48"/>
        <v>1</v>
      </c>
      <c r="Y140" s="247">
        <f t="shared" si="49"/>
        <v>23.294699999999999</v>
      </c>
      <c r="Z140" s="247">
        <f t="shared" si="50"/>
        <v>2.6700000000000002E-2</v>
      </c>
      <c r="AA140" s="247">
        <f t="shared" si="37"/>
        <v>23.267999999999997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8"/>
        <v>228</v>
      </c>
      <c r="AE140" s="235" t="str">
        <f t="shared" si="39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140" s="234" t="str">
        <f t="shared" si="40"/>
        <v>"C:\Program Files (x86)\AstroGrep\AstroGrep.exe" /e /r /s /spath="%USERPROFILE%\AppData\Local\Temp\OnboardLogs" /stypes="app*4005*20171223*" /stext=" 05:.+((SYSTEM_STATE.+slice.+state.+changed )|(ment ac)|(multiple cpu faults)|(system.+state.+changed )|(\[timeout)|(PRM\|1\|D)|(kpr)|(kdp)|(train st.+moving)|(\|lc)|(penalty))"</v>
      </c>
      <c r="AG140" s="244" t="str">
        <f t="shared" si="41"/>
        <v>EC</v>
      </c>
      <c r="AH140" s="236" t="str">
        <f t="shared" si="42"/>
        <v>"%USERPROFILE%\Documents\GitHub\eaglep3\Utilities\RefineRTDCRunTimes.py" --tripid 228-22 --locoid 4005 --swversion DE.1.0.9.0 --startMP 204:232947 --initTime 2017-12-22T21:07:02 --startdatetime 2017-12-22T21:27:15 --delay 53 --endMP 204:267 --enddatetime 2017-12-22T22:03:14 --enforcementcount 0 &gt;&gt;%USERPROFILE%\Documents\GitHub\eaglep3-reporting\EC\2017-12-22-refined-times.txt</v>
      </c>
      <c r="AI140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{"issue":{"subject":"","project_id":79,"tracker_id":40,"status_id":1,"priority_id":2,"assigned_to_id":338,"start_date":"2017-12-22","description":"","custom_fields":[{"id":1,"name":"Subdivision","value":"EC"},{"id":4,"name":"Milepost","value":"0.0267"},{"id":17,"name":"Train ID","value":"228-22"},{"id":16,"name":"Locomotive ID","value":"4005"},{"id":130,"name":"Impact","value":""},{"id":150,"name":"Time of Event (Mountain Time)","value":"22:03:14"},{"id":151,"name":"Denver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4"/>
        <v>start /low /b %USERPROFILE%\Documents\GitHub\eaglep3\Utilities\DownloadLogsFromS3.py --loco 4005 --day 2017-12-22</v>
      </c>
      <c r="AN140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6"/>
        <v>https://d0f6bd738d7f1b3e5a7ca70fe4ff75f0.us-east-1.aws.found.io/app/kibana#/discover/Steve-Slow-Train-Analysis-(2080s-and-2083s)?_g=(refreshInterval:(display:Off,pause:!f,section:0,value:0),time:(from:'2017-12-22T20:07:02-0700',mode:absolute,to:'2017-12-22T23:03:14-0700'))&amp;_a=(columns:!('Message%20ID',Summary),filters:!(),index:'emp_*',interval:auto,query:(query_string:(analyze_wildcard:!t,query:'%22rtdc.l.rtdc.4005%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873</v>
      </c>
      <c r="B141" s="225">
        <v>4010</v>
      </c>
      <c r="C141" s="227" t="s">
        <v>192</v>
      </c>
      <c r="D141" s="227" t="s">
        <v>448</v>
      </c>
      <c r="E141" s="226">
        <v>43091.872245370374</v>
      </c>
      <c r="F141" s="226">
        <v>43091.875219907408</v>
      </c>
      <c r="G141" s="225">
        <v>61</v>
      </c>
      <c r="H141" s="227" t="s">
        <v>942</v>
      </c>
      <c r="I141" s="226">
        <v>43091.900138888886</v>
      </c>
      <c r="J141" s="225">
        <v>0</v>
      </c>
      <c r="K141" s="237" t="str">
        <f t="shared" ref="K141:K204" si="51">IF(ISEVEN(B141),(B141-1)&amp;"/"&amp;B141,B141&amp;"/"&amp;(B141+1))</f>
        <v>4009/4010</v>
      </c>
      <c r="L141" s="245" t="str">
        <f>VLOOKUP(A141,'Trips&amp;Operators'!$C$1:$G$99911,5,FALSE)</f>
        <v>AUSTIN THOMPSON</v>
      </c>
      <c r="M141" s="224">
        <f t="shared" ref="M141:M204" si="52">I141-F141</f>
        <v>2.491898147854954E-2</v>
      </c>
      <c r="N141" s="225">
        <f t="shared" ref="N141:N175" si="53">24*60*SUM($M141:$M141)</f>
        <v>35.883333329111338</v>
      </c>
      <c r="O141" s="225"/>
      <c r="P141" s="225"/>
      <c r="Q141" s="228"/>
      <c r="R141" s="242"/>
      <c r="S141" s="249">
        <f t="shared" ref="S141:S204" si="54">1/IF(AG141="EC",12,1)*SUM(U141:U141)</f>
        <v>1</v>
      </c>
      <c r="T141" s="242" t="str">
        <f t="shared" ref="T141:T204" si="55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-22T19:56:02-0700',mode:absolute,to:'2017-12-22T22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247" t="str">
        <f>IF(AA141&lt;VLOOKUP(AG141,Variables!$AC$3:$AD$8,2,FALSE),"Y","N")</f>
        <v>N</v>
      </c>
      <c r="X141" s="247">
        <f t="shared" ref="X141:X158" si="57">VALUE(LEFT(AD141,4))-VALUE(LEFT(AD140,4))</f>
        <v>1</v>
      </c>
      <c r="Y141" s="247">
        <f t="shared" ref="Y141:Y152" si="58">RIGHT(D141,LEN(D141)-4)/10000</f>
        <v>5.33E-2</v>
      </c>
      <c r="Z141" s="247">
        <f t="shared" ref="Z141:Z152" si="59">RIGHT(H141,LEN(H141)-4)/10000</f>
        <v>23.3247</v>
      </c>
      <c r="AA141" s="247">
        <f t="shared" ref="AA141:AA204" si="60">ABS(Z141-Y141)</f>
        <v>23.2714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1">VALUE(LEFT(A141,LEN(A141)-3))</f>
        <v>229</v>
      </c>
      <c r="AE141" s="235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141" s="23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/stypes="app*4010*20171223*"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4">DetSubdiv(A141)</f>
        <v>EC</v>
      </c>
      <c r="AH141" s="236" t="str">
        <f t="shared" si="42"/>
        <v>"%USERPROFILE%\Documents\GitHub\eaglep3\Utilities\RefineRTDCRunTimes.py" --tripid 229-22 --locoid 4010 --swversion DE.1.0.9.0 --startMP 204:533 --initTime 2017-12-22T20:56:02 --startdatetime 2017-12-22T21:00:19 --delay 61 --endMP 204:233247 --enddatetime 2017-12-22T21:36:12 --enforcementcount 0 &gt;&gt;%USERPROFILE%\Documents\GitHub\eaglep3-reporting\EC\2017-12-22-refined-times.txt</v>
      </c>
      <c r="AI141" s="238" t="str">
        <f t="shared" si="43"/>
        <v>echo {"issue":{"subject":"","project_id":79,"tracker_id":40,"status_id":1,"priority_id":2,"assigned_to_id":338,"start_date":"2017-12-22","description":"","custom_fields":[{"id":1,"name":"Subdivision","value":"EC"},{"id":4,"name":"Milepost","value":"23.3247"},{"id":17,"name":"Train ID","value":"229-22"},{"id":16,"name":"Locomotive ID","value":"4010"},{"id":130,"name":"Impact","value":""},{"id":150,"name":"Time of Event (Mountain Time)","value":"21:36:12"},{"id":151,"name":"Denver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4"/>
        <v>start /low /b %USERPROFILE%\Documents\GitHub\eaglep3\Utilities\DownloadLogsFromS3.py --loco 4010 --day 2017-12-22</v>
      </c>
      <c r="AN141" s="241" t="str">
        <f t="shared" si="45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6"/>
        <v>https://d0f6bd738d7f1b3e5a7ca70fe4ff75f0.us-east-1.aws.found.io/app/kibana#/discover/Steve-Slow-Train-Analysis-(2080s-and-2083s)?_g=(refreshInterval:(display:Off,pause:!f,section:0,value:0),time:(from:'2017-12-22T19:56:02-0700',mode:absolute,to:'2017-12-22T22:36:12-0700'))&amp;_a=(columns:!('Message%20ID',Summary),filters:!(),index:'emp_*',interval:auto,query:(query_string:(analyze_wildcard:!t,query:'%22rtdc.l.rtdc.4010%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664</v>
      </c>
      <c r="B142" s="225">
        <v>4009</v>
      </c>
      <c r="C142" s="227" t="s">
        <v>192</v>
      </c>
      <c r="D142" s="227" t="s">
        <v>611</v>
      </c>
      <c r="E142" s="226">
        <v>43091.911956018521</v>
      </c>
      <c r="F142" s="226">
        <v>43091.914942129632</v>
      </c>
      <c r="G142" s="225">
        <v>62</v>
      </c>
      <c r="H142" s="227" t="s">
        <v>499</v>
      </c>
      <c r="I142" s="226">
        <v>43091.940960648149</v>
      </c>
      <c r="J142" s="225">
        <v>0</v>
      </c>
      <c r="K142" s="237" t="str">
        <f t="shared" si="51"/>
        <v>4009/4010</v>
      </c>
      <c r="L142" s="245" t="str">
        <f>VLOOKUP(A142,'Trips&amp;Operators'!$C$1:$G$99911,5,FALSE)</f>
        <v>AUSTIN THOMPSON</v>
      </c>
      <c r="M142" s="224">
        <f t="shared" si="52"/>
        <v>2.6018518517958E-2</v>
      </c>
      <c r="N142" s="225">
        <f t="shared" si="53"/>
        <v>37.46666666585952</v>
      </c>
      <c r="O142" s="225"/>
      <c r="P142" s="225"/>
      <c r="Q142" s="228"/>
      <c r="R142" s="242"/>
      <c r="S142" s="249">
        <f t="shared" si="54"/>
        <v>1</v>
      </c>
      <c r="T142" s="242" t="str">
        <f t="shared" si="55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56"/>
        <v>https://d0f6bd738d7f1b3e5a7ca70fe4ff75f0.us-east-1.aws.found.io/app/kibana#/discover/Steve-Slow-Train-Analysis-(2080s-and-2083s)?_g=(refreshInterval:(display:Off,pause:!f,section:0,value:0),time:(from:'2017-12-22T20:53:13-0700',mode:absolute,to:'2017-12-22T23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247" t="str">
        <f>IF(AA142&lt;VLOOKUP(AG142,Variables!$AC$3:$AD$8,2,FALSE),"Y","N")</f>
        <v>N</v>
      </c>
      <c r="X142" s="247">
        <f t="shared" si="57"/>
        <v>1</v>
      </c>
      <c r="Y142" s="247">
        <f t="shared" si="58"/>
        <v>23.293600000000001</v>
      </c>
      <c r="Z142" s="247">
        <f t="shared" si="59"/>
        <v>2.6499999999999999E-2</v>
      </c>
      <c r="AA142" s="247">
        <f t="shared" si="60"/>
        <v>23.267100000000003</v>
      </c>
      <c r="AB142" s="233" t="str">
        <f>VLOOKUP(A142,Enforcements!$C$7:$K$9,8,0)</f>
        <v>Bulletin (2)</v>
      </c>
      <c r="AC142" s="232" t="str">
        <f>VLOOKUP(A142,Enforcements!$C$7:$E$9,3,0)</f>
        <v>GRADE CROSSING</v>
      </c>
      <c r="AD142" s="243">
        <f t="shared" si="61"/>
        <v>230</v>
      </c>
      <c r="AE142" s="235" t="str">
        <f t="shared" si="62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142" s="234" t="str">
        <f t="shared" si="63"/>
        <v>"C:\Program Files (x86)\AstroGrep\AstroGrep.exe" /e /r /s /spath="%USERPROFILE%\AppData\Local\Temp\OnboardLogs" /stypes="app*4009*20171223*" /stext=" 05:.+((SYSTEM_STATE.+slice.+state.+changed )|(ment ac)|(multiple cpu faults)|(system.+state.+changed )|(\[timeout)|(PRM\|1\|D)|(kpr)|(kdp)|(train st.+moving)|(\|lc)|(penalty))"</v>
      </c>
      <c r="AG142" s="244" t="str">
        <f t="shared" si="64"/>
        <v>EC</v>
      </c>
      <c r="AH142" s="236" t="str">
        <f t="shared" ref="AH142:AH217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230-22 --locoid 4009 --swversion DE.1.0.9.0 --startMP 204:232936 --initTime 2017-12-22T21:53:13 --startdatetime 2017-12-22T21:57:31 --delay 62 --endMP 204:265 --enddatetime 2017-12-22T22:34:59 --enforcementcount 0 &gt;&gt;%USERPROFILE%\Documents\GitHub\eaglep3-reporting\EC\2017-12-22-refined-times.txt</v>
      </c>
      <c r="AI142" s="238" t="str">
        <f t="shared" ref="AI142:AI217" si="6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{"issue":{"subject":"","project_id":79,"tracker_id":40,"status_id":1,"priority_id":2,"assigned_to_id":338,"start_date":"2017-12-22","description":"","custom_fields":[{"id":1,"name":"Subdivision","value":"EC"},{"id":4,"name":"Milepost","value":"0.0265"},{"id":17,"name":"Train ID","value":"230-22"},{"id":16,"name":"Locomotive ID","value":"4009"},{"id":130,"name":"Impact","value":""},{"id":150,"name":"Time of Event (Mountain Time)","value":"22:34:59"},{"id":151,"name":"Denver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ref="AM142:AM217" si="67">"start /low /b "&amp;dls3logs&amp;" --loco "&amp;B142&amp;" --day "&amp;TEXT(F142,"YYYY-MM-DD")</f>
        <v>start /low /b %USERPROFILE%\Documents\GitHub\eaglep3\Utilities\DownloadLogsFromS3.py --loco 4009 --day 2017-12-22</v>
      </c>
      <c r="AN142" s="241" t="str">
        <f t="shared" ref="AN142:AN217" si="6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17" si="6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-22T20:53:13-0700',mode:absolute,to:'2017-12-22T23:34:59-0700'))&amp;_a=(columns:!('Message%20ID',Summary),filters:!(),index:'emp_*',interval:auto,query:(query_string:(analyze_wildcard:!t,query:'%22rtdc.l.rtdc.4009%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876</v>
      </c>
      <c r="B143" s="225">
        <v>4044</v>
      </c>
      <c r="C143" s="227" t="s">
        <v>192</v>
      </c>
      <c r="D143" s="227" t="s">
        <v>981</v>
      </c>
      <c r="E143" s="226">
        <v>43091.88140046296</v>
      </c>
      <c r="F143" s="226">
        <v>43091.896087962959</v>
      </c>
      <c r="G143" s="225">
        <v>62</v>
      </c>
      <c r="H143" s="227" t="s">
        <v>601</v>
      </c>
      <c r="I143" s="226">
        <v>43091.922071759262</v>
      </c>
      <c r="J143" s="225">
        <v>0</v>
      </c>
      <c r="K143" s="237" t="str">
        <f t="shared" si="51"/>
        <v>4043/4044</v>
      </c>
      <c r="L143" s="245" t="str">
        <f>VLOOKUP(A143,'Trips&amp;Operators'!$C$1:$G$99911,5,FALSE)</f>
        <v>DAVIDSON DAVID</v>
      </c>
      <c r="M143" s="224">
        <f t="shared" si="52"/>
        <v>2.5983796302170958E-2</v>
      </c>
      <c r="N143" s="225">
        <f t="shared" si="53"/>
        <v>37.41666667512618</v>
      </c>
      <c r="O143" s="225"/>
      <c r="P143" s="225"/>
      <c r="Q143" s="228"/>
      <c r="R143" s="242"/>
      <c r="S143" s="249">
        <f t="shared" si="54"/>
        <v>1</v>
      </c>
      <c r="T143" s="242" t="str">
        <f t="shared" si="55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56"/>
        <v>https://d0f6bd738d7f1b3e5a7ca70fe4ff75f0.us-east-1.aws.found.io/app/kibana#/discover/Steve-Slow-Train-Analysis-(2080s-and-2083s)?_g=(refreshInterval:(display:Off,pause:!f,section:0,value:0),time:(from:'2017-12-22T20:09:13-0700',mode:absolute,to:'2017-12-22T23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247" t="str">
        <f>IF(AA143&lt;VLOOKUP(AG143,Variables!$AC$3:$AD$8,2,FALSE),"Y","N")</f>
        <v>N</v>
      </c>
      <c r="X143" s="247">
        <f t="shared" si="57"/>
        <v>1</v>
      </c>
      <c r="Y143" s="247">
        <f t="shared" si="58"/>
        <v>5.1900000000000002E-2</v>
      </c>
      <c r="Z143" s="247">
        <f t="shared" si="59"/>
        <v>23.326599999999999</v>
      </c>
      <c r="AA143" s="247">
        <f t="shared" si="60"/>
        <v>23.274699999999999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1"/>
        <v>231</v>
      </c>
      <c r="AE143" s="235" t="str">
        <f t="shared" si="62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43" s="234" t="str">
        <f t="shared" si="63"/>
        <v>"C:\Program Files (x86)\AstroGrep\AstroGrep.exe" /e /r /s /spath="%USERPROFILE%\AppData\Local\Temp\OnboardLogs" /stypes="app*4044*20171223*" /stext=" 05:.+((SYSTEM_STATE.+slice.+state.+changed )|(ment ac)|(multiple cpu faults)|(system.+state.+changed )|(\[timeout)|(PRM\|1\|D)|(kpr)|(kdp)|(train st.+moving)|(\|lc)|(penalty))"</v>
      </c>
      <c r="AG143" s="244" t="str">
        <f t="shared" si="64"/>
        <v>EC</v>
      </c>
      <c r="AH143" s="236" t="str">
        <f t="shared" si="65"/>
        <v>"%USERPROFILE%\Documents\GitHub\eaglep3\Utilities\RefineRTDCRunTimes.py" --tripid 231-22 --locoid 4044 --swversion DE.1.0.9.0 --startMP 204:519 --initTime 2017-12-22T21:09:13 --startdatetime 2017-12-22T21:30:22 --delay 62 --endMP 204:233266 --enddatetime 2017-12-22T22:07:47 --enforcementcount 0 &gt;&gt;%USERPROFILE%\Documents\GitHub\eaglep3-reporting\EC\2017-12-22-refined-times.txt</v>
      </c>
      <c r="AI143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{"issue":{"subject":"","project_id":79,"tracker_id":40,"status_id":1,"priority_id":2,"assigned_to_id":338,"start_date":"2017-12-22","description":"","custom_fields":[{"id":1,"name":"Subdivision","value":"EC"},{"id":4,"name":"Milepost","value":"23.3266"},{"id":17,"name":"Train ID","value":"231-22"},{"id":16,"name":"Locomotive ID","value":"4044"},{"id":130,"name":"Impact","value":""},{"id":150,"name":"Time of Event (Mountain Time)","value":"22:07:47"},{"id":151,"name":"Denver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67"/>
        <v>start /low /b %USERPROFILE%\Documents\GitHub\eaglep3\Utilities\DownloadLogsFromS3.py --loco 4044 --day 2017-12-22</v>
      </c>
      <c r="AN143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69"/>
        <v>https://d0f6bd738d7f1b3e5a7ca70fe4ff75f0.us-east-1.aws.found.io/app/kibana#/discover/Steve-Slow-Train-Analysis-(2080s-and-2083s)?_g=(refreshInterval:(display:Off,pause:!f,section:0,value:0),time:(from:'2017-12-22T20:09:13-0700',mode:absolute,to:'2017-12-22T23:07:47-0700'))&amp;_a=(columns:!('Message%20ID',Summary),filters:!(),index:'emp_*',interval:auto,query:(query_string:(analyze_wildcard:!t,query:'%22rtdc.l.rtdc.4044%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881</v>
      </c>
      <c r="B144" s="225">
        <v>4043</v>
      </c>
      <c r="C144" s="227" t="s">
        <v>192</v>
      </c>
      <c r="D144" s="227" t="s">
        <v>635</v>
      </c>
      <c r="E144" s="226">
        <v>43091.924733796295</v>
      </c>
      <c r="F144" s="226">
        <v>43091.935833333337</v>
      </c>
      <c r="G144" s="225">
        <v>63</v>
      </c>
      <c r="H144" s="227" t="s">
        <v>579</v>
      </c>
      <c r="I144" s="226">
        <v>43091.963263888887</v>
      </c>
      <c r="J144" s="225">
        <v>0</v>
      </c>
      <c r="K144" s="237" t="str">
        <f t="shared" si="51"/>
        <v>4043/4044</v>
      </c>
      <c r="L144" s="245" t="str">
        <f>VLOOKUP(A144,'Trips&amp;Operators'!$C$1:$G$99911,5,FALSE)</f>
        <v>DAVIDSON DAVID</v>
      </c>
      <c r="M144" s="224">
        <f t="shared" si="52"/>
        <v>2.7430555550381541E-2</v>
      </c>
      <c r="N144" s="225">
        <f t="shared" si="53"/>
        <v>39.499999992549419</v>
      </c>
      <c r="O144" s="225"/>
      <c r="P144" s="225"/>
      <c r="Q144" s="228"/>
      <c r="R144" s="242"/>
      <c r="S144" s="249">
        <f t="shared" si="54"/>
        <v>1</v>
      </c>
      <c r="T144" s="242" t="str">
        <f t="shared" si="55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56"/>
        <v>https://d0f6bd738d7f1b3e5a7ca70fe4ff75f0.us-east-1.aws.found.io/app/kibana#/discover/Steve-Slow-Train-Analysis-(2080s-and-2083s)?_g=(refreshInterval:(display:Off,pause:!f,section:0,value:0),time:(from:'2017-12-22T21:11:37-0700',mode:absolute,to:'2017-12-23T00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247" t="str">
        <f>IF(AA144&lt;VLOOKUP(AG144,Variables!$AC$3:$AD$8,2,FALSE),"Y","N")</f>
        <v>N</v>
      </c>
      <c r="X144" s="247">
        <f t="shared" si="57"/>
        <v>1</v>
      </c>
      <c r="Y144" s="247">
        <f t="shared" si="58"/>
        <v>23.294699999999999</v>
      </c>
      <c r="Z144" s="247">
        <f t="shared" si="59"/>
        <v>2.23E-2</v>
      </c>
      <c r="AA144" s="247">
        <f t="shared" si="60"/>
        <v>23.272399999999998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1"/>
        <v>232</v>
      </c>
      <c r="AE144" s="235" t="str">
        <f t="shared" si="62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144" s="234" t="str">
        <f t="shared" si="63"/>
        <v>"C:\Program Files (x86)\AstroGrep\AstroGrep.exe" /e /r /s /spath="%USERPROFILE%\AppData\Local\Temp\OnboardLogs" /stypes="app*4043*20171223*" /stext=" 06:.+((SYSTEM_STATE.+slice.+state.+changed )|(ment ac)|(multiple cpu faults)|(system.+state.+changed )|(\[timeout)|(PRM\|1\|D)|(kpr)|(kdp)|(train st.+moving)|(\|lc)|(penalty))"</v>
      </c>
      <c r="AG144" s="244" t="str">
        <f t="shared" si="64"/>
        <v>EC</v>
      </c>
      <c r="AH144" s="236" t="str">
        <f t="shared" si="65"/>
        <v>"%USERPROFILE%\Documents\GitHub\eaglep3\Utilities\RefineRTDCRunTimes.py" --tripid 232-22 --locoid 4043 --swversion DE.1.0.9.0 --startMP 204:232947 --initTime 2017-12-22T22:11:37 --startdatetime 2017-12-22T22:27:36 --delay 63 --endMP 204:223 --enddatetime 2017-12-22T23:07:06 --enforcementcount 0 &gt;&gt;%USERPROFILE%\Documents\GitHub\eaglep3-reporting\EC\2017-12-22-refined-times.txt</v>
      </c>
      <c r="AI144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{"issue":{"subject":"","project_id":79,"tracker_id":40,"status_id":1,"priority_id":2,"assigned_to_id":338,"start_date":"2017-12-22","description":"","custom_fields":[{"id":1,"name":"Subdivision","value":"EC"},{"id":4,"name":"Milepost","value":"0.0223"},{"id":17,"name":"Train ID","value":"232-22"},{"id":16,"name":"Locomotive ID","value":"4043"},{"id":130,"name":"Impact","value":""},{"id":150,"name":"Time of Event (Mountain Time)","value":"23:07:06"},{"id":151,"name":"Denver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67"/>
        <v>start /low /b %USERPROFILE%\Documents\GitHub\eaglep3\Utilities\DownloadLogsFromS3.py --loco 4043 --day 2017-12-22</v>
      </c>
      <c r="AN144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69"/>
        <v>https://d0f6bd738d7f1b3e5a7ca70fe4ff75f0.us-east-1.aws.found.io/app/kibana#/discover/Steve-Slow-Train-Analysis-(2080s-and-2083s)?_g=(refreshInterval:(display:Off,pause:!f,section:0,value:0),time:(from:'2017-12-22T21:11:37-0700',mode:absolute,to:'2017-12-23T00:07:06-0700'))&amp;_a=(columns:!('Message%20ID',Summary),filters:!(),index:'emp_*',interval:auto,query:(query_string:(analyze_wildcard:!t,query:'%22rtdc.l.rtdc.4043%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878</v>
      </c>
      <c r="B145" s="225">
        <v>4020</v>
      </c>
      <c r="C145" s="227" t="s">
        <v>192</v>
      </c>
      <c r="D145" s="227" t="s">
        <v>946</v>
      </c>
      <c r="E145" s="226">
        <v>43091.909814814811</v>
      </c>
      <c r="F145" s="226">
        <v>43091.916979166665</v>
      </c>
      <c r="G145" s="225">
        <v>72</v>
      </c>
      <c r="H145" s="227" t="s">
        <v>982</v>
      </c>
      <c r="I145" s="226">
        <v>43091.941458333335</v>
      </c>
      <c r="J145" s="225">
        <v>0</v>
      </c>
      <c r="K145" s="237" t="str">
        <f t="shared" si="51"/>
        <v>4019/4020</v>
      </c>
      <c r="L145" s="245" t="str">
        <f>VLOOKUP(A145,'Trips&amp;Operators'!$C$1:$G$99911,5,FALSE)</f>
        <v>NICHOLSON WESLEY</v>
      </c>
      <c r="M145" s="224">
        <f t="shared" si="52"/>
        <v>2.4479166670062114E-2</v>
      </c>
      <c r="N145" s="225">
        <f t="shared" si="53"/>
        <v>35.250000004889444</v>
      </c>
      <c r="O145" s="225"/>
      <c r="P145" s="225"/>
      <c r="Q145" s="228"/>
      <c r="R145" s="242"/>
      <c r="S145" s="249">
        <f t="shared" si="54"/>
        <v>1</v>
      </c>
      <c r="T145" s="242" t="str">
        <f t="shared" si="55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56"/>
        <v>https://d0f6bd738d7f1b3e5a7ca70fe4ff75f0.us-east-1.aws.found.io/app/kibana#/discover/Steve-Slow-Train-Analysis-(2080s-and-2083s)?_g=(refreshInterval:(display:Off,pause:!f,section:0,value:0),time:(from:'2017-12-22T20:50:08-0700',mode:absolute,to:'2017-12-22T23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247" t="str">
        <f>IF(AA145&lt;VLOOKUP(AG145,Variables!$AC$3:$AD$8,2,FALSE),"Y","N")</f>
        <v>N</v>
      </c>
      <c r="X145" s="247">
        <f t="shared" si="57"/>
        <v>1</v>
      </c>
      <c r="Y145" s="247">
        <f t="shared" si="58"/>
        <v>5.6599999999999998E-2</v>
      </c>
      <c r="Z145" s="247">
        <f t="shared" si="59"/>
        <v>23.316700000000001</v>
      </c>
      <c r="AA145" s="247">
        <f t="shared" si="60"/>
        <v>23.260100000000001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1"/>
        <v>233</v>
      </c>
      <c r="AE145" s="235" t="str">
        <f t="shared" si="62"/>
        <v>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 &amp; 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</v>
      </c>
      <c r="AF145" s="234" t="str">
        <f t="shared" si="63"/>
        <v>"C:\Program Files (x86)\AstroGrep\AstroGrep.exe" /e /r /s /spath="%USERPROFILE%\AppData\Local\Temp\OnboardLogs" /stypes="app*4020*20171223*" /stext=" 05:.+((SYSTEM_STATE.+slice.+state.+changed )|(ment ac)|(multiple cpu faults)|(system.+state.+changed )|(\[timeout)|(PRM\|1\|D)|(kpr)|(kdp)|(train st.+moving)|(\|lc)|(penalty))"</v>
      </c>
      <c r="AG145" s="244" t="str">
        <f t="shared" si="64"/>
        <v>EC</v>
      </c>
      <c r="AH145" s="236" t="str">
        <f t="shared" si="65"/>
        <v>"%USERPROFILE%\Documents\GitHub\eaglep3\Utilities\RefineRTDCRunTimes.py" --tripid 233-22 --locoid 4020 --swversion DE.1.0.9.0 --startMP 204:566 --initTime 2017-12-22T21:50:08 --startdatetime 2017-12-22T22:00:27 --delay 72 --endMP 204:233167 --enddatetime 2017-12-22T22:35:42 --enforcementcount 0 &gt;&gt;%USERPROFILE%\Documents\GitHub\eaglep3-reporting\EC\2017-12-22-refined-times.txt</v>
      </c>
      <c r="AI145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{"issue":{"subject":"","project_id":79,"tracker_id":40,"status_id":1,"priority_id":2,"assigned_to_id":338,"start_date":"2017-12-22","description":"","custom_fields":[{"id":1,"name":"Subdivision","value":"EC"},{"id":4,"name":"Milepost","value":"23.3167"},{"id":17,"name":"Train ID","value":"233-22"},{"id":16,"name":"Locomotive ID","value":"4020"},{"id":130,"name":"Impact","value":""},{"id":150,"name":"Time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67"/>
        <v>start /low /b %USERPROFILE%\Documents\GitHub\eaglep3\Utilities\DownloadLogsFromS3.py --loco 4020 --day 2017-12-22</v>
      </c>
      <c r="AN145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69"/>
        <v>https://d0f6bd738d7f1b3e5a7ca70fe4ff75f0.us-east-1.aws.found.io/app/kibana#/discover/Steve-Slow-Train-Analysis-(2080s-and-2083s)?_g=(refreshInterval:(display:Off,pause:!f,section:0,value:0),time:(from:'2017-12-22T20:50:08-0700',mode:absolute,to:'2017-12-22T23:35:42-0700'))&amp;_a=(columns:!('Message%20ID',Summary),filters:!(),index:'emp_*',interval:auto,query:(query_string:(analyze_wildcard:!t,query:'%22rtdc.l.rtdc.4020%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883</v>
      </c>
      <c r="B146" s="225">
        <v>4019</v>
      </c>
      <c r="C146" s="227" t="s">
        <v>192</v>
      </c>
      <c r="D146" s="227" t="s">
        <v>983</v>
      </c>
      <c r="E146" s="226">
        <v>43091.948148148149</v>
      </c>
      <c r="F146" s="226">
        <v>43091.95648148148</v>
      </c>
      <c r="G146" s="225">
        <v>62</v>
      </c>
      <c r="H146" s="227" t="s">
        <v>965</v>
      </c>
      <c r="I146" s="226">
        <v>43091.983043981483</v>
      </c>
      <c r="J146" s="225">
        <v>0</v>
      </c>
      <c r="K146" s="237" t="str">
        <f t="shared" si="51"/>
        <v>4019/4020</v>
      </c>
      <c r="L146" s="245" t="str">
        <f>VLOOKUP(A146,'Trips&amp;Operators'!$C$1:$G$99911,5,FALSE)</f>
        <v>NICHOLSON WESLEY</v>
      </c>
      <c r="M146" s="224">
        <f t="shared" si="52"/>
        <v>2.6562500002910383E-2</v>
      </c>
      <c r="N146" s="225">
        <f t="shared" si="53"/>
        <v>38.250000004190952</v>
      </c>
      <c r="O146" s="225"/>
      <c r="P146" s="225"/>
      <c r="Q146" s="228"/>
      <c r="R146" s="242"/>
      <c r="S146" s="249">
        <f t="shared" si="54"/>
        <v>1</v>
      </c>
      <c r="T146" s="242" t="str">
        <f t="shared" si="55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56"/>
        <v>https://d0f6bd738d7f1b3e5a7ca70fe4ff75f0.us-east-1.aws.found.io/app/kibana#/discover/Steve-Slow-Train-Analysis-(2080s-and-2083s)?_g=(refreshInterval:(display:Off,pause:!f,section:0,value:0),time:(from:'2017-12-22T21:45:20-0700',mode:absolute,to:'2017-12-23T00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247" t="str">
        <f>IF(AA146&lt;VLOOKUP(AG146,Variables!$AC$3:$AD$8,2,FALSE),"Y","N")</f>
        <v>N</v>
      </c>
      <c r="X146" s="247">
        <f t="shared" si="57"/>
        <v>1</v>
      </c>
      <c r="Y146" s="247">
        <f t="shared" si="58"/>
        <v>23.286899999999999</v>
      </c>
      <c r="Z146" s="247">
        <f t="shared" si="59"/>
        <v>2.3400000000000001E-2</v>
      </c>
      <c r="AA146" s="247">
        <f t="shared" si="60"/>
        <v>23.263500000000001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1"/>
        <v>234</v>
      </c>
      <c r="AE146" s="235" t="str">
        <f t="shared" si="62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146" s="234" t="str">
        <f t="shared" si="63"/>
        <v>"C:\Program Files (x86)\AstroGrep\AstroGrep.exe" /e /r /s /spath="%USERPROFILE%\AppData\Local\Temp\OnboardLogs" /stypes="app*4019*20171223*" /stext=" 06:.+((SYSTEM_STATE.+slice.+state.+changed )|(ment ac)|(multiple cpu faults)|(system.+state.+changed )|(\[timeout)|(PRM\|1\|D)|(kpr)|(kdp)|(train st.+moving)|(\|lc)|(penalty))"</v>
      </c>
      <c r="AG146" s="244" t="str">
        <f t="shared" si="64"/>
        <v>EC</v>
      </c>
      <c r="AH146" s="236" t="str">
        <f t="shared" si="65"/>
        <v>"%USERPROFILE%\Documents\GitHub\eaglep3\Utilities\RefineRTDCRunTimes.py" --tripid 234-22 --locoid 4019 --swversion DE.1.0.9.0 --startMP 204:232869 --initTime 2017-12-22T22:45:20 --startdatetime 2017-12-22T22:57:20 --delay 62 --endMP 204:234 --enddatetime 2017-12-22T23:35:35 --enforcementcount 0 &gt;&gt;%USERPROFILE%\Documents\GitHub\eaglep3-reporting\EC\2017-12-22-refined-times.txt</v>
      </c>
      <c r="AI146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{"issue":{"subject":"","project_id":79,"tracker_id":40,"status_id":1,"priority_id":2,"assigned_to_id":338,"start_date":"2017-12-22","description":"","custom_fields":[{"id":1,"name":"Subdivision","value":"EC"},{"id":4,"name":"Milepost","value":"0.0234"},{"id":17,"name":"Train ID","value":"234-22"},{"id":16,"name":"Locomotive ID","value":"4019"},{"id":130,"name":"Impact","value":""},{"id":150,"name":"Time of Event (Mountain Time)","value":"23:35:35"},{"id":151,"name":"Denver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67"/>
        <v>start /low /b %USERPROFILE%\Documents\GitHub\eaglep3\Utilities\DownloadLogsFromS3.py --loco 4019 --day 2017-12-22</v>
      </c>
      <c r="AN146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69"/>
        <v>https://d0f6bd738d7f1b3e5a7ca70fe4ff75f0.us-east-1.aws.found.io/app/kibana#/discover/Steve-Slow-Train-Analysis-(2080s-and-2083s)?_g=(refreshInterval:(display:Off,pause:!f,section:0,value:0),time:(from:'2017-12-22T21:45:20-0700',mode:absolute,to:'2017-12-23T00:35:35-0700'))&amp;_a=(columns:!('Message%20ID',Summary),filters:!(),index:'emp_*',interval:auto,query:(query_string:(analyze_wildcard:!t,query:'%22rtdc.l.rtdc.4019%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880</v>
      </c>
      <c r="B147" s="225">
        <v>4006</v>
      </c>
      <c r="C147" s="227" t="s">
        <v>192</v>
      </c>
      <c r="D147" s="227" t="s">
        <v>984</v>
      </c>
      <c r="E147" s="226">
        <v>43091.920138888891</v>
      </c>
      <c r="F147" s="226">
        <v>43091.937650462962</v>
      </c>
      <c r="G147" s="225">
        <v>67</v>
      </c>
      <c r="H147" s="227" t="s">
        <v>979</v>
      </c>
      <c r="I147" s="226">
        <v>43091.961736111109</v>
      </c>
      <c r="J147" s="225">
        <v>0</v>
      </c>
      <c r="K147" s="237" t="str">
        <f t="shared" si="51"/>
        <v>4005/4006</v>
      </c>
      <c r="L147" s="245" t="str">
        <f>VLOOKUP(A147,'Trips&amp;Operators'!$C$1:$G$99911,5,FALSE)</f>
        <v>ELBAUM MIKE</v>
      </c>
      <c r="M147" s="224">
        <f t="shared" si="52"/>
        <v>2.4085648146865424E-2</v>
      </c>
      <c r="N147" s="225">
        <f t="shared" si="53"/>
        <v>34.68333333148621</v>
      </c>
      <c r="O147" s="225"/>
      <c r="P147" s="225"/>
      <c r="Q147" s="228"/>
      <c r="R147" s="242"/>
      <c r="S147" s="249">
        <f t="shared" si="54"/>
        <v>1</v>
      </c>
      <c r="T147" s="242" t="str">
        <f t="shared" si="55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56"/>
        <v>https://d0f6bd738d7f1b3e5a7ca70fe4ff75f0.us-east-1.aws.found.io/app/kibana#/discover/Steve-Slow-Train-Analysis-(2080s-and-2083s)?_g=(refreshInterval:(display:Off,pause:!f,section:0,value:0),time:(from:'2017-12-22T21:05:00-0700',mode:absolute,to:'2017-12-23T00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247" t="str">
        <f>IF(AA147&lt;VLOOKUP(AG147,Variables!$AC$3:$AD$8,2,FALSE),"Y","N")</f>
        <v>N</v>
      </c>
      <c r="X147" s="247">
        <f t="shared" si="57"/>
        <v>1</v>
      </c>
      <c r="Y147" s="247">
        <f t="shared" si="58"/>
        <v>5.6000000000000001E-2</v>
      </c>
      <c r="Z147" s="247">
        <f t="shared" si="59"/>
        <v>23.325500000000002</v>
      </c>
      <c r="AA147" s="247">
        <f t="shared" si="60"/>
        <v>23.269500000000001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1"/>
        <v>235</v>
      </c>
      <c r="AE147" s="235" t="str">
        <f t="shared" si="62"/>
        <v>aws s3 cp s3://rtdc.mdm.uploadarchive.raw/RTDC4006/ "%USERPROFILE%\AppData\Local\Temp\OnboardLogs"\RTDC4006\2017-12-22 --exclude "*" --recursive --include "*20171222*" &amp; "%USERPROFILE%\Documents\GitHub\mrs-test-scripts\Headless Mode &amp; Sideloading\WalkAndUnGZ.bat" "%USERPROFILE%\AppData\Local\Temp\OnboardLogs"\RTDC4006\2017-12-22 &amp; 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</v>
      </c>
      <c r="AF147" s="234" t="str">
        <f t="shared" si="63"/>
        <v>"C:\Program Files (x86)\AstroGrep\AstroGrep.exe" /e /r /s /spath="%USERPROFILE%\AppData\Local\Temp\OnboardLogs" /stypes="app*4006*20171223*" /stext=" 06:.+((SYSTEM_STATE.+slice.+state.+changed )|(ment ac)|(multiple cpu faults)|(system.+state.+changed )|(\[timeout)|(PRM\|1\|D)|(kpr)|(kdp)|(train st.+moving)|(\|lc)|(penalty))"</v>
      </c>
      <c r="AG147" s="244" t="str">
        <f t="shared" si="64"/>
        <v>EC</v>
      </c>
      <c r="AH147" s="236" t="str">
        <f t="shared" si="65"/>
        <v>"%USERPROFILE%\Documents\GitHub\eaglep3\Utilities\RefineRTDCRunTimes.py" --tripid 235-22 --locoid 4006 --swversion DE.1.0.9.0 --startMP 204:560 --initTime 2017-12-22T22:05:00 --startdatetime 2017-12-22T22:30:13 --delay 67 --endMP 204:233255 --enddatetime 2017-12-22T23:04:54 --enforcementcount 0 &gt;&gt;%USERPROFILE%\Documents\GitHub\eaglep3-reporting\EC\2017-12-22-refined-times.txt</v>
      </c>
      <c r="AI147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{"issue":{"subject":"","project_id":79,"tracker_id":40,"status_id":1,"priority_id":2,"assigned_to_id":338,"start_date":"2017-12-22","description":"","custom_fields":[{"id":1,"name":"Subdivision","value":"EC"},{"id":4,"name":"Milepost","value":"23.3255"},{"id":17,"name":"Train ID","value":"235-22"},{"id":16,"name":"Locomotive ID","value":"4006"},{"id":130,"name":"Impact","value":""},{"id":150,"name":"Time of Event (Mountain Time)","value":"23:04:54"},{"id":151,"name":"Denver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67"/>
        <v>start /low /b %USERPROFILE%\Documents\GitHub\eaglep3\Utilities\DownloadLogsFromS3.py --loco 4006 --day 2017-12-22</v>
      </c>
      <c r="AN147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69"/>
        <v>https://d0f6bd738d7f1b3e5a7ca70fe4ff75f0.us-east-1.aws.found.io/app/kibana#/discover/Steve-Slow-Train-Analysis-(2080s-and-2083s)?_g=(refreshInterval:(display:Off,pause:!f,section:0,value:0),time:(from:'2017-12-22T21:05:00-0700',mode:absolute,to:'2017-12-23T00:04:54-0700'))&amp;_a=(columns:!('Message%20ID',Summary),filters:!(),index:'emp_*',interval:auto,query:(query_string:(analyze_wildcard:!t,query:'%22rtdc.l.rtdc.4006%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886</v>
      </c>
      <c r="B148" s="225">
        <v>4005</v>
      </c>
      <c r="C148" s="227" t="s">
        <v>192</v>
      </c>
      <c r="D148" s="227" t="s">
        <v>985</v>
      </c>
      <c r="E148" s="226">
        <v>43091.965937499997</v>
      </c>
      <c r="F148" s="226">
        <v>43091.977222222224</v>
      </c>
      <c r="G148" s="225">
        <v>55</v>
      </c>
      <c r="H148" s="227" t="s">
        <v>643</v>
      </c>
      <c r="I148" s="226">
        <v>43092.00267361111</v>
      </c>
      <c r="J148" s="225">
        <v>0</v>
      </c>
      <c r="K148" s="237" t="str">
        <f t="shared" si="51"/>
        <v>4005/4006</v>
      </c>
      <c r="L148" s="245" t="str">
        <f>VLOOKUP(A148,'Trips&amp;Operators'!$C$1:$G$99911,5,FALSE)</f>
        <v>ELBAUM MIKE</v>
      </c>
      <c r="M148" s="224">
        <f t="shared" si="52"/>
        <v>2.545138888672227E-2</v>
      </c>
      <c r="N148" s="225">
        <f t="shared" si="53"/>
        <v>36.649999996880069</v>
      </c>
      <c r="O148" s="225"/>
      <c r="P148" s="225"/>
      <c r="Q148" s="228"/>
      <c r="R148" s="242"/>
      <c r="S148" s="249">
        <f t="shared" si="54"/>
        <v>1</v>
      </c>
      <c r="T148" s="242" t="str">
        <f t="shared" si="55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56"/>
        <v>https://d0f6bd738d7f1b3e5a7ca70fe4ff75f0.us-east-1.aws.found.io/app/kibana#/discover/Steve-Slow-Train-Analysis-(2080s-and-2083s)?_g=(refreshInterval:(display:Off,pause:!f,section:0,value:0),time:(from:'2017-12-22T22:10:57-0700',mode:absolute,to:'2017-12-23T01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247" t="str">
        <f>IF(AA148&lt;VLOOKUP(AG148,Variables!$AC$3:$AD$8,2,FALSE),"Y","N")</f>
        <v>N</v>
      </c>
      <c r="X148" s="247">
        <f t="shared" si="57"/>
        <v>1</v>
      </c>
      <c r="Y148" s="247">
        <f t="shared" si="58"/>
        <v>23.2942</v>
      </c>
      <c r="Z148" s="247">
        <f t="shared" si="59"/>
        <v>2.63E-2</v>
      </c>
      <c r="AA148" s="247">
        <f t="shared" si="60"/>
        <v>23.267900000000001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1"/>
        <v>236</v>
      </c>
      <c r="AE148" s="235" t="str">
        <f t="shared" si="62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148" s="234" t="str">
        <f t="shared" si="63"/>
        <v>"C:\Program Files (x86)\AstroGrep\AstroGrep.exe" /e /r /s /spath="%USERPROFILE%\AppData\Local\Temp\OnboardLogs" /stypes="app*4005*20171223*" /stext=" 07:.+((SYSTEM_STATE.+slice.+state.+changed )|(ment ac)|(multiple cpu faults)|(system.+state.+changed )|(\[timeout)|(PRM\|1\|D)|(kpr)|(kdp)|(train st.+moving)|(\|lc)|(penalty))"</v>
      </c>
      <c r="AG148" s="244" t="str">
        <f t="shared" si="64"/>
        <v>EC</v>
      </c>
      <c r="AH148" s="236" t="str">
        <f t="shared" si="65"/>
        <v>"%USERPROFILE%\Documents\GitHub\eaglep3\Utilities\RefineRTDCRunTimes.py" --tripid 236-22 --locoid 4005 --swversion DE.1.0.9.0 --startMP 204:232942 --initTime 2017-12-22T23:10:57 --startdatetime 2017-12-22T23:27:12 --delay 55 --endMP 204:263 --enddatetime 2017-12-23T00:03:51 --enforcementcount 0 &gt;&gt;%USERPROFILE%\Documents\GitHub\eaglep3-reporting\EC\2017-12-22-refined-times.txt</v>
      </c>
      <c r="AI148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{"issue":{"subject":"","project_id":79,"tracker_id":40,"status_id":1,"priority_id":2,"assigned_to_id":338,"start_date":"2017-12-23","description":"","custom_fields":[{"id":1,"name":"Subdivision","value":"EC"},{"id":4,"name":"Milepost","value":"0.0263"},{"id":17,"name":"Train ID","value":"236-22"},{"id":16,"name":"Locomotive ID","value":"4005"},{"id":130,"name":"Impact","value":""},{"id":150,"name":"Time of Event (Mountain Time)","value":"00:03:51"},{"id":151,"name":"Denver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67"/>
        <v>start /low /b %USERPROFILE%\Documents\GitHub\eaglep3\Utilities\DownloadLogsFromS3.py --loco 4005 --day 2017-12-22</v>
      </c>
      <c r="AN148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07:03:51"},{"id":29,"name":"Sharepoint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69"/>
        <v>https://d0f6bd738d7f1b3e5a7ca70fe4ff75f0.us-east-1.aws.found.io/app/kibana#/discover/Steve-Slow-Train-Analysis-(2080s-and-2083s)?_g=(refreshInterval:(display:Off,pause:!f,section:0,value:0),time:(from:'2017-12-22T22:10:57-0700',mode:absolute,to:'2017-12-23T01:03:51-0700'))&amp;_a=(columns:!('Message%20ID',Summary),filters:!(),index:'emp_*',interval:auto,query:(query_string:(analyze_wildcard:!t,query:'%22rtdc.l.rtdc.4005%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884</v>
      </c>
      <c r="B149" s="225">
        <v>4010</v>
      </c>
      <c r="C149" s="227" t="s">
        <v>192</v>
      </c>
      <c r="D149" s="227" t="s">
        <v>986</v>
      </c>
      <c r="E149" s="226">
        <v>43091.955057870371</v>
      </c>
      <c r="F149" s="226">
        <v>43091.958611111113</v>
      </c>
      <c r="G149" s="225">
        <v>131</v>
      </c>
      <c r="H149" s="227" t="s">
        <v>525</v>
      </c>
      <c r="I149" s="226">
        <v>43091.98400462963</v>
      </c>
      <c r="J149" s="225">
        <v>0</v>
      </c>
      <c r="K149" s="237" t="str">
        <f t="shared" si="51"/>
        <v>4009/4010</v>
      </c>
      <c r="L149" s="245" t="str">
        <f>VLOOKUP(A149,'Trips&amp;Operators'!$C$1:$G$99911,5,FALSE)</f>
        <v>ANDERS STEVEN</v>
      </c>
      <c r="M149" s="224">
        <f t="shared" si="52"/>
        <v>2.5393518517375924E-2</v>
      </c>
      <c r="N149" s="225">
        <f t="shared" si="53"/>
        <v>36.56666666502133</v>
      </c>
      <c r="O149" s="225"/>
      <c r="P149" s="225"/>
      <c r="Q149" s="228"/>
      <c r="R149" s="242"/>
      <c r="S149" s="249">
        <f t="shared" si="54"/>
        <v>1</v>
      </c>
      <c r="T149" s="242" t="str">
        <f t="shared" si="55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56"/>
        <v>https://d0f6bd738d7f1b3e5a7ca70fe4ff75f0.us-east-1.aws.found.io/app/kibana#/discover/Steve-Slow-Train-Analysis-(2080s-and-2083s)?_g=(refreshInterval:(display:Off,pause:!f,section:0,value:0),time:(from:'2017-12-22T21:55:17-0700',mode:absolute,to:'2017-12-23T00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9" s="247" t="str">
        <f>IF(AA149&lt;VLOOKUP(AG149,Variables!$AC$3:$AD$8,2,FALSE),"Y","N")</f>
        <v>N</v>
      </c>
      <c r="X149" s="247">
        <f t="shared" si="57"/>
        <v>1</v>
      </c>
      <c r="Y149" s="247">
        <f t="shared" si="58"/>
        <v>5.7500000000000002E-2</v>
      </c>
      <c r="Z149" s="247">
        <f t="shared" si="59"/>
        <v>23.325900000000001</v>
      </c>
      <c r="AA149" s="247">
        <f t="shared" si="60"/>
        <v>23.2684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1"/>
        <v>237</v>
      </c>
      <c r="AE149" s="235" t="str">
        <f t="shared" si="62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149" s="234" t="str">
        <f t="shared" si="63"/>
        <v>"C:\Program Files (x86)\AstroGrep\AstroGrep.exe" /e /r /s /spath="%USERPROFILE%\AppData\Local\Temp\OnboardLogs" /stypes="app*4010*20171223*" /stext=" 06:.+((SYSTEM_STATE.+slice.+state.+changed )|(ment ac)|(multiple cpu faults)|(system.+state.+changed )|(\[timeout)|(PRM\|1\|D)|(kpr)|(kdp)|(train st.+moving)|(\|lc)|(penalty))"</v>
      </c>
      <c r="AG149" s="244" t="str">
        <f t="shared" si="64"/>
        <v>EC</v>
      </c>
      <c r="AH149" s="236" t="str">
        <f t="shared" si="65"/>
        <v>"%USERPROFILE%\Documents\GitHub\eaglep3\Utilities\RefineRTDCRunTimes.py" --tripid 237-22 --locoid 4010 --swversion DE.1.0.9.0 --startMP 204:575 --initTime 2017-12-22T22:55:17 --startdatetime 2017-12-22T23:00:24 --delay 131 --endMP 204:233259 --enddatetime 2017-12-22T23:36:58 --enforcementcount 0 &gt;&gt;%USERPROFILE%\Documents\GitHub\eaglep3-reporting\EC\2017-12-22-refined-times.txt</v>
      </c>
      <c r="AI149" s="238" t="str">
        <f t="shared" si="66"/>
        <v>echo {"issue":{"subject":"","project_id":79,"tracker_id":40,"status_id":1,"priority_id":2,"assigned_to_id":338,"start_date":"2017-12-22","description":"","custom_fields":[{"id":1,"name":"Subdivision","value":"EC"},{"id":4,"name":"Milepost","value":"23.3259"},{"id":17,"name":"Train ID","value":"237-22"},{"id":16,"name":"Locomotive ID","value":"4010"},{"id":130,"name":"Impact","value":""},{"id":150,"name":"Time of Event (Mountain Time)","value":"23:36:58"},{"id":151,"name":"Denver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67"/>
        <v>start /low /b %USERPROFILE%\Documents\GitHub\eaglep3\Utilities\DownloadLogsFromS3.py --loco 4010 --day 2017-12-22</v>
      </c>
      <c r="AN149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69"/>
        <v>https://d0f6bd738d7f1b3e5a7ca70fe4ff75f0.us-east-1.aws.found.io/app/kibana#/discover/Steve-Slow-Train-Analysis-(2080s-and-2083s)?_g=(refreshInterval:(display:Off,pause:!f,section:0,value:0),time:(from:'2017-12-22T21:55:17-0700',mode:absolute,to:'2017-12-23T00:36:58-0700'))&amp;_a=(columns:!('Message%20ID',Summary),filters:!(),index:'emp_*',interval:auto,query:(query_string:(analyze_wildcard:!t,query:'%22rtdc.l.rtdc.4010%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490</v>
      </c>
      <c r="B150" s="225">
        <v>4009</v>
      </c>
      <c r="C150" s="227" t="s">
        <v>192</v>
      </c>
      <c r="D150" s="227" t="s">
        <v>964</v>
      </c>
      <c r="E150" s="226">
        <v>43091.986342592594</v>
      </c>
      <c r="F150" s="226">
        <v>43091.998182870368</v>
      </c>
      <c r="G150" s="225">
        <v>64</v>
      </c>
      <c r="H150" s="227" t="s">
        <v>614</v>
      </c>
      <c r="I150" s="226">
        <v>43092.024247685185</v>
      </c>
      <c r="J150" s="225">
        <v>0</v>
      </c>
      <c r="K150" s="237" t="str">
        <f t="shared" si="51"/>
        <v>4009/4010</v>
      </c>
      <c r="L150" s="245" t="str">
        <f>VLOOKUP(A150,'Trips&amp;Operators'!$C$1:$G$99911,5,FALSE)</f>
        <v>ANDERS STEVEN</v>
      </c>
      <c r="M150" s="224">
        <f t="shared" si="52"/>
        <v>2.6064814817800652E-2</v>
      </c>
      <c r="N150" s="225">
        <f t="shared" si="53"/>
        <v>37.533333337632939</v>
      </c>
      <c r="O150" s="225"/>
      <c r="P150" s="225"/>
      <c r="Q150" s="228"/>
      <c r="R150" s="242"/>
      <c r="S150" s="249">
        <f t="shared" si="54"/>
        <v>1</v>
      </c>
      <c r="T150" s="242" t="str">
        <f t="shared" si="55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56"/>
        <v>https://d0f6bd738d7f1b3e5a7ca70fe4ff75f0.us-east-1.aws.found.io/app/kibana#/discover/Steve-Slow-Train-Analysis-(2080s-and-2083s)?_g=(refreshInterval:(display:Off,pause:!f,section:0,value:0),time:(from:'2017-12-22T22:40:20-0700',mode:absolute,to:'2017-12-23T01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0" s="247" t="str">
        <f>IF(AA150&lt;VLOOKUP(AG150,Variables!$AC$3:$AD$8,2,FALSE),"Y","N")</f>
        <v>N</v>
      </c>
      <c r="X150" s="247">
        <f t="shared" si="57"/>
        <v>1</v>
      </c>
      <c r="Y150" s="247">
        <f t="shared" si="58"/>
        <v>23.293199999999999</v>
      </c>
      <c r="Z150" s="247">
        <f t="shared" si="59"/>
        <v>2.58E-2</v>
      </c>
      <c r="AA150" s="247">
        <f t="shared" si="60"/>
        <v>23.267399999999999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1"/>
        <v>238</v>
      </c>
      <c r="AE150" s="235" t="str">
        <f t="shared" si="62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150" s="234" t="str">
        <f t="shared" si="63"/>
        <v>"C:\Program Files (x86)\AstroGrep\AstroGrep.exe" /e /r /s /spath="%USERPROFILE%\AppData\Local\Temp\OnboardLogs" /stypes="app*4009*20171223*" /stext=" 07:.+((SYSTEM_STATE.+slice.+state.+changed )|(ment ac)|(multiple cpu faults)|(system.+state.+changed )|(\[timeout)|(PRM\|1\|D)|(kpr)|(kdp)|(train st.+moving)|(\|lc)|(penalty))"</v>
      </c>
      <c r="AG150" s="244" t="str">
        <f t="shared" si="64"/>
        <v>EC</v>
      </c>
      <c r="AH150" s="236" t="str">
        <f t="shared" si="65"/>
        <v>"%USERPROFILE%\Documents\GitHub\eaglep3\Utilities\RefineRTDCRunTimes.py" --tripid 238-22 --locoid 4009 --swversion DE.1.0.9.0 --startMP 204:232932 --initTime 2017-12-22T23:40:20 --startdatetime 2017-12-22T23:57:23 --delay 64 --endMP 204:258 --enddatetime 2017-12-23T00:34:55 --enforcementcount 0 &gt;&gt;%USERPROFILE%\Documents\GitHub\eaglep3-reporting\EC\2017-12-22-refined-times.txt</v>
      </c>
      <c r="AI150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{"issue":{"subject":"","project_id":79,"tracker_id":40,"status_id":1,"priority_id":2,"assigned_to_id":338,"start_date":"2017-12-23","description":"","custom_fields":[{"id":1,"name":"Subdivision","value":"EC"},{"id":4,"name":"Milepost","value":"0.0258"},{"id":17,"name":"Train ID","value":"238-22"},{"id":16,"name":"Locomotive ID","value":"4009"},{"id":130,"name":"Impact","value":""},{"id":150,"name":"Time of Event (Mountain Time)","value":"00:34:55"},{"id":151,"name":"Denver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67"/>
        <v>start /low /b %USERPROFILE%\Documents\GitHub\eaglep3\Utilities\DownloadLogsFromS3.py --loco 4009 --day 2017-12-22</v>
      </c>
      <c r="AN150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69"/>
        <v>https://d0f6bd738d7f1b3e5a7ca70fe4ff75f0.us-east-1.aws.found.io/app/kibana#/discover/Steve-Slow-Train-Analysis-(2080s-and-2083s)?_g=(refreshInterval:(display:Off,pause:!f,section:0,value:0),time:(from:'2017-12-22T22:40:20-0700',mode:absolute,to:'2017-12-23T01:34:55-0700'))&amp;_a=(columns:!('Message%20ID',Summary),filters:!(),index:'emp_*',interval:auto,query:(query_string:(analyze_wildcard:!t,query:'%22rtdc.l.rtdc.4009%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887</v>
      </c>
      <c r="B151" s="225">
        <v>4044</v>
      </c>
      <c r="C151" s="227" t="s">
        <v>192</v>
      </c>
      <c r="D151" s="227" t="s">
        <v>602</v>
      </c>
      <c r="E151" s="226">
        <v>43091.968391203707</v>
      </c>
      <c r="F151" s="226">
        <v>43091.979386574072</v>
      </c>
      <c r="G151" s="225">
        <v>58</v>
      </c>
      <c r="H151" s="227" t="s">
        <v>546</v>
      </c>
      <c r="I151" s="226">
        <v>43092.004803240743</v>
      </c>
      <c r="J151" s="225">
        <v>0</v>
      </c>
      <c r="K151" s="237" t="str">
        <f t="shared" si="51"/>
        <v>4043/4044</v>
      </c>
      <c r="L151" s="245" t="str">
        <f>VLOOKUP(A151,'Trips&amp;Operators'!$C$1:$G$99911,5,FALSE)</f>
        <v>DAVIDSON DAVID</v>
      </c>
      <c r="M151" s="224">
        <f t="shared" si="52"/>
        <v>2.5416666670935228E-2</v>
      </c>
      <c r="N151" s="225">
        <f t="shared" si="53"/>
        <v>36.600000006146729</v>
      </c>
      <c r="O151" s="225"/>
      <c r="P151" s="225"/>
      <c r="Q151" s="228"/>
      <c r="R151" s="242"/>
      <c r="S151" s="249">
        <f t="shared" si="54"/>
        <v>1</v>
      </c>
      <c r="T151" s="242" t="str">
        <f t="shared" si="55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56"/>
        <v>https://d0f6bd738d7f1b3e5a7ca70fe4ff75f0.us-east-1.aws.found.io/app/kibana#/discover/Steve-Slow-Train-Analysis-(2080s-and-2083s)?_g=(refreshInterval:(display:Off,pause:!f,section:0,value:0),time:(from:'2017-12-22T22:14:29-0700',mode:absolute,to:'2017-12-23T01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247" t="str">
        <f>IF(AA151&lt;VLOOKUP(AG151,Variables!$AC$3:$AD$8,2,FALSE),"Y","N")</f>
        <v>N</v>
      </c>
      <c r="X151" s="247">
        <f t="shared" si="57"/>
        <v>1</v>
      </c>
      <c r="Y151" s="247">
        <f t="shared" si="58"/>
        <v>5.2200000000000003E-2</v>
      </c>
      <c r="Z151" s="247">
        <f t="shared" si="59"/>
        <v>23.3263</v>
      </c>
      <c r="AA151" s="247">
        <f t="shared" si="60"/>
        <v>23.274100000000001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1"/>
        <v>239</v>
      </c>
      <c r="AE151" s="235" t="str">
        <f t="shared" si="62"/>
        <v>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 &amp; 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</v>
      </c>
      <c r="AF151" s="234" t="str">
        <f t="shared" si="63"/>
        <v>"C:\Program Files (x86)\AstroGrep\AstroGrep.exe" /e /r /s /spath="%USERPROFILE%\AppData\Local\Temp\OnboardLogs" /stypes="app*4044*20171223*" /stext=" 07:.+((SYSTEM_STATE.+slice.+state.+changed )|(ment ac)|(multiple cpu faults)|(system.+state.+changed )|(\[timeout)|(PRM\|1\|D)|(kpr)|(kdp)|(train st.+moving)|(\|lc)|(penalty))"</v>
      </c>
      <c r="AG151" s="244" t="str">
        <f t="shared" si="64"/>
        <v>EC</v>
      </c>
      <c r="AH151" s="236" t="str">
        <f t="shared" si="65"/>
        <v>"%USERPROFILE%\Documents\GitHub\eaglep3\Utilities\RefineRTDCRunTimes.py" --tripid 239-22 --locoid 4044 --swversion DE.1.0.9.0 --startMP 204:522 --initTime 2017-12-22T23:14:29 --startdatetime 2017-12-22T23:30:19 --delay 58 --endMP 204:233263 --enddatetime 2017-12-23T00:06:55 --enforcementcount 0 &gt;&gt;%USERPROFILE%\Documents\GitHub\eaglep3-reporting\EC\2017-12-22-refined-times.txt</v>
      </c>
      <c r="AI151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{"issue":{"subject":"","project_id":79,"tracker_id":40,"status_id":1,"priority_id":2,"assigned_to_id":338,"start_date":"2017-12-23","description":"","custom_fields":[{"id":1,"name":"Subdivision","value":"EC"},{"id":4,"name":"Milepost","value":"23.3263"},{"id":17,"name":"Train ID","value":"239-22"},{"id":16,"name":"Locomotive ID","value":"4044"},{"id":130,"name":"Impact","value":""},{"id":150,"name":"Time of Event (Mountain Time)","value":"00:06:55"},{"id":151,"name":"Denver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67"/>
        <v>start /low /b %USERPROFILE%\Documents\GitHub\eaglep3\Utilities\DownloadLogsFromS3.py --loco 4044 --day 2017-12-22</v>
      </c>
      <c r="AN151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07:06:55"},{"id":29,"name":"Sharepoint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69"/>
        <v>https://d0f6bd738d7f1b3e5a7ca70fe4ff75f0.us-east-1.aws.found.io/app/kibana#/discover/Steve-Slow-Train-Analysis-(2080s-and-2083s)?_g=(refreshInterval:(display:Off,pause:!f,section:0,value:0),time:(from:'2017-12-22T22:14:29-0700',mode:absolute,to:'2017-12-23T01:06:55-0700'))&amp;_a=(columns:!('Message%20ID',Summary),filters:!(),index:'emp_*',interval:auto,query:(query_string:(analyze_wildcard:!t,query:'%22rtdc.l.rtdc.4044%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488</v>
      </c>
      <c r="B152" s="225">
        <v>4043</v>
      </c>
      <c r="C152" s="227" t="s">
        <v>192</v>
      </c>
      <c r="D152" s="227" t="s">
        <v>641</v>
      </c>
      <c r="E152" s="226">
        <v>43092.006238425929</v>
      </c>
      <c r="F152" s="226">
        <v>43092.01898148148</v>
      </c>
      <c r="G152" s="225">
        <v>52</v>
      </c>
      <c r="H152" s="227" t="s">
        <v>484</v>
      </c>
      <c r="I152" s="226">
        <v>43092.045763888891</v>
      </c>
      <c r="J152" s="225">
        <v>0</v>
      </c>
      <c r="K152" s="237" t="str">
        <f t="shared" si="51"/>
        <v>4043/4044</v>
      </c>
      <c r="L152" s="245" t="str">
        <f>VLOOKUP(A152,'Trips&amp;Operators'!$C$1:$G$99911,5,FALSE)</f>
        <v>DAVIDSON DAVID</v>
      </c>
      <c r="M152" s="224">
        <f t="shared" si="52"/>
        <v>2.6782407410792075E-2</v>
      </c>
      <c r="N152" s="225">
        <f t="shared" si="53"/>
        <v>38.566666671540588</v>
      </c>
      <c r="O152" s="225"/>
      <c r="P152" s="225"/>
      <c r="Q152" s="228"/>
      <c r="R152" s="242"/>
      <c r="S152" s="249">
        <f t="shared" si="54"/>
        <v>1</v>
      </c>
      <c r="T152" s="242" t="str">
        <f t="shared" si="55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56"/>
        <v>https://d0f6bd738d7f1b3e5a7ca70fe4ff75f0.us-east-1.aws.found.io/app/kibana#/discover/Steve-Slow-Train-Analysis-(2080s-and-2083s)?_g=(refreshInterval:(display:Off,pause:!f,section:0,value:0),time:(from:'2017-12-22T23:08:59-0700',mode:absolute,to:'2017-12-23T02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2" s="247" t="str">
        <f>IF(AA152&lt;VLOOKUP(AG152,Variables!$AC$3:$AD$8,2,FALSE),"Y","N")</f>
        <v>N</v>
      </c>
      <c r="X152" s="247">
        <f t="shared" si="57"/>
        <v>1</v>
      </c>
      <c r="Y152" s="247">
        <f t="shared" si="58"/>
        <v>23.2943</v>
      </c>
      <c r="Z152" s="247">
        <f t="shared" si="59"/>
        <v>2.2499999999999999E-2</v>
      </c>
      <c r="AA152" s="247">
        <f t="shared" si="60"/>
        <v>23.271799999999999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1"/>
        <v>240</v>
      </c>
      <c r="AE152" s="235" t="str">
        <f t="shared" si="62"/>
        <v>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 &amp; 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</v>
      </c>
      <c r="AF152" s="234" t="str">
        <f t="shared" si="63"/>
        <v>"C:\Program Files (x86)\AstroGrep\AstroGrep.exe" /e /r /s /spath="%USERPROFILE%\AppData\Local\Temp\OnboardLogs" /stypes="app*4043*20171223*" /stext=" 08:.+((SYSTEM_STATE.+slice.+state.+changed )|(ment ac)|(multiple cpu faults)|(system.+state.+changed )|(\[timeout)|(PRM\|1\|D)|(kpr)|(kdp)|(train st.+moving)|(\|lc)|(penalty))"</v>
      </c>
      <c r="AG152" s="244" t="str">
        <f t="shared" si="64"/>
        <v>EC</v>
      </c>
      <c r="AH152" s="236" t="str">
        <f t="shared" si="65"/>
        <v>"%USERPROFILE%\Documents\GitHub\eaglep3\Utilities\RefineRTDCRunTimes.py" --tripid 240-22 --locoid 4043 --swversion DE.1.0.9.0 --startMP 204:232943 --initTime 2017-12-23T00:08:59 --startdatetime 2017-12-23T00:27:20 --delay 52 --endMP 204:225 --enddatetime 2017-12-23T01:05:54 --enforcementcount 0 &gt;&gt;%USERPROFILE%\Documents\GitHub\eaglep3-reporting\EC\2017-12-22-refined-times.txt</v>
      </c>
      <c r="AI152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{"issue":{"subject":"","project_id":79,"tracker_id":40,"status_id":1,"priority_id":2,"assigned_to_id":338,"start_date":"2017-12-23","description":"","custom_fields":[{"id":1,"name":"Subdivision","value":"EC"},{"id":4,"name":"Milepost","value":"0.0225"},{"id":17,"name":"Train ID","value":"240-22"},{"id":16,"name":"Locomotive ID","value":"4043"},{"id":130,"name":"Impact","value":""},{"id":150,"name":"Time of Event (Mountain Time)","value":"01:05:54"},{"id":151,"name":"Denver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67"/>
        <v>start /low /b %USERPROFILE%\Documents\GitHub\eaglep3\Utilities\DownloadLogsFromS3.py --loco 4043 --day 2017-12-23</v>
      </c>
      <c r="AN152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69"/>
        <v>https://d0f6bd738d7f1b3e5a7ca70fe4ff75f0.us-east-1.aws.found.io/app/kibana#/discover/Steve-Slow-Train-Analysis-(2080s-and-2083s)?_g=(refreshInterval:(display:Off,pause:!f,section:0,value:0),time:(from:'2017-12-22T23:08:59-0700',mode:absolute,to:'2017-12-23T02:05:54-0700'))&amp;_a=(columns:!('Message%20ID',Summary),filters:!(),index:'emp_*',interval:auto,query:(query_string:(analyze_wildcard:!t,query:'%22rtdc.l.rtdc.4043%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889</v>
      </c>
      <c r="B153" s="225">
        <v>4020</v>
      </c>
      <c r="C153" s="227" t="s">
        <v>192</v>
      </c>
      <c r="D153" s="227" t="s">
        <v>641</v>
      </c>
      <c r="E153" s="226">
        <v>43092.006238425929</v>
      </c>
      <c r="F153" s="226">
        <v>43092.000208333331</v>
      </c>
      <c r="G153" s="225">
        <v>52</v>
      </c>
      <c r="H153" s="227" t="s">
        <v>484</v>
      </c>
      <c r="I153" s="226">
        <v>43092.024976851855</v>
      </c>
      <c r="J153" s="225">
        <v>0</v>
      </c>
      <c r="K153" s="237" t="str">
        <f t="shared" si="51"/>
        <v>4019/4020</v>
      </c>
      <c r="L153" s="245" t="str">
        <f>VLOOKUP(A153,'Trips&amp;Operators'!$C$1:$G$99911,5,FALSE)</f>
        <v>NICHOLSON WESLEY</v>
      </c>
      <c r="M153" s="224">
        <f t="shared" si="52"/>
        <v>2.4768518524069805E-2</v>
      </c>
      <c r="N153" s="225">
        <f t="shared" si="53"/>
        <v>35.666666674660519</v>
      </c>
      <c r="O153" s="225"/>
      <c r="P153" s="225"/>
      <c r="Q153" s="228"/>
      <c r="R153" s="242"/>
      <c r="S153" s="249">
        <f t="shared" si="54"/>
        <v>1</v>
      </c>
      <c r="T153" s="242" t="str">
        <f t="shared" si="55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56"/>
        <v>https://d0f6bd738d7f1b3e5a7ca70fe4ff75f0.us-east-1.aws.found.io/app/kibana#/discover/Steve-Slow-Train-Analysis-(2080s-and-2083s)?_g=(refreshInterval:(display:Off,pause:!f,section:0,value:0),time:(from:'2017-12-22T23:08:59-0700',mode:absolute,to:'2017-12-23T01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247" t="str">
        <f>IF(AA153&lt;VLOOKUP(AG153,Variables!$AC$3:$AD$8,2,FALSE),"Y","N")</f>
        <v>N</v>
      </c>
      <c r="X153" s="247">
        <f t="shared" si="57"/>
        <v>1</v>
      </c>
      <c r="Y153" s="247">
        <v>7.2999999999999995E-2</v>
      </c>
      <c r="Z153" s="247">
        <v>23.3203</v>
      </c>
      <c r="AA153" s="247">
        <f t="shared" si="60"/>
        <v>23.247299999999999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1"/>
        <v>241</v>
      </c>
      <c r="AE153" s="235" t="str">
        <f t="shared" si="62"/>
        <v>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 &amp; aws s3 cp s3://rtdc.mdm.uploadarchive.raw/RTDC4020/ "%USERPROFILE%\AppData\Local\Temp\OnboardLogs"\RTDC4020\2017-12-24 --exclude "*" --recursive --include "*20171224*" &amp; "%USERPROFILE%\Documents\GitHub\mrs-test-scripts\Headless Mode &amp; Sideloading\WalkAndUnGZ.bat" "%USERPROFILE%\AppData\Local\Temp\OnboardLogs"\RTDC4020\2017-12-24</v>
      </c>
      <c r="AF153" s="234" t="str">
        <f t="shared" si="63"/>
        <v>"C:\Program Files (x86)\AstroGrep\AstroGrep.exe" /e /r /s /spath="%USERPROFILE%\AppData\Local\Temp\OnboardLogs" /stypes="app*4020*20171223*" /stext=" 07:.+((SYSTEM_STATE.+slice.+state.+changed )|(ment ac)|(multiple cpu faults)|(system.+state.+changed )|(\[timeout)|(PRM\|1\|D)|(kpr)|(kdp)|(train st.+moving)|(\|lc)|(penalty))"</v>
      </c>
      <c r="AG153" s="244" t="str">
        <f t="shared" si="64"/>
        <v>EC</v>
      </c>
      <c r="AH153" s="236" t="str">
        <f t="shared" ref="AH153" si="70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241-22 --locoid 4020 --swversion DE.1.0.9.0 --startMP 204:232943 --initTime 2017-12-23T00:08:59 --startdatetime 2017-12-23T00:00:18 --delay 52 --endMP 204:225 --enddatetime 2017-12-23T00:35:58 --enforcementcount 0 &gt;&gt;%USERPROFILE%\Documents\GitHub\eaglep3-reporting\EC\2017-12-22-refined-times.txt</v>
      </c>
      <c r="AI153" s="238" t="str">
        <f t="shared" ref="AI153" si="71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{"issue":{"subject":"","project_id":79,"tracker_id":40,"status_id":1,"priority_id":2,"assigned_to_id":338,"start_date":"2017-12-23","description":"","custom_fields":[{"id":1,"name":"Subdivision","value":"EC"},{"id":4,"name":"Milepost","value":"23.3203"},{"id":17,"name":"Train ID","value":"241-22"},{"id":16,"name":"Locomotive ID","value":"4020"},{"id":130,"name":"Impact","value":""},{"id":150,"name":"Time of Event (Mountain Time)","value":"00:35:58"},{"id":151,"name":"Denver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ref="AM153" si="72">"start /low /b "&amp;dls3logs&amp;" --loco "&amp;B153&amp;" --day "&amp;TEXT(F153,"YYYY-MM-DD")</f>
        <v>start /low /b %USERPROFILE%\Documents\GitHub\eaglep3\Utilities\DownloadLogsFromS3.py --loco 4020 --day 2017-12-23</v>
      </c>
      <c r="AN153" s="241" t="str">
        <f t="shared" ref="AN153" si="73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ref="AO153" si="74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-22T23:08:59-0700',mode:absolute,to:'2017-12-23T01:35:58-0700'))&amp;_a=(columns:!('Message%20ID',Summary),filters:!(),index:'emp_*',interval:auto,query:(query_string:(analyze_wildcard:!t,query:'%22rtdc.l.rtdc.4020%22')),sort:!(Time.ISO8601,asc))</v>
      </c>
    </row>
    <row r="154" spans="1:91" s="223" customFormat="1" x14ac:dyDescent="0.3">
      <c r="A154" s="229" t="s">
        <v>493</v>
      </c>
      <c r="B154" s="225">
        <v>4019</v>
      </c>
      <c r="C154" s="227" t="s">
        <v>192</v>
      </c>
      <c r="D154" s="227" t="s">
        <v>903</v>
      </c>
      <c r="E154" s="226">
        <v>43092.035682870373</v>
      </c>
      <c r="F154" s="226">
        <v>43092.03979166667</v>
      </c>
      <c r="G154" s="225">
        <v>62</v>
      </c>
      <c r="H154" s="227" t="s">
        <v>987</v>
      </c>
      <c r="I154" s="226">
        <v>43092.066122685188</v>
      </c>
      <c r="J154" s="225">
        <v>0</v>
      </c>
      <c r="K154" s="237" t="str">
        <f t="shared" si="51"/>
        <v>4019/4020</v>
      </c>
      <c r="L154" s="245" t="str">
        <f>VLOOKUP(A154,'Trips&amp;Operators'!$C$1:$G$99911,5,FALSE)</f>
        <v>NICHOLSON WESLEY</v>
      </c>
      <c r="M154" s="224">
        <f t="shared" si="52"/>
        <v>2.6331018518249039E-2</v>
      </c>
      <c r="N154" s="225">
        <f t="shared" si="53"/>
        <v>37.916666666278616</v>
      </c>
      <c r="O154" s="225"/>
      <c r="P154" s="225"/>
      <c r="Q154" s="228"/>
      <c r="R154" s="242"/>
      <c r="S154" s="249">
        <f t="shared" si="54"/>
        <v>1</v>
      </c>
      <c r="T154" s="242" t="str">
        <f t="shared" si="55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56"/>
        <v>https://d0f6bd738d7f1b3e5a7ca70fe4ff75f0.us-east-1.aws.found.io/app/kibana#/discover/Steve-Slow-Train-Analysis-(2080s-and-2083s)?_g=(refreshInterval:(display:Off,pause:!f,section:0,value:0),time:(from:'2017-12-22T23:51:23-0700',mode:absolute,to:'2017-12-23T02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247" t="str">
        <f>IF(AA154&lt;VLOOKUP(AG154,Variables!$AC$3:$AD$8,2,FALSE),"Y","N")</f>
        <v>N</v>
      </c>
      <c r="X154" s="247">
        <f t="shared" si="57"/>
        <v>1</v>
      </c>
      <c r="Y154" s="247">
        <f>RIGHT(D154,LEN(D154)-4)/10000</f>
        <v>23.2879</v>
      </c>
      <c r="Z154" s="247">
        <f>RIGHT(H154,LEN(H154)-4)/10000</f>
        <v>2.4899999999999999E-2</v>
      </c>
      <c r="AA154" s="247">
        <f t="shared" si="60"/>
        <v>23.263000000000002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1"/>
        <v>242</v>
      </c>
      <c r="AE154" s="235" t="str">
        <f t="shared" si="62"/>
        <v>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 &amp; aws s3 cp s3://rtdc.mdm.uploadarchive.raw/RTDC4019/ "%USERPROFILE%\AppData\Local\Temp\OnboardLogs"\RTDC4019\2017-12-24 --exclude "*" --recursive --include "*20171224*" &amp; "%USERPROFILE%\Documents\GitHub\mrs-test-scripts\Headless Mode &amp; Sideloading\WalkAndUnGZ.bat" "%USERPROFILE%\AppData\Local\Temp\OnboardLogs"\RTDC4019\2017-12-24</v>
      </c>
      <c r="AF154" s="234" t="str">
        <f t="shared" si="63"/>
        <v>"C:\Program Files (x86)\AstroGrep\AstroGrep.exe" /e /r /s /spath="%USERPROFILE%\AppData\Local\Temp\OnboardLogs" /stypes="app*4019*20171223*" /stext=" 08:.+((SYSTEM_STATE.+slice.+state.+changed )|(ment ac)|(multiple cpu faults)|(system.+state.+changed )|(\[timeout)|(PRM\|1\|D)|(kpr)|(kdp)|(train st.+moving)|(\|lc)|(penalty))"</v>
      </c>
      <c r="AG154" s="244" t="str">
        <f t="shared" si="64"/>
        <v>EC</v>
      </c>
      <c r="AH154" s="236" t="str">
        <f t="shared" si="65"/>
        <v>"%USERPROFILE%\Documents\GitHub\eaglep3\Utilities\RefineRTDCRunTimes.py" --tripid 242-22 --locoid 4019 --swversion DE.1.0.9.0 --startMP 204:232879 --initTime 2017-12-23T00:51:23 --startdatetime 2017-12-23T00:57:18 --delay 62 --endMP 204:249 --enddatetime 2017-12-23T01:35:13 --enforcementcount 0 &gt;&gt;%USERPROFILE%\Documents\GitHub\eaglep3-reporting\EC\2017-12-22-refined-times.txt</v>
      </c>
      <c r="AI154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{"issue":{"subject":"","project_id":79,"tracker_id":40,"status_id":1,"priority_id":2,"assigned_to_id":338,"start_date":"2017-12-23","description":"","custom_fields":[{"id":1,"name":"Subdivision","value":"EC"},{"id":4,"name":"Milepost","value":"0.0249"},{"id":17,"name":"Train ID","value":"242-22"},{"id":16,"name":"Locomotive ID","value":"4019"},{"id":130,"name":"Impact","value":""},{"id":150,"name":"Time of Event (Mountain Time)","value":"01:35:13"},{"id":151,"name":"Denver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67"/>
        <v>start /low /b %USERPROFILE%\Documents\GitHub\eaglep3\Utilities\DownloadLogsFromS3.py --loco 4019 --day 2017-12-23</v>
      </c>
      <c r="AN154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69"/>
        <v>https://d0f6bd738d7f1b3e5a7ca70fe4ff75f0.us-east-1.aws.found.io/app/kibana#/discover/Steve-Slow-Train-Analysis-(2080s-and-2083s)?_g=(refreshInterval:(display:Off,pause:!f,section:0,value:0),time:(from:'2017-12-22T23:51:23-0700',mode:absolute,to:'2017-12-23T02:35:13-0700'))&amp;_a=(columns:!('Message%20ID',Summary),filters:!(),index:'emp_*',interval:auto,query:(query_string:(analyze_wildcard:!t,query:'%22rtdc.l.rtdc.4019%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491</v>
      </c>
      <c r="B155" s="225">
        <v>4006</v>
      </c>
      <c r="C155" s="227" t="s">
        <v>192</v>
      </c>
      <c r="D155" s="227" t="s">
        <v>648</v>
      </c>
      <c r="E155" s="226">
        <v>43092.006932870368</v>
      </c>
      <c r="F155" s="226">
        <v>43092.020983796298</v>
      </c>
      <c r="G155" s="225">
        <v>53</v>
      </c>
      <c r="H155" s="227" t="s">
        <v>895</v>
      </c>
      <c r="I155" s="226">
        <v>43092.045138888891</v>
      </c>
      <c r="J155" s="225">
        <v>0</v>
      </c>
      <c r="K155" s="237" t="str">
        <f t="shared" si="51"/>
        <v>4005/4006</v>
      </c>
      <c r="L155" s="245" t="str">
        <f>VLOOKUP(A155,'Trips&amp;Operators'!$C$1:$G$99911,5,FALSE)</f>
        <v>ELBAUM MIKE</v>
      </c>
      <c r="M155" s="224">
        <f t="shared" si="52"/>
        <v>2.4155092592991423E-2</v>
      </c>
      <c r="N155" s="225">
        <f t="shared" si="53"/>
        <v>34.783333333907649</v>
      </c>
      <c r="O155" s="225"/>
      <c r="P155" s="225"/>
      <c r="Q155" s="228"/>
      <c r="R155" s="242"/>
      <c r="S155" s="249">
        <f t="shared" si="54"/>
        <v>1</v>
      </c>
      <c r="T155" s="242" t="str">
        <f t="shared" si="55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56"/>
        <v>https://d0f6bd738d7f1b3e5a7ca70fe4ff75f0.us-east-1.aws.found.io/app/kibana#/discover/Steve-Slow-Train-Analysis-(2080s-and-2083s)?_g=(refreshInterval:(display:Off,pause:!f,section:0,value:0),time:(from:'2017-12-22T23:09:59-0700',mode:absolute,to:'2017-12-23T02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247" t="str">
        <f>IF(AA155&lt;VLOOKUP(AG155,Variables!$AC$3:$AD$8,2,FALSE),"Y","N")</f>
        <v>N</v>
      </c>
      <c r="X155" s="247">
        <f t="shared" si="57"/>
        <v>1</v>
      </c>
      <c r="Y155" s="247">
        <f>RIGHT(D155,LEN(D155)-4)/10000</f>
        <v>5.7299999999999997E-2</v>
      </c>
      <c r="Z155" s="247">
        <f>RIGHT(H155,LEN(H155)-4)/10000</f>
        <v>23.329799999999999</v>
      </c>
      <c r="AA155" s="247">
        <f t="shared" si="60"/>
        <v>23.272499999999997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1"/>
        <v>243</v>
      </c>
      <c r="AE155" s="235" t="str">
        <f t="shared" si="62"/>
        <v>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 &amp; 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</v>
      </c>
      <c r="AF155" s="234" t="str">
        <f t="shared" si="63"/>
        <v>"C:\Program Files (x86)\AstroGrep\AstroGrep.exe" /e /r /s /spath="%USERPROFILE%\AppData\Local\Temp\OnboardLogs" /stypes="app*4006*20171223*" /stext=" 08:.+((SYSTEM_STATE.+slice.+state.+changed )|(ment ac)|(multiple cpu faults)|(system.+state.+changed )|(\[timeout)|(PRM\|1\|D)|(kpr)|(kdp)|(train st.+moving)|(\|lc)|(penalty))"</v>
      </c>
      <c r="AG155" s="244" t="str">
        <f t="shared" si="64"/>
        <v>EC</v>
      </c>
      <c r="AH155" s="236" t="str">
        <f t="shared" si="65"/>
        <v>"%USERPROFILE%\Documents\GitHub\eaglep3\Utilities\RefineRTDCRunTimes.py" --tripid 243-22 --locoid 4006 --swversion DE.1.0.9.0 --startMP 204:573 --initTime 2017-12-23T00:09:59 --startdatetime 2017-12-23T00:30:13 --delay 53 --endMP 204:233298 --enddatetime 2017-12-23T01:05:00 --enforcementcount 0 &gt;&gt;%USERPROFILE%\Documents\GitHub\eaglep3-reporting\EC\2017-12-22-refined-times.txt</v>
      </c>
      <c r="AI155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{"issue":{"subject":"","project_id":79,"tracker_id":40,"status_id":1,"priority_id":2,"assigned_to_id":338,"start_date":"2017-12-23","description":"","custom_fields":[{"id":1,"name":"Subdivision","value":"EC"},{"id":4,"name":"Milepost","value":"23.3298"},{"id":17,"name":"Train ID","value":"243-22"},{"id":16,"name":"Locomotive ID","value":"4006"},{"id":130,"name":"Impact","value":""},{"id":150,"name":"Time of Event (Mountain Time)","value":"01:05:00"},{"id":151,"name":"Denver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67"/>
        <v>start /low /b %USERPROFILE%\Documents\GitHub\eaglep3\Utilities\DownloadLogsFromS3.py --loco 4006 --day 2017-12-23</v>
      </c>
      <c r="AN155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69"/>
        <v>https://d0f6bd738d7f1b3e5a7ca70fe4ff75f0.us-east-1.aws.found.io/app/kibana#/discover/Steve-Slow-Train-Analysis-(2080s-and-2083s)?_g=(refreshInterval:(display:Off,pause:!f,section:0,value:0),time:(from:'2017-12-22T23:09:59-0700',mode:absolute,to:'2017-12-23T02:05:00-0700'))&amp;_a=(columns:!('Message%20ID',Summary),filters:!(),index:'emp_*',interval:auto,query:(query_string:(analyze_wildcard:!t,query:'%22rtdc.l.rtdc.4006%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495</v>
      </c>
      <c r="B156" s="225">
        <v>4005</v>
      </c>
      <c r="C156" s="227" t="s">
        <v>192</v>
      </c>
      <c r="D156" s="227" t="s">
        <v>648</v>
      </c>
      <c r="E156" s="226">
        <v>43092.006932870368</v>
      </c>
      <c r="F156" s="226">
        <v>43092.060578703706</v>
      </c>
      <c r="G156" s="225">
        <v>53</v>
      </c>
      <c r="H156" s="227" t="s">
        <v>895</v>
      </c>
      <c r="I156" s="226">
        <v>43092.085393518515</v>
      </c>
      <c r="J156" s="225">
        <v>0</v>
      </c>
      <c r="K156" s="237" t="str">
        <f t="shared" si="51"/>
        <v>4005/4006</v>
      </c>
      <c r="L156" s="245" t="str">
        <f>VLOOKUP(A156,'Trips&amp;Operators'!$C$1:$G$99911,5,FALSE)</f>
        <v>ELBAUM MIKE</v>
      </c>
      <c r="M156" s="224">
        <f t="shared" si="52"/>
        <v>2.4814814809360541E-2</v>
      </c>
      <c r="N156" s="225">
        <f t="shared" si="53"/>
        <v>35.73333332547918</v>
      </c>
      <c r="O156" s="225"/>
      <c r="P156" s="225"/>
      <c r="Q156" s="228"/>
      <c r="R156" s="242"/>
      <c r="S156" s="249">
        <f t="shared" si="54"/>
        <v>1</v>
      </c>
      <c r="T156" s="242" t="str">
        <f t="shared" si="55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56"/>
        <v>https://d0f6bd738d7f1b3e5a7ca70fe4ff75f0.us-east-1.aws.found.io/app/kibana#/discover/Steve-Slow-Train-Analysis-(2080s-and-2083s)?_g=(refreshInterval:(display:Off,pause:!f,section:0,value:0),time:(from:'2017-12-22T23:09:59-0700',mode:absolute,to:'2017-12-23T03:02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247" t="str">
        <f>IF(AA156&lt;VLOOKUP(AG156,Variables!$AC$3:$AD$8,2,FALSE),"Y","N")</f>
        <v>N</v>
      </c>
      <c r="X156" s="247">
        <f t="shared" si="57"/>
        <v>1</v>
      </c>
      <c r="Y156" s="247">
        <v>23.2743</v>
      </c>
      <c r="Z156" s="247">
        <v>2.63E-2</v>
      </c>
      <c r="AA156" s="247">
        <f t="shared" si="60"/>
        <v>23.248000000000001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1"/>
        <v>244</v>
      </c>
      <c r="AE156" s="235" t="str">
        <f t="shared" si="62"/>
        <v>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 &amp; 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</v>
      </c>
      <c r="AF156" s="234" t="str">
        <f t="shared" si="63"/>
        <v>"C:\Program Files (x86)\AstroGrep\AstroGrep.exe" /e /r /s /spath="%USERPROFILE%\AppData\Local\Temp\OnboardLogs" /stypes="app*4005*20171223*" /stext=" 09:.+((SYSTEM_STATE.+slice.+state.+changed )|(ment ac)|(multiple cpu faults)|(system.+state.+changed )|(\[timeout)|(PRM\|1\|D)|(kpr)|(kdp)|(train st.+moving)|(\|lc)|(penalty))"</v>
      </c>
      <c r="AG156" s="244" t="str">
        <f t="shared" si="64"/>
        <v>EC</v>
      </c>
      <c r="AH156" s="236" t="str">
        <f t="shared" ref="AH156" si="7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244-22 --locoid 4005 --swversion DE.1.0.9.0 --startMP 204:573 --initTime 2017-12-23T00:09:59 --startdatetime 2017-12-23T01:27:14 --delay 53 --endMP 204:233298 --enddatetime 2017-12-23T02:02:58 --enforcementcount 0 &gt;&gt;%USERPROFILE%\Documents\GitHub\eaglep3-reporting\EC\2017-12-22-refined-times.txt</v>
      </c>
      <c r="AI156" s="238" t="str">
        <f t="shared" ref="AI156" si="7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{"issue":{"subject":"","project_id":79,"tracker_id":40,"status_id":1,"priority_id":2,"assigned_to_id":338,"start_date":"2017-12-23","description":"","custom_fields":[{"id":1,"name":"Subdivision","value":"EC"},{"id":4,"name":"Milepost","value":"0.0263"},{"id":17,"name":"Train ID","value":"244-22"},{"id":16,"name":"Locomotive ID","value":"4005"},{"id":130,"name":"Impact","value":""},{"id":150,"name":"Time of Event (Mountain Time)","value":"02:02:58"},{"id":151,"name":"Denver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77">"start /low /b "&amp;dls3logs&amp;" --loco "&amp;B156&amp;" --day "&amp;TEXT(F156,"YYYY-MM-DD")</f>
        <v>start /low /b %USERPROFILE%\Documents\GitHub\eaglep3\Utilities\DownloadLogsFromS3.py --loco 4005 --day 2017-12-23</v>
      </c>
      <c r="AN156" s="241" t="str">
        <f t="shared" ref="AN156" si="7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09:02:58"},{"id":29,"name":"Sharepoint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7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-22T23:09:59-0700',mode:absolute,to:'2017-12-23T03:02:58-0700'))&amp;_a=(columns:!('Message%20ID',Summary),filters:!(),index:'emp_*',interval:auto,query:(query_string:(analyze_wildcard:!t,query:'%22rtdc.l.rtdc.4005%22')),sort:!(Time.ISO8601,asc))</v>
      </c>
    </row>
    <row r="157" spans="1:91" s="20" customFormat="1" x14ac:dyDescent="0.3">
      <c r="A157" s="229" t="s">
        <v>890</v>
      </c>
      <c r="B157" s="225">
        <v>4010</v>
      </c>
      <c r="C157" s="227" t="s">
        <v>192</v>
      </c>
      <c r="D157" s="227" t="s">
        <v>638</v>
      </c>
      <c r="E157" s="226">
        <v>43092.040451388886</v>
      </c>
      <c r="F157" s="226">
        <v>43092.04210648148</v>
      </c>
      <c r="G157" s="225">
        <v>69</v>
      </c>
      <c r="H157" s="227" t="s">
        <v>531</v>
      </c>
      <c r="I157" s="226">
        <v>43092.066863425927</v>
      </c>
      <c r="J157" s="225">
        <v>0</v>
      </c>
      <c r="K157" s="237" t="str">
        <f t="shared" si="51"/>
        <v>4009/4010</v>
      </c>
      <c r="L157" s="245" t="str">
        <f>VLOOKUP(A157,'Trips&amp;Operators'!$C$1:$G$99911,5,FALSE)</f>
        <v>ANDERS STEVEN</v>
      </c>
      <c r="M157" s="224">
        <f t="shared" si="52"/>
        <v>2.4756944447290152E-2</v>
      </c>
      <c r="N157" s="225">
        <f t="shared" si="53"/>
        <v>35.650000004097819</v>
      </c>
      <c r="O157" s="225"/>
      <c r="P157" s="225"/>
      <c r="Q157" s="228"/>
      <c r="R157" s="242"/>
      <c r="S157" s="249">
        <f t="shared" si="54"/>
        <v>1</v>
      </c>
      <c r="T157" s="242" t="str">
        <f t="shared" si="55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56"/>
        <v>https://d0f6bd738d7f1b3e5a7ca70fe4ff75f0.us-east-1.aws.found.io/app/kibana#/discover/Steve-Slow-Train-Analysis-(2080s-and-2083s)?_g=(refreshInterval:(display:Off,pause:!f,section:0,value:0),time:(from:'2017-12-22T23:58:15-0700',mode:absolute,to:'2017-12-23T02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247" t="str">
        <f>IF(AA157&lt;VLOOKUP(AG157,Variables!$AC$3:$AD$8,2,FALSE),"Y","N")</f>
        <v>N</v>
      </c>
      <c r="X157" s="247">
        <f t="shared" si="57"/>
        <v>1</v>
      </c>
      <c r="Y157" s="247">
        <f>RIGHT(D157,LEN(D157)-4)/10000</f>
        <v>5.3699999999999998E-2</v>
      </c>
      <c r="Z157" s="247">
        <f>RIGHT(H157,LEN(H157)-4)/10000</f>
        <v>23.325700000000001</v>
      </c>
      <c r="AA157" s="247">
        <f t="shared" si="60"/>
        <v>23.272000000000002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1"/>
        <v>245</v>
      </c>
      <c r="AE157" s="235" t="str">
        <f t="shared" si="62"/>
        <v>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 &amp; aws s3 cp s3://rtdc.mdm.uploadarchive.raw/RTDC4010/ "%USERPROFILE%\AppData\Local\Temp\OnboardLogs"\RTDC4010\2017-12-24 --exclude "*" --recursive --include "*20171224*" &amp; "%USERPROFILE%\Documents\GitHub\mrs-test-scripts\Headless Mode &amp; Sideloading\WalkAndUnGZ.bat" "%USERPROFILE%\AppData\Local\Temp\OnboardLogs"\RTDC4010\2017-12-24</v>
      </c>
      <c r="AF157" s="234" t="str">
        <f t="shared" si="63"/>
        <v>"C:\Program Files (x86)\AstroGrep\AstroGrep.exe" /e /r /s /spath="%USERPROFILE%\AppData\Local\Temp\OnboardLogs" /stypes="app*4010*20171223*" /stext=" 08:.+((SYSTEM_STATE.+slice.+state.+changed )|(ment ac)|(multiple cpu faults)|(system.+state.+changed )|(\[timeout)|(PRM\|1\|D)|(kpr)|(kdp)|(train st.+moving)|(\|lc)|(penalty))"</v>
      </c>
      <c r="AG157" s="244" t="str">
        <f t="shared" si="64"/>
        <v>EC</v>
      </c>
      <c r="AH157" s="236" t="str">
        <f t="shared" si="65"/>
        <v>"%USERPROFILE%\Documents\GitHub\eaglep3\Utilities\RefineRTDCRunTimes.py" --tripid 245-22 --locoid 4010 --swversion DE.1.0.9.0 --startMP 204:537 --initTime 2017-12-23T00:58:15 --startdatetime 2017-12-23T01:00:38 --delay 69 --endMP 204:233257 --enddatetime 2017-12-23T01:36:17 --enforcementcount 0 &gt;&gt;%USERPROFILE%\Documents\GitHub\eaglep3-reporting\EC\2017-12-22-refined-times.txt</v>
      </c>
      <c r="AI157" s="238" t="str">
        <f t="shared" si="66"/>
        <v>echo {"issue":{"subject":"","project_id":79,"tracker_id":40,"status_id":1,"priority_id":2,"assigned_to_id":338,"start_date":"2017-12-23","description":"","custom_fields":[{"id":1,"name":"Subdivision","value":"EC"},{"id":4,"name":"Milepost","value":"23.3257"},{"id":17,"name":"Train ID","value":"245-22"},{"id":16,"name":"Locomotive ID","value":"4010"},{"id":130,"name":"Impact","value":""},{"id":150,"name":"Time of Event (Mountain Time)","value":"01:36:17"},{"id":151,"name":"Denver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67"/>
        <v>start /low /b %USERPROFILE%\Documents\GitHub\eaglep3\Utilities\DownloadLogsFromS3.py --loco 4010 --day 2017-12-23</v>
      </c>
      <c r="AN157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69"/>
        <v>https://d0f6bd738d7f1b3e5a7ca70fe4ff75f0.us-east-1.aws.found.io/app/kibana#/discover/Steve-Slow-Train-Analysis-(2080s-and-2083s)?_g=(refreshInterval:(display:Off,pause:!f,section:0,value:0),time:(from:'2017-12-22T23:58:15-0700',mode:absolute,to:'2017-12-23T02:36:17-0700'))&amp;_a=(columns:!('Message%20ID',Summary),filters:!(),index:'emp_*',interval:auto,query:(query_string:(analyze_wildcard:!t,query:'%22rtdc.l.rtdc.4010%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891</v>
      </c>
      <c r="B158" s="225">
        <v>4009</v>
      </c>
      <c r="C158" s="227" t="s">
        <v>192</v>
      </c>
      <c r="D158" s="227" t="s">
        <v>638</v>
      </c>
      <c r="E158" s="226">
        <v>43092.040451388886</v>
      </c>
      <c r="F158" s="226">
        <v>43092.081423611111</v>
      </c>
      <c r="G158" s="225">
        <v>69</v>
      </c>
      <c r="H158" s="227" t="s">
        <v>531</v>
      </c>
      <c r="I158" s="226">
        <v>43092.106990740744</v>
      </c>
      <c r="J158" s="225">
        <v>0</v>
      </c>
      <c r="K158" s="237" t="str">
        <f t="shared" si="51"/>
        <v>4009/4010</v>
      </c>
      <c r="L158" s="245" t="str">
        <f>VLOOKUP(A158,'Trips&amp;Operators'!$C$1:$G$99911,5,FALSE)</f>
        <v>ANDERS STEVEN</v>
      </c>
      <c r="M158" s="224">
        <f t="shared" si="52"/>
        <v>2.5567129632690921E-2</v>
      </c>
      <c r="N158" s="225">
        <f t="shared" si="53"/>
        <v>36.816666671074927</v>
      </c>
      <c r="O158" s="225"/>
      <c r="P158" s="225"/>
      <c r="Q158" s="228"/>
      <c r="R158" s="242"/>
      <c r="S158" s="249">
        <f t="shared" si="54"/>
        <v>1</v>
      </c>
      <c r="T158" s="242" t="str">
        <f t="shared" si="55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56"/>
        <v>https://d0f6bd738d7f1b3e5a7ca70fe4ff75f0.us-east-1.aws.found.io/app/kibana#/discover/Steve-Slow-Train-Analysis-(2080s-and-2083s)?_g=(refreshInterval:(display:Off,pause:!f,section:0,value:0),time:(from:'2017-12-22T23:58:15-0700',mode:absolute,to:'2017-12-23T03:34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247" t="str">
        <f>IF(AA158&lt;VLOOKUP(AG158,Variables!$AC$3:$AD$8,2,FALSE),"Y","N")</f>
        <v>N</v>
      </c>
      <c r="X158" s="247">
        <f t="shared" si="57"/>
        <v>1</v>
      </c>
      <c r="Y158" s="247">
        <v>23.273499999999999</v>
      </c>
      <c r="Z158" s="247">
        <v>2.3599999999999999E-2</v>
      </c>
      <c r="AA158" s="247">
        <f t="shared" si="60"/>
        <v>23.2499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1"/>
        <v>246</v>
      </c>
      <c r="AE158" s="235" t="str">
        <f t="shared" si="62"/>
        <v>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 &amp; aws s3 cp s3://rtdc.mdm.uploadarchive.raw/RTDC4009/ "%USERPROFILE%\AppData\Local\Temp\OnboardLogs"\RTDC4009\2017-12-24 --exclude "*" --recursive --include "*20171224*" &amp; "%USERPROFILE%\Documents\GitHub\mrs-test-scripts\Headless Mode &amp; Sideloading\WalkAndUnGZ.bat" "%USERPROFILE%\AppData\Local\Temp\OnboardLogs"\RTDC4009\2017-12-24</v>
      </c>
      <c r="AF158" s="234" t="str">
        <f t="shared" si="63"/>
        <v>"C:\Program Files (x86)\AstroGrep\AstroGrep.exe" /e /r /s /spath="%USERPROFILE%\AppData\Local\Temp\OnboardLogs" /stypes="app*4009*20171223*" /stext=" 09:.+((SYSTEM_STATE.+slice.+state.+changed )|(ment ac)|(multiple cpu faults)|(system.+state.+changed )|(\[timeout)|(PRM\|1\|D)|(kpr)|(kdp)|(train st.+moving)|(\|lc)|(penalty))"</v>
      </c>
      <c r="AG158" s="244" t="str">
        <f t="shared" si="64"/>
        <v>EC</v>
      </c>
      <c r="AH158" s="236" t="str">
        <f t="shared" ref="AH158" si="80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246-22 --locoid 4009 --swversion DE.1.0.9.0 --startMP 204:537 --initTime 2017-12-23T00:58:15 --startdatetime 2017-12-23T01:57:15 --delay 69 --endMP 204:233257 --enddatetime 2017-12-23T02:34:04 --enforcementcount 0 &gt;&gt;%USERPROFILE%\Documents\GitHub\eaglep3-reporting\EC\2017-12-22-refined-times.txt</v>
      </c>
      <c r="AI158" s="238" t="str">
        <f t="shared" ref="AI158" si="81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{"issue":{"subject":"","project_id":79,"tracker_id":40,"status_id":1,"priority_id":2,"assigned_to_id":338,"start_date":"2017-12-23","description":"","custom_fields":[{"id":1,"name":"Subdivision","value":"EC"},{"id":4,"name":"Milepost","value":"0.0236"},{"id":17,"name":"Train ID","value":"246-22"},{"id":16,"name":"Locomotive ID","value":"4009"},{"id":130,"name":"Impact","value":""},{"id":150,"name":"Time of Event (Mountain Time)","value":"02:34:04"},{"id":151,"name":"Denver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82">"start /low /b "&amp;dls3logs&amp;" --loco "&amp;B158&amp;" --day "&amp;TEXT(F158,"YYYY-MM-DD")</f>
        <v>start /low /b %USERPROFILE%\Documents\GitHub\eaglep3\Utilities\DownloadLogsFromS3.py --loco 4009 --day 2017-12-23</v>
      </c>
      <c r="AN158" s="241" t="str">
        <f t="shared" ref="AN158" si="83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09:34:04"},{"id":29,"name":"Sharepoint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84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-22T23:58:15-0700',mode:absolute,to:'2017-12-23T03:34:04-0700'))&amp;_a=(columns:!('Message%20ID',Summary),filters:!(),index:'emp_*',interval:auto,query:(query_string:(analyze_wildcard:!t,query:'%22rtdc.l.rtdc.4009%22')),sort:!(Time.ISO8601,asc))</v>
      </c>
    </row>
    <row r="159" spans="1:91" s="20" customFormat="1" x14ac:dyDescent="0.3">
      <c r="A159" s="229" t="s">
        <v>692</v>
      </c>
      <c r="B159" s="225">
        <v>4041</v>
      </c>
      <c r="C159" s="227" t="s">
        <v>192</v>
      </c>
      <c r="D159" s="227" t="s">
        <v>1027</v>
      </c>
      <c r="E159" s="226">
        <v>43091.21565972222</v>
      </c>
      <c r="F159" s="226">
        <v>43091.217164351852</v>
      </c>
      <c r="G159" s="225">
        <v>67</v>
      </c>
      <c r="H159" s="227" t="s">
        <v>1028</v>
      </c>
      <c r="I159" s="226">
        <v>43091.228043981479</v>
      </c>
      <c r="J159" s="225">
        <v>0</v>
      </c>
      <c r="K159" s="237" t="str">
        <f t="shared" si="51"/>
        <v>4041/4042</v>
      </c>
      <c r="L159" s="245" t="str">
        <f>VLOOKUP(A159,'Trips&amp;Operators'!$C$1:$G$99911,5,FALSE)</f>
        <v>WILLIAMS DONTE</v>
      </c>
      <c r="M159" s="224">
        <f t="shared" si="52"/>
        <v>1.0879629626288079E-2</v>
      </c>
      <c r="N159" s="225">
        <f t="shared" si="53"/>
        <v>15.666666661854833</v>
      </c>
      <c r="O159" s="225"/>
      <c r="P159" s="225"/>
      <c r="Q159" s="228"/>
      <c r="R159" s="242"/>
      <c r="S159" s="249">
        <f t="shared" si="54"/>
        <v>1</v>
      </c>
      <c r="T159" s="242" t="str">
        <f t="shared" si="55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56"/>
        <v>https://d0f6bd738d7f1b3e5a7ca70fe4ff75f0.us-east-1.aws.found.io/app/kibana#/discover/Steve-Slow-Train-Analysis-(2080s-and-2083s)?_g=(refreshInterval:(display:Off,pause:!f,section:0,value:0),time:(from:'2017-12-22T04:10:33-0700',mode:absolute,to:'2017-12-22T06:28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247" t="str">
        <f>IF(AA159&lt;VLOOKUP(AG159,Variables!$AC$3:$AD$8,2,FALSE),"Y","N")</f>
        <v>N</v>
      </c>
      <c r="X159" s="247">
        <f t="shared" ref="X159:X160" si="85">VALUE(LEFT(AD159,4))-VALUE(LEFT(AD158,4))</f>
        <v>554</v>
      </c>
      <c r="Y159" s="247">
        <f t="shared" ref="Y159:Y165" si="86">RIGHT(D159,LEN(D159)-4)/10000</f>
        <v>5.8611000000000004</v>
      </c>
      <c r="Z159" s="247">
        <f t="shared" ref="Z159:Z165" si="87">RIGHT(H159,LEN(H159)-4)/10000</f>
        <v>1.0800000000000001E-2</v>
      </c>
      <c r="AA159" s="247">
        <f t="shared" si="60"/>
        <v>5.8503000000000007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1"/>
        <v>800</v>
      </c>
      <c r="AE159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59" s="234" t="str">
        <f t="shared" si="63"/>
        <v>"C:\Program Files (x86)\AstroGrep\AstroGrep.exe" /e /r /s /spath="%USERPROFILE%\AppData\Local\Temp\OnboardLogs" /stypes="app*4041*20171222*" /stext=" 12:.+((SYSTEM_STATE.+slice.+state.+changed )|(ment ac)|(multiple cpu faults)|(system.+state.+changed )|(\[timeout)|(PRM\|1\|D)|(kpr)|(kdp)|(train st.+moving)|(\|lc)|(penalty))"</v>
      </c>
      <c r="AG159" s="244" t="str">
        <f t="shared" si="64"/>
        <v>NW</v>
      </c>
      <c r="AH159" s="236" t="str">
        <f t="shared" si="65"/>
        <v>"%USERPROFILE%\Documents\GitHub\eaglep3\Utilities\RefineRTDCRunTimes.py" --tripid 800-22 --locoid 4041 --swversion DE.1.0.9.0 --startMP 300:58611 --initTime 2017-12-22T05:10:33 --startdatetime 2017-12-22T05:12:43 --delay 67 --endMP 204:108 --enddatetime 2017-12-22T05:28:23 --enforcementcount 0 &gt;&gt;%USERPROFILE%\Documents\GitHub\eaglep3-reporting\EC\2017-12-22-refined-times.txt</v>
      </c>
      <c r="AI159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{"issue":{"subject":"","project_id":79,"tracker_id":40,"status_id":1,"priority_id":2,"assigned_to_id":338,"start_date":"2017-12-22","description":"","custom_fields":[{"id":1,"name":"Subdivision","value":"NW"},{"id":4,"name":"Milepost","value":"0.0108"},{"id":17,"name":"Train ID","value":"800-22"},{"id":16,"name":"Locomotive ID","value":"4041"},{"id":130,"name":"Impact","value":""},{"id":150,"name":"Time of Event (Mountain Time)","value":"05:28:23"},{"id":151,"name":"Denver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67"/>
        <v>start /low /b %USERPROFILE%\Documents\GitHub\eaglep3\Utilities\DownloadLogsFromS3.py --loco 4041 --day 2017-12-22</v>
      </c>
      <c r="AN159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69"/>
        <v>https://d0f6bd738d7f1b3e5a7ca70fe4ff75f0.us-east-1.aws.found.io/app/kibana#/discover/Steve-Slow-Train-Analysis-(2080s-and-2083s)?_g=(refreshInterval:(display:Off,pause:!f,section:0,value:0),time:(from:'2017-12-22T04:10:33-0700',mode:absolute,to:'2017-12-22T06:28:23-0700'))&amp;_a=(columns:!('Message%20ID',Summary),filters:!(),index:'emp_*',interval:auto,query:(query_string:(analyze_wildcard:!t,query:'%22rtdc.l.rtdc.4041%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698</v>
      </c>
      <c r="B160" s="225">
        <v>4042</v>
      </c>
      <c r="C160" s="227" t="s">
        <v>192</v>
      </c>
      <c r="D160" s="227" t="s">
        <v>1029</v>
      </c>
      <c r="E160" s="226">
        <v>43091.232893518521</v>
      </c>
      <c r="F160" s="226">
        <v>43091.235625000001</v>
      </c>
      <c r="G160" s="225">
        <v>62</v>
      </c>
      <c r="H160" s="227" t="s">
        <v>1030</v>
      </c>
      <c r="I160" s="226">
        <v>43091.24591435185</v>
      </c>
      <c r="J160" s="225">
        <v>0</v>
      </c>
      <c r="K160" s="237" t="str">
        <f t="shared" si="51"/>
        <v>4041/4042</v>
      </c>
      <c r="L160" s="245" t="str">
        <f>VLOOKUP(A160,'Trips&amp;Operators'!$C$1:$G$99911,5,FALSE)</f>
        <v>WILLIAMS DONTE</v>
      </c>
      <c r="M160" s="224">
        <f t="shared" si="52"/>
        <v>1.0289351848769002E-2</v>
      </c>
      <c r="N160" s="225">
        <f t="shared" si="53"/>
        <v>14.816666662227362</v>
      </c>
      <c r="O160" s="225"/>
      <c r="P160" s="225"/>
      <c r="Q160" s="228"/>
      <c r="R160" s="242"/>
      <c r="S160" s="249">
        <f t="shared" si="54"/>
        <v>1</v>
      </c>
      <c r="T160" s="242" t="str">
        <f t="shared" si="55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56"/>
        <v>https://d0f6bd738d7f1b3e5a7ca70fe4ff75f0.us-east-1.aws.found.io/app/kibana#/discover/Steve-Slow-Train-Analysis-(2080s-and-2083s)?_g=(refreshInterval:(display:Off,pause:!f,section:0,value:0),time:(from:'2017-12-22T04:35:22-0700',mode:absolute,to:'2017-12-22T06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247" t="str">
        <f>IF(AA160&lt;VLOOKUP(AG160,Variables!$AC$3:$AD$8,2,FALSE),"Y","N")</f>
        <v>N</v>
      </c>
      <c r="X160" s="247">
        <f t="shared" si="85"/>
        <v>1</v>
      </c>
      <c r="Y160" s="247">
        <f t="shared" si="86"/>
        <v>4.0800000000000003E-2</v>
      </c>
      <c r="Z160" s="247">
        <f t="shared" si="87"/>
        <v>5.8914</v>
      </c>
      <c r="AA160" s="247">
        <f t="shared" si="60"/>
        <v>5.8506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1"/>
        <v>801</v>
      </c>
      <c r="AE160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60" s="234" t="str">
        <f t="shared" si="63"/>
        <v>"C:\Program Files (x86)\AstroGrep\AstroGrep.exe" /e /r /s /spath="%USERPROFILE%\AppData\Local\Temp\OnboardLogs" /stypes="app*4042*20171222*" /stext=" 12:.+((SYSTEM_STATE.+slice.+state.+changed )|(ment ac)|(multiple cpu faults)|(system.+state.+changed )|(\[timeout)|(PRM\|1\|D)|(kpr)|(kdp)|(train st.+moving)|(\|lc)|(penalty))"</v>
      </c>
      <c r="AG160" s="244" t="str">
        <f t="shared" si="64"/>
        <v>NW</v>
      </c>
      <c r="AH160" s="236" t="str">
        <f t="shared" si="65"/>
        <v>"%USERPROFILE%\Documents\GitHub\eaglep3\Utilities\RefineRTDCRunTimes.py" --tripid 801-22 --locoid 4042 --swversion DE.1.0.9.0 --startMP 204:408 --initTime 2017-12-22T05:35:22 --startdatetime 2017-12-22T05:39:18 --delay 62 --endMP 300:58914 --enddatetime 2017-12-22T05:54:07 --enforcementcount 0 &gt;&gt;%USERPROFILE%\Documents\GitHub\eaglep3-reporting\EC\2017-12-22-refined-times.txt</v>
      </c>
      <c r="AI160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{"issue":{"subject":"","project_id":79,"tracker_id":40,"status_id":1,"priority_id":2,"assigned_to_id":338,"start_date":"2017-12-22","description":"","custom_fields":[{"id":1,"name":"Subdivision","value":"NW"},{"id":4,"name":"Milepost","value":"5.8914"},{"id":17,"name":"Train ID","value":"801-22"},{"id":16,"name":"Locomotive ID","value":"4042"},{"id":130,"name":"Impact","value":""},{"id":150,"name":"Time of Event (Mountain Time)","value":"05:54:07"},{"id":151,"name":"Denver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67"/>
        <v>start /low /b %USERPROFILE%\Documents\GitHub\eaglep3\Utilities\DownloadLogsFromS3.py --loco 4042 --day 2017-12-22</v>
      </c>
      <c r="AN160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69"/>
        <v>https://d0f6bd738d7f1b3e5a7ca70fe4ff75f0.us-east-1.aws.found.io/app/kibana#/discover/Steve-Slow-Train-Analysis-(2080s-and-2083s)?_g=(refreshInterval:(display:Off,pause:!f,section:0,value:0),time:(from:'2017-12-22T04:35:22-0700',mode:absolute,to:'2017-12-22T06:54:07-0700'))&amp;_a=(columns:!('Message%20ID',Summary),filters:!(),index:'emp_*',interval:auto,query:(query_string:(analyze_wildcard:!t,query:'%22rtdc.l.rtdc.4042%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656</v>
      </c>
      <c r="B161" s="225">
        <v>4041</v>
      </c>
      <c r="C161" s="227" t="s">
        <v>192</v>
      </c>
      <c r="D161" s="227" t="s">
        <v>1031</v>
      </c>
      <c r="E161" s="226">
        <v>43091.247164351851</v>
      </c>
      <c r="F161" s="226">
        <v>43091.259108796294</v>
      </c>
      <c r="G161" s="225">
        <v>49</v>
      </c>
      <c r="H161" s="227" t="s">
        <v>1032</v>
      </c>
      <c r="I161" s="226">
        <v>43091.269895833335</v>
      </c>
      <c r="J161" s="225">
        <v>0</v>
      </c>
      <c r="K161" s="237" t="str">
        <f t="shared" si="51"/>
        <v>4041/4042</v>
      </c>
      <c r="L161" s="245" t="str">
        <f>VLOOKUP(A161,'Trips&amp;Operators'!$C$1:$G$99911,5,FALSE)</f>
        <v>WILLIAMS DONTE</v>
      </c>
      <c r="M161" s="224">
        <f t="shared" si="52"/>
        <v>1.078703704115469E-2</v>
      </c>
      <c r="N161" s="225">
        <f t="shared" si="53"/>
        <v>15.533333339262754</v>
      </c>
      <c r="O161" s="225"/>
      <c r="P161" s="225"/>
      <c r="Q161" s="228"/>
      <c r="R161" s="242"/>
      <c r="S161" s="249">
        <f t="shared" si="54"/>
        <v>1</v>
      </c>
      <c r="T161" s="242" t="str">
        <f t="shared" si="55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56"/>
        <v>https://d0f6bd738d7f1b3e5a7ca70fe4ff75f0.us-east-1.aws.found.io/app/kibana#/discover/Steve-Slow-Train-Analysis-(2080s-and-2083s)?_g=(refreshInterval:(display:Off,pause:!f,section:0,value:0),time:(from:'2017-12-22T04:55:55-0700',mode:absolute,to:'2017-12-22T07:28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247" t="str">
        <f>IF(AA161&lt;VLOOKUP(AG161,Variables!$AC$3:$AD$8,2,FALSE),"Y","N")</f>
        <v>N</v>
      </c>
      <c r="X161" s="247">
        <f t="shared" ref="X161:X200" si="88">VALUE(LEFT(AD161,4))-VALUE(LEFT(AD160,4))</f>
        <v>1</v>
      </c>
      <c r="Y161" s="247">
        <f t="shared" si="86"/>
        <v>5.8609</v>
      </c>
      <c r="Z161" s="247">
        <f t="shared" si="87"/>
        <v>8.3999999999999995E-3</v>
      </c>
      <c r="AA161" s="247">
        <f t="shared" si="60"/>
        <v>5.8525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1"/>
        <v>802</v>
      </c>
      <c r="AE161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61" s="234" t="str">
        <f t="shared" si="63"/>
        <v>"C:\Program Files (x86)\AstroGrep\AstroGrep.exe" /e /r /s /spath="%USERPROFILE%\AppData\Local\Temp\OnboardLogs" /stypes="app*4041*20171222*" /stext=" 13:.+((SYSTEM_STATE.+slice.+state.+changed )|(ment ac)|(multiple cpu faults)|(system.+state.+changed )|(\[timeout)|(PRM\|1\|D)|(kpr)|(kdp)|(train st.+moving)|(\|lc)|(penalty))"</v>
      </c>
      <c r="AG161" s="244" t="str">
        <f t="shared" si="64"/>
        <v>NW</v>
      </c>
      <c r="AH161" s="236" t="str">
        <f t="shared" si="65"/>
        <v>"%USERPROFILE%\Documents\GitHub\eaglep3\Utilities\RefineRTDCRunTimes.py" --tripid 802-22 --locoid 4041 --swversion DE.1.0.9.0 --startMP 300:58609 --initTime 2017-12-22T05:55:55 --startdatetime 2017-12-22T06:13:07 --delay 49 --endMP 204:84 --enddatetime 2017-12-22T06:28:39 --enforcementcount 0 &gt;&gt;%USERPROFILE%\Documents\GitHub\eaglep3-reporting\EC\2017-12-22-refined-times.txt</v>
      </c>
      <c r="AI161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{"issue":{"subject":"","project_id":79,"tracker_id":40,"status_id":1,"priority_id":2,"assigned_to_id":338,"start_date":"2017-12-22","description":"","custom_fields":[{"id":1,"name":"Subdivision","value":"NW"},{"id":4,"name":"Milepost","value":"0.0084"},{"id":17,"name":"Train ID","value":"802-22"},{"id":16,"name":"Locomotive ID","value":"4041"},{"id":130,"name":"Impact","value":""},{"id":150,"name":"Time of Event (Mountain Time)","value":"06:28:39"},{"id":151,"name":"Denver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67"/>
        <v>start /low /b %USERPROFILE%\Documents\GitHub\eaglep3\Utilities\DownloadLogsFromS3.py --loco 4041 --day 2017-12-22</v>
      </c>
      <c r="AN161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69"/>
        <v>https://d0f6bd738d7f1b3e5a7ca70fe4ff75f0.us-east-1.aws.found.io/app/kibana#/discover/Steve-Slow-Train-Analysis-(2080s-and-2083s)?_g=(refreshInterval:(display:Off,pause:!f,section:0,value:0),time:(from:'2017-12-22T04:55:55-0700',mode:absolute,to:'2017-12-22T07:28:39-0700'))&amp;_a=(columns:!('Message%20ID',Summary),filters:!(),index:'emp_*',interval:auto,query:(query_string:(analyze_wildcard:!t,query:'%22rtdc.l.rtdc.4041%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705</v>
      </c>
      <c r="B162" s="225">
        <v>4016</v>
      </c>
      <c r="C162" s="227" t="s">
        <v>192</v>
      </c>
      <c r="D162" s="227" t="s">
        <v>620</v>
      </c>
      <c r="E162" s="226">
        <v>43091.253819444442</v>
      </c>
      <c r="F162" s="226">
        <v>43091.256458333337</v>
      </c>
      <c r="G162" s="225">
        <v>70</v>
      </c>
      <c r="H162" s="227" t="s">
        <v>1033</v>
      </c>
      <c r="I162" s="226">
        <v>43091.26667824074</v>
      </c>
      <c r="J162" s="225">
        <v>0</v>
      </c>
      <c r="K162" s="237" t="str">
        <f t="shared" si="51"/>
        <v>4015/4016</v>
      </c>
      <c r="L162" s="245" t="str">
        <f>VLOOKUP(A162,'Trips&amp;Operators'!$C$1:$G$99911,5,FALSE)</f>
        <v>DELGADO DIANAH</v>
      </c>
      <c r="M162" s="224">
        <f t="shared" si="52"/>
        <v>1.0219907402643003E-2</v>
      </c>
      <c r="N162" s="225">
        <f t="shared" si="53"/>
        <v>14.716666659805924</v>
      </c>
      <c r="O162" s="225"/>
      <c r="P162" s="225"/>
      <c r="Q162" s="228"/>
      <c r="R162" s="242"/>
      <c r="S162" s="249">
        <f t="shared" si="54"/>
        <v>1</v>
      </c>
      <c r="T162" s="242" t="str">
        <f t="shared" si="55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56"/>
        <v>https://d0f6bd738d7f1b3e5a7ca70fe4ff75f0.us-east-1.aws.found.io/app/kibana#/discover/Steve-Slow-Train-Analysis-(2080s-and-2083s)?_g=(refreshInterval:(display:Off,pause:!f,section:0,value:0),time:(from:'2017-12-22T05:05:30-0700',mode:absolute,to:'2017-12-22T07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247" t="str">
        <f>IF(AA162&lt;VLOOKUP(AG162,Variables!$AC$3:$AD$8,2,FALSE),"Y","N")</f>
        <v>N</v>
      </c>
      <c r="X162" s="247">
        <f t="shared" si="88"/>
        <v>1</v>
      </c>
      <c r="Y162" s="247">
        <f t="shared" si="86"/>
        <v>4.41E-2</v>
      </c>
      <c r="Z162" s="247">
        <f t="shared" si="87"/>
        <v>5.8944000000000001</v>
      </c>
      <c r="AA162" s="247">
        <f t="shared" si="60"/>
        <v>5.8502999999999998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1"/>
        <v>803</v>
      </c>
      <c r="AE162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62" s="234" t="str">
        <f t="shared" si="63"/>
        <v>"C:\Program Files (x86)\AstroGrep\AstroGrep.exe" /e /r /s /spath="%USERPROFILE%\AppData\Local\Temp\OnboardLogs" /stypes="app*4016*20171222*" /stext=" 13:.+((SYSTEM_STATE.+slice.+state.+changed )|(ment ac)|(multiple cpu faults)|(system.+state.+changed )|(\[timeout)|(PRM\|1\|D)|(kpr)|(kdp)|(train st.+moving)|(\|lc)|(penalty))"</v>
      </c>
      <c r="AG162" s="244" t="str">
        <f t="shared" si="64"/>
        <v>NW</v>
      </c>
      <c r="AH162" s="236" t="str">
        <f t="shared" si="65"/>
        <v>"%USERPROFILE%\Documents\GitHub\eaglep3\Utilities\RefineRTDCRunTimes.py" --tripid 803-22 --locoid 4016 --swversion DE.1.0.9.0 --startMP 204:441 --initTime 2017-12-22T06:05:30 --startdatetime 2017-12-22T06:09:18 --delay 70 --endMP 300:58944 --enddatetime 2017-12-22T06:24:01 --enforcementcount 0 &gt;&gt;%USERPROFILE%\Documents\GitHub\eaglep3-reporting\EC\2017-12-22-refined-times.txt</v>
      </c>
      <c r="AI162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{"issue":{"subject":"","project_id":79,"tracker_id":40,"status_id":1,"priority_id":2,"assigned_to_id":338,"start_date":"2017-12-22","description":"","custom_fields":[{"id":1,"name":"Subdivision","value":"NW"},{"id":4,"name":"Milepost","value":"5.8944"},{"id":17,"name":"Train ID","value":"803-22"},{"id":16,"name":"Locomotive ID","value":"4016"},{"id":130,"name":"Impact","value":""},{"id":150,"name":"Time of Event (Mountain Time)","value":"06:24:01"},{"id":151,"name":"Denver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67"/>
        <v>start /low /b %USERPROFILE%\Documents\GitHub\eaglep3\Utilities\DownloadLogsFromS3.py --loco 4016 --day 2017-12-22</v>
      </c>
      <c r="AN162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69"/>
        <v>https://d0f6bd738d7f1b3e5a7ca70fe4ff75f0.us-east-1.aws.found.io/app/kibana#/discover/Steve-Slow-Train-Analysis-(2080s-and-2083s)?_g=(refreshInterval:(display:Off,pause:!f,section:0,value:0),time:(from:'2017-12-22T05:05:30-0700',mode:absolute,to:'2017-12-22T07:24:01-0700'))&amp;_a=(columns:!('Message%20ID',Summary),filters:!(),index:'emp_*',interval:auto,query:(query_string:(analyze_wildcard:!t,query:'%22rtdc.l.rtdc.4016%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711</v>
      </c>
      <c r="B163" s="225">
        <v>4015</v>
      </c>
      <c r="C163" s="227" t="s">
        <v>192</v>
      </c>
      <c r="D163" s="227" t="s">
        <v>1034</v>
      </c>
      <c r="E163" s="226">
        <v>43091.267812500002</v>
      </c>
      <c r="F163" s="226">
        <v>43091.279224537036</v>
      </c>
      <c r="G163" s="225">
        <v>87</v>
      </c>
      <c r="H163" s="227" t="s">
        <v>573</v>
      </c>
      <c r="I163" s="226">
        <v>43091.288229166668</v>
      </c>
      <c r="J163" s="225">
        <v>0</v>
      </c>
      <c r="K163" s="237" t="str">
        <f t="shared" si="51"/>
        <v>4015/4016</v>
      </c>
      <c r="L163" s="245" t="str">
        <f>VLOOKUP(A163,'Trips&amp;Operators'!$C$1:$G$99911,5,FALSE)</f>
        <v>DELGADO DIANAH</v>
      </c>
      <c r="M163" s="224">
        <f t="shared" si="52"/>
        <v>9.0046296318178065E-3</v>
      </c>
      <c r="N163" s="225">
        <f t="shared" si="53"/>
        <v>12.966666669817641</v>
      </c>
      <c r="O163" s="225"/>
      <c r="P163" s="225"/>
      <c r="Q163" s="228"/>
      <c r="R163" s="242"/>
      <c r="S163" s="249">
        <f t="shared" si="54"/>
        <v>1</v>
      </c>
      <c r="T163" s="242" t="str">
        <f t="shared" si="55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56"/>
        <v>https://d0f6bd738d7f1b3e5a7ca70fe4ff75f0.us-east-1.aws.found.io/app/kibana#/discover/Steve-Slow-Train-Analysis-(2080s-and-2083s)?_g=(refreshInterval:(display:Off,pause:!f,section:0,value:0),time:(from:'2017-12-22T05:25:39-0700',mode:absolute,to:'2017-12-22T07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247" t="str">
        <f>IF(AA163&lt;VLOOKUP(AG163,Variables!$AC$3:$AD$8,2,FALSE),"Y","N")</f>
        <v>N</v>
      </c>
      <c r="X163" s="247">
        <f t="shared" si="88"/>
        <v>1</v>
      </c>
      <c r="Y163" s="247">
        <f t="shared" si="86"/>
        <v>5.8628</v>
      </c>
      <c r="Z163" s="247">
        <f t="shared" si="87"/>
        <v>1.46E-2</v>
      </c>
      <c r="AA163" s="247">
        <f t="shared" si="60"/>
        <v>5.8482000000000003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1"/>
        <v>804</v>
      </c>
      <c r="AE163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63" s="234" t="str">
        <f t="shared" si="63"/>
        <v>"C:\Program Files (x86)\AstroGrep\AstroGrep.exe" /e /r /s /spath="%USERPROFILE%\AppData\Local\Temp\OnboardLogs" /stypes="app*4015*20171222*" /stext=" 13:.+((SYSTEM_STATE.+slice.+state.+changed )|(ment ac)|(multiple cpu faults)|(system.+state.+changed )|(\[timeout)|(PRM\|1\|D)|(kpr)|(kdp)|(train st.+moving)|(\|lc)|(penalty))"</v>
      </c>
      <c r="AG163" s="244" t="str">
        <f t="shared" si="64"/>
        <v>NW</v>
      </c>
      <c r="AH163" s="236" t="str">
        <f t="shared" si="65"/>
        <v>"%USERPROFILE%\Documents\GitHub\eaglep3\Utilities\RefineRTDCRunTimes.py" --tripid 804-22 --locoid 4015 --swversion DE.1.0.9.0 --startMP 300:58628 --initTime 2017-12-22T06:25:39 --startdatetime 2017-12-22T06:42:05 --delay 87 --endMP 204:146 --enddatetime 2017-12-22T06:55:03 --enforcementcount 0 &gt;&gt;%USERPROFILE%\Documents\GitHub\eaglep3-reporting\EC\2017-12-22-refined-times.txt</v>
      </c>
      <c r="AI163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{"issue":{"subject":"","project_id":79,"tracker_id":40,"status_id":1,"priority_id":2,"assigned_to_id":338,"start_date":"2017-12-22","description":"","custom_fields":[{"id":1,"name":"Subdivision","value":"NW"},{"id":4,"name":"Milepost","value":"0.0146"},{"id":17,"name":"Train ID","value":"804-22"},{"id":16,"name":"Locomotive ID","value":"4015"},{"id":130,"name":"Impact","value":""},{"id":150,"name":"Time of Event (Mountain Time)","value":"06:55:03"},{"id":151,"name":"Denver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67"/>
        <v>start /low /b %USERPROFILE%\Documents\GitHub\eaglep3\Utilities\DownloadLogsFromS3.py --loco 4015 --day 2017-12-22</v>
      </c>
      <c r="AN163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69"/>
        <v>https://d0f6bd738d7f1b3e5a7ca70fe4ff75f0.us-east-1.aws.found.io/app/kibana#/discover/Steve-Slow-Train-Analysis-(2080s-and-2083s)?_g=(refreshInterval:(display:Off,pause:!f,section:0,value:0),time:(from:'2017-12-22T05:25:39-0700',mode:absolute,to:'2017-12-22T07:55:03-0700'))&amp;_a=(columns:!('Message%20ID',Summary),filters:!(),index:'emp_*',interval:auto,query:(query_string:(analyze_wildcard:!t,query:'%22rtdc.l.rtdc.4015%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229" t="s">
        <v>712</v>
      </c>
      <c r="B164" s="225">
        <v>4042</v>
      </c>
      <c r="C164" s="227" t="s">
        <v>192</v>
      </c>
      <c r="D164" s="227" t="s">
        <v>1035</v>
      </c>
      <c r="E164" s="226">
        <v>43091.273055555554</v>
      </c>
      <c r="F164" s="226">
        <v>43091.277303240742</v>
      </c>
      <c r="G164" s="225">
        <v>60</v>
      </c>
      <c r="H164" s="227" t="s">
        <v>1036</v>
      </c>
      <c r="I164" s="226">
        <v>43091.288298611114</v>
      </c>
      <c r="J164" s="225">
        <v>0</v>
      </c>
      <c r="K164" s="237" t="str">
        <f t="shared" si="51"/>
        <v>4041/4042</v>
      </c>
      <c r="L164" s="245" t="str">
        <f>VLOOKUP(A164,'Trips&amp;Operators'!$C$1:$G$99911,5,FALSE)</f>
        <v>WILLIAMS DONTE</v>
      </c>
      <c r="M164" s="224">
        <f t="shared" si="52"/>
        <v>1.099537037225673E-2</v>
      </c>
      <c r="N164" s="225">
        <f t="shared" si="53"/>
        <v>15.833333336049691</v>
      </c>
      <c r="O164" s="225"/>
      <c r="P164" s="225"/>
      <c r="Q164" s="228"/>
      <c r="R164" s="242"/>
      <c r="S164" s="249">
        <f t="shared" si="54"/>
        <v>1</v>
      </c>
      <c r="T164" s="242" t="str">
        <f t="shared" si="55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56"/>
        <v>https://d0f6bd738d7f1b3e5a7ca70fe4ff75f0.us-east-1.aws.found.io/app/kibana#/discover/Steve-Slow-Train-Analysis-(2080s-and-2083s)?_g=(refreshInterval:(display:Off,pause:!f,section:0,value:0),time:(from:'2017-12-22T05:33:12-0700',mode:absolute,to:'2017-12-22T07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247" t="str">
        <f>IF(AA164&lt;VLOOKUP(AG164,Variables!$AC$3:$AD$8,2,FALSE),"Y","N")</f>
        <v>N</v>
      </c>
      <c r="X164" s="247">
        <f t="shared" si="88"/>
        <v>1</v>
      </c>
      <c r="Y164" s="247">
        <f t="shared" si="86"/>
        <v>3.9399999999999998E-2</v>
      </c>
      <c r="Z164" s="247">
        <f t="shared" si="87"/>
        <v>5.8930999999999996</v>
      </c>
      <c r="AA164" s="247">
        <f t="shared" si="60"/>
        <v>5.8536999999999999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1"/>
        <v>805</v>
      </c>
      <c r="AE164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64" s="234" t="str">
        <f t="shared" si="63"/>
        <v>"C:\Program Files (x86)\AstroGrep\AstroGrep.exe" /e /r /s /spath="%USERPROFILE%\AppData\Local\Temp\OnboardLogs" /stypes="app*4042*20171222*" /stext=" 13:.+((SYSTEM_STATE.+slice.+state.+changed )|(ment ac)|(multiple cpu faults)|(system.+state.+changed )|(\[timeout)|(PRM\|1\|D)|(kpr)|(kdp)|(train st.+moving)|(\|lc)|(penalty))"</v>
      </c>
      <c r="AG164" s="244" t="str">
        <f t="shared" si="64"/>
        <v>NW</v>
      </c>
      <c r="AH164" s="236" t="str">
        <f t="shared" si="65"/>
        <v>"%USERPROFILE%\Documents\GitHub\eaglep3\Utilities\RefineRTDCRunTimes.py" --tripid 805-22 --locoid 4042 --swversion DE.1.0.9.0 --startMP 204:394 --initTime 2017-12-22T06:33:12 --startdatetime 2017-12-22T06:39:19 --delay 60 --endMP 300:58931 --enddatetime 2017-12-22T06:55:09 --enforcementcount 0 &gt;&gt;%USERPROFILE%\Documents\GitHub\eaglep3-reporting\EC\2017-12-22-refined-times.txt</v>
      </c>
      <c r="AI164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{"issue":{"subject":"","project_id":79,"tracker_id":40,"status_id":1,"priority_id":2,"assigned_to_id":338,"start_date":"2017-12-22","description":"","custom_fields":[{"id":1,"name":"Subdivision","value":"NW"},{"id":4,"name":"Milepost","value":"5.8931"},{"id":17,"name":"Train ID","value":"805-22"},{"id":16,"name":"Locomotive ID","value":"4042"},{"id":130,"name":"Impact","value":""},{"id":150,"name":"Time of Event (Mountain Time)","value":"06:55:09"},{"id":151,"name":"Denver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67"/>
        <v>start /low /b %USERPROFILE%\Documents\GitHub\eaglep3\Utilities\DownloadLogsFromS3.py --loco 4042 --day 2017-12-22</v>
      </c>
      <c r="AN164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69"/>
        <v>https://d0f6bd738d7f1b3e5a7ca70fe4ff75f0.us-east-1.aws.found.io/app/kibana#/discover/Steve-Slow-Train-Analysis-(2080s-and-2083s)?_g=(refreshInterval:(display:Off,pause:!f,section:0,value:0),time:(from:'2017-12-22T05:33:12-0700',mode:absolute,to:'2017-12-22T07:55:09-0700'))&amp;_a=(columns:!('Message%20ID',Summary),filters:!(),index:'emp_*',interval:auto,query:(query_string:(analyze_wildcard:!t,query:'%22rtdc.l.rtdc.4042%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716</v>
      </c>
      <c r="B165" s="225">
        <v>4041</v>
      </c>
      <c r="C165" s="227" t="s">
        <v>192</v>
      </c>
      <c r="D165" s="227" t="s">
        <v>1037</v>
      </c>
      <c r="E165" s="226">
        <v>43091.289502314816</v>
      </c>
      <c r="F165" s="226">
        <v>43091.300671296296</v>
      </c>
      <c r="G165" s="225">
        <v>66</v>
      </c>
      <c r="H165" s="227" t="s">
        <v>1038</v>
      </c>
      <c r="I165" s="226">
        <v>43091.309548611112</v>
      </c>
      <c r="J165" s="225">
        <v>0</v>
      </c>
      <c r="K165" s="237" t="str">
        <f t="shared" si="51"/>
        <v>4041/4042</v>
      </c>
      <c r="L165" s="245" t="str">
        <f>VLOOKUP(A165,'Trips&amp;Operators'!$C$1:$G$99911,5,FALSE)</f>
        <v>WILLIAMS DONTE</v>
      </c>
      <c r="M165" s="224">
        <f t="shared" si="52"/>
        <v>8.8773148163454607E-3</v>
      </c>
      <c r="N165" s="225">
        <f t="shared" si="53"/>
        <v>12.783333335537463</v>
      </c>
      <c r="O165" s="225"/>
      <c r="P165" s="225"/>
      <c r="Q165" s="228"/>
      <c r="R165" s="242"/>
      <c r="S165" s="249">
        <f t="shared" si="54"/>
        <v>1</v>
      </c>
      <c r="T165" s="242" t="str">
        <f t="shared" si="55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56"/>
        <v>https://d0f6bd738d7f1b3e5a7ca70fe4ff75f0.us-east-1.aws.found.io/app/kibana#/discover/Steve-Slow-Train-Analysis-(2080s-and-2083s)?_g=(refreshInterval:(display:Off,pause:!f,section:0,value:0),time:(from:'2017-12-22T05:56:53-0700',mode:absolute,to:'2017-12-22T08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247" t="str">
        <f>IF(AA165&lt;VLOOKUP(AG165,Variables!$AC$3:$AD$8,2,FALSE),"Y","N")</f>
        <v>N</v>
      </c>
      <c r="X165" s="247">
        <f t="shared" si="88"/>
        <v>1</v>
      </c>
      <c r="Y165" s="247">
        <f t="shared" si="86"/>
        <v>5.8608000000000002</v>
      </c>
      <c r="Z165" s="247">
        <f t="shared" si="87"/>
        <v>1.06E-2</v>
      </c>
      <c r="AA165" s="247">
        <f t="shared" si="60"/>
        <v>5.8502000000000001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1"/>
        <v>806</v>
      </c>
      <c r="AE165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65" s="234" t="str">
        <f t="shared" si="63"/>
        <v>"C:\Program Files (x86)\AstroGrep\AstroGrep.exe" /e /r /s /spath="%USERPROFILE%\AppData\Local\Temp\OnboardLogs" /stypes="app*4041*20171222*" /stext=" 14:.+((SYSTEM_STATE.+slice.+state.+changed )|(ment ac)|(multiple cpu faults)|(system.+state.+changed )|(\[timeout)|(PRM\|1\|D)|(kpr)|(kdp)|(train st.+moving)|(\|lc)|(penalty))"</v>
      </c>
      <c r="AG165" s="244" t="str">
        <f t="shared" si="64"/>
        <v>NW</v>
      </c>
      <c r="AH165" s="236" t="str">
        <f t="shared" si="65"/>
        <v>"%USERPROFILE%\Documents\GitHub\eaglep3\Utilities\RefineRTDCRunTimes.py" --tripid 806-22 --locoid 4041 --swversion DE.1.0.9.0 --startMP 300:58608 --initTime 2017-12-22T06:56:53 --startdatetime 2017-12-22T07:12:58 --delay 66 --endMP 204:106 --enddatetime 2017-12-22T07:25:45 --enforcementcount 0 &gt;&gt;%USERPROFILE%\Documents\GitHub\eaglep3-reporting\EC\2017-12-22-refined-times.txt</v>
      </c>
      <c r="AI165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{"issue":{"subject":"","project_id":79,"tracker_id":40,"status_id":1,"priority_id":2,"assigned_to_id":338,"start_date":"2017-12-22","description":"","custom_fields":[{"id":1,"name":"Subdivision","value":"NW"},{"id":4,"name":"Milepost","value":"0.0106"},{"id":17,"name":"Train ID","value":"806-22"},{"id":16,"name":"Locomotive ID","value":"4041"},{"id":130,"name":"Impact","value":""},{"id":150,"name":"Time of Event (Mountain Time)","value":"07:25:45"},{"id":151,"name":"Denver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67"/>
        <v>start /low /b %USERPROFILE%\Documents\GitHub\eaglep3\Utilities\DownloadLogsFromS3.py --loco 4041 --day 2017-12-22</v>
      </c>
      <c r="AN165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69"/>
        <v>https://d0f6bd738d7f1b3e5a7ca70fe4ff75f0.us-east-1.aws.found.io/app/kibana#/discover/Steve-Slow-Train-Analysis-(2080s-and-2083s)?_g=(refreshInterval:(display:Off,pause:!f,section:0,value:0),time:(from:'2017-12-22T05:56:53-0700',mode:absolute,to:'2017-12-22T08:25:45-0700'))&amp;_a=(columns:!('Message%20ID',Summary),filters:!(),index:'emp_*',interval:auto,query:(query_string:(analyze_wildcard:!t,query:'%22rtdc.l.rtdc.4041%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718</v>
      </c>
      <c r="B166" s="225">
        <v>4016</v>
      </c>
      <c r="C166" s="227" t="s">
        <v>192</v>
      </c>
      <c r="D166" s="227" t="s">
        <v>1039</v>
      </c>
      <c r="E166" s="226">
        <v>43091.290034722224</v>
      </c>
      <c r="F166" s="226">
        <v>43091.298402777778</v>
      </c>
      <c r="G166" s="225">
        <v>147</v>
      </c>
      <c r="H166" s="227" t="s">
        <v>1040</v>
      </c>
      <c r="I166" s="226">
        <v>43091.308449074073</v>
      </c>
      <c r="J166" s="225">
        <v>0</v>
      </c>
      <c r="K166" s="237" t="str">
        <f t="shared" si="51"/>
        <v>4015/4016</v>
      </c>
      <c r="L166" s="245" t="str">
        <f>VLOOKUP(A166,'Trips&amp;Operators'!$C$1:$G$99911,5,FALSE)</f>
        <v>DELGADO DIANAH</v>
      </c>
      <c r="M166" s="224">
        <f t="shared" si="52"/>
        <v>1.0046296294603962E-2</v>
      </c>
      <c r="N166" s="225">
        <f t="shared" si="53"/>
        <v>14.466666664229706</v>
      </c>
      <c r="O166" s="225"/>
      <c r="P166" s="225"/>
      <c r="Q166" s="228"/>
      <c r="R166" s="242"/>
      <c r="S166" s="249">
        <f t="shared" si="54"/>
        <v>1</v>
      </c>
      <c r="T166" s="242" t="str">
        <f t="shared" si="55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56"/>
        <v>https://d0f6bd738d7f1b3e5a7ca70fe4ff75f0.us-east-1.aws.found.io/app/kibana#/discover/Steve-Slow-Train-Analysis-(2080s-and-2083s)?_g=(refreshInterval:(display:Off,pause:!f,section:0,value:0),time:(from:'2017-12-22T05:57:39-0700',mode:absolute,to:'2017-12-22T08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247" t="str">
        <f>IF(AA166&lt;VLOOKUP(AG166,Variables!$AC$3:$AD$8,2,FALSE),"Y","N")</f>
        <v>N</v>
      </c>
      <c r="X166" s="247">
        <f t="shared" si="88"/>
        <v>1</v>
      </c>
      <c r="Y166" s="247">
        <v>8.8599999999999998E-2</v>
      </c>
      <c r="Z166" s="247">
        <v>5.8940999999999999</v>
      </c>
      <c r="AA166" s="247">
        <f t="shared" si="60"/>
        <v>5.8055000000000003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1"/>
        <v>807</v>
      </c>
      <c r="AE166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66" s="234" t="str">
        <f t="shared" si="63"/>
        <v>"C:\Program Files (x86)\AstroGrep\AstroGrep.exe" /e /r /s /spath="%USERPROFILE%\AppData\Local\Temp\OnboardLogs" /stypes="app*4016*20171222*" /stext=" 14:.+((SYSTEM_STATE.+slice.+state.+changed )|(ment ac)|(multiple cpu faults)|(system.+state.+changed )|(\[timeout)|(PRM\|1\|D)|(kpr)|(kdp)|(train st.+moving)|(\|lc)|(penalty))"</v>
      </c>
      <c r="AG166" s="244" t="str">
        <f t="shared" si="64"/>
        <v>NW</v>
      </c>
      <c r="AH166" s="236" t="str">
        <f t="shared" si="65"/>
        <v>"%USERPROFILE%\Documents\GitHub\eaglep3\Utilities\RefineRTDCRunTimes.py" --tripid 807-22 --locoid 4016 --swversion DE.1.0.9.0 --startMP 204:455 --initTime 2017-12-22T06:57:39 --startdatetime 2017-12-22T07:09:42 --delay 147 --endMP 204:2319 --enddatetime 2017-12-22T07:24:10 --enforcementcount 0 &gt;&gt;%USERPROFILE%\Documents\GitHub\eaglep3-reporting\EC\2017-12-22-refined-times.txt</v>
      </c>
      <c r="AI166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{"issue":{"subject":"","project_id":79,"tracker_id":40,"status_id":1,"priority_id":2,"assigned_to_id":338,"start_date":"2017-12-22","description":"","custom_fields":[{"id":1,"name":"Subdivision","value":"NW"},{"id":4,"name":"Milepost","value":"5.8941"},{"id":17,"name":"Train ID","value":"807-22"},{"id":16,"name":"Locomotive ID","value":"4016"},{"id":130,"name":"Impact","value":""},{"id":150,"name":"Time of Event (Mountain Time)","value":"07:24:10"},{"id":151,"name":"Denver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67"/>
        <v>start /low /b %USERPROFILE%\Documents\GitHub\eaglep3\Utilities\DownloadLogsFromS3.py --loco 4016 --day 2017-12-22</v>
      </c>
      <c r="AN166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69"/>
        <v>https://d0f6bd738d7f1b3e5a7ca70fe4ff75f0.us-east-1.aws.found.io/app/kibana#/discover/Steve-Slow-Train-Analysis-(2080s-and-2083s)?_g=(refreshInterval:(display:Off,pause:!f,section:0,value:0),time:(from:'2017-12-22T05:57:39-0700',mode:absolute,to:'2017-12-22T08:24:10-0700'))&amp;_a=(columns:!('Message%20ID',Summary),filters:!(),index:'emp_*',interval:auto,query:(query_string:(analyze_wildcard:!t,query:'%22rtdc.l.rtdc.4016%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722</v>
      </c>
      <c r="B167" s="225">
        <v>4015</v>
      </c>
      <c r="C167" s="227" t="s">
        <v>192</v>
      </c>
      <c r="D167" s="227" t="s">
        <v>1041</v>
      </c>
      <c r="E167" s="226">
        <v>43091.309803240743</v>
      </c>
      <c r="F167" s="226">
        <v>43091.320891203701</v>
      </c>
      <c r="G167" s="225">
        <v>59</v>
      </c>
      <c r="H167" s="227" t="s">
        <v>622</v>
      </c>
      <c r="I167" s="226">
        <v>43091.330011574071</v>
      </c>
      <c r="J167" s="225">
        <v>0</v>
      </c>
      <c r="K167" s="237" t="str">
        <f t="shared" si="51"/>
        <v>4015/4016</v>
      </c>
      <c r="L167" s="245" t="str">
        <f>VLOOKUP(A167,'Trips&amp;Operators'!$C$1:$G$99911,5,FALSE)</f>
        <v>DELGADO DIANAH</v>
      </c>
      <c r="M167" s="224">
        <f t="shared" si="52"/>
        <v>9.1203703705104999E-3</v>
      </c>
      <c r="N167" s="225">
        <f t="shared" si="53"/>
        <v>13.13333333353512</v>
      </c>
      <c r="O167" s="225"/>
      <c r="P167" s="225"/>
      <c r="Q167" s="228"/>
      <c r="R167" s="242"/>
      <c r="S167" s="249">
        <f t="shared" si="54"/>
        <v>1</v>
      </c>
      <c r="T167" s="242" t="str">
        <f t="shared" si="55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56"/>
        <v>https://d0f6bd738d7f1b3e5a7ca70fe4ff75f0.us-east-1.aws.found.io/app/kibana#/discover/Steve-Slow-Train-Analysis-(2080s-and-2083s)?_g=(refreshInterval:(display:Off,pause:!f,section:0,value:0),time:(from:'2017-12-22T06:26:07-0700',mode:absolute,to:'2017-12-22T08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247" t="str">
        <f>IF(AA167&lt;VLOOKUP(AG167,Variables!$AC$3:$AD$8,2,FALSE),"Y","N")</f>
        <v>N</v>
      </c>
      <c r="X167" s="247">
        <f t="shared" si="88"/>
        <v>1</v>
      </c>
      <c r="Y167" s="247">
        <f t="shared" ref="Y167:Y173" si="89">RIGHT(D167,LEN(D167)-4)/10000</f>
        <v>5.8639999999999999</v>
      </c>
      <c r="Z167" s="247">
        <f t="shared" ref="Z167:Z173" si="90">RIGHT(H167,LEN(H167)-4)/10000</f>
        <v>1.38E-2</v>
      </c>
      <c r="AA167" s="247">
        <f t="shared" si="60"/>
        <v>5.8502000000000001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1"/>
        <v>808</v>
      </c>
      <c r="AE167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67" s="234" t="str">
        <f t="shared" si="63"/>
        <v>"C:\Program Files (x86)\AstroGrep\AstroGrep.exe" /e /r /s /spath="%USERPROFILE%\AppData\Local\Temp\OnboardLogs" /stypes="app*4015*20171222*" /stext=" 14:.+((SYSTEM_STATE.+slice.+state.+changed )|(ment ac)|(multiple cpu faults)|(system.+state.+changed )|(\[timeout)|(PRM\|1\|D)|(kpr)|(kdp)|(train st.+moving)|(\|lc)|(penalty))"</v>
      </c>
      <c r="AG167" s="244" t="str">
        <f t="shared" si="64"/>
        <v>NW</v>
      </c>
      <c r="AH167" s="236" t="str">
        <f t="shared" si="65"/>
        <v>"%USERPROFILE%\Documents\GitHub\eaglep3\Utilities\RefineRTDCRunTimes.py" --tripid 808-22 --locoid 4015 --swversion DE.1.0.9.0 --startMP 300:58640 --initTime 2017-12-22T07:26:07 --startdatetime 2017-12-22T07:42:05 --delay 59 --endMP 204:138 --enddatetime 2017-12-22T07:55:13 --enforcementcount 0 &gt;&gt;%USERPROFILE%\Documents\GitHub\eaglep3-reporting\EC\2017-12-22-refined-times.txt</v>
      </c>
      <c r="AI167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{"issue":{"subject":"","project_id":79,"tracker_id":40,"status_id":1,"priority_id":2,"assigned_to_id":338,"start_date":"2017-12-22","description":"","custom_fields":[{"id":1,"name":"Subdivision","value":"NW"},{"id":4,"name":"Milepost","value":"0.0138"},{"id":17,"name":"Train ID","value":"808-22"},{"id":16,"name":"Locomotive ID","value":"4015"},{"id":130,"name":"Impact","value":""},{"id":150,"name":"Time of Event (Mountain Time)","value":"07:55:13"},{"id":151,"name":"Denver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67"/>
        <v>start /low /b %USERPROFILE%\Documents\GitHub\eaglep3\Utilities\DownloadLogsFromS3.py --loco 4015 --day 2017-12-22</v>
      </c>
      <c r="AN167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69"/>
        <v>https://d0f6bd738d7f1b3e5a7ca70fe4ff75f0.us-east-1.aws.found.io/app/kibana#/discover/Steve-Slow-Train-Analysis-(2080s-and-2083s)?_g=(refreshInterval:(display:Off,pause:!f,section:0,value:0),time:(from:'2017-12-22T06:26:07-0700',mode:absolute,to:'2017-12-22T08:55:13-0700'))&amp;_a=(columns:!('Message%20ID',Summary),filters:!(),index:'emp_*',interval:auto,query:(query_string:(analyze_wildcard:!t,query:'%22rtdc.l.rtdc.4015%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723</v>
      </c>
      <c r="B168" s="225">
        <v>4042</v>
      </c>
      <c r="C168" s="227" t="s">
        <v>192</v>
      </c>
      <c r="D168" s="227" t="s">
        <v>1035</v>
      </c>
      <c r="E168" s="226">
        <v>43091.315092592595</v>
      </c>
      <c r="F168" s="226">
        <v>43091.318935185183</v>
      </c>
      <c r="G168" s="225">
        <v>73</v>
      </c>
      <c r="H168" s="227" t="s">
        <v>1042</v>
      </c>
      <c r="I168" s="226">
        <v>43091.329282407409</v>
      </c>
      <c r="J168" s="225">
        <v>0</v>
      </c>
      <c r="K168" s="237" t="str">
        <f t="shared" si="51"/>
        <v>4041/4042</v>
      </c>
      <c r="L168" s="245" t="str">
        <f>VLOOKUP(A168,'Trips&amp;Operators'!$C$1:$G$99911,5,FALSE)</f>
        <v>WILLIAMS DONTE</v>
      </c>
      <c r="M168" s="224">
        <f t="shared" si="52"/>
        <v>1.0347222225391306E-2</v>
      </c>
      <c r="N168" s="225">
        <f t="shared" si="53"/>
        <v>14.900000004563481</v>
      </c>
      <c r="O168" s="225"/>
      <c r="P168" s="225"/>
      <c r="Q168" s="228"/>
      <c r="R168" s="242"/>
      <c r="S168" s="249">
        <f t="shared" si="54"/>
        <v>1</v>
      </c>
      <c r="T168" s="242" t="str">
        <f t="shared" si="55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56"/>
        <v>https://d0f6bd738d7f1b3e5a7ca70fe4ff75f0.us-east-1.aws.found.io/app/kibana#/discover/Steve-Slow-Train-Analysis-(2080s-and-2083s)?_g=(refreshInterval:(display:Off,pause:!f,section:0,value:0),time:(from:'2017-12-22T06:33:44-0700',mode:absolute,to:'2017-12-22T08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247" t="str">
        <f>IF(AA168&lt;VLOOKUP(AG168,Variables!$AC$3:$AD$8,2,FALSE),"Y","N")</f>
        <v>N</v>
      </c>
      <c r="X168" s="247">
        <f t="shared" si="88"/>
        <v>1</v>
      </c>
      <c r="Y168" s="247">
        <f t="shared" si="89"/>
        <v>3.9399999999999998E-2</v>
      </c>
      <c r="Z168" s="247">
        <f t="shared" si="90"/>
        <v>5.8916000000000004</v>
      </c>
      <c r="AA168" s="247">
        <f t="shared" si="60"/>
        <v>5.8522000000000007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1"/>
        <v>809</v>
      </c>
      <c r="AE168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68" s="234" t="str">
        <f t="shared" si="63"/>
        <v>"C:\Program Files (x86)\AstroGrep\AstroGrep.exe" /e /r /s /spath="%USERPROFILE%\AppData\Local\Temp\OnboardLogs" /stypes="app*4042*20171222*" /stext=" 14:.+((SYSTEM_STATE.+slice.+state.+changed )|(ment ac)|(multiple cpu faults)|(system.+state.+changed )|(\[timeout)|(PRM\|1\|D)|(kpr)|(kdp)|(train st.+moving)|(\|lc)|(penalty))"</v>
      </c>
      <c r="AG168" s="244" t="str">
        <f t="shared" si="64"/>
        <v>NW</v>
      </c>
      <c r="AH168" s="236" t="str">
        <f t="shared" si="65"/>
        <v>"%USERPROFILE%\Documents\GitHub\eaglep3\Utilities\RefineRTDCRunTimes.py" --tripid 809-22 --locoid 4042 --swversion DE.1.0.9.0 --startMP 204:394 --initTime 2017-12-22T07:33:44 --startdatetime 2017-12-22T07:39:16 --delay 73 --endMP 300:58916 --enddatetime 2017-12-22T07:54:10 --enforcementcount 0 &gt;&gt;%USERPROFILE%\Documents\GitHub\eaglep3-reporting\EC\2017-12-22-refined-times.txt</v>
      </c>
      <c r="AI168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{"issue":{"subject":"","project_id":79,"tracker_id":40,"status_id":1,"priority_id":2,"assigned_to_id":338,"start_date":"2017-12-22","description":"","custom_fields":[{"id":1,"name":"Subdivision","value":"NW"},{"id":4,"name":"Milepost","value":"5.8916"},{"id":17,"name":"Train ID","value":"809-22"},{"id":16,"name":"Locomotive ID","value":"4042"},{"id":130,"name":"Impact","value":""},{"id":150,"name":"Time of Event (Mountain Time)","value":"07:54:10"},{"id":151,"name":"Denver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67"/>
        <v>start /low /b %USERPROFILE%\Documents\GitHub\eaglep3\Utilities\DownloadLogsFromS3.py --loco 4042 --day 2017-12-22</v>
      </c>
      <c r="AN168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69"/>
        <v>https://d0f6bd738d7f1b3e5a7ca70fe4ff75f0.us-east-1.aws.found.io/app/kibana#/discover/Steve-Slow-Train-Analysis-(2080s-and-2083s)?_g=(refreshInterval:(display:Off,pause:!f,section:0,value:0),time:(from:'2017-12-22T06:33:44-0700',mode:absolute,to:'2017-12-22T08:54:10-0700'))&amp;_a=(columns:!('Message%20ID',Summary),filters:!(),index:'emp_*',interval:auto,query:(query_string:(analyze_wildcard:!t,query:'%22rtdc.l.rtdc.4042%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728</v>
      </c>
      <c r="B169" s="225">
        <v>4041</v>
      </c>
      <c r="C169" s="227" t="s">
        <v>192</v>
      </c>
      <c r="D169" s="227" t="s">
        <v>1043</v>
      </c>
      <c r="E169" s="226">
        <v>43091.330636574072</v>
      </c>
      <c r="F169" s="226">
        <v>43091.341678240744</v>
      </c>
      <c r="G169" s="225">
        <v>55</v>
      </c>
      <c r="H169" s="227" t="s">
        <v>627</v>
      </c>
      <c r="I169" s="226">
        <v>43091.351006944446</v>
      </c>
      <c r="J169" s="225">
        <v>0</v>
      </c>
      <c r="K169" s="237" t="str">
        <f t="shared" si="51"/>
        <v>4041/4042</v>
      </c>
      <c r="L169" s="245" t="str">
        <f>VLOOKUP(A169,'Trips&amp;Operators'!$C$1:$G$99911,5,FALSE)</f>
        <v>WILLIAMS DONTE</v>
      </c>
      <c r="M169" s="224">
        <f t="shared" si="52"/>
        <v>9.3287037016125396E-3</v>
      </c>
      <c r="N169" s="225">
        <f t="shared" si="53"/>
        <v>13.433333330322057</v>
      </c>
      <c r="O169" s="225"/>
      <c r="P169" s="225"/>
      <c r="Q169" s="228"/>
      <c r="R169" s="242"/>
      <c r="S169" s="249">
        <f t="shared" si="54"/>
        <v>1</v>
      </c>
      <c r="T169" s="242" t="str">
        <f t="shared" si="55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56"/>
        <v>https://d0f6bd738d7f1b3e5a7ca70fe4ff75f0.us-east-1.aws.found.io/app/kibana#/discover/Steve-Slow-Train-Analysis-(2080s-and-2083s)?_g=(refreshInterval:(display:Off,pause:!f,section:0,value:0),time:(from:'2017-12-22T06:56:07-0700',mode:absolute,to:'2017-12-22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247" t="str">
        <f>IF(AA169&lt;VLOOKUP(AG169,Variables!$AC$3:$AD$8,2,FALSE),"Y","N")</f>
        <v>N</v>
      </c>
      <c r="X169" s="247">
        <f t="shared" si="88"/>
        <v>1</v>
      </c>
      <c r="Y169" s="247">
        <f t="shared" si="89"/>
        <v>5.8613</v>
      </c>
      <c r="Z169" s="247">
        <f t="shared" si="90"/>
        <v>9.2999999999999992E-3</v>
      </c>
      <c r="AA169" s="247">
        <f t="shared" si="60"/>
        <v>5.8520000000000003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1"/>
        <v>810</v>
      </c>
      <c r="AE169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69" s="234" t="str">
        <f t="shared" si="63"/>
        <v>"C:\Program Files (x86)\AstroGrep\AstroGrep.exe" /e /r /s /spath="%USERPROFILE%\AppData\Local\Temp\OnboardLogs" /stypes="app*4041*20171222*" /stext=" 15:.+((SYSTEM_STATE.+slice.+state.+changed )|(ment ac)|(multiple cpu faults)|(system.+state.+changed )|(\[timeout)|(PRM\|1\|D)|(kpr)|(kdp)|(train st.+moving)|(\|lc)|(penalty))"</v>
      </c>
      <c r="AG169" s="244" t="str">
        <f t="shared" si="64"/>
        <v>NW</v>
      </c>
      <c r="AH169" s="236" t="str">
        <f t="shared" si="65"/>
        <v>"%USERPROFILE%\Documents\GitHub\eaglep3\Utilities\RefineRTDCRunTimes.py" --tripid 810-22 --locoid 4041 --swversion DE.1.0.9.0 --startMP 300:58613 --initTime 2017-12-22T07:56:07 --startdatetime 2017-12-22T08:12:01 --delay 55 --endMP 204:93 --enddatetime 2017-12-22T08:25:27 --enforcementcount 0 &gt;&gt;%USERPROFILE%\Documents\GitHub\eaglep3-reporting\EC\2017-12-22-refined-times.txt</v>
      </c>
      <c r="AI169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{"issue":{"subject":"","project_id":79,"tracker_id":40,"status_id":1,"priority_id":2,"assigned_to_id":338,"start_date":"2017-12-22","description":"","custom_fields":[{"id":1,"name":"Subdivision","value":"NW"},{"id":4,"name":"Milepost","value":"0.0093"},{"id":17,"name":"Train ID","value":"810-22"},{"id":16,"name":"Locomotive ID","value":"4041"},{"id":130,"name":"Impact","value":""},{"id":150,"name":"Time of Event (Mountain Time)","value":"08:25:27"},{"id":151,"name":"Denver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67"/>
        <v>start /low /b %USERPROFILE%\Documents\GitHub\eaglep3\Utilities\DownloadLogsFromS3.py --loco 4041 --day 2017-12-22</v>
      </c>
      <c r="AN169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69"/>
        <v>https://d0f6bd738d7f1b3e5a7ca70fe4ff75f0.us-east-1.aws.found.io/app/kibana#/discover/Steve-Slow-Train-Analysis-(2080s-and-2083s)?_g=(refreshInterval:(display:Off,pause:!f,section:0,value:0),time:(from:'2017-12-22T06:56:07-0700',mode:absolute,to:'2017-12-22T09:25:27-0700'))&amp;_a=(columns:!('Message%20ID',Summary),filters:!(),index:'emp_*',interval:auto,query:(query_string:(analyze_wildcard:!t,query:'%22rtdc.l.rtdc.4041%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657</v>
      </c>
      <c r="B170" s="225">
        <v>4016</v>
      </c>
      <c r="C170" s="227" t="s">
        <v>192</v>
      </c>
      <c r="D170" s="227" t="s">
        <v>1044</v>
      </c>
      <c r="E170" s="226">
        <v>43091.332268518519</v>
      </c>
      <c r="F170" s="226">
        <v>43091.339849537035</v>
      </c>
      <c r="G170" s="225">
        <v>587</v>
      </c>
      <c r="H170" s="227" t="s">
        <v>1045</v>
      </c>
      <c r="I170" s="226">
        <v>43091.351423611108</v>
      </c>
      <c r="J170" s="225">
        <v>0</v>
      </c>
      <c r="K170" s="237" t="str">
        <f t="shared" si="51"/>
        <v>4015/4016</v>
      </c>
      <c r="L170" s="245" t="str">
        <f>VLOOKUP(A170,'Trips&amp;Operators'!$C$1:$G$99911,5,FALSE)</f>
        <v>DELGADO DIANAH</v>
      </c>
      <c r="M170" s="224">
        <f t="shared" si="52"/>
        <v>1.1574074072996154E-2</v>
      </c>
      <c r="N170" s="225">
        <f t="shared" si="53"/>
        <v>16.666666665114462</v>
      </c>
      <c r="O170" s="225"/>
      <c r="P170" s="225"/>
      <c r="Q170" s="228"/>
      <c r="R170" s="242"/>
      <c r="S170" s="249">
        <f t="shared" si="54"/>
        <v>1</v>
      </c>
      <c r="T170" s="242" t="str">
        <f t="shared" si="55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56"/>
        <v>https://d0f6bd738d7f1b3e5a7ca70fe4ff75f0.us-east-1.aws.found.io/app/kibana#/discover/Steve-Slow-Train-Analysis-(2080s-and-2083s)?_g=(refreshInterval:(display:Off,pause:!f,section:0,value:0),time:(from:'2017-12-22T06:58:28-0700',mode:absolute,to:'2017-12-22T09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47" t="str">
        <f>IF(AA170&lt;VLOOKUP(AG170,Variables!$AC$3:$AD$8,2,FALSE),"Y","N")</f>
        <v>N</v>
      </c>
      <c r="X170" s="247">
        <f t="shared" si="88"/>
        <v>1</v>
      </c>
      <c r="Y170" s="247">
        <f t="shared" si="89"/>
        <v>4.2999999999999997E-2</v>
      </c>
      <c r="Z170" s="247">
        <f t="shared" si="90"/>
        <v>5.8940999999999999</v>
      </c>
      <c r="AA170" s="247">
        <f t="shared" si="60"/>
        <v>5.8510999999999997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1"/>
        <v>811</v>
      </c>
      <c r="AE170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70" s="234" t="str">
        <f t="shared" si="63"/>
        <v>"C:\Program Files (x86)\AstroGrep\AstroGrep.exe" /e /r /s /spath="%USERPROFILE%\AppData\Local\Temp\OnboardLogs" /stypes="app*4016*20171222*" /stext=" 15:.+((SYSTEM_STATE.+slice.+state.+changed )|(ment ac)|(multiple cpu faults)|(system.+state.+changed )|(\[timeout)|(PRM\|1\|D)|(kpr)|(kdp)|(train st.+moving)|(\|lc)|(penalty))"</v>
      </c>
      <c r="AG170" s="244" t="str">
        <f t="shared" si="64"/>
        <v>NW</v>
      </c>
      <c r="AH170" s="236" t="str">
        <f t="shared" si="65"/>
        <v>"%USERPROFILE%\Documents\GitHub\eaglep3\Utilities\RefineRTDCRunTimes.py" --tripid 811-22 --locoid 4016 --swversion DE.1.0.9.0 --startMP 204:430 --initTime 2017-12-22T07:58:28 --startdatetime 2017-12-22T08:09:23 --delay 587 --endMP 300:58941 --enddatetime 2017-12-22T08:26:03 --enforcementcount 0 &gt;&gt;%USERPROFILE%\Documents\GitHub\eaglep3-reporting\EC\2017-12-22-refined-times.txt</v>
      </c>
      <c r="AI170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{"issue":{"subject":"","project_id":79,"tracker_id":40,"status_id":1,"priority_id":2,"assigned_to_id":338,"start_date":"2017-12-22","description":"","custom_fields":[{"id":1,"name":"Subdivision","value":"NW"},{"id":4,"name":"Milepost","value":"5.8941"},{"id":17,"name":"Train ID","value":"811-22"},{"id":16,"name":"Locomotive ID","value":"4016"},{"id":130,"name":"Impact","value":""},{"id":150,"name":"Time of Event (Mountain Time)","value":"08:26:03"},{"id":151,"name":"Denver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67"/>
        <v>start /low /b %USERPROFILE%\Documents\GitHub\eaglep3\Utilities\DownloadLogsFromS3.py --loco 4016 --day 2017-12-22</v>
      </c>
      <c r="AN170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69"/>
        <v>https://d0f6bd738d7f1b3e5a7ca70fe4ff75f0.us-east-1.aws.found.io/app/kibana#/discover/Steve-Slow-Train-Analysis-(2080s-and-2083s)?_g=(refreshInterval:(display:Off,pause:!f,section:0,value:0),time:(from:'2017-12-22T06:58:28-0700',mode:absolute,to:'2017-12-22T09:26:03-0700'))&amp;_a=(columns:!('Message%20ID',Summary),filters:!(),index:'emp_*',interval:auto,query:(query_string:(analyze_wildcard:!t,query:'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734</v>
      </c>
      <c r="B171" s="225">
        <v>4015</v>
      </c>
      <c r="C171" s="227" t="s">
        <v>192</v>
      </c>
      <c r="D171" s="227" t="s">
        <v>1046</v>
      </c>
      <c r="E171" s="226">
        <v>43091.352777777778</v>
      </c>
      <c r="F171" s="226">
        <v>43091.362685185188</v>
      </c>
      <c r="G171" s="225">
        <v>58</v>
      </c>
      <c r="H171" s="227" t="s">
        <v>625</v>
      </c>
      <c r="I171" s="226">
        <v>43091.371782407405</v>
      </c>
      <c r="J171" s="225">
        <v>0</v>
      </c>
      <c r="K171" s="237" t="str">
        <f t="shared" si="51"/>
        <v>4015/4016</v>
      </c>
      <c r="L171" s="245" t="str">
        <f>VLOOKUP(A171,'Trips&amp;Operators'!$C$1:$G$99911,5,FALSE)</f>
        <v>DELGADO DIANAH</v>
      </c>
      <c r="M171" s="224">
        <f t="shared" si="52"/>
        <v>9.0972222169511952E-3</v>
      </c>
      <c r="N171" s="225">
        <f t="shared" si="53"/>
        <v>13.099999992409721</v>
      </c>
      <c r="O171" s="225"/>
      <c r="P171" s="225"/>
      <c r="Q171" s="228"/>
      <c r="R171" s="242"/>
      <c r="S171" s="249">
        <f t="shared" si="54"/>
        <v>1</v>
      </c>
      <c r="T171" s="242" t="str">
        <f t="shared" si="55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56"/>
        <v>https://d0f6bd738d7f1b3e5a7ca70fe4ff75f0.us-east-1.aws.found.io/app/kibana#/discover/Steve-Slow-Train-Analysis-(2080s-and-2083s)?_g=(refreshInterval:(display:Off,pause:!f,section:0,value:0),time:(from:'2017-12-22T07:28:00-0700',mode:absolute,to:'2017-12-22T09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47" t="str">
        <f>IF(AA171&lt;VLOOKUP(AG171,Variables!$AC$3:$AD$8,2,FALSE),"Y","N")</f>
        <v>N</v>
      </c>
      <c r="X171" s="247">
        <f t="shared" si="88"/>
        <v>1</v>
      </c>
      <c r="Y171" s="247">
        <f t="shared" si="89"/>
        <v>5.8620999999999999</v>
      </c>
      <c r="Z171" s="247">
        <f t="shared" si="90"/>
        <v>1.44E-2</v>
      </c>
      <c r="AA171" s="247">
        <f t="shared" si="60"/>
        <v>5.8476999999999997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1"/>
        <v>812</v>
      </c>
      <c r="AE171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71" s="234" t="str">
        <f t="shared" si="63"/>
        <v>"C:\Program Files (x86)\AstroGrep\AstroGrep.exe" /e /r /s /spath="%USERPROFILE%\AppData\Local\Temp\OnboardLogs" /stypes="app*4015*20171222*" /stext=" 15:.+((SYSTEM_STATE.+slice.+state.+changed )|(ment ac)|(multiple cpu faults)|(system.+state.+changed )|(\[timeout)|(PRM\|1\|D)|(kpr)|(kdp)|(train st.+moving)|(\|lc)|(penalty))"</v>
      </c>
      <c r="AG171" s="244" t="str">
        <f t="shared" si="64"/>
        <v>NW</v>
      </c>
      <c r="AH171" s="236" t="str">
        <f t="shared" si="65"/>
        <v>"%USERPROFILE%\Documents\GitHub\eaglep3\Utilities\RefineRTDCRunTimes.py" --tripid 812-22 --locoid 4015 --swversion DE.1.0.9.0 --startMP 300:58621 --initTime 2017-12-22T08:28:00 --startdatetime 2017-12-22T08:42:16 --delay 58 --endMP 204:144 --enddatetime 2017-12-22T08:55:22 --enforcementcount 0 &gt;&gt;%USERPROFILE%\Documents\GitHub\eaglep3-reporting\EC\2017-12-22-refined-times.txt</v>
      </c>
      <c r="AI171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{"issue":{"subject":"","project_id":79,"tracker_id":40,"status_id":1,"priority_id":2,"assigned_to_id":338,"start_date":"2017-12-22","description":"","custom_fields":[{"id":1,"name":"Subdivision","value":"NW"},{"id":4,"name":"Milepost","value":"0.0144"},{"id":17,"name":"Train ID","value":"812-22"},{"id":16,"name":"Locomotive ID","value":"4015"},{"id":130,"name":"Impact","value":""},{"id":150,"name":"Time of Event (Mountain Time)","value":"08:55:22"},{"id":151,"name":"Denver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67"/>
        <v>start /low /b %USERPROFILE%\Documents\GitHub\eaglep3\Utilities\DownloadLogsFromS3.py --loco 4015 --day 2017-12-22</v>
      </c>
      <c r="AN171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69"/>
        <v>https://d0f6bd738d7f1b3e5a7ca70fe4ff75f0.us-east-1.aws.found.io/app/kibana#/discover/Steve-Slow-Train-Analysis-(2080s-and-2083s)?_g=(refreshInterval:(display:Off,pause:!f,section:0,value:0),time:(from:'2017-12-22T07:28:00-0700',mode:absolute,to:'2017-12-22T09:55:22-0700'))&amp;_a=(columns:!('Message%20ID',Summary),filters:!(),index:'emp_*',interval:auto,query:(query_string:(analyze_wildcard:!t,query:'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740</v>
      </c>
      <c r="B172" s="225">
        <v>4016</v>
      </c>
      <c r="C172" s="227" t="s">
        <v>192</v>
      </c>
      <c r="D172" s="227" t="s">
        <v>1047</v>
      </c>
      <c r="E172" s="226">
        <v>43091.37903935185</v>
      </c>
      <c r="F172" s="226">
        <v>43091.381412037037</v>
      </c>
      <c r="G172" s="225">
        <v>55</v>
      </c>
      <c r="H172" s="227" t="s">
        <v>624</v>
      </c>
      <c r="I172" s="226">
        <v>43091.391134259262</v>
      </c>
      <c r="J172" s="225">
        <v>0</v>
      </c>
      <c r="K172" s="237" t="str">
        <f t="shared" si="51"/>
        <v>4015/4016</v>
      </c>
      <c r="L172" s="245" t="str">
        <f>VLOOKUP(A172,'Trips&amp;Operators'!$C$1:$G$99911,5,FALSE)</f>
        <v>DELGADO DIANAH</v>
      </c>
      <c r="M172" s="224">
        <f t="shared" si="52"/>
        <v>9.7222222248092294E-3</v>
      </c>
      <c r="N172" s="225">
        <f t="shared" si="53"/>
        <v>14.00000000372529</v>
      </c>
      <c r="O172" s="225"/>
      <c r="P172" s="225"/>
      <c r="Q172" s="228"/>
      <c r="R172" s="242"/>
      <c r="S172" s="249">
        <f t="shared" si="54"/>
        <v>1</v>
      </c>
      <c r="T172" s="242" t="str">
        <f t="shared" si="55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56"/>
        <v>https://d0f6bd738d7f1b3e5a7ca70fe4ff75f0.us-east-1.aws.found.io/app/kibana#/discover/Steve-Slow-Train-Analysis-(2080s-and-2083s)?_g=(refreshInterval:(display:Off,pause:!f,section:0,value:0),time:(from:'2017-12-22T08:05:49-0700',mode:absolute,to:'2017-12-22T10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47" t="str">
        <f>IF(AA172&lt;VLOOKUP(AG172,Variables!$AC$3:$AD$8,2,FALSE),"Y","N")</f>
        <v>N</v>
      </c>
      <c r="X172" s="247">
        <f t="shared" si="88"/>
        <v>1</v>
      </c>
      <c r="Y172" s="247">
        <f t="shared" si="89"/>
        <v>4.3700000000000003E-2</v>
      </c>
      <c r="Z172" s="247">
        <f t="shared" si="90"/>
        <v>5.8959999999999999</v>
      </c>
      <c r="AA172" s="247">
        <f t="shared" si="60"/>
        <v>5.8522999999999996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1"/>
        <v>813</v>
      </c>
      <c r="AE172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72" s="234" t="str">
        <f t="shared" si="63"/>
        <v>"C:\Program Files (x86)\AstroGrep\AstroGrep.exe" /e /r /s /spath="%USERPROFILE%\AppData\Local\Temp\OnboardLogs" /stypes="app*4016*20171222*" /stext=" 16:.+((SYSTEM_STATE.+slice.+state.+changed )|(ment ac)|(multiple cpu faults)|(system.+state.+changed )|(\[timeout)|(PRM\|1\|D)|(kpr)|(kdp)|(train st.+moving)|(\|lc)|(penalty))"</v>
      </c>
      <c r="AG172" s="244" t="str">
        <f t="shared" si="64"/>
        <v>NW</v>
      </c>
      <c r="AH172" s="236" t="str">
        <f t="shared" si="65"/>
        <v>"%USERPROFILE%\Documents\GitHub\eaglep3\Utilities\RefineRTDCRunTimes.py" --tripid 813-22 --locoid 4016 --swversion DE.1.0.9.0 --startMP 204:437 --initTime 2017-12-22T09:05:49 --startdatetime 2017-12-22T09:09:14 --delay 55 --endMP 300:58960 --enddatetime 2017-12-22T09:23:14 --enforcementcount 0 &gt;&gt;%USERPROFILE%\Documents\GitHub\eaglep3-reporting\EC\2017-12-22-refined-times.txt</v>
      </c>
      <c r="AI172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{"issue":{"subject":"","project_id":79,"tracker_id":40,"status_id":1,"priority_id":2,"assigned_to_id":338,"start_date":"2017-12-22","description":"","custom_fields":[{"id":1,"name":"Subdivision","value":"NW"},{"id":4,"name":"Milepost","value":"5.896"},{"id":17,"name":"Train ID","value":"813-22"},{"id":16,"name":"Locomotive ID","value":"4016"},{"id":130,"name":"Impact","value":""},{"id":150,"name":"Time of Event (Mountain Time)","value":"09:23:14"},{"id":151,"name":"Denver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67"/>
        <v>start /low /b %USERPROFILE%\Documents\GitHub\eaglep3\Utilities\DownloadLogsFromS3.py --loco 4016 --day 2017-12-22</v>
      </c>
      <c r="AN172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69"/>
        <v>https://d0f6bd738d7f1b3e5a7ca70fe4ff75f0.us-east-1.aws.found.io/app/kibana#/discover/Steve-Slow-Train-Analysis-(2080s-and-2083s)?_g=(refreshInterval:(display:Off,pause:!f,section:0,value:0),time:(from:'2017-12-22T08:05:49-0700',mode:absolute,to:'2017-12-22T10:23:14-0700'))&amp;_a=(columns:!('Message%20ID',Summary),filters:!(),index:'emp_*',interval:auto,query:(query_string:(analyze_wildcard:!t,query:'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745</v>
      </c>
      <c r="B173" s="225">
        <v>4015</v>
      </c>
      <c r="C173" s="227" t="s">
        <v>192</v>
      </c>
      <c r="D173" s="227" t="s">
        <v>1041</v>
      </c>
      <c r="E173" s="226">
        <v>43091.392581018517</v>
      </c>
      <c r="F173" s="226">
        <v>43091.404930555553</v>
      </c>
      <c r="G173" s="225">
        <v>93</v>
      </c>
      <c r="H173" s="227" t="s">
        <v>1048</v>
      </c>
      <c r="I173" s="226">
        <v>43091.413935185185</v>
      </c>
      <c r="J173" s="225">
        <v>0</v>
      </c>
      <c r="K173" s="237" t="str">
        <f t="shared" si="51"/>
        <v>4015/4016</v>
      </c>
      <c r="L173" s="245" t="str">
        <f>VLOOKUP(A173,'Trips&amp;Operators'!$C$1:$G$99911,5,FALSE)</f>
        <v>DELGADO DIANAH</v>
      </c>
      <c r="M173" s="224">
        <f t="shared" si="52"/>
        <v>9.0046296318178065E-3</v>
      </c>
      <c r="N173" s="225">
        <f t="shared" si="53"/>
        <v>12.966666669817641</v>
      </c>
      <c r="O173" s="225"/>
      <c r="P173" s="225"/>
      <c r="Q173" s="228"/>
      <c r="R173" s="242"/>
      <c r="S173" s="249">
        <f t="shared" si="54"/>
        <v>1</v>
      </c>
      <c r="T173" s="242" t="str">
        <f t="shared" si="55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56"/>
        <v>https://d0f6bd738d7f1b3e5a7ca70fe4ff75f0.us-east-1.aws.found.io/app/kibana#/discover/Steve-Slow-Train-Analysis-(2080s-and-2083s)?_g=(refreshInterval:(display:Off,pause:!f,section:0,value:0),time:(from:'2017-12-22T08:25:19-0700',mode:absolute,to:'2017-12-22T10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47" t="str">
        <f>IF(AA173&lt;VLOOKUP(AG173,Variables!$AC$3:$AD$8,2,FALSE),"Y","N")</f>
        <v>N</v>
      </c>
      <c r="X173" s="247">
        <f t="shared" si="88"/>
        <v>1</v>
      </c>
      <c r="Y173" s="247">
        <f t="shared" si="89"/>
        <v>5.8639999999999999</v>
      </c>
      <c r="Z173" s="247">
        <f t="shared" si="90"/>
        <v>1.29E-2</v>
      </c>
      <c r="AA173" s="247">
        <f t="shared" si="60"/>
        <v>5.8510999999999997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1"/>
        <v>814</v>
      </c>
      <c r="AE173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73" s="234" t="str">
        <f t="shared" si="63"/>
        <v>"C:\Program Files (x86)\AstroGrep\AstroGrep.exe" /e /r /s /spath="%USERPROFILE%\AppData\Local\Temp\OnboardLogs" /stypes="app*4015*20171222*" /stext=" 16:.+((SYSTEM_STATE.+slice.+state.+changed )|(ment ac)|(multiple cpu faults)|(system.+state.+changed )|(\[timeout)|(PRM\|1\|D)|(kpr)|(kdp)|(train st.+moving)|(\|lc)|(penalty))"</v>
      </c>
      <c r="AG173" s="244" t="str">
        <f t="shared" si="64"/>
        <v>NW</v>
      </c>
      <c r="AH173" s="236" t="str">
        <f t="shared" si="65"/>
        <v>"%USERPROFILE%\Documents\GitHub\eaglep3\Utilities\RefineRTDCRunTimes.py" --tripid 814-22 --locoid 4015 --swversion DE.1.0.9.0 --startMP 300:58640 --initTime 2017-12-22T09:25:19 --startdatetime 2017-12-22T09:43:06 --delay 93 --endMP 204:129 --enddatetime 2017-12-22T09:56:04 --enforcementcount 0 &gt;&gt;%USERPROFILE%\Documents\GitHub\eaglep3-reporting\EC\2017-12-22-refined-times.txt</v>
      </c>
      <c r="AI173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{"issue":{"subject":"","project_id":79,"tracker_id":40,"status_id":1,"priority_id":2,"assigned_to_id":338,"start_date":"2017-12-22","description":"","custom_fields":[{"id":1,"name":"Subdivision","value":"NW"},{"id":4,"name":"Milepost","value":"0.0129"},{"id":17,"name":"Train ID","value":"814-22"},{"id":16,"name":"Locomotive ID","value":"4015"},{"id":130,"name":"Impact","value":""},{"id":150,"name":"Time of Event (Mountain Time)","value":"09:56:04"},{"id":151,"name":"Denver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67"/>
        <v>start /low /b %USERPROFILE%\Documents\GitHub\eaglep3\Utilities\DownloadLogsFromS3.py --loco 4015 --day 2017-12-22</v>
      </c>
      <c r="AN173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16:56:04"},{"id":29,"name":"Sharepoint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69"/>
        <v>https://d0f6bd738d7f1b3e5a7ca70fe4ff75f0.us-east-1.aws.found.io/app/kibana#/discover/Steve-Slow-Train-Analysis-(2080s-and-2083s)?_g=(refreshInterval:(display:Off,pause:!f,section:0,value:0),time:(from:'2017-12-22T08:25:19-0700',mode:absolute,to:'2017-12-22T10:56:04-0700'))&amp;_a=(columns:!('Message%20ID',Summary),filters:!(),index:'emp_*',interval:auto,query:(query_string:(analyze_wildcard:!t,query:'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753</v>
      </c>
      <c r="B174" s="225">
        <v>4016</v>
      </c>
      <c r="C174" s="227" t="s">
        <v>192</v>
      </c>
      <c r="D174" s="227" t="s">
        <v>1049</v>
      </c>
      <c r="E174" s="226">
        <v>43091.419247685182</v>
      </c>
      <c r="F174" s="226">
        <v>43091.423159722224</v>
      </c>
      <c r="G174" s="225">
        <v>90</v>
      </c>
      <c r="H174" s="227" t="s">
        <v>1036</v>
      </c>
      <c r="I174" s="226">
        <v>43091.433159722219</v>
      </c>
      <c r="J174" s="225">
        <v>0</v>
      </c>
      <c r="K174" s="237" t="str">
        <f t="shared" si="51"/>
        <v>4015/4016</v>
      </c>
      <c r="L174" s="245" t="str">
        <f>VLOOKUP(A174,'Trips&amp;Operators'!$C$1:$G$99911,5,FALSE)</f>
        <v>DELGADO DIANAH</v>
      </c>
      <c r="M174" s="224">
        <f t="shared" si="52"/>
        <v>9.9999999947613105E-3</v>
      </c>
      <c r="N174" s="225">
        <f t="shared" si="53"/>
        <v>14.399999992456287</v>
      </c>
      <c r="O174" s="225"/>
      <c r="P174" s="225"/>
      <c r="Q174" s="228"/>
      <c r="R174" s="242"/>
      <c r="S174" s="249">
        <f t="shared" si="54"/>
        <v>1</v>
      </c>
      <c r="T174" s="242" t="str">
        <f t="shared" si="55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56"/>
        <v>https://d0f6bd738d7f1b3e5a7ca70fe4ff75f0.us-east-1.aws.found.io/app/kibana#/discover/Steve-Slow-Train-Analysis-(2080s-and-2083s)?_g=(refreshInterval:(display:Off,pause:!f,section:0,value:0),time:(from:'2017-12-22T09:03:43-0700',mode:absolute,to:'2017-12-22T11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47" t="str">
        <f>IF(AA174&lt;VLOOKUP(AG174,Variables!$AC$3:$AD$8,2,FALSE),"Y","N")</f>
        <v>N</v>
      </c>
      <c r="X174" s="247">
        <f t="shared" si="88"/>
        <v>1</v>
      </c>
      <c r="Y174" s="247">
        <v>6.8500000000000005E-2</v>
      </c>
      <c r="Z174" s="247">
        <v>5.8930999999999996</v>
      </c>
      <c r="AA174" s="247">
        <f t="shared" si="60"/>
        <v>5.8245999999999993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1"/>
        <v>815</v>
      </c>
      <c r="AE174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74" s="234" t="str">
        <f t="shared" si="63"/>
        <v>"C:\Program Files (x86)\AstroGrep\AstroGrep.exe" /e /r /s /spath="%USERPROFILE%\AppData\Local\Temp\OnboardLogs" /stypes="app*4016*20171222*" /stext=" 17:.+((SYSTEM_STATE.+slice.+state.+changed )|(ment ac)|(multiple cpu faults)|(system.+state.+changed )|(\[timeout)|(PRM\|1\|D)|(kpr)|(kdp)|(train st.+moving)|(\|lc)|(penalty))"</v>
      </c>
      <c r="AG174" s="244" t="str">
        <f t="shared" si="64"/>
        <v>NW</v>
      </c>
      <c r="AH174" s="236" t="str">
        <f t="shared" si="65"/>
        <v>"%USERPROFILE%\Documents\GitHub\eaglep3\Utilities\RefineRTDCRunTimes.py" --tripid 815-22 --locoid 4016 --swversion DE.1.0.9.0 --startMP 204:426 --initTime 2017-12-22T10:03:43 --startdatetime 2017-12-22T10:09:21 --delay 90 --endMP 300:58931 --enddatetime 2017-12-22T10:23:45 --enforcementcount 0 &gt;&gt;%USERPROFILE%\Documents\GitHub\eaglep3-reporting\EC\2017-12-22-refined-times.txt</v>
      </c>
      <c r="AI174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{"issue":{"subject":"","project_id":79,"tracker_id":40,"status_id":1,"priority_id":2,"assigned_to_id":338,"start_date":"2017-12-22","description":"","custom_fields":[{"id":1,"name":"Subdivision","value":"NW"},{"id":4,"name":"Milepost","value":"5.8931"},{"id":17,"name":"Train ID","value":"815-22"},{"id":16,"name":"Locomotive ID","value":"4016"},{"id":130,"name":"Impact","value":""},{"id":150,"name":"Time of Event (Mountain Time)","value":"10:23:45"},{"id":151,"name":"Denver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67"/>
        <v>start /low /b %USERPROFILE%\Documents\GitHub\eaglep3\Utilities\DownloadLogsFromS3.py --loco 4016 --day 2017-12-22</v>
      </c>
      <c r="AN174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69"/>
        <v>https://d0f6bd738d7f1b3e5a7ca70fe4ff75f0.us-east-1.aws.found.io/app/kibana#/discover/Steve-Slow-Train-Analysis-(2080s-and-2083s)?_g=(refreshInterval:(display:Off,pause:!f,section:0,value:0),time:(from:'2017-12-22T09:03:43-0700',mode:absolute,to:'2017-12-22T11:23:45-0700'))&amp;_a=(columns:!('Message%20ID',Summary),filters:!(),index:'emp_*',interval:auto,query:(query_string:(analyze_wildcard:!t,query:'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758</v>
      </c>
      <c r="B175" s="225">
        <v>4015</v>
      </c>
      <c r="C175" s="227" t="s">
        <v>192</v>
      </c>
      <c r="D175" s="227" t="s">
        <v>1050</v>
      </c>
      <c r="E175" s="226">
        <v>43091.434976851851</v>
      </c>
      <c r="F175" s="226">
        <v>43091.446261574078</v>
      </c>
      <c r="G175" s="225">
        <v>76</v>
      </c>
      <c r="H175" s="227" t="s">
        <v>569</v>
      </c>
      <c r="I175" s="226">
        <v>43091.45590277778</v>
      </c>
      <c r="J175" s="225">
        <v>0</v>
      </c>
      <c r="K175" s="237" t="str">
        <f t="shared" si="51"/>
        <v>4015/4016</v>
      </c>
      <c r="L175" s="245" t="str">
        <f>VLOOKUP(A175,'Trips&amp;Operators'!$C$1:$G$99911,5,FALSE)</f>
        <v>DELGADO DIANAH</v>
      </c>
      <c r="M175" s="224">
        <f t="shared" si="52"/>
        <v>9.6412037019035779E-3</v>
      </c>
      <c r="N175" s="225">
        <f t="shared" si="53"/>
        <v>13.883333330741152</v>
      </c>
      <c r="O175" s="225"/>
      <c r="P175" s="225"/>
      <c r="Q175" s="228"/>
      <c r="R175" s="242"/>
      <c r="S175" s="249">
        <f t="shared" si="54"/>
        <v>1</v>
      </c>
      <c r="T175" s="242" t="str">
        <f t="shared" si="55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56"/>
        <v>https://d0f6bd738d7f1b3e5a7ca70fe4ff75f0.us-east-1.aws.found.io/app/kibana#/discover/Steve-Slow-Train-Analysis-(2080s-and-2083s)?_g=(refreshInterval:(display:Off,pause:!f,section:0,value:0),time:(from:'2017-12-22T09:26:22-0700',mode:absolute,to:'2017-12-22T11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47" t="str">
        <f>IF(AA175&lt;VLOOKUP(AG175,Variables!$AC$3:$AD$8,2,FALSE),"Y","N")</f>
        <v>N</v>
      </c>
      <c r="X175" s="247">
        <f t="shared" si="88"/>
        <v>1</v>
      </c>
      <c r="Y175" s="247">
        <f>RIGHT(D175,LEN(D175)-4)/10000</f>
        <v>5.8616999999999999</v>
      </c>
      <c r="Z175" s="247">
        <f>RIGHT(H175,LEN(H175)-4)/10000</f>
        <v>1.5699999999999999E-2</v>
      </c>
      <c r="AA175" s="247">
        <f t="shared" si="60"/>
        <v>5.8460000000000001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1"/>
        <v>816</v>
      </c>
      <c r="AE175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75" s="234" t="str">
        <f t="shared" si="63"/>
        <v>"C:\Program Files (x86)\AstroGrep\AstroGrep.exe" /e /r /s /spath="%USERPROFILE%\AppData\Local\Temp\OnboardLogs" /stypes="app*4015*20171222*" /stext=" 17:.+((SYSTEM_STATE.+slice.+state.+changed )|(ment ac)|(multiple cpu faults)|(system.+state.+changed )|(\[timeout)|(PRM\|1\|D)|(kpr)|(kdp)|(train st.+moving)|(\|lc)|(penalty))"</v>
      </c>
      <c r="AG175" s="244" t="str">
        <f t="shared" si="64"/>
        <v>NW</v>
      </c>
      <c r="AH175" s="236" t="str">
        <f t="shared" si="65"/>
        <v>"%USERPROFILE%\Documents\GitHub\eaglep3\Utilities\RefineRTDCRunTimes.py" --tripid 816-22 --locoid 4015 --swversion DE.1.0.9.0 --startMP 300:58617 --initTime 2017-12-22T10:26:22 --startdatetime 2017-12-22T10:42:37 --delay 76 --endMP 204:157 --enddatetime 2017-12-22T10:56:30 --enforcementcount 0 &gt;&gt;%USERPROFILE%\Documents\GitHub\eaglep3-reporting\EC\2017-12-22-refined-times.txt</v>
      </c>
      <c r="AI175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{"issue":{"subject":"","project_id":79,"tracker_id":40,"status_id":1,"priority_id":2,"assigned_to_id":338,"start_date":"2017-12-22","description":"","custom_fields":[{"id":1,"name":"Subdivision","value":"NW"},{"id":4,"name":"Milepost","value":"0.0157"},{"id":17,"name":"Train ID","value":"816-22"},{"id":16,"name":"Locomotive ID","value":"4015"},{"id":130,"name":"Impact","value":""},{"id":150,"name":"Time of Event (Mountain Time)","value":"10:56:30"},{"id":151,"name":"Denver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67"/>
        <v>start /low /b %USERPROFILE%\Documents\GitHub\eaglep3\Utilities\DownloadLogsFromS3.py --loco 4015 --day 2017-12-22</v>
      </c>
      <c r="AN175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69"/>
        <v>https://d0f6bd738d7f1b3e5a7ca70fe4ff75f0.us-east-1.aws.found.io/app/kibana#/discover/Steve-Slow-Train-Analysis-(2080s-and-2083s)?_g=(refreshInterval:(display:Off,pause:!f,section:0,value:0),time:(from:'2017-12-22T09:26:22-0700',mode:absolute,to:'2017-12-22T11:56:30-0700'))&amp;_a=(columns:!('Message%20ID',Summary),filters:!(),index:'emp_*',interval:auto,query:(query_string:(analyze_wildcard:!t,query:'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762</v>
      </c>
      <c r="B176" s="225">
        <v>4016</v>
      </c>
      <c r="C176" s="227" t="s">
        <v>192</v>
      </c>
      <c r="D176" s="227" t="s">
        <v>904</v>
      </c>
      <c r="E176" s="226">
        <v>43091.462488425925</v>
      </c>
      <c r="F176" s="226">
        <v>43091.464074074072</v>
      </c>
      <c r="G176" s="225">
        <v>58</v>
      </c>
      <c r="H176" s="227" t="s">
        <v>904</v>
      </c>
      <c r="I176" s="226">
        <v>43091.464768518519</v>
      </c>
      <c r="J176" s="225">
        <v>0</v>
      </c>
      <c r="K176" s="237" t="str">
        <f t="shared" si="51"/>
        <v>4015/4016</v>
      </c>
      <c r="L176" s="245" t="str">
        <f>VLOOKUP(A176,'Trips&amp;Operators'!$C$1:$G$99911,5,FALSE)</f>
        <v>DELGADO DIANAH</v>
      </c>
      <c r="M176" s="224">
        <f t="shared" si="52"/>
        <v>6.944444467080757E-4</v>
      </c>
      <c r="N176" s="225"/>
      <c r="O176" s="225"/>
      <c r="P176" s="225">
        <f>24*60*SUM($M176:$M176)</f>
        <v>1.000000003259629</v>
      </c>
      <c r="Q176" s="228"/>
      <c r="R176" s="242" t="s">
        <v>585</v>
      </c>
      <c r="S176" s="249">
        <f t="shared" si="54"/>
        <v>0</v>
      </c>
      <c r="T176" s="242" t="str">
        <f t="shared" si="55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248" t="str">
        <f t="shared" si="56"/>
        <v>https://d0f6bd738d7f1b3e5a7ca70fe4ff75f0.us-east-1.aws.found.io/app/kibana#/discover/Steve-Slow-Train-Analysis-(2080s-and-2083s)?_g=(refreshInterval:(display:Off,pause:!f,section:0,value:0),time:(from:'2017-12-22T10:05:59-0700',mode:absolute,to:'2017-12-22T12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47" t="str">
        <f>IF(AA176&lt;VLOOKUP(AG176,Variables!$AC$3:$AD$8,2,FALSE),"Y","N")</f>
        <v>Y</v>
      </c>
      <c r="X176" s="247">
        <f t="shared" si="88"/>
        <v>1</v>
      </c>
      <c r="Y176" s="247">
        <f>RIGHT(D176,LEN(D176)-4)/10000</f>
        <v>4.5999999999999999E-2</v>
      </c>
      <c r="Z176" s="247">
        <f>RIGHT(H176,LEN(H176)-4)/10000</f>
        <v>4.5999999999999999E-2</v>
      </c>
      <c r="AA176" s="247">
        <f t="shared" si="60"/>
        <v>0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1"/>
        <v>817</v>
      </c>
      <c r="AE176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76" s="234" t="str">
        <f t="shared" si="63"/>
        <v>"C:\Program Files (x86)\AstroGrep\AstroGrep.exe" /e /r /s /spath="%USERPROFILE%\AppData\Local\Temp\OnboardLogs" /stypes="app*4016*20171222*" /stext=" 18:.+((SYSTEM_STATE.+slice.+state.+changed )|(ment ac)|(multiple cpu faults)|(system.+state.+changed )|(\[timeout)|(PRM\|1\|D)|(kpr)|(kdp)|(train st.+moving)|(\|lc)|(penalty))"</v>
      </c>
      <c r="AG176" s="244" t="str">
        <f t="shared" si="64"/>
        <v>NW</v>
      </c>
      <c r="AH176" s="236" t="str">
        <f t="shared" si="65"/>
        <v>"%USERPROFILE%\Documents\GitHub\eaglep3\Utilities\RefineRTDCRunTimes.py" --tripid 817-22 --locoid 4016 --swversion DE.1.0.9.0 --startMP 204:460 --initTime 2017-12-22T11:05:59 --startdatetime 2017-12-22T11:08:16 --delay 58 --endMP 204:460 --enddatetime 2017-12-22T11:09:16 --enforcementcount 0 &gt;&gt;%USERPROFILE%\Documents\GitHub\eaglep3-reporting\EC\2017-12-22-refined-times.txt</v>
      </c>
      <c r="AI176" s="238" t="str">
        <f t="shared" si="66"/>
        <v>echo {"issue":{"subject":"Onboard en route failure during init","project_id":79,"tracker_id":40,"status_id":1,"priority_id":2,"assigned_to_id":338,"start_date":"2017-12-22","description":"","custom_fields":[{"id":1,"name":"Subdivision","value":"NW"},{"id":4,"name":"Milepost","value":"0.046"},{"id":17,"name":"Train ID","value":"817-22"},{"id":16,"name":"Locomotive ID","value":"4016"},{"id":130,"name":"Impact","value":""},{"id":150,"name":"Time of Event (Mountain Time)","value":"11:09:16"},{"id":151,"name":"Denver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67"/>
        <v>start /low /b %USERPROFILE%\Documents\GitHub\eaglep3\Utilities\DownloadLogsFromS3.py --loco 4016 --day 2017-12-22</v>
      </c>
      <c r="AN176" s="241" t="str">
        <f t="shared" si="68"/>
        <v>echo {"issue":{"subject":"Onboard en route failure during init","project_id":30,"tracker_id":4,"status_id":1,"priority_id":1,"assigned_to_id":10,"start_date":"2017-12-22","description":"","custom_fields":[{"id":30,"name":"Category","value":"Issue"},{"id":3,"name":"Functional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69"/>
        <v>https://d0f6bd738d7f1b3e5a7ca70fe4ff75f0.us-east-1.aws.found.io/app/kibana#/discover/Steve-Slow-Train-Analysis-(2080s-and-2083s)?_g=(refreshInterval:(display:Off,pause:!f,section:0,value:0),time:(from:'2017-12-22T10:05:59-0700',mode:absolute,to:'2017-12-22T12:09:16-0700'))&amp;_a=(columns:!('Message%20ID',Summary),filters:!(),index:'emp_*',interval:auto,query:(query_string:(analyze_wildcard:!t,query:'%22rtdc.l.rtdc.4016%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771</v>
      </c>
      <c r="B177" s="225">
        <v>4015</v>
      </c>
      <c r="C177" s="227" t="s">
        <v>192</v>
      </c>
      <c r="D177" s="227" t="s">
        <v>571</v>
      </c>
      <c r="E177" s="226">
        <v>43091.478564814817</v>
      </c>
      <c r="F177" s="226">
        <v>43091.478564814817</v>
      </c>
      <c r="G177" s="225">
        <v>49</v>
      </c>
      <c r="H177" s="227" t="s">
        <v>571</v>
      </c>
      <c r="I177" s="226">
        <v>43091.479143518518</v>
      </c>
      <c r="J177" s="225">
        <v>0</v>
      </c>
      <c r="K177" s="237" t="str">
        <f t="shared" si="51"/>
        <v>4015/4016</v>
      </c>
      <c r="L177" s="245" t="str">
        <f>VLOOKUP(A177,'Trips&amp;Operators'!$C$1:$G$99911,5,FALSE)</f>
        <v>DELGADO DIANAH</v>
      </c>
      <c r="M177" s="224">
        <f t="shared" si="52"/>
        <v>5.7870370073942468E-4</v>
      </c>
      <c r="N177" s="225"/>
      <c r="O177" s="225"/>
      <c r="P177" s="225">
        <f>24*60*SUM($M177:$M177)</f>
        <v>0.83333332906477153</v>
      </c>
      <c r="Q177" s="228"/>
      <c r="R177" s="242" t="s">
        <v>585</v>
      </c>
      <c r="S177" s="249">
        <f t="shared" si="54"/>
        <v>0</v>
      </c>
      <c r="T177" s="242" t="str">
        <f t="shared" si="55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248" t="str">
        <f t="shared" si="56"/>
        <v>https://d0f6bd738d7f1b3e5a7ca70fe4ff75f0.us-east-1.aws.found.io/app/kibana#/discover/Steve-Slow-Train-Analysis-(2080s-and-2083s)?_g=(refreshInterval:(display:Off,pause:!f,section:0,value:0),time:(from:'2017-12-22T10:29:08-0700',mode:absolute,to:'2017-12-22T12:29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47" t="str">
        <f>IF(AA177&lt;VLOOKUP(AG177,Variables!$AC$3:$AD$8,2,FALSE),"Y","N")</f>
        <v>Y</v>
      </c>
      <c r="X177" s="247">
        <f t="shared" si="88"/>
        <v>1</v>
      </c>
      <c r="Y177" s="247">
        <f>RIGHT(D177,LEN(D177)-4)/10000</f>
        <v>5.8625999999999996</v>
      </c>
      <c r="Z177" s="247">
        <f>RIGHT(H177,LEN(H177)-4)/10000</f>
        <v>5.8625999999999996</v>
      </c>
      <c r="AA177" s="247">
        <f t="shared" si="60"/>
        <v>0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1"/>
        <v>818</v>
      </c>
      <c r="AE177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77" s="234" t="str">
        <f t="shared" si="63"/>
        <v>"C:\Program Files (x86)\AstroGrep\AstroGrep.exe" /e /r /s /spath="%USERPROFILE%\AppData\Local\Temp\OnboardLogs" /stypes="app*4015*20171222*" /stext=" 18:.+((SYSTEM_STATE.+slice.+state.+changed )|(ment ac)|(multiple cpu faults)|(system.+state.+changed )|(\[timeout)|(PRM\|1\|D)|(kpr)|(kdp)|(train st.+moving)|(\|lc)|(penalty))"</v>
      </c>
      <c r="AG177" s="244" t="str">
        <f t="shared" si="64"/>
        <v>NW</v>
      </c>
      <c r="AH177" s="236" t="str">
        <f t="shared" si="65"/>
        <v>"%USERPROFILE%\Documents\GitHub\eaglep3\Utilities\RefineRTDCRunTimes.py" --tripid 818-22 --locoid 4015 --swversion DE.1.0.9.0 --startMP 300:58626 --initTime 2017-12-22T11:29:08 --startdatetime 2017-12-22T11:29:08 --delay 49 --endMP 300:58626 --enddatetime 2017-12-22T11:29:58 --enforcementcount 0 &gt;&gt;%USERPROFILE%\Documents\GitHub\eaglep3-reporting\EC\2017-12-22-refined-times.txt</v>
      </c>
      <c r="AI177" s="238" t="str">
        <f t="shared" si="66"/>
        <v>echo {"issue":{"subject":"Onboard en route failure during init","project_id":79,"tracker_id":40,"status_id":1,"priority_id":2,"assigned_to_id":338,"start_date":"2017-12-22","description":"","custom_fields":[{"id":1,"name":"Subdivision","value":"NW"},{"id":4,"name":"Milepost","value":"5.8626"},{"id":17,"name":"Train ID","value":"818-22"},{"id":16,"name":"Locomotive ID","value":"4015"},{"id":130,"name":"Impact","value":""},{"id":150,"name":"Time of Event (Mountain Time)","value":"11:29:58"},{"id":151,"name":"Denver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67"/>
        <v>start /low /b %USERPROFILE%\Documents\GitHub\eaglep3\Utilities\DownloadLogsFromS3.py --loco 4015 --day 2017-12-22</v>
      </c>
      <c r="AN177" s="241" t="str">
        <f t="shared" si="68"/>
        <v>echo {"issue":{"subject":"Onboard en route failure during init","project_id":30,"tracker_id":4,"status_id":1,"priority_id":1,"assigned_to_id":10,"start_date":"2017-12-22","description":"","custom_fields":[{"id":30,"name":"Category","value":"Issue"},{"id":3,"name":"Functional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69"/>
        <v>https://d0f6bd738d7f1b3e5a7ca70fe4ff75f0.us-east-1.aws.found.io/app/kibana#/discover/Steve-Slow-Train-Analysis-(2080s-and-2083s)?_g=(refreshInterval:(display:Off,pause:!f,section:0,value:0),time:(from:'2017-12-22T10:29:08-0700',mode:absolute,to:'2017-12-22T12:29:58-0700'))&amp;_a=(columns:!('Message%20ID',Summary),filters:!(),index:'emp_*',interval:auto,query:(query_string:(analyze_wildcard:!t,query:'%22rtdc.l.rtdc.4015%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779</v>
      </c>
      <c r="B178" s="225">
        <v>4016</v>
      </c>
      <c r="C178" s="227" t="s">
        <v>192</v>
      </c>
      <c r="D178" s="227" t="s">
        <v>617</v>
      </c>
      <c r="E178" s="226">
        <v>43091.504201388889</v>
      </c>
      <c r="F178" s="226">
        <v>43091.506412037037</v>
      </c>
      <c r="G178" s="225">
        <v>88</v>
      </c>
      <c r="H178" s="227" t="s">
        <v>619</v>
      </c>
      <c r="I178" s="226">
        <v>43091.516157407408</v>
      </c>
      <c r="J178" s="225">
        <v>0</v>
      </c>
      <c r="K178" s="237" t="str">
        <f t="shared" si="51"/>
        <v>4015/4016</v>
      </c>
      <c r="L178" s="245" t="str">
        <f>VLOOKUP(A178,'Trips&amp;Operators'!$C$1:$G$99911,5,FALSE)</f>
        <v>DELGADO DIANAH</v>
      </c>
      <c r="M178" s="224">
        <f t="shared" si="52"/>
        <v>9.7453703710925765E-3</v>
      </c>
      <c r="N178" s="225">
        <f t="shared" ref="N178:N209" si="91">24*60*SUM($M178:$M178)</f>
        <v>14.03333333437331</v>
      </c>
      <c r="O178" s="225"/>
      <c r="P178" s="225"/>
      <c r="Q178" s="228"/>
      <c r="R178" s="242"/>
      <c r="S178" s="249">
        <f t="shared" si="54"/>
        <v>1</v>
      </c>
      <c r="T178" s="242" t="str">
        <f t="shared" si="55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56"/>
        <v>https://d0f6bd738d7f1b3e5a7ca70fe4ff75f0.us-east-1.aws.found.io/app/kibana#/discover/Steve-Slow-Train-Analysis-(2080s-and-2083s)?_g=(refreshInterval:(display:Off,pause:!f,section:0,value:0),time:(from:'2017-12-22T11:06:03-0700',mode:absolute,to:'2017-12-22T13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47" t="str">
        <f>IF(AA178&lt;VLOOKUP(AG178,Variables!$AC$3:$AD$8,2,FALSE),"Y","N")</f>
        <v>N</v>
      </c>
      <c r="X178" s="247">
        <f t="shared" si="88"/>
        <v>1</v>
      </c>
      <c r="Y178" s="247">
        <f>RIGHT(D178,LEN(D178)-4)/10000</f>
        <v>4.48E-2</v>
      </c>
      <c r="Z178" s="247">
        <f>RIGHT(H178,LEN(H178)-4)/10000</f>
        <v>5.8954000000000004</v>
      </c>
      <c r="AA178" s="247">
        <f t="shared" si="60"/>
        <v>5.8506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1"/>
        <v>819</v>
      </c>
      <c r="AE178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78" s="234" t="str">
        <f t="shared" si="63"/>
        <v>"C:\Program Files (x86)\AstroGrep\AstroGrep.exe" /e /r /s /spath="%USERPROFILE%\AppData\Local\Temp\OnboardLogs" /stypes="app*4016*20171222*" /stext=" 19:.+((SYSTEM_STATE.+slice.+state.+changed )|(ment ac)|(multiple cpu faults)|(system.+state.+changed )|(\[timeout)|(PRM\|1\|D)|(kpr)|(kdp)|(train st.+moving)|(\|lc)|(penalty))"</v>
      </c>
      <c r="AG178" s="244" t="str">
        <f t="shared" si="64"/>
        <v>NW</v>
      </c>
      <c r="AH178" s="236" t="str">
        <f t="shared" si="65"/>
        <v>"%USERPROFILE%\Documents\GitHub\eaglep3\Utilities\RefineRTDCRunTimes.py" --tripid 819-22 --locoid 4016 --swversion DE.1.0.9.0 --startMP 204:448 --initTime 2017-12-22T12:06:03 --startdatetime 2017-12-22T12:09:14 --delay 88 --endMP 300:58954 --enddatetime 2017-12-22T12:23:16 --enforcementcount 0 &gt;&gt;%USERPROFILE%\Documents\GitHub\eaglep3-reporting\EC\2017-12-22-refined-times.txt</v>
      </c>
      <c r="AI178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{"issue":{"subject":"","project_id":79,"tracker_id":40,"status_id":1,"priority_id":2,"assigned_to_id":338,"start_date":"2017-12-22","description":"","custom_fields":[{"id":1,"name":"Subdivision","value":"NW"},{"id":4,"name":"Milepost","value":"5.8954"},{"id":17,"name":"Train ID","value":"819-22"},{"id":16,"name":"Locomotive ID","value":"4016"},{"id":130,"name":"Impact","value":""},{"id":150,"name":"Time of Event (Mountain Time)","value":"12:23:16"},{"id":151,"name":"Denver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67"/>
        <v>start /low /b %USERPROFILE%\Documents\GitHub\eaglep3\Utilities\DownloadLogsFromS3.py --loco 4016 --day 2017-12-22</v>
      </c>
      <c r="AN178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69"/>
        <v>https://d0f6bd738d7f1b3e5a7ca70fe4ff75f0.us-east-1.aws.found.io/app/kibana#/discover/Steve-Slow-Train-Analysis-(2080s-and-2083s)?_g=(refreshInterval:(display:Off,pause:!f,section:0,value:0),time:(from:'2017-12-22T11:06:03-0700',mode:absolute,to:'2017-12-22T13:23:16-0700'))&amp;_a=(columns:!('Message%20ID',Summary),filters:!(),index:'emp_*',interval:auto,query:(query_string:(analyze_wildcard:!t,query:'%22rtdc.l.rtdc.4016%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783</v>
      </c>
      <c r="B179" s="225">
        <v>4015</v>
      </c>
      <c r="C179" s="227" t="s">
        <v>192</v>
      </c>
      <c r="D179" s="227" t="s">
        <v>570</v>
      </c>
      <c r="E179" s="226">
        <v>43091.517314814817</v>
      </c>
      <c r="F179" s="226">
        <v>43091.529942129629</v>
      </c>
      <c r="G179" s="225">
        <v>146</v>
      </c>
      <c r="H179" s="227" t="s">
        <v>1051</v>
      </c>
      <c r="I179" s="226">
        <v>43091.538831018515</v>
      </c>
      <c r="J179" s="225">
        <v>0</v>
      </c>
      <c r="K179" s="237" t="str">
        <f t="shared" si="51"/>
        <v>4015/4016</v>
      </c>
      <c r="L179" s="245" t="str">
        <f>VLOOKUP(A179,'Trips&amp;Operators'!$C$1:$G$99911,5,FALSE)</f>
        <v>DELGADO DIANAH</v>
      </c>
      <c r="M179" s="224">
        <f t="shared" si="52"/>
        <v>8.8888888858491555E-3</v>
      </c>
      <c r="N179" s="225">
        <f t="shared" si="91"/>
        <v>12.799999995622784</v>
      </c>
      <c r="O179" s="225"/>
      <c r="P179" s="225"/>
      <c r="Q179" s="228"/>
      <c r="R179" s="242"/>
      <c r="S179" s="249">
        <f t="shared" si="54"/>
        <v>1</v>
      </c>
      <c r="T179" s="242" t="str">
        <f t="shared" si="55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56"/>
        <v>https://d0f6bd738d7f1b3e5a7ca70fe4ff75f0.us-east-1.aws.found.io/app/kibana#/discover/Steve-Slow-Train-Analysis-(2080s-and-2083s)?_g=(refreshInterval:(display:Off,pause:!f,section:0,value:0),time:(from:'2017-12-22T11:24:56-0700',mode:absolute,to:'2017-12-22T13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47" t="str">
        <f>IF(AA179&lt;VLOOKUP(AG179,Variables!$AC$3:$AD$8,2,FALSE),"Y","N")</f>
        <v>N</v>
      </c>
      <c r="X179" s="247">
        <f t="shared" si="88"/>
        <v>1</v>
      </c>
      <c r="Y179" s="247">
        <f>RIGHT(D179,LEN(D179)-4)/10000</f>
        <v>5.8651</v>
      </c>
      <c r="Z179" s="247">
        <f>RIGHT(H179,LEN(H179)-4)/10000</f>
        <v>1.4800000000000001E-2</v>
      </c>
      <c r="AA179" s="247">
        <f t="shared" si="60"/>
        <v>5.8502999999999998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1"/>
        <v>820</v>
      </c>
      <c r="AE179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79" s="234" t="str">
        <f t="shared" si="63"/>
        <v>"C:\Program Files (x86)\AstroGrep\AstroGrep.exe" /e /r /s /spath="%USERPROFILE%\AppData\Local\Temp\OnboardLogs" /stypes="app*4015*20171222*" /stext=" 19:.+((SYSTEM_STATE.+slice.+state.+changed )|(ment ac)|(multiple cpu faults)|(system.+state.+changed )|(\[timeout)|(PRM\|1\|D)|(kpr)|(kdp)|(train st.+moving)|(\|lc)|(penalty))"</v>
      </c>
      <c r="AG179" s="244" t="str">
        <f t="shared" si="64"/>
        <v>NW</v>
      </c>
      <c r="AH179" s="236" t="str">
        <f t="shared" si="65"/>
        <v>"%USERPROFILE%\Documents\GitHub\eaglep3\Utilities\RefineRTDCRunTimes.py" --tripid 820-22 --locoid 4015 --swversion DE.1.0.9.0 --startMP 300:58651 --initTime 2017-12-22T12:24:56 --startdatetime 2017-12-22T12:43:07 --delay 146 --endMP 204:148 --enddatetime 2017-12-22T12:55:55 --enforcementcount 0 &gt;&gt;%USERPROFILE%\Documents\GitHub\eaglep3-reporting\EC\2017-12-22-refined-times.txt</v>
      </c>
      <c r="AI179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{"issue":{"subject":"","project_id":79,"tracker_id":40,"status_id":1,"priority_id":2,"assigned_to_id":338,"start_date":"2017-12-22","description":"","custom_fields":[{"id":1,"name":"Subdivision","value":"NW"},{"id":4,"name":"Milepost","value":"0.0148"},{"id":17,"name":"Train ID","value":"820-22"},{"id":16,"name":"Locomotive ID","value":"4015"},{"id":130,"name":"Impact","value":""},{"id":150,"name":"Time of Event (Mountain Time)","value":"12:55:55"},{"id":151,"name":"Denver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67"/>
        <v>start /low /b %USERPROFILE%\Documents\GitHub\eaglep3\Utilities\DownloadLogsFromS3.py --loco 4015 --day 2017-12-22</v>
      </c>
      <c r="AN179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19:55:55"},{"id":29,"name":"Sharepoint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69"/>
        <v>https://d0f6bd738d7f1b3e5a7ca70fe4ff75f0.us-east-1.aws.found.io/app/kibana#/discover/Steve-Slow-Train-Analysis-(2080s-and-2083s)?_g=(refreshInterval:(display:Off,pause:!f,section:0,value:0),time:(from:'2017-12-22T11:24:56-0700',mode:absolute,to:'2017-12-22T13:55:55-0700'))&amp;_a=(columns:!('Message%20ID',Summary),filters:!(),index:'emp_*',interval:auto,query:(query_string:(analyze_wildcard:!t,query:'%22rtdc.l.rtdc.4015%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788</v>
      </c>
      <c r="B180" s="225">
        <v>4016</v>
      </c>
      <c r="C180" s="227" t="s">
        <v>192</v>
      </c>
      <c r="D180" s="227" t="s">
        <v>570</v>
      </c>
      <c r="E180" s="226">
        <v>43091.517314814817</v>
      </c>
      <c r="F180" s="226">
        <v>43091.548298611109</v>
      </c>
      <c r="G180" s="225">
        <v>146</v>
      </c>
      <c r="H180" s="227" t="s">
        <v>1051</v>
      </c>
      <c r="I180" s="226">
        <v>43091.557951388888</v>
      </c>
      <c r="J180" s="225">
        <v>0</v>
      </c>
      <c r="K180" s="237" t="str">
        <f t="shared" si="51"/>
        <v>4015/4016</v>
      </c>
      <c r="L180" s="245" t="str">
        <f>VLOOKUP(A180,'Trips&amp;Operators'!$C$1:$G$99911,5,FALSE)</f>
        <v>WEST BRYAN</v>
      </c>
      <c r="M180" s="224">
        <f t="shared" si="52"/>
        <v>9.6527777786832303E-3</v>
      </c>
      <c r="N180" s="225">
        <f t="shared" si="91"/>
        <v>13.900000001303852</v>
      </c>
      <c r="O180" s="225"/>
      <c r="P180" s="225"/>
      <c r="Q180" s="228"/>
      <c r="R180" s="242"/>
      <c r="S180" s="249">
        <f t="shared" si="54"/>
        <v>1</v>
      </c>
      <c r="T180" s="242" t="str">
        <f t="shared" si="55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56"/>
        <v>https://d0f6bd738d7f1b3e5a7ca70fe4ff75f0.us-east-1.aws.found.io/app/kibana#/discover/Steve-Slow-Train-Analysis-(2080s-and-2083s)?_g=(refreshInterval:(display:Off,pause:!f,section:0,value:0),time:(from:'2017-12-22T11:24:56-0700',mode:absolute,to:'2017-12-22T14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47" t="str">
        <f>IF(AA180&lt;VLOOKUP(AG180,Variables!$AC$3:$AD$8,2,FALSE),"Y","N")</f>
        <v>N</v>
      </c>
      <c r="X180" s="247">
        <f t="shared" si="88"/>
        <v>1</v>
      </c>
      <c r="Y180" s="247">
        <v>6.4000000000000001E-2</v>
      </c>
      <c r="Z180" s="247">
        <v>5.8936999999999999</v>
      </c>
      <c r="AA180" s="247">
        <f t="shared" si="60"/>
        <v>5.8296999999999999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1"/>
        <v>821</v>
      </c>
      <c r="AE180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80" s="234" t="str">
        <f t="shared" si="63"/>
        <v>"C:\Program Files (x86)\AstroGrep\AstroGrep.exe" /e /r /s /spath="%USERPROFILE%\AppData\Local\Temp\OnboardLogs" /stypes="app*4016*20171222*" /stext=" 20:.+((SYSTEM_STATE.+slice.+state.+changed )|(ment ac)|(multiple cpu faults)|(system.+state.+changed )|(\[timeout)|(PRM\|1\|D)|(kpr)|(kdp)|(train st.+moving)|(\|lc)|(penalty))"</v>
      </c>
      <c r="AG180" s="244" t="str">
        <f t="shared" si="64"/>
        <v>NW</v>
      </c>
      <c r="AH180" s="236" t="str">
        <f t="shared" ref="AH180" si="92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821-22 --locoid 4016 --swversion DE.1.0.9.0 --startMP 300:58651 --initTime 2017-12-22T12:24:56 --startdatetime 2017-12-22T13:09:33 --delay 146 --endMP 204:148 --enddatetime 2017-12-22T13:23:27 --enforcementcount 0 &gt;&gt;%USERPROFILE%\Documents\GitHub\eaglep3-reporting\EC\2017-12-22-refined-times.txt</v>
      </c>
      <c r="AI180" s="238" t="str">
        <f t="shared" ref="AI180" si="93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{"issue":{"subject":"","project_id":79,"tracker_id":40,"status_id":1,"priority_id":2,"assigned_to_id":338,"start_date":"2017-12-22","description":"","custom_fields":[{"id":1,"name":"Subdivision","value":"NW"},{"id":4,"name":"Milepost","value":"5.8937"},{"id":17,"name":"Train ID","value":"821-22"},{"id":16,"name":"Locomotive ID","value":"4016"},{"id":130,"name":"Impact","value":""},{"id":150,"name":"Time of Event (Mountain Time)","value":"13:23:27"},{"id":151,"name":"Denver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ref="AM180" si="94">"start /low /b "&amp;dls3logs&amp;" --loco "&amp;B180&amp;" --day "&amp;TEXT(F180,"YYYY-MM-DD")</f>
        <v>start /low /b %USERPROFILE%\Documents\GitHub\eaglep3\Utilities\DownloadLogsFromS3.py --loco 4016 --day 2017-12-22</v>
      </c>
      <c r="AN180" s="241" t="str">
        <f t="shared" ref="AN180" si="95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ref="AO180" si="96"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-22T11:24:56-0700',mode:absolute,to:'2017-12-22T14:23:27-0700'))&amp;_a=(columns:!('Message%20ID',Summary),filters:!(),index:'emp_*',interval:auto,query:(query_string:(analyze_wildcard:!t,query:'%22rtdc.l.rtdc.4016%22')),sort:!(Time.ISO8601,asc))</v>
      </c>
    </row>
    <row r="181" spans="1:91" s="20" customFormat="1" x14ac:dyDescent="0.3">
      <c r="A181" s="229" t="s">
        <v>792</v>
      </c>
      <c r="B181" s="225">
        <v>4015</v>
      </c>
      <c r="C181" s="227" t="s">
        <v>192</v>
      </c>
      <c r="D181" s="227" t="s">
        <v>1046</v>
      </c>
      <c r="E181" s="226">
        <v>43091.560659722221</v>
      </c>
      <c r="F181" s="226">
        <v>43091.571631944447</v>
      </c>
      <c r="G181" s="225">
        <v>71</v>
      </c>
      <c r="H181" s="227" t="s">
        <v>1051</v>
      </c>
      <c r="I181" s="226">
        <v>43091.58017361111</v>
      </c>
      <c r="J181" s="225">
        <v>0</v>
      </c>
      <c r="K181" s="237" t="str">
        <f t="shared" si="51"/>
        <v>4015/4016</v>
      </c>
      <c r="L181" s="245" t="str">
        <f>VLOOKUP(A181,'Trips&amp;Operators'!$C$1:$G$99911,5,FALSE)</f>
        <v>WEST BRYAN</v>
      </c>
      <c r="M181" s="224">
        <f t="shared" si="52"/>
        <v>8.5416666624951176E-3</v>
      </c>
      <c r="N181" s="225">
        <f t="shared" si="91"/>
        <v>12.299999993992969</v>
      </c>
      <c r="O181" s="225"/>
      <c r="P181" s="225"/>
      <c r="Q181" s="228"/>
      <c r="R181" s="242"/>
      <c r="S181" s="249">
        <f t="shared" si="54"/>
        <v>1</v>
      </c>
      <c r="T181" s="242" t="str">
        <f t="shared" si="55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56"/>
        <v>https://d0f6bd738d7f1b3e5a7ca70fe4ff75f0.us-east-1.aws.found.io/app/kibana#/discover/Steve-Slow-Train-Analysis-(2080s-and-2083s)?_g=(refreshInterval:(display:Off,pause:!f,section:0,value:0),time:(from:'2017-12-22T12:27:21-0700',mode:absolute,to:'2017-12-22T14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47" t="str">
        <f>IF(AA181&lt;VLOOKUP(AG181,Variables!$AC$3:$AD$8,2,FALSE),"Y","N")</f>
        <v>N</v>
      </c>
      <c r="X181" s="247">
        <f t="shared" si="88"/>
        <v>1</v>
      </c>
      <c r="Y181" s="247">
        <f>RIGHT(D181,LEN(D181)-4)/10000</f>
        <v>5.8620999999999999</v>
      </c>
      <c r="Z181" s="247">
        <f>RIGHT(H181,LEN(H181)-4)/10000</f>
        <v>1.4800000000000001E-2</v>
      </c>
      <c r="AA181" s="247">
        <f t="shared" si="60"/>
        <v>5.8472999999999997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1"/>
        <v>822</v>
      </c>
      <c r="AE181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81" s="234" t="str">
        <f t="shared" si="63"/>
        <v>"C:\Program Files (x86)\AstroGrep\AstroGrep.exe" /e /r /s /spath="%USERPROFILE%\AppData\Local\Temp\OnboardLogs" /stypes="app*4015*20171222*" /stext=" 20:.+((SYSTEM_STATE.+slice.+state.+changed )|(ment ac)|(multiple cpu faults)|(system.+state.+changed )|(\[timeout)|(PRM\|1\|D)|(kpr)|(kdp)|(train st.+moving)|(\|lc)|(penalty))"</v>
      </c>
      <c r="AG181" s="244" t="str">
        <f t="shared" si="64"/>
        <v>NW</v>
      </c>
      <c r="AH181" s="236" t="str">
        <f t="shared" si="65"/>
        <v>"%USERPROFILE%\Documents\GitHub\eaglep3\Utilities\RefineRTDCRunTimes.py" --tripid 822-22 --locoid 4015 --swversion DE.1.0.9.0 --startMP 300:58621 --initTime 2017-12-22T13:27:21 --startdatetime 2017-12-22T13:43:09 --delay 71 --endMP 204:148 --enddatetime 2017-12-22T13:55:27 --enforcementcount 0 &gt;&gt;%USERPROFILE%\Documents\GitHub\eaglep3-reporting\EC\2017-12-22-refined-times.txt</v>
      </c>
      <c r="AI181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{"issue":{"subject":"","project_id":79,"tracker_id":40,"status_id":1,"priority_id":2,"assigned_to_id":338,"start_date":"2017-12-22","description":"","custom_fields":[{"id":1,"name":"Subdivision","value":"NW"},{"id":4,"name":"Milepost","value":"0.0148"},{"id":17,"name":"Train ID","value":"822-22"},{"id":16,"name":"Locomotive ID","value":"4015"},{"id":130,"name":"Impact","value":""},{"id":150,"name":"Time of Event (Mountain Time)","value":"13:55:27"},{"id":151,"name":"Denver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67"/>
        <v>start /low /b %USERPROFILE%\Documents\GitHub\eaglep3\Utilities\DownloadLogsFromS3.py --loco 4015 --day 2017-12-22</v>
      </c>
      <c r="AN181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69"/>
        <v>https://d0f6bd738d7f1b3e5a7ca70fe4ff75f0.us-east-1.aws.found.io/app/kibana#/discover/Steve-Slow-Train-Analysis-(2080s-and-2083s)?_g=(refreshInterval:(display:Off,pause:!f,section:0,value:0),time:(from:'2017-12-22T12:27:21-0700',mode:absolute,to:'2017-12-22T14:55:27-0700'))&amp;_a=(columns:!('Message%20ID',Summary),filters:!(),index:'emp_*',interval:auto,query:(query_string:(analyze_wildcard:!t,query:'%22rtdc.l.rtdc.4015%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797</v>
      </c>
      <c r="B182" s="225">
        <v>4016</v>
      </c>
      <c r="C182" s="227" t="s">
        <v>192</v>
      </c>
      <c r="D182" s="227" t="s">
        <v>1052</v>
      </c>
      <c r="E182" s="226">
        <v>43091.582256944443</v>
      </c>
      <c r="F182" s="226">
        <v>43091.589826388888</v>
      </c>
      <c r="G182" s="225">
        <v>71</v>
      </c>
      <c r="H182" s="227" t="s">
        <v>621</v>
      </c>
      <c r="I182" s="226">
        <v>43091.599814814814</v>
      </c>
      <c r="J182" s="225">
        <v>0</v>
      </c>
      <c r="K182" s="237" t="str">
        <f t="shared" si="51"/>
        <v>4015/4016</v>
      </c>
      <c r="L182" s="245" t="str">
        <f>VLOOKUP(A182,'Trips&amp;Operators'!$C$1:$G$99911,5,FALSE)</f>
        <v>WEST BRYAN</v>
      </c>
      <c r="M182" s="224">
        <f t="shared" si="52"/>
        <v>9.9884259252576157E-3</v>
      </c>
      <c r="N182" s="225">
        <f t="shared" si="91"/>
        <v>14.383333332370967</v>
      </c>
      <c r="O182" s="225"/>
      <c r="P182" s="225"/>
      <c r="Q182" s="228"/>
      <c r="R182" s="242"/>
      <c r="S182" s="249">
        <f t="shared" si="54"/>
        <v>1</v>
      </c>
      <c r="T182" s="242" t="str">
        <f t="shared" si="55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56"/>
        <v>https://d0f6bd738d7f1b3e5a7ca70fe4ff75f0.us-east-1.aws.found.io/app/kibana#/discover/Steve-Slow-Train-Analysis-(2080s-and-2083s)?_g=(refreshInterval:(display:Off,pause:!f,section:0,value:0),time:(from:'2017-12-22T12:58:27-0700',mode:absolute,to:'2017-12-22T15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47" t="str">
        <f>IF(AA182&lt;VLOOKUP(AG182,Variables!$AC$3:$AD$8,2,FALSE),"Y","N")</f>
        <v>N</v>
      </c>
      <c r="X182" s="247">
        <f t="shared" si="88"/>
        <v>1</v>
      </c>
      <c r="Y182" s="247">
        <f>RIGHT(D182,LEN(D182)-4)/10000</f>
        <v>4.5900000000000003E-2</v>
      </c>
      <c r="Z182" s="247">
        <f>RIGHT(H182,LEN(H182)-4)/10000</f>
        <v>5.8936999999999999</v>
      </c>
      <c r="AA182" s="247">
        <f t="shared" si="60"/>
        <v>5.8478000000000003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1"/>
        <v>823</v>
      </c>
      <c r="AE182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82" s="234" t="str">
        <f t="shared" si="63"/>
        <v>"C:\Program Files (x86)\AstroGrep\AstroGrep.exe" /e /r /s /spath="%USERPROFILE%\AppData\Local\Temp\OnboardLogs" /stypes="app*4016*20171222*" /stext=" 21:.+((SYSTEM_STATE.+slice.+state.+changed )|(ment ac)|(multiple cpu faults)|(system.+state.+changed )|(\[timeout)|(PRM\|1\|D)|(kpr)|(kdp)|(train st.+moving)|(\|lc)|(penalty))"</v>
      </c>
      <c r="AG182" s="244" t="str">
        <f t="shared" si="64"/>
        <v>NW</v>
      </c>
      <c r="AH182" s="236" t="str">
        <f t="shared" si="65"/>
        <v>"%USERPROFILE%\Documents\GitHub\eaglep3\Utilities\RefineRTDCRunTimes.py" --tripid 823-22 --locoid 4016 --swversion DE.1.0.9.0 --startMP 204:459 --initTime 2017-12-22T13:58:27 --startdatetime 2017-12-22T14:09:21 --delay 71 --endMP 300:58937 --enddatetime 2017-12-22T14:23:44 --enforcementcount 0 &gt;&gt;%USERPROFILE%\Documents\GitHub\eaglep3-reporting\EC\2017-12-22-refined-times.txt</v>
      </c>
      <c r="AI182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{"issue":{"subject":"","project_id":79,"tracker_id":40,"status_id":1,"priority_id":2,"assigned_to_id":338,"start_date":"2017-12-22","description":"","custom_fields":[{"id":1,"name":"Subdivision","value":"NW"},{"id":4,"name":"Milepost","value":"5.8937"},{"id":17,"name":"Train ID","value":"823-22"},{"id":16,"name":"Locomotive ID","value":"4016"},{"id":130,"name":"Impact","value":""},{"id":150,"name":"Time of Event (Mountain Time)","value":"14:23:44"},{"id":151,"name":"Denver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67"/>
        <v>start /low /b %USERPROFILE%\Documents\GitHub\eaglep3\Utilities\DownloadLogsFromS3.py --loco 4016 --day 2017-12-22</v>
      </c>
      <c r="AN182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69"/>
        <v>https://d0f6bd738d7f1b3e5a7ca70fe4ff75f0.us-east-1.aws.found.io/app/kibana#/discover/Steve-Slow-Train-Analysis-(2080s-and-2083s)?_g=(refreshInterval:(display:Off,pause:!f,section:0,value:0),time:(from:'2017-12-22T12:58:27-0700',mode:absolute,to:'2017-12-22T15:23:44-0700'))&amp;_a=(columns:!('Message%20ID',Summary),filters:!(),index:'emp_*',interval:auto,query:(query_string:(analyze_wildcard:!t,query:'%22rtdc.l.rtdc.4016%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801</v>
      </c>
      <c r="B183" s="225">
        <v>4015</v>
      </c>
      <c r="C183" s="227" t="s">
        <v>192</v>
      </c>
      <c r="D183" s="227" t="s">
        <v>1050</v>
      </c>
      <c r="E183" s="226">
        <v>43091.604224537034</v>
      </c>
      <c r="F183" s="226">
        <v>43091.613356481481</v>
      </c>
      <c r="G183" s="225">
        <v>65</v>
      </c>
      <c r="H183" s="227" t="s">
        <v>1053</v>
      </c>
      <c r="I183" s="226">
        <v>43091.621759259258</v>
      </c>
      <c r="J183" s="225">
        <v>0</v>
      </c>
      <c r="K183" s="237" t="str">
        <f t="shared" si="51"/>
        <v>4015/4016</v>
      </c>
      <c r="L183" s="245" t="str">
        <f>VLOOKUP(A183,'Trips&amp;Operators'!$C$1:$G$99911,5,FALSE)</f>
        <v>WEST BRYAN</v>
      </c>
      <c r="M183" s="224">
        <f t="shared" si="52"/>
        <v>8.4027777775190771E-3</v>
      </c>
      <c r="N183" s="225">
        <f t="shared" si="91"/>
        <v>12.099999999627471</v>
      </c>
      <c r="O183" s="225"/>
      <c r="P183" s="225"/>
      <c r="Q183" s="228"/>
      <c r="R183" s="242"/>
      <c r="S183" s="249">
        <f t="shared" si="54"/>
        <v>1</v>
      </c>
      <c r="T183" s="242" t="str">
        <f t="shared" si="55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56"/>
        <v>https://d0f6bd738d7f1b3e5a7ca70fe4ff75f0.us-east-1.aws.found.io/app/kibana#/discover/Steve-Slow-Train-Analysis-(2080s-and-2083s)?_g=(refreshInterval:(display:Off,pause:!f,section:0,value:0),time:(from:'2017-12-22T13:30:05-0700',mode:absolute,to:'2017-12-22T15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47" t="str">
        <f>IF(AA183&lt;VLOOKUP(AG183,Variables!$AC$3:$AD$8,2,FALSE),"Y","N")</f>
        <v>N</v>
      </c>
      <c r="X183" s="247">
        <f t="shared" si="88"/>
        <v>1</v>
      </c>
      <c r="Y183" s="247">
        <f>RIGHT(D183,LEN(D183)-4)/10000</f>
        <v>5.8616999999999999</v>
      </c>
      <c r="Z183" s="247">
        <f>RIGHT(H183,LEN(H183)-4)/10000</f>
        <v>1.5100000000000001E-2</v>
      </c>
      <c r="AA183" s="247">
        <f t="shared" si="60"/>
        <v>5.8465999999999996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1"/>
        <v>824</v>
      </c>
      <c r="AE183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83" s="234" t="str">
        <f t="shared" si="63"/>
        <v>"C:\Program Files (x86)\AstroGrep\AstroGrep.exe" /e /r /s /spath="%USERPROFILE%\AppData\Local\Temp\OnboardLogs" /stypes="app*4015*20171222*" /stext=" 21:.+((SYSTEM_STATE.+slice.+state.+changed )|(ment ac)|(multiple cpu faults)|(system.+state.+changed )|(\[timeout)|(PRM\|1\|D)|(kpr)|(kdp)|(train st.+moving)|(\|lc)|(penalty))"</v>
      </c>
      <c r="AG183" s="244" t="str">
        <f t="shared" si="64"/>
        <v>NW</v>
      </c>
      <c r="AH183" s="236" t="str">
        <f t="shared" si="65"/>
        <v>"%USERPROFILE%\Documents\GitHub\eaglep3\Utilities\RefineRTDCRunTimes.py" --tripid 824-22 --locoid 4015 --swversion DE.1.0.9.0 --startMP 300:58617 --initTime 2017-12-22T14:30:05 --startdatetime 2017-12-22T14:43:14 --delay 65 --endMP 204:151 --enddatetime 2017-12-22T14:55:20 --enforcementcount 0 &gt;&gt;%USERPROFILE%\Documents\GitHub\eaglep3-reporting\EC\2017-12-22-refined-times.txt</v>
      </c>
      <c r="AI183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{"issue":{"subject":"","project_id":79,"tracker_id":40,"status_id":1,"priority_id":2,"assigned_to_id":338,"start_date":"2017-12-22","description":"","custom_fields":[{"id":1,"name":"Subdivision","value":"NW"},{"id":4,"name":"Milepost","value":"0.0151"},{"id":17,"name":"Train ID","value":"824-22"},{"id":16,"name":"Locomotive ID","value":"4015"},{"id":130,"name":"Impact","value":""},{"id":150,"name":"Time of Event (Mountain Time)","value":"14:55:20"},{"id":151,"name":"Denver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67"/>
        <v>start /low /b %USERPROFILE%\Documents\GitHub\eaglep3\Utilities\DownloadLogsFromS3.py --loco 4015 --day 2017-12-22</v>
      </c>
      <c r="AN183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21:55:20"},{"id":29,"name":"Sharepoint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69"/>
        <v>https://d0f6bd738d7f1b3e5a7ca70fe4ff75f0.us-east-1.aws.found.io/app/kibana#/discover/Steve-Slow-Train-Analysis-(2080s-and-2083s)?_g=(refreshInterval:(display:Off,pause:!f,section:0,value:0),time:(from:'2017-12-22T13:30:05-0700',mode:absolute,to:'2017-12-22T15:55:20-0700'))&amp;_a=(columns:!('Message%20ID',Summary),filters:!(),index:'emp_*',interval:auto,query:(query_string:(analyze_wildcard:!t,query:'%22rtdc.l.rtdc.4015%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806</v>
      </c>
      <c r="B184" s="225">
        <v>4016</v>
      </c>
      <c r="C184" s="227" t="s">
        <v>192</v>
      </c>
      <c r="D184" s="227" t="s">
        <v>1050</v>
      </c>
      <c r="E184" s="226">
        <v>43091.604224537034</v>
      </c>
      <c r="F184" s="226">
        <v>43091.631527777776</v>
      </c>
      <c r="G184" s="225">
        <v>65</v>
      </c>
      <c r="H184" s="227" t="s">
        <v>1053</v>
      </c>
      <c r="I184" s="226">
        <v>43091.641504629632</v>
      </c>
      <c r="J184" s="225">
        <v>0</v>
      </c>
      <c r="K184" s="237" t="str">
        <f t="shared" si="51"/>
        <v>4015/4016</v>
      </c>
      <c r="L184" s="245" t="str">
        <f>VLOOKUP(A184,'Trips&amp;Operators'!$C$1:$G$99911,5,FALSE)</f>
        <v>WEST BRYAN</v>
      </c>
      <c r="M184" s="224">
        <f t="shared" si="52"/>
        <v>9.976851855753921E-3</v>
      </c>
      <c r="N184" s="225">
        <f t="shared" si="91"/>
        <v>14.366666672285646</v>
      </c>
      <c r="O184" s="225"/>
      <c r="P184" s="225"/>
      <c r="Q184" s="228"/>
      <c r="R184" s="242"/>
      <c r="S184" s="249">
        <f t="shared" si="54"/>
        <v>1</v>
      </c>
      <c r="T184" s="242" t="str">
        <f t="shared" si="55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56"/>
        <v>https://d0f6bd738d7f1b3e5a7ca70fe4ff75f0.us-east-1.aws.found.io/app/kibana#/discover/Steve-Slow-Train-Analysis-(2080s-and-2083s)?_g=(refreshInterval:(display:Off,pause:!f,section:0,value:0),time:(from:'2017-12-22T13:30:05-0700',mode:absolute,to:'2017-12-22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247" t="str">
        <f>IF(AA184&lt;VLOOKUP(AG184,Variables!$AC$3:$AD$8,2,FALSE),"Y","N")</f>
        <v>N</v>
      </c>
      <c r="X184" s="247">
        <f t="shared" si="88"/>
        <v>1</v>
      </c>
      <c r="Y184" s="247">
        <v>6.54E-2</v>
      </c>
      <c r="Z184" s="247">
        <v>5.8914</v>
      </c>
      <c r="AA184" s="247">
        <f t="shared" si="60"/>
        <v>5.8259999999999996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1"/>
        <v>825</v>
      </c>
      <c r="AE184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84" s="234" t="str">
        <f t="shared" si="63"/>
        <v>"C:\Program Files (x86)\AstroGrep\AstroGrep.exe" /e /r /s /spath="%USERPROFILE%\AppData\Local\Temp\OnboardLogs" /stypes="app*4016*20171222*" /stext=" 22:.+((SYSTEM_STATE.+slice.+state.+changed )|(ment ac)|(multiple cpu faults)|(system.+state.+changed )|(\[timeout)|(PRM\|1\|D)|(kpr)|(kdp)|(train st.+moving)|(\|lc)|(penalty))"</v>
      </c>
      <c r="AG184" s="244" t="str">
        <f t="shared" si="64"/>
        <v>NW</v>
      </c>
      <c r="AH184" s="236" t="str">
        <f t="shared" ref="AH184" si="97"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825-22 --locoid 4016 --swversion DE.1.0.9.0 --startMP 300:58617 --initTime 2017-12-22T14:30:05 --startdatetime 2017-12-22T15:09:24 --delay 65 --endMP 204:151 --enddatetime 2017-12-22T15:23:46 --enforcementcount 0 &gt;&gt;%USERPROFILE%\Documents\GitHub\eaglep3-reporting\EC\2017-12-22-refined-times.txt</v>
      </c>
      <c r="AI184" s="238" t="str">
        <f t="shared" ref="AI184" si="98"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{"issue":{"subject":"","project_id":79,"tracker_id":40,"status_id":1,"priority_id":2,"assigned_to_id":338,"start_date":"2017-12-22","description":"","custom_fields":[{"id":1,"name":"Subdivision","value":"NW"},{"id":4,"name":"Milepost","value":"5.8914"},{"id":17,"name":"Train ID","value":"825-22"},{"id":16,"name":"Locomotive ID","value":"4016"},{"id":130,"name":"Impact","value":""},{"id":150,"name":"Time of Event (Mountain Time)","value":"15:23:46"},{"id":151,"name":"Denver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ref="AM184" si="99">"start /low /b "&amp;dls3logs&amp;" --loco "&amp;B184&amp;" --day "&amp;TEXT(F184,"YYYY-MM-DD")</f>
        <v>start /low /b %USERPROFILE%\Documents\GitHub\eaglep3\Utilities\DownloadLogsFromS3.py --loco 4016 --day 2017-12-22</v>
      </c>
      <c r="AN184" s="241" t="str">
        <f t="shared" ref="AN184" si="100"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ref="AO184" si="101"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-22T13:30:05-0700',mode:absolute,to:'2017-12-22T16:23:46-0700'))&amp;_a=(columns:!('Message%20ID',Summary),filters:!(),index:'emp_*',interval:auto,query:(query_string:(analyze_wildcard:!t,query:'%22rtdc.l.rtdc.4016%22')),sort:!(Time.ISO8601,asc))</v>
      </c>
    </row>
    <row r="185" spans="1:91" s="223" customFormat="1" x14ac:dyDescent="0.3">
      <c r="A185" s="229" t="s">
        <v>813</v>
      </c>
      <c r="B185" s="225">
        <v>4015</v>
      </c>
      <c r="C185" s="227" t="s">
        <v>192</v>
      </c>
      <c r="D185" s="227" t="s">
        <v>1031</v>
      </c>
      <c r="E185" s="226">
        <v>43091.643368055556</v>
      </c>
      <c r="F185" s="226">
        <v>43091.655034722222</v>
      </c>
      <c r="G185" s="225">
        <v>69</v>
      </c>
      <c r="H185" s="227" t="s">
        <v>1048</v>
      </c>
      <c r="I185" s="226">
        <v>43091.663645833331</v>
      </c>
      <c r="J185" s="225">
        <v>0</v>
      </c>
      <c r="K185" s="237" t="str">
        <f t="shared" si="51"/>
        <v>4015/4016</v>
      </c>
      <c r="L185" s="245" t="str">
        <f>VLOOKUP(A185,'Trips&amp;Operators'!$C$1:$G$99911,5,FALSE)</f>
        <v>WEST BRYAN</v>
      </c>
      <c r="M185" s="224">
        <f t="shared" si="52"/>
        <v>8.6111111086211167E-3</v>
      </c>
      <c r="N185" s="225">
        <f t="shared" si="91"/>
        <v>12.399999996414408</v>
      </c>
      <c r="O185" s="225"/>
      <c r="P185" s="225"/>
      <c r="Q185" s="228"/>
      <c r="R185" s="242"/>
      <c r="S185" s="249">
        <f t="shared" si="54"/>
        <v>1</v>
      </c>
      <c r="T185" s="242" t="str">
        <f t="shared" si="55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56"/>
        <v>https://d0f6bd738d7f1b3e5a7ca70fe4ff75f0.us-east-1.aws.found.io/app/kibana#/discover/Steve-Slow-Train-Analysis-(2080s-and-2083s)?_g=(refreshInterval:(display:Off,pause:!f,section:0,value:0),time:(from:'2017-12-22T14:26:27-0700',mode:absolute,to:'2017-12-22T16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247" t="str">
        <f>IF(AA185&lt;VLOOKUP(AG185,Variables!$AC$3:$AD$8,2,FALSE),"Y","N")</f>
        <v>N</v>
      </c>
      <c r="X185" s="247">
        <f t="shared" si="88"/>
        <v>1</v>
      </c>
      <c r="Y185" s="247">
        <f>RIGHT(D185,LEN(D185)-4)/10000</f>
        <v>5.8609</v>
      </c>
      <c r="Z185" s="247">
        <f>RIGHT(H185,LEN(H185)-4)/10000</f>
        <v>1.29E-2</v>
      </c>
      <c r="AA185" s="247">
        <f t="shared" si="60"/>
        <v>5.8479999999999999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1"/>
        <v>826</v>
      </c>
      <c r="AE185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85" s="234" t="str">
        <f t="shared" si="63"/>
        <v>"C:\Program Files (x86)\AstroGrep\AstroGrep.exe" /e /r /s /spath="%USERPROFILE%\AppData\Local\Temp\OnboardLogs" /stypes="app*4015*20171222*" /stext=" 22:.+((SYSTEM_STATE.+slice.+state.+changed )|(ment ac)|(multiple cpu faults)|(system.+state.+changed )|(\[timeout)|(PRM\|1\|D)|(kpr)|(kdp)|(train st.+moving)|(\|lc)|(penalty))"</v>
      </c>
      <c r="AG185" s="244" t="str">
        <f t="shared" si="64"/>
        <v>NW</v>
      </c>
      <c r="AH185" s="236" t="str">
        <f t="shared" si="65"/>
        <v>"%USERPROFILE%\Documents\GitHub\eaglep3\Utilities\RefineRTDCRunTimes.py" --tripid 826-22 --locoid 4015 --swversion DE.1.0.9.0 --startMP 300:58609 --initTime 2017-12-22T15:26:27 --startdatetime 2017-12-22T15:43:15 --delay 69 --endMP 204:129 --enddatetime 2017-12-22T15:55:39 --enforcementcount 0 &gt;&gt;%USERPROFILE%\Documents\GitHub\eaglep3-reporting\EC\2017-12-22-refined-times.txt</v>
      </c>
      <c r="AI185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{"issue":{"subject":"","project_id":79,"tracker_id":40,"status_id":1,"priority_id":2,"assigned_to_id":338,"start_date":"2017-12-22","description":"","custom_fields":[{"id":1,"name":"Subdivision","value":"NW"},{"id":4,"name":"Milepost","value":"0.0129"},{"id":17,"name":"Train ID","value":"826-22"},{"id":16,"name":"Locomotive ID","value":"4015"},{"id":130,"name":"Impact","value":""},{"id":150,"name":"Time of Event (Mountain Time)","value":"15:55:39"},{"id":151,"name":"Denver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67"/>
        <v>start /low /b %USERPROFILE%\Documents\GitHub\eaglep3\Utilities\DownloadLogsFromS3.py --loco 4015 --day 2017-12-22</v>
      </c>
      <c r="AN185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69"/>
        <v>https://d0f6bd738d7f1b3e5a7ca70fe4ff75f0.us-east-1.aws.found.io/app/kibana#/discover/Steve-Slow-Train-Analysis-(2080s-and-2083s)?_g=(refreshInterval:(display:Off,pause:!f,section:0,value:0),time:(from:'2017-12-22T14:26:27-0700',mode:absolute,to:'2017-12-22T16:55:39-0700'))&amp;_a=(columns:!('Message%20ID',Summary),filters:!(),index:'emp_*',interval:auto,query:(query_string:(analyze_wildcard:!t,query:'%22rtdc.l.rtdc.4015%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814</v>
      </c>
      <c r="B186" s="225">
        <v>4042</v>
      </c>
      <c r="C186" s="227" t="s">
        <v>192</v>
      </c>
      <c r="D186" s="227" t="s">
        <v>1049</v>
      </c>
      <c r="E186" s="226">
        <v>43091.646354166667</v>
      </c>
      <c r="F186" s="226">
        <v>43091.652314814812</v>
      </c>
      <c r="G186" s="225">
        <v>73</v>
      </c>
      <c r="H186" s="227" t="s">
        <v>1045</v>
      </c>
      <c r="I186" s="226">
        <v>43091.662326388891</v>
      </c>
      <c r="J186" s="225">
        <v>0</v>
      </c>
      <c r="K186" s="237" t="str">
        <f t="shared" si="51"/>
        <v>4041/4042</v>
      </c>
      <c r="L186" s="245" t="str">
        <f>VLOOKUP(A186,'Trips&amp;Operators'!$C$1:$G$99911,5,FALSE)</f>
        <v>SMITH MICHAEL</v>
      </c>
      <c r="M186" s="224">
        <f t="shared" si="52"/>
        <v>1.0011574078816921E-2</v>
      </c>
      <c r="N186" s="225">
        <f t="shared" si="91"/>
        <v>14.416666673496366</v>
      </c>
      <c r="O186" s="225"/>
      <c r="P186" s="225"/>
      <c r="Q186" s="228"/>
      <c r="R186" s="242"/>
      <c r="S186" s="249">
        <f t="shared" si="54"/>
        <v>1</v>
      </c>
      <c r="T186" s="242" t="str">
        <f t="shared" si="55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56"/>
        <v>https://d0f6bd738d7f1b3e5a7ca70fe4ff75f0.us-east-1.aws.found.io/app/kibana#/discover/Steve-Slow-Train-Analysis-(2080s-and-2083s)?_g=(refreshInterval:(display:Off,pause:!f,section:0,value:0),time:(from:'2017-12-22T14:30:45-0700',mode:absolute,to:'2017-12-22T16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247" t="str">
        <f>IF(AA186&lt;VLOOKUP(AG186,Variables!$AC$3:$AD$8,2,FALSE),"Y","N")</f>
        <v>N</v>
      </c>
      <c r="X186" s="247">
        <f t="shared" si="88"/>
        <v>1</v>
      </c>
      <c r="Y186" s="247">
        <f>RIGHT(D186,LEN(D186)-4)/10000</f>
        <v>4.2599999999999999E-2</v>
      </c>
      <c r="Z186" s="247">
        <f>RIGHT(H186,LEN(H186)-4)/10000</f>
        <v>5.8940999999999999</v>
      </c>
      <c r="AA186" s="247">
        <f t="shared" si="60"/>
        <v>5.8514999999999997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1"/>
        <v>827</v>
      </c>
      <c r="AE186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86" s="234" t="str">
        <f t="shared" si="63"/>
        <v>"C:\Program Files (x86)\AstroGrep\AstroGrep.exe" /e /r /s /spath="%USERPROFILE%\AppData\Local\Temp\OnboardLogs" /stypes="app*4042*20171222*" /stext=" 22:.+((SYSTEM_STATE.+slice.+state.+changed )|(ment ac)|(multiple cpu faults)|(system.+state.+changed )|(\[timeout)|(PRM\|1\|D)|(kpr)|(kdp)|(train st.+moving)|(\|lc)|(penalty))"</v>
      </c>
      <c r="AG186" s="244" t="str">
        <f t="shared" si="64"/>
        <v>NW</v>
      </c>
      <c r="AH186" s="236" t="str">
        <f t="shared" si="65"/>
        <v>"%USERPROFILE%\Documents\GitHub\eaglep3\Utilities\RefineRTDCRunTimes.py" --tripid 827-22 --locoid 4042 --swversion DE.1.0.9.0 --startMP 204:426 --initTime 2017-12-22T15:30:45 --startdatetime 2017-12-22T15:39:20 --delay 73 --endMP 300:58941 --enddatetime 2017-12-22T15:53:45 --enforcementcount 0 &gt;&gt;%USERPROFILE%\Documents\GitHub\eaglep3-reporting\EC\2017-12-22-refined-times.txt</v>
      </c>
      <c r="AI186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{"issue":{"subject":"","project_id":79,"tracker_id":40,"status_id":1,"priority_id":2,"assigned_to_id":338,"start_date":"2017-12-22","description":"","custom_fields":[{"id":1,"name":"Subdivision","value":"NW"},{"id":4,"name":"Milepost","value":"5.8941"},{"id":17,"name":"Train ID","value":"827-22"},{"id":16,"name":"Locomotive ID","value":"4042"},{"id":130,"name":"Impact","value":""},{"id":150,"name":"Time of Event (Mountain Time)","value":"15:53:45"},{"id":151,"name":"Denver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67"/>
        <v>start /low /b %USERPROFILE%\Documents\GitHub\eaglep3\Utilities\DownloadLogsFromS3.py --loco 4042 --day 2017-12-22</v>
      </c>
      <c r="AN186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69"/>
        <v>https://d0f6bd738d7f1b3e5a7ca70fe4ff75f0.us-east-1.aws.found.io/app/kibana#/discover/Steve-Slow-Train-Analysis-(2080s-and-2083s)?_g=(refreshInterval:(display:Off,pause:!f,section:0,value:0),time:(from:'2017-12-22T14:30:45-0700',mode:absolute,to:'2017-12-22T16:53:45-0700'))&amp;_a=(columns:!('Message%20ID',Summary),filters:!(),index:'emp_*',interval:auto,query:(query_string:(analyze_wildcard:!t,query:'%22rtdc.l.rtdc.4042%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817</v>
      </c>
      <c r="B187" s="225">
        <v>4041</v>
      </c>
      <c r="C187" s="227" t="s">
        <v>192</v>
      </c>
      <c r="D187" s="227" t="s">
        <v>1049</v>
      </c>
      <c r="E187" s="226">
        <v>43091.646354166667</v>
      </c>
      <c r="F187" s="226">
        <v>43091.675798611112</v>
      </c>
      <c r="G187" s="225">
        <v>73</v>
      </c>
      <c r="H187" s="227" t="s">
        <v>1045</v>
      </c>
      <c r="I187" s="226">
        <v>43091.683993055558</v>
      </c>
      <c r="J187" s="225">
        <v>0</v>
      </c>
      <c r="K187" s="237" t="str">
        <f t="shared" si="51"/>
        <v>4041/4042</v>
      </c>
      <c r="L187" s="245" t="str">
        <f>VLOOKUP(A187,'Trips&amp;Operators'!$C$1:$G$99911,5,FALSE)</f>
        <v>SMITH MICHAEL</v>
      </c>
      <c r="M187" s="224">
        <f t="shared" si="52"/>
        <v>8.1944444464170374E-3</v>
      </c>
      <c r="N187" s="225">
        <f t="shared" si="91"/>
        <v>11.800000002840534</v>
      </c>
      <c r="O187" s="225"/>
      <c r="P187" s="225"/>
      <c r="Q187" s="228"/>
      <c r="R187" s="242"/>
      <c r="S187" s="249">
        <f t="shared" si="54"/>
        <v>1</v>
      </c>
      <c r="T187" s="242" t="str">
        <f t="shared" si="55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56"/>
        <v>https://d0f6bd738d7f1b3e5a7ca70fe4ff75f0.us-east-1.aws.found.io/app/kibana#/discover/Steve-Slow-Train-Analysis-(2080s-and-2083s)?_g=(refreshInterval:(display:Off,pause:!f,section:0,value:0),time:(from:'2017-12-22T14:30:45-0700',mode:absolute,to:'2017-12-22T17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247" t="str">
        <f>IF(AA187&lt;VLOOKUP(AG187,Variables!$AC$3:$AD$8,2,FALSE),"Y","N")</f>
        <v>N</v>
      </c>
      <c r="X187" s="247">
        <f t="shared" si="88"/>
        <v>1</v>
      </c>
      <c r="Y187" s="247">
        <v>5.8512000000000004</v>
      </c>
      <c r="Z187" s="247">
        <v>1.3299999999999999E-2</v>
      </c>
      <c r="AA187" s="247">
        <f t="shared" si="60"/>
        <v>5.8379000000000003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1"/>
        <v>828</v>
      </c>
      <c r="AE187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87" s="234" t="str">
        <f t="shared" si="63"/>
        <v>"C:\Program Files (x86)\AstroGrep\AstroGrep.exe" /e /r /s /spath="%USERPROFILE%\AppData\Local\Temp\OnboardLogs" /stypes="app*4041*20171222*" /stext=" 23:.+((SYSTEM_STATE.+slice.+state.+changed )|(ment ac)|(multiple cpu faults)|(system.+state.+changed )|(\[timeout)|(PRM\|1\|D)|(kpr)|(kdp)|(train st.+moving)|(\|lc)|(penalty))"</v>
      </c>
      <c r="AG187" s="244" t="str">
        <f t="shared" si="64"/>
        <v>NW</v>
      </c>
      <c r="AH187" s="236" t="str">
        <f t="shared" ref="AH187" si="102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828-22 --locoid 4041 --swversion DE.1.0.9.0 --startMP 204:426 --initTime 2017-12-22T15:30:45 --startdatetime 2017-12-22T16:13:09 --delay 73 --endMP 300:58941 --enddatetime 2017-12-22T16:24:57 --enforcementcount 0 &gt;&gt;%USERPROFILE%\Documents\GitHub\eaglep3-reporting\EC\2017-12-22-refined-times.txt</v>
      </c>
      <c r="AI187" s="238" t="str">
        <f t="shared" ref="AI187" si="103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{"issue":{"subject":"","project_id":79,"tracker_id":40,"status_id":1,"priority_id":2,"assigned_to_id":338,"start_date":"2017-12-22","description":"","custom_fields":[{"id":1,"name":"Subdivision","value":"NW"},{"id":4,"name":"Milepost","value":"0.0133"},{"id":17,"name":"Train ID","value":"828-22"},{"id":16,"name":"Locomotive ID","value":"4041"},{"id":130,"name":"Impact","value":""},{"id":150,"name":"Time of Event (Mountain Time)","value":"16:24:57"},{"id":151,"name":"Denver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ref="AM187" si="104">"start /low /b "&amp;dls3logs&amp;" --loco "&amp;B187&amp;" --day "&amp;TEXT(F187,"YYYY-MM-DD")</f>
        <v>start /low /b %USERPROFILE%\Documents\GitHub\eaglep3\Utilities\DownloadLogsFromS3.py --loco 4041 --day 2017-12-22</v>
      </c>
      <c r="AN187" s="241" t="str">
        <f t="shared" ref="AN187" si="105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ref="AO187" si="106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-22T14:30:45-0700',mode:absolute,to:'2017-12-22T17:24:57-0700'))&amp;_a=(columns:!('Message%20ID',Summary),filters:!(),index:'emp_*',interval:auto,query:(query_string:(analyze_wildcard:!t,query:'%22rtdc.l.rtdc.4041%22')),sort:!(Time.ISO8601,asc))</v>
      </c>
    </row>
    <row r="188" spans="1:91" s="20" customFormat="1" x14ac:dyDescent="0.3">
      <c r="A188" s="229" t="s">
        <v>819</v>
      </c>
      <c r="B188" s="225">
        <v>4016</v>
      </c>
      <c r="C188" s="227" t="s">
        <v>192</v>
      </c>
      <c r="D188" s="227" t="s">
        <v>1047</v>
      </c>
      <c r="E188" s="226">
        <v>43091.665648148148</v>
      </c>
      <c r="F188" s="226">
        <v>43091.673194444447</v>
      </c>
      <c r="G188" s="225">
        <v>70</v>
      </c>
      <c r="H188" s="227" t="s">
        <v>1054</v>
      </c>
      <c r="I188" s="226">
        <v>43091.683518518519</v>
      </c>
      <c r="J188" s="225">
        <v>0</v>
      </c>
      <c r="K188" s="237" t="str">
        <f t="shared" si="51"/>
        <v>4015/4016</v>
      </c>
      <c r="L188" s="245" t="str">
        <f>VLOOKUP(A188,'Trips&amp;Operators'!$C$1:$G$99911,5,FALSE)</f>
        <v>WEST BRYAN</v>
      </c>
      <c r="M188" s="224">
        <f t="shared" si="52"/>
        <v>1.0324074071832001E-2</v>
      </c>
      <c r="N188" s="225">
        <f t="shared" si="91"/>
        <v>14.866666663438082</v>
      </c>
      <c r="O188" s="225"/>
      <c r="P188" s="225"/>
      <c r="Q188" s="228"/>
      <c r="R188" s="242"/>
      <c r="S188" s="249">
        <f t="shared" si="54"/>
        <v>1</v>
      </c>
      <c r="T188" s="242" t="str">
        <f t="shared" si="55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56"/>
        <v>https://d0f6bd738d7f1b3e5a7ca70fe4ff75f0.us-east-1.aws.found.io/app/kibana#/discover/Steve-Slow-Train-Analysis-(2080s-and-2083s)?_g=(refreshInterval:(display:Off,pause:!f,section:0,value:0),time:(from:'2017-12-22T14:58:32-0700',mode:absolute,to:'2017-12-22T17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247" t="str">
        <f>IF(AA188&lt;VLOOKUP(AG188,Variables!$AC$3:$AD$8,2,FALSE),"Y","N")</f>
        <v>N</v>
      </c>
      <c r="X188" s="247">
        <f t="shared" si="88"/>
        <v>1</v>
      </c>
      <c r="Y188" s="247">
        <f>RIGHT(D188,LEN(D188)-4)/10000</f>
        <v>4.3700000000000003E-2</v>
      </c>
      <c r="Z188" s="247">
        <f>RIGHT(H188,LEN(H188)-4)/10000</f>
        <v>5.8935000000000004</v>
      </c>
      <c r="AA188" s="247">
        <f t="shared" si="60"/>
        <v>5.8498000000000001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1"/>
        <v>829</v>
      </c>
      <c r="AE188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88" s="234" t="str">
        <f t="shared" si="63"/>
        <v>"C:\Program Files (x86)\AstroGrep\AstroGrep.exe" /e /r /s /spath="%USERPROFILE%\AppData\Local\Temp\OnboardLogs" /stypes="app*4016*20171222*" /stext=" 23:.+((SYSTEM_STATE.+slice.+state.+changed )|(ment ac)|(multiple cpu faults)|(system.+state.+changed )|(\[timeout)|(PRM\|1\|D)|(kpr)|(kdp)|(train st.+moving)|(\|lc)|(penalty))"</v>
      </c>
      <c r="AG188" s="244" t="str">
        <f t="shared" si="64"/>
        <v>NW</v>
      </c>
      <c r="AH188" s="236" t="str">
        <f t="shared" si="65"/>
        <v>"%USERPROFILE%\Documents\GitHub\eaglep3\Utilities\RefineRTDCRunTimes.py" --tripid 829-22 --locoid 4016 --swversion DE.1.0.9.0 --startMP 204:437 --initTime 2017-12-22T15:58:32 --startdatetime 2017-12-22T16:09:24 --delay 70 --endMP 300:58935 --enddatetime 2017-12-22T16:24:16 --enforcementcount 0 &gt;&gt;%USERPROFILE%\Documents\GitHub\eaglep3-reporting\EC\2017-12-22-refined-times.txt</v>
      </c>
      <c r="AI188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{"issue":{"subject":"","project_id":79,"tracker_id":40,"status_id":1,"priority_id":2,"assigned_to_id":338,"start_date":"2017-12-22","description":"","custom_fields":[{"id":1,"name":"Subdivision","value":"NW"},{"id":4,"name":"Milepost","value":"5.8935"},{"id":17,"name":"Train ID","value":"829-22"},{"id":16,"name":"Locomotive ID","value":"4016"},{"id":130,"name":"Impact","value":""},{"id":150,"name":"Time of Event (Mountain Time)","value":"16:24:16"},{"id":151,"name":"Denver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67"/>
        <v>start /low /b %USERPROFILE%\Documents\GitHub\eaglep3\Utilities\DownloadLogsFromS3.py --loco 4016 --day 2017-12-22</v>
      </c>
      <c r="AN188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69"/>
        <v>https://d0f6bd738d7f1b3e5a7ca70fe4ff75f0.us-east-1.aws.found.io/app/kibana#/discover/Steve-Slow-Train-Analysis-(2080s-and-2083s)?_g=(refreshInterval:(display:Off,pause:!f,section:0,value:0),time:(from:'2017-12-22T14:58:32-0700',mode:absolute,to:'2017-12-22T17:24:16-0700'))&amp;_a=(columns:!('Message%20ID',Summary),filters:!(),index:'emp_*',interval:auto,query:(query_string:(analyze_wildcard:!t,query:'%22rtdc.l.rtdc.4016%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827</v>
      </c>
      <c r="B189" s="225">
        <v>4015</v>
      </c>
      <c r="C189" s="227" t="s">
        <v>192</v>
      </c>
      <c r="D189" s="227" t="s">
        <v>1043</v>
      </c>
      <c r="E189" s="226">
        <v>43091.687800925924</v>
      </c>
      <c r="F189" s="226">
        <v>43091.696666666663</v>
      </c>
      <c r="G189" s="225">
        <v>54</v>
      </c>
      <c r="H189" s="227" t="s">
        <v>622</v>
      </c>
      <c r="I189" s="226">
        <v>43091.705520833333</v>
      </c>
      <c r="J189" s="225">
        <v>0</v>
      </c>
      <c r="K189" s="237" t="str">
        <f t="shared" si="51"/>
        <v>4015/4016</v>
      </c>
      <c r="L189" s="245" t="str">
        <f>VLOOKUP(A189,'Trips&amp;Operators'!$C$1:$G$99911,5,FALSE)</f>
        <v>WEST BRYAN</v>
      </c>
      <c r="M189" s="224">
        <f t="shared" si="52"/>
        <v>8.8541666700621136E-3</v>
      </c>
      <c r="N189" s="225">
        <f t="shared" si="91"/>
        <v>12.750000004889444</v>
      </c>
      <c r="O189" s="225"/>
      <c r="P189" s="225"/>
      <c r="Q189" s="228"/>
      <c r="R189" s="242"/>
      <c r="S189" s="249">
        <f t="shared" si="54"/>
        <v>1</v>
      </c>
      <c r="T189" s="242" t="str">
        <f t="shared" si="55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56"/>
        <v>https://d0f6bd738d7f1b3e5a7ca70fe4ff75f0.us-east-1.aws.found.io/app/kibana#/discover/Steve-Slow-Train-Analysis-(2080s-and-2083s)?_g=(refreshInterval:(display:Off,pause:!f,section:0,value:0),time:(from:'2017-12-22T15:30:26-0700',mode:absolute,to:'2017-12-22T17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247" t="str">
        <f>IF(AA189&lt;VLOOKUP(AG189,Variables!$AC$3:$AD$8,2,FALSE),"Y","N")</f>
        <v>N</v>
      </c>
      <c r="X189" s="247">
        <f t="shared" si="88"/>
        <v>1</v>
      </c>
      <c r="Y189" s="247">
        <f>RIGHT(D189,LEN(D189)-4)/10000</f>
        <v>5.8613</v>
      </c>
      <c r="Z189" s="247">
        <f>RIGHT(H189,LEN(H189)-4)/10000</f>
        <v>1.38E-2</v>
      </c>
      <c r="AA189" s="247">
        <f t="shared" si="60"/>
        <v>5.8475000000000001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1"/>
        <v>830</v>
      </c>
      <c r="AE189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89" s="234" t="str">
        <f t="shared" si="63"/>
        <v>"C:\Program Files (x86)\AstroGrep\AstroGrep.exe" /e /r /s /spath="%USERPROFILE%\AppData\Local\Temp\OnboardLogs" /stypes="app*4015*20171222*" /stext=" 23:.+((SYSTEM_STATE.+slice.+state.+changed )|(ment ac)|(multiple cpu faults)|(system.+state.+changed )|(\[timeout)|(PRM\|1\|D)|(kpr)|(kdp)|(train st.+moving)|(\|lc)|(penalty))"</v>
      </c>
      <c r="AG189" s="244" t="str">
        <f t="shared" si="64"/>
        <v>NW</v>
      </c>
      <c r="AH189" s="236" t="str">
        <f t="shared" si="65"/>
        <v>"%USERPROFILE%\Documents\GitHub\eaglep3\Utilities\RefineRTDCRunTimes.py" --tripid 830-22 --locoid 4015 --swversion DE.1.0.9.0 --startMP 300:58613 --initTime 2017-12-22T16:30:26 --startdatetime 2017-12-22T16:43:12 --delay 54 --endMP 204:138 --enddatetime 2017-12-22T16:55:57 --enforcementcount 0 &gt;&gt;%USERPROFILE%\Documents\GitHub\eaglep3-reporting\EC\2017-12-22-refined-times.txt</v>
      </c>
      <c r="AI189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{"issue":{"subject":"","project_id":79,"tracker_id":40,"status_id":1,"priority_id":2,"assigned_to_id":338,"start_date":"2017-12-22","description":"","custom_fields":[{"id":1,"name":"Subdivision","value":"NW"},{"id":4,"name":"Milepost","value":"0.0138"},{"id":17,"name":"Train ID","value":"830-22"},{"id":16,"name":"Locomotive ID","value":"4015"},{"id":130,"name":"Impact","value":""},{"id":150,"name":"Time of Event (Mountain Time)","value":"16:55:57"},{"id":151,"name":"Denver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67"/>
        <v>start /low /b %USERPROFILE%\Documents\GitHub\eaglep3\Utilities\DownloadLogsFromS3.py --loco 4015 --day 2017-12-22</v>
      </c>
      <c r="AN189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69"/>
        <v>https://d0f6bd738d7f1b3e5a7ca70fe4ff75f0.us-east-1.aws.found.io/app/kibana#/discover/Steve-Slow-Train-Analysis-(2080s-and-2083s)?_g=(refreshInterval:(display:Off,pause:!f,section:0,value:0),time:(from:'2017-12-22T15:30:26-0700',mode:absolute,to:'2017-12-22T17:55:57-0700'))&amp;_a=(columns:!('Message%20ID',Summary),filters:!(),index:'emp_*',interval:auto,query:(query_string:(analyze_wildcard:!t,query:'%22rtdc.l.rtdc.4015%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826</v>
      </c>
      <c r="B190" s="225">
        <v>4042</v>
      </c>
      <c r="C190" s="227" t="s">
        <v>192</v>
      </c>
      <c r="D190" s="227" t="s">
        <v>1043</v>
      </c>
      <c r="E190" s="226">
        <v>43091.687800925924</v>
      </c>
      <c r="F190" s="226">
        <v>43091.693958333337</v>
      </c>
      <c r="G190" s="225">
        <v>54</v>
      </c>
      <c r="H190" s="227" t="s">
        <v>622</v>
      </c>
      <c r="I190" s="226">
        <v>43091.703402777777</v>
      </c>
      <c r="J190" s="225">
        <v>0</v>
      </c>
      <c r="K190" s="237" t="str">
        <f t="shared" si="51"/>
        <v>4041/4042</v>
      </c>
      <c r="L190" s="245" t="str">
        <f>VLOOKUP(A190,'Trips&amp;Operators'!$C$1:$G$99911,5,FALSE)</f>
        <v>SMITH MICHAEL</v>
      </c>
      <c r="M190" s="224">
        <f t="shared" si="52"/>
        <v>9.444444440305233E-3</v>
      </c>
      <c r="N190" s="225">
        <f t="shared" si="91"/>
        <v>13.599999994039536</v>
      </c>
      <c r="O190" s="225"/>
      <c r="P190" s="225"/>
      <c r="Q190" s="228"/>
      <c r="R190" s="242"/>
      <c r="S190" s="249">
        <f t="shared" si="54"/>
        <v>1</v>
      </c>
      <c r="T190" s="242" t="str">
        <f t="shared" si="55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56"/>
        <v>https://d0f6bd738d7f1b3e5a7ca70fe4ff75f0.us-east-1.aws.found.io/app/kibana#/discover/Steve-Slow-Train-Analysis-(2080s-and-2083s)?_g=(refreshInterval:(display:Off,pause:!f,section:0,value:0),time:(from:'2017-12-22T15:30:26-0700',mode:absolute,to:'2017-12-22T17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247" t="str">
        <f>IF(AA190&lt;VLOOKUP(AG190,Variables!$AC$3:$AD$8,2,FALSE),"Y","N")</f>
        <v>N</v>
      </c>
      <c r="X190" s="247">
        <f t="shared" si="88"/>
        <v>1</v>
      </c>
      <c r="Y190" s="247">
        <v>6.0699999999999997E-2</v>
      </c>
      <c r="Z190" s="247">
        <v>5.8118999999999996</v>
      </c>
      <c r="AA190" s="247">
        <f t="shared" si="60"/>
        <v>5.7511999999999999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1"/>
        <v>831</v>
      </c>
      <c r="AE190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90" s="234" t="str">
        <f t="shared" si="63"/>
        <v>"C:\Program Files (x86)\AstroGrep\AstroGrep.exe" /e /r /s /spath="%USERPROFILE%\AppData\Local\Temp\OnboardLogs" /stypes="app*4042*20171222*" /stext=" 23:.+((SYSTEM_STATE.+slice.+state.+changed )|(ment ac)|(multiple cpu faults)|(system.+state.+changed )|(\[timeout)|(PRM\|1\|D)|(kpr)|(kdp)|(train st.+moving)|(\|lc)|(penalty))"</v>
      </c>
      <c r="AG190" s="244" t="str">
        <f t="shared" si="64"/>
        <v>NW</v>
      </c>
      <c r="AH190" s="236" t="str">
        <f t="shared" ref="AH190" si="107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831-22 --locoid 4042 --swversion DE.1.0.9.0 --startMP 300:58613 --initTime 2017-12-22T16:30:26 --startdatetime 2017-12-22T16:39:18 --delay 54 --endMP 204:138 --enddatetime 2017-12-22T16:52:54 --enforcementcount 0 &gt;&gt;%USERPROFILE%\Documents\GitHub\eaglep3-reporting\EC\2017-12-22-refined-times.txt</v>
      </c>
      <c r="AI190" s="238" t="str">
        <f t="shared" ref="AI190" si="108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{"issue":{"subject":"","project_id":79,"tracker_id":40,"status_id":1,"priority_id":2,"assigned_to_id":338,"start_date":"2017-12-22","description":"","custom_fields":[{"id":1,"name":"Subdivision","value":"NW"},{"id":4,"name":"Milepost","value":"5.8119"},{"id":17,"name":"Train ID","value":"831-22"},{"id":16,"name":"Locomotive ID","value":"4042"},{"id":130,"name":"Impact","value":""},{"id":150,"name":"Time of Event (Mountain Time)","value":"16:52:54"},{"id":151,"name":"Denver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ref="AM190" si="109">"start /low /b "&amp;dls3logs&amp;" --loco "&amp;B190&amp;" --day "&amp;TEXT(F190,"YYYY-MM-DD")</f>
        <v>start /low /b %USERPROFILE%\Documents\GitHub\eaglep3\Utilities\DownloadLogsFromS3.py --loco 4042 --day 2017-12-22</v>
      </c>
      <c r="AN190" s="241" t="str">
        <f t="shared" ref="AN190" si="110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ref="AO190" si="111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-22T15:30:26-0700',mode:absolute,to:'2017-12-22T17:52:54-0700'))&amp;_a=(columns:!('Message%20ID',Summary),filters:!(),index:'emp_*',interval:auto,query:(query_string:(analyze_wildcard:!t,query:'%22rtdc.l.rtdc.4042%22')),sort:!(Time.ISO8601,asc))</v>
      </c>
    </row>
    <row r="191" spans="1:91" s="20" customFormat="1" x14ac:dyDescent="0.3">
      <c r="A191" s="229" t="s">
        <v>831</v>
      </c>
      <c r="B191" s="225">
        <v>4041</v>
      </c>
      <c r="C191" s="227" t="s">
        <v>192</v>
      </c>
      <c r="D191" s="227" t="s">
        <v>1055</v>
      </c>
      <c r="E191" s="226">
        <v>43091.705324074072</v>
      </c>
      <c r="F191" s="226">
        <v>43091.717476851853</v>
      </c>
      <c r="G191" s="225">
        <v>99</v>
      </c>
      <c r="H191" s="227" t="s">
        <v>535</v>
      </c>
      <c r="I191" s="226">
        <v>43091.726585648146</v>
      </c>
      <c r="J191" s="225">
        <v>0</v>
      </c>
      <c r="K191" s="237" t="str">
        <f t="shared" si="51"/>
        <v>4041/4042</v>
      </c>
      <c r="L191" s="245" t="str">
        <f>VLOOKUP(A191,'Trips&amp;Operators'!$C$1:$G$99911,5,FALSE)</f>
        <v>SMITH MICHAEL</v>
      </c>
      <c r="M191" s="224">
        <f t="shared" si="52"/>
        <v>9.1087962937308475E-3</v>
      </c>
      <c r="N191" s="225">
        <f t="shared" si="91"/>
        <v>13.11666666297242</v>
      </c>
      <c r="O191" s="225"/>
      <c r="P191" s="225"/>
      <c r="Q191" s="228"/>
      <c r="R191" s="242"/>
      <c r="S191" s="249">
        <f t="shared" si="54"/>
        <v>1</v>
      </c>
      <c r="T191" s="242" t="str">
        <f t="shared" si="55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56"/>
        <v>https://d0f6bd738d7f1b3e5a7ca70fe4ff75f0.us-east-1.aws.found.io/app/kibana#/discover/Steve-Slow-Train-Analysis-(2080s-and-2083s)?_g=(refreshInterval:(display:Off,pause:!f,section:0,value:0),time:(from:'2017-12-22T15:55:40-0700',mode:absolute,to:'2017-12-22T18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247" t="str">
        <f>IF(AA191&lt;VLOOKUP(AG191,Variables!$AC$3:$AD$8,2,FALSE),"Y","N")</f>
        <v>N</v>
      </c>
      <c r="X191" s="247">
        <f t="shared" si="88"/>
        <v>1</v>
      </c>
      <c r="Y191" s="247">
        <f>RIGHT(D191,LEN(D191)-4)/10000</f>
        <v>5.8659999999999997</v>
      </c>
      <c r="Z191" s="247">
        <f>RIGHT(H191,LEN(H191)-4)/10000</f>
        <v>1.49E-2</v>
      </c>
      <c r="AA191" s="247">
        <f t="shared" si="60"/>
        <v>5.8510999999999997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1"/>
        <v>832</v>
      </c>
      <c r="AE191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91" s="234" t="str">
        <f t="shared" si="63"/>
        <v>"C:\Program Files (x86)\AstroGrep\AstroGrep.exe" /e /r /s /spath="%USERPROFILE%\AppData\Local\Temp\OnboardLogs" /stypes="app*4041*20171223*" /stext=" 00:.+((SYSTEM_STATE.+slice.+state.+changed )|(ment ac)|(multiple cpu faults)|(system.+state.+changed )|(\[timeout)|(PRM\|1\|D)|(kpr)|(kdp)|(train st.+moving)|(\|lc)|(penalty))"</v>
      </c>
      <c r="AG191" s="244" t="str">
        <f t="shared" si="64"/>
        <v>NW</v>
      </c>
      <c r="AH191" s="236" t="str">
        <f t="shared" si="65"/>
        <v>"%USERPROFILE%\Documents\GitHub\eaglep3\Utilities\RefineRTDCRunTimes.py" --tripid 832-22 --locoid 4041 --swversion DE.1.0.9.0 --startMP 300:58660 --initTime 2017-12-22T16:55:40 --startdatetime 2017-12-22T17:13:10 --delay 99 --endMP 204:149 --enddatetime 2017-12-22T17:26:17 --enforcementcount 0 &gt;&gt;%USERPROFILE%\Documents\GitHub\eaglep3-reporting\EC\2017-12-22-refined-times.txt</v>
      </c>
      <c r="AI191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{"issue":{"subject":"","project_id":79,"tracker_id":40,"status_id":1,"priority_id":2,"assigned_to_id":338,"start_date":"2017-12-22","description":"","custom_fields":[{"id":1,"name":"Subdivision","value":"NW"},{"id":4,"name":"Milepost","value":"0.0149"},{"id":17,"name":"Train ID","value":"832-22"},{"id":16,"name":"Locomotive ID","value":"4041"},{"id":130,"name":"Impact","value":""},{"id":150,"name":"Time of Event (Mountain Time)","value":"17:26:17"},{"id":151,"name":"Denver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67"/>
        <v>start /low /b %USERPROFILE%\Documents\GitHub\eaglep3\Utilities\DownloadLogsFromS3.py --loco 4041 --day 2017-12-22</v>
      </c>
      <c r="AN191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69"/>
        <v>https://d0f6bd738d7f1b3e5a7ca70fe4ff75f0.us-east-1.aws.found.io/app/kibana#/discover/Steve-Slow-Train-Analysis-(2080s-and-2083s)?_g=(refreshInterval:(display:Off,pause:!f,section:0,value:0),time:(from:'2017-12-22T15:55:40-0700',mode:absolute,to:'2017-12-22T18:26:17-0700'))&amp;_a=(columns:!('Message%20ID',Summary),filters:!(),index:'emp_*',interval:auto,query:(query_string:(analyze_wildcard:!t,query:'%22rtdc.l.rtdc.4041%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832</v>
      </c>
      <c r="B192" s="225">
        <v>4016</v>
      </c>
      <c r="C192" s="227" t="s">
        <v>192</v>
      </c>
      <c r="D192" s="227" t="s">
        <v>1055</v>
      </c>
      <c r="E192" s="226">
        <v>43091.705324074072</v>
      </c>
      <c r="F192" s="226">
        <v>43091.714814814812</v>
      </c>
      <c r="G192" s="225">
        <v>99</v>
      </c>
      <c r="H192" s="227" t="s">
        <v>535</v>
      </c>
      <c r="I192" s="226">
        <v>43091.724930555552</v>
      </c>
      <c r="J192" s="225">
        <v>0</v>
      </c>
      <c r="K192" s="237" t="str">
        <f t="shared" si="51"/>
        <v>4015/4016</v>
      </c>
      <c r="L192" s="245" t="str">
        <f>VLOOKUP(A192,'Trips&amp;Operators'!$C$1:$G$99911,5,FALSE)</f>
        <v>WEST BRYAN</v>
      </c>
      <c r="M192" s="224">
        <f t="shared" si="52"/>
        <v>1.0115740740729962E-2</v>
      </c>
      <c r="N192" s="225">
        <f t="shared" si="91"/>
        <v>14.566666666651145</v>
      </c>
      <c r="O192" s="225"/>
      <c r="P192" s="225"/>
      <c r="Q192" s="228"/>
      <c r="R192" s="242"/>
      <c r="S192" s="249">
        <f t="shared" si="54"/>
        <v>1</v>
      </c>
      <c r="T192" s="242" t="str">
        <f t="shared" si="55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56"/>
        <v>https://d0f6bd738d7f1b3e5a7ca70fe4ff75f0.us-east-1.aws.found.io/app/kibana#/discover/Steve-Slow-Train-Analysis-(2080s-and-2083s)?_g=(refreshInterval:(display:Off,pause:!f,section:0,value:0),time:(from:'2017-12-22T15:55:40-0700',mode:absolute,to:'2017-12-22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247" t="str">
        <f>IF(AA192&lt;VLOOKUP(AG192,Variables!$AC$3:$AD$8,2,FALSE),"Y","N")</f>
        <v>N</v>
      </c>
      <c r="X192" s="247">
        <f t="shared" si="88"/>
        <v>1</v>
      </c>
      <c r="Y192" s="247">
        <v>6.6900000000000001E-2</v>
      </c>
      <c r="Z192" s="247">
        <v>5.8944000000000001</v>
      </c>
      <c r="AA192" s="247">
        <f t="shared" si="60"/>
        <v>5.8274999999999997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1"/>
        <v>833</v>
      </c>
      <c r="AE192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92" s="234" t="str">
        <f t="shared" si="63"/>
        <v>"C:\Program Files (x86)\AstroGrep\AstroGrep.exe" /e /r /s /spath="%USERPROFILE%\AppData\Local\Temp\OnboardLogs" /stypes="app*4016*20171223*" /stext=" 00:.+((SYSTEM_STATE.+slice.+state.+changed )|(ment ac)|(multiple cpu faults)|(system.+state.+changed )|(\[timeout)|(PRM\|1\|D)|(kpr)|(kdp)|(train st.+moving)|(\|lc)|(penalty))"</v>
      </c>
      <c r="AG192" s="244" t="str">
        <f t="shared" si="64"/>
        <v>NW</v>
      </c>
      <c r="AH192" s="236" t="str">
        <f t="shared" ref="AH192" si="112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833-22 --locoid 4016 --swversion DE.1.0.9.0 --startMP 300:58660 --initTime 2017-12-22T16:55:40 --startdatetime 2017-12-22T17:09:20 --delay 99 --endMP 204:149 --enddatetime 2017-12-22T17:23:54 --enforcementcount 0 &gt;&gt;%USERPROFILE%\Documents\GitHub\eaglep3-reporting\EC\2017-12-22-refined-times.txt</v>
      </c>
      <c r="AI192" s="238" t="str">
        <f t="shared" ref="AI192" si="113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{"issue":{"subject":"","project_id":79,"tracker_id":40,"status_id":1,"priority_id":2,"assigned_to_id":338,"start_date":"2017-12-22","description":"","custom_fields":[{"id":1,"name":"Subdivision","value":"NW"},{"id":4,"name":"Milepost","value":"5.8944"},{"id":17,"name":"Train ID","value":"833-22"},{"id":16,"name":"Locomotive ID","value":"4016"},{"id":130,"name":"Impact","value":""},{"id":150,"name":"Time of Event (Mountain Time)","value":"17:23:54"},{"id":151,"name":"Denver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ref="AM192" si="114">"start /low /b "&amp;dls3logs&amp;" --loco "&amp;B192&amp;" --day "&amp;TEXT(F192,"YYYY-MM-DD")</f>
        <v>start /low /b %USERPROFILE%\Documents\GitHub\eaglep3\Utilities\DownloadLogsFromS3.py --loco 4016 --day 2017-12-22</v>
      </c>
      <c r="AN192" s="241" t="str">
        <f t="shared" ref="AN192" si="115"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ref="AO192" si="116"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-22T15:55:40-0700',mode:absolute,to:'2017-12-22T18:23:54-0700'))&amp;_a=(columns:!('Message%20ID',Summary),filters:!(),index:'emp_*',interval:auto,query:(query_string:(analyze_wildcard:!t,query:'%22rtdc.l.rtdc.4016%22')),sort:!(Time.ISO8601,asc))</v>
      </c>
    </row>
    <row r="193" spans="1:91" s="20" customFormat="1" x14ac:dyDescent="0.3">
      <c r="A193" s="229" t="s">
        <v>838</v>
      </c>
      <c r="B193" s="225">
        <v>4015</v>
      </c>
      <c r="C193" s="227" t="s">
        <v>192</v>
      </c>
      <c r="D193" s="227" t="s">
        <v>1034</v>
      </c>
      <c r="E193" s="226">
        <v>43091.729594907411</v>
      </c>
      <c r="F193" s="226">
        <v>43091.737523148149</v>
      </c>
      <c r="G193" s="225">
        <v>60</v>
      </c>
      <c r="H193" s="227" t="s">
        <v>573</v>
      </c>
      <c r="I193" s="226">
        <v>43091.746817129628</v>
      </c>
      <c r="J193" s="225">
        <v>0</v>
      </c>
      <c r="K193" s="237" t="str">
        <f t="shared" si="51"/>
        <v>4015/4016</v>
      </c>
      <c r="L193" s="245" t="str">
        <f>VLOOKUP(A193,'Trips&amp;Operators'!$C$1:$G$99911,5,FALSE)</f>
        <v>WEST BRYAN</v>
      </c>
      <c r="M193" s="224">
        <f t="shared" si="52"/>
        <v>9.29398147854954E-3</v>
      </c>
      <c r="N193" s="225">
        <f t="shared" si="91"/>
        <v>13.383333329111338</v>
      </c>
      <c r="O193" s="225"/>
      <c r="P193" s="225"/>
      <c r="Q193" s="228"/>
      <c r="R193" s="242"/>
      <c r="S193" s="249">
        <f t="shared" si="54"/>
        <v>1</v>
      </c>
      <c r="T193" s="242" t="str">
        <f t="shared" si="55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56"/>
        <v>https://d0f6bd738d7f1b3e5a7ca70fe4ff75f0.us-east-1.aws.found.io/app/kibana#/discover/Steve-Slow-Train-Analysis-(2080s-and-2083s)?_g=(refreshInterval:(display:Off,pause:!f,section:0,value:0),time:(from:'2017-12-22T16:30:37-0700',mode:absolute,to:'2017-12-22T18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247" t="str">
        <f>IF(AA193&lt;VLOOKUP(AG193,Variables!$AC$3:$AD$8,2,FALSE),"Y","N")</f>
        <v>N</v>
      </c>
      <c r="X193" s="247">
        <f t="shared" si="88"/>
        <v>1</v>
      </c>
      <c r="Y193" s="247">
        <f>RIGHT(D193,LEN(D193)-4)/10000</f>
        <v>5.8628</v>
      </c>
      <c r="Z193" s="247">
        <f>RIGHT(H193,LEN(H193)-4)/10000</f>
        <v>1.46E-2</v>
      </c>
      <c r="AA193" s="247">
        <f t="shared" si="60"/>
        <v>5.8482000000000003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1"/>
        <v>834</v>
      </c>
      <c r="AE193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93" s="234" t="str">
        <f t="shared" si="63"/>
        <v>"C:\Program Files (x86)\AstroGrep\AstroGrep.exe" /e /r /s /spath="%USERPROFILE%\AppData\Local\Temp\OnboardLogs" /stypes="app*4015*20171223*" /stext=" 00:.+((SYSTEM_STATE.+slice.+state.+changed )|(ment ac)|(multiple cpu faults)|(system.+state.+changed )|(\[timeout)|(PRM\|1\|D)|(kpr)|(kdp)|(train st.+moving)|(\|lc)|(penalty))"</v>
      </c>
      <c r="AG193" s="244" t="str">
        <f t="shared" si="64"/>
        <v>NW</v>
      </c>
      <c r="AH193" s="236" t="str">
        <f t="shared" si="65"/>
        <v>"%USERPROFILE%\Documents\GitHub\eaglep3\Utilities\RefineRTDCRunTimes.py" --tripid 834-22 --locoid 4015 --swversion DE.1.0.9.0 --startMP 300:58628 --initTime 2017-12-22T17:30:37 --startdatetime 2017-12-22T17:42:02 --delay 60 --endMP 204:146 --enddatetime 2017-12-22T17:55:25 --enforcementcount 0 &gt;&gt;%USERPROFILE%\Documents\GitHub\eaglep3-reporting\EC\2017-12-22-refined-times.txt</v>
      </c>
      <c r="AI193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{"issue":{"subject":"","project_id":79,"tracker_id":40,"status_id":1,"priority_id":2,"assigned_to_id":338,"start_date":"2017-12-22","description":"","custom_fields":[{"id":1,"name":"Subdivision","value":"NW"},{"id":4,"name":"Milepost","value":"0.0146"},{"id":17,"name":"Train ID","value":"834-22"},{"id":16,"name":"Locomotive ID","value":"4015"},{"id":130,"name":"Impact","value":""},{"id":150,"name":"Time of Event (Mountain Time)","value":"17:55:25"},{"id":151,"name":"Denver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67"/>
        <v>start /low /b %USERPROFILE%\Documents\GitHub\eaglep3\Utilities\DownloadLogsFromS3.py --loco 4015 --day 2017-12-22</v>
      </c>
      <c r="AN193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69"/>
        <v>https://d0f6bd738d7f1b3e5a7ca70fe4ff75f0.us-east-1.aws.found.io/app/kibana#/discover/Steve-Slow-Train-Analysis-(2080s-and-2083s)?_g=(refreshInterval:(display:Off,pause:!f,section:0,value:0),time:(from:'2017-12-22T16:30:37-0700',mode:absolute,to:'2017-12-22T18:55:25-0700'))&amp;_a=(columns:!('Message%20ID',Summary),filters:!(),index:'emp_*',interval:auto,query:(query_string:(analyze_wildcard:!t,query:'%22rtdc.l.rtdc.4015%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837</v>
      </c>
      <c r="B194" s="225">
        <v>4042</v>
      </c>
      <c r="C194" s="227" t="s">
        <v>192</v>
      </c>
      <c r="D194" s="227" t="s">
        <v>606</v>
      </c>
      <c r="E194" s="226">
        <v>43091.728067129632</v>
      </c>
      <c r="F194" s="226">
        <v>43091.735925925925</v>
      </c>
      <c r="G194" s="225">
        <v>71</v>
      </c>
      <c r="H194" s="227" t="s">
        <v>1056</v>
      </c>
      <c r="I194" s="226">
        <v>43091.746979166666</v>
      </c>
      <c r="J194" s="225">
        <v>0</v>
      </c>
      <c r="K194" s="237" t="str">
        <f t="shared" si="51"/>
        <v>4041/4042</v>
      </c>
      <c r="L194" s="245" t="str">
        <f>VLOOKUP(A194,'Trips&amp;Operators'!$C$1:$G$99911,5,FALSE)</f>
        <v>SMITH MICHAEL</v>
      </c>
      <c r="M194" s="224">
        <f t="shared" si="52"/>
        <v>1.1053240741603076E-2</v>
      </c>
      <c r="N194" s="225">
        <f t="shared" si="91"/>
        <v>15.91666666790843</v>
      </c>
      <c r="O194" s="225"/>
      <c r="P194" s="225"/>
      <c r="Q194" s="228"/>
      <c r="R194" s="242"/>
      <c r="S194" s="249">
        <f t="shared" si="54"/>
        <v>1</v>
      </c>
      <c r="T194" s="242" t="str">
        <f t="shared" si="55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56"/>
        <v>https://d0f6bd738d7f1b3e5a7ca70fe4ff75f0.us-east-1.aws.found.io/app/kibana#/discover/Steve-Slow-Train-Analysis-(2080s-and-2083s)?_g=(refreshInterval:(display:Off,pause:!f,section:0,value:0),time:(from:'2017-12-22T16:28:25-0700',mode:absolute,to:'2017-12-22T18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247" t="str">
        <f>IF(AA194&lt;VLOOKUP(AG194,Variables!$AC$3:$AD$8,2,FALSE),"Y","N")</f>
        <v>N</v>
      </c>
      <c r="X194" s="247">
        <f t="shared" si="88"/>
        <v>1</v>
      </c>
      <c r="Y194" s="247">
        <f>RIGHT(D194,LEN(D194)-4)/10000</f>
        <v>4.4400000000000002E-2</v>
      </c>
      <c r="Z194" s="247">
        <f>RIGHT(H194,LEN(H194)-4)/10000</f>
        <v>5.8948</v>
      </c>
      <c r="AA194" s="247">
        <f t="shared" si="60"/>
        <v>5.8503999999999996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1"/>
        <v>835</v>
      </c>
      <c r="AE194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94" s="234" t="str">
        <f t="shared" si="63"/>
        <v>"C:\Program Files (x86)\AstroGrep\AstroGrep.exe" /e /r /s /spath="%USERPROFILE%\AppData\Local\Temp\OnboardLogs" /stypes="app*4042*20171223*" /stext=" 00:.+((SYSTEM_STATE.+slice.+state.+changed )|(ment ac)|(multiple cpu faults)|(system.+state.+changed )|(\[timeout)|(PRM\|1\|D)|(kpr)|(kdp)|(train st.+moving)|(\|lc)|(penalty))"</v>
      </c>
      <c r="AG194" s="244" t="str">
        <f t="shared" si="64"/>
        <v>NW</v>
      </c>
      <c r="AH194" s="236" t="str">
        <f t="shared" si="65"/>
        <v>"%USERPROFILE%\Documents\GitHub\eaglep3\Utilities\RefineRTDCRunTimes.py" --tripid 835-22 --locoid 4042 --swversion DE.1.0.9.0 --startMP 204:444 --initTime 2017-12-22T17:28:25 --startdatetime 2017-12-22T17:39:44 --delay 71 --endMP 300:58948 --enddatetime 2017-12-22T17:55:39 --enforcementcount 0 &gt;&gt;%USERPROFILE%\Documents\GitHub\eaglep3-reporting\EC\2017-12-22-refined-times.txt</v>
      </c>
      <c r="AI194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{"issue":{"subject":"","project_id":79,"tracker_id":40,"status_id":1,"priority_id":2,"assigned_to_id":338,"start_date":"2017-12-22","description":"","custom_fields":[{"id":1,"name":"Subdivision","value":"NW"},{"id":4,"name":"Milepost","value":"5.8948"},{"id":17,"name":"Train ID","value":"835-22"},{"id":16,"name":"Locomotive ID","value":"4042"},{"id":130,"name":"Impact","value":""},{"id":150,"name":"Time of Event (Mountain Time)","value":"17:55:39"},{"id":151,"name":"Denver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67"/>
        <v>start /low /b %USERPROFILE%\Documents\GitHub\eaglep3\Utilities\DownloadLogsFromS3.py --loco 4042 --day 2017-12-22</v>
      </c>
      <c r="AN194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69"/>
        <v>https://d0f6bd738d7f1b3e5a7ca70fe4ff75f0.us-east-1.aws.found.io/app/kibana#/discover/Steve-Slow-Train-Analysis-(2080s-and-2083s)?_g=(refreshInterval:(display:Off,pause:!f,section:0,value:0),time:(from:'2017-12-22T16:28:25-0700',mode:absolute,to:'2017-12-22T18:55:39-0700'))&amp;_a=(columns:!('Message%20ID',Summary),filters:!(),index:'emp_*',interval:auto,query:(query_string:(analyze_wildcard:!t,query:'%22rtdc.l.rtdc.4042%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848</v>
      </c>
      <c r="B195" s="225">
        <v>4041</v>
      </c>
      <c r="C195" s="227" t="s">
        <v>192</v>
      </c>
      <c r="D195" s="227" t="s">
        <v>606</v>
      </c>
      <c r="E195" s="226">
        <v>43091.728067129632</v>
      </c>
      <c r="F195" s="226">
        <v>43091.758333333331</v>
      </c>
      <c r="G195" s="225">
        <v>71</v>
      </c>
      <c r="H195" s="227" t="s">
        <v>1056</v>
      </c>
      <c r="I195" s="226">
        <v>43091.768043981479</v>
      </c>
      <c r="J195" s="225">
        <v>0</v>
      </c>
      <c r="K195" s="237" t="str">
        <f t="shared" si="51"/>
        <v>4041/4042</v>
      </c>
      <c r="L195" s="245" t="str">
        <f>VLOOKUP(A195,'Trips&amp;Operators'!$C$1:$G$99911,5,FALSE)</f>
        <v>SMITH MICHAEL</v>
      </c>
      <c r="M195" s="224">
        <f t="shared" si="52"/>
        <v>9.710648148029577E-3</v>
      </c>
      <c r="N195" s="225">
        <f t="shared" si="91"/>
        <v>13.983333333162591</v>
      </c>
      <c r="O195" s="225"/>
      <c r="P195" s="225"/>
      <c r="Q195" s="228"/>
      <c r="R195" s="242"/>
      <c r="S195" s="249">
        <f t="shared" si="54"/>
        <v>1</v>
      </c>
      <c r="T195" s="242" t="str">
        <f t="shared" si="55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56"/>
        <v>https://d0f6bd738d7f1b3e5a7ca70fe4ff75f0.us-east-1.aws.found.io/app/kibana#/discover/Steve-Slow-Train-Analysis-(2080s-and-2083s)?_g=(refreshInterval:(display:Off,pause:!f,section:0,value:0),time:(from:'2017-12-22T16:28:25-0700',mode:absolute,to:'2017-12-22T19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247" t="str">
        <f>IF(AA195&lt;VLOOKUP(AG195,Variables!$AC$3:$AD$8,2,FALSE),"Y","N")</f>
        <v>N</v>
      </c>
      <c r="X195" s="247">
        <f t="shared" si="88"/>
        <v>1</v>
      </c>
      <c r="Y195" s="247">
        <v>5.8518999999999997</v>
      </c>
      <c r="Z195" s="247">
        <v>1.2800000000000001E-2</v>
      </c>
      <c r="AA195" s="247">
        <f t="shared" si="60"/>
        <v>5.8390999999999993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1"/>
        <v>836</v>
      </c>
      <c r="AE195" s="235" t="str">
        <f t="shared" si="62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195" s="234" t="str">
        <f t="shared" si="63"/>
        <v>"C:\Program Files (x86)\AstroGrep\AstroGrep.exe" /e /r /s /spath="%USERPROFILE%\AppData\Local\Temp\OnboardLogs" /stypes="app*4041*20171223*" /stext=" 01:.+((SYSTEM_STATE.+slice.+state.+changed )|(ment ac)|(multiple cpu faults)|(system.+state.+changed )|(\[timeout)|(PRM\|1\|D)|(kpr)|(kdp)|(train st.+moving)|(\|lc)|(penalty))"</v>
      </c>
      <c r="AG195" s="244" t="str">
        <f t="shared" si="64"/>
        <v>NW</v>
      </c>
      <c r="AH195" s="236" t="str">
        <f t="shared" ref="AH195" si="117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836-22 --locoid 4041 --swversion DE.1.0.9.0 --startMP 204:444 --initTime 2017-12-22T17:28:25 --startdatetime 2017-12-22T18:12:00 --delay 71 --endMP 300:58948 --enddatetime 2017-12-22T18:25:59 --enforcementcount 0 &gt;&gt;%USERPROFILE%\Documents\GitHub\eaglep3-reporting\EC\2017-12-22-refined-times.txt</v>
      </c>
      <c r="AI195" s="238" t="str">
        <f t="shared" ref="AI195" si="118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{"issue":{"subject":"","project_id":79,"tracker_id":40,"status_id":1,"priority_id":2,"assigned_to_id":338,"start_date":"2017-12-22","description":"","custom_fields":[{"id":1,"name":"Subdivision","value":"NW"},{"id":4,"name":"Milepost","value":"0.0128"},{"id":17,"name":"Train ID","value":"836-22"},{"id":16,"name":"Locomotive ID","value":"4041"},{"id":130,"name":"Impact","value":""},{"id":150,"name":"Time of Event (Mountain Time)","value":"18:25:59"},{"id":151,"name":"Denver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ref="AM195" si="119">"start /low /b "&amp;dls3logs&amp;" --loco "&amp;B195&amp;" --day "&amp;TEXT(F195,"YYYY-MM-DD")</f>
        <v>start /low /b %USERPROFILE%\Documents\GitHub\eaglep3\Utilities\DownloadLogsFromS3.py --loco 4041 --day 2017-12-22</v>
      </c>
      <c r="AN195" s="241" t="str">
        <f t="shared" ref="AN195" si="120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ref="AO195" si="121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-22T16:28:25-0700',mode:absolute,to:'2017-12-22T19:25:59-0700'))&amp;_a=(columns:!('Message%20ID',Summary),filters:!(),index:'emp_*',interval:auto,query:(query_string:(analyze_wildcard:!t,query:'%22rtdc.l.rtdc.4041%22')),sort:!(Time.ISO8601,asc))</v>
      </c>
    </row>
    <row r="196" spans="1:91" s="20" customFormat="1" x14ac:dyDescent="0.3">
      <c r="A196" s="229" t="s">
        <v>849</v>
      </c>
      <c r="B196" s="225">
        <v>4016</v>
      </c>
      <c r="C196" s="227" t="s">
        <v>192</v>
      </c>
      <c r="D196" s="227" t="s">
        <v>618</v>
      </c>
      <c r="E196" s="226">
        <v>43091.751550925925</v>
      </c>
      <c r="F196" s="226">
        <v>43091.756493055553</v>
      </c>
      <c r="G196" s="225">
        <v>55</v>
      </c>
      <c r="H196" s="227" t="s">
        <v>621</v>
      </c>
      <c r="I196" s="226">
        <v>43091.76630787037</v>
      </c>
      <c r="J196" s="225">
        <v>0</v>
      </c>
      <c r="K196" s="237" t="str">
        <f t="shared" si="51"/>
        <v>4015/4016</v>
      </c>
      <c r="L196" s="245" t="str">
        <f>VLOOKUP(A196,'Trips&amp;Operators'!$C$1:$G$99911,5,FALSE)</f>
        <v>WEST BRYAN</v>
      </c>
      <c r="M196" s="224">
        <f t="shared" si="52"/>
        <v>9.8148148172185756E-3</v>
      </c>
      <c r="N196" s="225">
        <f t="shared" si="91"/>
        <v>14.133333336794749</v>
      </c>
      <c r="O196" s="225"/>
      <c r="P196" s="225"/>
      <c r="Q196" s="228"/>
      <c r="R196" s="242"/>
      <c r="S196" s="249">
        <f t="shared" si="54"/>
        <v>1</v>
      </c>
      <c r="T196" s="242" t="str">
        <f t="shared" si="55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56"/>
        <v>https://d0f6bd738d7f1b3e5a7ca70fe4ff75f0.us-east-1.aws.found.io/app/kibana#/discover/Steve-Slow-Train-Analysis-(2080s-and-2083s)?_g=(refreshInterval:(display:Off,pause:!f,section:0,value:0),time:(from:'2017-12-22T17:02:14-0700',mode:absolute,to:'2017-12-22T19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247" t="str">
        <f>IF(AA196&lt;VLOOKUP(AG196,Variables!$AC$3:$AD$8,2,FALSE),"Y","N")</f>
        <v>N</v>
      </c>
      <c r="X196" s="247">
        <f t="shared" si="88"/>
        <v>1</v>
      </c>
      <c r="Y196" s="247">
        <f>RIGHT(D196,LEN(D196)-4)/10000</f>
        <v>4.3299999999999998E-2</v>
      </c>
      <c r="Z196" s="247">
        <f>RIGHT(H196,LEN(H196)-4)/10000</f>
        <v>5.8936999999999999</v>
      </c>
      <c r="AA196" s="247">
        <f t="shared" si="60"/>
        <v>5.8503999999999996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1"/>
        <v>837</v>
      </c>
      <c r="AE196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196" s="234" t="str">
        <f t="shared" si="63"/>
        <v>"C:\Program Files (x86)\AstroGrep\AstroGrep.exe" /e /r /s /spath="%USERPROFILE%\AppData\Local\Temp\OnboardLogs" /stypes="app*4016*20171223*" /stext=" 01:.+((SYSTEM_STATE.+slice.+state.+changed )|(ment ac)|(multiple cpu faults)|(system.+state.+changed )|(\[timeout)|(PRM\|1\|D)|(kpr)|(kdp)|(train st.+moving)|(\|lc)|(penalty))"</v>
      </c>
      <c r="AG196" s="244" t="str">
        <f t="shared" si="64"/>
        <v>NW</v>
      </c>
      <c r="AH196" s="236" t="str">
        <f t="shared" si="65"/>
        <v>"%USERPROFILE%\Documents\GitHub\eaglep3\Utilities\RefineRTDCRunTimes.py" --tripid 837-22 --locoid 4016 --swversion DE.1.0.9.0 --startMP 204:433 --initTime 2017-12-22T18:02:14 --startdatetime 2017-12-22T18:09:21 --delay 55 --endMP 300:58937 --enddatetime 2017-12-22T18:23:29 --enforcementcount 0 &gt;&gt;%USERPROFILE%\Documents\GitHub\eaglep3-reporting\EC\2017-12-22-refined-times.txt</v>
      </c>
      <c r="AI196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{"issue":{"subject":"","project_id":79,"tracker_id":40,"status_id":1,"priority_id":2,"assigned_to_id":338,"start_date":"2017-12-22","description":"","custom_fields":[{"id":1,"name":"Subdivision","value":"NW"},{"id":4,"name":"Milepost","value":"5.8937"},{"id":17,"name":"Train ID","value":"837-22"},{"id":16,"name":"Locomotive ID","value":"4016"},{"id":130,"name":"Impact","value":""},{"id":150,"name":"Time of Event (Mountain Time)","value":"18:23:29"},{"id":151,"name":"Denver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67"/>
        <v>start /low /b %USERPROFILE%\Documents\GitHub\eaglep3\Utilities\DownloadLogsFromS3.py --loco 4016 --day 2017-12-22</v>
      </c>
      <c r="AN196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69"/>
        <v>https://d0f6bd738d7f1b3e5a7ca70fe4ff75f0.us-east-1.aws.found.io/app/kibana#/discover/Steve-Slow-Train-Analysis-(2080s-and-2083s)?_g=(refreshInterval:(display:Off,pause:!f,section:0,value:0),time:(from:'2017-12-22T17:02:14-0700',mode:absolute,to:'2017-12-22T19:23:29-0700'))&amp;_a=(columns:!('Message%20ID',Summary),filters:!(),index:'emp_*',interval:auto,query:(query_string:(analyze_wildcard:!t,query:'%22rtdc.l.rtdc.4016%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661</v>
      </c>
      <c r="B197" s="225">
        <v>4015</v>
      </c>
      <c r="C197" s="227" t="s">
        <v>192</v>
      </c>
      <c r="D197" s="227" t="s">
        <v>1050</v>
      </c>
      <c r="E197" s="226">
        <v>43091.769594907404</v>
      </c>
      <c r="F197" s="226">
        <v>43091.780011574076</v>
      </c>
      <c r="G197" s="225">
        <v>66</v>
      </c>
      <c r="H197" s="227" t="s">
        <v>1057</v>
      </c>
      <c r="I197" s="226">
        <v>43091.787743055553</v>
      </c>
      <c r="J197" s="225">
        <v>0</v>
      </c>
      <c r="K197" s="237" t="str">
        <f t="shared" si="51"/>
        <v>4015/4016</v>
      </c>
      <c r="L197" s="245" t="str">
        <f>VLOOKUP(A197,'Trips&amp;Operators'!$C$1:$G$99911,5,FALSE)</f>
        <v>WEST BRYAN</v>
      </c>
      <c r="M197" s="224">
        <f t="shared" si="52"/>
        <v>7.7314814770943485E-3</v>
      </c>
      <c r="N197" s="225">
        <f t="shared" si="91"/>
        <v>11.133333327015862</v>
      </c>
      <c r="O197" s="225"/>
      <c r="P197" s="225"/>
      <c r="Q197" s="228"/>
      <c r="R197" s="242"/>
      <c r="S197" s="249">
        <f t="shared" si="54"/>
        <v>1</v>
      </c>
      <c r="T197" s="242" t="str">
        <f t="shared" si="55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56"/>
        <v>https://d0f6bd738d7f1b3e5a7ca70fe4ff75f0.us-east-1.aws.found.io/app/kibana#/discover/Steve-Slow-Train-Analysis-(2080s-and-2083s)?_g=(refreshInterval:(display:Off,pause:!f,section:0,value:0),time:(from:'2017-12-22T17:28:13-0700',mode:absolute,to:'2017-12-22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47" t="str">
        <f>IF(AA197&lt;VLOOKUP(AG197,Variables!$AC$3:$AD$8,2,FALSE),"Y","N")</f>
        <v>Y</v>
      </c>
      <c r="X197" s="247">
        <f t="shared" si="88"/>
        <v>1</v>
      </c>
      <c r="Y197" s="247">
        <f>RIGHT(D197,LEN(D197)-4)/10000</f>
        <v>5.8616999999999999</v>
      </c>
      <c r="Z197" s="247">
        <f>RIGHT(H197,LEN(H197)-4)/10000</f>
        <v>0.44469999999999998</v>
      </c>
      <c r="AA197" s="247">
        <f t="shared" si="60"/>
        <v>5.4169999999999998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1"/>
        <v>838</v>
      </c>
      <c r="AE197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97" s="234" t="str">
        <f t="shared" si="63"/>
        <v>"C:\Program Files (x86)\AstroGrep\AstroGrep.exe" /e /r /s /spath="%USERPROFILE%\AppData\Local\Temp\OnboardLogs" /stypes="app*4015*20171223*" /stext=" 01:.+((SYSTEM_STATE.+slice.+state.+changed )|(ment ac)|(multiple cpu faults)|(system.+state.+changed )|(\[timeout)|(PRM\|1\|D)|(kpr)|(kdp)|(train st.+moving)|(\|lc)|(penalty))"</v>
      </c>
      <c r="AG197" s="244" t="str">
        <f t="shared" si="64"/>
        <v>NW</v>
      </c>
      <c r="AH197" s="236" t="str">
        <f t="shared" si="65"/>
        <v>"%USERPROFILE%\Documents\GitHub\eaglep3\Utilities\RefineRTDCRunTimes.py" --tripid 838-22 --locoid 4015 --swversion DE.1.0.9.0 --startMP 300:58617 --initTime 2017-12-22T18:28:13 --startdatetime 2017-12-22T18:43:13 --delay 66 --endMP 204:4447 --enddatetime 2017-12-22T18:54:21 --enforcementcount 0 &gt;&gt;%USERPROFILE%\Documents\GitHub\eaglep3-reporting\EC\2017-12-22-refined-times.txt</v>
      </c>
      <c r="AI197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{"issue":{"subject":"","project_id":79,"tracker_id":40,"status_id":1,"priority_id":2,"assigned_to_id":338,"start_date":"2017-12-22","description":"","custom_fields":[{"id":1,"name":"Subdivision","value":"NW"},{"id":4,"name":"Milepost","value":"0.4447"},{"id":17,"name":"Train ID","value":"838-22"},{"id":16,"name":"Locomotive ID","value":"4015"},{"id":130,"name":"Impact","value":""},{"id":150,"name":"Time of Event (Mountain Time)","value":"18:54:21"},{"id":151,"name":"Denver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67"/>
        <v>start /low /b %USERPROFILE%\Documents\GitHub\eaglep3\Utilities\DownloadLogsFromS3.py --loco 4015 --day 2017-12-22</v>
      </c>
      <c r="AN197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69"/>
        <v>https://d0f6bd738d7f1b3e5a7ca70fe4ff75f0.us-east-1.aws.found.io/app/kibana#/discover/Steve-Slow-Train-Analysis-(2080s-and-2083s)?_g=(refreshInterval:(display:Off,pause:!f,section:0,value:0),time:(from:'2017-12-22T17:28:13-0700',mode:absolute,to:'2017-12-22T19:54:21-0700'))&amp;_a=(columns:!('Message%20ID',Summary),filters:!(),index:'emp_*',interval:auto,query:(query_string:(analyze_wildcard:!t,query:'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854</v>
      </c>
      <c r="B198" s="225">
        <v>4042</v>
      </c>
      <c r="C198" s="227" t="s">
        <v>192</v>
      </c>
      <c r="D198" s="227" t="s">
        <v>1058</v>
      </c>
      <c r="E198" s="226">
        <v>43091.769525462965</v>
      </c>
      <c r="F198" s="226">
        <v>43091.777314814812</v>
      </c>
      <c r="G198" s="225">
        <v>73</v>
      </c>
      <c r="H198" s="227" t="s">
        <v>1059</v>
      </c>
      <c r="I198" s="226">
        <v>43091.787824074076</v>
      </c>
      <c r="J198" s="225">
        <v>0</v>
      </c>
      <c r="K198" s="237" t="str">
        <f t="shared" si="51"/>
        <v>4041/4042</v>
      </c>
      <c r="L198" s="245" t="str">
        <f>VLOOKUP(A198,'Trips&amp;Operators'!$C$1:$G$99911,5,FALSE)</f>
        <v>SMITH MICHAEL</v>
      </c>
      <c r="M198" s="224">
        <f t="shared" si="52"/>
        <v>1.0509259263926651E-2</v>
      </c>
      <c r="N198" s="225">
        <f t="shared" si="91"/>
        <v>15.133333340054378</v>
      </c>
      <c r="O198" s="225"/>
      <c r="P198" s="225"/>
      <c r="Q198" s="228"/>
      <c r="R198" s="242"/>
      <c r="S198" s="249">
        <f t="shared" si="54"/>
        <v>1</v>
      </c>
      <c r="T198" s="242" t="str">
        <f t="shared" si="55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56"/>
        <v>https://d0f6bd738d7f1b3e5a7ca70fe4ff75f0.us-east-1.aws.found.io/app/kibana#/discover/Steve-Slow-Train-Analysis-(2080s-and-2083s)?_g=(refreshInterval:(display:Off,pause:!f,section:0,value:0),time:(from:'2017-12-22T17:28:07-0700',mode:absolute,to:'2017-12-22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247" t="str">
        <f>IF(AA198&lt;VLOOKUP(AG198,Variables!$AC$3:$AD$8,2,FALSE),"Y","N")</f>
        <v>N</v>
      </c>
      <c r="X198" s="247">
        <f t="shared" si="88"/>
        <v>1</v>
      </c>
      <c r="Y198" s="247">
        <f>RIGHT(D198,LEN(D198)-4)/10000</f>
        <v>4.24E-2</v>
      </c>
      <c r="Z198" s="247">
        <f>RIGHT(H198,LEN(H198)-4)/10000</f>
        <v>5.8943000000000003</v>
      </c>
      <c r="AA198" s="247">
        <f t="shared" si="60"/>
        <v>5.8519000000000005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1"/>
        <v>839</v>
      </c>
      <c r="AE198" s="235" t="str">
        <f t="shared" si="62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198" s="234" t="str">
        <f t="shared" si="63"/>
        <v>"C:\Program Files (x86)\AstroGrep\AstroGrep.exe" /e /r /s /spath="%USERPROFILE%\AppData\Local\Temp\OnboardLogs" /stypes="app*4042*20171223*" /stext=" 01:.+((SYSTEM_STATE.+slice.+state.+changed )|(ment ac)|(multiple cpu faults)|(system.+state.+changed )|(\[timeout)|(PRM\|1\|D)|(kpr)|(kdp)|(train st.+moving)|(\|lc)|(penalty))"</v>
      </c>
      <c r="AG198" s="244" t="str">
        <f t="shared" si="64"/>
        <v>NW</v>
      </c>
      <c r="AH198" s="236" t="str">
        <f t="shared" si="65"/>
        <v>"%USERPROFILE%\Documents\GitHub\eaglep3\Utilities\RefineRTDCRunTimes.py" --tripid 839-22 --locoid 4042 --swversion DE.1.0.9.0 --startMP 204:424 --initTime 2017-12-22T18:28:07 --startdatetime 2017-12-22T18:39:20 --delay 73 --endMP 300:58943 --enddatetime 2017-12-22T18:54:28 --enforcementcount 0 &gt;&gt;%USERPROFILE%\Documents\GitHub\eaglep3-reporting\EC\2017-12-22-refined-times.txt</v>
      </c>
      <c r="AI198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{"issue":{"subject":"","project_id":79,"tracker_id":40,"status_id":1,"priority_id":2,"assigned_to_id":338,"start_date":"2017-12-22","description":"","custom_fields":[{"id":1,"name":"Subdivision","value":"NW"},{"id":4,"name":"Milepost","value":"5.8943"},{"id":17,"name":"Train ID","value":"839-22"},{"id":16,"name":"Locomotive ID","value":"4042"},{"id":130,"name":"Impact","value":""},{"id":150,"name":"Time of Event (Mountain Time)","value":"18:54:28"},{"id":151,"name":"Denver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67"/>
        <v>start /low /b %USERPROFILE%\Documents\GitHub\eaglep3\Utilities\DownloadLogsFromS3.py --loco 4042 --day 2017-12-22</v>
      </c>
      <c r="AN198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69"/>
        <v>https://d0f6bd738d7f1b3e5a7ca70fe4ff75f0.us-east-1.aws.found.io/app/kibana#/discover/Steve-Slow-Train-Analysis-(2080s-and-2083s)?_g=(refreshInterval:(display:Off,pause:!f,section:0,value:0),time:(from:'2017-12-22T17:28:07-0700',mode:absolute,to:'2017-12-22T19:54:28-0700'))&amp;_a=(columns:!('Message%20ID',Summary),filters:!(),index:'emp_*',interval:auto,query:(query_string:(analyze_wildcard:!t,query:'%22rtdc.l.rtdc.4042%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663</v>
      </c>
      <c r="B199" s="225">
        <v>4015</v>
      </c>
      <c r="C199" s="227" t="s">
        <v>192</v>
      </c>
      <c r="D199" s="227" t="s">
        <v>1060</v>
      </c>
      <c r="E199" s="226">
        <v>43091.811238425929</v>
      </c>
      <c r="F199" s="226">
        <v>43091.820347222223</v>
      </c>
      <c r="G199" s="225">
        <v>60</v>
      </c>
      <c r="H199" s="227" t="s">
        <v>545</v>
      </c>
      <c r="I199" s="226">
        <v>43091.830752314818</v>
      </c>
      <c r="J199" s="225">
        <v>0</v>
      </c>
      <c r="K199" s="237" t="str">
        <f t="shared" si="51"/>
        <v>4015/4016</v>
      </c>
      <c r="L199" s="245" t="str">
        <f>VLOOKUP(A199,'Trips&amp;Operators'!$C$1:$G$99911,5,FALSE)</f>
        <v>WEST BRYAN</v>
      </c>
      <c r="M199" s="224">
        <f t="shared" si="52"/>
        <v>1.0405092594737653E-2</v>
      </c>
      <c r="N199" s="225">
        <f t="shared" si="91"/>
        <v>14.98333333642222</v>
      </c>
      <c r="O199" s="225"/>
      <c r="P199" s="225"/>
      <c r="Q199" s="228"/>
      <c r="R199" s="242"/>
      <c r="S199" s="249">
        <f t="shared" si="54"/>
        <v>1</v>
      </c>
      <c r="T199" s="242" t="str">
        <f t="shared" si="55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56"/>
        <v>https://d0f6bd738d7f1b3e5a7ca70fe4ff75f0.us-east-1.aws.found.io/app/kibana#/discover/Steve-Slow-Train-Analysis-(2080s-and-2083s)?_g=(refreshInterval:(display:Off,pause:!f,section:0,value:0),time:(from:'2017-12-22T18:28:11-0700',mode:absolute,to:'2017-12-22T20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N</v>
      </c>
      <c r="X199" s="247">
        <f t="shared" si="88"/>
        <v>1</v>
      </c>
      <c r="Y199" s="247">
        <f>RIGHT(D199,LEN(D199)-4)/10000</f>
        <v>5.8623000000000003</v>
      </c>
      <c r="Z199" s="247">
        <f>RIGHT(H199,LEN(H199)-4)/10000</f>
        <v>1.78E-2</v>
      </c>
      <c r="AA199" s="247">
        <f t="shared" si="60"/>
        <v>5.8445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1"/>
        <v>840</v>
      </c>
      <c r="AE199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199" s="234" t="str">
        <f t="shared" si="63"/>
        <v>"C:\Program Files (x86)\AstroGrep\AstroGrep.exe" /e /r /s /spath="%USERPROFILE%\AppData\Local\Temp\OnboardLogs" /stypes="app*4015*20171223*" /stext=" 02:.+((SYSTEM_STATE.+slice.+state.+changed )|(ment ac)|(multiple cpu faults)|(system.+state.+changed )|(\[timeout)|(PRM\|1\|D)|(kpr)|(kdp)|(train st.+moving)|(\|lc)|(penalty))"</v>
      </c>
      <c r="AG199" s="244" t="str">
        <f t="shared" si="64"/>
        <v>NW</v>
      </c>
      <c r="AH199" s="236" t="str">
        <f t="shared" si="65"/>
        <v>"%USERPROFILE%\Documents\GitHub\eaglep3\Utilities\RefineRTDCRunTimes.py" --tripid 840-22 --locoid 4015 --swversion DE.1.0.9.0 --startMP 300:58623 --initTime 2017-12-22T19:28:11 --startdatetime 2017-12-22T19:41:18 --delay 60 --endMP 204:178 --enddatetime 2017-12-22T19:56:17 --enforcementcount 0 &gt;&gt;%USERPROFILE%\Documents\GitHub\eaglep3-reporting\EC\2017-12-22-refined-times.txt</v>
      </c>
      <c r="AI199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{"issue":{"subject":"","project_id":79,"tracker_id":40,"status_id":1,"priority_id":2,"assigned_to_id":338,"start_date":"2017-12-22","description":"","custom_fields":[{"id":1,"name":"Subdivision","value":"NW"},{"id":4,"name":"Milepost","value":"0.0178"},{"id":17,"name":"Train ID","value":"840-22"},{"id":16,"name":"Locomotive ID","value":"4015"},{"id":130,"name":"Impact","value":""},{"id":150,"name":"Time of Event (Mountain Time)","value":"19:56:17"},{"id":151,"name":"Denver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67"/>
        <v>start /low /b %USERPROFILE%\Documents\GitHub\eaglep3\Utilities\DownloadLogsFromS3.py --loco 4015 --day 2017-12-22</v>
      </c>
      <c r="AN199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69"/>
        <v>https://d0f6bd738d7f1b3e5a7ca70fe4ff75f0.us-east-1.aws.found.io/app/kibana#/discover/Steve-Slow-Train-Analysis-(2080s-and-2083s)?_g=(refreshInterval:(display:Off,pause:!f,section:0,value:0),time:(from:'2017-12-22T18:28:11-0700',mode:absolute,to:'2017-12-22T20:56:17-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863</v>
      </c>
      <c r="B200" s="225">
        <v>4016</v>
      </c>
      <c r="C200" s="227" t="s">
        <v>192</v>
      </c>
      <c r="D200" s="227" t="s">
        <v>1060</v>
      </c>
      <c r="E200" s="226">
        <v>43091.811238425929</v>
      </c>
      <c r="F200" s="226">
        <v>43091.798125000001</v>
      </c>
      <c r="G200" s="225">
        <v>60</v>
      </c>
      <c r="H200" s="227" t="s">
        <v>545</v>
      </c>
      <c r="I200" s="226">
        <v>43091.808067129627</v>
      </c>
      <c r="J200" s="225">
        <v>0</v>
      </c>
      <c r="K200" s="237" t="str">
        <f t="shared" si="51"/>
        <v>4015/4016</v>
      </c>
      <c r="L200" s="245" t="str">
        <f>VLOOKUP(A200,'Trips&amp;Operators'!$C$1:$G$99911,5,FALSE)</f>
        <v>WEST BRYAN</v>
      </c>
      <c r="M200" s="224">
        <f t="shared" si="52"/>
        <v>9.9421296254149638E-3</v>
      </c>
      <c r="N200" s="225">
        <f t="shared" si="91"/>
        <v>14.316666660597548</v>
      </c>
      <c r="O200" s="225"/>
      <c r="P200" s="225"/>
      <c r="Q200" s="228"/>
      <c r="R200" s="242"/>
      <c r="S200" s="249">
        <f t="shared" si="54"/>
        <v>1</v>
      </c>
      <c r="T200" s="242" t="str">
        <f t="shared" si="55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56"/>
        <v>https://d0f6bd738d7f1b3e5a7ca70fe4ff75f0.us-east-1.aws.found.io/app/kibana#/discover/Steve-Slow-Train-Analysis-(2080s-and-2083s)?_g=(refreshInterval:(display:Off,pause:!f,section:0,value:0),time:(from:'2017-12-22T18:28:11-0700',mode:absolute,to:'2017-12-22T20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47" t="str">
        <f>IF(AA200&lt;VLOOKUP(AG200,Variables!$AC$3:$AD$8,2,FALSE),"Y","N")</f>
        <v>N</v>
      </c>
      <c r="X200" s="247">
        <f t="shared" si="88"/>
        <v>1</v>
      </c>
      <c r="Y200" s="247">
        <v>6.5600000000000006E-2</v>
      </c>
      <c r="Z200" s="247">
        <v>5.8939000000000004</v>
      </c>
      <c r="AA200" s="247">
        <f t="shared" si="60"/>
        <v>5.8283000000000005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1"/>
        <v>841</v>
      </c>
      <c r="AE200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200" s="234" t="str">
        <f t="shared" si="63"/>
        <v>"C:\Program Files (x86)\AstroGrep\AstroGrep.exe" /e /r /s /spath="%USERPROFILE%\AppData\Local\Temp\OnboardLogs" /stypes="app*4016*20171223*" /stext=" 02:.+((SYSTEM_STATE.+slice.+state.+changed )|(ment ac)|(multiple cpu faults)|(system.+state.+changed )|(\[timeout)|(PRM\|1\|D)|(kpr)|(kdp)|(train st.+moving)|(\|lc)|(penalty))"</v>
      </c>
      <c r="AG200" s="244" t="str">
        <f t="shared" si="64"/>
        <v>NW</v>
      </c>
      <c r="AH200" s="236" t="str">
        <f t="shared" ref="AH200" si="122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841-22 --locoid 4016 --swversion DE.1.0.9.0 --startMP 300:58623 --initTime 2017-12-22T19:28:11 --startdatetime 2017-12-22T19:09:18 --delay 60 --endMP 204:178 --enddatetime 2017-12-22T19:23:37 --enforcementcount 0 &gt;&gt;%USERPROFILE%\Documents\GitHub\eaglep3-reporting\EC\2017-12-22-refined-times.txt</v>
      </c>
      <c r="AI200" s="238" t="str">
        <f t="shared" ref="AI200" si="123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{"issue":{"subject":"","project_id":79,"tracker_id":40,"status_id":1,"priority_id":2,"assigned_to_id":338,"start_date":"2017-12-22","description":"","custom_fields":[{"id":1,"name":"Subdivision","value":"NW"},{"id":4,"name":"Milepost","value":"5.8939"},{"id":17,"name":"Train ID","value":"841-22"},{"id":16,"name":"Locomotive ID","value":"4016"},{"id":130,"name":"Impact","value":""},{"id":150,"name":"Time of Event (Mountain Time)","value":"19:23:37"},{"id":151,"name":"Denver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ref="AM200" si="124">"start /low /b "&amp;dls3logs&amp;" --loco "&amp;B200&amp;" --day "&amp;TEXT(F200,"YYYY-MM-DD")</f>
        <v>start /low /b %USERPROFILE%\Documents\GitHub\eaglep3\Utilities\DownloadLogsFromS3.py --loco 4016 --day 2017-12-22</v>
      </c>
      <c r="AN200" s="241" t="str">
        <f t="shared" ref="AN200" si="125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ref="AO200" si="126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-22T18:28:11-0700',mode:absolute,to:'2017-12-22T20:23:37-0700'))&amp;_a=(columns:!('Message%20ID',Summary),filters:!(),index:'emp_*',interval:auto,query:(query_string:(analyze_wildcard:!t,query:'%22rtdc.l.rtdc.4016%22')),sort:!(Time.ISO8601,asc))</v>
      </c>
    </row>
    <row r="201" spans="1:91" s="20" customFormat="1" x14ac:dyDescent="0.3">
      <c r="A201" s="229" t="s">
        <v>871</v>
      </c>
      <c r="B201" s="225">
        <v>4015</v>
      </c>
      <c r="C201" s="227" t="s">
        <v>192</v>
      </c>
      <c r="D201" s="227" t="s">
        <v>1061</v>
      </c>
      <c r="E201" s="226">
        <v>43091.854224537034</v>
      </c>
      <c r="F201" s="226">
        <v>43091.863310185188</v>
      </c>
      <c r="G201" s="225">
        <v>49</v>
      </c>
      <c r="H201" s="227" t="s">
        <v>1062</v>
      </c>
      <c r="I201" s="226">
        <v>43091.871481481481</v>
      </c>
      <c r="J201" s="225">
        <v>0</v>
      </c>
      <c r="K201" s="237" t="str">
        <f t="shared" si="51"/>
        <v>4015/4016</v>
      </c>
      <c r="L201" s="245" t="str">
        <f>VLOOKUP(A201,'Trips&amp;Operators'!$C$1:$G$99911,5,FALSE)</f>
        <v>WEST BRYAN</v>
      </c>
      <c r="M201" s="224">
        <f t="shared" si="52"/>
        <v>8.1712962928577326E-3</v>
      </c>
      <c r="N201" s="225">
        <f t="shared" si="91"/>
        <v>11.766666661715135</v>
      </c>
      <c r="O201" s="225"/>
      <c r="P201" s="225"/>
      <c r="Q201" s="228"/>
      <c r="R201" s="242"/>
      <c r="S201" s="249">
        <f t="shared" si="54"/>
        <v>1</v>
      </c>
      <c r="T201" s="242" t="str">
        <f t="shared" si="55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56"/>
        <v>https://d0f6bd738d7f1b3e5a7ca70fe4ff75f0.us-east-1.aws.found.io/app/kibana#/discover/Steve-Slow-Train-Analysis-(2080s-and-2083s)?_g=(refreshInterval:(display:Off,pause:!f,section:0,value:0),time:(from:'2017-12-22T19:30:05-0700',mode:absolute,to:'2017-12-22T21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47" t="str">
        <f>IF(AA201&lt;VLOOKUP(AG201,Variables!$AC$3:$AD$8,2,FALSE),"Y","N")</f>
        <v>N</v>
      </c>
      <c r="X201" s="247">
        <f t="shared" ref="X201:X202" si="127">VALUE(LEFT(AD201,4))-VALUE(LEFT(AD200,4))</f>
        <v>1</v>
      </c>
      <c r="Y201" s="247">
        <f>RIGHT(D201,LEN(D201)-4)/10000</f>
        <v>5.8638000000000003</v>
      </c>
      <c r="Z201" s="247">
        <f>RIGHT(H201,LEN(H201)-4)/10000</f>
        <v>1.35E-2</v>
      </c>
      <c r="AA201" s="247">
        <f t="shared" si="60"/>
        <v>5.8503000000000007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1"/>
        <v>842</v>
      </c>
      <c r="AE201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201" s="234" t="str">
        <f t="shared" si="63"/>
        <v>"C:\Program Files (x86)\AstroGrep\AstroGrep.exe" /e /r /s /spath="%USERPROFILE%\AppData\Local\Temp\OnboardLogs" /stypes="app*4015*20171223*" /stext=" 03:.+((SYSTEM_STATE.+slice.+state.+changed )|(ment ac)|(multiple cpu faults)|(system.+state.+changed )|(\[timeout)|(PRM\|1\|D)|(kpr)|(kdp)|(train st.+moving)|(\|lc)|(penalty))"</v>
      </c>
      <c r="AG201" s="244" t="str">
        <f t="shared" si="64"/>
        <v>NW</v>
      </c>
      <c r="AH201" s="236" t="str">
        <f t="shared" si="65"/>
        <v>"%USERPROFILE%\Documents\GitHub\eaglep3\Utilities\RefineRTDCRunTimes.py" --tripid 842-22 --locoid 4015 --swversion DE.1.0.9.0 --startMP 300:58638 --initTime 2017-12-22T20:30:05 --startdatetime 2017-12-22T20:43:10 --delay 49 --endMP 204:135 --enddatetime 2017-12-22T20:54:56 --enforcementcount 0 &gt;&gt;%USERPROFILE%\Documents\GitHub\eaglep3-reporting\EC\2017-12-22-refined-times.txt</v>
      </c>
      <c r="AI201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{"issue":{"subject":"","project_id":79,"tracker_id":40,"status_id":1,"priority_id":2,"assigned_to_id":338,"start_date":"2017-12-22","description":"","custom_fields":[{"id":1,"name":"Subdivision","value":"NW"},{"id":4,"name":"Milepost","value":"0.0135"},{"id":17,"name":"Train ID","value":"842-22"},{"id":16,"name":"Locomotive ID","value":"4015"},{"id":130,"name":"Impact","value":""},{"id":150,"name":"Time of Event (Mountain Time)","value":"20:54:56"},{"id":151,"name":"Denver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67"/>
        <v>start /low /b %USERPROFILE%\Documents\GitHub\eaglep3\Utilities\DownloadLogsFromS3.py --loco 4015 --day 2017-12-22</v>
      </c>
      <c r="AN201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69"/>
        <v>https://d0f6bd738d7f1b3e5a7ca70fe4ff75f0.us-east-1.aws.found.io/app/kibana#/discover/Steve-Slow-Train-Analysis-(2080s-and-2083s)?_g=(refreshInterval:(display:Off,pause:!f,section:0,value:0),time:(from:'2017-12-22T19:30:05-0700',mode:absolute,to:'2017-12-22T21:54:56-0700'))&amp;_a=(columns:!('Message%20ID',Summary),filters:!(),index:'emp_*',interval:auto,query:(query_string:(analyze_wildcard:!t,query:'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868</v>
      </c>
      <c r="B202" s="225">
        <v>4016</v>
      </c>
      <c r="C202" s="227" t="s">
        <v>192</v>
      </c>
      <c r="D202" s="227" t="s">
        <v>617</v>
      </c>
      <c r="E202" s="226">
        <v>43091.834756944445</v>
      </c>
      <c r="F202" s="226">
        <v>43091.839837962965</v>
      </c>
      <c r="G202" s="225">
        <v>62</v>
      </c>
      <c r="H202" s="227" t="s">
        <v>1063</v>
      </c>
      <c r="I202" s="226">
        <v>43091.849803240744</v>
      </c>
      <c r="J202" s="225">
        <v>0</v>
      </c>
      <c r="K202" s="237" t="str">
        <f t="shared" si="51"/>
        <v>4015/4016</v>
      </c>
      <c r="L202" s="245" t="str">
        <f>VLOOKUP(A202,'Trips&amp;Operators'!$C$1:$G$99911,5,FALSE)</f>
        <v>WEST BRYAN</v>
      </c>
      <c r="M202" s="224">
        <f t="shared" si="52"/>
        <v>9.9652777789742686E-3</v>
      </c>
      <c r="N202" s="225">
        <f t="shared" si="91"/>
        <v>14.350000001722947</v>
      </c>
      <c r="O202" s="225"/>
      <c r="P202" s="225"/>
      <c r="Q202" s="228"/>
      <c r="R202" s="242"/>
      <c r="S202" s="249">
        <f t="shared" si="54"/>
        <v>1</v>
      </c>
      <c r="T202" s="242" t="str">
        <f t="shared" si="55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56"/>
        <v>https://d0f6bd738d7f1b3e5a7ca70fe4ff75f0.us-east-1.aws.found.io/app/kibana#/discover/Steve-Slow-Train-Analysis-(2080s-and-2083s)?_g=(refreshInterval:(display:Off,pause:!f,section:0,value:0),time:(from:'2017-12-22T19:02:03-0700',mode:absolute,to:'2017-12-22T21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N</v>
      </c>
      <c r="X202" s="247">
        <f t="shared" si="127"/>
        <v>1</v>
      </c>
      <c r="Y202" s="247">
        <f>RIGHT(D202,LEN(D202)-4)/10000</f>
        <v>4.48E-2</v>
      </c>
      <c r="Z202" s="247">
        <f>RIGHT(H202,LEN(H202)-4)/10000</f>
        <v>5.8952</v>
      </c>
      <c r="AA202" s="247">
        <f t="shared" si="60"/>
        <v>5.8503999999999996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1"/>
        <v>843</v>
      </c>
      <c r="AE202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202" s="234" t="str">
        <f t="shared" si="63"/>
        <v>"C:\Program Files (x86)\AstroGrep\AstroGrep.exe" /e /r /s /spath="%USERPROFILE%\AppData\Local\Temp\OnboardLogs" /stypes="app*4016*20171223*" /stext=" 03:.+((SYSTEM_STATE.+slice.+state.+changed )|(ment ac)|(multiple cpu faults)|(system.+state.+changed )|(\[timeout)|(PRM\|1\|D)|(kpr)|(kdp)|(train st.+moving)|(\|lc)|(penalty))"</v>
      </c>
      <c r="AG202" s="244" t="str">
        <f t="shared" si="64"/>
        <v>NW</v>
      </c>
      <c r="AH202" s="236" t="str">
        <f t="shared" si="65"/>
        <v>"%USERPROFILE%\Documents\GitHub\eaglep3\Utilities\RefineRTDCRunTimes.py" --tripid 843-22 --locoid 4016 --swversion DE.1.0.9.0 --startMP 204:448 --initTime 2017-12-22T20:02:03 --startdatetime 2017-12-22T20:09:22 --delay 62 --endMP 300:58952 --enddatetime 2017-12-22T20:23:43 --enforcementcount 0 &gt;&gt;%USERPROFILE%\Documents\GitHub\eaglep3-reporting\EC\2017-12-22-refined-times.txt</v>
      </c>
      <c r="AI202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{"issue":{"subject":"","project_id":79,"tracker_id":40,"status_id":1,"priority_id":2,"assigned_to_id":338,"start_date":"2017-12-22","description":"","custom_fields":[{"id":1,"name":"Subdivision","value":"NW"},{"id":4,"name":"Milepost","value":"5.8952"},{"id":17,"name":"Train ID","value":"843-22"},{"id":16,"name":"Locomotive ID","value":"4016"},{"id":130,"name":"Impact","value":""},{"id":150,"name":"Time of Event (Mountain Time)","value":"20:23:43"},{"id":151,"name":"Denver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67"/>
        <v>start /low /b %USERPROFILE%\Documents\GitHub\eaglep3\Utilities\DownloadLogsFromS3.py --loco 4016 --day 2017-12-22</v>
      </c>
      <c r="AN202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69"/>
        <v>https://d0f6bd738d7f1b3e5a7ca70fe4ff75f0.us-east-1.aws.found.io/app/kibana#/discover/Steve-Slow-Train-Analysis-(2080s-and-2083s)?_g=(refreshInterval:(display:Off,pause:!f,section:0,value:0),time:(from:'2017-12-22T19:02:03-0700',mode:absolute,to:'2017-12-22T21:23:43-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877</v>
      </c>
      <c r="B203" s="225">
        <v>4015</v>
      </c>
      <c r="C203" s="227" t="s">
        <v>192</v>
      </c>
      <c r="D203" s="227" t="s">
        <v>1064</v>
      </c>
      <c r="E203" s="226">
        <v>43091.893726851849</v>
      </c>
      <c r="F203" s="226">
        <v>43091.904918981483</v>
      </c>
      <c r="G203" s="225">
        <v>68</v>
      </c>
      <c r="H203" s="227" t="s">
        <v>1065</v>
      </c>
      <c r="I203" s="226">
        <v>43091.913807870369</v>
      </c>
      <c r="J203" s="225">
        <v>0</v>
      </c>
      <c r="K203" s="237" t="str">
        <f t="shared" si="51"/>
        <v>4015/4016</v>
      </c>
      <c r="L203" s="245" t="str">
        <f>VLOOKUP(A203,'Trips&amp;Operators'!$C$1:$G$99911,5,FALSE)</f>
        <v>SMITH MICHAEL</v>
      </c>
      <c r="M203" s="224">
        <f t="shared" si="52"/>
        <v>8.8888888858491555E-3</v>
      </c>
      <c r="N203" s="225">
        <f t="shared" si="91"/>
        <v>12.799999995622784</v>
      </c>
      <c r="O203" s="225"/>
      <c r="P203" s="225"/>
      <c r="Q203" s="228"/>
      <c r="R203" s="242"/>
      <c r="S203" s="249">
        <f t="shared" si="54"/>
        <v>1</v>
      </c>
      <c r="T203" s="242" t="str">
        <f t="shared" si="55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56"/>
        <v>https://d0f6bd738d7f1b3e5a7ca70fe4ff75f0.us-east-1.aws.found.io/app/kibana#/discover/Steve-Slow-Train-Analysis-(2080s-and-2083s)?_g=(refreshInterval:(display:Off,pause:!f,section:0,value:0),time:(from:'2017-12-22T20:26:58-0700',mode:absolute,to:'2017-12-22T22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5.8681000000000001</v>
      </c>
      <c r="Z203" s="247">
        <f>RIGHT(H203,LEN(H203)-4)/10000</f>
        <v>1.5299999999999999E-2</v>
      </c>
      <c r="AA203" s="247">
        <f t="shared" si="60"/>
        <v>5.8528000000000002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1"/>
        <v>844</v>
      </c>
      <c r="AE203" s="235" t="str">
        <f t="shared" si="62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203" s="234" t="str">
        <f t="shared" si="63"/>
        <v>"C:\Program Files (x86)\AstroGrep\AstroGrep.exe" /e /r /s /spath="%USERPROFILE%\AppData\Local\Temp\OnboardLogs" /stypes="app*4015*20171223*" /stext=" 04:.+((SYSTEM_STATE.+slice.+state.+changed )|(ment ac)|(multiple cpu faults)|(system.+state.+changed )|(\[timeout)|(PRM\|1\|D)|(kpr)|(kdp)|(train st.+moving)|(\|lc)|(penalty))"</v>
      </c>
      <c r="AG203" s="244" t="str">
        <f t="shared" si="64"/>
        <v>NW</v>
      </c>
      <c r="AH203" s="236" t="str">
        <f t="shared" si="65"/>
        <v>"%USERPROFILE%\Documents\GitHub\eaglep3\Utilities\RefineRTDCRunTimes.py" --tripid 844-22 --locoid 4015 --swversion DE.1.0.9.0 --startMP 300:58681 --initTime 2017-12-22T21:26:58 --startdatetime 2017-12-22T21:43:05 --delay 68 --endMP 204:153 --enddatetime 2017-12-22T21:55:53 --enforcementcount 0 &gt;&gt;%USERPROFILE%\Documents\GitHub\eaglep3-reporting\EC\2017-12-22-refined-times.txt</v>
      </c>
      <c r="AI203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{"issue":{"subject":"","project_id":79,"tracker_id":40,"status_id":1,"priority_id":2,"assigned_to_id":338,"start_date":"2017-12-22","description":"","custom_fields":[{"id":1,"name":"Subdivision","value":"NW"},{"id":4,"name":"Milepost","value":"0.0153"},{"id":17,"name":"Train ID","value":"844-22"},{"id":16,"name":"Locomotive ID","value":"4015"},{"id":130,"name":"Impact","value":""},{"id":150,"name":"Time of Event (Mountain Time)","value":"21:55:53"},{"id":151,"name":"Denver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67"/>
        <v>start /low /b %USERPROFILE%\Documents\GitHub\eaglep3\Utilities\DownloadLogsFromS3.py --loco 4015 --day 2017-12-22</v>
      </c>
      <c r="AN203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04:55:53"},{"id":29,"name":"Sharepoint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69"/>
        <v>https://d0f6bd738d7f1b3e5a7ca70fe4ff75f0.us-east-1.aws.found.io/app/kibana#/discover/Steve-Slow-Train-Analysis-(2080s-and-2083s)?_g=(refreshInterval:(display:Off,pause:!f,section:0,value:0),time:(from:'2017-12-22T20:26:58-0700',mode:absolute,to:'2017-12-22T22:55:53-0700'))&amp;_a=(columns:!('Message%20ID',Summary),filters:!(),index:'emp_*',interval:auto,query:(query_string:(analyze_wildcard:!t,query:'%22rtdc.l.rtdc.4015%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874</v>
      </c>
      <c r="B204" s="225">
        <v>4016</v>
      </c>
      <c r="C204" s="227" t="s">
        <v>192</v>
      </c>
      <c r="D204" s="227" t="s">
        <v>1064</v>
      </c>
      <c r="E204" s="226">
        <v>43091.893726851849</v>
      </c>
      <c r="F204" s="226">
        <v>43091.88144675926</v>
      </c>
      <c r="G204" s="225">
        <v>68</v>
      </c>
      <c r="H204" s="227" t="s">
        <v>1065</v>
      </c>
      <c r="I204" s="226">
        <v>43091.892164351855</v>
      </c>
      <c r="J204" s="225">
        <v>0</v>
      </c>
      <c r="K204" s="237" t="str">
        <f t="shared" si="51"/>
        <v>4015/4016</v>
      </c>
      <c r="L204" s="245" t="str">
        <f>VLOOKUP(A204,'Trips&amp;Operators'!$C$1:$G$99911,5,FALSE)</f>
        <v>SMITH MICHAEL</v>
      </c>
      <c r="M204" s="224">
        <f t="shared" si="52"/>
        <v>1.0717592595028691E-2</v>
      </c>
      <c r="N204" s="225">
        <f t="shared" si="91"/>
        <v>15.433333336841315</v>
      </c>
      <c r="O204" s="225"/>
      <c r="P204" s="225"/>
      <c r="Q204" s="228"/>
      <c r="R204" s="242"/>
      <c r="S204" s="249">
        <f t="shared" si="54"/>
        <v>1</v>
      </c>
      <c r="T204" s="242" t="str">
        <f t="shared" si="55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56"/>
        <v>https://d0f6bd738d7f1b3e5a7ca70fe4ff75f0.us-east-1.aws.found.io/app/kibana#/discover/Steve-Slow-Train-Analysis-(2080s-and-2083s)?_g=(refreshInterval:(display:Off,pause:!f,section:0,value:0),time:(from:'2017-12-22T20:26:58-0700',mode:absolute,to:'2017-12-22T22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v>6.0299999999999999E-2</v>
      </c>
      <c r="Z204" s="247">
        <v>5.8998999999999997</v>
      </c>
      <c r="AA204" s="247">
        <f t="shared" si="60"/>
        <v>5.8395999999999999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1"/>
        <v>845</v>
      </c>
      <c r="AE204" s="235" t="str">
        <f t="shared" si="62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204" s="234" t="str">
        <f t="shared" si="63"/>
        <v>"C:\Program Files (x86)\AstroGrep\AstroGrep.exe" /e /r /s /spath="%USERPROFILE%\AppData\Local\Temp\OnboardLogs" /stypes="app*4016*20171223*" /stext=" 04:.+((SYSTEM_STATE.+slice.+state.+changed )|(ment ac)|(multiple cpu faults)|(system.+state.+changed )|(\[timeout)|(PRM\|1\|D)|(kpr)|(kdp)|(train st.+moving)|(\|lc)|(penalty))"</v>
      </c>
      <c r="AG204" s="244" t="str">
        <f t="shared" si="64"/>
        <v>NW</v>
      </c>
      <c r="AH204" s="236" t="str">
        <f t="shared" ref="AH204" si="12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845-22 --locoid 4016 --swversion DE.1.0.9.0 --startMP 300:58681 --initTime 2017-12-22T21:26:58 --startdatetime 2017-12-22T21:09:17 --delay 68 --endMP 204:153 --enddatetime 2017-12-22T21:24:43 --enforcementcount 0 &gt;&gt;%USERPROFILE%\Documents\GitHub\eaglep3-reporting\EC\2017-12-22-refined-times.txt</v>
      </c>
      <c r="AI204" s="238" t="str">
        <f t="shared" ref="AI204" si="12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{"issue":{"subject":"","project_id":79,"tracker_id":40,"status_id":1,"priority_id":2,"assigned_to_id":338,"start_date":"2017-12-22","description":"","custom_fields":[{"id":1,"name":"Subdivision","value":"NW"},{"id":4,"name":"Milepost","value":"5.8999"},{"id":17,"name":"Train ID","value":"845-22"},{"id":16,"name":"Locomotive ID","value":"4016"},{"id":130,"name":"Impact","value":""},{"id":150,"name":"Time of Event (Mountain Time)","value":"21:24:43"},{"id":151,"name":"Denver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ref="AM204" si="130">"start /low /b "&amp;dls3logs&amp;" --loco "&amp;B204&amp;" --day "&amp;TEXT(F204,"YYYY-MM-DD")</f>
        <v>start /low /b %USERPROFILE%\Documents\GitHub\eaglep3\Utilities\DownloadLogsFromS3.py --loco 4016 --day 2017-12-22</v>
      </c>
      <c r="AN204" s="241" t="str">
        <f t="shared" ref="AN204" si="13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ref="AO204" si="132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-22T20:26:58-0700',mode:absolute,to:'2017-12-22T22:24:43-0700'))&amp;_a=(columns:!('Message%20ID',Summary),filters:!(),index:'emp_*',interval:auto,query:(query_string:(analyze_wildcard:!t,query:'%22rtdc.l.rtdc.4016%22')),sort:!(Time.ISO8601,asc))</v>
      </c>
    </row>
    <row r="205" spans="1:91" s="20" customFormat="1" x14ac:dyDescent="0.3">
      <c r="A205" s="229" t="s">
        <v>882</v>
      </c>
      <c r="B205" s="225">
        <v>4015</v>
      </c>
      <c r="C205" s="227" t="s">
        <v>192</v>
      </c>
      <c r="D205" s="227" t="s">
        <v>626</v>
      </c>
      <c r="E205" s="226">
        <v>43091.934560185182</v>
      </c>
      <c r="F205" s="226">
        <v>43091.946006944447</v>
      </c>
      <c r="G205" s="225">
        <v>71</v>
      </c>
      <c r="H205" s="227" t="s">
        <v>1051</v>
      </c>
      <c r="I205" s="226">
        <v>43091.95548611111</v>
      </c>
      <c r="J205" s="225">
        <v>0</v>
      </c>
      <c r="K205" s="237" t="str">
        <f t="shared" ref="K205:K244" si="133">IF(ISEVEN(B205),(B205-1)&amp;"/"&amp;B205,B205&amp;"/"&amp;(B205+1))</f>
        <v>4015/4016</v>
      </c>
      <c r="L205" s="245" t="str">
        <f>VLOOKUP(A205,'Trips&amp;Operators'!$C$1:$G$99911,5,FALSE)</f>
        <v>SMITH MICHAEL</v>
      </c>
      <c r="M205" s="224">
        <f t="shared" ref="M205:M244" si="134">I205-F205</f>
        <v>9.4791666633682325E-3</v>
      </c>
      <c r="N205" s="225">
        <f t="shared" si="91"/>
        <v>13.649999995250255</v>
      </c>
      <c r="O205" s="225"/>
      <c r="P205" s="225"/>
      <c r="Q205" s="228"/>
      <c r="R205" s="242"/>
      <c r="S205" s="249">
        <f t="shared" ref="S205:S244" si="135">1/IF(AG205="EC",12,1)*SUM(U205:U205)</f>
        <v>1</v>
      </c>
      <c r="T205" s="242" t="str">
        <f t="shared" ref="T205:T244" si="136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44" si="13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-22T21:25:46-0700',mode:absolute,to:'2017-12-22T23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47" t="str">
        <f>IF(AA205&lt;VLOOKUP(AG205,Variables!$AC$3:$AD$8,2,FALSE),"Y","N")</f>
        <v>N</v>
      </c>
      <c r="X205" s="247">
        <f t="shared" ref="X205:X208" si="138">VALUE(LEFT(AD205,4))-VALUE(LEFT(AD204,4))</f>
        <v>1</v>
      </c>
      <c r="Y205" s="247">
        <f>RIGHT(D205,LEN(D205)-4)/10000</f>
        <v>5.8682999999999996</v>
      </c>
      <c r="Z205" s="247">
        <f>RIGHT(H205,LEN(H205)-4)/10000</f>
        <v>1.4800000000000001E-2</v>
      </c>
      <c r="AA205" s="247">
        <f t="shared" ref="AA205:AA244" si="139">ABS(Z205-Y205)</f>
        <v>5.8534999999999995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44" si="140">VALUE(LEFT(A205,LEN(A205)-3))</f>
        <v>846</v>
      </c>
      <c r="AE205" s="235" t="str">
        <f t="shared" ref="AE205:AE244" si="14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205" s="234" t="str">
        <f t="shared" ref="AF205:AF244" si="14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/stypes="app*4015*20171223*" /stext=" 05:.+((SYSTEM_STATE.+slice.+state.+changed )|(ment ac)|(multiple cpu faults)|(system.+state.+changed )|(\[timeout)|(PRM\|1\|D)|(kpr)|(kdp)|(train st.+moving)|(\|lc)|(penalty))"</v>
      </c>
      <c r="AG205" s="244" t="str">
        <f t="shared" ref="AG205:AG244" si="143">DetSubdiv(A205)</f>
        <v>NW</v>
      </c>
      <c r="AH205" s="236" t="str">
        <f t="shared" si="65"/>
        <v>"%USERPROFILE%\Documents\GitHub\eaglep3\Utilities\RefineRTDCRunTimes.py" --tripid 846-22 --locoid 4015 --swversion DE.1.0.9.0 --startMP 300:58683 --initTime 2017-12-22T22:25:46 --startdatetime 2017-12-22T22:42:15 --delay 71 --endMP 204:148 --enddatetime 2017-12-22T22:55:54 --enforcementcount 0 &gt;&gt;%USERPROFILE%\Documents\GitHub\eaglep3-reporting\EC\2017-12-22-refined-times.txt</v>
      </c>
      <c r="AI205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{"issue":{"subject":"","project_id":79,"tracker_id":40,"status_id":1,"priority_id":2,"assigned_to_id":338,"start_date":"2017-12-22","description":"","custom_fields":[{"id":1,"name":"Subdivision","value":"NW"},{"id":4,"name":"Milepost","value":"0.0148"},{"id":17,"name":"Train ID","value":"846-22"},{"id":16,"name":"Locomotive ID","value":"4015"},{"id":130,"name":"Impact","value":""},{"id":150,"name":"Time of Event (Mountain Time)","value":"22:55:54"},{"id":151,"name":"Denver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67"/>
        <v>start /low /b %USERPROFILE%\Documents\GitHub\eaglep3\Utilities\DownloadLogsFromS3.py --loco 4015 --day 2017-12-22</v>
      </c>
      <c r="AN205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69"/>
        <v>https://d0f6bd738d7f1b3e5a7ca70fe4ff75f0.us-east-1.aws.found.io/app/kibana#/discover/Steve-Slow-Train-Analysis-(2080s-and-2083s)?_g=(refreshInterval:(display:Off,pause:!f,section:0,value:0),time:(from:'2017-12-22T21:25:46-0700',mode:absolute,to:'2017-12-22T23:55:54-0700'))&amp;_a=(columns:!('Message%20ID',Summary),filters:!(),index:'emp_*',interval:auto,query:(query_string:(analyze_wildcard:!t,query:'%22rtdc.l.rtdc.4015%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879</v>
      </c>
      <c r="B206" s="225">
        <v>4016</v>
      </c>
      <c r="C206" s="227" t="s">
        <v>192</v>
      </c>
      <c r="D206" s="227" t="s">
        <v>606</v>
      </c>
      <c r="E206" s="226">
        <v>43091.915752314817</v>
      </c>
      <c r="F206" s="226">
        <v>43091.923148148147</v>
      </c>
      <c r="G206" s="225">
        <v>62</v>
      </c>
      <c r="H206" s="227" t="s">
        <v>572</v>
      </c>
      <c r="I206" s="226">
        <v>43091.93310185185</v>
      </c>
      <c r="J206" s="225">
        <v>0</v>
      </c>
      <c r="K206" s="237" t="str">
        <f t="shared" si="133"/>
        <v>4015/4016</v>
      </c>
      <c r="L206" s="245" t="str">
        <f>VLOOKUP(A206,'Trips&amp;Operators'!$C$1:$G$99911,5,FALSE)</f>
        <v>SMITH MICHAEL</v>
      </c>
      <c r="M206" s="224">
        <f t="shared" si="134"/>
        <v>9.9537037021946162E-3</v>
      </c>
      <c r="N206" s="225">
        <f t="shared" si="91"/>
        <v>14.333333331160247</v>
      </c>
      <c r="O206" s="225"/>
      <c r="P206" s="225"/>
      <c r="Q206" s="228"/>
      <c r="R206" s="242"/>
      <c r="S206" s="249">
        <f t="shared" si="135"/>
        <v>1</v>
      </c>
      <c r="T206" s="242" t="str">
        <f t="shared" si="136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37"/>
        <v>https://d0f6bd738d7f1b3e5a7ca70fe4ff75f0.us-east-1.aws.found.io/app/kibana#/discover/Steve-Slow-Train-Analysis-(2080s-and-2083s)?_g=(refreshInterval:(display:Off,pause:!f,section:0,value:0),time:(from:'2017-12-22T20:58:41-0700',mode:absolute,to:'2017-12-22T23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47" t="str">
        <f>IF(AA206&lt;VLOOKUP(AG206,Variables!$AC$3:$AD$8,2,FALSE),"Y","N")</f>
        <v>N</v>
      </c>
      <c r="X206" s="247">
        <f t="shared" si="138"/>
        <v>1</v>
      </c>
      <c r="Y206" s="247">
        <f>RIGHT(D206,LEN(D206)-4)/10000</f>
        <v>4.4400000000000002E-2</v>
      </c>
      <c r="Z206" s="247">
        <f>RIGHT(H206,LEN(H206)-4)/10000</f>
        <v>5.8993000000000002</v>
      </c>
      <c r="AA206" s="247">
        <f t="shared" si="139"/>
        <v>5.8548999999999998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40"/>
        <v>847</v>
      </c>
      <c r="AE206" s="235" t="str">
        <f t="shared" si="141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206" s="234" t="str">
        <f t="shared" si="142"/>
        <v>"C:\Program Files (x86)\AstroGrep\AstroGrep.exe" /e /r /s /spath="%USERPROFILE%\AppData\Local\Temp\OnboardLogs" /stypes="app*4016*20171223*" /stext=" 05:.+((SYSTEM_STATE.+slice.+state.+changed )|(ment ac)|(multiple cpu faults)|(system.+state.+changed )|(\[timeout)|(PRM\|1\|D)|(kpr)|(kdp)|(train st.+moving)|(\|lc)|(penalty))"</v>
      </c>
      <c r="AG206" s="244" t="str">
        <f t="shared" si="143"/>
        <v>NW</v>
      </c>
      <c r="AH206" s="236" t="str">
        <f t="shared" si="65"/>
        <v>"%USERPROFILE%\Documents\GitHub\eaglep3\Utilities\RefineRTDCRunTimes.py" --tripid 847-22 --locoid 4016 --swversion DE.1.0.9.0 --startMP 204:444 --initTime 2017-12-22T21:58:41 --startdatetime 2017-12-22T22:09:20 --delay 62 --endMP 300:58993 --enddatetime 2017-12-22T22:23:40 --enforcementcount 0 &gt;&gt;%USERPROFILE%\Documents\GitHub\eaglep3-reporting\EC\2017-12-22-refined-times.txt</v>
      </c>
      <c r="AI206" s="238" t="str">
        <f t="shared" si="66"/>
        <v>echo {"issue":{"subject":"","project_id":79,"tracker_id":40,"status_id":1,"priority_id":2,"assigned_to_id":338,"start_date":"2017-12-22","description":"","custom_fields":[{"id":1,"name":"Subdivision","value":"NW"},{"id":4,"name":"Milepost","value":"5.8993"},{"id":17,"name":"Train ID","value":"847-22"},{"id":16,"name":"Locomotive ID","value":"4016"},{"id":130,"name":"Impact","value":""},{"id":150,"name":"Time of Event (Mountain Time)","value":"22:23:40"},{"id":151,"name":"Denver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67"/>
        <v>start /low /b %USERPROFILE%\Documents\GitHub\eaglep3\Utilities\DownloadLogsFromS3.py --loco 4016 --day 2017-12-22</v>
      </c>
      <c r="AN206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05:23:40"},{"id":29,"name":"Sharepoint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69"/>
        <v>https://d0f6bd738d7f1b3e5a7ca70fe4ff75f0.us-east-1.aws.found.io/app/kibana#/discover/Steve-Slow-Train-Analysis-(2080s-and-2083s)?_g=(refreshInterval:(display:Off,pause:!f,section:0,value:0),time:(from:'2017-12-22T20:58:41-0700',mode:absolute,to:'2017-12-22T23:23:40-0700'))&amp;_a=(columns:!('Message%20ID',Summary),filters:!(),index:'emp_*',interval:auto,query:(query_string:(analyze_wildcard:!t,query:'%22rtdc.l.rtdc.4016%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885</v>
      </c>
      <c r="B207" s="225">
        <v>4016</v>
      </c>
      <c r="C207" s="227" t="s">
        <v>192</v>
      </c>
      <c r="D207" s="227" t="s">
        <v>606</v>
      </c>
      <c r="E207" s="226">
        <v>43091.915752314817</v>
      </c>
      <c r="F207" s="226">
        <v>43091.964814814812</v>
      </c>
      <c r="G207" s="225">
        <v>62</v>
      </c>
      <c r="H207" s="227" t="s">
        <v>572</v>
      </c>
      <c r="I207" s="226">
        <v>43091.975381944445</v>
      </c>
      <c r="J207" s="225">
        <v>0</v>
      </c>
      <c r="K207" s="237" t="str">
        <f t="shared" si="133"/>
        <v>4015/4016</v>
      </c>
      <c r="L207" s="245" t="str">
        <f>VLOOKUP(A207,'Trips&amp;Operators'!$C$1:$G$99911,5,FALSE)</f>
        <v>SMITH MICHAEL</v>
      </c>
      <c r="M207" s="224">
        <f t="shared" si="134"/>
        <v>1.0567129633272998E-2</v>
      </c>
      <c r="N207" s="225">
        <f t="shared" si="91"/>
        <v>15.216666671913117</v>
      </c>
      <c r="O207" s="225"/>
      <c r="P207" s="225"/>
      <c r="Q207" s="228"/>
      <c r="R207" s="242"/>
      <c r="S207" s="249">
        <f t="shared" si="135"/>
        <v>1</v>
      </c>
      <c r="T207" s="242" t="str">
        <f t="shared" si="136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37"/>
        <v>https://d0f6bd738d7f1b3e5a7ca70fe4ff75f0.us-east-1.aws.found.io/app/kibana#/discover/Steve-Slow-Train-Analysis-(2080s-and-2083s)?_g=(refreshInterval:(display:Off,pause:!f,section:0,value:0),time:(from:'2017-12-22T20:58:41-0700',mode:absolute,to:'2017-12-23T00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47" t="str">
        <f>IF(AA207&lt;VLOOKUP(AG207,Variables!$AC$3:$AD$8,2,FALSE),"Y","N")</f>
        <v>N</v>
      </c>
      <c r="X207" s="247">
        <f t="shared" si="138"/>
        <v>2</v>
      </c>
      <c r="Y207" s="247">
        <v>6.5199999999999994E-2</v>
      </c>
      <c r="Z207" s="247">
        <v>5.8986000000000001</v>
      </c>
      <c r="AA207" s="247">
        <f t="shared" si="139"/>
        <v>5.8334000000000001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40"/>
        <v>849</v>
      </c>
      <c r="AE207" s="235" t="str">
        <f t="shared" si="141"/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AF207" s="234" t="str">
        <f t="shared" si="142"/>
        <v>"C:\Program Files (x86)\AstroGrep\AstroGrep.exe" /e /r /s /spath="%USERPROFILE%\AppData\Local\Temp\OnboardLogs" /stypes="app*4016*20171223*" /stext=" 06:.+((SYSTEM_STATE.+slice.+state.+changed )|(ment ac)|(multiple cpu faults)|(system.+state.+changed )|(\[timeout)|(PRM\|1\|D)|(kpr)|(kdp)|(train st.+moving)|(\|lc)|(penalty))"</v>
      </c>
      <c r="AG207" s="244" t="str">
        <f t="shared" si="143"/>
        <v>NW</v>
      </c>
      <c r="AH207" s="236" t="str">
        <f t="shared" ref="AH207" si="14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849-22 --locoid 4016 --swversion DE.1.0.9.0 --startMP 204:444 --initTime 2017-12-22T21:58:41 --startdatetime 2017-12-22T23:09:20 --delay 62 --endMP 300:58993 --enddatetime 2017-12-22T23:24:33 --enforcementcount 0 &gt;&gt;%USERPROFILE%\Documents\GitHub\eaglep3-reporting\EC\2017-12-22-refined-times.txt</v>
      </c>
      <c r="AI207" s="238" t="str">
        <f t="shared" ref="AI207" si="14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{"issue":{"subject":"","project_id":79,"tracker_id":40,"status_id":1,"priority_id":2,"assigned_to_id":338,"start_date":"2017-12-22","description":"","custom_fields":[{"id":1,"name":"Subdivision","value":"NW"},{"id":4,"name":"Milepost","value":"5.8986"},{"id":17,"name":"Train ID","value":"849-22"},{"id":16,"name":"Locomotive ID","value":"4016"},{"id":130,"name":"Impact","value":""},{"id":150,"name":"Time of Event (Mountain Time)","value":"23:24:33"},{"id":151,"name":"Denver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ref="AM207" si="146">"start /low /b "&amp;dls3logs&amp;" --loco "&amp;B207&amp;" --day "&amp;TEXT(F207,"YYYY-MM-DD")</f>
        <v>start /low /b %USERPROFILE%\Documents\GitHub\eaglep3\Utilities\DownloadLogsFromS3.py --loco 4016 --day 2017-12-22</v>
      </c>
      <c r="AN207" s="241" t="str">
        <f t="shared" ref="AN207" si="147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ref="AO207" si="148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-22T20:58:41-0700',mode:absolute,to:'2017-12-23T00:24:33-0700'))&amp;_a=(columns:!('Message%20ID',Summary),filters:!(),index:'emp_*',interval:auto,query:(query_string:(analyze_wildcard:!t,query:'%22rtdc.l.rtdc.4016%22')),sort:!(Time.ISO8601,asc))</v>
      </c>
    </row>
    <row r="208" spans="1:91" s="20" customFormat="1" x14ac:dyDescent="0.3">
      <c r="A208" s="229" t="s">
        <v>667</v>
      </c>
      <c r="B208" s="225">
        <v>4009</v>
      </c>
      <c r="C208" s="227" t="s">
        <v>192</v>
      </c>
      <c r="D208" s="227" t="s">
        <v>988</v>
      </c>
      <c r="E208" s="226">
        <v>43091.115532407406</v>
      </c>
      <c r="F208" s="226">
        <v>43091.11859953704</v>
      </c>
      <c r="G208" s="225">
        <v>60</v>
      </c>
      <c r="H208" s="227" t="s">
        <v>906</v>
      </c>
      <c r="I208" s="226">
        <v>43091.122754629629</v>
      </c>
      <c r="J208" s="225">
        <v>0</v>
      </c>
      <c r="K208" s="237" t="str">
        <f t="shared" si="133"/>
        <v>4009/4010</v>
      </c>
      <c r="L208" s="245" t="str">
        <f>VLOOKUP(A208,'Trips&amp;Operators'!$C$1:$G$99911,5,FALSE)</f>
        <v>YORK EDGAR</v>
      </c>
      <c r="M208" s="224">
        <f t="shared" si="134"/>
        <v>4.1550925889168866E-3</v>
      </c>
      <c r="N208" s="225">
        <f t="shared" si="91"/>
        <v>5.9833333280403167</v>
      </c>
      <c r="O208" s="225"/>
      <c r="P208" s="225"/>
      <c r="Q208" s="228"/>
      <c r="R208" s="242"/>
      <c r="S208" s="249">
        <f t="shared" si="135"/>
        <v>1</v>
      </c>
      <c r="T208" s="242" t="str">
        <f t="shared" si="136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37"/>
        <v>https://d0f6bd738d7f1b3e5a7ca70fe4ff75f0.us-east-1.aws.found.io/app/kibana#/discover/Steve-Slow-Train-Analysis-(2080s-and-2083s)?_g=(refreshInterval:(display:Off,pause:!f,section:0,value:0),time:(from:'2017-12-22T01:46:22-0700',mode:absolute,to:'2017-12-22T03:56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247" t="str">
        <f>IF(AA208&lt;VLOOKUP(AG208,Variables!$AC$3:$AD$8,2,FALSE),"Y","N")</f>
        <v>Y</v>
      </c>
      <c r="X208" s="247">
        <f t="shared" si="138"/>
        <v>-549</v>
      </c>
      <c r="Y208" s="247">
        <f t="shared" ref="Y208:Y244" si="149">RIGHT(D208,LEN(D208)-4)/10000</f>
        <v>1.9628000000000001</v>
      </c>
      <c r="Z208" s="247">
        <f t="shared" ref="Z208:Z244" si="150">RIGHT(H208,LEN(H208)-4)/10000</f>
        <v>1.52E-2</v>
      </c>
      <c r="AA208" s="247">
        <f t="shared" si="139"/>
        <v>1.9476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40"/>
        <v>300</v>
      </c>
      <c r="AE208" s="235" t="str">
        <f t="shared" si="14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208" s="234" t="str">
        <f t="shared" si="142"/>
        <v>"C:\Program Files (x86)\AstroGrep\AstroGrep.exe" /e /r /s /spath="%USERPROFILE%\AppData\Local\Temp\OnboardLogs" /stypes="app*4009*20171222*" /stext=" 09:.+((SYSTEM_STATE.+slice.+state.+changed )|(ment ac)|(multiple cpu faults)|(system.+state.+changed )|(\[timeout)|(PRM\|1\|D)|(kpr)|(kdp)|(train st.+moving)|(\|lc)|(penalty))"</v>
      </c>
      <c r="AG208" s="244" t="str">
        <f t="shared" si="143"/>
        <v>Other</v>
      </c>
      <c r="AH208" s="236" t="str">
        <f t="shared" si="65"/>
        <v>"%USERPROFILE%\Documents\GitHub\eaglep3\Utilities\RefineRTDCRunTimes.py" --tripid 300-22 --locoid 4009 --swversion DE.1.0.9.0 --startMP 300:19628 --initTime 2017-12-22T02:46:22 --startdatetime 2017-12-22T02:50:47 --delay 60 --endMP 204:152 --enddatetime 2017-12-22T02:56:46 --enforcementcount 0 &gt;&gt;%USERPROFILE%\Documents\GitHub\eaglep3-reporting\EC\2017-12-22-refined-times.txt</v>
      </c>
      <c r="AI208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{"issue":{"subject":"","project_id":79,"tracker_id":40,"status_id":1,"priority_id":2,"assigned_to_id":338,"start_date":"2017-12-22","description":"","custom_fields":[{"id":1,"name":"Subdivision","value":"Other"},{"id":4,"name":"Milepost","value":"0.0152"},{"id":17,"name":"Train ID","value":"300-22"},{"id":16,"name":"Locomotive ID","value":"4009"},{"id":130,"name":"Impact","value":""},{"id":150,"name":"Time of Event (Mountain Time)","value":"02:56:46"},{"id":151,"name":"Denver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67"/>
        <v>start /low /b %USERPROFILE%\Documents\GitHub\eaglep3\Utilities\DownloadLogsFromS3.py --loco 4009 --day 2017-12-22</v>
      </c>
      <c r="AN208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09:56:46"},{"id":29,"name":"Sharepoint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69"/>
        <v>https://d0f6bd738d7f1b3e5a7ca70fe4ff75f0.us-east-1.aws.found.io/app/kibana#/discover/Steve-Slow-Train-Analysis-(2080s-and-2083s)?_g=(refreshInterval:(display:Off,pause:!f,section:0,value:0),time:(from:'2017-12-22T01:46:22-0700',mode:absolute,to:'2017-12-22T03:56:46-0700'))&amp;_a=(columns:!('Message%20ID',Summary),filters:!(),index:'emp_*',interval:auto,query:(query_string:(analyze_wildcard:!t,query:'%22rtdc.l.rtdc.4009%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855</v>
      </c>
      <c r="B209" s="225">
        <v>4062</v>
      </c>
      <c r="C209" s="227" t="s">
        <v>192</v>
      </c>
      <c r="D209" s="227" t="s">
        <v>628</v>
      </c>
      <c r="E209" s="226">
        <v>43091.776724537034</v>
      </c>
      <c r="F209" s="226">
        <v>43091.778645833336</v>
      </c>
      <c r="G209" s="225">
        <v>59</v>
      </c>
      <c r="H209" s="227" t="s">
        <v>989</v>
      </c>
      <c r="I209" s="226">
        <v>43091.78601851852</v>
      </c>
      <c r="J209" s="225">
        <v>0</v>
      </c>
      <c r="K209" s="237" t="str">
        <f t="shared" si="133"/>
        <v>4061/4062</v>
      </c>
      <c r="L209" s="245" t="str">
        <f>VLOOKUP(A209,'Trips&amp;Operators'!$C$1:$G$99911,5,FALSE)</f>
        <v>LEVERE CRAIG</v>
      </c>
      <c r="M209" s="224">
        <f t="shared" si="134"/>
        <v>7.3726851842366159E-3</v>
      </c>
      <c r="N209" s="225">
        <f t="shared" si="91"/>
        <v>10.616666665300727</v>
      </c>
      <c r="O209" s="225"/>
      <c r="P209" s="225"/>
      <c r="Q209" s="228"/>
      <c r="R209" s="242"/>
      <c r="S209" s="249">
        <f t="shared" si="135"/>
        <v>1</v>
      </c>
      <c r="T209" s="242" t="str">
        <f t="shared" si="136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37"/>
        <v>https://d0f6bd738d7f1b3e5a7ca70fe4ff75f0.us-east-1.aws.found.io/app/kibana#/discover/Steve-Slow-Train-Analysis-(2080s-and-2083s)?_g=(refreshInterval:(display:Off,pause:!f,section:0,value:0),time:(from:'2017-12-22T17:38:29-0700',mode:absolute,to:'2017-12-22T19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9" s="247" t="str">
        <f>IF(AA209&lt;VLOOKUP(AG209,Variables!$AC$3:$AD$8,2,FALSE),"Y","N")</f>
        <v>Y</v>
      </c>
      <c r="X209" s="247">
        <f t="shared" ref="X209:X244" si="151">VALUE(LEFT(AD209,4))-VALUE(LEFT(AD208,4))</f>
        <v>1</v>
      </c>
      <c r="Y209" s="247">
        <f t="shared" si="149"/>
        <v>5.3999999999999999E-2</v>
      </c>
      <c r="Z209" s="247">
        <f t="shared" si="150"/>
        <v>2.331</v>
      </c>
      <c r="AA209" s="247">
        <f t="shared" si="139"/>
        <v>2.2770000000000001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40"/>
        <v>301</v>
      </c>
      <c r="AE209" s="235" t="str">
        <f t="shared" si="141"/>
        <v>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 &amp; aws s3 cp s3://rtdc.mdm.uploadarchive.raw/RTDC4062/ "%USERPROFILE%\AppData\Local\Temp\OnboardLogs"\RTDC4062\2017-12-23 --exclude "*" --recursive --include "*20171223*" &amp; "%USERPROFILE%\Documents\GitHub\mrs-test-scripts\Headless Mode &amp; Sideloading\WalkAndUnGZ.bat" "%USERPROFILE%\AppData\Local\Temp\OnboardLogs"\RTDC4062\2017-12-23</v>
      </c>
      <c r="AF209" s="234" t="str">
        <f t="shared" si="142"/>
        <v>"C:\Program Files (x86)\AstroGrep\AstroGrep.exe" /e /r /s /spath="%USERPROFILE%\AppData\Local\Temp\OnboardLogs" /stypes="app*4062*20171223*" /stext=" 01:.+((SYSTEM_STATE.+slice.+state.+changed )|(ment ac)|(multiple cpu faults)|(system.+state.+changed )|(\[timeout)|(PRM\|1\|D)|(kpr)|(kdp)|(train st.+moving)|(\|lc)|(penalty))"</v>
      </c>
      <c r="AG209" s="244" t="str">
        <f t="shared" si="143"/>
        <v>Other</v>
      </c>
      <c r="AH209" s="236" t="str">
        <f t="shared" si="65"/>
        <v>"%USERPROFILE%\Documents\GitHub\eaglep3\Utilities\RefineRTDCRunTimes.py" --tripid 301-22 --locoid 4062 --swversion DE.1.0.9.0 --startMP 204:540 --initTime 2017-12-22T18:38:29 --startdatetime 2017-12-22T18:41:15 --delay 59 --endMP 300:23310 --enddatetime 2017-12-22T18:51:52 --enforcementcount 0 &gt;&gt;%USERPROFILE%\Documents\GitHub\eaglep3-reporting\EC\2017-12-22-refined-times.txt</v>
      </c>
      <c r="AI209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{"issue":{"subject":"","project_id":79,"tracker_id":40,"status_id":1,"priority_id":2,"assigned_to_id":338,"start_date":"2017-12-22","description":"","custom_fields":[{"id":1,"name":"Subdivision","value":"Other"},{"id":4,"name":"Milepost","value":"2.331"},{"id":17,"name":"Train ID","value":"301-22"},{"id":16,"name":"Locomotive ID","value":"4062"},{"id":130,"name":"Impact","value":""},{"id":150,"name":"Time of Event (Mountain Time)","value":"18:51:52"},{"id":151,"name":"Denver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67"/>
        <v>start /low /b %USERPROFILE%\Documents\GitHub\eaglep3\Utilities\DownloadLogsFromS3.py --loco 4062 --day 2017-12-22</v>
      </c>
      <c r="AN209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69"/>
        <v>https://d0f6bd738d7f1b3e5a7ca70fe4ff75f0.us-east-1.aws.found.io/app/kibana#/discover/Steve-Slow-Train-Analysis-(2080s-and-2083s)?_g=(refreshInterval:(display:Off,pause:!f,section:0,value:0),time:(from:'2017-12-22T17:38:29-0700',mode:absolute,to:'2017-12-22T19:51:52-0700'))&amp;_a=(columns:!('Message%20ID',Summary),filters:!(),index:'emp_*',interval:auto,query:(query_string:(analyze_wildcard:!t,query:'%22rtdc.l.rtdc.4062%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672</v>
      </c>
      <c r="B210" s="225">
        <v>4043</v>
      </c>
      <c r="C210" s="227" t="s">
        <v>192</v>
      </c>
      <c r="D210" s="227" t="s">
        <v>990</v>
      </c>
      <c r="E210" s="226">
        <v>43091.14025462963</v>
      </c>
      <c r="F210" s="226">
        <v>43091.146458333336</v>
      </c>
      <c r="G210" s="225">
        <v>113</v>
      </c>
      <c r="H210" s="227" t="s">
        <v>991</v>
      </c>
      <c r="I210" s="226">
        <v>43091.151284722226</v>
      </c>
      <c r="J210" s="225">
        <v>0</v>
      </c>
      <c r="K210" s="237" t="str">
        <f t="shared" si="133"/>
        <v>4043/4044</v>
      </c>
      <c r="L210" s="245" t="str">
        <f>VLOOKUP(A210,'Trips&amp;Operators'!$C$1:$G$99911,5,FALSE)</f>
        <v>MAELZER KURT</v>
      </c>
      <c r="M210" s="224">
        <f t="shared" si="134"/>
        <v>4.8263888893416151E-3</v>
      </c>
      <c r="N210" s="225">
        <f t="shared" ref="N210:N244" si="152">24*60*SUM($M210:$M210)</f>
        <v>6.9500000006519258</v>
      </c>
      <c r="O210" s="225"/>
      <c r="P210" s="225"/>
      <c r="Q210" s="228"/>
      <c r="R210" s="242"/>
      <c r="S210" s="249">
        <f t="shared" si="135"/>
        <v>1</v>
      </c>
      <c r="T210" s="242" t="str">
        <f t="shared" si="136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37"/>
        <v>https://d0f6bd738d7f1b3e5a7ca70fe4ff75f0.us-east-1.aws.found.io/app/kibana#/discover/Steve-Slow-Train-Analysis-(2080s-and-2083s)?_g=(refreshInterval:(display:Off,pause:!f,section:0,value:0),time:(from:'2017-12-22T02:21:58-0700',mode:absolute,to:'2017-12-22T04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0" s="247" t="str">
        <f>IF(AA210&lt;VLOOKUP(AG210,Variables!$AC$3:$AD$8,2,FALSE),"Y","N")</f>
        <v>Y</v>
      </c>
      <c r="X210" s="247">
        <f t="shared" si="151"/>
        <v>1</v>
      </c>
      <c r="Y210" s="247">
        <f t="shared" si="149"/>
        <v>1.9814000000000001</v>
      </c>
      <c r="Z210" s="247">
        <f t="shared" si="150"/>
        <v>1.7600000000000001E-2</v>
      </c>
      <c r="AA210" s="247">
        <f t="shared" si="139"/>
        <v>1.9638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40"/>
        <v>302</v>
      </c>
      <c r="AE210" s="235" t="str">
        <f t="shared" si="141"/>
        <v>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 &amp; aws s3 cp s3://rtdc.mdm.uploadarchive.raw/RTDC4043/ "%USERPROFILE%\AppData\Local\Temp\OnboardLogs"\RTDC4043\2017-12-23 --exclude "*" --recursive --include "*20171223*" &amp; "%USERPROFILE%\Documents\GitHub\mrs-test-scripts\Headless Mode &amp; Sideloading\WalkAndUnGZ.bat" "%USERPROFILE%\AppData\Local\Temp\OnboardLogs"\RTDC4043\2017-12-23</v>
      </c>
      <c r="AF210" s="234" t="str">
        <f t="shared" si="142"/>
        <v>"C:\Program Files (x86)\AstroGrep\AstroGrep.exe" /e /r /s /spath="%USERPROFILE%\AppData\Local\Temp\OnboardLogs" /stypes="app*4043*20171222*" /stext=" 10:.+((SYSTEM_STATE.+slice.+state.+changed )|(ment ac)|(multiple cpu faults)|(system.+state.+changed )|(\[timeout)|(PRM\|1\|D)|(kpr)|(kdp)|(train st.+moving)|(\|lc)|(penalty))"</v>
      </c>
      <c r="AG210" s="244" t="str">
        <f t="shared" si="143"/>
        <v>Other</v>
      </c>
      <c r="AH210" s="236" t="str">
        <f t="shared" si="65"/>
        <v>"%USERPROFILE%\Documents\GitHub\eaglep3\Utilities\RefineRTDCRunTimes.py" --tripid 302-22 --locoid 4043 --swversion DE.1.0.9.0 --startMP 300:19814 --initTime 2017-12-22T03:21:58 --startdatetime 2017-12-22T03:30:54 --delay 113 --endMP 204:176 --enddatetime 2017-12-22T03:37:51 --enforcementcount 0 &gt;&gt;%USERPROFILE%\Documents\GitHub\eaglep3-reporting\EC\2017-12-22-refined-times.txt</v>
      </c>
      <c r="AI210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{"issue":{"subject":"","project_id":79,"tracker_id":40,"status_id":1,"priority_id":2,"assigned_to_id":338,"start_date":"2017-12-22","description":"","custom_fields":[{"id":1,"name":"Subdivision","value":"Other"},{"id":4,"name":"Milepost","value":"0.0176"},{"id":17,"name":"Train ID","value":"302-22"},{"id":16,"name":"Locomotive ID","value":"4043"},{"id":130,"name":"Impact","value":""},{"id":150,"name":"Time of Event (Mountain Time)","value":"03:37:51"},{"id":151,"name":"Denver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67"/>
        <v>start /low /b %USERPROFILE%\Documents\GitHub\eaglep3\Utilities\DownloadLogsFromS3.py --loco 4043 --day 2017-12-22</v>
      </c>
      <c r="AN210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10:37:51"},{"id":29,"name":"Sharepoint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69"/>
        <v>https://d0f6bd738d7f1b3e5a7ca70fe4ff75f0.us-east-1.aws.found.io/app/kibana#/discover/Steve-Slow-Train-Analysis-(2080s-and-2083s)?_g=(refreshInterval:(display:Off,pause:!f,section:0,value:0),time:(from:'2017-12-22T02:21:58-0700',mode:absolute,to:'2017-12-22T04:37:51-0700'))&amp;_a=(columns:!('Message%20ID',Summary),filters:!(),index:'emp_*',interval:auto,query:(query_string:(analyze_wildcard:!t,query:'%22rtdc.l.rtdc.4043%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862</v>
      </c>
      <c r="B211" s="225">
        <v>4008</v>
      </c>
      <c r="C211" s="227" t="s">
        <v>192</v>
      </c>
      <c r="D211" s="227" t="s">
        <v>564</v>
      </c>
      <c r="E211" s="226">
        <v>43091.795740740738</v>
      </c>
      <c r="F211" s="226">
        <v>43091.797083333331</v>
      </c>
      <c r="G211" s="225">
        <v>59</v>
      </c>
      <c r="H211" s="227" t="s">
        <v>584</v>
      </c>
      <c r="I211" s="226">
        <v>43091.802812499998</v>
      </c>
      <c r="J211" s="225">
        <v>0</v>
      </c>
      <c r="K211" s="237" t="str">
        <f t="shared" si="133"/>
        <v>4007/4008</v>
      </c>
      <c r="L211" s="245" t="str">
        <f>VLOOKUP(A211,'Trips&amp;Operators'!$C$1:$G$99911,5,FALSE)</f>
        <v>LEVIN SCOTT</v>
      </c>
      <c r="M211" s="224">
        <f t="shared" si="134"/>
        <v>5.7291666671517305E-3</v>
      </c>
      <c r="N211" s="225">
        <f t="shared" si="152"/>
        <v>8.2500000006984919</v>
      </c>
      <c r="O211" s="225"/>
      <c r="P211" s="225"/>
      <c r="Q211" s="228"/>
      <c r="R211" s="242"/>
      <c r="S211" s="249">
        <f t="shared" si="135"/>
        <v>1</v>
      </c>
      <c r="T211" s="242" t="str">
        <f t="shared" si="136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37"/>
        <v>https://d0f6bd738d7f1b3e5a7ca70fe4ff75f0.us-east-1.aws.found.io/app/kibana#/discover/Steve-Slow-Train-Analysis-(2080s-and-2083s)?_g=(refreshInterval:(display:Off,pause:!f,section:0,value:0),time:(from:'2017-12-22T18:05:52-0700',mode:absolute,to:'2017-12-22T20:16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247" t="str">
        <f>IF(AA211&lt;VLOOKUP(AG211,Variables!$AC$3:$AD$8,2,FALSE),"Y","N")</f>
        <v>Y</v>
      </c>
      <c r="X211" s="247">
        <f t="shared" si="151"/>
        <v>1</v>
      </c>
      <c r="Y211" s="247">
        <f t="shared" si="149"/>
        <v>4.7500000000000001E-2</v>
      </c>
      <c r="Z211" s="247">
        <f t="shared" si="150"/>
        <v>2.3296999999999999</v>
      </c>
      <c r="AA211" s="247">
        <f t="shared" si="139"/>
        <v>2.2822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40"/>
        <v>303</v>
      </c>
      <c r="AE211" s="235" t="str">
        <f t="shared" si="141"/>
        <v>aws s3 cp s3://rtdc.mdm.uploadarchive.raw/RTDC4008/ "%USERPROFILE%\AppData\Local\Temp\OnboardLogs"\RTDC4008\2017-12-22 --exclude "*" --recursive --include "*20171222*" &amp; "%USERPROFILE%\Documents\GitHub\mrs-test-scripts\Headless Mode &amp; Sideloading\WalkAndUnGZ.bat" "%USERPROFILE%\AppData\Local\Temp\OnboardLogs"\RTDC4008\2017-12-22 &amp; aws s3 cp s3://rtdc.mdm.uploadarchive.raw/RTDC4008/ "%USERPROFILE%\AppData\Local\Temp\OnboardLogs"\RTDC4008\2017-12-23 --exclude "*" --recursive --include "*20171223*" &amp; "%USERPROFILE%\Documents\GitHub\mrs-test-scripts\Headless Mode &amp; Sideloading\WalkAndUnGZ.bat" "%USERPROFILE%\AppData\Local\Temp\OnboardLogs"\RTDC4008\2017-12-23</v>
      </c>
      <c r="AF211" s="234" t="str">
        <f t="shared" si="142"/>
        <v>"C:\Program Files (x86)\AstroGrep\AstroGrep.exe" /e /r /s /spath="%USERPROFILE%\AppData\Local\Temp\OnboardLogs" /stypes="app*4008*20171223*" /stext=" 02:.+((SYSTEM_STATE.+slice.+state.+changed )|(ment ac)|(multiple cpu faults)|(system.+state.+changed )|(\[timeout)|(PRM\|1\|D)|(kpr)|(kdp)|(train st.+moving)|(\|lc)|(penalty))"</v>
      </c>
      <c r="AG211" s="244" t="str">
        <f t="shared" si="143"/>
        <v>Other</v>
      </c>
      <c r="AH211" s="236" t="str">
        <f t="shared" si="65"/>
        <v>"%USERPROFILE%\Documents\GitHub\eaglep3\Utilities\RefineRTDCRunTimes.py" --tripid 303-22 --locoid 4008 --swversion DE.1.0.9.0 --startMP 204:475 --initTime 2017-12-22T19:05:52 --startdatetime 2017-12-22T19:07:48 --delay 59 --endMP 300:23297 --enddatetime 2017-12-22T19:16:03 --enforcementcount 0 &gt;&gt;%USERPROFILE%\Documents\GitHub\eaglep3-reporting\EC\2017-12-22-refined-times.txt</v>
      </c>
      <c r="AI211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{"issue":{"subject":"","project_id":79,"tracker_id":40,"status_id":1,"priority_id":2,"assigned_to_id":338,"start_date":"2017-12-22","description":"","custom_fields":[{"id":1,"name":"Subdivision","value":"Other"},{"id":4,"name":"Milepost","value":"2.3297"},{"id":17,"name":"Train ID","value":"303-22"},{"id":16,"name":"Locomotive ID","value":"4008"},{"id":130,"name":"Impact","value":""},{"id":150,"name":"Time of Event (Mountain Time)","value":"19:16:03"},{"id":151,"name":"Denver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67"/>
        <v>start /low /b %USERPROFILE%\Documents\GitHub\eaglep3\Utilities\DownloadLogsFromS3.py --loco 4008 --day 2017-12-22</v>
      </c>
      <c r="AN211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02:16:03"},{"id":29,"name":"Sharepoint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69"/>
        <v>https://d0f6bd738d7f1b3e5a7ca70fe4ff75f0.us-east-1.aws.found.io/app/kibana#/discover/Steve-Slow-Train-Analysis-(2080s-and-2083s)?_g=(refreshInterval:(display:Off,pause:!f,section:0,value:0),time:(from:'2017-12-22T18:05:52-0700',mode:absolute,to:'2017-12-22T20:16:03-0700'))&amp;_a=(columns:!('Message%20ID',Summary),filters:!(),index:'emp_*',interval:auto,query:(query_string:(analyze_wildcard:!t,query:'%22rtdc.l.rtdc.4008%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675</v>
      </c>
      <c r="B212" s="225">
        <v>4019</v>
      </c>
      <c r="C212" s="227" t="s">
        <v>192</v>
      </c>
      <c r="D212" s="227" t="s">
        <v>992</v>
      </c>
      <c r="E212" s="226">
        <v>43091.158414351848</v>
      </c>
      <c r="F212" s="226">
        <v>43091.161539351851</v>
      </c>
      <c r="G212" s="225">
        <v>79</v>
      </c>
      <c r="H212" s="227" t="s">
        <v>563</v>
      </c>
      <c r="I212" s="226">
        <v>43091.166886574072</v>
      </c>
      <c r="J212" s="225">
        <v>0</v>
      </c>
      <c r="K212" s="237" t="str">
        <f t="shared" si="133"/>
        <v>4019/4020</v>
      </c>
      <c r="L212" s="245" t="str">
        <f>VLOOKUP(A212,'Trips&amp;Operators'!$C$1:$G$99911,5,FALSE)</f>
        <v>BONDS REYNALDO</v>
      </c>
      <c r="M212" s="224">
        <f t="shared" si="134"/>
        <v>5.3472222207346931E-3</v>
      </c>
      <c r="N212" s="225">
        <f t="shared" si="152"/>
        <v>7.6999999978579581</v>
      </c>
      <c r="O212" s="225"/>
      <c r="P212" s="225"/>
      <c r="Q212" s="228"/>
      <c r="R212" s="242"/>
      <c r="S212" s="249">
        <f t="shared" si="135"/>
        <v>1</v>
      </c>
      <c r="T212" s="242" t="str">
        <f t="shared" si="136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37"/>
        <v>https://d0f6bd738d7f1b3e5a7ca70fe4ff75f0.us-east-1.aws.found.io/app/kibana#/discover/Steve-Slow-Train-Analysis-(2080s-and-2083s)?_g=(refreshInterval:(display:Off,pause:!f,section:0,value:0),time:(from:'2017-12-22T02:48:07-0700',mode:absolute,to:'2017-12-22T05:00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247" t="str">
        <f>IF(AA212&lt;VLOOKUP(AG212,Variables!$AC$3:$AD$8,2,FALSE),"Y","N")</f>
        <v>Y</v>
      </c>
      <c r="X212" s="247">
        <f t="shared" si="151"/>
        <v>1</v>
      </c>
      <c r="Y212" s="247">
        <f t="shared" si="149"/>
        <v>2.3580000000000001</v>
      </c>
      <c r="Z212" s="247">
        <f t="shared" si="150"/>
        <v>1.9199999999999998E-2</v>
      </c>
      <c r="AA212" s="247">
        <f t="shared" si="139"/>
        <v>2.3388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40"/>
        <v>304</v>
      </c>
      <c r="AE212" s="235" t="str">
        <f t="shared" si="141"/>
        <v>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 &amp; aws s3 cp s3://rtdc.mdm.uploadarchive.raw/RTDC4019/ "%USERPROFILE%\AppData\Local\Temp\OnboardLogs"\RTDC4019\2017-12-23 --exclude "*" --recursive --include "*20171223*" &amp; "%USERPROFILE%\Documents\GitHub\mrs-test-scripts\Headless Mode &amp; Sideloading\WalkAndUnGZ.bat" "%USERPROFILE%\AppData\Local\Temp\OnboardLogs"\RTDC4019\2017-12-23</v>
      </c>
      <c r="AF212" s="234" t="str">
        <f t="shared" si="142"/>
        <v>"C:\Program Files (x86)\AstroGrep\AstroGrep.exe" /e /r /s /spath="%USERPROFILE%\AppData\Local\Temp\OnboardLogs" /stypes="app*4019*20171222*" /stext=" 11:.+((SYSTEM_STATE.+slice.+state.+changed )|(ment ac)|(multiple cpu faults)|(system.+state.+changed )|(\[timeout)|(PRM\|1\|D)|(kpr)|(kdp)|(train st.+moving)|(\|lc)|(penalty))"</v>
      </c>
      <c r="AG212" s="244" t="str">
        <f t="shared" si="143"/>
        <v>Other</v>
      </c>
      <c r="AH212" s="236" t="str">
        <f t="shared" si="65"/>
        <v>"%USERPROFILE%\Documents\GitHub\eaglep3\Utilities\RefineRTDCRunTimes.py" --tripid 304-22 --locoid 4019 --swversion DE.1.0.9.0 --startMP 300:23580 --initTime 2017-12-22T03:48:07 --startdatetime 2017-12-22T03:52:37 --delay 79 --endMP 204:192 --enddatetime 2017-12-22T04:00:19 --enforcementcount 0 &gt;&gt;%USERPROFILE%\Documents\GitHub\eaglep3-reporting\EC\2017-12-22-refined-times.txt</v>
      </c>
      <c r="AI212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{"issue":{"subject":"","project_id":79,"tracker_id":40,"status_id":1,"priority_id":2,"assigned_to_id":338,"start_date":"2017-12-22","description":"","custom_fields":[{"id":1,"name":"Subdivision","value":"Other"},{"id":4,"name":"Milepost","value":"0.0192"},{"id":17,"name":"Train ID","value":"304-22"},{"id":16,"name":"Locomotive ID","value":"4019"},{"id":130,"name":"Impact","value":""},{"id":150,"name":"Time of Event (Mountain Time)","value":"04:00:19"},{"id":151,"name":"Denver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67"/>
        <v>start /low /b %USERPROFILE%\Documents\GitHub\eaglep3\Utilities\DownloadLogsFromS3.py --loco 4019 --day 2017-12-22</v>
      </c>
      <c r="AN212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69"/>
        <v>https://d0f6bd738d7f1b3e5a7ca70fe4ff75f0.us-east-1.aws.found.io/app/kibana#/discover/Steve-Slow-Train-Analysis-(2080s-and-2083s)?_g=(refreshInterval:(display:Off,pause:!f,section:0,value:0),time:(from:'2017-12-22T02:48:07-0700',mode:absolute,to:'2017-12-22T05:00:19-0700'))&amp;_a=(columns:!('Message%20ID',Summary),filters:!(),index:'emp_*',interval:auto,query:(query_string:(analyze_wildcard:!t,query:'%22rtdc.l.rtdc.4019%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865</v>
      </c>
      <c r="B213" s="225">
        <v>4040</v>
      </c>
      <c r="C213" s="227" t="s">
        <v>192</v>
      </c>
      <c r="D213" s="227" t="s">
        <v>574</v>
      </c>
      <c r="E213" s="226">
        <v>43091.819537037038</v>
      </c>
      <c r="F213" s="226">
        <v>43091.820949074077</v>
      </c>
      <c r="G213" s="225">
        <v>64</v>
      </c>
      <c r="H213" s="227" t="s">
        <v>583</v>
      </c>
      <c r="I213" s="226">
        <v>43091.827662037038</v>
      </c>
      <c r="J213" s="225">
        <v>0</v>
      </c>
      <c r="K213" s="237" t="str">
        <f t="shared" si="133"/>
        <v>4039/4040</v>
      </c>
      <c r="L213" s="245" t="str">
        <f>VLOOKUP(A213,'Trips&amp;Operators'!$C$1:$G$99911,5,FALSE)</f>
        <v>GUNTHIER ERIC</v>
      </c>
      <c r="M213" s="224">
        <f t="shared" si="134"/>
        <v>6.7129629605915397E-3</v>
      </c>
      <c r="N213" s="225">
        <f t="shared" si="152"/>
        <v>9.6666666632518172</v>
      </c>
      <c r="O213" s="225"/>
      <c r="P213" s="225"/>
      <c r="Q213" s="228"/>
      <c r="R213" s="242"/>
      <c r="S213" s="249">
        <f t="shared" si="135"/>
        <v>1</v>
      </c>
      <c r="T213" s="242" t="str">
        <f t="shared" si="136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37"/>
        <v>https://d0f6bd738d7f1b3e5a7ca70fe4ff75f0.us-east-1.aws.found.io/app/kibana#/discover/Steve-Slow-Train-Analysis-(2080s-and-2083s)?_g=(refreshInterval:(display:Off,pause:!f,section:0,value:0),time:(from:'2017-12-22T18:40:08-0700',mode:absolute,to:'2017-12-22T20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47" t="str">
        <f>IF(AA213&lt;VLOOKUP(AG213,Variables!$AC$3:$AD$8,2,FALSE),"Y","N")</f>
        <v>Y</v>
      </c>
      <c r="X213" s="247">
        <f t="shared" si="151"/>
        <v>1</v>
      </c>
      <c r="Y213" s="247">
        <f t="shared" si="149"/>
        <v>5.6399999999999999E-2</v>
      </c>
      <c r="Z213" s="247">
        <f t="shared" si="150"/>
        <v>2.3311999999999999</v>
      </c>
      <c r="AA213" s="247">
        <f t="shared" si="139"/>
        <v>2.2747999999999999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40"/>
        <v>305</v>
      </c>
      <c r="AE213" s="235" t="str">
        <f t="shared" si="141"/>
        <v>aws s3 cp s3://rtdc.mdm.uploadarchive.raw/RTDC4040/ "%USERPROFILE%\AppData\Local\Temp\OnboardLogs"\RTDC4040\2017-12-22 --exclude "*" --recursive --include "*20171222*" &amp; "%USERPROFILE%\Documents\GitHub\mrs-test-scripts\Headless Mode &amp; Sideloading\WalkAndUnGZ.bat" "%USERPROFILE%\AppData\Local\Temp\OnboardLogs"\RTDC4040\2017-12-22 &amp; aws s3 cp s3://rtdc.mdm.uploadarchive.raw/RTDC4040/ "%USERPROFILE%\AppData\Local\Temp\OnboardLogs"\RTDC4040\2017-12-23 --exclude "*" --recursive --include "*20171223*" &amp; "%USERPROFILE%\Documents\GitHub\mrs-test-scripts\Headless Mode &amp; Sideloading\WalkAndUnGZ.bat" "%USERPROFILE%\AppData\Local\Temp\OnboardLogs"\RTDC4040\2017-12-23</v>
      </c>
      <c r="AF213" s="234" t="str">
        <f t="shared" si="142"/>
        <v>"C:\Program Files (x86)\AstroGrep\AstroGrep.exe" /e /r /s /spath="%USERPROFILE%\AppData\Local\Temp\OnboardLogs" /stypes="app*4040*20171223*" /stext=" 02:.+((SYSTEM_STATE.+slice.+state.+changed )|(ment ac)|(multiple cpu faults)|(system.+state.+changed )|(\[timeout)|(PRM\|1\|D)|(kpr)|(kdp)|(train st.+moving)|(\|lc)|(penalty))"</v>
      </c>
      <c r="AG213" s="244" t="str">
        <f t="shared" si="143"/>
        <v>Other</v>
      </c>
      <c r="AH213" s="236" t="str">
        <f t="shared" si="65"/>
        <v>"%USERPROFILE%\Documents\GitHub\eaglep3\Utilities\RefineRTDCRunTimes.py" --tripid 305-22 --locoid 4040 --swversion DE.1.0.9.0 --startMP 204:564 --initTime 2017-12-22T19:40:08 --startdatetime 2017-12-22T19:42:10 --delay 64 --endMP 300:23312 --enddatetime 2017-12-22T19:51:50 --enforcementcount 0 &gt;&gt;%USERPROFILE%\Documents\GitHub\eaglep3-reporting\EC\2017-12-22-refined-times.txt</v>
      </c>
      <c r="AI213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{"issue":{"subject":"","project_id":79,"tracker_id":40,"status_id":1,"priority_id":2,"assigned_to_id":338,"start_date":"2017-12-22","description":"","custom_fields":[{"id":1,"name":"Subdivision","value":"Other"},{"id":4,"name":"Milepost","value":"2.3312"},{"id":17,"name":"Train ID","value":"305-22"},{"id":16,"name":"Locomotive ID","value":"4040"},{"id":130,"name":"Impact","value":""},{"id":150,"name":"Time of Event (Mountain Time)","value":"19:51:50"},{"id":151,"name":"Denver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67"/>
        <v>start /low /b %USERPROFILE%\Documents\GitHub\eaglep3\Utilities\DownloadLogsFromS3.py --loco 4040 --day 2017-12-22</v>
      </c>
      <c r="AN213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69"/>
        <v>https://d0f6bd738d7f1b3e5a7ca70fe4ff75f0.us-east-1.aws.found.io/app/kibana#/discover/Steve-Slow-Train-Analysis-(2080s-and-2083s)?_g=(refreshInterval:(display:Off,pause:!f,section:0,value:0),time:(from:'2017-12-22T18:40:08-0700',mode:absolute,to:'2017-12-22T20:51:50-0700'))&amp;_a=(columns:!('Message%20ID',Summary),filters:!(),index:'emp_*',interval:auto,query:(query_string:(analyze_wildcard:!t,query:'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679</v>
      </c>
      <c r="B214" s="225">
        <v>4005</v>
      </c>
      <c r="C214" s="227" t="s">
        <v>192</v>
      </c>
      <c r="D214" s="227" t="s">
        <v>993</v>
      </c>
      <c r="E214" s="226">
        <v>43091.167372685188</v>
      </c>
      <c r="F214" s="226">
        <v>43091.174259259256</v>
      </c>
      <c r="G214" s="225">
        <v>92</v>
      </c>
      <c r="H214" s="227" t="s">
        <v>562</v>
      </c>
      <c r="I214" s="226">
        <v>43091.180011574077</v>
      </c>
      <c r="J214" s="225">
        <v>0</v>
      </c>
      <c r="K214" s="237" t="str">
        <f t="shared" si="133"/>
        <v>4005/4006</v>
      </c>
      <c r="L214" s="245" t="str">
        <f>VLOOKUP(A214,'Trips&amp;Operators'!$C$1:$G$99911,5,FALSE)</f>
        <v>GEBRETEKLE DAGNEW</v>
      </c>
      <c r="M214" s="224">
        <f t="shared" si="134"/>
        <v>5.7523148207110353E-3</v>
      </c>
      <c r="N214" s="225">
        <f t="shared" si="152"/>
        <v>8.2833333418238908</v>
      </c>
      <c r="O214" s="225"/>
      <c r="P214" s="225"/>
      <c r="Q214" s="228"/>
      <c r="R214" s="242"/>
      <c r="S214" s="249">
        <f t="shared" si="135"/>
        <v>1</v>
      </c>
      <c r="T214" s="242" t="str">
        <f t="shared" si="136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37"/>
        <v>https://d0f6bd738d7f1b3e5a7ca70fe4ff75f0.us-east-1.aws.found.io/app/kibana#/discover/Steve-Slow-Train-Analysis-(2080s-and-2083s)?_g=(refreshInterval:(display:Off,pause:!f,section:0,value:0),time:(from:'2017-12-22T03:01:01-0700',mode:absolute,to:'2017-12-22T05:19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4" s="247" t="str">
        <f>IF(AA214&lt;VLOOKUP(AG214,Variables!$AC$3:$AD$8,2,FALSE),"Y","N")</f>
        <v>Y</v>
      </c>
      <c r="X214" s="247">
        <f t="shared" si="151"/>
        <v>1</v>
      </c>
      <c r="Y214" s="247">
        <f t="shared" si="149"/>
        <v>2.3523000000000001</v>
      </c>
      <c r="Z214" s="247">
        <f t="shared" si="150"/>
        <v>1.5599999999999999E-2</v>
      </c>
      <c r="AA214" s="247">
        <f t="shared" si="139"/>
        <v>2.3367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40"/>
        <v>306</v>
      </c>
      <c r="AE214" s="235" t="str">
        <f t="shared" si="141"/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AF214" s="234" t="str">
        <f t="shared" si="142"/>
        <v>"C:\Program Files (x86)\AstroGrep\AstroGrep.exe" /e /r /s /spath="%USERPROFILE%\AppData\Local\Temp\OnboardLogs" /stypes="app*4005*20171222*" /stext=" 11:.+((SYSTEM_STATE.+slice.+state.+changed )|(ment ac)|(multiple cpu faults)|(system.+state.+changed )|(\[timeout)|(PRM\|1\|D)|(kpr)|(kdp)|(train st.+moving)|(\|lc)|(penalty))"</v>
      </c>
      <c r="AG214" s="244" t="str">
        <f t="shared" si="143"/>
        <v>Other</v>
      </c>
      <c r="AH214" s="236" t="str">
        <f t="shared" si="65"/>
        <v>"%USERPROFILE%\Documents\GitHub\eaglep3\Utilities\RefineRTDCRunTimes.py" --tripid 306-22 --locoid 4005 --swversion DE.1.0.9.0 --startMP 300:23523 --initTime 2017-12-22T04:01:01 --startdatetime 2017-12-22T04:10:56 --delay 92 --endMP 204:156 --enddatetime 2017-12-22T04:19:13 --enforcementcount 0 &gt;&gt;%USERPROFILE%\Documents\GitHub\eaglep3-reporting\EC\2017-12-22-refined-times.txt</v>
      </c>
      <c r="AI214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{"issue":{"subject":"","project_id":79,"tracker_id":40,"status_id":1,"priority_id":2,"assigned_to_id":338,"start_date":"2017-12-22","description":"","custom_fields":[{"id":1,"name":"Subdivision","value":"Other"},{"id":4,"name":"Milepost","value":"0.0156"},{"id":17,"name":"Train ID","value":"306-22"},{"id":16,"name":"Locomotive ID","value":"4005"},{"id":130,"name":"Impact","value":""},{"id":150,"name":"Time of Event (Mountain Time)","value":"04:19:13"},{"id":151,"name":"Denver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67"/>
        <v>start /low /b %USERPROFILE%\Documents\GitHub\eaglep3\Utilities\DownloadLogsFromS3.py --loco 4005 --day 2017-12-22</v>
      </c>
      <c r="AN214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69"/>
        <v>https://d0f6bd738d7f1b3e5a7ca70fe4ff75f0.us-east-1.aws.found.io/app/kibana#/discover/Steve-Slow-Train-Analysis-(2080s-and-2083s)?_g=(refreshInterval:(display:Off,pause:!f,section:0,value:0),time:(from:'2017-12-22T03:01:01-0700',mode:absolute,to:'2017-12-22T05:19:13-0700'))&amp;_a=(columns:!('Message%20ID',Summary),filters:!(),index:'emp_*',interval:auto,query:(query_string:(analyze_wildcard:!t,query:'%22rtdc.l.rtdc.4005%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494</v>
      </c>
      <c r="B215" s="225">
        <v>4044</v>
      </c>
      <c r="C215" s="227" t="s">
        <v>192</v>
      </c>
      <c r="D215" s="227" t="s">
        <v>994</v>
      </c>
      <c r="E215" s="226">
        <v>43092.047476851854</v>
      </c>
      <c r="F215" s="226">
        <v>43092.049305555556</v>
      </c>
      <c r="G215" s="225">
        <v>71</v>
      </c>
      <c r="H215" s="227" t="s">
        <v>647</v>
      </c>
      <c r="I215" s="226">
        <v>43092.057175925926</v>
      </c>
      <c r="J215" s="225">
        <v>0</v>
      </c>
      <c r="K215" s="237" t="str">
        <f t="shared" si="133"/>
        <v>4043/4044</v>
      </c>
      <c r="L215" s="245" t="str">
        <f>VLOOKUP(A215,'Trips&amp;Operators'!$C$1:$G$99911,5,FALSE)</f>
        <v>DAVIDSON DAVID</v>
      </c>
      <c r="M215" s="224">
        <f t="shared" si="134"/>
        <v>7.8703703693463467E-3</v>
      </c>
      <c r="N215" s="225">
        <f t="shared" si="152"/>
        <v>11.333333331858739</v>
      </c>
      <c r="O215" s="225"/>
      <c r="P215" s="225"/>
      <c r="Q215" s="228"/>
      <c r="R215" s="242"/>
      <c r="S215" s="249">
        <f t="shared" si="135"/>
        <v>1</v>
      </c>
      <c r="T215" s="242" t="str">
        <f t="shared" si="136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37"/>
        <v>https://d0f6bd738d7f1b3e5a7ca70fe4ff75f0.us-east-1.aws.found.io/app/kibana#/discover/Steve-Slow-Train-Analysis-(2080s-and-2083s)?_g=(refreshInterval:(display:Off,pause:!f,section:0,value:0),time:(from:'2017-12-23T00:08:22-0700',mode:absolute,to:'2017-12-23T02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47" t="str">
        <f>IF(AA215&lt;VLOOKUP(AG215,Variables!$AC$3:$AD$8,2,FALSE),"Y","N")</f>
        <v>Y</v>
      </c>
      <c r="X215" s="247">
        <f t="shared" si="151"/>
        <v>1</v>
      </c>
      <c r="Y215" s="247">
        <f t="shared" si="149"/>
        <v>5.28E-2</v>
      </c>
      <c r="Z215" s="247">
        <f t="shared" si="150"/>
        <v>2.3302</v>
      </c>
      <c r="AA215" s="247">
        <f t="shared" si="139"/>
        <v>2.2774000000000001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40"/>
        <v>307</v>
      </c>
      <c r="AE215" s="235" t="str">
        <f t="shared" si="141"/>
        <v>aws s3 cp s3://rtdc.mdm.uploadarchive.raw/RTDC4044/ "%USERPROFILE%\AppData\Local\Temp\OnboardLogs"\RTDC4044\2017-12-23 --exclude "*" --recursive --include "*20171223*" &amp; "%USERPROFILE%\Documents\GitHub\mrs-test-scripts\Headless Mode &amp; Sideloading\WalkAndUnGZ.bat" "%USERPROFILE%\AppData\Local\Temp\OnboardLogs"\RTDC4044\2017-12-23 &amp; 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</v>
      </c>
      <c r="AF215" s="234" t="str">
        <f t="shared" si="142"/>
        <v>"C:\Program Files (x86)\AstroGrep\AstroGrep.exe" /e /r /s /spath="%USERPROFILE%\AppData\Local\Temp\OnboardLogs" /stypes="app*4044*20171223*" /stext=" 08:.+((SYSTEM_STATE.+slice.+state.+changed )|(ment ac)|(multiple cpu faults)|(system.+state.+changed )|(\[timeout)|(PRM\|1\|D)|(kpr)|(kdp)|(train st.+moving)|(\|lc)|(penalty))"</v>
      </c>
      <c r="AG215" s="244" t="str">
        <f t="shared" si="143"/>
        <v>Other</v>
      </c>
      <c r="AH215" s="236" t="str">
        <f t="shared" si="65"/>
        <v>"%USERPROFILE%\Documents\GitHub\eaglep3\Utilities\RefineRTDCRunTimes.py" --tripid 307-22 --locoid 4044 --swversion DE.1.0.9.0 --startMP 204:528 --initTime 2017-12-23T01:08:22 --startdatetime 2017-12-23T01:11:00 --delay 71 --endMP 300:23302 --enddatetime 2017-12-23T01:22:20 --enforcementcount 0 &gt;&gt;%USERPROFILE%\Documents\GitHub\eaglep3-reporting\EC\2017-12-22-refined-times.txt</v>
      </c>
      <c r="AI215" s="238" t="str">
        <f t="shared" si="66"/>
        <v>echo {"issue":{"subject":"","project_id":79,"tracker_id":40,"status_id":1,"priority_id":2,"assigned_to_id":338,"start_date":"2017-12-23","description":"","custom_fields":[{"id":1,"name":"Subdivision","value":"Other"},{"id":4,"name":"Milepost","value":"2.3302"},{"id":17,"name":"Train ID","value":"307-22"},{"id":16,"name":"Locomotive ID","value":"4044"},{"id":130,"name":"Impact","value":""},{"id":150,"name":"Time of Event (Mountain Time)","value":"01:22:20"},{"id":151,"name":"Denver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67"/>
        <v>start /low /b %USERPROFILE%\Documents\GitHub\eaglep3\Utilities\DownloadLogsFromS3.py --loco 4044 --day 2017-12-23</v>
      </c>
      <c r="AN215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69"/>
        <v>https://d0f6bd738d7f1b3e5a7ca70fe4ff75f0.us-east-1.aws.found.io/app/kibana#/discover/Steve-Slow-Train-Analysis-(2080s-and-2083s)?_g=(refreshInterval:(display:Off,pause:!f,section:0,value:0),time:(from:'2017-12-23T00:08:22-0700',mode:absolute,to:'2017-12-23T02:22:20-0700'))&amp;_a=(columns:!('Message%20ID',Summary),filters:!(),index:'emp_*',interval:auto,query:(query_string:(analyze_wildcard:!t,query:'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682</v>
      </c>
      <c r="B216" s="225">
        <v>4061</v>
      </c>
      <c r="C216" s="227" t="s">
        <v>192</v>
      </c>
      <c r="D216" s="227" t="s">
        <v>995</v>
      </c>
      <c r="E216" s="226">
        <v>43091.174363425926</v>
      </c>
      <c r="F216" s="226">
        <v>43091.178796296299</v>
      </c>
      <c r="G216" s="225">
        <v>83</v>
      </c>
      <c r="H216" s="227" t="s">
        <v>442</v>
      </c>
      <c r="I216" s="226">
        <v>43091.190300925926</v>
      </c>
      <c r="J216" s="225">
        <v>0</v>
      </c>
      <c r="K216" s="237" t="str">
        <f t="shared" si="133"/>
        <v>4061/4062</v>
      </c>
      <c r="L216" s="245" t="str">
        <f>VLOOKUP(A216,'Trips&amp;Operators'!$C$1:$G$99911,5,FALSE)</f>
        <v>LOPES KIMBERLY</v>
      </c>
      <c r="M216" s="224">
        <f t="shared" si="134"/>
        <v>1.1504629626870155E-2</v>
      </c>
      <c r="N216" s="225">
        <f t="shared" si="152"/>
        <v>16.566666662693024</v>
      </c>
      <c r="O216" s="225"/>
      <c r="P216" s="225"/>
      <c r="Q216" s="228"/>
      <c r="R216" s="242"/>
      <c r="S216" s="249">
        <f t="shared" si="135"/>
        <v>1</v>
      </c>
      <c r="T216" s="242" t="str">
        <f t="shared" si="136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37"/>
        <v>https://d0f6bd738d7f1b3e5a7ca70fe4ff75f0.us-east-1.aws.found.io/app/kibana#/discover/Steve-Slow-Train-Analysis-(2080s-and-2083s)?_g=(refreshInterval:(display:Off,pause:!f,section:0,value:0),time:(from:'2017-12-22T03:11:05-0700',mode:absolute,to:'2017-12-22T05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47" t="str">
        <f>IF(AA216&lt;VLOOKUP(AG216,Variables!$AC$3:$AD$8,2,FALSE),"Y","N")</f>
        <v>Y</v>
      </c>
      <c r="X216" s="247">
        <f t="shared" si="151"/>
        <v>1</v>
      </c>
      <c r="Y216" s="247">
        <f t="shared" si="149"/>
        <v>2.3340999999999998</v>
      </c>
      <c r="Z216" s="247">
        <f t="shared" si="150"/>
        <v>2.07E-2</v>
      </c>
      <c r="AA216" s="247">
        <f t="shared" si="139"/>
        <v>2.3133999999999997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40"/>
        <v>308</v>
      </c>
      <c r="AE216" s="235" t="str">
        <f t="shared" si="141"/>
        <v>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 &amp; aws s3 cp s3://rtdc.mdm.uploadarchive.raw/RTDC4061/ "%USERPROFILE%\AppData\Local\Temp\OnboardLogs"\RTDC4061\2017-12-23 --exclude "*" --recursive --include "*20171223*" &amp; "%USERPROFILE%\Documents\GitHub\mrs-test-scripts\Headless Mode &amp; Sideloading\WalkAndUnGZ.bat" "%USERPROFILE%\AppData\Local\Temp\OnboardLogs"\RTDC4061\2017-12-23</v>
      </c>
      <c r="AF216" s="234" t="str">
        <f t="shared" si="142"/>
        <v>"C:\Program Files (x86)\AstroGrep\AstroGrep.exe" /e /r /s /spath="%USERPROFILE%\AppData\Local\Temp\OnboardLogs" /stypes="app*4061*20171222*" /stext=" 11:.+((SYSTEM_STATE.+slice.+state.+changed )|(ment ac)|(multiple cpu faults)|(system.+state.+changed )|(\[timeout)|(PRM\|1\|D)|(kpr)|(kdp)|(train st.+moving)|(\|lc)|(penalty))"</v>
      </c>
      <c r="AG216" s="244" t="str">
        <f t="shared" si="143"/>
        <v>Other</v>
      </c>
      <c r="AH216" s="236" t="str">
        <f t="shared" si="65"/>
        <v>"%USERPROFILE%\Documents\GitHub\eaglep3\Utilities\RefineRTDCRunTimes.py" --tripid 308-22 --locoid 4061 --swversion DE.1.0.9.0 --startMP 300:23341 --initTime 2017-12-22T04:11:05 --startdatetime 2017-12-22T04:17:28 --delay 83 --endMP 204:207 --enddatetime 2017-12-22T04:34:02 --enforcementcount 0 &gt;&gt;%USERPROFILE%\Documents\GitHub\eaglep3-reporting\EC\2017-12-22-refined-times.txt</v>
      </c>
      <c r="AI216" s="238" t="str">
        <f t="shared" si="66"/>
        <v>echo {"issue":{"subject":"","project_id":79,"tracker_id":40,"status_id":1,"priority_id":2,"assigned_to_id":338,"start_date":"2017-12-22","description":"","custom_fields":[{"id":1,"name":"Subdivision","value":"Other"},{"id":4,"name":"Milepost","value":"0.0207"},{"id":17,"name":"Train ID","value":"308-22"},{"id":16,"name":"Locomotive ID","value":"4061"},{"id":130,"name":"Impact","value":""},{"id":150,"name":"Time of Event (Mountain Time)","value":"04:34:02"},{"id":151,"name":"Denver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67"/>
        <v>start /low /b %USERPROFILE%\Documents\GitHub\eaglep3\Utilities\DownloadLogsFromS3.py --loco 4061 --day 2017-12-22</v>
      </c>
      <c r="AN216" s="241" t="str">
        <f t="shared" si="68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9"/>
        <v>https://d0f6bd738d7f1b3e5a7ca70fe4ff75f0.us-east-1.aws.found.io/app/kibana#/discover/Steve-Slow-Train-Analysis-(2080s-and-2083s)?_g=(refreshInterval:(display:Off,pause:!f,section:0,value:0),time:(from:'2017-12-22T03:11:05-0700',mode:absolute,to:'2017-12-22T05:34:02-0700'))&amp;_a=(columns:!('Message%20ID',Summary),filters:!(),index:'emp_*',interval:auto,query:(query_string:(analyze_wildcard:!t,query:'%22rtdc.l.rtdc.4061%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496</v>
      </c>
      <c r="B217" s="225">
        <v>4020</v>
      </c>
      <c r="C217" s="227" t="s">
        <v>192</v>
      </c>
      <c r="D217" s="227" t="s">
        <v>576</v>
      </c>
      <c r="E217" s="226">
        <v>43092.069120370368</v>
      </c>
      <c r="F217" s="226">
        <v>43092.071481481478</v>
      </c>
      <c r="G217" s="225">
        <v>79</v>
      </c>
      <c r="H217" s="227" t="s">
        <v>649</v>
      </c>
      <c r="I217" s="226">
        <v>43092.080266203702</v>
      </c>
      <c r="J217" s="225">
        <v>0</v>
      </c>
      <c r="K217" s="237" t="str">
        <f t="shared" si="133"/>
        <v>4019/4020</v>
      </c>
      <c r="L217" s="245" t="str">
        <f>VLOOKUP(A217,'Trips&amp;Operators'!$C$1:$G$99911,5,FALSE)</f>
        <v>NICHOLSON WESLEY</v>
      </c>
      <c r="M217" s="224">
        <f t="shared" si="134"/>
        <v>8.7847222239361145E-3</v>
      </c>
      <c r="N217" s="225">
        <f t="shared" si="152"/>
        <v>12.650000002468005</v>
      </c>
      <c r="O217" s="225"/>
      <c r="P217" s="225"/>
      <c r="Q217" s="228"/>
      <c r="R217" s="242"/>
      <c r="S217" s="249">
        <f t="shared" si="135"/>
        <v>1</v>
      </c>
      <c r="T217" s="242" t="str">
        <f t="shared" si="136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37"/>
        <v>https://d0f6bd738d7f1b3e5a7ca70fe4ff75f0.us-east-1.aws.found.io/app/kibana#/discover/Steve-Slow-Train-Analysis-(2080s-and-2083s)?_g=(refreshInterval:(display:Off,pause:!f,section:0,value:0),time:(from:'2017-12-23T00:39:32-0700',mode:absolute,to:'2017-12-23T02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247" t="str">
        <f>IF(AA217&lt;VLOOKUP(AG217,Variables!$AC$3:$AD$8,2,FALSE),"Y","N")</f>
        <v>Y</v>
      </c>
      <c r="X217" s="247">
        <f t="shared" si="151"/>
        <v>1</v>
      </c>
      <c r="Y217" s="247">
        <f t="shared" si="149"/>
        <v>5.4800000000000001E-2</v>
      </c>
      <c r="Z217" s="247">
        <f t="shared" si="150"/>
        <v>2.3306</v>
      </c>
      <c r="AA217" s="247">
        <f t="shared" si="139"/>
        <v>2.2757999999999998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40"/>
        <v>309</v>
      </c>
      <c r="AE217" s="235" t="str">
        <f t="shared" si="141"/>
        <v>aws s3 cp s3://rtdc.mdm.uploadarchive.raw/RTDC4020/ "%USERPROFILE%\AppData\Local\Temp\OnboardLogs"\RTDC4020\2017-12-23 --exclude "*" --recursive --include "*20171223*" &amp; "%USERPROFILE%\Documents\GitHub\mrs-test-scripts\Headless Mode &amp; Sideloading\WalkAndUnGZ.bat" "%USERPROFILE%\AppData\Local\Temp\OnboardLogs"\RTDC4020\2017-12-23 &amp; aws s3 cp s3://rtdc.mdm.uploadarchive.raw/RTDC4020/ "%USERPROFILE%\AppData\Local\Temp\OnboardLogs"\RTDC4020\2017-12-24 --exclude "*" --recursive --include "*20171224*" &amp; "%USERPROFILE%\Documents\GitHub\mrs-test-scripts\Headless Mode &amp; Sideloading\WalkAndUnGZ.bat" "%USERPROFILE%\AppData\Local\Temp\OnboardLogs"\RTDC4020\2017-12-24</v>
      </c>
      <c r="AF217" s="234" t="str">
        <f t="shared" si="142"/>
        <v>"C:\Program Files (x86)\AstroGrep\AstroGrep.exe" /e /r /s /spath="%USERPROFILE%\AppData\Local\Temp\OnboardLogs" /stypes="app*4020*20171223*" /stext=" 08:.+((SYSTEM_STATE.+slice.+state.+changed )|(ment ac)|(multiple cpu faults)|(system.+state.+changed )|(\[timeout)|(PRM\|1\|D)|(kpr)|(kdp)|(train st.+moving)|(\|lc)|(penalty))"</v>
      </c>
      <c r="AG217" s="244" t="str">
        <f t="shared" si="143"/>
        <v>Other</v>
      </c>
      <c r="AH217" s="236" t="str">
        <f t="shared" si="65"/>
        <v>"%USERPROFILE%\Documents\GitHub\eaglep3\Utilities\RefineRTDCRunTimes.py" --tripid 309-22 --locoid 4020 --swversion DE.1.0.9.0 --startMP 204:548 --initTime 2017-12-23T01:39:32 --startdatetime 2017-12-23T01:42:56 --delay 79 --endMP 300:23306 --enddatetime 2017-12-23T01:55:35 --enforcementcount 0 &gt;&gt;%USERPROFILE%\Documents\GitHub\eaglep3-reporting\EC\2017-12-22-refined-times.txt</v>
      </c>
      <c r="AI217" s="238" t="str">
        <f t="shared" si="66"/>
        <v>echo {"issue":{"subject":"","project_id":79,"tracker_id":40,"status_id":1,"priority_id":2,"assigned_to_id":338,"start_date":"2017-12-23","description":"","custom_fields":[{"id":1,"name":"Subdivision","value":"Other"},{"id":4,"name":"Milepost","value":"2.3306"},{"id":17,"name":"Train ID","value":"309-22"},{"id":16,"name":"Locomotive ID","value":"4020"},{"id":130,"name":"Impact","value":""},{"id":150,"name":"Time of Event (Mountain Time)","value":"01:55:35"},{"id":151,"name":"Denver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67"/>
        <v>start /low /b %USERPROFILE%\Documents\GitHub\eaglep3\Utilities\DownloadLogsFromS3.py --loco 4020 --day 2017-12-23</v>
      </c>
      <c r="AN217" s="241" t="str">
        <f t="shared" si="68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08:55:35"},{"id":29,"name":"Sharepoint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9"/>
        <v>https://d0f6bd738d7f1b3e5a7ca70fe4ff75f0.us-east-1.aws.found.io/app/kibana#/discover/Steve-Slow-Train-Analysis-(2080s-and-2083s)?_g=(refreshInterval:(display:Off,pause:!f,section:0,value:0),time:(from:'2017-12-23T00:39:32-0700',mode:absolute,to:'2017-12-23T02:55:35-0700'))&amp;_a=(columns:!('Message%20ID',Summary),filters:!(),index:'emp_*',interval:auto,query:(query_string:(analyze_wildcard:!t,query:'%22rtdc.l.rtdc.4020%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686</v>
      </c>
      <c r="B218" s="225">
        <v>4007</v>
      </c>
      <c r="C218" s="227" t="s">
        <v>192</v>
      </c>
      <c r="D218" s="227" t="s">
        <v>996</v>
      </c>
      <c r="E218" s="226">
        <v>43091.199421296296</v>
      </c>
      <c r="F218" s="226">
        <v>43091.202013888891</v>
      </c>
      <c r="G218" s="225">
        <v>68</v>
      </c>
      <c r="H218" s="227" t="s">
        <v>632</v>
      </c>
      <c r="I218" s="226">
        <v>43091.207546296297</v>
      </c>
      <c r="J218" s="225">
        <v>0</v>
      </c>
      <c r="K218" s="237" t="str">
        <f t="shared" si="133"/>
        <v>4007/4008</v>
      </c>
      <c r="L218" s="245" t="str">
        <f>VLOOKUP(A218,'Trips&amp;Operators'!$C$1:$G$99911,5,FALSE)</f>
        <v>MACDONALD THOMAS</v>
      </c>
      <c r="M218" s="224">
        <f t="shared" si="134"/>
        <v>5.5324074055533856E-3</v>
      </c>
      <c r="N218" s="225">
        <f t="shared" si="152"/>
        <v>7.9666666639968753</v>
      </c>
      <c r="O218" s="225"/>
      <c r="P218" s="225"/>
      <c r="Q218" s="228"/>
      <c r="R218" s="242"/>
      <c r="S218" s="249">
        <f t="shared" si="135"/>
        <v>1</v>
      </c>
      <c r="T218" s="242" t="str">
        <f t="shared" si="136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37"/>
        <v>https://d0f6bd738d7f1b3e5a7ca70fe4ff75f0.us-east-1.aws.found.io/app/kibana#/discover/Steve-Slow-Train-Analysis-(2080s-and-2083s)?_g=(refreshInterval:(display:Off,pause:!f,section:0,value:0),time:(from:'2017-12-22T03:47:10-0700',mode:absolute,to:'2017-12-22T05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247" t="str">
        <f>IF(AA218&lt;VLOOKUP(AG218,Variables!$AC$3:$AD$8,2,FALSE),"Y","N")</f>
        <v>Y</v>
      </c>
      <c r="X218" s="247">
        <f t="shared" si="151"/>
        <v>1</v>
      </c>
      <c r="Y218" s="247">
        <f t="shared" si="149"/>
        <v>2.3601000000000001</v>
      </c>
      <c r="Z218" s="247">
        <f t="shared" si="150"/>
        <v>2.6200000000000001E-2</v>
      </c>
      <c r="AA218" s="247">
        <f t="shared" si="139"/>
        <v>2.3338999999999999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40"/>
        <v>310</v>
      </c>
      <c r="AE218" s="235" t="str">
        <f t="shared" si="141"/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AF218" s="234" t="str">
        <f t="shared" si="142"/>
        <v>"C:\Program Files (x86)\AstroGrep\AstroGrep.exe" /e /r /s /spath="%USERPROFILE%\AppData\Local\Temp\OnboardLogs" /stypes="app*4007*20171222*" /stext=" 11:.+((SYSTEM_STATE.+slice.+state.+changed )|(ment ac)|(multiple cpu faults)|(system.+state.+changed )|(\[timeout)|(PRM\|1\|D)|(kpr)|(kdp)|(train st.+moving)|(\|lc)|(penalty))"</v>
      </c>
      <c r="AG218" s="244" t="str">
        <f t="shared" si="143"/>
        <v>Other</v>
      </c>
      <c r="AH218" s="236" t="str">
        <f t="shared" ref="AH218:AH244" si="153"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310-22 --locoid 4007 --swversion DE.1.0.9.0 --startMP 300:23601 --initTime 2017-12-22T04:47:10 --startdatetime 2017-12-22T04:50:54 --delay 68 --endMP 204:262 --enddatetime 2017-12-22T04:58:52 --enforcementcount 0 &gt;&gt;%USERPROFILE%\Documents\GitHub\eaglep3-reporting\EC\2017-12-22-refined-times.txt</v>
      </c>
      <c r="AI218" s="238" t="str">
        <f t="shared" ref="AI218:AI244" si="154"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{"issue":{"subject":"","project_id":79,"tracker_id":40,"status_id":1,"priority_id":2,"assigned_to_id":338,"start_date":"2017-12-22","description":"","custom_fields":[{"id":1,"name":"Subdivision","value":"Other"},{"id":4,"name":"Milepost","value":"0.0262"},{"id":17,"name":"Train ID","value":"310-22"},{"id":16,"name":"Locomotive ID","value":"4007"},{"id":130,"name":"Impact","value":""},{"id":150,"name":"Time of Event (Mountain Time)","value":"04:58:52"},{"id":151,"name":"Denver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ref="AM218:AM244" si="155">"start /low /b "&amp;dls3logs&amp;" --loco "&amp;B218&amp;" --day "&amp;TEXT(F218,"YYYY-MM-DD")</f>
        <v>start /low /b %USERPROFILE%\Documents\GitHub\eaglep3\Utilities\DownloadLogsFromS3.py --loco 4007 --day 2017-12-22</v>
      </c>
      <c r="AN218" s="241" t="str">
        <f t="shared" ref="AN218:AN244" si="156">"echo {""issue"":{""subject"":"""&amp;R218&amp;""",""project_id"":30,""tracker_id"":4,""status_id"":"&amp;redmine_status_wcr&amp;",""priority_id"":"&amp;redmine_priority_wcr&amp;",""assigned_to_id"":"&amp;redmine_assignee_wcr&amp;",""start_date"":"""&amp;TEXT(I218-utc_offset/24,"YYYY-mm-dd")&amp;""",""description"":"""&amp;AJ218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11:58:52"},{"id":29,"name":"Sharepoint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ref="AO218:AO244" si="157"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Message%20ID',Summary),filters:!(),index:'emp_*',interval:auto,query:"&amp;"(query_string:(analyze_wildcard:!t,query:'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-22T03:47:10-0700',mode:absolute,to:'2017-12-22T05:58:52-0700'))&amp;_a=(columns:!('Message%20ID',Summary),filters:!(),index:'emp_*',interval:auto,query:(query_string:(analyze_wildcard:!t,query:'%22rtdc.l.rtdc.4007%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497</v>
      </c>
      <c r="B219" s="225">
        <v>4006</v>
      </c>
      <c r="C219" s="227" t="s">
        <v>192</v>
      </c>
      <c r="D219" s="227" t="s">
        <v>644</v>
      </c>
      <c r="E219" s="226">
        <v>43092.086377314816</v>
      </c>
      <c r="F219" s="226">
        <v>43092.087812500002</v>
      </c>
      <c r="G219" s="225">
        <v>66</v>
      </c>
      <c r="H219" s="227" t="s">
        <v>645</v>
      </c>
      <c r="I219" s="226">
        <v>43092.095023148147</v>
      </c>
      <c r="J219" s="225">
        <v>0</v>
      </c>
      <c r="K219" s="237" t="str">
        <f t="shared" si="133"/>
        <v>4005/4006</v>
      </c>
      <c r="L219" s="245" t="str">
        <f>VLOOKUP(A219,'Trips&amp;Operators'!$C$1:$G$99911,5,FALSE)</f>
        <v>ELBAUM MIKE</v>
      </c>
      <c r="M219" s="224">
        <f t="shared" si="134"/>
        <v>7.2106481457012706E-3</v>
      </c>
      <c r="N219" s="225">
        <f t="shared" si="152"/>
        <v>10.38333332980983</v>
      </c>
      <c r="O219" s="225"/>
      <c r="P219" s="225"/>
      <c r="Q219" s="228"/>
      <c r="R219" s="242"/>
      <c r="S219" s="249">
        <f t="shared" si="135"/>
        <v>1</v>
      </c>
      <c r="T219" s="242" t="str">
        <f t="shared" si="136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37"/>
        <v>https://d0f6bd738d7f1b3e5a7ca70fe4ff75f0.us-east-1.aws.found.io/app/kibana#/discover/Steve-Slow-Train-Analysis-(2080s-and-2083s)?_g=(refreshInterval:(display:Off,pause:!f,section:0,value:0),time:(from:'2017-12-23T01:04:23-0700',mode:absolute,to:'2017-12-23T03:16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247" t="str">
        <f>IF(AA219&lt;VLOOKUP(AG219,Variables!$AC$3:$AD$8,2,FALSE),"Y","N")</f>
        <v>Y</v>
      </c>
      <c r="X219" s="247">
        <f t="shared" si="151"/>
        <v>1</v>
      </c>
      <c r="Y219" s="247">
        <f t="shared" si="149"/>
        <v>5.6800000000000003E-2</v>
      </c>
      <c r="Z219" s="247">
        <f t="shared" si="150"/>
        <v>2.3294999999999999</v>
      </c>
      <c r="AA219" s="247">
        <f t="shared" si="139"/>
        <v>2.2726999999999999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40"/>
        <v>311</v>
      </c>
      <c r="AE219" s="235" t="str">
        <f t="shared" si="141"/>
        <v>aws s3 cp s3://rtdc.mdm.uploadarchive.raw/RTDC4006/ "%USERPROFILE%\AppData\Local\Temp\OnboardLogs"\RTDC4006\2017-12-23 --exclude "*" --recursive --include "*20171223*" &amp; "%USERPROFILE%\Documents\GitHub\mrs-test-scripts\Headless Mode &amp; Sideloading\WalkAndUnGZ.bat" "%USERPROFILE%\AppData\Local\Temp\OnboardLogs"\RTDC4006\2017-12-23 &amp; 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</v>
      </c>
      <c r="AF219" s="234" t="str">
        <f t="shared" si="142"/>
        <v>"C:\Program Files (x86)\AstroGrep\AstroGrep.exe" /e /r /s /spath="%USERPROFILE%\AppData\Local\Temp\OnboardLogs" /stypes="app*4006*20171223*" /stext=" 09:.+((SYSTEM_STATE.+slice.+state.+changed )|(ment ac)|(multiple cpu faults)|(system.+state.+changed )|(\[timeout)|(PRM\|1\|D)|(kpr)|(kdp)|(train st.+moving)|(\|lc)|(penalty))"</v>
      </c>
      <c r="AG219" s="244" t="str">
        <f t="shared" si="143"/>
        <v>Other</v>
      </c>
      <c r="AH219" s="236" t="str">
        <f t="shared" si="153"/>
        <v>"%USERPROFILE%\Documents\GitHub\eaglep3\Utilities\RefineRTDCRunTimes.py" --tripid 311-22 --locoid 4006 --swversion DE.1.0.9.0 --startMP 204:568 --initTime 2017-12-23T02:04:23 --startdatetime 2017-12-23T02:06:27 --delay 66 --endMP 300:23295 --enddatetime 2017-12-23T02:16:50 --enforcementcount 0 &gt;&gt;%USERPROFILE%\Documents\GitHub\eaglep3-reporting\EC\2017-12-22-refined-times.txt</v>
      </c>
      <c r="AI219" s="238" t="str">
        <f t="shared" si="154"/>
        <v>echo {"issue":{"subject":"","project_id":79,"tracker_id":40,"status_id":1,"priority_id":2,"assigned_to_id":338,"start_date":"2017-12-23","description":"","custom_fields":[{"id":1,"name":"Subdivision","value":"Other"},{"id":4,"name":"Milepost","value":"2.3295"},{"id":17,"name":"Train ID","value":"311-22"},{"id":16,"name":"Locomotive ID","value":"4006"},{"id":130,"name":"Impact","value":""},{"id":150,"name":"Time of Event (Mountain Time)","value":"02:16:50"},{"id":151,"name":"Denver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55"/>
        <v>start /low /b %USERPROFILE%\Documents\GitHub\eaglep3\Utilities\DownloadLogsFromS3.py --loco 4006 --day 2017-12-23</v>
      </c>
      <c r="AN219" s="241" t="str">
        <f t="shared" si="156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09:16:50"},{"id":29,"name":"Sharepoint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57"/>
        <v>https://d0f6bd738d7f1b3e5a7ca70fe4ff75f0.us-east-1.aws.found.io/app/kibana#/discover/Steve-Slow-Train-Analysis-(2080s-and-2083s)?_g=(refreshInterval:(display:Off,pause:!f,section:0,value:0),time:(from:'2017-12-23T01:04:23-0700',mode:absolute,to:'2017-12-23T03:16:50-0700'))&amp;_a=(columns:!('Message%20ID',Summary),filters:!(),index:'emp_*',interval:auto,query:(query_string:(analyze_wildcard:!t,query:'%22rtdc.l.rtdc.4006%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694</v>
      </c>
      <c r="B220" s="225">
        <v>4039</v>
      </c>
      <c r="C220" s="227" t="s">
        <v>192</v>
      </c>
      <c r="D220" s="227" t="s">
        <v>997</v>
      </c>
      <c r="E220" s="226">
        <v>43091.220486111109</v>
      </c>
      <c r="F220" s="226">
        <v>43091.223703703705</v>
      </c>
      <c r="G220" s="225">
        <v>59</v>
      </c>
      <c r="H220" s="227" t="s">
        <v>562</v>
      </c>
      <c r="I220" s="226">
        <v>43091.229502314818</v>
      </c>
      <c r="J220" s="225">
        <v>0</v>
      </c>
      <c r="K220" s="237" t="str">
        <f t="shared" si="133"/>
        <v>4039/4040</v>
      </c>
      <c r="L220" s="245" t="str">
        <f>VLOOKUP(A220,'Trips&amp;Operators'!$C$1:$G$99911,5,FALSE)</f>
        <v>YANAI IAN</v>
      </c>
      <c r="M220" s="224">
        <f t="shared" si="134"/>
        <v>5.7986111132777296E-3</v>
      </c>
      <c r="N220" s="225">
        <f t="shared" si="152"/>
        <v>8.3500000031199306</v>
      </c>
      <c r="O220" s="225"/>
      <c r="P220" s="225"/>
      <c r="Q220" s="228"/>
      <c r="R220" s="242"/>
      <c r="S220" s="249">
        <f t="shared" si="135"/>
        <v>1</v>
      </c>
      <c r="T220" s="242" t="str">
        <f t="shared" si="136"/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37"/>
        <v>https://d0f6bd738d7f1b3e5a7ca70fe4ff75f0.us-east-1.aws.found.io/app/kibana#/discover/Steve-Slow-Train-Analysis-(2080s-and-2083s)?_g=(refreshInterval:(display:Off,pause:!f,section:0,value:0),time:(from:'2017-12-22T04:17:30-0700',mode:absolute,to:'2017-12-22T06:30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247" t="str">
        <f>IF(AA220&lt;VLOOKUP(AG220,Variables!$AC$3:$AD$8,2,FALSE),"Y","N")</f>
        <v>Y</v>
      </c>
      <c r="X220" s="247">
        <f t="shared" si="151"/>
        <v>1</v>
      </c>
      <c r="Y220" s="247">
        <f t="shared" si="149"/>
        <v>2.3734999999999999</v>
      </c>
      <c r="Z220" s="247">
        <f t="shared" si="150"/>
        <v>1.5599999999999999E-2</v>
      </c>
      <c r="AA220" s="247">
        <f t="shared" si="139"/>
        <v>2.3578999999999999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40"/>
        <v>312</v>
      </c>
      <c r="AE220" s="235" t="str">
        <f t="shared" si="141"/>
        <v>aws s3 cp s3://rtdc.mdm.uploadarchive.raw/RTDC4039/ "%USERPROFILE%\AppData\Local\Temp\OnboardLogs"\RTDC4039\2017-12-22 --exclude "*" --recursive --include "*20171222*" &amp; "%USERPROFILE%\Documents\GitHub\mrs-test-scripts\Headless Mode &amp; Sideloading\WalkAndUnGZ.bat" "%USERPROFILE%\AppData\Local\Temp\OnboardLogs"\RTDC4039\2017-12-22 &amp; aws s3 cp s3://rtdc.mdm.uploadarchive.raw/RTDC4039/ "%USERPROFILE%\AppData\Local\Temp\OnboardLogs"\RTDC4039\2017-12-23 --exclude "*" --recursive --include "*20171223*" &amp; "%USERPROFILE%\Documents\GitHub\mrs-test-scripts\Headless Mode &amp; Sideloading\WalkAndUnGZ.bat" "%USERPROFILE%\AppData\Local\Temp\OnboardLogs"\RTDC4039\2017-12-23</v>
      </c>
      <c r="AF220" s="234" t="str">
        <f t="shared" si="142"/>
        <v>"C:\Program Files (x86)\AstroGrep\AstroGrep.exe" /e /r /s /spath="%USERPROFILE%\AppData\Local\Temp\OnboardLogs" /stypes="app*4039*20171222*" /stext=" 12:.+((SYSTEM_STATE.+slice.+state.+changed )|(ment ac)|(multiple cpu faults)|(system.+state.+changed )|(\[timeout)|(PRM\|1\|D)|(kpr)|(kdp)|(train st.+moving)|(\|lc)|(penalty))"</v>
      </c>
      <c r="AG220" s="244" t="str">
        <f t="shared" si="143"/>
        <v>Other</v>
      </c>
      <c r="AH220" s="236" t="str">
        <f t="shared" si="153"/>
        <v>"%USERPROFILE%\Documents\GitHub\eaglep3\Utilities\RefineRTDCRunTimes.py" --tripid 312-22 --locoid 4039 --swversion DE.1.0.9.0 --startMP 300:23735 --initTime 2017-12-22T05:17:30 --startdatetime 2017-12-22T05:22:08 --delay 59 --endMP 204:156 --enddatetime 2017-12-22T05:30:29 --enforcementcount 0 &gt;&gt;%USERPROFILE%\Documents\GitHub\eaglep3-reporting\EC\2017-12-22-refined-times.txt</v>
      </c>
      <c r="AI220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{"issue":{"subject":"","project_id":79,"tracker_id":40,"status_id":1,"priority_id":2,"assigned_to_id":338,"start_date":"2017-12-22","description":"","custom_fields":[{"id":1,"name":"Subdivision","value":"Other"},{"id":4,"name":"Milepost","value":"0.0156"},{"id":17,"name":"Train ID","value":"312-22"},{"id":16,"name":"Locomotive ID","value":"4039"},{"id":130,"name":"Impact","value":""},{"id":150,"name":"Time of Event (Mountain Time)","value":"05:30:29"},{"id":151,"name":"Denver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55"/>
        <v>start /low /b %USERPROFILE%\Documents\GitHub\eaglep3\Utilities\DownloadLogsFromS3.py --loco 4039 --day 2017-12-22</v>
      </c>
      <c r="AN220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57"/>
        <v>https://d0f6bd738d7f1b3e5a7ca70fe4ff75f0.us-east-1.aws.found.io/app/kibana#/discover/Steve-Slow-Train-Analysis-(2080s-and-2083s)?_g=(refreshInterval:(display:Off,pause:!f,section:0,value:0),time:(from:'2017-12-22T04:17:30-0700',mode:absolute,to:'2017-12-22T06:30:29-0700'))&amp;_a=(columns:!('Message%20ID',Summary),filters:!(),index:'emp_*',interval:auto,query:(query_string:(analyze_wildcard:!t,query:'%22rtdc.l.rtdc.4039%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689</v>
      </c>
      <c r="B221" s="225">
        <v>4042</v>
      </c>
      <c r="C221" s="227" t="s">
        <v>192</v>
      </c>
      <c r="D221" s="227" t="s">
        <v>1066</v>
      </c>
      <c r="E221" s="226">
        <v>43091.204652777778</v>
      </c>
      <c r="F221" s="226">
        <v>43091.208229166667</v>
      </c>
      <c r="G221" s="225">
        <v>51</v>
      </c>
      <c r="H221" s="227" t="s">
        <v>1067</v>
      </c>
      <c r="I221" s="226">
        <v>43091.214178240742</v>
      </c>
      <c r="J221" s="225">
        <v>0</v>
      </c>
      <c r="K221" s="237" t="str">
        <f t="shared" si="133"/>
        <v>4041/4042</v>
      </c>
      <c r="L221" s="245" t="str">
        <f>VLOOKUP(A221,'Trips&amp;Operators'!$C$1:$G$99911,5,FALSE)</f>
        <v>WILLIAMS DONTE</v>
      </c>
      <c r="M221" s="224">
        <f t="shared" si="134"/>
        <v>5.9490740750334226E-3</v>
      </c>
      <c r="N221" s="225">
        <f t="shared" si="152"/>
        <v>8.5666666680481285</v>
      </c>
      <c r="O221" s="225"/>
      <c r="P221" s="225"/>
      <c r="Q221" s="228"/>
      <c r="R221" s="242"/>
      <c r="S221" s="249">
        <f t="shared" si="135"/>
        <v>0</v>
      </c>
      <c r="T221" s="242" t="str">
        <f t="shared" si="136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 t="shared" si="137"/>
        <v>https://d0f6bd738d7f1b3e5a7ca70fe4ff75f0.us-east-1.aws.found.io/app/kibana#/discover/Steve-Slow-Train-Analysis-(2080s-and-2083s)?_g=(refreshInterval:(display:Off,pause:!f,section:0,value:0),time:(from:'2017-12-22T03:54:42-0700',mode:absolute,to:'2017-12-22T06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47" t="str">
        <f>IF(AA221&lt;VLOOKUP(AG221,Variables!$AC$3:$AD$8,2,FALSE),"Y","N")</f>
        <v>Y</v>
      </c>
      <c r="X221" s="247">
        <f t="shared" si="151"/>
        <v>589</v>
      </c>
      <c r="Y221" s="247">
        <f t="shared" si="149"/>
        <v>2.9771000000000001</v>
      </c>
      <c r="Z221" s="247">
        <f t="shared" si="150"/>
        <v>5.8929</v>
      </c>
      <c r="AA221" s="247">
        <f t="shared" si="139"/>
        <v>2.9157999999999999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40"/>
        <v>901</v>
      </c>
      <c r="AE221" s="235" t="str">
        <f t="shared" si="141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221" s="234" t="str">
        <f t="shared" si="142"/>
        <v>"C:\Program Files (x86)\AstroGrep\AstroGrep.exe" /e /r /s /spath="%USERPROFILE%\AppData\Local\Temp\OnboardLogs" /stypes="app*4042*20171222*" /stext=" 12:.+((SYSTEM_STATE.+slice.+state.+changed )|(ment ac)|(multiple cpu faults)|(system.+state.+changed )|(\[timeout)|(PRM\|1\|D)|(kpr)|(kdp)|(train st.+moving)|(\|lc)|(penalty))"</v>
      </c>
      <c r="AG221" s="244" t="str">
        <f t="shared" si="143"/>
        <v>Other</v>
      </c>
      <c r="AH221" s="236" t="str">
        <f t="shared" si="153"/>
        <v>"%USERPROFILE%\Documents\GitHub\eaglep3\Utilities\RefineRTDCRunTimes.py" --tripid 901-22 --locoid 4042 --swversion DE.1.0.9.0 --startMP 300:29771 --initTime 2017-12-22T04:54:42 --startdatetime 2017-12-22T04:59:51 --delay 51 --endMP 300:58929 --enddatetime 2017-12-22T05:08:25 --enforcementcount 0 &gt;&gt;%USERPROFILE%\Documents\GitHub\eaglep3-reporting\EC\2017-12-22-refined-times.txt</v>
      </c>
      <c r="AI221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{"issue":{"subject":"","project_id":79,"tracker_id":40,"status_id":1,"priority_id":2,"assigned_to_id":338,"start_date":"2017-12-22","description":"","custom_fields":[{"id":1,"name":"Subdivision","value":"Other"},{"id":4,"name":"Milepost","value":"5.8929"},{"id":17,"name":"Train ID","value":"901-22"},{"id":16,"name":"Locomotive ID","value":"4042"},{"id":130,"name":"Impact","value":""},{"id":150,"name":"Time of Event (Mountain Time)","value":"05:08:25"},{"id":151,"name":"Denver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55"/>
        <v>start /low /b %USERPROFILE%\Documents\GitHub\eaglep3\Utilities\DownloadLogsFromS3.py --loco 4042 --day 2017-12-22</v>
      </c>
      <c r="AN221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57"/>
        <v>https://d0f6bd738d7f1b3e5a7ca70fe4ff75f0.us-east-1.aws.found.io/app/kibana#/discover/Steve-Slow-Train-Analysis-(2080s-and-2083s)?_g=(refreshInterval:(display:Off,pause:!f,section:0,value:0),time:(from:'2017-12-22T03:54:42-0700',mode:absolute,to:'2017-12-22T06:08:25-0700'))&amp;_a=(columns:!('Message%20ID',Summary),filters:!(),index:'emp_*',interval:auto,query:(query_string:(analyze_wildcard:!t,query:'%22rtdc.l.rtdc.4042%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702</v>
      </c>
      <c r="B222" s="225">
        <v>4015</v>
      </c>
      <c r="C222" s="227" t="s">
        <v>192</v>
      </c>
      <c r="D222" s="227" t="s">
        <v>1068</v>
      </c>
      <c r="E222" s="226">
        <v>43091.243344907409</v>
      </c>
      <c r="F222" s="226">
        <v>43091.24596064815</v>
      </c>
      <c r="G222" s="225">
        <v>106</v>
      </c>
      <c r="H222" s="227" t="s">
        <v>653</v>
      </c>
      <c r="I222" s="226">
        <v>43091.251550925925</v>
      </c>
      <c r="J222" s="225">
        <v>0</v>
      </c>
      <c r="K222" s="237" t="str">
        <f t="shared" si="133"/>
        <v>4015/4016</v>
      </c>
      <c r="L222" s="245" t="str">
        <f>VLOOKUP(A222,'Trips&amp;Operators'!$C$1:$G$99911,5,FALSE)</f>
        <v>DELGADO DIANAH</v>
      </c>
      <c r="M222" s="224">
        <f t="shared" si="134"/>
        <v>5.5902777748997323E-3</v>
      </c>
      <c r="N222" s="225">
        <f t="shared" si="152"/>
        <v>8.0499999958556145</v>
      </c>
      <c r="O222" s="225"/>
      <c r="P222" s="225"/>
      <c r="Q222" s="228"/>
      <c r="R222" s="242"/>
      <c r="S222" s="249">
        <f t="shared" si="135"/>
        <v>1</v>
      </c>
      <c r="T222" s="242" t="str">
        <f t="shared" si="136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 t="shared" si="137"/>
        <v>https://d0f6bd738d7f1b3e5a7ca70fe4ff75f0.us-east-1.aws.found.io/app/kibana#/discover/Steve-Slow-Train-Analysis-(2080s-and-2083s)?_g=(refreshInterval:(display:Off,pause:!f,section:0,value:0),time:(from:'2017-12-22T04:50:25-0700',mode:absolute,to:'2017-12-22T07:02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47" t="str">
        <f>IF(AA222&lt;VLOOKUP(AG222,Variables!$AC$3:$AD$8,2,FALSE),"Y","N")</f>
        <v>Y</v>
      </c>
      <c r="X222" s="247">
        <f t="shared" si="151"/>
        <v>1</v>
      </c>
      <c r="Y222" s="247">
        <f t="shared" si="149"/>
        <v>2.3378999999999999</v>
      </c>
      <c r="Z222" s="247">
        <f t="shared" si="150"/>
        <v>1.26E-2</v>
      </c>
      <c r="AA222" s="247">
        <f t="shared" si="139"/>
        <v>2.3252999999999999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40"/>
        <v>902</v>
      </c>
      <c r="AE222" s="235" t="str">
        <f t="shared" si="141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222" s="234" t="str">
        <f t="shared" si="142"/>
        <v>"C:\Program Files (x86)\AstroGrep\AstroGrep.exe" /e /r /s /spath="%USERPROFILE%\AppData\Local\Temp\OnboardLogs" /stypes="app*4015*20171222*" /stext=" 13:.+((SYSTEM_STATE.+slice.+state.+changed )|(ment ac)|(multiple cpu faults)|(system.+state.+changed )|(\[timeout)|(PRM\|1\|D)|(kpr)|(kdp)|(train st.+moving)|(\|lc)|(penalty))"</v>
      </c>
      <c r="AG222" s="244" t="str">
        <f t="shared" si="143"/>
        <v>Other</v>
      </c>
      <c r="AH222" s="236" t="str">
        <f t="shared" si="153"/>
        <v>"%USERPROFILE%\Documents\GitHub\eaglep3\Utilities\RefineRTDCRunTimes.py" --tripid 902-22 --locoid 4015 --swversion DE.1.0.9.0 --startMP 300:23379 --initTime 2017-12-22T05:50:25 --startdatetime 2017-12-22T05:54:11 --delay 106 --endMP 204:126 --enddatetime 2017-12-22T06:02:14 --enforcementcount 0 &gt;&gt;%USERPROFILE%\Documents\GitHub\eaglep3-reporting\EC\2017-12-22-refined-times.txt</v>
      </c>
      <c r="AI222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{"issue":{"subject":"","project_id":79,"tracker_id":40,"status_id":1,"priority_id":2,"assigned_to_id":338,"start_date":"2017-12-22","description":"","custom_fields":[{"id":1,"name":"Subdivision","value":"Other"},{"id":4,"name":"Milepost","value":"0.0126"},{"id":17,"name":"Train ID","value":"902-22"},{"id":16,"name":"Locomotive ID","value":"4015"},{"id":130,"name":"Impact","value":""},{"id":150,"name":"Time of Event (Mountain Time)","value":"06:02:14"},{"id":151,"name":"Denver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55"/>
        <v>start /low /b %USERPROFILE%\Documents\GitHub\eaglep3\Utilities\DownloadLogsFromS3.py --loco 4015 --day 2017-12-22</v>
      </c>
      <c r="AN222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13:02:14"},{"id":29,"name":"Sharepoint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57"/>
        <v>https://d0f6bd738d7f1b3e5a7ca70fe4ff75f0.us-east-1.aws.found.io/app/kibana#/discover/Steve-Slow-Train-Analysis-(2080s-and-2083s)?_g=(refreshInterval:(display:Off,pause:!f,section:0,value:0),time:(from:'2017-12-22T04:50:25-0700',mode:absolute,to:'2017-12-22T07:02:14-0700'))&amp;_a=(columns:!('Message%20ID',Summary),filters:!(),index:'emp_*',interval:auto,query:(query_string:(analyze_wildcard:!t,query:'%22rtdc.l.rtdc.4015%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733</v>
      </c>
      <c r="B223" s="225">
        <v>4042</v>
      </c>
      <c r="C223" s="227" t="s">
        <v>192</v>
      </c>
      <c r="D223" s="227" t="s">
        <v>1069</v>
      </c>
      <c r="E223" s="226">
        <v>43091.35261574074</v>
      </c>
      <c r="F223" s="226">
        <v>43091.356435185182</v>
      </c>
      <c r="G223" s="225">
        <v>67</v>
      </c>
      <c r="H223" s="227" t="s">
        <v>1070</v>
      </c>
      <c r="I223" s="226">
        <v>43091.363807870373</v>
      </c>
      <c r="J223" s="225">
        <v>0</v>
      </c>
      <c r="K223" s="237" t="str">
        <f t="shared" si="133"/>
        <v>4041/4042</v>
      </c>
      <c r="L223" s="245" t="str">
        <f>VLOOKUP(A223,'Trips&amp;Operators'!$C$1:$G$99911,5,FALSE)</f>
        <v>WILLIAMS DONTE</v>
      </c>
      <c r="M223" s="224">
        <f t="shared" si="134"/>
        <v>7.3726851915125735E-3</v>
      </c>
      <c r="N223" s="225">
        <f t="shared" si="152"/>
        <v>10.616666675778106</v>
      </c>
      <c r="O223" s="225"/>
      <c r="P223" s="225"/>
      <c r="Q223" s="228"/>
      <c r="R223" s="242"/>
      <c r="S223" s="249">
        <f t="shared" si="135"/>
        <v>1</v>
      </c>
      <c r="T223" s="242" t="str">
        <f t="shared" si="136"/>
        <v>NorthBound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37"/>
        <v>https://d0f6bd738d7f1b3e5a7ca70fe4ff75f0.us-east-1.aws.found.io/app/kibana#/discover/Steve-Slow-Train-Analysis-(2080s-and-2083s)?_g=(refreshInterval:(display:Off,pause:!f,section:0,value:0),time:(from:'2017-12-22T07:27:46-0700',mode:absolute,to:'2017-12-22T09:43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247" t="str">
        <f>IF(AA223&lt;VLOOKUP(AG223,Variables!$AC$3:$AD$8,2,FALSE),"Y","N")</f>
        <v>Y</v>
      </c>
      <c r="X223" s="247">
        <f t="shared" si="151"/>
        <v>1</v>
      </c>
      <c r="Y223" s="247">
        <f t="shared" si="149"/>
        <v>3.7900000000000003E-2</v>
      </c>
      <c r="Z223" s="247">
        <f t="shared" si="150"/>
        <v>2.4207000000000001</v>
      </c>
      <c r="AA223" s="247">
        <f t="shared" si="139"/>
        <v>2.3828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40"/>
        <v>903</v>
      </c>
      <c r="AE223" s="235" t="str">
        <f t="shared" si="141"/>
        <v>aws s3 cp s3://rtdc.mdm.uploadarchive.raw/RTDC4042/ "%USERPROFILE%\AppData\Local\Temp\OnboardLogs"\RTDC4042\2017-12-22 --exclude "*" --recursive --include "*20171222*" &amp; "%USERPROFILE%\Documents\GitHub\mrs-test-scripts\Headless Mode &amp; Sideloading\WalkAndUnGZ.bat" "%USERPROFILE%\AppData\Local\Temp\OnboardLogs"\RTDC4042\2017-12-22 &amp; aws s3 cp s3://rtdc.mdm.uploadarchive.raw/RTDC4042/ "%USERPROFILE%\AppData\Local\Temp\OnboardLogs"\RTDC4042\2017-12-23 --exclude "*" --recursive --include "*20171223*" &amp; "%USERPROFILE%\Documents\GitHub\mrs-test-scripts\Headless Mode &amp; Sideloading\WalkAndUnGZ.bat" "%USERPROFILE%\AppData\Local\Temp\OnboardLogs"\RTDC4042\2017-12-23</v>
      </c>
      <c r="AF223" s="234" t="str">
        <f t="shared" si="142"/>
        <v>"C:\Program Files (x86)\AstroGrep\AstroGrep.exe" /e /r /s /spath="%USERPROFILE%\AppData\Local\Temp\OnboardLogs" /stypes="app*4042*20171222*" /stext=" 15:.+((SYSTEM_STATE.+slice.+state.+changed )|(ment ac)|(multiple cpu faults)|(system.+state.+changed )|(\[timeout)|(PRM\|1\|D)|(kpr)|(kdp)|(train st.+moving)|(\|lc)|(penalty))"</v>
      </c>
      <c r="AG223" s="244" t="str">
        <f t="shared" si="143"/>
        <v>Other</v>
      </c>
      <c r="AH223" s="236" t="str">
        <f t="shared" si="153"/>
        <v>"%USERPROFILE%\Documents\GitHub\eaglep3\Utilities\RefineRTDCRunTimes.py" --tripid 903-22 --locoid 4042 --swversion DE.1.0.9.0 --startMP 204:379 --initTime 2017-12-22T08:27:46 --startdatetime 2017-12-22T08:33:16 --delay 67 --endMP 300:24207 --enddatetime 2017-12-22T08:43:53 --enforcementcount 0 &gt;&gt;%USERPROFILE%\Documents\GitHub\eaglep3-reporting\EC\2017-12-22-refined-times.txt</v>
      </c>
      <c r="AI223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{"issue":{"subject":"","project_id":79,"tracker_id":40,"status_id":1,"priority_id":2,"assigned_to_id":338,"start_date":"2017-12-22","description":"","custom_fields":[{"id":1,"name":"Subdivision","value":"Other"},{"id":4,"name":"Milepost","value":"2.4207"},{"id":17,"name":"Train ID","value":"903-22"},{"id":16,"name":"Locomotive ID","value":"4042"},{"id":130,"name":"Impact","value":""},{"id":150,"name":"Time of Event (Mountain Time)","value":"08:43:53"},{"id":151,"name":"Denver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55"/>
        <v>start /low /b %USERPROFILE%\Documents\GitHub\eaglep3\Utilities\DownloadLogsFromS3.py --loco 4042 --day 2017-12-22</v>
      </c>
      <c r="AN223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15:43:53"},{"id":29,"name":"Sharepoint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57"/>
        <v>https://d0f6bd738d7f1b3e5a7ca70fe4ff75f0.us-east-1.aws.found.io/app/kibana#/discover/Steve-Slow-Train-Analysis-(2080s-and-2083s)?_g=(refreshInterval:(display:Off,pause:!f,section:0,value:0),time:(from:'2017-12-22T07:27:46-0700',mode:absolute,to:'2017-12-22T09:43:53-0700'))&amp;_a=(columns:!('Message%20ID',Summary),filters:!(),index:'emp_*',interval:auto,query:(query_string:(analyze_wildcard:!t,query:'%22rtdc.l.rtdc.4042%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809</v>
      </c>
      <c r="B224" s="225">
        <v>4041</v>
      </c>
      <c r="C224" s="227" t="s">
        <v>192</v>
      </c>
      <c r="D224" s="227" t="s">
        <v>1071</v>
      </c>
      <c r="E224" s="226">
        <v>43091.634826388887</v>
      </c>
      <c r="F224" s="226">
        <v>43091.637499999997</v>
      </c>
      <c r="G224" s="225">
        <v>55</v>
      </c>
      <c r="H224" s="227" t="s">
        <v>1048</v>
      </c>
      <c r="I224" s="226">
        <v>43091.643182870372</v>
      </c>
      <c r="J224" s="225">
        <v>0</v>
      </c>
      <c r="K224" s="237" t="str">
        <f t="shared" si="133"/>
        <v>4041/4042</v>
      </c>
      <c r="L224" s="245" t="str">
        <f>VLOOKUP(A224,'Trips&amp;Operators'!$C$1:$G$99911,5,FALSE)</f>
        <v>SMITH MICHAEL</v>
      </c>
      <c r="M224" s="224">
        <f t="shared" si="134"/>
        <v>5.6828703745850362E-3</v>
      </c>
      <c r="N224" s="225">
        <f t="shared" si="152"/>
        <v>8.1833333394024521</v>
      </c>
      <c r="O224" s="225"/>
      <c r="P224" s="225"/>
      <c r="Q224" s="228"/>
      <c r="R224" s="242"/>
      <c r="S224" s="249">
        <f t="shared" si="135"/>
        <v>1</v>
      </c>
      <c r="T224" s="242" t="str">
        <f t="shared" si="136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 t="shared" si="137"/>
        <v>https://d0f6bd738d7f1b3e5a7ca70fe4ff75f0.us-east-1.aws.found.io/app/kibana#/discover/Steve-Slow-Train-Analysis-(2080s-and-2083s)?_g=(refreshInterval:(display:Off,pause:!f,section:0,value:0),time:(from:'2017-12-22T14:14:09-0700',mode:absolute,to:'2017-12-22T16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247" t="str">
        <f>IF(AA224&lt;VLOOKUP(AG224,Variables!$AC$3:$AD$8,2,FALSE),"Y","N")</f>
        <v>Y</v>
      </c>
      <c r="X224" s="247">
        <f t="shared" si="151"/>
        <v>1</v>
      </c>
      <c r="Y224" s="247">
        <f t="shared" si="149"/>
        <v>2.3452999999999999</v>
      </c>
      <c r="Z224" s="247">
        <f t="shared" si="150"/>
        <v>1.29E-2</v>
      </c>
      <c r="AA224" s="247">
        <f t="shared" si="139"/>
        <v>2.3323999999999998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40"/>
        <v>904</v>
      </c>
      <c r="AE224" s="235" t="str">
        <f t="shared" si="141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224" s="234" t="str">
        <f t="shared" si="142"/>
        <v>"C:\Program Files (x86)\AstroGrep\AstroGrep.exe" /e /r /s /spath="%USERPROFILE%\AppData\Local\Temp\OnboardLogs" /stypes="app*4041*20171222*" /stext=" 22:.+((SYSTEM_STATE.+slice.+state.+changed )|(ment ac)|(multiple cpu faults)|(system.+state.+changed )|(\[timeout)|(PRM\|1\|D)|(kpr)|(kdp)|(train st.+moving)|(\|lc)|(penalty))"</v>
      </c>
      <c r="AG224" s="244" t="str">
        <f t="shared" si="143"/>
        <v>Other</v>
      </c>
      <c r="AH224" s="236" t="str">
        <f t="shared" si="153"/>
        <v>"%USERPROFILE%\Documents\GitHub\eaglep3\Utilities\RefineRTDCRunTimes.py" --tripid 904-22 --locoid 4041 --swversion DE.1.0.9.0 --startMP 300:23453 --initTime 2017-12-22T15:14:09 --startdatetime 2017-12-22T15:18:00 --delay 55 --endMP 204:129 --enddatetime 2017-12-22T15:26:11 --enforcementcount 0 &gt;&gt;%USERPROFILE%\Documents\GitHub\eaglep3-reporting\EC\2017-12-22-refined-times.txt</v>
      </c>
      <c r="AI224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{"issue":{"subject":"","project_id":79,"tracker_id":40,"status_id":1,"priority_id":2,"assigned_to_id":338,"start_date":"2017-12-22","description":"","custom_fields":[{"id":1,"name":"Subdivision","value":"Other"},{"id":4,"name":"Milepost","value":"0.0129"},{"id":17,"name":"Train ID","value":"904-22"},{"id":16,"name":"Locomotive ID","value":"4041"},{"id":130,"name":"Impact","value":""},{"id":150,"name":"Time of Event (Mountain Time)","value":"15:26:11"},{"id":151,"name":"Denver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55"/>
        <v>start /low /b %USERPROFILE%\Documents\GitHub\eaglep3\Utilities\DownloadLogsFromS3.py --loco 4041 --day 2017-12-22</v>
      </c>
      <c r="AN224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22:26:11"},{"id":29,"name":"Sharepoint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57"/>
        <v>https://d0f6bd738d7f1b3e5a7ca70fe4ff75f0.us-east-1.aws.found.io/app/kibana#/discover/Steve-Slow-Train-Analysis-(2080s-and-2083s)?_g=(refreshInterval:(display:Off,pause:!f,section:0,value:0),time:(from:'2017-12-22T14:14:09-0700',mode:absolute,to:'2017-12-22T16:26:11-0700'))&amp;_a=(columns:!('Message%20ID',Summary),filters:!(),index:'emp_*',interval:auto,query:(query_string:(analyze_wildcard:!t,query:'%22rtdc.l.rtdc.4041%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9" t="s">
        <v>857</v>
      </c>
      <c r="B225" s="225">
        <v>4041</v>
      </c>
      <c r="C225" s="227" t="s">
        <v>192</v>
      </c>
      <c r="D225" s="227" t="s">
        <v>1072</v>
      </c>
      <c r="E225" s="226">
        <v>43091.789050925923</v>
      </c>
      <c r="F225" s="226">
        <v>43091.790879629632</v>
      </c>
      <c r="G225" s="225">
        <v>57</v>
      </c>
      <c r="H225" s="227" t="s">
        <v>1073</v>
      </c>
      <c r="I225" s="226">
        <v>43091.795810185184</v>
      </c>
      <c r="J225" s="225">
        <v>0</v>
      </c>
      <c r="K225" s="237" t="str">
        <f t="shared" si="133"/>
        <v>4041/4042</v>
      </c>
      <c r="L225" s="245" t="str">
        <f>VLOOKUP(A225,'Trips&amp;Operators'!$C$1:$G$99911,5,FALSE)</f>
        <v>SMITH MICHAEL</v>
      </c>
      <c r="M225" s="224">
        <f t="shared" si="134"/>
        <v>4.9305555512546562E-3</v>
      </c>
      <c r="N225" s="225">
        <f t="shared" si="152"/>
        <v>7.0999999938067049</v>
      </c>
      <c r="O225" s="225"/>
      <c r="P225" s="225"/>
      <c r="Q225" s="228"/>
      <c r="R225" s="242"/>
      <c r="S225" s="249">
        <f t="shared" si="135"/>
        <v>0</v>
      </c>
      <c r="T225" s="242" t="str">
        <f t="shared" si="136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37"/>
        <v>https://d0f6bd738d7f1b3e5a7ca70fe4ff75f0.us-east-1.aws.found.io/app/kibana#/discover/Steve-Slow-Train-Analysis-(2080s-and-2083s)?_g=(refreshInterval:(display:Off,pause:!f,section:0,value:0),time:(from:'2017-12-22T17:56:14-0700',mode:absolute,to:'2017-12-22T20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247" t="str">
        <f>IF(AA225&lt;VLOOKUP(AG225,Variables!$AC$3:$AD$8,2,FALSE),"Y","N")</f>
        <v>Y</v>
      </c>
      <c r="X225" s="247">
        <f t="shared" si="151"/>
        <v>2</v>
      </c>
      <c r="Y225" s="247">
        <f t="shared" si="149"/>
        <v>5.8624000000000001</v>
      </c>
      <c r="Z225" s="247">
        <f t="shared" si="150"/>
        <v>2.8763000000000001</v>
      </c>
      <c r="AA225" s="247">
        <f t="shared" si="139"/>
        <v>2.9861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40"/>
        <v>906</v>
      </c>
      <c r="AE225" s="235" t="str">
        <f t="shared" si="141"/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AF225" s="234" t="str">
        <f t="shared" si="142"/>
        <v>"C:\Program Files (x86)\AstroGrep\AstroGrep.exe" /e /r /s /spath="%USERPROFILE%\AppData\Local\Temp\OnboardLogs" /stypes="app*4041*20171223*" /stext=" 02:.+((SYSTEM_STATE.+slice.+state.+changed )|(ment ac)|(multiple cpu faults)|(system.+state.+changed )|(\[timeout)|(PRM\|1\|D)|(kpr)|(kdp)|(train st.+moving)|(\|lc)|(penalty))"</v>
      </c>
      <c r="AG225" s="244" t="str">
        <f t="shared" si="143"/>
        <v>Other</v>
      </c>
      <c r="AH225" s="236" t="str">
        <f t="shared" si="153"/>
        <v>"%USERPROFILE%\Documents\GitHub\eaglep3\Utilities\RefineRTDCRunTimes.py" --tripid 906-22 --locoid 4041 --swversion DE.1.0.9.0 --startMP 300:58624 --initTime 2017-12-22T18:56:14 --startdatetime 2017-12-22T18:58:52 --delay 57 --endMP 300:28763 --enddatetime 2017-12-22T19:05:58 --enforcementcount 0 &gt;&gt;%USERPROFILE%\Documents\GitHub\eaglep3-reporting\EC\2017-12-22-refined-times.txt</v>
      </c>
      <c r="AI225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{"issue":{"subject":"","project_id":79,"tracker_id":40,"status_id":1,"priority_id":2,"assigned_to_id":338,"start_date":"2017-12-22","description":"","custom_fields":[{"id":1,"name":"Subdivision","value":"Other"},{"id":4,"name":"Milepost","value":"2.8763"},{"id":17,"name":"Train ID","value":"906-22"},{"id":16,"name":"Locomotive ID","value":"4041"},{"id":130,"name":"Impact","value":""},{"id":150,"name":"Time of Event (Mountain Time)","value":"19:05:58"},{"id":151,"name":"Denver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55"/>
        <v>start /low /b %USERPROFILE%\Documents\GitHub\eaglep3\Utilities\DownloadLogsFromS3.py --loco 4041 --day 2017-12-22</v>
      </c>
      <c r="AN225" s="241" t="str">
        <f t="shared" si="156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02:05:58"},{"id":29,"name":"Sharepoint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57"/>
        <v>https://d0f6bd738d7f1b3e5a7ca70fe4ff75f0.us-east-1.aws.found.io/app/kibana#/discover/Steve-Slow-Train-Analysis-(2080s-and-2083s)?_g=(refreshInterval:(display:Off,pause:!f,section:0,value:0),time:(from:'2017-12-22T17:56:14-0700',mode:absolute,to:'2017-12-22T20:05:58-0700'))&amp;_a=(columns:!('Message%20ID',Summary),filters:!(),index:'emp_*',interval:auto,query:(query_string:(analyze_wildcard:!t,query:'%22rtdc.l.rtdc.4041%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888</v>
      </c>
      <c r="B226" s="225">
        <v>4015</v>
      </c>
      <c r="C226" s="227" t="s">
        <v>192</v>
      </c>
      <c r="D226" s="227" t="s">
        <v>547</v>
      </c>
      <c r="E226" s="226">
        <v>43091.976504629631</v>
      </c>
      <c r="F226" s="226">
        <v>43091.978252314817</v>
      </c>
      <c r="G226" s="225">
        <v>57</v>
      </c>
      <c r="H226" s="227" t="s">
        <v>1074</v>
      </c>
      <c r="I226" s="226">
        <v>43091.987187500003</v>
      </c>
      <c r="J226" s="225">
        <v>0</v>
      </c>
      <c r="K226" s="237" t="str">
        <f t="shared" si="133"/>
        <v>4015/4016</v>
      </c>
      <c r="L226" s="245" t="str">
        <f>VLOOKUP(A226,'Trips&amp;Operators'!$C$1:$G$99911,5,FALSE)</f>
        <v>SMITH MICHAEL</v>
      </c>
      <c r="M226" s="224">
        <f t="shared" si="134"/>
        <v>8.9351851856918074E-3</v>
      </c>
      <c r="N226" s="225">
        <f t="shared" si="152"/>
        <v>12.866666667396203</v>
      </c>
      <c r="O226" s="225"/>
      <c r="P226" s="225"/>
      <c r="Q226" s="228"/>
      <c r="R226" s="242"/>
      <c r="S226" s="249">
        <f t="shared" si="135"/>
        <v>0</v>
      </c>
      <c r="T226" s="242" t="str">
        <f t="shared" si="136"/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37"/>
        <v>https://d0f6bd738d7f1b3e5a7ca70fe4ff75f0.us-east-1.aws.found.io/app/kibana#/discover/Steve-Slow-Train-Analysis-(2080s-and-2083s)?_g=(refreshInterval:(display:Off,pause:!f,section:0,value:0),time:(from:'2017-12-22T22:26:10-0700',mode:absolute,to:'2017-12-23T00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47" t="str">
        <f>IF(AA226&lt;VLOOKUP(AG226,Variables!$AC$3:$AD$8,2,FALSE),"Y","N")</f>
        <v>Y</v>
      </c>
      <c r="X226" s="247">
        <f t="shared" si="151"/>
        <v>2</v>
      </c>
      <c r="Y226" s="247">
        <f t="shared" si="149"/>
        <v>5.8674999999999997</v>
      </c>
      <c r="Z226" s="247">
        <f t="shared" si="150"/>
        <v>2.8788</v>
      </c>
      <c r="AA226" s="247">
        <f t="shared" si="139"/>
        <v>2.9886999999999997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40"/>
        <v>908</v>
      </c>
      <c r="AE226" s="235" t="str">
        <f t="shared" si="141"/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AF226" s="234" t="str">
        <f t="shared" si="142"/>
        <v>"C:\Program Files (x86)\AstroGrep\AstroGrep.exe" /e /r /s /spath="%USERPROFILE%\AppData\Local\Temp\OnboardLogs" /stypes="app*4015*20171223*" /stext=" 06:.+((SYSTEM_STATE.+slice.+state.+changed )|(ment ac)|(multiple cpu faults)|(system.+state.+changed )|(\[timeout)|(PRM\|1\|D)|(kpr)|(kdp)|(train st.+moving)|(\|lc)|(penalty))"</v>
      </c>
      <c r="AG226" s="244" t="str">
        <f t="shared" si="143"/>
        <v>Other</v>
      </c>
      <c r="AH226" s="236" t="str">
        <f t="shared" si="153"/>
        <v>"%USERPROFILE%\Documents\GitHub\eaglep3\Utilities\RefineRTDCRunTimes.py" --tripid 908-22 --locoid 4015 --swversion DE.1.0.9.0 --startMP 300:58675 --initTime 2017-12-22T23:26:10 --startdatetime 2017-12-22T23:28:41 --delay 57 --endMP 300:28788 --enddatetime 2017-12-22T23:41:33 --enforcementcount 0 &gt;&gt;%USERPROFILE%\Documents\GitHub\eaglep3-reporting\EC\2017-12-22-refined-times.txt</v>
      </c>
      <c r="AI226" s="238" t="str">
        <f t="shared" si="154"/>
        <v>echo {"issue":{"subject":"","project_id":79,"tracker_id":40,"status_id":1,"priority_id":2,"assigned_to_id":338,"start_date":"2017-12-22","description":"","custom_fields":[{"id":1,"name":"Subdivision","value":"Other"},{"id":4,"name":"Milepost","value":"2.8788"},{"id":17,"name":"Train ID","value":"908-22"},{"id":16,"name":"Locomotive ID","value":"4015"},{"id":130,"name":"Impact","value":""},{"id":150,"name":"Time of Event (Mountain Time)","value":"23:41:33"},{"id":151,"name":"Denver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55"/>
        <v>start /low /b %USERPROFILE%\Documents\GitHub\eaglep3\Utilities\DownloadLogsFromS3.py --loco 4015 --day 2017-12-22</v>
      </c>
      <c r="AN226" s="241" t="str">
        <f t="shared" si="156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06:41:33"},{"id":29,"name":"Sharepoint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57"/>
        <v>https://d0f6bd738d7f1b3e5a7ca70fe4ff75f0.us-east-1.aws.found.io/app/kibana#/discover/Steve-Slow-Train-Analysis-(2080s-and-2083s)?_g=(refreshInterval:(display:Off,pause:!f,section:0,value:0),time:(from:'2017-12-22T22:26:10-0700',mode:absolute,to:'2017-12-23T00:41:33-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229" t="s">
        <v>669</v>
      </c>
      <c r="B227" s="225">
        <v>4010</v>
      </c>
      <c r="C227" s="227" t="s">
        <v>192</v>
      </c>
      <c r="D227" s="227" t="s">
        <v>998</v>
      </c>
      <c r="E227" s="226">
        <v>43091.125011574077</v>
      </c>
      <c r="F227" s="226">
        <v>43091.136793981481</v>
      </c>
      <c r="G227" s="225">
        <v>128</v>
      </c>
      <c r="H227" s="227" t="s">
        <v>999</v>
      </c>
      <c r="I227" s="226">
        <v>43091.138113425928</v>
      </c>
      <c r="J227" s="225">
        <v>0</v>
      </c>
      <c r="K227" s="237" t="str">
        <f t="shared" si="133"/>
        <v>4009/4010</v>
      </c>
      <c r="L227" s="245" t="str">
        <f>VLOOKUP(A227,'Trips&amp;Operators'!$C$1:$G$99911,5,FALSE)</f>
        <v>SPECTOR MICHAEL</v>
      </c>
      <c r="M227" s="224">
        <f t="shared" si="134"/>
        <v>1.3194444472901523E-3</v>
      </c>
      <c r="N227" s="225">
        <f t="shared" si="152"/>
        <v>1.9000000040978193</v>
      </c>
      <c r="O227" s="225"/>
      <c r="P227" s="225"/>
      <c r="Q227" s="228"/>
      <c r="R227" s="242"/>
      <c r="S227" s="249">
        <f t="shared" si="135"/>
        <v>0</v>
      </c>
      <c r="T227" s="242" t="str">
        <f t="shared" si="136"/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37"/>
        <v>https://d0f6bd738d7f1b3e5a7ca70fe4ff75f0.us-east-1.aws.found.io/app/kibana#/discover/Steve-Slow-Train-Analysis-(2080s-and-2083s)?_g=(refreshInterval:(display:Off,pause:!f,section:0,value:0),time:(from:'2017-12-22T02:00:01-0700',mode:absolute,to:'2017-12-22T04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247" t="str">
        <f>IF(AA227&lt;VLOOKUP(AG227,Variables!$AC$3:$AD$8,2,FALSE),"Y","N")</f>
        <v>Y</v>
      </c>
      <c r="X227" s="247">
        <f t="shared" si="151"/>
        <v>-857</v>
      </c>
      <c r="Y227" s="247">
        <f t="shared" si="149"/>
        <v>4.2700000000000002E-2</v>
      </c>
      <c r="Z227" s="247">
        <f t="shared" si="150"/>
        <v>0.35460000000000003</v>
      </c>
      <c r="AA227" s="247">
        <f t="shared" si="139"/>
        <v>0.31190000000000001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40"/>
        <v>51</v>
      </c>
      <c r="AE227" s="235" t="str">
        <f t="shared" si="141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227" s="234" t="str">
        <f t="shared" si="142"/>
        <v>"C:\Program Files (x86)\AstroGrep\AstroGrep.exe" /e /r /s /spath="%USERPROFILE%\AppData\Local\Temp\OnboardLogs" /stypes="app*4010*20171222*" /stext=" 10:.+((SYSTEM_STATE.+slice.+state.+changed )|(ment ac)|(multiple cpu faults)|(system.+state.+changed )|(\[timeout)|(PRM\|1\|D)|(kpr)|(kdp)|(train st.+moving)|(\|lc)|(penalty))"</v>
      </c>
      <c r="AG227" s="244" t="str">
        <f t="shared" si="143"/>
        <v>Shuttle/Test</v>
      </c>
      <c r="AH227" s="236" t="str">
        <f t="shared" si="153"/>
        <v>"%USERPROFILE%\Documents\GitHub\eaglep3\Utilities\RefineRTDCRunTimes.py" --tripid 51-22 --locoid 4010 --swversion DE.1.0.9.0 --startMP 204:427 --initTime 2017-12-22T03:00:01 --startdatetime 2017-12-22T03:16:59 --delay 128 --endMP 204:3546 --enddatetime 2017-12-22T03:18:53 --enforcementcount 0 &gt;&gt;%USERPROFILE%\Documents\GitHub\eaglep3-reporting\EC\2017-12-22-refined-times.txt</v>
      </c>
      <c r="AI227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0.3546"},{"id":17,"name":"Train ID","value":"51-22"},{"id":16,"name":"Locomotive ID","value":"4010"},{"id":130,"name":"Impact","value":""},{"id":150,"name":"Time of Event (Mountain Time)","value":"03:18:53"},{"id":151,"name":"Denver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55"/>
        <v>start /low /b %USERPROFILE%\Documents\GitHub\eaglep3\Utilities\DownloadLogsFromS3.py --loco 4010 --day 2017-12-22</v>
      </c>
      <c r="AN227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10:18:53"},{"id":29,"name":"Sharepoint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57"/>
        <v>https://d0f6bd738d7f1b3e5a7ca70fe4ff75f0.us-east-1.aws.found.io/app/kibana#/discover/Steve-Slow-Train-Analysis-(2080s-and-2083s)?_g=(refreshInterval:(display:Off,pause:!f,section:0,value:0),time:(from:'2017-12-22T02:00:01-0700',mode:absolute,to:'2017-12-22T04:18:53-0700'))&amp;_a=(columns:!('Message%20ID',Summary),filters:!(),index:'emp_*',interval:auto,query:(query_string:(analyze_wildcard:!t,query:'%22rtdc.l.rtdc.4010%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671</v>
      </c>
      <c r="B228" s="225">
        <v>4009</v>
      </c>
      <c r="C228" s="227" t="s">
        <v>192</v>
      </c>
      <c r="D228" s="227" t="s">
        <v>1000</v>
      </c>
      <c r="E228" s="226">
        <v>43091.139120370368</v>
      </c>
      <c r="F228" s="226">
        <v>43091.140509259261</v>
      </c>
      <c r="G228" s="225">
        <v>65</v>
      </c>
      <c r="H228" s="227" t="s">
        <v>1001</v>
      </c>
      <c r="I228" s="226">
        <v>43091.141550925924</v>
      </c>
      <c r="J228" s="225">
        <v>0</v>
      </c>
      <c r="K228" s="237" t="str">
        <f t="shared" si="133"/>
        <v>4009/4010</v>
      </c>
      <c r="L228" s="245" t="str">
        <f>VLOOKUP(A228,'Trips&amp;Operators'!$C$1:$G$99911,5,FALSE)</f>
        <v>SPECTOR MICHAEL</v>
      </c>
      <c r="M228" s="224">
        <f t="shared" si="134"/>
        <v>1.0416666627861559E-3</v>
      </c>
      <c r="N228" s="225">
        <f t="shared" si="152"/>
        <v>1.4999999944120646</v>
      </c>
      <c r="O228" s="225"/>
      <c r="P228" s="225"/>
      <c r="Q228" s="228"/>
      <c r="R228" s="242"/>
      <c r="S228" s="249">
        <f t="shared" si="135"/>
        <v>0</v>
      </c>
      <c r="T228" s="242" t="str">
        <f t="shared" si="136"/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137"/>
        <v>https://d0f6bd738d7f1b3e5a7ca70fe4ff75f0.us-east-1.aws.found.io/app/kibana#/discover/Steve-Slow-Train-Analysis-(2080s-and-2083s)?_g=(refreshInterval:(display:Off,pause:!f,section:0,value:0),time:(from:'2017-12-22T02:20:20-0700',mode:absolute,to:'2017-12-22T04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247" t="str">
        <f>IF(AA228&lt;VLOOKUP(AG228,Variables!$AC$3:$AD$8,2,FALSE),"Y","N")</f>
        <v>Y</v>
      </c>
      <c r="X228" s="247">
        <f t="shared" si="151"/>
        <v>1</v>
      </c>
      <c r="Y228" s="247">
        <f t="shared" si="149"/>
        <v>0.3211</v>
      </c>
      <c r="Z228" s="247">
        <f t="shared" si="150"/>
        <v>0.1179</v>
      </c>
      <c r="AA228" s="247">
        <f t="shared" si="139"/>
        <v>0.20319999999999999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40"/>
        <v>52</v>
      </c>
      <c r="AE228" s="235" t="str">
        <f t="shared" si="14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228" s="234" t="str">
        <f t="shared" si="142"/>
        <v>"C:\Program Files (x86)\AstroGrep\AstroGrep.exe" /e /r /s /spath="%USERPROFILE%\AppData\Local\Temp\OnboardLogs" /stypes="app*4009*20171222*" /stext=" 10:.+((SYSTEM_STATE.+slice.+state.+changed )|(ment ac)|(multiple cpu faults)|(system.+state.+changed )|(\[timeout)|(PRM\|1\|D)|(kpr)|(kdp)|(train st.+moving)|(\|lc)|(penalty))"</v>
      </c>
      <c r="AG228" s="244" t="str">
        <f t="shared" si="143"/>
        <v>Shuttle/Test</v>
      </c>
      <c r="AH228" s="236" t="str">
        <f t="shared" si="153"/>
        <v>"%USERPROFILE%\Documents\GitHub\eaglep3\Utilities\RefineRTDCRunTimes.py" --tripid 52-22 --locoid 4009 --swversion DE.1.0.9.0 --startMP 204:3211 --initTime 2017-12-22T03:20:20 --startdatetime 2017-12-22T03:22:20 --delay 65 --endMP 204:1179 --enddatetime 2017-12-22T03:23:50 --enforcementcount 0 &gt;&gt;%USERPROFILE%\Documents\GitHub\eaglep3-reporting\EC\2017-12-22-refined-times.txt</v>
      </c>
      <c r="AI228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0.1179"},{"id":17,"name":"Train ID","value":"52-22"},{"id":16,"name":"Locomotive ID","value":"4009"},{"id":130,"name":"Impact","value":""},{"id":150,"name":"Time of Event (Mountain Time)","value":"03:23:50"},{"id":151,"name":"Denver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55"/>
        <v>start /low /b %USERPROFILE%\Documents\GitHub\eaglep3\Utilities\DownloadLogsFromS3.py --loco 4009 --day 2017-12-22</v>
      </c>
      <c r="AN228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10:23:50"},{"id":29,"name":"Sharepoint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57"/>
        <v>https://d0f6bd738d7f1b3e5a7ca70fe4ff75f0.us-east-1.aws.found.io/app/kibana#/discover/Steve-Slow-Train-Analysis-(2080s-and-2083s)?_g=(refreshInterval:(display:Off,pause:!f,section:0,value:0),time:(from:'2017-12-22T02:20:20-0700',mode:absolute,to:'2017-12-22T04:23:50-0700'))&amp;_a=(columns:!('Message%20ID',Summary),filters:!(),index:'emp_*',interval:auto,query:(query_string:(analyze_wildcard:!t,query:'%22rtdc.l.rtdc.4009%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750</v>
      </c>
      <c r="B229" s="225">
        <v>4049</v>
      </c>
      <c r="C229" s="227" t="s">
        <v>192</v>
      </c>
      <c r="D229" s="227" t="s">
        <v>1002</v>
      </c>
      <c r="E229" s="226">
        <v>43091.421539351853</v>
      </c>
      <c r="F229" s="226">
        <v>43091.447233796294</v>
      </c>
      <c r="G229" s="225">
        <v>61</v>
      </c>
      <c r="H229" s="227" t="s">
        <v>1003</v>
      </c>
      <c r="I229" s="226">
        <v>43091.448750000003</v>
      </c>
      <c r="J229" s="225">
        <v>0</v>
      </c>
      <c r="K229" s="237" t="str">
        <f t="shared" si="133"/>
        <v>4049/4050</v>
      </c>
      <c r="L229" s="245" t="str">
        <f>VLOOKUP(A229,'Trips&amp;Operators'!$C$1:$G$99911,5,FALSE)</f>
        <v>LORI SANTOS</v>
      </c>
      <c r="M229" s="224">
        <f t="shared" si="134"/>
        <v>1.5162037088884972E-3</v>
      </c>
      <c r="N229" s="225">
        <f t="shared" si="152"/>
        <v>2.183333340799436</v>
      </c>
      <c r="O229" s="225"/>
      <c r="P229" s="225"/>
      <c r="Q229" s="228"/>
      <c r="R229" s="242"/>
      <c r="S229" s="249">
        <f t="shared" si="135"/>
        <v>0</v>
      </c>
      <c r="T229" s="242" t="str">
        <f t="shared" si="136"/>
        <v>Southbound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 t="shared" si="137"/>
        <v>https://d0f6bd738d7f1b3e5a7ca70fe4ff75f0.us-east-1.aws.found.io/app/kibana#/discover/Steve-Slow-Train-Analysis-(2080s-and-2083s)?_g=(refreshInterval:(display:Off,pause:!f,section:0,value:0),time:(from:'2017-12-22T09:07:01-0700',mode:absolute,to:'2017-12-22T11:46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9" s="247" t="str">
        <f>IF(AA229&lt;VLOOKUP(AG229,Variables!$AC$3:$AD$8,2,FALSE),"Y","N")</f>
        <v>Y</v>
      </c>
      <c r="X229" s="247">
        <f t="shared" si="151"/>
        <v>8</v>
      </c>
      <c r="Y229" s="247">
        <f t="shared" si="149"/>
        <v>3.1004</v>
      </c>
      <c r="Z229" s="247">
        <f t="shared" si="150"/>
        <v>2.1566000000000001</v>
      </c>
      <c r="AA229" s="247">
        <f t="shared" si="139"/>
        <v>0.94379999999999997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40"/>
        <v>60</v>
      </c>
      <c r="AE229" s="235" t="str">
        <f t="shared" si="141"/>
        <v>aws s3 cp s3://rtdc.mdm.uploadarchive.raw/RTDC4049/ "%USERPROFILE%\AppData\Local\Temp\OnboardLogs"\RTDC4049\2017-12-22 --exclude "*" --recursive --include "*20171222*" &amp; "%USERPROFILE%\Documents\GitHub\mrs-test-scripts\Headless Mode &amp; Sideloading\WalkAndUnGZ.bat" "%USERPROFILE%\AppData\Local\Temp\OnboardLogs"\RTDC4049\2017-12-22 &amp; aws s3 cp s3://rtdc.mdm.uploadarchive.raw/RTDC4049/ "%USERPROFILE%\AppData\Local\Temp\OnboardLogs"\RTDC4049\2017-12-23 --exclude "*" --recursive --include "*20171223*" &amp; "%USERPROFILE%\Documents\GitHub\mrs-test-scripts\Headless Mode &amp; Sideloading\WalkAndUnGZ.bat" "%USERPROFILE%\AppData\Local\Temp\OnboardLogs"\RTDC4049\2017-12-23</v>
      </c>
      <c r="AF229" s="234" t="str">
        <f t="shared" si="142"/>
        <v>"C:\Program Files (x86)\AstroGrep\AstroGrep.exe" /e /r /s /spath="%USERPROFILE%\AppData\Local\Temp\OnboardLogs" /stypes="app*4049*20171222*" /stext=" 17:.+((SYSTEM_STATE.+slice.+state.+changed )|(ment ac)|(multiple cpu faults)|(system.+state.+changed )|(\[timeout)|(PRM\|1\|D)|(kpr)|(kdp)|(train st.+moving)|(\|lc)|(penalty))"</v>
      </c>
      <c r="AG229" s="244" t="str">
        <f t="shared" si="143"/>
        <v>Shuttle/Test</v>
      </c>
      <c r="AH229" s="236" t="str">
        <f t="shared" si="153"/>
        <v>"%USERPROFILE%\Documents\GitHub\eaglep3\Utilities\RefineRTDCRunTimes.py" --tripid 60-22 --locoid 4049 --swversion DE.1.0.9.0 --startMP 300:31004 --initTime 2017-12-22T10:07:01 --startdatetime 2017-12-22T10:44:01 --delay 61 --endMP 300:21566 --enddatetime 2017-12-22T10:46:12 --enforcementcount 0 &gt;&gt;%USERPROFILE%\Documents\GitHub\eaglep3-reporting\EC\2017-12-22-refined-times.txt</v>
      </c>
      <c r="AI229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2.1566"},{"id":17,"name":"Train ID","value":"60-22"},{"id":16,"name":"Locomotive ID","value":"4049"},{"id":130,"name":"Impact","value":""},{"id":150,"name":"Time of Event (Mountain Time)","value":"10:46:12"},{"id":151,"name":"Denver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55"/>
        <v>start /low /b %USERPROFILE%\Documents\GitHub\eaglep3\Utilities\DownloadLogsFromS3.py --loco 4049 --day 2017-12-22</v>
      </c>
      <c r="AN229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57"/>
        <v>https://d0f6bd738d7f1b3e5a7ca70fe4ff75f0.us-east-1.aws.found.io/app/kibana#/discover/Steve-Slow-Train-Analysis-(2080s-and-2083s)?_g=(refreshInterval:(display:Off,pause:!f,section:0,value:0),time:(from:'2017-12-22T09:07:01-0700',mode:absolute,to:'2017-12-22T11:46:12-0700'))&amp;_a=(columns:!('Message%20ID',Summary),filters:!(),index:'emp_*',interval:auto,query:(query_string:(analyze_wildcard:!t,query:'%22rtdc.l.rtdc.4049%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29" t="s">
        <v>750</v>
      </c>
      <c r="B230" s="225">
        <v>4050</v>
      </c>
      <c r="C230" s="227" t="s">
        <v>192</v>
      </c>
      <c r="D230" s="227" t="s">
        <v>1004</v>
      </c>
      <c r="E230" s="226">
        <v>43091.413819444446</v>
      </c>
      <c r="F230" s="226">
        <v>43091.428240740737</v>
      </c>
      <c r="G230" s="225">
        <v>290</v>
      </c>
      <c r="H230" s="227" t="s">
        <v>1005</v>
      </c>
      <c r="I230" s="226">
        <v>43091.428854166668</v>
      </c>
      <c r="J230" s="225">
        <v>0</v>
      </c>
      <c r="K230" s="237" t="str">
        <f t="shared" si="133"/>
        <v>4049/4050</v>
      </c>
      <c r="L230" s="245" t="str">
        <f>VLOOKUP(A230,'Trips&amp;Operators'!$C$1:$G$99911,5,FALSE)</f>
        <v>LORI SANTOS</v>
      </c>
      <c r="M230" s="224">
        <f t="shared" si="134"/>
        <v>6.1342593107838184E-4</v>
      </c>
      <c r="N230" s="225">
        <f t="shared" si="152"/>
        <v>0.88333334075286984</v>
      </c>
      <c r="O230" s="225"/>
      <c r="P230" s="225"/>
      <c r="Q230" s="228"/>
      <c r="R230" s="242"/>
      <c r="S230" s="249">
        <f t="shared" si="135"/>
        <v>0</v>
      </c>
      <c r="T230" s="242" t="str">
        <f t="shared" si="136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137"/>
        <v>https://d0f6bd738d7f1b3e5a7ca70fe4ff75f0.us-east-1.aws.found.io/app/kibana#/discover/Steve-Slow-Train-Analysis-(2080s-and-2083s)?_g=(refreshInterval:(display:Off,pause:!f,section:0,value:0),time:(from:'2017-12-22T08:55:54-0700',mode:absolute,to:'2017-12-22T11:17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247" t="str">
        <f>IF(AA230&lt;VLOOKUP(AG230,Variables!$AC$3:$AD$8,2,FALSE),"Y","N")</f>
        <v>Y</v>
      </c>
      <c r="X230" s="247">
        <f t="shared" si="151"/>
        <v>0</v>
      </c>
      <c r="Y230" s="247">
        <f t="shared" si="149"/>
        <v>2.9599000000000002</v>
      </c>
      <c r="Z230" s="247">
        <f t="shared" si="150"/>
        <v>3.1324000000000001</v>
      </c>
      <c r="AA230" s="247">
        <f t="shared" si="139"/>
        <v>0.17249999999999988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40"/>
        <v>60</v>
      </c>
      <c r="AE230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0" s="234" t="str">
        <f t="shared" si="142"/>
        <v>"C:\Program Files (x86)\AstroGrep\AstroGrep.exe" /e /r /s /spath="%USERPROFILE%\AppData\Local\Temp\OnboardLogs" /stypes="app*4050*20171222*" /stext=" 17:.+((SYSTEM_STATE.+slice.+state.+changed )|(ment ac)|(multiple cpu faults)|(system.+state.+changed )|(\[timeout)|(PRM\|1\|D)|(kpr)|(kdp)|(train st.+moving)|(\|lc)|(penalty))"</v>
      </c>
      <c r="AG230" s="244" t="str">
        <f t="shared" si="143"/>
        <v>Shuttle/Test</v>
      </c>
      <c r="AH230" s="236" t="str">
        <f t="shared" si="153"/>
        <v>"%USERPROFILE%\Documents\GitHub\eaglep3\Utilities\RefineRTDCRunTimes.py" --tripid 60-22 --locoid 4050 --swversion DE.1.0.9.0 --startMP 300:29599 --initTime 2017-12-22T09:55:54 --startdatetime 2017-12-22T10:16:40 --delay 290 --endMP 300:31324 --enddatetime 2017-12-22T10:17:33 --enforcementcount 0 &gt;&gt;%USERPROFILE%\Documents\GitHub\eaglep3-reporting\EC\2017-12-22-refined-times.txt</v>
      </c>
      <c r="AI230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3.1324"},{"id":17,"name":"Train ID","value":"60-22"},{"id":16,"name":"Locomotive ID","value":"4050"},{"id":130,"name":"Impact","value":""},{"id":150,"name":"Time of Event (Mountain Time)","value":"10:17:33"},{"id":151,"name":"Denver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55"/>
        <v>start /low /b %USERPROFILE%\Documents\GitHub\eaglep3\Utilities\DownloadLogsFromS3.py --loco 4050 --day 2017-12-22</v>
      </c>
      <c r="AN230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17:17:33"},{"id":29,"name":"Sharepoint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57"/>
        <v>https://d0f6bd738d7f1b3e5a7ca70fe4ff75f0.us-east-1.aws.found.io/app/kibana#/discover/Steve-Slow-Train-Analysis-(2080s-and-2083s)?_g=(refreshInterval:(display:Off,pause:!f,section:0,value:0),time:(from:'2017-12-22T08:55:54-0700',mode:absolute,to:'2017-12-22T11:17:33-0700'))&amp;_a=(columns:!('Message%20ID',Summary),filters:!(),index:'emp_*',interval:auto,query:(query_string:(analyze_wildcard:!t,query:'%22rtdc.l.rtdc.4050%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29" t="s">
        <v>750</v>
      </c>
      <c r="B231" s="225">
        <v>4050</v>
      </c>
      <c r="C231" s="227" t="s">
        <v>192</v>
      </c>
      <c r="D231" s="227" t="s">
        <v>1006</v>
      </c>
      <c r="E231" s="226">
        <v>43091.42664351852</v>
      </c>
      <c r="F231" s="226">
        <v>43091.455833333333</v>
      </c>
      <c r="G231" s="225">
        <v>50</v>
      </c>
      <c r="H231" s="227" t="s">
        <v>649</v>
      </c>
      <c r="I231" s="226">
        <v>43091.456446759257</v>
      </c>
      <c r="J231" s="225">
        <v>0</v>
      </c>
      <c r="K231" s="237" t="str">
        <f t="shared" si="133"/>
        <v>4049/4050</v>
      </c>
      <c r="L231" s="245" t="str">
        <f>VLOOKUP(A231,'Trips&amp;Operators'!$C$1:$G$99911,5,FALSE)</f>
        <v>LORI SANTOS</v>
      </c>
      <c r="M231" s="224">
        <f t="shared" si="134"/>
        <v>6.1342592380242422E-4</v>
      </c>
      <c r="N231" s="225">
        <f t="shared" si="152"/>
        <v>0.88333333027549088</v>
      </c>
      <c r="O231" s="225"/>
      <c r="P231" s="225"/>
      <c r="Q231" s="228"/>
      <c r="R231" s="242"/>
      <c r="S231" s="249">
        <f t="shared" si="135"/>
        <v>0</v>
      </c>
      <c r="T231" s="242" t="str">
        <f t="shared" si="136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137"/>
        <v>https://d0f6bd738d7f1b3e5a7ca70fe4ff75f0.us-east-1.aws.found.io/app/kibana#/discover/Steve-Slow-Train-Analysis-(2080s-and-2083s)?_g=(refreshInterval:(display:Off,pause:!f,section:0,value:0),time:(from:'2017-12-22T09:14:22-0700',mode:absolute,to:'2017-12-22T11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247" t="str">
        <f>IF(AA231&lt;VLOOKUP(AG231,Variables!$AC$3:$AD$8,2,FALSE),"Y","N")</f>
        <v>Y</v>
      </c>
      <c r="X231" s="247">
        <f t="shared" si="151"/>
        <v>0</v>
      </c>
      <c r="Y231" s="247">
        <f t="shared" si="149"/>
        <v>2.1858</v>
      </c>
      <c r="Z231" s="247">
        <f t="shared" si="150"/>
        <v>2.3306</v>
      </c>
      <c r="AA231" s="247">
        <f t="shared" si="139"/>
        <v>0.14480000000000004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40"/>
        <v>60</v>
      </c>
      <c r="AE231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1" s="234" t="str">
        <f t="shared" si="142"/>
        <v>"C:\Program Files (x86)\AstroGrep\AstroGrep.exe" /e /r /s /spath="%USERPROFILE%\AppData\Local\Temp\OnboardLogs" /stypes="app*4050*20171222*" /stext=" 17:.+((SYSTEM_STATE.+slice.+state.+changed )|(ment ac)|(multiple cpu faults)|(system.+state.+changed )|(\[timeout)|(PRM\|1\|D)|(kpr)|(kdp)|(train st.+moving)|(\|lc)|(penalty))"</v>
      </c>
      <c r="AG231" s="244" t="str">
        <f t="shared" si="143"/>
        <v>Shuttle/Test</v>
      </c>
      <c r="AH231" s="236" t="str">
        <f t="shared" si="153"/>
        <v>"%USERPROFILE%\Documents\GitHub\eaglep3\Utilities\RefineRTDCRunTimes.py" --tripid 60-22 --locoid 4050 --swversion DE.1.0.9.0 --startMP 300:21858 --initTime 2017-12-22T10:14:22 --startdatetime 2017-12-22T10:56:24 --delay 50 --endMP 300:23306 --enddatetime 2017-12-22T10:57:17 --enforcementcount 0 &gt;&gt;%USERPROFILE%\Documents\GitHub\eaglep3-reporting\EC\2017-12-22-refined-times.txt</v>
      </c>
      <c r="AI231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2.3306"},{"id":17,"name":"Train ID","value":"60-22"},{"id":16,"name":"Locomotive ID","value":"4050"},{"id":130,"name":"Impact","value":""},{"id":150,"name":"Time of Event (Mountain Time)","value":"10:57:17"},{"id":151,"name":"Denver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55"/>
        <v>start /low /b %USERPROFILE%\Documents\GitHub\eaglep3\Utilities\DownloadLogsFromS3.py --loco 4050 --day 2017-12-22</v>
      </c>
      <c r="AN231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57"/>
        <v>https://d0f6bd738d7f1b3e5a7ca70fe4ff75f0.us-east-1.aws.found.io/app/kibana#/discover/Steve-Slow-Train-Analysis-(2080s-and-2083s)?_g=(refreshInterval:(display:Off,pause:!f,section:0,value:0),time:(from:'2017-12-22T09:14:22-0700',mode:absolute,to:'2017-12-22T11:57:17-0700'))&amp;_a=(columns:!('Message%20ID',Summary),filters:!(),index:'emp_*',interval:auto,query:(query_string:(analyze_wildcard:!t,query:'%22rtdc.l.rtdc.4050%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750</v>
      </c>
      <c r="B232" s="225">
        <v>4049</v>
      </c>
      <c r="C232" s="227" t="s">
        <v>192</v>
      </c>
      <c r="D232" s="227" t="s">
        <v>1007</v>
      </c>
      <c r="E232" s="226">
        <v>43091.444386574076</v>
      </c>
      <c r="F232" s="226">
        <v>43091.455833333333</v>
      </c>
      <c r="G232" s="225">
        <v>54</v>
      </c>
      <c r="H232" s="227" t="s">
        <v>1008</v>
      </c>
      <c r="I232" s="226">
        <v>43091.456446759257</v>
      </c>
      <c r="J232" s="225">
        <v>0</v>
      </c>
      <c r="K232" s="237" t="str">
        <f t="shared" si="133"/>
        <v>4049/4050</v>
      </c>
      <c r="L232" s="245" t="str">
        <f>VLOOKUP(A232,'Trips&amp;Operators'!$C$1:$G$99911,5,FALSE)</f>
        <v>LORI SANTOS</v>
      </c>
      <c r="M232" s="224">
        <f t="shared" si="134"/>
        <v>6.1342592380242422E-4</v>
      </c>
      <c r="N232" s="225">
        <f t="shared" si="152"/>
        <v>0.88333333027549088</v>
      </c>
      <c r="O232" s="225"/>
      <c r="P232" s="225"/>
      <c r="Q232" s="228"/>
      <c r="R232" s="242"/>
      <c r="S232" s="249">
        <f t="shared" si="135"/>
        <v>0</v>
      </c>
      <c r="T232" s="242" t="str">
        <f t="shared" si="136"/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137"/>
        <v>https://d0f6bd738d7f1b3e5a7ca70fe4ff75f0.us-east-1.aws.found.io/app/kibana#/discover/Steve-Slow-Train-Analysis-(2080s-and-2083s)?_g=(refreshInterval:(display:Off,pause:!f,section:0,value:0),time:(from:'2017-12-22T09:39:55-0700',mode:absolute,to:'2017-12-22T11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247" t="str">
        <f>IF(AA232&lt;VLOOKUP(AG232,Variables!$AC$3:$AD$8,2,FALSE),"Y","N")</f>
        <v>Y</v>
      </c>
      <c r="X232" s="247">
        <f t="shared" si="151"/>
        <v>0</v>
      </c>
      <c r="Y232" s="247">
        <f t="shared" si="149"/>
        <v>3.0972</v>
      </c>
      <c r="Z232" s="247">
        <f t="shared" si="150"/>
        <v>2.1265000000000001</v>
      </c>
      <c r="AA232" s="247">
        <f t="shared" si="139"/>
        <v>0.9706999999999999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40"/>
        <v>60</v>
      </c>
      <c r="AE232" s="235" t="str">
        <f t="shared" si="141"/>
        <v>aws s3 cp s3://rtdc.mdm.uploadarchive.raw/RTDC4049/ "%USERPROFILE%\AppData\Local\Temp\OnboardLogs"\RTDC4049\2017-12-22 --exclude "*" --recursive --include "*20171222*" &amp; "%USERPROFILE%\Documents\GitHub\mrs-test-scripts\Headless Mode &amp; Sideloading\WalkAndUnGZ.bat" "%USERPROFILE%\AppData\Local\Temp\OnboardLogs"\RTDC4049\2017-12-22 &amp; aws s3 cp s3://rtdc.mdm.uploadarchive.raw/RTDC4049/ "%USERPROFILE%\AppData\Local\Temp\OnboardLogs"\RTDC4049\2017-12-23 --exclude "*" --recursive --include "*20171223*" &amp; "%USERPROFILE%\Documents\GitHub\mrs-test-scripts\Headless Mode &amp; Sideloading\WalkAndUnGZ.bat" "%USERPROFILE%\AppData\Local\Temp\OnboardLogs"\RTDC4049\2017-12-23</v>
      </c>
      <c r="AF232" s="234" t="str">
        <f t="shared" si="142"/>
        <v>"C:\Program Files (x86)\AstroGrep\AstroGrep.exe" /e /r /s /spath="%USERPROFILE%\AppData\Local\Temp\OnboardLogs" /stypes="app*4049*20171222*" /stext=" 17:.+((SYSTEM_STATE.+slice.+state.+changed )|(ment ac)|(multiple cpu faults)|(system.+state.+changed )|(\[timeout)|(PRM\|1\|D)|(kpr)|(kdp)|(train st.+moving)|(\|lc)|(penalty))"</v>
      </c>
      <c r="AG232" s="244" t="str">
        <f t="shared" si="143"/>
        <v>Shuttle/Test</v>
      </c>
      <c r="AH232" s="236" t="str">
        <f t="shared" si="153"/>
        <v>"%USERPROFILE%\Documents\GitHub\eaglep3\Utilities\RefineRTDCRunTimes.py" --tripid 60-22 --locoid 4049 --swversion DE.1.0.9.0 --startMP 300:30972 --initTime 2017-12-22T10:39:55 --startdatetime 2017-12-22T10:56:24 --delay 54 --endMP 300:21265 --enddatetime 2017-12-22T10:57:17 --enforcementcount 0 &gt;&gt;%USERPROFILE%\Documents\GitHub\eaglep3-reporting\EC\2017-12-22-refined-times.txt</v>
      </c>
      <c r="AI232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2.1265"},{"id":17,"name":"Train ID","value":"60-22"},{"id":16,"name":"Locomotive ID","value":"4049"},{"id":130,"name":"Impact","value":""},{"id":150,"name":"Time of Event (Mountain Time)","value":"10:57:17"},{"id":151,"name":"Denver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55"/>
        <v>start /low /b %USERPROFILE%\Documents\GitHub\eaglep3\Utilities\DownloadLogsFromS3.py --loco 4049 --day 2017-12-22</v>
      </c>
      <c r="AN232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57"/>
        <v>https://d0f6bd738d7f1b3e5a7ca70fe4ff75f0.us-east-1.aws.found.io/app/kibana#/discover/Steve-Slow-Train-Analysis-(2080s-and-2083s)?_g=(refreshInterval:(display:Off,pause:!f,section:0,value:0),time:(from:'2017-12-22T09:39:55-0700',mode:absolute,to:'2017-12-22T11:57:17-0700'))&amp;_a=(columns:!('Message%20ID',Summary),filters:!(),index:'emp_*',interval:auto,query:(query_string:(analyze_wildcard:!t,query:'%22rtdc.l.rtdc.4049%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9" t="s">
        <v>750</v>
      </c>
      <c r="B233" s="225">
        <v>4050</v>
      </c>
      <c r="C233" s="227" t="s">
        <v>192</v>
      </c>
      <c r="D233" s="227" t="s">
        <v>1009</v>
      </c>
      <c r="E233" s="226">
        <v>43091.454027777778</v>
      </c>
      <c r="F233" s="226">
        <v>43091.455833333333</v>
      </c>
      <c r="G233" s="225">
        <v>53</v>
      </c>
      <c r="H233" s="227" t="s">
        <v>647</v>
      </c>
      <c r="I233" s="226">
        <v>43091.456446759257</v>
      </c>
      <c r="J233" s="225">
        <v>0</v>
      </c>
      <c r="K233" s="237" t="str">
        <f t="shared" si="133"/>
        <v>4049/4050</v>
      </c>
      <c r="L233" s="245" t="str">
        <f>VLOOKUP(A233,'Trips&amp;Operators'!$C$1:$G$99911,5,FALSE)</f>
        <v>LORI SANTOS</v>
      </c>
      <c r="M233" s="224">
        <f t="shared" si="134"/>
        <v>6.1342592380242422E-4</v>
      </c>
      <c r="N233" s="225">
        <f t="shared" si="152"/>
        <v>0.88333333027549088</v>
      </c>
      <c r="O233" s="225"/>
      <c r="P233" s="225"/>
      <c r="Q233" s="228"/>
      <c r="R233" s="242"/>
      <c r="S233" s="249">
        <f t="shared" si="135"/>
        <v>0</v>
      </c>
      <c r="T233" s="242" t="str">
        <f t="shared" si="136"/>
        <v>Southbound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 t="shared" si="137"/>
        <v>https://d0f6bd738d7f1b3e5a7ca70fe4ff75f0.us-east-1.aws.found.io/app/kibana#/discover/Steve-Slow-Train-Analysis-(2080s-and-2083s)?_g=(refreshInterval:(display:Off,pause:!f,section:0,value:0),time:(from:'2017-12-22T09:53:48-0700',mode:absolute,to:'2017-12-22T11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247" t="str">
        <f>IF(AA233&lt;VLOOKUP(AG233,Variables!$AC$3:$AD$8,2,FALSE),"Y","N")</f>
        <v>Y</v>
      </c>
      <c r="X233" s="247">
        <f t="shared" si="151"/>
        <v>0</v>
      </c>
      <c r="Y233" s="247">
        <f t="shared" si="149"/>
        <v>2.1543000000000001</v>
      </c>
      <c r="Z233" s="247">
        <f t="shared" si="150"/>
        <v>2.3302</v>
      </c>
      <c r="AA233" s="247">
        <f t="shared" si="139"/>
        <v>0.17589999999999995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140"/>
        <v>60</v>
      </c>
      <c r="AE233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3" s="234" t="str">
        <f t="shared" si="142"/>
        <v>"C:\Program Files (x86)\AstroGrep\AstroGrep.exe" /e /r /s /spath="%USERPROFILE%\AppData\Local\Temp\OnboardLogs" /stypes="app*4050*20171222*" /stext=" 17:.+((SYSTEM_STATE.+slice.+state.+changed )|(ment ac)|(multiple cpu faults)|(system.+state.+changed )|(\[timeout)|(PRM\|1\|D)|(kpr)|(kdp)|(train st.+moving)|(\|lc)|(penalty))"</v>
      </c>
      <c r="AG233" s="244" t="str">
        <f t="shared" si="143"/>
        <v>Shuttle/Test</v>
      </c>
      <c r="AH233" s="236" t="str">
        <f t="shared" si="153"/>
        <v>"%USERPROFILE%\Documents\GitHub\eaglep3\Utilities\RefineRTDCRunTimes.py" --tripid 60-22 --locoid 4050 --swversion DE.1.0.9.0 --startMP 300:21543 --initTime 2017-12-22T10:53:48 --startdatetime 2017-12-22T10:56:24 --delay 53 --endMP 300:23302 --enddatetime 2017-12-22T10:57:17 --enforcementcount 0 &gt;&gt;%USERPROFILE%\Documents\GitHub\eaglep3-reporting\EC\2017-12-22-refined-times.txt</v>
      </c>
      <c r="AI233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2.3302"},{"id":17,"name":"Train ID","value":"60-22"},{"id":16,"name":"Locomotive ID","value":"4050"},{"id":130,"name":"Impact","value":""},{"id":150,"name":"Time of Event (Mountain Time)","value":"10:57:17"},{"id":151,"name":"Denver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55"/>
        <v>start /low /b %USERPROFILE%\Documents\GitHub\eaglep3\Utilities\DownloadLogsFromS3.py --loco 4050 --day 2017-12-22</v>
      </c>
      <c r="AN233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17:57:17"},{"id":29,"name":"Sharepoint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57"/>
        <v>https://d0f6bd738d7f1b3e5a7ca70fe4ff75f0.us-east-1.aws.found.io/app/kibana#/discover/Steve-Slow-Train-Analysis-(2080s-and-2083s)?_g=(refreshInterval:(display:Off,pause:!f,section:0,value:0),time:(from:'2017-12-22T09:53:48-0700',mode:absolute,to:'2017-12-22T11:57:17-0700'))&amp;_a=(columns:!('Message%20ID',Summary),filters:!(),index:'emp_*',interval:auto,query:(query_string:(analyze_wildcard:!t,query:'%22rtdc.l.rtdc.4050%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29" t="s">
        <v>766</v>
      </c>
      <c r="B234" s="225">
        <v>4050</v>
      </c>
      <c r="C234" s="227" t="s">
        <v>192</v>
      </c>
      <c r="D234" s="227" t="s">
        <v>1010</v>
      </c>
      <c r="E234" s="226">
        <v>43091.477430555555</v>
      </c>
      <c r="F234" s="226">
        <v>43091.480219907404</v>
      </c>
      <c r="G234" s="225">
        <v>142</v>
      </c>
      <c r="H234" s="227" t="s">
        <v>1011</v>
      </c>
      <c r="I234" s="226">
        <v>43091.480624999997</v>
      </c>
      <c r="J234" s="225">
        <v>0</v>
      </c>
      <c r="K234" s="237" t="str">
        <f t="shared" si="133"/>
        <v>4049/4050</v>
      </c>
      <c r="L234" s="245" t="str">
        <f>VLOOKUP(A234,'Trips&amp;Operators'!$C$1:$G$99911,5,FALSE)</f>
        <v>LONG FULLER</v>
      </c>
      <c r="M234" s="224">
        <f t="shared" si="134"/>
        <v>4.0509259270038456E-4</v>
      </c>
      <c r="N234" s="225">
        <f t="shared" si="152"/>
        <v>0.58333333348855376</v>
      </c>
      <c r="O234" s="225"/>
      <c r="P234" s="225"/>
      <c r="Q234" s="228"/>
      <c r="R234" s="242"/>
      <c r="S234" s="249">
        <f t="shared" si="135"/>
        <v>0</v>
      </c>
      <c r="T234" s="242" t="str">
        <f t="shared" si="136"/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137"/>
        <v>https://d0f6bd738d7f1b3e5a7ca70fe4ff75f0.us-east-1.aws.found.io/app/kibana#/discover/Steve-Slow-Train-Analysis-(2080s-and-2083s)?_g=(refreshInterval:(display:Off,pause:!f,section:0,value:0),time:(from:'2017-12-22T10:27:30-0700',mode:absolute,to:'2017-12-22T12:32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247" t="str">
        <f>IF(AA234&lt;VLOOKUP(AG234,Variables!$AC$3:$AD$8,2,FALSE),"Y","N")</f>
        <v>Y</v>
      </c>
      <c r="X234" s="247">
        <f t="shared" si="151"/>
        <v>1</v>
      </c>
      <c r="Y234" s="247">
        <f t="shared" si="149"/>
        <v>2.1850000000000001</v>
      </c>
      <c r="Z234" s="247">
        <f t="shared" si="150"/>
        <v>2.3308</v>
      </c>
      <c r="AA234" s="247">
        <f t="shared" si="139"/>
        <v>0.14579999999999993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140"/>
        <v>61</v>
      </c>
      <c r="AE234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4" s="234" t="str">
        <f t="shared" si="142"/>
        <v>"C:\Program Files (x86)\AstroGrep\AstroGrep.exe" /e /r /s /spath="%USERPROFILE%\AppData\Local\Temp\OnboardLogs" /stypes="app*4050*20171222*" /stext=" 18:.+((SYSTEM_STATE.+slice.+state.+changed )|(ment ac)|(multiple cpu faults)|(system.+state.+changed )|(\[timeout)|(PRM\|1\|D)|(kpr)|(kdp)|(train st.+moving)|(\|lc)|(penalty))"</v>
      </c>
      <c r="AG234" s="244" t="str">
        <f t="shared" si="143"/>
        <v>Shuttle/Test</v>
      </c>
      <c r="AH234" s="236" t="str">
        <f t="shared" si="153"/>
        <v>"%USERPROFILE%\Documents\GitHub\eaglep3\Utilities\RefineRTDCRunTimes.py" --tripid 61-22 --locoid 4050 --swversion DE.1.0.9.0 --startMP 300:21850 --initTime 2017-12-22T11:27:30 --startdatetime 2017-12-22T11:31:31 --delay 142 --endMP 300:23308 --enddatetime 2017-12-22T11:32:06 --enforcementcount 0 &gt;&gt;%USERPROFILE%\Documents\GitHub\eaglep3-reporting\EC\2017-12-22-refined-times.txt</v>
      </c>
      <c r="AI234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2.3308"},{"id":17,"name":"Train ID","value":"61-22"},{"id":16,"name":"Locomotive ID","value":"4050"},{"id":130,"name":"Impact","value":""},{"id":150,"name":"Time of Event (Mountain Time)","value":"11:32:06"},{"id":151,"name":"Denver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155"/>
        <v>start /low /b %USERPROFILE%\Documents\GitHub\eaglep3\Utilities\DownloadLogsFromS3.py --loco 4050 --day 2017-12-22</v>
      </c>
      <c r="AN234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57"/>
        <v>https://d0f6bd738d7f1b3e5a7ca70fe4ff75f0.us-east-1.aws.found.io/app/kibana#/discover/Steve-Slow-Train-Analysis-(2080s-and-2083s)?_g=(refreshInterval:(display:Off,pause:!f,section:0,value:0),time:(from:'2017-12-22T10:27:30-0700',mode:absolute,to:'2017-12-22T12:32:06-0700'))&amp;_a=(columns:!('Message%20ID',Summary),filters:!(),index:'emp_*',interval:auto,query:(query_string:(analyze_wildcard:!t,query:'%22rtdc.l.rtdc.4050%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29" t="s">
        <v>766</v>
      </c>
      <c r="B235" s="225">
        <v>4050</v>
      </c>
      <c r="C235" s="227" t="s">
        <v>192</v>
      </c>
      <c r="D235" s="227" t="s">
        <v>1010</v>
      </c>
      <c r="E235" s="226">
        <v>43091.467037037037</v>
      </c>
      <c r="F235" s="226">
        <v>43091.480219907404</v>
      </c>
      <c r="G235" s="225">
        <v>69</v>
      </c>
      <c r="H235" s="227" t="s">
        <v>1011</v>
      </c>
      <c r="I235" s="226">
        <v>43091.480624999997</v>
      </c>
      <c r="J235" s="225">
        <v>0</v>
      </c>
      <c r="K235" s="237" t="str">
        <f t="shared" si="133"/>
        <v>4049/4050</v>
      </c>
      <c r="L235" s="245" t="str">
        <f>VLOOKUP(A235,'Trips&amp;Operators'!$C$1:$G$99911,5,FALSE)</f>
        <v>LONG FULLER</v>
      </c>
      <c r="M235" s="224">
        <f t="shared" si="134"/>
        <v>4.0509259270038456E-4</v>
      </c>
      <c r="N235" s="225">
        <f t="shared" si="152"/>
        <v>0.58333333348855376</v>
      </c>
      <c r="O235" s="225"/>
      <c r="P235" s="225"/>
      <c r="Q235" s="228"/>
      <c r="R235" s="242"/>
      <c r="S235" s="249">
        <f t="shared" si="135"/>
        <v>0</v>
      </c>
      <c r="T235" s="242" t="str">
        <f t="shared" si="136"/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 t="shared" si="137"/>
        <v>https://d0f6bd738d7f1b3e5a7ca70fe4ff75f0.us-east-1.aws.found.io/app/kibana#/discover/Steve-Slow-Train-Analysis-(2080s-and-2083s)?_g=(refreshInterval:(display:Off,pause:!f,section:0,value:0),time:(from:'2017-12-22T10:12:32-0700',mode:absolute,to:'2017-12-22T12:32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247" t="str">
        <f>IF(AA235&lt;VLOOKUP(AG235,Variables!$AC$3:$AD$8,2,FALSE),"Y","N")</f>
        <v>Y</v>
      </c>
      <c r="X235" s="247">
        <f t="shared" si="151"/>
        <v>0</v>
      </c>
      <c r="Y235" s="247">
        <f t="shared" si="149"/>
        <v>2.1850000000000001</v>
      </c>
      <c r="Z235" s="247">
        <f t="shared" si="150"/>
        <v>2.3308</v>
      </c>
      <c r="AA235" s="247">
        <f t="shared" si="139"/>
        <v>0.14579999999999993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140"/>
        <v>61</v>
      </c>
      <c r="AE235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5" s="234" t="str">
        <f t="shared" si="142"/>
        <v>"C:\Program Files (x86)\AstroGrep\AstroGrep.exe" /e /r /s /spath="%USERPROFILE%\AppData\Local\Temp\OnboardLogs" /stypes="app*4050*20171222*" /stext=" 18:.+((SYSTEM_STATE.+slice.+state.+changed )|(ment ac)|(multiple cpu faults)|(system.+state.+changed )|(\[timeout)|(PRM\|1\|D)|(kpr)|(kdp)|(train st.+moving)|(\|lc)|(penalty))"</v>
      </c>
      <c r="AG235" s="244" t="str">
        <f t="shared" si="143"/>
        <v>Shuttle/Test</v>
      </c>
      <c r="AH235" s="236" t="str">
        <f t="shared" si="153"/>
        <v>"%USERPROFILE%\Documents\GitHub\eaglep3\Utilities\RefineRTDCRunTimes.py" --tripid 61-22 --locoid 4050 --swversion DE.1.0.9.0 --startMP 300:21850 --initTime 2017-12-22T11:12:32 --startdatetime 2017-12-22T11:31:31 --delay 69 --endMP 300:23308 --enddatetime 2017-12-22T11:32:06 --enforcementcount 0 &gt;&gt;%USERPROFILE%\Documents\GitHub\eaglep3-reporting\EC\2017-12-22-refined-times.txt</v>
      </c>
      <c r="AI235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2.3308"},{"id":17,"name":"Train ID","value":"61-22"},{"id":16,"name":"Locomotive ID","value":"4050"},{"id":130,"name":"Impact","value":""},{"id":150,"name":"Time of Event (Mountain Time)","value":"11:32:06"},{"id":151,"name":"Denver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155"/>
        <v>start /low /b %USERPROFILE%\Documents\GitHub\eaglep3\Utilities\DownloadLogsFromS3.py --loco 4050 --day 2017-12-22</v>
      </c>
      <c r="AN235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57"/>
        <v>https://d0f6bd738d7f1b3e5a7ca70fe4ff75f0.us-east-1.aws.found.io/app/kibana#/discover/Steve-Slow-Train-Analysis-(2080s-and-2083s)?_g=(refreshInterval:(display:Off,pause:!f,section:0,value:0),time:(from:'2017-12-22T10:12:32-0700',mode:absolute,to:'2017-12-22T12:32:06-0700'))&amp;_a=(columns:!('Message%20ID',Summary),filters:!(),index:'emp_*',interval:auto,query:(query_string:(analyze_wildcard:!t,query:'%22rtdc.l.rtdc.4050%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229" t="s">
        <v>766</v>
      </c>
      <c r="B236" s="225">
        <v>4049</v>
      </c>
      <c r="C236" s="227" t="s">
        <v>192</v>
      </c>
      <c r="D236" s="227" t="s">
        <v>1012</v>
      </c>
      <c r="E236" s="226">
        <v>43091.472442129627</v>
      </c>
      <c r="F236" s="226">
        <v>43091.480219907404</v>
      </c>
      <c r="G236" s="225">
        <v>75</v>
      </c>
      <c r="H236" s="227" t="s">
        <v>1013</v>
      </c>
      <c r="I236" s="226">
        <v>43091.480624999997</v>
      </c>
      <c r="J236" s="225">
        <v>0</v>
      </c>
      <c r="K236" s="237" t="str">
        <f t="shared" si="133"/>
        <v>4049/4050</v>
      </c>
      <c r="L236" s="245" t="str">
        <f>VLOOKUP(A236,'Trips&amp;Operators'!$C$1:$G$99911,5,FALSE)</f>
        <v>LONG FULLER</v>
      </c>
      <c r="M236" s="224">
        <f t="shared" si="134"/>
        <v>4.0509259270038456E-4</v>
      </c>
      <c r="N236" s="225">
        <f t="shared" si="152"/>
        <v>0.58333333348855376</v>
      </c>
      <c r="O236" s="225"/>
      <c r="P236" s="225"/>
      <c r="Q236" s="228"/>
      <c r="R236" s="242"/>
      <c r="S236" s="249">
        <f t="shared" si="135"/>
        <v>0</v>
      </c>
      <c r="T236" s="242" t="str">
        <f t="shared" si="136"/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 t="shared" si="137"/>
        <v>https://d0f6bd738d7f1b3e5a7ca70fe4ff75f0.us-east-1.aws.found.io/app/kibana#/discover/Steve-Slow-Train-Analysis-(2080s-and-2083s)?_g=(refreshInterval:(display:Off,pause:!f,section:0,value:0),time:(from:'2017-12-22T10:20:19-0700',mode:absolute,to:'2017-12-22T12:32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6" s="247" t="str">
        <f>IF(AA236&lt;VLOOKUP(AG236,Variables!$AC$3:$AD$8,2,FALSE),"Y","N")</f>
        <v>Y</v>
      </c>
      <c r="X236" s="247">
        <f t="shared" si="151"/>
        <v>0</v>
      </c>
      <c r="Y236" s="247">
        <f t="shared" si="149"/>
        <v>3.0985</v>
      </c>
      <c r="Z236" s="247">
        <f t="shared" si="150"/>
        <v>2.1558000000000002</v>
      </c>
      <c r="AA236" s="247">
        <f t="shared" si="139"/>
        <v>0.94269999999999987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 t="shared" si="140"/>
        <v>61</v>
      </c>
      <c r="AE236" s="235" t="str">
        <f t="shared" si="141"/>
        <v>aws s3 cp s3://rtdc.mdm.uploadarchive.raw/RTDC4049/ "%USERPROFILE%\AppData\Local\Temp\OnboardLogs"\RTDC4049\2017-12-22 --exclude "*" --recursive --include "*20171222*" &amp; "%USERPROFILE%\Documents\GitHub\mrs-test-scripts\Headless Mode &amp; Sideloading\WalkAndUnGZ.bat" "%USERPROFILE%\AppData\Local\Temp\OnboardLogs"\RTDC4049\2017-12-22 &amp; aws s3 cp s3://rtdc.mdm.uploadarchive.raw/RTDC4049/ "%USERPROFILE%\AppData\Local\Temp\OnboardLogs"\RTDC4049\2017-12-23 --exclude "*" --recursive --include "*20171223*" &amp; "%USERPROFILE%\Documents\GitHub\mrs-test-scripts\Headless Mode &amp; Sideloading\WalkAndUnGZ.bat" "%USERPROFILE%\AppData\Local\Temp\OnboardLogs"\RTDC4049\2017-12-23</v>
      </c>
      <c r="AF236" s="234" t="str">
        <f t="shared" si="142"/>
        <v>"C:\Program Files (x86)\AstroGrep\AstroGrep.exe" /e /r /s /spath="%USERPROFILE%\AppData\Local\Temp\OnboardLogs" /stypes="app*4049*20171222*" /stext=" 18:.+((SYSTEM_STATE.+slice.+state.+changed )|(ment ac)|(multiple cpu faults)|(system.+state.+changed )|(\[timeout)|(PRM\|1\|D)|(kpr)|(kdp)|(train st.+moving)|(\|lc)|(penalty))"</v>
      </c>
      <c r="AG236" s="244" t="str">
        <f t="shared" si="143"/>
        <v>Shuttle/Test</v>
      </c>
      <c r="AH236" s="236" t="str">
        <f t="shared" si="153"/>
        <v>"%USERPROFILE%\Documents\GitHub\eaglep3\Utilities\RefineRTDCRunTimes.py" --tripid 61-22 --locoid 4049 --swversion DE.1.0.9.0 --startMP 300:30985 --initTime 2017-12-22T11:20:19 --startdatetime 2017-12-22T11:31:31 --delay 75 --endMP 300:21558 --enddatetime 2017-12-22T11:32:06 --enforcementcount 0 &gt;&gt;%USERPROFILE%\Documents\GitHub\eaglep3-reporting\EC\2017-12-22-refined-times.txt</v>
      </c>
      <c r="AI236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2.1558"},{"id":17,"name":"Train ID","value":"61-22"},{"id":16,"name":"Locomotive ID","value":"4049"},{"id":130,"name":"Impact","value":""},{"id":150,"name":"Time of Event (Mountain Time)","value":"11:32:06"},{"id":151,"name":"Denver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155"/>
        <v>start /low /b %USERPROFILE%\Documents\GitHub\eaglep3\Utilities\DownloadLogsFromS3.py --loco 4049 --day 2017-12-22</v>
      </c>
      <c r="AN236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18:32:06"},{"id":29,"name":"Sharepoint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57"/>
        <v>https://d0f6bd738d7f1b3e5a7ca70fe4ff75f0.us-east-1.aws.found.io/app/kibana#/discover/Steve-Slow-Train-Analysis-(2080s-and-2083s)?_g=(refreshInterval:(display:Off,pause:!f,section:0,value:0),time:(from:'2017-12-22T10:20:19-0700',mode:absolute,to:'2017-12-22T12:32:06-0700'))&amp;_a=(columns:!('Message%20ID',Summary),filters:!(),index:'emp_*',interval:auto,query:(query_string:(analyze_wildcard:!t,query:'%22rtdc.l.rtdc.4049%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766</v>
      </c>
      <c r="B237" s="225">
        <v>4050</v>
      </c>
      <c r="C237" s="227" t="s">
        <v>192</v>
      </c>
      <c r="D237" s="227" t="s">
        <v>1014</v>
      </c>
      <c r="E237" s="226">
        <v>43091.577962962961</v>
      </c>
      <c r="F237" s="226">
        <v>43091.580081018517</v>
      </c>
      <c r="G237" s="225">
        <v>61</v>
      </c>
      <c r="H237" s="227" t="s">
        <v>646</v>
      </c>
      <c r="I237" s="226">
        <v>43091.58053240741</v>
      </c>
      <c r="J237" s="225">
        <v>0</v>
      </c>
      <c r="K237" s="237" t="str">
        <f t="shared" si="133"/>
        <v>4049/4050</v>
      </c>
      <c r="L237" s="245" t="str">
        <f>VLOOKUP(A237,'Trips&amp;Operators'!$C$1:$G$99911,5,FALSE)</f>
        <v>LONG FULLER</v>
      </c>
      <c r="M237" s="224">
        <f t="shared" si="134"/>
        <v>4.5138889254303649E-4</v>
      </c>
      <c r="N237" s="225">
        <f t="shared" si="152"/>
        <v>0.65000000526197255</v>
      </c>
      <c r="O237" s="225"/>
      <c r="P237" s="225"/>
      <c r="Q237" s="228"/>
      <c r="R237" s="242"/>
      <c r="S237" s="249">
        <f t="shared" si="135"/>
        <v>0</v>
      </c>
      <c r="T237" s="242" t="str">
        <f t="shared" si="136"/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 t="shared" si="137"/>
        <v>https://d0f6bd738d7f1b3e5a7ca70fe4ff75f0.us-east-1.aws.found.io/app/kibana#/discover/Steve-Slow-Train-Analysis-(2080s-and-2083s)?_g=(refreshInterval:(display:Off,pause:!f,section:0,value:0),time:(from:'2017-12-22T12:52:16-0700',mode:absolute,to:'2017-12-22T14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247" t="str">
        <f>IF(AA237&lt;VLOOKUP(AG237,Variables!$AC$3:$AD$8,2,FALSE),"Y","N")</f>
        <v>Y</v>
      </c>
      <c r="X237" s="247">
        <f t="shared" si="151"/>
        <v>0</v>
      </c>
      <c r="Y237" s="247">
        <f t="shared" si="149"/>
        <v>2.1869000000000001</v>
      </c>
      <c r="Z237" s="247">
        <f t="shared" si="150"/>
        <v>2.3298999999999999</v>
      </c>
      <c r="AA237" s="247">
        <f t="shared" si="139"/>
        <v>0.14299999999999979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 t="shared" si="140"/>
        <v>61</v>
      </c>
      <c r="AE237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7" s="234" t="str">
        <f t="shared" si="142"/>
        <v>"C:\Program Files (x86)\AstroGrep\AstroGrep.exe" /e /r /s /spath="%USERPROFILE%\AppData\Local\Temp\OnboardLogs" /stypes="app*4050*20171222*" /stext=" 20:.+((SYSTEM_STATE.+slice.+state.+changed )|(ment ac)|(multiple cpu faults)|(system.+state.+changed )|(\[timeout)|(PRM\|1\|D)|(kpr)|(kdp)|(train st.+moving)|(\|lc)|(penalty))"</v>
      </c>
      <c r="AG237" s="244" t="str">
        <f t="shared" si="143"/>
        <v>Shuttle/Test</v>
      </c>
      <c r="AH237" s="236" t="str">
        <f t="shared" si="153"/>
        <v>"%USERPROFILE%\Documents\GitHub\eaglep3\Utilities\RefineRTDCRunTimes.py" --tripid 61-22 --locoid 4050 --swversion DE.1.0.9.0 --startMP 300:21869 --initTime 2017-12-22T13:52:16 --startdatetime 2017-12-22T13:55:19 --delay 61 --endMP 300:23299 --enddatetime 2017-12-22T13:55:58 --enforcementcount 0 &gt;&gt;%USERPROFILE%\Documents\GitHub\eaglep3-reporting\EC\2017-12-22-refined-times.txt</v>
      </c>
      <c r="AI237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2.3299"},{"id":17,"name":"Train ID","value":"61-22"},{"id":16,"name":"Locomotive ID","value":"4050"},{"id":130,"name":"Impact","value":""},{"id":150,"name":"Time of Event (Mountain Time)","value":"13:55:58"},{"id":151,"name":"Denver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155"/>
        <v>start /low /b %USERPROFILE%\Documents\GitHub\eaglep3\Utilities\DownloadLogsFromS3.py --loco 4050 --day 2017-12-22</v>
      </c>
      <c r="AN237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57"/>
        <v>https://d0f6bd738d7f1b3e5a7ca70fe4ff75f0.us-east-1.aws.found.io/app/kibana#/discover/Steve-Slow-Train-Analysis-(2080s-and-2083s)?_g=(refreshInterval:(display:Off,pause:!f,section:0,value:0),time:(from:'2017-12-22T12:52:16-0700',mode:absolute,to:'2017-12-22T14:55:58-0700'))&amp;_a=(columns:!('Message%20ID',Summary),filters:!(),index:'emp_*',interval:auto,query:(query_string:(analyze_wildcard:!t,query:'%22rtdc.l.rtdc.4050%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229" t="s">
        <v>766</v>
      </c>
      <c r="B238" s="225">
        <v>4050</v>
      </c>
      <c r="C238" s="227" t="s">
        <v>192</v>
      </c>
      <c r="D238" s="227" t="s">
        <v>1015</v>
      </c>
      <c r="E238" s="226">
        <v>43091.562835648147</v>
      </c>
      <c r="F238" s="226">
        <v>43091.580081018517</v>
      </c>
      <c r="G238" s="225">
        <v>62</v>
      </c>
      <c r="H238" s="227" t="s">
        <v>1016</v>
      </c>
      <c r="I238" s="226">
        <v>43091.58053240741</v>
      </c>
      <c r="J238" s="225">
        <v>0</v>
      </c>
      <c r="K238" s="237" t="str">
        <f t="shared" si="133"/>
        <v>4049/4050</v>
      </c>
      <c r="L238" s="245" t="str">
        <f>VLOOKUP(A238,'Trips&amp;Operators'!$C$1:$G$99911,5,FALSE)</f>
        <v>LONG FULLER</v>
      </c>
      <c r="M238" s="224">
        <f t="shared" si="134"/>
        <v>4.5138889254303649E-4</v>
      </c>
      <c r="N238" s="225">
        <f t="shared" si="152"/>
        <v>0.65000000526197255</v>
      </c>
      <c r="O238" s="225"/>
      <c r="P238" s="225"/>
      <c r="Q238" s="228"/>
      <c r="R238" s="242"/>
      <c r="S238" s="249">
        <f t="shared" si="135"/>
        <v>0</v>
      </c>
      <c r="T238" s="242" t="str">
        <f t="shared" si="136"/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 t="shared" si="137"/>
        <v>https://d0f6bd738d7f1b3e5a7ca70fe4ff75f0.us-east-1.aws.found.io/app/kibana#/discover/Steve-Slow-Train-Analysis-(2080s-and-2083s)?_g=(refreshInterval:(display:Off,pause:!f,section:0,value:0),time:(from:'2017-12-22T12:30:29-0700',mode:absolute,to:'2017-12-22T14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8" s="247" t="str">
        <f>IF(AA238&lt;VLOOKUP(AG238,Variables!$AC$3:$AD$8,2,FALSE),"Y","N")</f>
        <v>Y</v>
      </c>
      <c r="X238" s="247">
        <f t="shared" si="151"/>
        <v>0</v>
      </c>
      <c r="Y238" s="247">
        <f t="shared" si="149"/>
        <v>3.0543999999999998</v>
      </c>
      <c r="Z238" s="247">
        <f t="shared" si="150"/>
        <v>3.1320000000000001</v>
      </c>
      <c r="AA238" s="247">
        <f t="shared" si="139"/>
        <v>7.7600000000000335E-2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 t="shared" si="140"/>
        <v>61</v>
      </c>
      <c r="AE238" s="235" t="str">
        <f t="shared" si="141"/>
        <v>aws s3 cp s3://rtdc.mdm.uploadarchive.raw/RTDC4050/ "%USERPROFILE%\AppData\Local\Temp\OnboardLogs"\RTDC4050\2017-12-22 --exclude "*" --recursive --include "*20171222*" &amp; "%USERPROFILE%\Documents\GitHub\mrs-test-scripts\Headless Mode &amp; Sideloading\WalkAndUnGZ.bat" "%USERPROFILE%\AppData\Local\Temp\OnboardLogs"\RTDC4050\2017-12-22 &amp; aws s3 cp s3://rtdc.mdm.uploadarchive.raw/RTDC4050/ "%USERPROFILE%\AppData\Local\Temp\OnboardLogs"\RTDC4050\2017-12-23 --exclude "*" --recursive --include "*20171223*" &amp; "%USERPROFILE%\Documents\GitHub\mrs-test-scripts\Headless Mode &amp; Sideloading\WalkAndUnGZ.bat" "%USERPROFILE%\AppData\Local\Temp\OnboardLogs"\RTDC4050\2017-12-23</v>
      </c>
      <c r="AF238" s="234" t="str">
        <f t="shared" si="142"/>
        <v>"C:\Program Files (x86)\AstroGrep\AstroGrep.exe" /e /r /s /spath="%USERPROFILE%\AppData\Local\Temp\OnboardLogs" /stypes="app*4050*20171222*" /stext=" 20:.+((SYSTEM_STATE.+slice.+state.+changed )|(ment ac)|(multiple cpu faults)|(system.+state.+changed )|(\[timeout)|(PRM\|1\|D)|(kpr)|(kdp)|(train st.+moving)|(\|lc)|(penalty))"</v>
      </c>
      <c r="AG238" s="244" t="str">
        <f t="shared" si="143"/>
        <v>Shuttle/Test</v>
      </c>
      <c r="AH238" s="236" t="str">
        <f t="shared" si="153"/>
        <v>"%USERPROFILE%\Documents\GitHub\eaglep3\Utilities\RefineRTDCRunTimes.py" --tripid 61-22 --locoid 4050 --swversion DE.1.0.9.0 --startMP 300:30544 --initTime 2017-12-22T13:30:29 --startdatetime 2017-12-22T13:55:19 --delay 62 --endMP 300:31320 --enddatetime 2017-12-22T13:55:58 --enforcementcount 0 &gt;&gt;%USERPROFILE%\Documents\GitHub\eaglep3-reporting\EC\2017-12-22-refined-times.txt</v>
      </c>
      <c r="AI238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3.132"},{"id":17,"name":"Train ID","value":"61-22"},{"id":16,"name":"Locomotive ID","value":"4050"},{"id":130,"name":"Impact","value":""},{"id":150,"name":"Time of Event (Mountain Time)","value":"13:55:58"},{"id":151,"name":"Denver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3"/>
      <c r="AK238" s="231"/>
      <c r="AL238" s="231"/>
      <c r="AM238" s="240" t="str">
        <f t="shared" si="155"/>
        <v>start /low /b %USERPROFILE%\Documents\GitHub\eaglep3\Utilities\DownloadLogsFromS3.py --loco 4050 --day 2017-12-22</v>
      </c>
      <c r="AN238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57"/>
        <v>https://d0f6bd738d7f1b3e5a7ca70fe4ff75f0.us-east-1.aws.found.io/app/kibana#/discover/Steve-Slow-Train-Analysis-(2080s-and-2083s)?_g=(refreshInterval:(display:Off,pause:!f,section:0,value:0),time:(from:'2017-12-22T12:30:29-0700',mode:absolute,to:'2017-12-22T14:55:58-0700'))&amp;_a=(columns:!('Message%20ID',Summary),filters:!(),index:'emp_*',interval:auto,query:(query_string:(analyze_wildcard:!t,query:'%22rtdc.l.rtdc.4050%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766</v>
      </c>
      <c r="B239" s="225">
        <v>4049</v>
      </c>
      <c r="C239" s="227" t="s">
        <v>192</v>
      </c>
      <c r="D239" s="227" t="s">
        <v>1017</v>
      </c>
      <c r="E239" s="226">
        <v>43091.572048611109</v>
      </c>
      <c r="F239" s="226">
        <v>43091.580081018517</v>
      </c>
      <c r="G239" s="225">
        <v>65</v>
      </c>
      <c r="H239" s="227" t="s">
        <v>1018</v>
      </c>
      <c r="I239" s="226">
        <v>43091.58053240741</v>
      </c>
      <c r="J239" s="225">
        <v>0</v>
      </c>
      <c r="K239" s="237" t="str">
        <f t="shared" si="133"/>
        <v>4049/4050</v>
      </c>
      <c r="L239" s="245" t="str">
        <f>VLOOKUP(A239,'Trips&amp;Operators'!$C$1:$G$99911,5,FALSE)</f>
        <v>LONG FULLER</v>
      </c>
      <c r="M239" s="224">
        <f t="shared" si="134"/>
        <v>4.5138889254303649E-4</v>
      </c>
      <c r="N239" s="225">
        <f t="shared" si="152"/>
        <v>0.65000000526197255</v>
      </c>
      <c r="O239" s="225"/>
      <c r="P239" s="225"/>
      <c r="Q239" s="228"/>
      <c r="R239" s="242"/>
      <c r="S239" s="249">
        <f t="shared" si="135"/>
        <v>0</v>
      </c>
      <c r="T239" s="242" t="str">
        <f t="shared" si="136"/>
        <v>NorthBound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 t="shared" si="137"/>
        <v>https://d0f6bd738d7f1b3e5a7ca70fe4ff75f0.us-east-1.aws.found.io/app/kibana#/discover/Steve-Slow-Train-Analysis-(2080s-and-2083s)?_g=(refreshInterval:(display:Off,pause:!f,section:0,value:0),time:(from:'2017-12-22T12:43:45-0700',mode:absolute,to:'2017-12-22T14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247" t="str">
        <f>IF(AA239&lt;VLOOKUP(AG239,Variables!$AC$3:$AD$8,2,FALSE),"Y","N")</f>
        <v>Y</v>
      </c>
      <c r="X239" s="247">
        <f t="shared" si="151"/>
        <v>0</v>
      </c>
      <c r="Y239" s="247">
        <f t="shared" si="149"/>
        <v>3.0998000000000001</v>
      </c>
      <c r="Z239" s="247">
        <f t="shared" si="150"/>
        <v>2.1556999999999999</v>
      </c>
      <c r="AA239" s="247">
        <f t="shared" si="139"/>
        <v>0.94410000000000016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 t="shared" si="140"/>
        <v>61</v>
      </c>
      <c r="AE239" s="235" t="str">
        <f t="shared" si="141"/>
        <v>aws s3 cp s3://rtdc.mdm.uploadarchive.raw/RTDC4049/ "%USERPROFILE%\AppData\Local\Temp\OnboardLogs"\RTDC4049\2017-12-22 --exclude "*" --recursive --include "*20171222*" &amp; "%USERPROFILE%\Documents\GitHub\mrs-test-scripts\Headless Mode &amp; Sideloading\WalkAndUnGZ.bat" "%USERPROFILE%\AppData\Local\Temp\OnboardLogs"\RTDC4049\2017-12-22 &amp; aws s3 cp s3://rtdc.mdm.uploadarchive.raw/RTDC4049/ "%USERPROFILE%\AppData\Local\Temp\OnboardLogs"\RTDC4049\2017-12-23 --exclude "*" --recursive --include "*20171223*" &amp; "%USERPROFILE%\Documents\GitHub\mrs-test-scripts\Headless Mode &amp; Sideloading\WalkAndUnGZ.bat" "%USERPROFILE%\AppData\Local\Temp\OnboardLogs"\RTDC4049\2017-12-23</v>
      </c>
      <c r="AF239" s="234" t="str">
        <f t="shared" si="142"/>
        <v>"C:\Program Files (x86)\AstroGrep\AstroGrep.exe" /e /r /s /spath="%USERPROFILE%\AppData\Local\Temp\OnboardLogs" /stypes="app*4049*20171222*" /stext=" 20:.+((SYSTEM_STATE.+slice.+state.+changed )|(ment ac)|(multiple cpu faults)|(system.+state.+changed )|(\[timeout)|(PRM\|1\|D)|(kpr)|(kdp)|(train st.+moving)|(\|lc)|(penalty))"</v>
      </c>
      <c r="AG239" s="244" t="str">
        <f t="shared" si="143"/>
        <v>Shuttle/Test</v>
      </c>
      <c r="AH239" s="236" t="str">
        <f t="shared" si="153"/>
        <v>"%USERPROFILE%\Documents\GitHub\eaglep3\Utilities\RefineRTDCRunTimes.py" --tripid 61-22 --locoid 4049 --swversion DE.1.0.9.0 --startMP 300:30998 --initTime 2017-12-22T13:43:45 --startdatetime 2017-12-22T13:55:19 --delay 65 --endMP 300:21557 --enddatetime 2017-12-22T13:55:58 --enforcementcount 0 &gt;&gt;%USERPROFILE%\Documents\GitHub\eaglep3-reporting\EC\2017-12-22-refined-times.txt</v>
      </c>
      <c r="AI239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2.1557"},{"id":17,"name":"Train ID","value":"61-22"},{"id":16,"name":"Locomotive ID","value":"4049"},{"id":130,"name":"Impact","value":""},{"id":150,"name":"Time of Event (Mountain Time)","value":"13:55:58"},{"id":151,"name":"Denver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155"/>
        <v>start /low /b %USERPROFILE%\Documents\GitHub\eaglep3\Utilities\DownloadLogsFromS3.py --loco 4049 --day 2017-12-22</v>
      </c>
      <c r="AN239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57"/>
        <v>https://d0f6bd738d7f1b3e5a7ca70fe4ff75f0.us-east-1.aws.found.io/app/kibana#/discover/Steve-Slow-Train-Analysis-(2080s-and-2083s)?_g=(refreshInterval:(display:Off,pause:!f,section:0,value:0),time:(from:'2017-12-22T12:43:45-0700',mode:absolute,to:'2017-12-22T14:55:58-0700'))&amp;_a=(columns:!('Message%20ID',Summary),filters:!(),index:'emp_*',interval:auto,query:(query_string:(analyze_wildcard:!t,query:'%22rtdc.l.rtdc.4049%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229" t="s">
        <v>707</v>
      </c>
      <c r="B240" s="225">
        <v>4010</v>
      </c>
      <c r="C240" s="227" t="s">
        <v>192</v>
      </c>
      <c r="D240" s="227" t="s">
        <v>1019</v>
      </c>
      <c r="E240" s="226">
        <v>43091.259004629632</v>
      </c>
      <c r="F240" s="226">
        <v>43091.267291666663</v>
      </c>
      <c r="G240" s="225">
        <v>69</v>
      </c>
      <c r="H240" s="227" t="s">
        <v>1020</v>
      </c>
      <c r="I240" s="226">
        <v>43091.268807870372</v>
      </c>
      <c r="J240" s="225">
        <v>0</v>
      </c>
      <c r="K240" s="237" t="str">
        <f t="shared" si="133"/>
        <v>4009/4010</v>
      </c>
      <c r="L240" s="245" t="str">
        <f>VLOOKUP(A240,'Trips&amp;Operators'!$C$1:$G$99911,5,FALSE)</f>
        <v>SPECTOR MICHAEL</v>
      </c>
      <c r="M240" s="224">
        <f t="shared" si="134"/>
        <v>1.5162037088884972E-3</v>
      </c>
      <c r="N240" s="225">
        <f t="shared" si="152"/>
        <v>2.183333340799436</v>
      </c>
      <c r="O240" s="225"/>
      <c r="P240" s="225"/>
      <c r="Q240" s="228"/>
      <c r="R240" s="242"/>
      <c r="S240" s="249">
        <f t="shared" si="135"/>
        <v>0</v>
      </c>
      <c r="T240" s="242" t="str">
        <f t="shared" si="136"/>
        <v>NorthBound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 t="shared" si="137"/>
        <v>https://d0f6bd738d7f1b3e5a7ca70fe4ff75f0.us-east-1.aws.found.io/app/kibana#/discover/Steve-Slow-Train-Analysis-(2080s-and-2083s)?_g=(refreshInterval:(display:Off,pause:!f,section:0,value:0),time:(from:'2017-12-22T05:12:58-0700',mode:absolute,to:'2017-12-22T07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0" s="247" t="str">
        <f>IF(AA240&lt;VLOOKUP(AG240,Variables!$AC$3:$AD$8,2,FALSE),"Y","N")</f>
        <v>Y</v>
      </c>
      <c r="X240" s="247">
        <f t="shared" si="151"/>
        <v>16</v>
      </c>
      <c r="Y240" s="247">
        <f t="shared" si="149"/>
        <v>0.14899999999999999</v>
      </c>
      <c r="Z240" s="247">
        <f t="shared" si="150"/>
        <v>0.35630000000000001</v>
      </c>
      <c r="AA240" s="247">
        <f t="shared" si="139"/>
        <v>0.20730000000000001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 t="shared" si="140"/>
        <v>77</v>
      </c>
      <c r="AE240" s="235" t="str">
        <f t="shared" si="141"/>
        <v>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 &amp; aws s3 cp s3://rtdc.mdm.uploadarchive.raw/RTDC4010/ "%USERPROFILE%\AppData\Local\Temp\OnboardLogs"\RTDC4010\2017-12-23 --exclude "*" --recursive --include "*20171223*" &amp; "%USERPROFILE%\Documents\GitHub\mrs-test-scripts\Headless Mode &amp; Sideloading\WalkAndUnGZ.bat" "%USERPROFILE%\AppData\Local\Temp\OnboardLogs"\RTDC4010\2017-12-23</v>
      </c>
      <c r="AF240" s="234" t="str">
        <f t="shared" si="142"/>
        <v>"C:\Program Files (x86)\AstroGrep\AstroGrep.exe" /e /r /s /spath="%USERPROFILE%\AppData\Local\Temp\OnboardLogs" /stypes="app*4010*20171222*" /stext=" 13:.+((SYSTEM_STATE.+slice.+state.+changed )|(ment ac)|(multiple cpu faults)|(system.+state.+changed )|(\[timeout)|(PRM\|1\|D)|(kpr)|(kdp)|(train st.+moving)|(\|lc)|(penalty))"</v>
      </c>
      <c r="AG240" s="244" t="str">
        <f t="shared" si="143"/>
        <v>Shuttle/Test</v>
      </c>
      <c r="AH240" s="236" t="str">
        <f t="shared" si="153"/>
        <v>"%USERPROFILE%\Documents\GitHub\eaglep3\Utilities\RefineRTDCRunTimes.py" --tripid 77-22 --locoid 4010 --swversion DE.1.0.9.0 --startMP 204:1490 --initTime 2017-12-22T06:12:58 --startdatetime 2017-12-22T06:24:54 --delay 69 --endMP 204:3563 --enddatetime 2017-12-22T06:27:05 --enforcementcount 0 &gt;&gt;%USERPROFILE%\Documents\GitHub\eaglep3-reporting\EC\2017-12-22-refined-times.txt</v>
      </c>
      <c r="AI240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0.3563"},{"id":17,"name":"Train ID","value":"77-22"},{"id":16,"name":"Locomotive ID","value":"4010"},{"id":130,"name":"Impact","value":""},{"id":150,"name":"Time of Event (Mountain Time)","value":"06:27:05"},{"id":151,"name":"Denver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3"/>
      <c r="AK240" s="231"/>
      <c r="AL240" s="231"/>
      <c r="AM240" s="240" t="str">
        <f t="shared" si="155"/>
        <v>start /low /b %USERPROFILE%\Documents\GitHub\eaglep3\Utilities\DownloadLogsFromS3.py --loco 4010 --day 2017-12-22</v>
      </c>
      <c r="AN240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157"/>
        <v>https://d0f6bd738d7f1b3e5a7ca70fe4ff75f0.us-east-1.aws.found.io/app/kibana#/discover/Steve-Slow-Train-Analysis-(2080s-and-2083s)?_g=(refreshInterval:(display:Off,pause:!f,section:0,value:0),time:(from:'2017-12-22T05:12:58-0700',mode:absolute,to:'2017-12-22T07:27:05-0700'))&amp;_a=(columns:!('Message%20ID',Summary),filters:!(),index:'emp_*',interval:auto,query:(query_string:(analyze_wildcard:!t,query:'%22rtdc.l.rtdc.4010%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707</v>
      </c>
      <c r="B241" s="225">
        <v>4009</v>
      </c>
      <c r="C241" s="227" t="s">
        <v>192</v>
      </c>
      <c r="D241" s="227" t="s">
        <v>1021</v>
      </c>
      <c r="E241" s="226">
        <v>43091.265960648147</v>
      </c>
      <c r="F241" s="226">
        <v>43091.267291666663</v>
      </c>
      <c r="G241" s="225">
        <v>55</v>
      </c>
      <c r="H241" s="227" t="s">
        <v>558</v>
      </c>
      <c r="I241" s="226">
        <v>43091.268807870372</v>
      </c>
      <c r="J241" s="225">
        <v>0</v>
      </c>
      <c r="K241" s="237" t="str">
        <f t="shared" si="133"/>
        <v>4009/4010</v>
      </c>
      <c r="L241" s="245" t="str">
        <f>VLOOKUP(A241,'Trips&amp;Operators'!$C$1:$G$99911,5,FALSE)</f>
        <v>SPECTOR MICHAEL</v>
      </c>
      <c r="M241" s="224">
        <f t="shared" si="134"/>
        <v>1.5162037088884972E-3</v>
      </c>
      <c r="N241" s="225">
        <f t="shared" si="152"/>
        <v>2.183333340799436</v>
      </c>
      <c r="O241" s="225"/>
      <c r="P241" s="225"/>
      <c r="Q241" s="228"/>
      <c r="R241" s="242"/>
      <c r="S241" s="249">
        <f t="shared" si="135"/>
        <v>0</v>
      </c>
      <c r="T241" s="242" t="str">
        <f t="shared" si="136"/>
        <v>NorthBound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 t="shared" si="137"/>
        <v>https://d0f6bd738d7f1b3e5a7ca70fe4ff75f0.us-east-1.aws.found.io/app/kibana#/discover/Steve-Slow-Train-Analysis-(2080s-and-2083s)?_g=(refreshInterval:(display:Off,pause:!f,section:0,value:0),time:(from:'2017-12-22T05:22:59-0700',mode:absolute,to:'2017-12-22T07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1" s="247" t="str">
        <f>IF(AA241&lt;VLOOKUP(AG241,Variables!$AC$3:$AD$8,2,FALSE),"Y","N")</f>
        <v>Y</v>
      </c>
      <c r="X241" s="247">
        <f t="shared" si="151"/>
        <v>0</v>
      </c>
      <c r="Y241" s="247">
        <f t="shared" si="149"/>
        <v>0.32440000000000002</v>
      </c>
      <c r="Z241" s="247">
        <f t="shared" si="150"/>
        <v>1.5800000000000002E-2</v>
      </c>
      <c r="AA241" s="247">
        <f t="shared" si="139"/>
        <v>0.30860000000000004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 t="shared" si="140"/>
        <v>77</v>
      </c>
      <c r="AE241" s="235" t="str">
        <f t="shared" si="141"/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AF241" s="234" t="str">
        <f t="shared" si="142"/>
        <v>"C:\Program Files (x86)\AstroGrep\AstroGrep.exe" /e /r /s /spath="%USERPROFILE%\AppData\Local\Temp\OnboardLogs" /stypes="app*4009*20171222*" /stext=" 13:.+((SYSTEM_STATE.+slice.+state.+changed )|(ment ac)|(multiple cpu faults)|(system.+state.+changed )|(\[timeout)|(PRM\|1\|D)|(kpr)|(kdp)|(train st.+moving)|(\|lc)|(penalty))"</v>
      </c>
      <c r="AG241" s="244" t="str">
        <f t="shared" si="143"/>
        <v>Shuttle/Test</v>
      </c>
      <c r="AH241" s="236" t="str">
        <f t="shared" si="153"/>
        <v>"%USERPROFILE%\Documents\GitHub\eaglep3\Utilities\RefineRTDCRunTimes.py" --tripid 77-22 --locoid 4009 --swversion DE.1.0.9.0 --startMP 204:3244 --initTime 2017-12-22T06:22:59 --startdatetime 2017-12-22T06:24:54 --delay 55 --endMP 204:158 --enddatetime 2017-12-22T06:27:05 --enforcementcount 0 &gt;&gt;%USERPROFILE%\Documents\GitHub\eaglep3-reporting\EC\2017-12-22-refined-times.txt</v>
      </c>
      <c r="AI241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0.0158"},{"id":17,"name":"Train ID","value":"77-22"},{"id":16,"name":"Locomotive ID","value":"4009"},{"id":130,"name":"Impact","value":""},{"id":150,"name":"Time of Event (Mountain Time)","value":"06:27:05"},{"id":151,"name":"Denver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155"/>
        <v>start /low /b %USERPROFILE%\Documents\GitHub\eaglep3\Utilities\DownloadLogsFromS3.py --loco 4009 --day 2017-12-22</v>
      </c>
      <c r="AN241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13:27:05"},{"id":29,"name":"Sharepoint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57"/>
        <v>https://d0f6bd738d7f1b3e5a7ca70fe4ff75f0.us-east-1.aws.found.io/app/kibana#/discover/Steve-Slow-Train-Analysis-(2080s-and-2083s)?_g=(refreshInterval:(display:Off,pause:!f,section:0,value:0),time:(from:'2017-12-22T05:22:59-0700',mode:absolute,to:'2017-12-22T07:27:05-0700'))&amp;_a=(columns:!('Message%20ID',Summary),filters:!(),index:'emp_*',interval:auto,query:(query_string:(analyze_wildcard:!t,query:'%22rtdc.l.rtdc.4009%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707</v>
      </c>
      <c r="B242" s="225">
        <v>4058</v>
      </c>
      <c r="C242" s="227" t="s">
        <v>192</v>
      </c>
      <c r="D242" s="227" t="s">
        <v>1022</v>
      </c>
      <c r="E242" s="226">
        <v>43091.722025462965</v>
      </c>
      <c r="F242" s="226">
        <v>43091.723541666666</v>
      </c>
      <c r="G242" s="225">
        <v>71</v>
      </c>
      <c r="H242" s="227" t="s">
        <v>1023</v>
      </c>
      <c r="I242" s="226">
        <v>43091.729513888888</v>
      </c>
      <c r="J242" s="225">
        <v>0</v>
      </c>
      <c r="K242" s="237" t="str">
        <f t="shared" si="133"/>
        <v>4057/4058</v>
      </c>
      <c r="L242" s="245" t="str">
        <f>VLOOKUP(A242,'Trips&amp;Operators'!$C$1:$G$99911,5,FALSE)</f>
        <v>SPECTOR MICHAEL</v>
      </c>
      <c r="M242" s="224">
        <f t="shared" si="134"/>
        <v>5.9722222213167697E-3</v>
      </c>
      <c r="N242" s="225">
        <f t="shared" si="152"/>
        <v>8.5999999986961484</v>
      </c>
      <c r="O242" s="225"/>
      <c r="P242" s="225"/>
      <c r="Q242" s="228"/>
      <c r="R242" s="242"/>
      <c r="S242" s="249">
        <f t="shared" si="135"/>
        <v>1</v>
      </c>
      <c r="T242" s="242" t="str">
        <f t="shared" si="136"/>
        <v>NorthBound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8" t="str">
        <f t="shared" si="137"/>
        <v>https://d0f6bd738d7f1b3e5a7ca70fe4ff75f0.us-east-1.aws.found.io/app/kibana#/discover/Steve-Slow-Train-Analysis-(2080s-and-2083s)?_g=(refreshInterval:(display:Off,pause:!f,section:0,value:0),time:(from:'2017-12-22T16:19:43-0700',mode:absolute,to:'2017-12-22T18:30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2" s="247" t="str">
        <f>IF(AA242&lt;VLOOKUP(AG242,Variables!$AC$3:$AD$8,2,FALSE),"Y","N")</f>
        <v>Y</v>
      </c>
      <c r="X242" s="247">
        <f t="shared" si="151"/>
        <v>0</v>
      </c>
      <c r="Y242" s="247">
        <f t="shared" si="149"/>
        <v>0.1158</v>
      </c>
      <c r="Z242" s="247">
        <f t="shared" si="150"/>
        <v>2.3300999999999998</v>
      </c>
      <c r="AA242" s="247">
        <f t="shared" si="139"/>
        <v>2.2142999999999997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 t="shared" si="140"/>
        <v>77</v>
      </c>
      <c r="AE242" s="235" t="str">
        <f t="shared" si="141"/>
        <v>aws s3 cp s3://rtdc.mdm.uploadarchive.raw/RTDC4058/ "%USERPROFILE%\AppData\Local\Temp\OnboardLogs"\RTDC4058\2017-12-22 --exclude "*" --recursive --include "*20171222*" &amp; "%USERPROFILE%\Documents\GitHub\mrs-test-scripts\Headless Mode &amp; Sideloading\WalkAndUnGZ.bat" "%USERPROFILE%\AppData\Local\Temp\OnboardLogs"\RTDC4058\2017-12-22 &amp; aws s3 cp s3://rtdc.mdm.uploadarchive.raw/RTDC4058/ "%USERPROFILE%\AppData\Local\Temp\OnboardLogs"\RTDC4058\2017-12-23 --exclude "*" --recursive --include "*20171223*" &amp; "%USERPROFILE%\Documents\GitHub\mrs-test-scripts\Headless Mode &amp; Sideloading\WalkAndUnGZ.bat" "%USERPROFILE%\AppData\Local\Temp\OnboardLogs"\RTDC4058\2017-12-23</v>
      </c>
      <c r="AF242" s="234" t="str">
        <f t="shared" si="142"/>
        <v>"C:\Program Files (x86)\AstroGrep\AstroGrep.exe" /e /r /s /spath="%USERPROFILE%\AppData\Local\Temp\OnboardLogs" /stypes="app*4058*20171223*" /stext=" 00:.+((SYSTEM_STATE.+slice.+state.+changed )|(ment ac)|(multiple cpu faults)|(system.+state.+changed )|(\[timeout)|(PRM\|1\|D)|(kpr)|(kdp)|(train st.+moving)|(\|lc)|(penalty))"</v>
      </c>
      <c r="AG242" s="244" t="str">
        <f t="shared" si="143"/>
        <v>Shuttle/Test</v>
      </c>
      <c r="AH242" s="236" t="str">
        <f t="shared" si="153"/>
        <v>"%USERPROFILE%\Documents\GitHub\eaglep3\Utilities\RefineRTDCRunTimes.py" --tripid 77-22 --locoid 4058 --swversion DE.1.0.9.0 --startMP 204:1158 --initTime 2017-12-22T17:19:43 --startdatetime 2017-12-22T17:21:54 --delay 71 --endMP 300:23301 --enddatetime 2017-12-22T17:30:30 --enforcementcount 0 &gt;&gt;%USERPROFILE%\Documents\GitHub\eaglep3-reporting\EC\2017-12-22-refined-times.txt</v>
      </c>
      <c r="AI242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2.3301"},{"id":17,"name":"Train ID","value":"77-22"},{"id":16,"name":"Locomotive ID","value":"4058"},{"id":130,"name":"Impact","value":""},{"id":150,"name":"Time of Event (Mountain Time)","value":"17:30:30"},{"id":151,"name":"Denver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55"/>
        <v>start /low /b %USERPROFILE%\Documents\GitHub\eaglep3\Utilities\DownloadLogsFromS3.py --loco 4058 --day 2017-12-22</v>
      </c>
      <c r="AN242" s="241" t="str">
        <f t="shared" si="156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00:30:30"},{"id":29,"name":"Sharepoint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57"/>
        <v>https://d0f6bd738d7f1b3e5a7ca70fe4ff75f0.us-east-1.aws.found.io/app/kibana#/discover/Steve-Slow-Train-Analysis-(2080s-and-2083s)?_g=(refreshInterval:(display:Off,pause:!f,section:0,value:0),time:(from:'2017-12-22T16:19:43-0700',mode:absolute,to:'2017-12-22T18:30:30-0700'))&amp;_a=(columns:!('Message%20ID',Summary),filters:!(),index:'emp_*',interval:auto,query:(query_string:(analyze_wildcard:!t,query:'%22rtdc.l.rtdc.4058%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823</v>
      </c>
      <c r="B243" s="225">
        <v>4030</v>
      </c>
      <c r="C243" s="227" t="s">
        <v>192</v>
      </c>
      <c r="D243" s="227" t="s">
        <v>1024</v>
      </c>
      <c r="E243" s="226">
        <v>43091.678749999999</v>
      </c>
      <c r="F243" s="226">
        <v>43091.683993055558</v>
      </c>
      <c r="G243" s="225">
        <v>114</v>
      </c>
      <c r="H243" s="227" t="s">
        <v>1023</v>
      </c>
      <c r="I243" s="226">
        <v>43091.699687499997</v>
      </c>
      <c r="J243" s="225">
        <v>0</v>
      </c>
      <c r="K243" s="237" t="str">
        <f t="shared" si="133"/>
        <v>4029/4030</v>
      </c>
      <c r="L243" s="245" t="str">
        <f>VLOOKUP(A243,'Trips&amp;Operators'!$C$1:$G$99911,5,FALSE)</f>
        <v>NEWELL JAMES</v>
      </c>
      <c r="M243" s="224">
        <f t="shared" si="134"/>
        <v>1.5694444438850041E-2</v>
      </c>
      <c r="N243" s="225">
        <f t="shared" si="152"/>
        <v>22.59999999194406</v>
      </c>
      <c r="O243" s="225"/>
      <c r="P243" s="225"/>
      <c r="Q243" s="228"/>
      <c r="R243" s="242"/>
      <c r="S243" s="249">
        <f t="shared" si="135"/>
        <v>1</v>
      </c>
      <c r="T243" s="242" t="str">
        <f t="shared" si="136"/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 t="shared" si="137"/>
        <v>https://d0f6bd738d7f1b3e5a7ca70fe4ff75f0.us-east-1.aws.found.io/app/kibana#/discover/Steve-Slow-Train-Analysis-(2080s-and-2083s)?_g=(refreshInterval:(display:Off,pause:!f,section:0,value:0),time:(from:'2017-12-22T15:17:24-0700',mode:absolute,to:'2017-12-22T17:47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3" s="247" t="str">
        <f>IF(AA243&lt;VLOOKUP(AG243,Variables!$AC$3:$AD$8,2,FALSE),"Y","N")</f>
        <v>Y</v>
      </c>
      <c r="X243" s="247">
        <f t="shared" si="151"/>
        <v>2</v>
      </c>
      <c r="Y243" s="247">
        <f t="shared" si="149"/>
        <v>0.1246</v>
      </c>
      <c r="Z243" s="247">
        <f t="shared" si="150"/>
        <v>2.3300999999999998</v>
      </c>
      <c r="AA243" s="247">
        <f t="shared" si="139"/>
        <v>2.2054999999999998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 t="shared" si="140"/>
        <v>79</v>
      </c>
      <c r="AE243" s="235" t="str">
        <f t="shared" si="141"/>
        <v>aws s3 cp s3://rtdc.mdm.uploadarchive.raw/RTDC4030/ "%USERPROFILE%\AppData\Local\Temp\OnboardLogs"\RTDC4030\2017-12-22 --exclude "*" --recursive --include "*20171222*" &amp; "%USERPROFILE%\Documents\GitHub\mrs-test-scripts\Headless Mode &amp; Sideloading\WalkAndUnGZ.bat" "%USERPROFILE%\AppData\Local\Temp\OnboardLogs"\RTDC4030\2017-12-22 &amp; 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</v>
      </c>
      <c r="AF243" s="234" t="str">
        <f t="shared" si="142"/>
        <v>"C:\Program Files (x86)\AstroGrep\AstroGrep.exe" /e /r /s /spath="%USERPROFILE%\AppData\Local\Temp\OnboardLogs" /stypes="app*4030*20171222*" /stext=" 23:.+((SYSTEM_STATE.+slice.+state.+changed )|(ment ac)|(multiple cpu faults)|(system.+state.+changed )|(\[timeout)|(PRM\|1\|D)|(kpr)|(kdp)|(train st.+moving)|(\|lc)|(penalty))"</v>
      </c>
      <c r="AG243" s="244" t="str">
        <f t="shared" si="143"/>
        <v>Shuttle/Test</v>
      </c>
      <c r="AH243" s="236" t="str">
        <f t="shared" si="153"/>
        <v>"%USERPROFILE%\Documents\GitHub\eaglep3\Utilities\RefineRTDCRunTimes.py" --tripid 79-22 --locoid 4030 --swversion DE.1.0.9.0 --startMP 204:1246 --initTime 2017-12-22T16:17:24 --startdatetime 2017-12-22T16:24:57 --delay 114 --endMP 300:23301 --enddatetime 2017-12-22T16:47:33 --enforcementcount 0 &gt;&gt;%USERPROFILE%\Documents\GitHub\eaglep3-reporting\EC\2017-12-22-refined-times.txt</v>
      </c>
      <c r="AI243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2.3301"},{"id":17,"name":"Train ID","value":"79-22"},{"id":16,"name":"Locomotive ID","value":"4030"},{"id":130,"name":"Impact","value":""},{"id":150,"name":"Time of Event (Mountain Time)","value":"16:47:33"},{"id":151,"name":"Denver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155"/>
        <v>start /low /b %USERPROFILE%\Documents\GitHub\eaglep3\Utilities\DownloadLogsFromS3.py --loco 4030 --day 2017-12-22</v>
      </c>
      <c r="AN243" s="241" t="str">
        <f t="shared" si="156"/>
        <v>echo {"issue":{"subject":"","project_id":30,"tracker_id":4,"status_id":1,"priority_id":1,"assigned_to_id":10,"start_date":"2017-12-22","description":"","custom_fields":[{"id":30,"name":"Category","value":"Issue"},{"id":3,"name":"Functional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UTC","value":"2017-12-22 23:47:33"},{"id":29,"name":"Sharepoint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57"/>
        <v>https://d0f6bd738d7f1b3e5a7ca70fe4ff75f0.us-east-1.aws.found.io/app/kibana#/discover/Steve-Slow-Train-Analysis-(2080s-and-2083s)?_g=(refreshInterval:(display:Off,pause:!f,section:0,value:0),time:(from:'2017-12-22T15:17:24-0700',mode:absolute,to:'2017-12-22T17:47:33-0700'))&amp;_a=(columns:!('Message%20ID',Summary),filters:!(),index:'emp_*',interval:auto,query:(query_string:(analyze_wildcard:!t,query:'%22rtdc.l.rtdc.4030%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840</v>
      </c>
      <c r="B244" s="225">
        <v>4045</v>
      </c>
      <c r="C244" s="227" t="s">
        <v>192</v>
      </c>
      <c r="D244" s="227" t="s">
        <v>1025</v>
      </c>
      <c r="E244" s="226">
        <v>43091.731736111113</v>
      </c>
      <c r="F244" s="226">
        <v>43091.741631944446</v>
      </c>
      <c r="G244" s="225">
        <v>280</v>
      </c>
      <c r="H244" s="227" t="s">
        <v>1026</v>
      </c>
      <c r="I244" s="226">
        <v>43091.746076388888</v>
      </c>
      <c r="J244" s="225">
        <v>0</v>
      </c>
      <c r="K244" s="237" t="str">
        <f t="shared" si="133"/>
        <v>4045/4046</v>
      </c>
      <c r="L244" s="245" t="str">
        <f>VLOOKUP(A244,'Trips&amp;Operators'!$C$1:$G$99911,5,FALSE)</f>
        <v>AUSTIN THOMPSON</v>
      </c>
      <c r="M244" s="224">
        <f t="shared" si="134"/>
        <v>4.4444444429245777E-3</v>
      </c>
      <c r="N244" s="225">
        <f t="shared" si="152"/>
        <v>6.3999999978113919</v>
      </c>
      <c r="O244" s="225"/>
      <c r="P244" s="225"/>
      <c r="Q244" s="228"/>
      <c r="R244" s="242"/>
      <c r="S244" s="249">
        <f t="shared" si="135"/>
        <v>1</v>
      </c>
      <c r="T244" s="242" t="str">
        <f t="shared" si="136"/>
        <v>Southbound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48" t="str">
        <f t="shared" si="137"/>
        <v>https://d0f6bd738d7f1b3e5a7ca70fe4ff75f0.us-east-1.aws.found.io/app/kibana#/discover/Steve-Slow-Train-Analysis-(2080s-and-2083s)?_g=(refreshInterval:(display:Off,pause:!f,section:0,value:0),time:(from:'2017-12-22T16:33:42-0700',mode:absolute,to:'2017-12-22T18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4" s="247" t="str">
        <f>IF(AA244&lt;VLOOKUP(AG244,Variables!$AC$3:$AD$8,2,FALSE),"Y","N")</f>
        <v>Y</v>
      </c>
      <c r="X244" s="247">
        <f t="shared" si="151"/>
        <v>1</v>
      </c>
      <c r="Y244" s="247">
        <f t="shared" si="149"/>
        <v>2.3247</v>
      </c>
      <c r="Z244" s="247">
        <f t="shared" si="150"/>
        <v>0.17710000000000001</v>
      </c>
      <c r="AA244" s="247">
        <f t="shared" si="139"/>
        <v>2.1476000000000002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 t="shared" si="140"/>
        <v>80</v>
      </c>
      <c r="AE244" s="235" t="str">
        <f t="shared" si="141"/>
        <v>aws s3 cp s3://rtdc.mdm.uploadarchive.raw/RTDC4045/ "%USERPROFILE%\AppData\Local\Temp\OnboardLogs"\RTDC4045\2017-12-22 --exclude "*" --recursive --include "*20171222*" &amp; "%USERPROFILE%\Documents\GitHub\mrs-test-scripts\Headless Mode &amp; Sideloading\WalkAndUnGZ.bat" "%USERPROFILE%\AppData\Local\Temp\OnboardLogs"\RTDC4045\2017-12-22 &amp; aws s3 cp s3://rtdc.mdm.uploadarchive.raw/RTDC4045/ "%USERPROFILE%\AppData\Local\Temp\OnboardLogs"\RTDC4045\2017-12-23 --exclude "*" --recursive --include "*20171223*" &amp; "%USERPROFILE%\Documents\GitHub\mrs-test-scripts\Headless Mode &amp; Sideloading\WalkAndUnGZ.bat" "%USERPROFILE%\AppData\Local\Temp\OnboardLogs"\RTDC4045\2017-12-23</v>
      </c>
      <c r="AF244" s="234" t="str">
        <f t="shared" si="142"/>
        <v>"C:\Program Files (x86)\AstroGrep\AstroGrep.exe" /e /r /s /spath="%USERPROFILE%\AppData\Local\Temp\OnboardLogs" /stypes="app*4045*20171223*" /stext=" 00:.+((SYSTEM_STATE.+slice.+state.+changed )|(ment ac)|(multiple cpu faults)|(system.+state.+changed )|(\[timeout)|(PRM\|1\|D)|(kpr)|(kdp)|(train st.+moving)|(\|lc)|(penalty))"</v>
      </c>
      <c r="AG244" s="244" t="str">
        <f t="shared" si="143"/>
        <v>Shuttle/Test</v>
      </c>
      <c r="AH244" s="236" t="str">
        <f t="shared" si="153"/>
        <v>"%USERPROFILE%\Documents\GitHub\eaglep3\Utilities\RefineRTDCRunTimes.py" --tripid 80-22 --locoid 4045 --swversion DE.1.0.9.0 --startMP 300:23247 --initTime 2017-12-22T17:33:42 --startdatetime 2017-12-22T17:47:57 --delay 280 --endMP 204:1771 --enddatetime 2017-12-22T17:54:21 --enforcementcount 0 &gt;&gt;%USERPROFILE%\Documents\GitHub\eaglep3-reporting\EC\2017-12-22-refined-times.txt</v>
      </c>
      <c r="AI244" s="238" t="str">
        <f t="shared" si="154"/>
        <v>echo {"issue":{"subject":"","project_id":79,"tracker_id":40,"status_id":1,"priority_id":2,"assigned_to_id":338,"start_date":"2017-12-22","description":"","custom_fields":[{"id":1,"name":"Subdivision","value":"Shuttle/Test"},{"id":4,"name":"Milepost","value":"0.1771"},{"id":17,"name":"Train ID","value":"80-22"},{"id":16,"name":"Locomotive ID","value":"4045"},{"id":130,"name":"Impact","value":""},{"id":150,"name":"Time of Event (Mountain Time)","value":"17:54:21"},{"id":151,"name":"Denver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155"/>
        <v>start /low /b %USERPROFILE%\Documents\GitHub\eaglep3\Utilities\DownloadLogsFromS3.py --loco 4045 --day 2017-12-22</v>
      </c>
      <c r="AN244" s="241" t="str">
        <f t="shared" si="156"/>
        <v>echo {"issue":{"subject":"","project_id":30,"tracker_id":4,"status_id":1,"priority_id":1,"assigned_to_id":10,"start_date":"2017-12-23","description":"","custom_fields":[{"id":30,"name":"Category","value":"Issue"},{"id":3,"name":"Functional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UTC","value":"2017-12-23 00:54:21"},{"id":29,"name":"Sharepoint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157"/>
        <v>https://d0f6bd738d7f1b3e5a7ca70fe4ff75f0.us-east-1.aws.found.io/app/kibana#/discover/Steve-Slow-Train-Analysis-(2080s-and-2083s)?_g=(refreshInterval:(display:Off,pause:!f,section:0,value:0),time:(from:'2017-12-22T16:33:42-0700',mode:absolute,to:'2017-12-22T18:54:21-0700'))&amp;_a=(columns:!('Message%20ID',Summary),filters:!(),index:'emp_*',interval:auto,query:(query_string:(analyze_wildcard:!t,query:'%22rtdc.l.rtdc.4045%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4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4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4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4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4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4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4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4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</sheetData>
  <autoFilter ref="A12:AG523">
    <sortState ref="A13:AG523">
      <sortCondition ref="AG13:AG244"/>
      <sortCondition ref="AD13:AD244"/>
    </sortState>
  </autoFilter>
  <sortState ref="A13:AN428">
    <sortCondition ref="AG13:AG428"/>
    <sortCondition ref="AD13:AD428"/>
  </sortState>
  <mergeCells count="1">
    <mergeCell ref="A11:P11"/>
  </mergeCells>
  <conditionalFormatting sqref="W11:W12 W529:X1048576 W13:X244">
    <cfRule type="cellIs" dxfId="10" priority="472" operator="equal">
      <formula>"Y"</formula>
    </cfRule>
  </conditionalFormatting>
  <conditionalFormatting sqref="X529:X1048576 X13:X244">
    <cfRule type="cellIs" dxfId="9" priority="455" operator="greaterThan">
      <formula>1</formula>
    </cfRule>
  </conditionalFormatting>
  <conditionalFormatting sqref="X529:X1048576 X12:X244">
    <cfRule type="cellIs" dxfId="8" priority="452" operator="equal">
      <formula>0</formula>
    </cfRule>
  </conditionalFormatting>
  <conditionalFormatting sqref="A13:S244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COUNTIF($O$7:$O$155,"=Y")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COUNTA($O$7:$O$155)-O2</f>
        <v>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- 2017-12-22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43091.570590277777</v>
      </c>
      <c r="B7" s="30" t="s">
        <v>361</v>
      </c>
      <c r="C7" s="30" t="s">
        <v>658</v>
      </c>
      <c r="D7" s="30" t="s">
        <v>49</v>
      </c>
      <c r="E7" s="30" t="s">
        <v>183</v>
      </c>
      <c r="F7" s="42">
        <v>0</v>
      </c>
      <c r="G7" s="42">
        <v>167</v>
      </c>
      <c r="H7" s="42">
        <v>31068</v>
      </c>
      <c r="I7" s="42">
        <v>30891</v>
      </c>
      <c r="J7" s="30" t="s">
        <v>184</v>
      </c>
      <c r="K7" s="42">
        <v>30970</v>
      </c>
      <c r="L7" s="131" t="s">
        <v>51</v>
      </c>
      <c r="M7" s="132">
        <f t="shared" ref="M7:M17" si="0">CONVERT((I7-K7)/10000,"mi","ft")*IF(L7="Increasing Mileposts (1)",-1,1)</f>
        <v>-41.712000000000003</v>
      </c>
      <c r="N7" s="133" t="str">
        <f>VLOOKUP(C7,'Trips&amp;Operators'!$C$1:$G$99911,5,FALSE)</f>
        <v>LEVIN SCOTT</v>
      </c>
      <c r="O7" s="175" t="s">
        <v>178</v>
      </c>
      <c r="P7" s="239" t="s">
        <v>538</v>
      </c>
      <c r="Q7" s="30"/>
      <c r="R7" s="81" t="str">
        <f>VLOOKUP(C7,'Train Runs'!$A$13:$AE$10182,31,0)</f>
        <v>aws s3 cp s3://rtdc.mdm.uploadarchive.raw/RTDC4007/ "%USERPROFILE%\AppData\Local\Temp\OnboardLogs"\RTDC4007\2017-12-22 --exclude "*" --recursive --include "*20171222*" &amp; "%USERPROFILE%\Documents\GitHub\mrs-test-scripts\Headless Mode &amp; Sideloading\WalkAndUnGZ.bat" "%USERPROFILE%\AppData\Local\Temp\OnboardLogs"\RTDC4007\2017-12-22 &amp; aws s3 cp s3://rtdc.mdm.uploadarchive.raw/RTDC4007/ "%USERPROFILE%\AppData\Local\Temp\OnboardLogs"\RTDC4007\2017-12-23 --exclude "*" --recursive --include "*20171223*" &amp; "%USERPROFILE%\Documents\GitHub\mrs-test-scripts\Headless Mode &amp; Sideloading\WalkAndUnGZ.bat" "%USERPROFILE%\AppData\Local\Temp\OnboardLogs"\RTDC4007\2017-12-23</v>
      </c>
      <c r="S7" s="84" t="str">
        <f>VLOOKUP(C7,'Train Runs'!$A$13:$AE$10182,22,0)</f>
        <v>https://d0f6bd738d7f1b3e5a7ca70fe4ff75f0.us-east-1.aws.found.io/app/kibana#/discover/Steve-Slow-Train-Analysis-(2080s-and-2083s)?_g=(refreshInterval:(display:Off,pause:!f,section:0,value:0),time:(from:'2017-12-22T11:56:03-0700',mode:absolute,to:'2017-12-22T14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 t="shared" ref="T7:T1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/stypes="*4007*201712222*" /stext=" 20:.+((SYSTEM_STATE.+slice.+state.+changed )|(ment ac)|(multiple cpu faults)|(system.+state.+changed )|(\[timeout)|(PRM\|1\|D)|(kpr)|(kdp)|(train st.+moving)|(\|lc)|(penalty))"</v>
      </c>
      <c r="U7" s="9" t="str">
        <f t="shared" ref="U7:U17" si="2">MID(B7,13,4)</f>
        <v>4007</v>
      </c>
      <c r="V7" s="31">
        <f t="shared" ref="V7:V17" si="3">A7-utc_offset/24</f>
        <v>43091.862256944441</v>
      </c>
      <c r="W7" s="45" t="str">
        <f t="shared" ref="W7:W17" si="4">DetSubdiv(C7)</f>
        <v>EC</v>
      </c>
      <c r="X7" s="22">
        <f t="shared" ref="X7:X17" si="5">VALUE(LEFT(C7,LEN(C7)-3))</f>
        <v>170</v>
      </c>
      <c r="Y7" s="96" t="str">
        <f t="shared" ref="Y7:Y1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Arrival","project_id":79,"tracker_id":40,"status_id":1,"priority_id":2,"assigned_to_id":338,"start_date":"2017-12-22","description":"","custom_fields":[{"id":1,"name":"Subdivision","value":"EC"},{"id":4,"name":"Milepost","value":"3.097"},{"id":17,"name":"Train ID","value":"170-22"},{"id":16,"name":"Locomotive ID","value":"4007"},{"id":130,"name":"Impact","value":""},{"id":150,"name":"Time of Event (Mountain Time)","value":"13:41:39"},{"id":151,"name":"Denver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1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/c/Users/stu/AppData/Local/Temp/OnboardLogs/RTDC4007 --include="*4007*201712222*"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"%USERPROFILE%\AppData\Local\Temp\OnboardLogs"\RTDC4007\*4007*201712222* &gt;&gt; 2017-12-22-SliceDisagreementCheck.txt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4007 --day 2017-12-22</v>
      </c>
    </row>
    <row r="8" spans="1:32" s="1" customFormat="1" x14ac:dyDescent="0.3">
      <c r="A8" s="31">
        <v>43091.935115740744</v>
      </c>
      <c r="B8" s="30" t="s">
        <v>512</v>
      </c>
      <c r="C8" s="30" t="s">
        <v>664</v>
      </c>
      <c r="D8" s="30" t="s">
        <v>49</v>
      </c>
      <c r="E8" s="30" t="s">
        <v>183</v>
      </c>
      <c r="F8" s="42">
        <v>0</v>
      </c>
      <c r="G8" s="42">
        <v>224</v>
      </c>
      <c r="H8" s="42">
        <v>31066</v>
      </c>
      <c r="I8" s="42">
        <v>30835</v>
      </c>
      <c r="J8" s="30" t="s">
        <v>184</v>
      </c>
      <c r="K8" s="42">
        <v>30970</v>
      </c>
      <c r="L8" s="131" t="s">
        <v>51</v>
      </c>
      <c r="M8" s="132">
        <f t="shared" si="0"/>
        <v>-71.28</v>
      </c>
      <c r="N8" s="133" t="str">
        <f>VLOOKUP(C8,'Trips&amp;Operators'!$C$1:$G$99911,5,FALSE)</f>
        <v>AUSTIN THOMPSON</v>
      </c>
      <c r="O8" s="175" t="s">
        <v>178</v>
      </c>
      <c r="P8" s="239" t="s">
        <v>538</v>
      </c>
      <c r="Q8" s="30"/>
      <c r="R8" s="81" t="str">
        <f>VLOOKUP(C8,'Train Runs'!$A$13:$AE$10182,31,0)</f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S8" s="84" t="str">
        <f>VLOOKUP(C8,'Train Runs'!$A$13:$AE$10182,22,0)</f>
        <v>https://d0f6bd738d7f1b3e5a7ca70fe4ff75f0.us-east-1.aws.found.io/app/kibana#/discover/Steve-Slow-Train-Analysis-(2080s-and-2083s)?_g=(refreshInterval:(display:Off,pause:!f,section:0,value:0),time:(from:'2017-12-22T20:53:13-0700',mode:absolute,to:'2017-12-22T23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6" t="str">
        <f t="shared" si="1"/>
        <v>"C:\Program Files (x86)\AstroGrep\AstroGrep.exe" /e /r /s /spath="%USERPROFILE%\AppData\Local\Temp\OnboardLogs" /stypes="*4009*201712230*" /stext=" 05:.+((SYSTEM_STATE.+slice.+state.+changed )|(ment ac)|(multiple cpu faults)|(system.+state.+changed )|(\[timeout)|(PRM\|1\|D)|(kpr)|(kdp)|(train st.+moving)|(\|lc)|(penalty))"</v>
      </c>
      <c r="U8" s="9" t="str">
        <f t="shared" si="2"/>
        <v>4009</v>
      </c>
      <c r="V8" s="31">
        <f t="shared" si="3"/>
        <v>43092.226782407408</v>
      </c>
      <c r="W8" s="45" t="str">
        <f t="shared" si="4"/>
        <v>EC</v>
      </c>
      <c r="X8" s="228">
        <f t="shared" si="5"/>
        <v>230</v>
      </c>
      <c r="Y8" s="238" t="str">
        <f t="shared" si="6"/>
        <v>echo {"issue":{"subject":"Early Arrival","project_id":79,"tracker_id":40,"status_id":1,"priority_id":2,"assigned_to_id":338,"start_date":"2017-12-22","description":"","custom_fields":[{"id":1,"name":"Subdivision","value":"EC"},{"id":4,"name":"Milepost","value":"3.097"},{"id":17,"name":"Train ID","value":"230-22"},{"id":16,"name":"Locomotive ID","value":"4009"},{"id":130,"name":"Impact","value":""},{"id":150,"name":"Time of Event (Mountain Time)","value":"22:26:34"},{"id":151,"name":"Denver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/c/Users/stu/AppData/Local/Temp/OnboardLogs/RTDC4009 --include="*4009*201712230*"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"%USERPROFILE%\AppData\Local\Temp\OnboardLogs"\RTDC4009\*4009*201712230* &gt;&gt; 2017-12-22-SliceDisagreementCheck.txt</v>
      </c>
      <c r="AE8" s="144" t="str">
        <f t="shared" ref="AE8:AE17" si="9">"start /low /b "&amp;dls3logs&amp;" --loco "&amp;U8&amp;" --day "&amp;TEXT(V8,"YYYY-MM-DD")</f>
        <v>start /low /b %USERPROFILE%\Documents\GitHub\eaglep3\Utilities\DownloadLogsFromS3.py --loco 4009 --day 2017-12-23</v>
      </c>
    </row>
    <row r="9" spans="1:32" s="1" customFormat="1" x14ac:dyDescent="0.3">
      <c r="A9" s="31">
        <v>43091.82712962963</v>
      </c>
      <c r="B9" s="30" t="s">
        <v>489</v>
      </c>
      <c r="C9" s="30" t="s">
        <v>662</v>
      </c>
      <c r="D9" s="30" t="s">
        <v>49</v>
      </c>
      <c r="E9" s="30" t="s">
        <v>183</v>
      </c>
      <c r="F9" s="42">
        <v>260</v>
      </c>
      <c r="G9" s="42">
        <v>357</v>
      </c>
      <c r="H9" s="42">
        <v>59346</v>
      </c>
      <c r="I9" s="42">
        <v>58802</v>
      </c>
      <c r="J9" s="30" t="s">
        <v>184</v>
      </c>
      <c r="K9" s="42">
        <v>58301</v>
      </c>
      <c r="L9" s="131" t="s">
        <v>51</v>
      </c>
      <c r="M9" s="132">
        <f t="shared" si="0"/>
        <v>264.52800000000002</v>
      </c>
      <c r="N9" s="133" t="str">
        <f>VLOOKUP(C9,'Trips&amp;Operators'!$C$1:$G$99911,5,FALSE)</f>
        <v>ELBAUM MIKE</v>
      </c>
      <c r="O9" s="175" t="s">
        <v>178</v>
      </c>
      <c r="P9" s="239" t="s">
        <v>538</v>
      </c>
      <c r="Q9" s="30"/>
      <c r="R9" s="81" t="str">
        <f>VLOOKUP(C9,'Train Runs'!$A$13:$AE$10182,31,0)</f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S9" s="84" t="str">
        <f>VLOOKUP(C9,'Train Runs'!$A$13:$AE$10182,22,0)</f>
        <v>https://d0f6bd738d7f1b3e5a7ca70fe4ff75f0.us-east-1.aws.found.io/app/kibana#/discover/Steve-Slow-Train-Analysis-(2080s-and-2083s)?_g=(refreshInterval:(display:Off,pause:!f,section:0,value:0),time:(from:'2017-12-22T18:08:17-0700',mode:absolute,to:'2017-12-22T21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6" t="str">
        <f t="shared" si="1"/>
        <v>"C:\Program Files (x86)\AstroGrep\AstroGrep.exe" /e /r /s /spath="%USERPROFILE%\AppData\Local\Temp\OnboardLogs" /stypes="*4005*201712230*"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4005</v>
      </c>
      <c r="V9" s="31">
        <f t="shared" si="3"/>
        <v>43092.118796296294</v>
      </c>
      <c r="W9" s="45" t="str">
        <f t="shared" si="4"/>
        <v>EC</v>
      </c>
      <c r="X9" s="228">
        <f t="shared" si="5"/>
        <v>220</v>
      </c>
      <c r="Y9" s="238" t="str">
        <f t="shared" si="6"/>
        <v>echo {"issue":{"subject":"Early Arrival","project_id":79,"tracker_id":40,"status_id":1,"priority_id":2,"assigned_to_id":338,"start_date":"2017-12-22","description":"","custom_fields":[{"id":1,"name":"Subdivision","value":"EC"},{"id":4,"name":"Milepost","value":"5.8301"},{"id":17,"name":"Train ID","value":"220-22"},{"id":16,"name":"Locomotive ID","value":"4005"},{"id":130,"name":"Impact","value":""},{"id":150,"name":"Time of Event (Mountain Time)","value":"19:51:04"},{"id":151,"name":"Denver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/c/Users/stu/AppData/Local/Temp/OnboardLogs/RTDC4005 --include="*4005*201712230*"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"%USERPROFILE%\AppData\Local\Temp\OnboardLogs"\RTDC4005\*4005*201712230* &gt;&gt; 2017-12-22-SliceDisagreementCheck.txt</v>
      </c>
      <c r="AE9" s="144" t="str">
        <f t="shared" si="9"/>
        <v>start /low /b %USERPROFILE%\Documents\GitHub\eaglep3\Utilities\DownloadLogsFromS3.py --loco 4005 --day 2017-12-23</v>
      </c>
    </row>
    <row r="10" spans="1:32" x14ac:dyDescent="0.3">
      <c r="A10" s="31">
        <v>43091.771296296298</v>
      </c>
      <c r="B10" s="30" t="s">
        <v>512</v>
      </c>
      <c r="C10" s="30" t="s">
        <v>660</v>
      </c>
      <c r="D10" s="30" t="s">
        <v>95</v>
      </c>
      <c r="E10" s="30" t="s">
        <v>183</v>
      </c>
      <c r="F10" s="42">
        <v>400</v>
      </c>
      <c r="G10" s="42">
        <v>451</v>
      </c>
      <c r="H10" s="42">
        <v>108942</v>
      </c>
      <c r="I10" s="42">
        <v>107469</v>
      </c>
      <c r="J10" s="30" t="s">
        <v>184</v>
      </c>
      <c r="K10" s="42">
        <v>109135</v>
      </c>
      <c r="L10" s="131" t="s">
        <v>51</v>
      </c>
      <c r="M10" s="132">
        <f t="shared" si="0"/>
        <v>-879.64800000000002</v>
      </c>
      <c r="N10" s="133" t="str">
        <f>VLOOKUP(C10,'Trips&amp;Operators'!$C$1:$G$99911,5,FALSE)</f>
        <v>FORTUNATO FRANK</v>
      </c>
      <c r="O10" s="175" t="s">
        <v>178</v>
      </c>
      <c r="P10" s="239" t="s">
        <v>538</v>
      </c>
      <c r="Q10" s="30"/>
      <c r="R10" s="81" t="str">
        <f>VLOOKUP(C10,'Train Runs'!$A$13:$AE$10182,31,0)</f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S10" s="84" t="str">
        <f>VLOOKUP(C10,'Train Runs'!$A$13:$AE$10182,22,0)</f>
        <v>https://d0f6bd738d7f1b3e5a7ca70fe4ff75f0.us-east-1.aws.found.io/app/kibana#/discover/Steve-Slow-Train-Analysis-(2080s-and-2083s)?_g=(refreshInterval:(display:Off,pause:!f,section:0,value:0),time:(from:'2017-12-22T16:54:18-0700',mode:absolute,to:'2017-12-22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 t="shared" si="1"/>
        <v>"C:\Program Files (x86)\AstroGrep\AstroGrep.exe" /e /r /s /spath="%USERPROFILE%\AppData\Local\Temp\OnboardLogs" /stypes="*4009*201712230*"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43092.062962962962</v>
      </c>
      <c r="W10" s="45" t="str">
        <f t="shared" si="4"/>
        <v>EC</v>
      </c>
      <c r="X10" s="228">
        <f t="shared" si="5"/>
        <v>210</v>
      </c>
      <c r="Y10" s="238" t="str">
        <f t="shared" si="6"/>
        <v>echo {"issue":{"subject":"Early Arrival","project_id":79,"tracker_id":40,"status_id":1,"priority_id":2,"assigned_to_id":338,"start_date":"2017-12-22","description":"","custom_fields":[{"id":1,"name":"Subdivision","value":"EC"},{"id":4,"name":"Milepost","value":"10.9135"},{"id":17,"name":"Train ID","value":"210-22"},{"id":16,"name":"Locomotive ID","value":"4009"},{"id":130,"name":"Impact","value":""},{"id":150,"name":"Time of Event (Mountain Time)","value":"18:30:40"},{"id":151,"name":"Denver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/c/Users/stu/AppData/Local/Temp/OnboardLogs/RTDC4009 --include="*4009*201712230*"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"%USERPROFILE%\AppData\Local\Temp\OnboardLogs"\RTDC4009\*4009*201712230* &gt;&gt; 2017-12-22-SliceDisagreementCheck.txt</v>
      </c>
      <c r="AE10" s="144" t="str">
        <f t="shared" si="9"/>
        <v>start /low /b %USERPROFILE%\Documents\GitHub\eaglep3\Utilities\DownloadLogsFromS3.py --loco 4009 --day 2017-12-23</v>
      </c>
      <c r="AF10" s="1"/>
    </row>
    <row r="11" spans="1:32" x14ac:dyDescent="0.3">
      <c r="A11" s="31">
        <v>43091.613611111112</v>
      </c>
      <c r="B11" s="30" t="s">
        <v>489</v>
      </c>
      <c r="C11" s="30" t="s">
        <v>659</v>
      </c>
      <c r="D11" s="30" t="s">
        <v>49</v>
      </c>
      <c r="E11" s="30" t="s">
        <v>190</v>
      </c>
      <c r="F11" s="42">
        <v>300</v>
      </c>
      <c r="G11" s="42">
        <v>496</v>
      </c>
      <c r="H11" s="42">
        <v>24883</v>
      </c>
      <c r="I11" s="42">
        <v>23437</v>
      </c>
      <c r="J11" s="30" t="s">
        <v>191</v>
      </c>
      <c r="K11" s="42">
        <v>21848</v>
      </c>
      <c r="L11" s="131" t="s">
        <v>51</v>
      </c>
      <c r="M11" s="132">
        <f t="shared" si="0"/>
        <v>838.99199999999996</v>
      </c>
      <c r="N11" s="133" t="str">
        <f>VLOOKUP(C11,'Trips&amp;Operators'!$C$1:$G$99911,5,FALSE)</f>
        <v>MOSES BRADLEY</v>
      </c>
      <c r="O11" s="175" t="s">
        <v>178</v>
      </c>
      <c r="P11" s="239"/>
      <c r="Q11" s="30"/>
      <c r="R11" s="81" t="str">
        <f>VLOOKUP(C11,'Train Runs'!$A$13:$AE$10182,31,0)</f>
        <v>aws s3 cp s3://rtdc.mdm.uploadarchive.raw/RTDC4005/ "%USERPROFILE%\AppData\Local\Temp\OnboardLogs"\RTDC4005\2017-12-22 --exclude "*" --recursive --include "*20171222*" &amp; "%USERPROFILE%\Documents\GitHub\mrs-test-scripts\Headless Mode &amp; Sideloading\WalkAndUnGZ.bat" "%USERPROFILE%\AppData\Local\Temp\OnboardLogs"\RTDC4005\2017-12-22 &amp; aws s3 cp s3://rtdc.mdm.uploadarchive.raw/RTDC4005/ "%USERPROFILE%\AppData\Local\Temp\OnboardLogs"\RTDC4005\2017-12-23 --exclude "*" --recursive --include "*20171223*" &amp; "%USERPROFILE%\Documents\GitHub\mrs-test-scripts\Headless Mode &amp; Sideloading\WalkAndUnGZ.bat" "%USERPROFILE%\AppData\Local\Temp\OnboardLogs"\RTDC4005\2017-12-23</v>
      </c>
      <c r="S11" s="84" t="str">
        <f>VLOOKUP(C11,'Train Runs'!$A$13:$AE$10182,22,0)</f>
        <v>https://d0f6bd738d7f1b3e5a7ca70fe4ff75f0.us-east-1.aws.found.io/app/kibana#/discover/Steve-Slow-Train-Analysis-(2080s-and-2083s)?_g=(refreshInterval:(display:Off,pause:!f,section:0,value:0),time:(from:'2017-12-22T12:52:45-0700',mode:absolute,to:'2017-12-22T15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1" s="86" t="str">
        <f t="shared" si="1"/>
        <v>"C:\Program Files (x86)\AstroGrep\AstroGrep.exe" /e /r /s /spath="%USERPROFILE%\AppData\Local\Temp\OnboardLogs" /stypes="*4005*201712222*"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4005</v>
      </c>
      <c r="V11" s="31">
        <f t="shared" si="3"/>
        <v>43091.905277777776</v>
      </c>
      <c r="W11" s="45" t="str">
        <f t="shared" si="4"/>
        <v>EC</v>
      </c>
      <c r="X11" s="228">
        <f t="shared" si="5"/>
        <v>178</v>
      </c>
      <c r="Y11" s="238" t="str">
        <f t="shared" si="6"/>
        <v>echo {"issue":{"subject":"","project_id":79,"tracker_id":40,"status_id":1,"priority_id":2,"assigned_to_id":338,"start_date":"2017-12-22","description":"","custom_fields":[{"id":1,"name":"Subdivision","value":"EC"},{"id":4,"name":"Milepost","value":"2.1848"},{"id":17,"name":"Train ID","value":"178-22"},{"id":16,"name":"Locomotive ID","value":"4005"},{"id":130,"name":"Impact","value":""},{"id":150,"name":"Time of Event (Mountain Time)","value":"14:43:36"},{"id":151,"name":"Denver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/c/Users/stu/AppData/Local/Temp/OnboardLogs/RTDC4005 --include="*4005*201712222*"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"%USERPROFILE%\AppData\Local\Temp\OnboardLogs"\RTDC4005\*4005*201712222* &gt;&gt; 2017-12-22-SliceDisagreementCheck.txt</v>
      </c>
      <c r="AE11" s="144" t="str">
        <f t="shared" si="9"/>
        <v>start /low /b %USERPROFILE%\Documents\GitHub\eaglep3\Utilities\DownloadLogsFromS3.py --loco 4005 --day 2017-12-22</v>
      </c>
      <c r="AF11" s="1"/>
    </row>
    <row r="12" spans="1:32" x14ac:dyDescent="0.3">
      <c r="A12" s="31">
        <v>43091.759479166663</v>
      </c>
      <c r="B12" s="30" t="s">
        <v>512</v>
      </c>
      <c r="C12" s="30" t="s">
        <v>660</v>
      </c>
      <c r="D12" s="30" t="s">
        <v>95</v>
      </c>
      <c r="E12" s="30" t="s">
        <v>190</v>
      </c>
      <c r="F12" s="42">
        <v>350</v>
      </c>
      <c r="G12" s="42">
        <v>400</v>
      </c>
      <c r="H12" s="42">
        <v>229093</v>
      </c>
      <c r="I12" s="42">
        <v>228238</v>
      </c>
      <c r="J12" s="30" t="s">
        <v>191</v>
      </c>
      <c r="K12" s="42">
        <v>232080</v>
      </c>
      <c r="L12" s="131" t="s">
        <v>51</v>
      </c>
      <c r="M12" s="132">
        <f t="shared" si="0"/>
        <v>-2028.576</v>
      </c>
      <c r="N12" s="133" t="str">
        <f>VLOOKUP(C12,'Trips&amp;Operators'!$C$1:$G$99911,5,FALSE)</f>
        <v>FORTUNATO FRANK</v>
      </c>
      <c r="O12" s="175" t="s">
        <v>178</v>
      </c>
      <c r="P12" s="239"/>
      <c r="Q12" s="30"/>
      <c r="R12" s="81" t="str">
        <f>VLOOKUP(C12,'Train Runs'!$A$13:$AE$10182,31,0)</f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S12" s="84" t="str">
        <f>VLOOKUP(C12,'Train Runs'!$A$13:$AE$10182,22,0)</f>
        <v>https://d0f6bd738d7f1b3e5a7ca70fe4ff75f0.us-east-1.aws.found.io/app/kibana#/discover/Steve-Slow-Train-Analysis-(2080s-and-2083s)?_g=(refreshInterval:(display:Off,pause:!f,section:0,value:0),time:(from:'2017-12-22T16:54:18-0700',mode:absolute,to:'2017-12-22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/stypes="*4009*201712230*"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43092.051145833328</v>
      </c>
      <c r="W12" s="45" t="str">
        <f t="shared" si="4"/>
        <v>EC</v>
      </c>
      <c r="X12" s="228">
        <f t="shared" si="5"/>
        <v>210</v>
      </c>
      <c r="Y12" s="238" t="str">
        <f t="shared" si="6"/>
        <v>echo {"issue":{"subject":"","project_id":79,"tracker_id":40,"status_id":1,"priority_id":2,"assigned_to_id":338,"start_date":"2017-12-22","description":"","custom_fields":[{"id":1,"name":"Subdivision","value":"EC"},{"id":4,"name":"Milepost","value":"23.208"},{"id":17,"name":"Train ID","value":"210-22"},{"id":16,"name":"Locomotive ID","value":"4009"},{"id":130,"name":"Impact","value":""},{"id":150,"name":"Time of Event (Mountain Time)","value":"18:13:39"},{"id":151,"name":"Denver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/c/Users/stu/AppData/Local/Temp/OnboardLogs/RTDC4009 --include="*4009*201712230*"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"%USERPROFILE%\AppData\Local\Temp\OnboardLogs"\RTDC4009\*4009*201712230* &gt;&gt; 2017-12-22-SliceDisagreementCheck.txt</v>
      </c>
      <c r="AE12" s="144" t="str">
        <f t="shared" si="9"/>
        <v>start /low /b %USERPROFILE%\Documents\GitHub\eaglep3\Utilities\DownloadLogsFromS3.py --loco 4009 --day 2017-12-23</v>
      </c>
      <c r="AF12" s="1"/>
    </row>
    <row r="13" spans="1:32" x14ac:dyDescent="0.3">
      <c r="A13" s="31">
        <v>43091.760416666664</v>
      </c>
      <c r="B13" s="30" t="s">
        <v>512</v>
      </c>
      <c r="C13" s="30" t="s">
        <v>660</v>
      </c>
      <c r="D13" s="30" t="s">
        <v>95</v>
      </c>
      <c r="E13" s="30" t="s">
        <v>190</v>
      </c>
      <c r="F13" s="42">
        <v>350</v>
      </c>
      <c r="G13" s="42">
        <v>405</v>
      </c>
      <c r="H13" s="42">
        <v>225877</v>
      </c>
      <c r="I13" s="42">
        <v>224836</v>
      </c>
      <c r="J13" s="30" t="s">
        <v>191</v>
      </c>
      <c r="K13" s="42">
        <v>232080</v>
      </c>
      <c r="L13" s="131" t="s">
        <v>51</v>
      </c>
      <c r="M13" s="132">
        <f t="shared" si="0"/>
        <v>-3824.8319999999999</v>
      </c>
      <c r="N13" s="133" t="str">
        <f>VLOOKUP(C13,'Trips&amp;Operators'!$C$1:$G$99911,5,FALSE)</f>
        <v>FORTUNATO FRANK</v>
      </c>
      <c r="O13" s="175" t="s">
        <v>178</v>
      </c>
      <c r="P13" s="239"/>
      <c r="Q13" s="30"/>
      <c r="R13" s="81" t="str">
        <f>VLOOKUP(C13,'Train Runs'!$A$13:$AE$10182,31,0)</f>
        <v>aws s3 cp s3://rtdc.mdm.uploadarchive.raw/RTDC4009/ "%USERPROFILE%\AppData\Local\Temp\OnboardLogs"\RTDC4009\2017-12-22 --exclude "*" --recursive --include "*20171222*" &amp; "%USERPROFILE%\Documents\GitHub\mrs-test-scripts\Headless Mode &amp; Sideloading\WalkAndUnGZ.bat" "%USERPROFILE%\AppData\Local\Temp\OnboardLogs"\RTDC4009\2017-12-22 &amp; aws s3 cp s3://rtdc.mdm.uploadarchive.raw/RTDC4009/ "%USERPROFILE%\AppData\Local\Temp\OnboardLogs"\RTDC4009\2017-12-23 --exclude "*" --recursive --include "*20171223*" &amp; "%USERPROFILE%\Documents\GitHub\mrs-test-scripts\Headless Mode &amp; Sideloading\WalkAndUnGZ.bat" "%USERPROFILE%\AppData\Local\Temp\OnboardLogs"\RTDC4009\2017-12-23</v>
      </c>
      <c r="S13" s="84" t="str">
        <f>VLOOKUP(C13,'Train Runs'!$A$13:$AE$10182,22,0)</f>
        <v>https://d0f6bd738d7f1b3e5a7ca70fe4ff75f0.us-east-1.aws.found.io/app/kibana#/discover/Steve-Slow-Train-Analysis-(2080s-and-2083s)?_g=(refreshInterval:(display:Off,pause:!f,section:0,value:0),time:(from:'2017-12-22T16:54:18-0700',mode:absolute,to:'2017-12-22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86" t="str">
        <f t="shared" si="1"/>
        <v>"C:\Program Files (x86)\AstroGrep\AstroGrep.exe" /e /r /s /spath="%USERPROFILE%\AppData\Local\Temp\OnboardLogs" /stypes="*4009*201712230*"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4009</v>
      </c>
      <c r="V13" s="31">
        <f t="shared" si="3"/>
        <v>43092.052083333328</v>
      </c>
      <c r="W13" s="45" t="str">
        <f t="shared" si="4"/>
        <v>EC</v>
      </c>
      <c r="X13" s="228">
        <f t="shared" si="5"/>
        <v>210</v>
      </c>
      <c r="Y13" s="238" t="str">
        <f t="shared" si="6"/>
        <v>echo {"issue":{"subject":"","project_id":79,"tracker_id":40,"status_id":1,"priority_id":2,"assigned_to_id":338,"start_date":"2017-12-22","description":"","custom_fields":[{"id":1,"name":"Subdivision","value":"EC"},{"id":4,"name":"Milepost","value":"23.208"},{"id":17,"name":"Train ID","value":"210-22"},{"id":16,"name":"Locomotive ID","value":"4009"},{"id":130,"name":"Impact","value":""},{"id":150,"name":"Time of Event (Mountain Time)","value":"18:15:00"},{"id":151,"name":"Denver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/c/Users/stu/AppData/Local/Temp/OnboardLogs/RTDC4009 --include="*4009*201712230*"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"%USERPROFILE%\AppData\Local\Temp\OnboardLogs"\RTDC4009\*4009*201712230* &gt;&gt; 2017-12-22-SliceDisagreementCheck.txt</v>
      </c>
      <c r="AE13" s="144" t="str">
        <f t="shared" si="9"/>
        <v>start /low /b %USERPROFILE%\Documents\GitHub\eaglep3\Utilities\DownloadLogsFromS3.py --loco 4009 --day 2017-12-23</v>
      </c>
      <c r="AF13" s="1"/>
    </row>
    <row r="14" spans="1:32" x14ac:dyDescent="0.3">
      <c r="A14" s="31">
        <v>43091.226331018515</v>
      </c>
      <c r="B14" s="30" t="s">
        <v>392</v>
      </c>
      <c r="C14" s="30" t="s">
        <v>654</v>
      </c>
      <c r="D14" s="30" t="s">
        <v>49</v>
      </c>
      <c r="E14" s="30" t="s">
        <v>354</v>
      </c>
      <c r="F14" s="42">
        <v>0</v>
      </c>
      <c r="G14" s="42">
        <v>792</v>
      </c>
      <c r="H14" s="42">
        <v>143636</v>
      </c>
      <c r="I14" s="42">
        <v>148007</v>
      </c>
      <c r="J14" s="30" t="s">
        <v>355</v>
      </c>
      <c r="K14" s="42">
        <v>144300</v>
      </c>
      <c r="L14" s="131" t="s">
        <v>50</v>
      </c>
      <c r="M14" s="132">
        <f t="shared" si="0"/>
        <v>-1957.296</v>
      </c>
      <c r="N14" s="133" t="str">
        <f>VLOOKUP(C14,'Trips&amp;Operators'!$C$1:$G$99911,5,FALSE)</f>
        <v>YORK EDGAR</v>
      </c>
      <c r="O14" s="175" t="s">
        <v>348</v>
      </c>
      <c r="P14" s="239" t="s">
        <v>469</v>
      </c>
      <c r="Q14" s="30"/>
      <c r="R14" s="81" t="str">
        <f>VLOOKUP(C14,'Train Runs'!$A$13:$AE$10182,31,0)</f>
        <v>aws s3 cp s3://rtdc.mdm.uploadarchive.raw/RTDC4030/ "%USERPROFILE%\AppData\Local\Temp\OnboardLogs"\RTDC4030\2017-12-22 --exclude "*" --recursive --include "*20171222*" &amp; "%USERPROFILE%\Documents\GitHub\mrs-test-scripts\Headless Mode &amp; Sideloading\WalkAndUnGZ.bat" "%USERPROFILE%\AppData\Local\Temp\OnboardLogs"\RTDC4030\2017-12-22 &amp; aws s3 cp s3://rtdc.mdm.uploadarchive.raw/RTDC4030/ "%USERPROFILE%\AppData\Local\Temp\OnboardLogs"\RTDC4030\2017-12-23 --exclude "*" --recursive --include "*20171223*" &amp; "%USERPROFILE%\Documents\GitHub\mrs-test-scripts\Headless Mode &amp; Sideloading\WalkAndUnGZ.bat" "%USERPROFILE%\AppData\Local\Temp\OnboardLogs"\RTDC4030\2017-12-23</v>
      </c>
      <c r="S14" s="84" t="str">
        <f>VLOOKUP(C14,'Train Runs'!$A$13:$AE$10182,22,0)</f>
        <v>https://d0f6bd738d7f1b3e5a7ca70fe4ff75f0.us-east-1.aws.found.io/app/kibana#/discover/Steve-Slow-Train-Analysis-(2080s-and-2083s)?_g=(refreshInterval:(display:Off,pause:!f,section:0,value:0),time:(from:'2017-12-22T03:50:45-0700',mode:absolute,to:'2017-12-22T06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86" t="str">
        <f t="shared" si="1"/>
        <v>"C:\Program Files (x86)\AstroGrep\AstroGrep.exe" /e /r /s /spath="%USERPROFILE%\AppData\Local\Temp\OnboardLogs" /stypes="*4030*201712221*"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4030</v>
      </c>
      <c r="V14" s="31">
        <f t="shared" si="3"/>
        <v>43091.51799768518</v>
      </c>
      <c r="W14" s="45" t="str">
        <f t="shared" si="4"/>
        <v>EC</v>
      </c>
      <c r="X14" s="228">
        <f t="shared" si="5"/>
        <v>111</v>
      </c>
      <c r="Y14" s="238" t="str">
        <f t="shared" si="6"/>
        <v>echo {"issue":{"subject":"Wi-MAX data drop","project_id":79,"tracker_id":40,"status_id":1,"priority_id":2,"assigned_to_id":338,"start_date":"2017-12-22","description":"","custom_fields":[{"id":1,"name":"Subdivision","value":"EC"},{"id":4,"name":"Milepost","value":"14.43"},{"id":17,"name":"Train ID","value":"111-22"},{"id":16,"name":"Locomotive ID","value":"4030"},{"id":130,"name":"Impact","value":""},{"id":150,"name":"Time of Event (Mountain Time)","value":"05:25:55"},{"id":151,"name":"Denver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/c/Users/stu/AppData/Local/Temp/OnboardLogs/RTDC4030 --include="*4030*201712221*"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"%USERPROFILE%\AppData\Local\Temp\OnboardLogs"\RTDC4030\*4030*201712221* &gt;&gt; 2017-12-22-SliceDisagreementCheck.txt</v>
      </c>
      <c r="AE14" s="144" t="str">
        <f t="shared" si="9"/>
        <v>start /low /b %USERPROFILE%\Documents\GitHub\eaglep3\Utilities\DownloadLogsFromS3.py --loco 4030 --day 2017-12-22</v>
      </c>
      <c r="AF14" s="1"/>
    </row>
    <row r="15" spans="1:32" x14ac:dyDescent="0.3">
      <c r="A15" s="31">
        <v>43091.787754629629</v>
      </c>
      <c r="B15" s="30" t="s">
        <v>485</v>
      </c>
      <c r="C15" s="30" t="s">
        <v>661</v>
      </c>
      <c r="D15" s="30" t="s">
        <v>95</v>
      </c>
      <c r="E15" s="30" t="s">
        <v>354</v>
      </c>
      <c r="F15" s="42">
        <v>0</v>
      </c>
      <c r="G15" s="42">
        <v>10</v>
      </c>
      <c r="H15" s="42">
        <v>4524</v>
      </c>
      <c r="I15" s="42">
        <v>4425</v>
      </c>
      <c r="J15" s="30" t="s">
        <v>355</v>
      </c>
      <c r="K15" s="42">
        <v>4798</v>
      </c>
      <c r="L15" s="131" t="s">
        <v>51</v>
      </c>
      <c r="M15" s="132">
        <f t="shared" si="0"/>
        <v>-196.94399999999999</v>
      </c>
      <c r="N15" s="133" t="str">
        <f>VLOOKUP(C15,'Trips&amp;Operators'!$C$1:$G$99911,5,FALSE)</f>
        <v>WEST BRYAN</v>
      </c>
      <c r="O15" s="175" t="s">
        <v>348</v>
      </c>
      <c r="P15" s="239" t="s">
        <v>1084</v>
      </c>
      <c r="Q15" s="30"/>
      <c r="R15" s="81" t="str">
        <f>VLOOKUP(C15,'Train Runs'!$A$13:$AE$10182,31,0)</f>
        <v>aws s3 cp s3://rtdc.mdm.uploadarchive.raw/RTDC4015/ "%USERPROFILE%\AppData\Local\Temp\OnboardLogs"\RTDC4015\2017-12-22 --exclude "*" --recursive --include "*20171222*" &amp; "%USERPROFILE%\Documents\GitHub\mrs-test-scripts\Headless Mode &amp; Sideloading\WalkAndUnGZ.bat" "%USERPROFILE%\AppData\Local\Temp\OnboardLogs"\RTDC4015\2017-12-22 &amp; aws s3 cp s3://rtdc.mdm.uploadarchive.raw/RTDC4015/ "%USERPROFILE%\AppData\Local\Temp\OnboardLogs"\RTDC4015\2017-12-23 --exclude "*" --recursive --include "*20171223*" &amp; "%USERPROFILE%\Documents\GitHub\mrs-test-scripts\Headless Mode &amp; Sideloading\WalkAndUnGZ.bat" "%USERPROFILE%\AppData\Local\Temp\OnboardLogs"\RTDC4015\2017-12-23</v>
      </c>
      <c r="S15" s="84" t="str">
        <f>VLOOKUP(C15,'Train Runs'!$A$13:$AE$10182,22,0)</f>
        <v>https://d0f6bd738d7f1b3e5a7ca70fe4ff75f0.us-east-1.aws.found.io/app/kibana#/discover/Steve-Slow-Train-Analysis-(2080s-and-2083s)?_g=(refreshInterval:(display:Off,pause:!f,section:0,value:0),time:(from:'2017-12-22T17:28:13-0700',mode:absolute,to:'2017-12-22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 t="shared" si="1"/>
        <v>"C:\Program Files (x86)\AstroGrep\AstroGrep.exe" /e /r /s /spath="%USERPROFILE%\AppData\Local\Temp\OnboardLogs" /stypes="*4015*201712230*"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4015</v>
      </c>
      <c r="V15" s="31">
        <f t="shared" si="3"/>
        <v>43092.079421296294</v>
      </c>
      <c r="W15" s="45" t="str">
        <f t="shared" si="4"/>
        <v>NW</v>
      </c>
      <c r="X15" s="228">
        <f t="shared" si="5"/>
        <v>838</v>
      </c>
      <c r="Y15" s="238" t="str">
        <f t="shared" si="6"/>
        <v>echo {"issue":{"subject":"Poor GPS under Wewatta St. overpass","project_id":79,"tracker_id":40,"status_id":1,"priority_id":2,"assigned_to_id":338,"start_date":"2017-12-22","description":"","custom_fields":[{"id":1,"name":"Subdivision","value":"NW"},{"id":4,"name":"Milepost","value":"0.4798"},{"id":17,"name":"Train ID","value":"838-22"},{"id":16,"name":"Locomotive ID","value":"4015"},{"id":130,"name":"Impact","value":""},{"id":150,"name":"Time of Event (Mountain Time)","value":"18:54:22"},{"id":151,"name":"Denver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/c/Users/stu/AppData/Local/Temp/OnboardLogs/RTDC4015 --include="*4015*201712230*"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"%USERPROFILE%\AppData\Local\Temp\OnboardLogs"\RTDC4015\*4015*201712230* &gt;&gt; 2017-12-22-SliceDisagreementCheck.txt</v>
      </c>
      <c r="AE15" s="144" t="str">
        <f t="shared" si="9"/>
        <v>start /low /b %USERPROFILE%\Documents\GitHub\eaglep3\Utilities\DownloadLogsFromS3.py --loco 4015 --day 2017-12-23</v>
      </c>
      <c r="AF15" s="1"/>
    </row>
    <row r="16" spans="1:32" x14ac:dyDescent="0.3">
      <c r="A16" s="31">
        <v>43091.265300925923</v>
      </c>
      <c r="B16" s="30" t="s">
        <v>655</v>
      </c>
      <c r="C16" s="30" t="s">
        <v>656</v>
      </c>
      <c r="D16" s="30" t="s">
        <v>49</v>
      </c>
      <c r="E16" s="30" t="s">
        <v>354</v>
      </c>
      <c r="F16" s="42">
        <v>0</v>
      </c>
      <c r="G16" s="42">
        <v>45</v>
      </c>
      <c r="H16" s="42">
        <v>11030</v>
      </c>
      <c r="I16" s="42">
        <v>10852</v>
      </c>
      <c r="J16" s="30" t="s">
        <v>355</v>
      </c>
      <c r="K16" s="42">
        <v>11016</v>
      </c>
      <c r="L16" s="131" t="s">
        <v>51</v>
      </c>
      <c r="M16" s="132">
        <f t="shared" si="0"/>
        <v>-86.592000000000013</v>
      </c>
      <c r="N16" s="133" t="str">
        <f>VLOOKUP(C16,'Trips&amp;Operators'!$C$1:$G$99911,5,FALSE)</f>
        <v>WILLIAMS DONTE</v>
      </c>
      <c r="O16" s="175" t="s">
        <v>348</v>
      </c>
      <c r="P16" s="239" t="s">
        <v>469</v>
      </c>
      <c r="Q16" s="30"/>
      <c r="R16" s="81" t="str">
        <f>VLOOKUP(C16,'Train Runs'!$A$13:$AE$10182,31,0)</f>
        <v>aws s3 cp s3://rtdc.mdm.uploadarchive.raw/RTDC4041/ "%USERPROFILE%\AppData\Local\Temp\OnboardLogs"\RTDC4041\2017-12-22 --exclude "*" --recursive --include "*20171222*" &amp; "%USERPROFILE%\Documents\GitHub\mrs-test-scripts\Headless Mode &amp; Sideloading\WalkAndUnGZ.bat" "%USERPROFILE%\AppData\Local\Temp\OnboardLogs"\RTDC4041\2017-12-22 &amp; aws s3 cp s3://rtdc.mdm.uploadarchive.raw/RTDC4041/ "%USERPROFILE%\AppData\Local\Temp\OnboardLogs"\RTDC4041\2017-12-23 --exclude "*" --recursive --include "*20171223*" &amp; "%USERPROFILE%\Documents\GitHub\mrs-test-scripts\Headless Mode &amp; Sideloading\WalkAndUnGZ.bat" "%USERPROFILE%\AppData\Local\Temp\OnboardLogs"\RTDC4041\2017-12-23</v>
      </c>
      <c r="S16" s="84" t="str">
        <f>VLOOKUP(C16,'Train Runs'!$A$13:$AE$10182,22,0)</f>
        <v>https://d0f6bd738d7f1b3e5a7ca70fe4ff75f0.us-east-1.aws.found.io/app/kibana#/discover/Steve-Slow-Train-Analysis-(2080s-and-2083s)?_g=(refreshInterval:(display:Off,pause:!f,section:0,value:0),time:(from:'2017-12-22T04:55:55-0700',mode:absolute,to:'2017-12-22T07:28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 t="shared" si="1"/>
        <v>"C:\Program Files (x86)\AstroGrep\AstroGrep.exe" /e /r /s /spath="%USERPROFILE%\AppData\Local\Temp\OnboardLogs" /stypes="*4041*201712221*"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43091.556967592587</v>
      </c>
      <c r="W16" s="45" t="str">
        <f t="shared" si="4"/>
        <v>NW</v>
      </c>
      <c r="X16" s="228">
        <f t="shared" si="5"/>
        <v>802</v>
      </c>
      <c r="Y16" s="238" t="str">
        <f t="shared" si="6"/>
        <v>echo {"issue":{"subject":"Wi-MAX data drop","project_id":79,"tracker_id":40,"status_id":1,"priority_id":2,"assigned_to_id":338,"start_date":"2017-12-22","description":"","custom_fields":[{"id":1,"name":"Subdivision","value":"NW"},{"id":4,"name":"Milepost","value":"1.1016"},{"id":17,"name":"Train ID","value":"802-22"},{"id":16,"name":"Locomotive ID","value":"4041"},{"id":130,"name":"Impact","value":""},{"id":150,"name":"Time of Event (Mountain Time)","value":"06:22:02"},{"id":151,"name":"Denver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/c/Users/stu/AppData/Local/Temp/OnboardLogs/RTDC4041 --include="*4041*201712221*"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"%USERPROFILE%\AppData\Local\Temp\OnboardLogs"\RTDC4041\*4041*201712221* &gt;&gt; 2017-12-22-SliceDisagreementCheck.txt</v>
      </c>
      <c r="AE16" s="144" t="str">
        <f t="shared" si="9"/>
        <v>start /low /b %USERPROFILE%\Documents\GitHub\eaglep3\Utilities\DownloadLogsFromS3.py --loco 4041 --day 2017-12-22</v>
      </c>
      <c r="AF16" s="1"/>
    </row>
    <row r="17" spans="1:32" x14ac:dyDescent="0.3">
      <c r="A17" s="31">
        <v>43091.346608796295</v>
      </c>
      <c r="B17" s="30" t="s">
        <v>487</v>
      </c>
      <c r="C17" s="30" t="s">
        <v>657</v>
      </c>
      <c r="D17" s="30" t="s">
        <v>95</v>
      </c>
      <c r="E17" s="30" t="s">
        <v>354</v>
      </c>
      <c r="F17" s="42">
        <v>200</v>
      </c>
      <c r="G17" s="42">
        <v>253</v>
      </c>
      <c r="H17" s="42">
        <v>36509</v>
      </c>
      <c r="I17" s="42">
        <v>37124</v>
      </c>
      <c r="J17" s="30" t="s">
        <v>355</v>
      </c>
      <c r="K17" s="42">
        <v>34583</v>
      </c>
      <c r="L17" s="131" t="s">
        <v>50</v>
      </c>
      <c r="M17" s="132">
        <f t="shared" si="0"/>
        <v>-1341.6479999999999</v>
      </c>
      <c r="N17" s="133" t="str">
        <f>VLOOKUP(C17,'Trips&amp;Operators'!$C$1:$G$99911,5,FALSE)</f>
        <v>DELGADO DIANAH</v>
      </c>
      <c r="O17" s="175" t="s">
        <v>348</v>
      </c>
      <c r="P17" s="239" t="s">
        <v>1085</v>
      </c>
      <c r="Q17" s="30"/>
      <c r="R17" s="81" t="str">
        <f>VLOOKUP(C17,'Train Runs'!$A$13:$AE$10182,31,0)</f>
        <v>aws s3 cp s3://rtdc.mdm.uploadarchive.raw/RTDC4016/ "%USERPROFILE%\AppData\Local\Temp\OnboardLogs"\RTDC4016\2017-12-22 --exclude "*" --recursive --include "*20171222*" &amp; "%USERPROFILE%\Documents\GitHub\mrs-test-scripts\Headless Mode &amp; Sideloading\WalkAndUnGZ.bat" "%USERPROFILE%\AppData\Local\Temp\OnboardLogs"\RTDC4016\2017-12-22 &amp; aws s3 cp s3://rtdc.mdm.uploadarchive.raw/RTDC4016/ "%USERPROFILE%\AppData\Local\Temp\OnboardLogs"\RTDC4016\2017-12-23 --exclude "*" --recursive --include "*20171223*" &amp; "%USERPROFILE%\Documents\GitHub\mrs-test-scripts\Headless Mode &amp; Sideloading\WalkAndUnGZ.bat" "%USERPROFILE%\AppData\Local\Temp\OnboardLogs"\RTDC4016\2017-12-23</v>
      </c>
      <c r="S17" s="84" t="str">
        <f>VLOOKUP(C17,'Train Runs'!$A$13:$AE$10182,22,0)</f>
        <v>https://d0f6bd738d7f1b3e5a7ca70fe4ff75f0.us-east-1.aws.found.io/app/kibana#/discover/Steve-Slow-Train-Analysis-(2080s-and-2083s)?_g=(refreshInterval:(display:Off,pause:!f,section:0,value:0),time:(from:'2017-12-22T06:58:28-0700',mode:absolute,to:'2017-12-22T09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6" t="str">
        <f t="shared" si="1"/>
        <v>"C:\Program Files (x86)\AstroGrep\AstroGrep.exe" /e /r /s /spath="%USERPROFILE%\AppData\Local\Temp\OnboardLogs" /stypes="*4016*201712221*"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4016</v>
      </c>
      <c r="V17" s="31">
        <f t="shared" si="3"/>
        <v>43091.638275462959</v>
      </c>
      <c r="W17" s="45" t="str">
        <f t="shared" si="4"/>
        <v>NW</v>
      </c>
      <c r="X17" s="228">
        <f t="shared" si="5"/>
        <v>811</v>
      </c>
      <c r="Y17" s="238" t="str">
        <f t="shared" si="6"/>
        <v>echo {"issue":{"subject":"Restricted aspect Pecos 4N","project_id":79,"tracker_id":40,"status_id":1,"priority_id":2,"assigned_to_id":338,"start_date":"2017-12-22","description":"","custom_fields":[{"id":1,"name":"Subdivision","value":"NW"},{"id":4,"name":"Milepost","value":"3.4583"},{"id":17,"name":"Train ID","value":"811-22"},{"id":16,"name":"Locomotive ID","value":"4016"},{"id":130,"name":"Impact","value":""},{"id":150,"name":"Time of Event (Mountain Time)","value":"08:19:07"},{"id":151,"name":"Denver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/c/Users/stu/AppData/Local/Temp/OnboardLogs/RTDC4016 --include="*4016*201712221*"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"%USERPROFILE%\AppData\Local\Temp\OnboardLogs"\RTDC4016\*4016*201712221* &gt;&gt; 2017-12-22-SliceDisagreementCheck.txt</v>
      </c>
      <c r="AE17" s="144" t="str">
        <f t="shared" si="9"/>
        <v>start /low /b %USERPROFILE%\Documents\GitHub\eaglep3\Utilities\DownloadLogsFromS3.py --loco 4016 --day 2017-12-22</v>
      </c>
      <c r="AF17" s="1"/>
    </row>
    <row r="18" spans="1:32" x14ac:dyDescent="0.3">
      <c r="A18"/>
      <c r="D18"/>
      <c r="E18"/>
      <c r="F18"/>
      <c r="G18"/>
      <c r="H18"/>
      <c r="I18"/>
      <c r="J18"/>
      <c r="K18"/>
      <c r="L18"/>
      <c r="M18"/>
      <c r="N18"/>
      <c r="O18"/>
      <c r="P18"/>
      <c r="R18"/>
      <c r="S18"/>
      <c r="T18"/>
      <c r="V18"/>
      <c r="X18"/>
      <c r="Z18"/>
      <c r="AC18"/>
      <c r="AE18"/>
    </row>
    <row r="19" spans="1:32" x14ac:dyDescent="0.3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3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3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3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3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</sheetData>
  <autoFilter ref="A6:AC15">
    <sortState ref="A7:AC17">
      <sortCondition ref="W7:W17"/>
      <sortCondition ref="E7:E17"/>
      <sortCondition ref="K7:K17"/>
      <sortCondition ref="F7:F17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1:O1048576 O7:O1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AA7:AA17</xm:sqref>
        </x14:dataValidation>
        <x14:dataValidation type="list" allowBlank="1" showInputMessage="1" showErrorMessage="1">
          <x14:formula1>
            <xm:f>'Redmine List Values'!$C$2:$C$15</xm:f>
          </x14:formula1>
          <xm:sqref>AB7:AB17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2017-12-22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-22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Runs'!$A$13:$A$100179,1,FALSE)</f>
        <v>#N/A</v>
      </c>
    </row>
    <row r="4" spans="1:10" x14ac:dyDescent="0.3">
      <c r="A4" s="197"/>
      <c r="B4" s="42" t="str">
        <f>A4&amp;"-"&amp;IF(DAY(Variables!$A$2)&lt;10,0,"")&amp;DAY(Variables!$A$2)</f>
        <v>-22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Runs'!$A$13:$A$100179,1,FALSE)</f>
        <v>#N/A</v>
      </c>
    </row>
    <row r="5" spans="1:10" x14ac:dyDescent="0.3">
      <c r="A5" s="197"/>
      <c r="B5" s="42" t="str">
        <f>A5&amp;"-"&amp;IF(DAY(Variables!$A$2)&lt;10,0,"")&amp;DAY(Variables!$A$2)</f>
        <v>-22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Runs'!$A$13:$A$100179,1,FALSE)</f>
        <v>#N/A</v>
      </c>
    </row>
    <row r="6" spans="1:10" x14ac:dyDescent="0.3">
      <c r="A6" s="197"/>
      <c r="B6" s="42" t="str">
        <f>A6&amp;"-"&amp;IF(DAY(Variables!$A$2)&lt;10,0,"")&amp;DAY(Variables!$A$2)</f>
        <v>-22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Runs'!$A$13:$A$100179,1,FALSE)</f>
        <v>#N/A</v>
      </c>
    </row>
    <row r="7" spans="1:10" x14ac:dyDescent="0.3">
      <c r="A7" s="197"/>
      <c r="B7" s="42" t="str">
        <f>A7&amp;"-"&amp;IF(DAY(Variables!$A$2)&lt;10,0,"")&amp;DAY(Variables!$A$2)</f>
        <v>-22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Runs'!$A$13:$A$100179,1,FALSE)</f>
        <v>#N/A</v>
      </c>
    </row>
    <row r="8" spans="1:10" x14ac:dyDescent="0.3">
      <c r="A8" s="197"/>
      <c r="B8" s="42" t="str">
        <f>A8&amp;"-"&amp;IF(DAY(Variables!$A$2)&lt;10,0,"")&amp;DAY(Variables!$A$2)</f>
        <v>-22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Runs'!$A$13:$A$100179,1,FALSE)</f>
        <v>#N/A</v>
      </c>
    </row>
    <row r="9" spans="1:10" x14ac:dyDescent="0.3">
      <c r="A9" s="197"/>
      <c r="B9" s="42" t="str">
        <f>A9&amp;"-"&amp;IF(DAY(Variables!$A$2)&lt;10,0,"")&amp;DAY(Variables!$A$2)</f>
        <v>-22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Runs'!$A$13:$A$100179,1,FALSE)</f>
        <v>#N/A</v>
      </c>
    </row>
    <row r="10" spans="1:10" x14ac:dyDescent="0.3">
      <c r="A10" s="197"/>
      <c r="B10" s="42" t="str">
        <f>A10&amp;"-"&amp;IF(DAY(Variables!$A$2)&lt;10,0,"")&amp;DAY(Variables!$A$2)</f>
        <v>-22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Runs'!$A$13:$A$100179,1,FALSE)</f>
        <v>#N/A</v>
      </c>
    </row>
    <row r="11" spans="1:10" x14ac:dyDescent="0.3">
      <c r="A11" s="197"/>
      <c r="B11" s="42" t="str">
        <f>A11&amp;"-"&amp;IF(DAY(Variables!$A$2)&lt;10,0,"")&amp;DAY(Variables!$A$2)</f>
        <v>-22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Runs'!$A$13:$A$100179,1,FALSE)</f>
        <v>#N/A</v>
      </c>
    </row>
    <row r="12" spans="1:10" x14ac:dyDescent="0.3">
      <c r="A12" s="197"/>
      <c r="B12" s="42" t="str">
        <f>A12&amp;"-"&amp;IF(DAY(Variables!$A$2)&lt;10,0,"")&amp;DAY(Variables!$A$2)</f>
        <v>-22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Runs'!$A$13:$A$100179,1,FALSE)</f>
        <v>#N/A</v>
      </c>
    </row>
    <row r="13" spans="1:10" x14ac:dyDescent="0.3">
      <c r="A13" s="197"/>
      <c r="B13" s="42" t="str">
        <f>A13&amp;"-"&amp;IF(DAY(Variables!$A$2)&lt;10,0,"")&amp;DAY(Variables!$A$2)</f>
        <v>-22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Runs'!$A$13:$A$100179,1,FALSE)</f>
        <v>#N/A</v>
      </c>
    </row>
    <row r="14" spans="1:10" x14ac:dyDescent="0.3">
      <c r="A14" s="197"/>
      <c r="B14" s="42" t="str">
        <f>A14&amp;"-"&amp;IF(DAY(Variables!$A$2)&lt;10,0,"")&amp;DAY(Variables!$A$2)</f>
        <v>-22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Runs'!$A$13:$A$100179,1,FALSE)</f>
        <v>#N/A</v>
      </c>
    </row>
    <row r="15" spans="1:10" x14ac:dyDescent="0.3">
      <c r="A15" s="197"/>
      <c r="B15" s="42" t="str">
        <f>A15&amp;"-"&amp;IF(DAY(Variables!$A$2)&lt;10,0,"")&amp;DAY(Variables!$A$2)</f>
        <v>-22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Runs'!$A$13:$A$100179,1,FALSE)</f>
        <v>#N/A</v>
      </c>
    </row>
    <row r="16" spans="1:10" x14ac:dyDescent="0.3">
      <c r="A16" s="197"/>
      <c r="B16" s="42" t="str">
        <f>A16&amp;"-"&amp;IF(DAY(Variables!$A$2)&lt;10,0,"")&amp;DAY(Variables!$A$2)</f>
        <v>-22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Runs'!$A$13:$A$100179,1,FALSE)</f>
        <v>#N/A</v>
      </c>
    </row>
    <row r="17" spans="1:10" x14ac:dyDescent="0.3">
      <c r="A17" s="197"/>
      <c r="B17" s="42" t="str">
        <f>A17&amp;"-"&amp;IF(DAY(Variables!$A$2)&lt;10,0,"")&amp;DAY(Variables!$A$2)</f>
        <v>-22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Runs'!$A$13:$A$100179,1,FALSE)</f>
        <v>#N/A</v>
      </c>
    </row>
    <row r="18" spans="1:10" x14ac:dyDescent="0.3">
      <c r="A18" s="197"/>
      <c r="B18" s="42" t="str">
        <f>A18&amp;"-"&amp;IF(DAY(Variables!$A$2)&lt;10,0,"")&amp;DAY(Variables!$A$2)</f>
        <v>-22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Runs'!$A$13:$A$100179,1,FALSE)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43091.047418981485</v>
      </c>
      <c r="B2" s="20" t="s">
        <v>539</v>
      </c>
      <c r="C2" s="20" t="s">
        <v>481</v>
      </c>
      <c r="D2" s="137">
        <v>3490000</v>
      </c>
      <c r="E2" s="20" t="s">
        <v>665</v>
      </c>
      <c r="F2" s="20" t="s">
        <v>666</v>
      </c>
      <c r="G2" s="8" t="str">
        <f>E2&amp;" "&amp;F2</f>
        <v>WEST BRYAN</v>
      </c>
      <c r="H2" t="str">
        <f>MID(B2,13,4)</f>
        <v>4064</v>
      </c>
    </row>
    <row r="3" spans="1:8" x14ac:dyDescent="0.3">
      <c r="A3" s="8">
        <v>43091.055046296293</v>
      </c>
      <c r="B3" s="20" t="s">
        <v>371</v>
      </c>
      <c r="C3" s="20" t="s">
        <v>480</v>
      </c>
      <c r="D3" s="137">
        <v>3340000</v>
      </c>
      <c r="E3" s="20" t="s">
        <v>465</v>
      </c>
      <c r="F3" s="20" t="s">
        <v>466</v>
      </c>
      <c r="G3" s="8" t="str">
        <f t="shared" ref="G3:G66" si="0">E3&amp;" "&amp;F3</f>
        <v>ELBAUM MIKE</v>
      </c>
      <c r="H3" s="20" t="str">
        <f t="shared" ref="H3:H66" si="1">MID(B3,13,4)</f>
        <v>4011</v>
      </c>
    </row>
    <row r="4" spans="1:8" x14ac:dyDescent="0.3">
      <c r="A4" s="8">
        <v>43091.05877314815</v>
      </c>
      <c r="B4" s="20" t="s">
        <v>477</v>
      </c>
      <c r="C4" s="20" t="s">
        <v>482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4053</v>
      </c>
    </row>
    <row r="5" spans="1:8" x14ac:dyDescent="0.3">
      <c r="A5" s="8">
        <v>43091.070277777777</v>
      </c>
      <c r="B5" s="20" t="s">
        <v>370</v>
      </c>
      <c r="C5" s="20" t="s">
        <v>483</v>
      </c>
      <c r="D5" s="137">
        <v>3340000</v>
      </c>
      <c r="E5" s="20" t="s">
        <v>465</v>
      </c>
      <c r="F5" s="20" t="s">
        <v>466</v>
      </c>
      <c r="G5" s="8" t="str">
        <f t="shared" si="0"/>
        <v>ELBAUM MIKE</v>
      </c>
      <c r="H5" s="20" t="str">
        <f t="shared" si="1"/>
        <v>4012</v>
      </c>
    </row>
    <row r="6" spans="1:8" x14ac:dyDescent="0.3">
      <c r="A6" s="8">
        <v>43091.091435185182</v>
      </c>
      <c r="B6" s="20" t="s">
        <v>476</v>
      </c>
      <c r="C6" s="20" t="s">
        <v>479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4054</v>
      </c>
    </row>
    <row r="7" spans="1:8" x14ac:dyDescent="0.3">
      <c r="A7" s="8">
        <v>43091.115219907406</v>
      </c>
      <c r="B7" s="20" t="s">
        <v>512</v>
      </c>
      <c r="C7" s="20" t="s">
        <v>667</v>
      </c>
      <c r="D7" s="137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4009</v>
      </c>
    </row>
    <row r="8" spans="1:8" x14ac:dyDescent="0.3">
      <c r="A8" s="8">
        <v>43091.116018518522</v>
      </c>
      <c r="B8" s="20" t="s">
        <v>512</v>
      </c>
      <c r="C8" s="20" t="s">
        <v>667</v>
      </c>
      <c r="D8" s="137">
        <v>1830000</v>
      </c>
      <c r="E8" s="20" t="s">
        <v>346</v>
      </c>
      <c r="F8" s="20" t="s">
        <v>347</v>
      </c>
      <c r="G8" s="8" t="str">
        <f t="shared" si="0"/>
        <v>YORK EDGAR</v>
      </c>
      <c r="H8" s="20" t="str">
        <f t="shared" si="1"/>
        <v>4009</v>
      </c>
    </row>
    <row r="9" spans="1:8" ht="15" thickBot="1" x14ac:dyDescent="0.35">
      <c r="A9" s="24">
        <v>43091.125937500001</v>
      </c>
      <c r="B9" s="20" t="s">
        <v>392</v>
      </c>
      <c r="C9" s="20" t="s">
        <v>668</v>
      </c>
      <c r="D9" s="137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4030</v>
      </c>
    </row>
    <row r="10" spans="1:8" x14ac:dyDescent="0.3">
      <c r="A10" s="8">
        <v>43091.126122685186</v>
      </c>
      <c r="B10" s="20" t="s">
        <v>443</v>
      </c>
      <c r="C10" s="20" t="s">
        <v>669</v>
      </c>
      <c r="D10" s="137">
        <v>1090000</v>
      </c>
      <c r="E10" s="20" t="s">
        <v>670</v>
      </c>
      <c r="F10" s="20" t="s">
        <v>352</v>
      </c>
      <c r="G10" s="8" t="str">
        <f t="shared" si="0"/>
        <v>SPECTOR MICHAEL</v>
      </c>
      <c r="H10" s="20" t="str">
        <f t="shared" si="1"/>
        <v>4010</v>
      </c>
    </row>
    <row r="11" spans="1:8" x14ac:dyDescent="0.3">
      <c r="A11" s="8">
        <v>43091.139560185184</v>
      </c>
      <c r="B11" s="20" t="s">
        <v>512</v>
      </c>
      <c r="C11" s="20" t="s">
        <v>671</v>
      </c>
      <c r="D11" s="137">
        <v>1090000</v>
      </c>
      <c r="E11" s="20" t="s">
        <v>670</v>
      </c>
      <c r="F11" s="20" t="s">
        <v>352</v>
      </c>
      <c r="G11" s="8" t="str">
        <f t="shared" si="0"/>
        <v>SPECTOR MICHAEL</v>
      </c>
      <c r="H11" s="20" t="str">
        <f t="shared" si="1"/>
        <v>4009</v>
      </c>
    </row>
    <row r="12" spans="1:8" x14ac:dyDescent="0.3">
      <c r="A12" s="8">
        <v>43091.14135416667</v>
      </c>
      <c r="B12" s="20" t="s">
        <v>527</v>
      </c>
      <c r="C12" s="20" t="s">
        <v>672</v>
      </c>
      <c r="D12" s="137">
        <v>2010000</v>
      </c>
      <c r="E12" s="20" t="s">
        <v>500</v>
      </c>
      <c r="F12" s="20" t="s">
        <v>501</v>
      </c>
      <c r="G12" s="8" t="str">
        <f t="shared" si="0"/>
        <v>MAELZER KURT</v>
      </c>
      <c r="H12" s="20" t="str">
        <f t="shared" si="1"/>
        <v>4043</v>
      </c>
    </row>
    <row r="13" spans="1:8" x14ac:dyDescent="0.3">
      <c r="A13" s="8">
        <v>43091.153831018521</v>
      </c>
      <c r="B13" s="20" t="s">
        <v>526</v>
      </c>
      <c r="C13" s="20" t="s">
        <v>673</v>
      </c>
      <c r="D13" s="137">
        <v>2010000</v>
      </c>
      <c r="E13" s="20" t="s">
        <v>500</v>
      </c>
      <c r="F13" s="20" t="s">
        <v>501</v>
      </c>
      <c r="G13" s="8" t="str">
        <f t="shared" si="0"/>
        <v>MAELZER KURT</v>
      </c>
      <c r="H13" s="20" t="str">
        <f t="shared" si="1"/>
        <v>4044</v>
      </c>
    </row>
    <row r="14" spans="1:8" x14ac:dyDescent="0.3">
      <c r="A14" s="8">
        <v>43091.159108796295</v>
      </c>
      <c r="B14" s="20" t="s">
        <v>674</v>
      </c>
      <c r="C14" s="20" t="s">
        <v>675</v>
      </c>
      <c r="D14" s="137">
        <v>940000</v>
      </c>
      <c r="E14" s="20" t="s">
        <v>676</v>
      </c>
      <c r="F14" s="20" t="s">
        <v>677</v>
      </c>
      <c r="G14" s="8" t="str">
        <f t="shared" si="0"/>
        <v>BONDS REYNALDO</v>
      </c>
      <c r="H14" s="20" t="str">
        <f t="shared" si="1"/>
        <v>4019</v>
      </c>
    </row>
    <row r="15" spans="1:8" x14ac:dyDescent="0.3">
      <c r="A15" s="8">
        <v>43091.161111111112</v>
      </c>
      <c r="B15" s="20" t="s">
        <v>386</v>
      </c>
      <c r="C15" s="20" t="s">
        <v>678</v>
      </c>
      <c r="D15" s="137">
        <v>1830000</v>
      </c>
      <c r="E15" s="20" t="s">
        <v>346</v>
      </c>
      <c r="F15" s="20" t="s">
        <v>347</v>
      </c>
      <c r="G15" s="8" t="str">
        <f t="shared" si="0"/>
        <v>YORK EDGAR</v>
      </c>
      <c r="H15" s="20" t="str">
        <f t="shared" si="1"/>
        <v>4029</v>
      </c>
    </row>
    <row r="16" spans="1:8" x14ac:dyDescent="0.3">
      <c r="A16" s="8">
        <v>43091.168194444443</v>
      </c>
      <c r="B16" s="20" t="s">
        <v>489</v>
      </c>
      <c r="C16" s="20" t="s">
        <v>679</v>
      </c>
      <c r="D16" s="137">
        <v>1100000</v>
      </c>
      <c r="E16" s="20" t="s">
        <v>513</v>
      </c>
      <c r="F16" s="20" t="s">
        <v>514</v>
      </c>
      <c r="G16" s="8" t="str">
        <f t="shared" si="0"/>
        <v>GEBRETEKLE DAGNEW</v>
      </c>
      <c r="H16" s="20" t="str">
        <f t="shared" si="1"/>
        <v>4005</v>
      </c>
    </row>
    <row r="17" spans="1:8" x14ac:dyDescent="0.3">
      <c r="A17" s="8">
        <v>43091.169398148151</v>
      </c>
      <c r="B17" s="20" t="s">
        <v>680</v>
      </c>
      <c r="C17" s="20" t="s">
        <v>681</v>
      </c>
      <c r="D17" s="137">
        <v>940000</v>
      </c>
      <c r="E17" s="20" t="s">
        <v>676</v>
      </c>
      <c r="F17" s="20" t="s">
        <v>677</v>
      </c>
      <c r="G17" s="8" t="str">
        <f t="shared" si="0"/>
        <v>BONDS REYNALDO</v>
      </c>
      <c r="H17" s="20" t="str">
        <f t="shared" si="1"/>
        <v>4020</v>
      </c>
    </row>
    <row r="18" spans="1:8" x14ac:dyDescent="0.3">
      <c r="A18" s="8">
        <v>43091.175104166665</v>
      </c>
      <c r="B18" s="20" t="s">
        <v>385</v>
      </c>
      <c r="C18" s="20" t="s">
        <v>682</v>
      </c>
      <c r="D18" s="137">
        <v>2440000</v>
      </c>
      <c r="E18" s="20" t="s">
        <v>452</v>
      </c>
      <c r="F18" s="20" t="s">
        <v>453</v>
      </c>
      <c r="G18" s="8" t="str">
        <f t="shared" si="0"/>
        <v>LOPES KIMBERLY</v>
      </c>
      <c r="H18" s="20" t="str">
        <f t="shared" si="1"/>
        <v>4061</v>
      </c>
    </row>
    <row r="19" spans="1:8" x14ac:dyDescent="0.3">
      <c r="A19" s="8">
        <v>43091.183263888888</v>
      </c>
      <c r="B19" s="20" t="s">
        <v>486</v>
      </c>
      <c r="C19" s="20" t="s">
        <v>683</v>
      </c>
      <c r="D19" s="137">
        <v>1100000</v>
      </c>
      <c r="E19" s="20" t="s">
        <v>513</v>
      </c>
      <c r="F19" s="20" t="s">
        <v>514</v>
      </c>
      <c r="G19" s="8" t="str">
        <f t="shared" si="0"/>
        <v>GEBRETEKLE DAGNEW</v>
      </c>
      <c r="H19" s="20" t="str">
        <f t="shared" si="1"/>
        <v>4006</v>
      </c>
    </row>
    <row r="20" spans="1:8" x14ac:dyDescent="0.3">
      <c r="A20" s="8">
        <v>43091.18613425926</v>
      </c>
      <c r="B20" s="20" t="s">
        <v>527</v>
      </c>
      <c r="C20" s="20" t="s">
        <v>684</v>
      </c>
      <c r="D20" s="137">
        <v>2010000</v>
      </c>
      <c r="E20" s="20" t="s">
        <v>500</v>
      </c>
      <c r="F20" s="20" t="s">
        <v>501</v>
      </c>
      <c r="G20" s="8" t="str">
        <f t="shared" si="0"/>
        <v>MAELZER KURT</v>
      </c>
      <c r="H20" s="20" t="str">
        <f t="shared" si="1"/>
        <v>4043</v>
      </c>
    </row>
    <row r="21" spans="1:8" x14ac:dyDescent="0.3">
      <c r="A21" s="8">
        <v>43091.193599537037</v>
      </c>
      <c r="B21" s="20" t="s">
        <v>383</v>
      </c>
      <c r="C21" s="20" t="s">
        <v>685</v>
      </c>
      <c r="D21" s="137">
        <v>2440000</v>
      </c>
      <c r="E21" s="20" t="s">
        <v>452</v>
      </c>
      <c r="F21" s="20" t="s">
        <v>453</v>
      </c>
      <c r="G21" s="8" t="str">
        <f t="shared" si="0"/>
        <v>LOPES KIMBERLY</v>
      </c>
      <c r="H21" s="20" t="str">
        <f t="shared" si="1"/>
        <v>4062</v>
      </c>
    </row>
    <row r="22" spans="1:8" x14ac:dyDescent="0.3">
      <c r="A22" s="26">
        <v>43091.200011574074</v>
      </c>
      <c r="B22" s="20" t="s">
        <v>361</v>
      </c>
      <c r="C22" s="20" t="s">
        <v>686</v>
      </c>
      <c r="D22" s="137">
        <v>2560000</v>
      </c>
      <c r="E22" s="20" t="s">
        <v>687</v>
      </c>
      <c r="F22" s="20" t="s">
        <v>688</v>
      </c>
      <c r="G22" s="8" t="str">
        <f t="shared" si="0"/>
        <v>MACDONALD THOMAS</v>
      </c>
      <c r="H22" s="20" t="str">
        <f t="shared" si="1"/>
        <v>4007</v>
      </c>
    </row>
    <row r="23" spans="1:8" x14ac:dyDescent="0.3">
      <c r="A23" s="8">
        <v>43091.202222222222</v>
      </c>
      <c r="B23" s="20" t="s">
        <v>392</v>
      </c>
      <c r="C23" s="20" t="s">
        <v>654</v>
      </c>
      <c r="D23" s="137">
        <v>1830000</v>
      </c>
      <c r="E23" s="20" t="s">
        <v>346</v>
      </c>
      <c r="F23" s="20" t="s">
        <v>347</v>
      </c>
      <c r="G23" s="8" t="str">
        <f t="shared" si="0"/>
        <v>YORK EDGAR</v>
      </c>
      <c r="H23" s="20" t="str">
        <f t="shared" si="1"/>
        <v>4030</v>
      </c>
    </row>
    <row r="24" spans="1:8" x14ac:dyDescent="0.3">
      <c r="A24" s="8">
        <v>43091.202349537038</v>
      </c>
      <c r="B24" s="20" t="s">
        <v>447</v>
      </c>
      <c r="C24" s="20" t="s">
        <v>689</v>
      </c>
      <c r="D24" s="137">
        <v>3040000</v>
      </c>
      <c r="E24" s="20" t="s">
        <v>368</v>
      </c>
      <c r="F24" s="20" t="s">
        <v>502</v>
      </c>
      <c r="G24" s="8" t="str">
        <f t="shared" si="0"/>
        <v>WILLIAMS DONTE</v>
      </c>
      <c r="H24" s="20" t="str">
        <f t="shared" si="1"/>
        <v>4042</v>
      </c>
    </row>
    <row r="25" spans="1:8" x14ac:dyDescent="0.3">
      <c r="A25" s="8">
        <v>43091.203275462962</v>
      </c>
      <c r="B25" s="20" t="s">
        <v>447</v>
      </c>
      <c r="C25" s="20" t="s">
        <v>689</v>
      </c>
      <c r="D25" s="137">
        <v>3040000</v>
      </c>
      <c r="E25" s="20" t="s">
        <v>368</v>
      </c>
      <c r="F25" s="20" t="s">
        <v>502</v>
      </c>
      <c r="G25" s="8" t="str">
        <f t="shared" si="0"/>
        <v>WILLIAMS DONTE</v>
      </c>
      <c r="H25" s="20" t="str">
        <f t="shared" si="1"/>
        <v>4042</v>
      </c>
    </row>
    <row r="26" spans="1:8" x14ac:dyDescent="0.3">
      <c r="A26" s="8">
        <v>43091.205023148148</v>
      </c>
      <c r="B26" s="20" t="s">
        <v>447</v>
      </c>
      <c r="C26" s="20" t="s">
        <v>689</v>
      </c>
      <c r="D26" s="137">
        <v>3040000</v>
      </c>
      <c r="E26" s="20" t="s">
        <v>368</v>
      </c>
      <c r="F26" s="20" t="s">
        <v>502</v>
      </c>
      <c r="G26" s="8" t="str">
        <f t="shared" si="0"/>
        <v>WILLIAMS DONTE</v>
      </c>
      <c r="H26" s="20" t="str">
        <f t="shared" si="1"/>
        <v>4042</v>
      </c>
    </row>
    <row r="27" spans="1:8" x14ac:dyDescent="0.3">
      <c r="A27" s="8">
        <v>43091.211342592593</v>
      </c>
      <c r="B27" s="20" t="s">
        <v>674</v>
      </c>
      <c r="C27" s="20" t="s">
        <v>690</v>
      </c>
      <c r="D27" s="137">
        <v>940000</v>
      </c>
      <c r="E27" s="20" t="s">
        <v>676</v>
      </c>
      <c r="F27" s="20" t="s">
        <v>677</v>
      </c>
      <c r="G27" s="8" t="str">
        <f t="shared" si="0"/>
        <v>BONDS REYNALDO</v>
      </c>
      <c r="H27" s="20" t="str">
        <f t="shared" si="1"/>
        <v>4019</v>
      </c>
    </row>
    <row r="28" spans="1:8" x14ac:dyDescent="0.3">
      <c r="A28" s="8">
        <v>43091.214039351849</v>
      </c>
      <c r="B28" s="20" t="s">
        <v>489</v>
      </c>
      <c r="C28" s="20" t="s">
        <v>691</v>
      </c>
      <c r="D28" s="137">
        <v>1100000</v>
      </c>
      <c r="E28" s="20" t="s">
        <v>513</v>
      </c>
      <c r="F28" s="20" t="s">
        <v>514</v>
      </c>
      <c r="G28" s="8" t="str">
        <f t="shared" si="0"/>
        <v>GEBRETEKLE DAGNEW</v>
      </c>
      <c r="H28" s="20" t="str">
        <f t="shared" si="1"/>
        <v>4005</v>
      </c>
    </row>
    <row r="29" spans="1:8" x14ac:dyDescent="0.3">
      <c r="A29" s="8">
        <v>43091.216226851851</v>
      </c>
      <c r="B29" s="20" t="s">
        <v>655</v>
      </c>
      <c r="C29" s="20" t="s">
        <v>692</v>
      </c>
      <c r="D29" s="137">
        <v>3040000</v>
      </c>
      <c r="E29" s="20" t="s">
        <v>368</v>
      </c>
      <c r="F29" s="20" t="s">
        <v>502</v>
      </c>
      <c r="G29" s="8" t="str">
        <f t="shared" si="0"/>
        <v>WILLIAMS DONTE</v>
      </c>
      <c r="H29" s="20" t="str">
        <f t="shared" si="1"/>
        <v>4041</v>
      </c>
    </row>
    <row r="30" spans="1:8" x14ac:dyDescent="0.3">
      <c r="A30" s="8">
        <v>43091.218518518515</v>
      </c>
      <c r="B30" s="20" t="s">
        <v>356</v>
      </c>
      <c r="C30" s="20" t="s">
        <v>693</v>
      </c>
      <c r="D30" s="137">
        <v>2560000</v>
      </c>
      <c r="E30" s="20" t="s">
        <v>687</v>
      </c>
      <c r="F30" s="20" t="s">
        <v>688</v>
      </c>
      <c r="G30" s="8" t="str">
        <f t="shared" si="0"/>
        <v>MACDONALD THOMAS</v>
      </c>
      <c r="H30" s="20" t="str">
        <f t="shared" si="1"/>
        <v>4008</v>
      </c>
    </row>
    <row r="31" spans="1:8" x14ac:dyDescent="0.3">
      <c r="A31" s="8">
        <v>43091.220960648148</v>
      </c>
      <c r="B31" s="20" t="s">
        <v>588</v>
      </c>
      <c r="C31" s="20" t="s">
        <v>694</v>
      </c>
      <c r="D31" s="137">
        <v>1230000</v>
      </c>
      <c r="E31" s="20" t="s">
        <v>695</v>
      </c>
      <c r="F31" s="20" t="s">
        <v>696</v>
      </c>
      <c r="G31" s="8" t="str">
        <f t="shared" si="0"/>
        <v>YANAI IAN</v>
      </c>
      <c r="H31" s="20" t="str">
        <f t="shared" si="1"/>
        <v>4039</v>
      </c>
    </row>
    <row r="32" spans="1:8" x14ac:dyDescent="0.3">
      <c r="A32" s="8">
        <v>43091.227164351854</v>
      </c>
      <c r="B32" s="20" t="s">
        <v>526</v>
      </c>
      <c r="C32" s="20" t="s">
        <v>697</v>
      </c>
      <c r="D32" s="137">
        <v>2010000</v>
      </c>
      <c r="E32" s="20" t="s">
        <v>500</v>
      </c>
      <c r="F32" s="20" t="s">
        <v>501</v>
      </c>
      <c r="G32" s="8" t="str">
        <f t="shared" si="0"/>
        <v>MAELZER KURT</v>
      </c>
      <c r="H32" s="20" t="str">
        <f t="shared" si="1"/>
        <v>4044</v>
      </c>
    </row>
    <row r="33" spans="1:8" x14ac:dyDescent="0.3">
      <c r="A33" s="8">
        <v>43091.233356481483</v>
      </c>
      <c r="B33" s="20" t="s">
        <v>447</v>
      </c>
      <c r="C33" s="20" t="s">
        <v>698</v>
      </c>
      <c r="D33" s="137">
        <v>3040000</v>
      </c>
      <c r="E33" s="20" t="s">
        <v>368</v>
      </c>
      <c r="F33" s="20" t="s">
        <v>502</v>
      </c>
      <c r="G33" s="8" t="str">
        <f t="shared" si="0"/>
        <v>WILLIAMS DONTE</v>
      </c>
      <c r="H33" s="20" t="str">
        <f t="shared" si="1"/>
        <v>4042</v>
      </c>
    </row>
    <row r="34" spans="1:8" x14ac:dyDescent="0.3">
      <c r="A34" s="8">
        <v>43091.235277777778</v>
      </c>
      <c r="B34" s="20" t="s">
        <v>385</v>
      </c>
      <c r="C34" s="20" t="s">
        <v>699</v>
      </c>
      <c r="D34" s="137">
        <v>2440000</v>
      </c>
      <c r="E34" s="20" t="s">
        <v>452</v>
      </c>
      <c r="F34" s="20" t="s">
        <v>453</v>
      </c>
      <c r="G34" s="8" t="str">
        <f t="shared" si="0"/>
        <v>LOPES KIMBERLY</v>
      </c>
      <c r="H34" s="20" t="str">
        <f t="shared" si="1"/>
        <v>4061</v>
      </c>
    </row>
    <row r="35" spans="1:8" x14ac:dyDescent="0.3">
      <c r="A35" s="8">
        <v>43091.236354166664</v>
      </c>
      <c r="B35" s="20" t="s">
        <v>587</v>
      </c>
      <c r="C35" s="20" t="s">
        <v>700</v>
      </c>
      <c r="D35" s="137">
        <v>1230000</v>
      </c>
      <c r="E35" s="20" t="s">
        <v>695</v>
      </c>
      <c r="F35" s="20" t="s">
        <v>696</v>
      </c>
      <c r="G35" s="8" t="str">
        <f t="shared" si="0"/>
        <v>YANAI IAN</v>
      </c>
      <c r="H35" s="20" t="str">
        <f t="shared" si="1"/>
        <v>4040</v>
      </c>
    </row>
    <row r="36" spans="1:8" x14ac:dyDescent="0.3">
      <c r="A36" s="8">
        <v>43091.236689814818</v>
      </c>
      <c r="B36" s="20" t="s">
        <v>386</v>
      </c>
      <c r="C36" s="20" t="s">
        <v>701</v>
      </c>
      <c r="D36" s="137">
        <v>1830000</v>
      </c>
      <c r="E36" s="20" t="s">
        <v>346</v>
      </c>
      <c r="F36" s="20" t="s">
        <v>347</v>
      </c>
      <c r="G36" s="8" t="str">
        <f t="shared" si="0"/>
        <v>YORK EDGAR</v>
      </c>
      <c r="H36" s="20" t="str">
        <f t="shared" si="1"/>
        <v>4029</v>
      </c>
    </row>
    <row r="37" spans="1:8" x14ac:dyDescent="0.3">
      <c r="A37" s="8">
        <v>43091.244270833333</v>
      </c>
      <c r="B37" s="20" t="s">
        <v>485</v>
      </c>
      <c r="C37" s="20" t="s">
        <v>702</v>
      </c>
      <c r="D37" s="137">
        <v>2370000</v>
      </c>
      <c r="E37" s="20" t="s">
        <v>517</v>
      </c>
      <c r="F37" s="20" t="s">
        <v>518</v>
      </c>
      <c r="G37" s="8" t="str">
        <f t="shared" si="0"/>
        <v>DELGADO DIANAH</v>
      </c>
      <c r="H37" s="20" t="str">
        <f t="shared" si="1"/>
        <v>4015</v>
      </c>
    </row>
    <row r="38" spans="1:8" x14ac:dyDescent="0.3">
      <c r="A38" s="8">
        <v>43091.245208333334</v>
      </c>
      <c r="B38" s="20" t="s">
        <v>680</v>
      </c>
      <c r="C38" s="20" t="s">
        <v>703</v>
      </c>
      <c r="D38" s="137">
        <v>940000</v>
      </c>
      <c r="E38" s="20" t="s">
        <v>676</v>
      </c>
      <c r="F38" s="20" t="s">
        <v>677</v>
      </c>
      <c r="G38" s="8" t="str">
        <f t="shared" si="0"/>
        <v>BONDS REYNALDO</v>
      </c>
      <c r="H38" s="20" t="str">
        <f t="shared" si="1"/>
        <v>4020</v>
      </c>
    </row>
    <row r="39" spans="1:8" x14ac:dyDescent="0.3">
      <c r="A39" s="8">
        <v>43091.247523148151</v>
      </c>
      <c r="B39" s="20" t="s">
        <v>655</v>
      </c>
      <c r="C39" s="20" t="s">
        <v>656</v>
      </c>
      <c r="D39" s="137">
        <v>3040000</v>
      </c>
      <c r="E39" s="20" t="s">
        <v>368</v>
      </c>
      <c r="F39" s="20" t="s">
        <v>502</v>
      </c>
      <c r="G39" s="8" t="str">
        <f t="shared" si="0"/>
        <v>WILLIAMS DONTE</v>
      </c>
      <c r="H39" s="20" t="str">
        <f t="shared" si="1"/>
        <v>4041</v>
      </c>
    </row>
    <row r="40" spans="1:8" x14ac:dyDescent="0.3">
      <c r="A40" s="8">
        <v>43091.251192129632</v>
      </c>
      <c r="B40" s="25" t="s">
        <v>361</v>
      </c>
      <c r="C40" s="20" t="s">
        <v>704</v>
      </c>
      <c r="D40" s="137">
        <v>2560000</v>
      </c>
      <c r="E40" s="20" t="s">
        <v>687</v>
      </c>
      <c r="F40" s="20" t="s">
        <v>688</v>
      </c>
      <c r="G40" s="8" t="str">
        <f t="shared" si="0"/>
        <v>MACDONALD THOMAS</v>
      </c>
      <c r="H40" s="20" t="str">
        <f t="shared" si="1"/>
        <v>4007</v>
      </c>
    </row>
    <row r="41" spans="1:8" x14ac:dyDescent="0.3">
      <c r="A41" s="8">
        <v>43091.25439814815</v>
      </c>
      <c r="B41" s="20" t="s">
        <v>487</v>
      </c>
      <c r="C41" s="20" t="s">
        <v>705</v>
      </c>
      <c r="D41" s="137">
        <v>2370000</v>
      </c>
      <c r="E41" s="20" t="s">
        <v>517</v>
      </c>
      <c r="F41" s="20" t="s">
        <v>518</v>
      </c>
      <c r="G41" s="8" t="str">
        <f t="shared" si="0"/>
        <v>DELGADO DIANAH</v>
      </c>
      <c r="H41" s="20" t="str">
        <f t="shared" si="1"/>
        <v>4016</v>
      </c>
    </row>
    <row r="42" spans="1:8" x14ac:dyDescent="0.3">
      <c r="A42" s="8">
        <v>43091.25608796296</v>
      </c>
      <c r="B42" s="20" t="s">
        <v>486</v>
      </c>
      <c r="C42" s="20" t="s">
        <v>706</v>
      </c>
      <c r="D42" s="137">
        <v>1100000</v>
      </c>
      <c r="E42" s="20" t="s">
        <v>513</v>
      </c>
      <c r="F42" s="20" t="s">
        <v>514</v>
      </c>
      <c r="G42" s="8" t="str">
        <f t="shared" si="0"/>
        <v>GEBRETEKLE DAGNEW</v>
      </c>
      <c r="H42" s="20" t="str">
        <f t="shared" si="1"/>
        <v>4006</v>
      </c>
    </row>
    <row r="43" spans="1:8" x14ac:dyDescent="0.3">
      <c r="A43" s="8">
        <v>43091.25949074074</v>
      </c>
      <c r="B43" s="20" t="s">
        <v>443</v>
      </c>
      <c r="C43" s="20" t="s">
        <v>707</v>
      </c>
      <c r="D43" s="137">
        <v>1090000</v>
      </c>
      <c r="E43" s="20" t="s">
        <v>670</v>
      </c>
      <c r="F43" s="20" t="s">
        <v>352</v>
      </c>
      <c r="G43" s="8" t="str">
        <f t="shared" si="0"/>
        <v>SPECTOR MICHAEL</v>
      </c>
      <c r="H43" s="20" t="str">
        <f t="shared" si="1"/>
        <v>4010</v>
      </c>
    </row>
    <row r="44" spans="1:8" x14ac:dyDescent="0.3">
      <c r="A44" s="8">
        <v>43091.26363425926</v>
      </c>
      <c r="B44" s="20" t="s">
        <v>527</v>
      </c>
      <c r="C44" s="20" t="s">
        <v>708</v>
      </c>
      <c r="D44" s="137">
        <v>2010000</v>
      </c>
      <c r="E44" s="20" t="s">
        <v>500</v>
      </c>
      <c r="F44" s="20" t="s">
        <v>501</v>
      </c>
      <c r="G44" s="8" t="str">
        <f t="shared" si="0"/>
        <v>MAELZER KURT</v>
      </c>
      <c r="H44" s="20" t="str">
        <f t="shared" si="1"/>
        <v>4043</v>
      </c>
    </row>
    <row r="45" spans="1:8" x14ac:dyDescent="0.3">
      <c r="A45" s="8">
        <v>43091.265405092592</v>
      </c>
      <c r="B45" s="20" t="s">
        <v>512</v>
      </c>
      <c r="C45" s="20" t="s">
        <v>707</v>
      </c>
      <c r="D45" s="137">
        <v>1090000</v>
      </c>
      <c r="E45" s="20" t="s">
        <v>670</v>
      </c>
      <c r="F45" s="20" t="s">
        <v>352</v>
      </c>
      <c r="G45" s="8" t="str">
        <f t="shared" si="0"/>
        <v>SPECTOR MICHAEL</v>
      </c>
      <c r="H45" s="20" t="str">
        <f t="shared" si="1"/>
        <v>4009</v>
      </c>
    </row>
    <row r="46" spans="1:8" x14ac:dyDescent="0.3">
      <c r="A46" s="8">
        <v>43091.265983796293</v>
      </c>
      <c r="B46" s="20" t="s">
        <v>383</v>
      </c>
      <c r="C46" s="20" t="s">
        <v>709</v>
      </c>
      <c r="D46" s="137">
        <v>2440000</v>
      </c>
      <c r="E46" s="20" t="s">
        <v>452</v>
      </c>
      <c r="F46" s="20" t="s">
        <v>453</v>
      </c>
      <c r="G46" s="8" t="str">
        <f t="shared" si="0"/>
        <v>LOPES KIMBERLY</v>
      </c>
      <c r="H46" s="20" t="str">
        <f t="shared" si="1"/>
        <v>4062</v>
      </c>
    </row>
    <row r="47" spans="1:8" x14ac:dyDescent="0.3">
      <c r="A47" s="8">
        <v>43091.266296296293</v>
      </c>
      <c r="B47" s="20" t="s">
        <v>512</v>
      </c>
      <c r="C47" s="20" t="s">
        <v>707</v>
      </c>
      <c r="D47" s="137">
        <v>1090000</v>
      </c>
      <c r="E47" s="20" t="s">
        <v>670</v>
      </c>
      <c r="F47" s="20" t="s">
        <v>352</v>
      </c>
      <c r="G47" s="8" t="str">
        <f t="shared" si="0"/>
        <v>SPECTOR MICHAEL</v>
      </c>
      <c r="H47" s="20" t="str">
        <f t="shared" si="1"/>
        <v>4009</v>
      </c>
    </row>
    <row r="48" spans="1:8" x14ac:dyDescent="0.3">
      <c r="A48" s="8">
        <v>43091.266319444447</v>
      </c>
      <c r="B48" s="20" t="s">
        <v>588</v>
      </c>
      <c r="C48" s="20" t="s">
        <v>710</v>
      </c>
      <c r="D48" s="137">
        <v>1230000</v>
      </c>
      <c r="E48" s="20" t="s">
        <v>695</v>
      </c>
      <c r="F48" s="20" t="s">
        <v>696</v>
      </c>
      <c r="G48" s="8" t="str">
        <f t="shared" si="0"/>
        <v>YANAI IAN</v>
      </c>
      <c r="H48" s="20" t="str">
        <f t="shared" si="1"/>
        <v>4039</v>
      </c>
    </row>
    <row r="49" spans="1:8" x14ac:dyDescent="0.3">
      <c r="A49" s="8">
        <v>43091.268576388888</v>
      </c>
      <c r="B49" s="20" t="s">
        <v>485</v>
      </c>
      <c r="C49" s="20" t="s">
        <v>711</v>
      </c>
      <c r="D49" s="137">
        <v>2370000</v>
      </c>
      <c r="E49" s="20" t="s">
        <v>517</v>
      </c>
      <c r="F49" s="20" t="s">
        <v>518</v>
      </c>
      <c r="G49" s="8" t="str">
        <f t="shared" si="0"/>
        <v>DELGADO DIANAH</v>
      </c>
      <c r="H49" s="20" t="str">
        <f t="shared" si="1"/>
        <v>4015</v>
      </c>
    </row>
    <row r="50" spans="1:8" x14ac:dyDescent="0.3">
      <c r="A50" s="8">
        <v>43091.273472222223</v>
      </c>
      <c r="B50" s="20" t="s">
        <v>447</v>
      </c>
      <c r="C50" s="20" t="s">
        <v>712</v>
      </c>
      <c r="D50" s="137">
        <v>3040000</v>
      </c>
      <c r="E50" s="20" t="s">
        <v>368</v>
      </c>
      <c r="F50" s="20" t="s">
        <v>502</v>
      </c>
      <c r="G50" s="8" t="str">
        <f t="shared" si="0"/>
        <v>WILLIAMS DONTE</v>
      </c>
      <c r="H50" s="20" t="str">
        <f t="shared" si="1"/>
        <v>4042</v>
      </c>
    </row>
    <row r="51" spans="1:8" x14ac:dyDescent="0.3">
      <c r="A51" s="8">
        <v>43091.278692129628</v>
      </c>
      <c r="B51" s="20" t="s">
        <v>443</v>
      </c>
      <c r="C51" s="20" t="s">
        <v>713</v>
      </c>
      <c r="D51" s="137">
        <v>1830000</v>
      </c>
      <c r="E51" s="20" t="s">
        <v>346</v>
      </c>
      <c r="F51" s="20" t="s">
        <v>347</v>
      </c>
      <c r="G51" s="8" t="str">
        <f t="shared" si="0"/>
        <v>YORK EDGAR</v>
      </c>
      <c r="H51" s="20" t="str">
        <f t="shared" si="1"/>
        <v>4010</v>
      </c>
    </row>
    <row r="52" spans="1:8" x14ac:dyDescent="0.3">
      <c r="A52" s="8">
        <v>43091.28707175926</v>
      </c>
      <c r="B52" s="20" t="s">
        <v>489</v>
      </c>
      <c r="C52" s="20" t="s">
        <v>714</v>
      </c>
      <c r="D52" s="137">
        <v>1100000</v>
      </c>
      <c r="E52" s="20" t="s">
        <v>513</v>
      </c>
      <c r="F52" s="20" t="s">
        <v>514</v>
      </c>
      <c r="G52" s="8" t="str">
        <f t="shared" si="0"/>
        <v>GEBRETEKLE DAGNEW</v>
      </c>
      <c r="H52" s="20" t="str">
        <f t="shared" si="1"/>
        <v>4005</v>
      </c>
    </row>
    <row r="53" spans="1:8" x14ac:dyDescent="0.3">
      <c r="A53" s="8">
        <v>43091.287604166668</v>
      </c>
      <c r="B53" s="20" t="s">
        <v>674</v>
      </c>
      <c r="C53" s="20" t="s">
        <v>715</v>
      </c>
      <c r="D53" s="137">
        <v>940000</v>
      </c>
      <c r="E53" s="20" t="s">
        <v>676</v>
      </c>
      <c r="F53" s="20" t="s">
        <v>677</v>
      </c>
      <c r="G53" s="8" t="str">
        <f t="shared" si="0"/>
        <v>BONDS REYNALDO</v>
      </c>
      <c r="H53" s="20" t="str">
        <f t="shared" si="1"/>
        <v>4019</v>
      </c>
    </row>
    <row r="54" spans="1:8" x14ac:dyDescent="0.3">
      <c r="A54" s="8">
        <v>43091.29005787037</v>
      </c>
      <c r="B54" s="20" t="s">
        <v>655</v>
      </c>
      <c r="C54" s="20" t="s">
        <v>716</v>
      </c>
      <c r="D54" s="137">
        <v>3040000</v>
      </c>
      <c r="E54" s="20" t="s">
        <v>368</v>
      </c>
      <c r="F54" s="20" t="s">
        <v>502</v>
      </c>
      <c r="G54" s="8" t="str">
        <f t="shared" si="0"/>
        <v>WILLIAMS DONTE</v>
      </c>
      <c r="H54" s="20" t="str">
        <f t="shared" si="1"/>
        <v>4041</v>
      </c>
    </row>
    <row r="55" spans="1:8" x14ac:dyDescent="0.3">
      <c r="A55" s="8">
        <v>43091.290451388886</v>
      </c>
      <c r="B55" s="20" t="s">
        <v>356</v>
      </c>
      <c r="C55" s="20" t="s">
        <v>717</v>
      </c>
      <c r="D55" s="137">
        <v>2560000</v>
      </c>
      <c r="E55" s="20" t="s">
        <v>687</v>
      </c>
      <c r="F55" s="20" t="s">
        <v>688</v>
      </c>
      <c r="G55" s="8" t="str">
        <f t="shared" si="0"/>
        <v>MACDONALD THOMAS</v>
      </c>
      <c r="H55" s="20" t="str">
        <f t="shared" si="1"/>
        <v>4008</v>
      </c>
    </row>
    <row r="56" spans="1:8" x14ac:dyDescent="0.3">
      <c r="A56" s="8">
        <v>43091.291250000002</v>
      </c>
      <c r="B56" s="20" t="s">
        <v>487</v>
      </c>
      <c r="C56" s="20" t="s">
        <v>718</v>
      </c>
      <c r="D56" s="137">
        <v>2370000</v>
      </c>
      <c r="E56" s="20" t="s">
        <v>517</v>
      </c>
      <c r="F56" s="20" t="s">
        <v>518</v>
      </c>
      <c r="G56" s="8" t="str">
        <f t="shared" si="0"/>
        <v>DELGADO DIANAH</v>
      </c>
      <c r="H56" s="20" t="str">
        <f t="shared" si="1"/>
        <v>4016</v>
      </c>
    </row>
    <row r="57" spans="1:8" x14ac:dyDescent="0.3">
      <c r="A57" s="8">
        <v>43091.297951388886</v>
      </c>
      <c r="B57" s="20" t="s">
        <v>526</v>
      </c>
      <c r="C57" s="20" t="s">
        <v>719</v>
      </c>
      <c r="D57" s="137">
        <v>2010000</v>
      </c>
      <c r="E57" s="20" t="s">
        <v>500</v>
      </c>
      <c r="F57" s="20" t="s">
        <v>501</v>
      </c>
      <c r="G57" s="8" t="str">
        <f t="shared" si="0"/>
        <v>MAELZER KURT</v>
      </c>
      <c r="H57" s="20" t="str">
        <f t="shared" si="1"/>
        <v>4044</v>
      </c>
    </row>
    <row r="58" spans="1:8" x14ac:dyDescent="0.3">
      <c r="A58" s="8">
        <v>43091.306168981479</v>
      </c>
      <c r="B58" s="20" t="s">
        <v>385</v>
      </c>
      <c r="C58" s="20" t="s">
        <v>720</v>
      </c>
      <c r="D58" s="137">
        <v>2440000</v>
      </c>
      <c r="E58" s="20" t="s">
        <v>452</v>
      </c>
      <c r="F58" s="20" t="s">
        <v>453</v>
      </c>
      <c r="G58" s="8" t="str">
        <f t="shared" si="0"/>
        <v>LOPES KIMBERLY</v>
      </c>
      <c r="H58" s="20" t="str">
        <f t="shared" si="1"/>
        <v>4061</v>
      </c>
    </row>
    <row r="59" spans="1:8" x14ac:dyDescent="0.3">
      <c r="A59" s="8">
        <v>43091.307349537034</v>
      </c>
      <c r="B59" s="20" t="s">
        <v>587</v>
      </c>
      <c r="C59" s="20" t="s">
        <v>721</v>
      </c>
      <c r="D59" s="137">
        <v>1230000</v>
      </c>
      <c r="E59" s="20" t="s">
        <v>695</v>
      </c>
      <c r="F59" s="20" t="s">
        <v>696</v>
      </c>
      <c r="G59" s="8" t="str">
        <f t="shared" si="0"/>
        <v>YANAI IAN</v>
      </c>
      <c r="H59" s="20" t="str">
        <f t="shared" si="1"/>
        <v>4040</v>
      </c>
    </row>
    <row r="60" spans="1:8" x14ac:dyDescent="0.3">
      <c r="A60" s="8">
        <v>43091.310277777775</v>
      </c>
      <c r="B60" s="20" t="s">
        <v>485</v>
      </c>
      <c r="C60" s="20" t="s">
        <v>722</v>
      </c>
      <c r="D60" s="137">
        <v>2370000</v>
      </c>
      <c r="E60" s="20" t="s">
        <v>517</v>
      </c>
      <c r="F60" s="20" t="s">
        <v>518</v>
      </c>
      <c r="G60" s="8" t="str">
        <f t="shared" si="0"/>
        <v>DELGADO DIANAH</v>
      </c>
      <c r="H60" s="20" t="str">
        <f t="shared" si="1"/>
        <v>4015</v>
      </c>
    </row>
    <row r="61" spans="1:8" x14ac:dyDescent="0.3">
      <c r="A61" s="8">
        <v>43091.315682870372</v>
      </c>
      <c r="B61" s="20" t="s">
        <v>447</v>
      </c>
      <c r="C61" s="20" t="s">
        <v>723</v>
      </c>
      <c r="D61" s="137">
        <v>3040000</v>
      </c>
      <c r="E61" s="20" t="s">
        <v>368</v>
      </c>
      <c r="F61" s="20" t="s">
        <v>502</v>
      </c>
      <c r="G61" s="8" t="str">
        <f t="shared" si="0"/>
        <v>WILLIAMS DONTE</v>
      </c>
      <c r="H61" s="20" t="str">
        <f t="shared" si="1"/>
        <v>4042</v>
      </c>
    </row>
    <row r="62" spans="1:8" x14ac:dyDescent="0.3">
      <c r="A62" s="8">
        <v>43091.317800925928</v>
      </c>
      <c r="B62" s="20" t="s">
        <v>680</v>
      </c>
      <c r="C62" s="20" t="s">
        <v>724</v>
      </c>
      <c r="D62" s="137">
        <v>940000</v>
      </c>
      <c r="E62" s="20" t="s">
        <v>676</v>
      </c>
      <c r="F62" s="20" t="s">
        <v>677</v>
      </c>
      <c r="G62" s="8" t="str">
        <f t="shared" si="0"/>
        <v>BONDS REYNALDO</v>
      </c>
      <c r="H62" s="20" t="str">
        <f t="shared" si="1"/>
        <v>4020</v>
      </c>
    </row>
    <row r="63" spans="1:8" x14ac:dyDescent="0.3">
      <c r="A63" s="8">
        <v>43091.318912037037</v>
      </c>
      <c r="B63" s="20" t="s">
        <v>512</v>
      </c>
      <c r="C63" s="20" t="s">
        <v>725</v>
      </c>
      <c r="D63" s="137">
        <v>1830000</v>
      </c>
      <c r="E63" s="20" t="s">
        <v>346</v>
      </c>
      <c r="F63" s="20" t="s">
        <v>347</v>
      </c>
      <c r="G63" s="8" t="str">
        <f t="shared" si="0"/>
        <v>YORK EDGAR</v>
      </c>
      <c r="H63" s="20" t="str">
        <f t="shared" si="1"/>
        <v>4009</v>
      </c>
    </row>
    <row r="64" spans="1:8" x14ac:dyDescent="0.3">
      <c r="A64" s="26">
        <v>43091.329351851855</v>
      </c>
      <c r="B64" s="20" t="s">
        <v>486</v>
      </c>
      <c r="C64" s="20" t="s">
        <v>726</v>
      </c>
      <c r="D64" s="137">
        <v>1100000</v>
      </c>
      <c r="E64" s="20" t="s">
        <v>513</v>
      </c>
      <c r="F64" s="20" t="s">
        <v>514</v>
      </c>
      <c r="G64" s="8" t="str">
        <f t="shared" si="0"/>
        <v>GEBRETEKLE DAGNEW</v>
      </c>
      <c r="H64" s="20" t="str">
        <f t="shared" si="1"/>
        <v>4006</v>
      </c>
    </row>
    <row r="65" spans="1:8" x14ac:dyDescent="0.3">
      <c r="A65" s="8">
        <v>43091.329965277779</v>
      </c>
      <c r="B65" s="20" t="s">
        <v>361</v>
      </c>
      <c r="C65" s="20" t="s">
        <v>727</v>
      </c>
      <c r="D65" s="137">
        <v>2560000</v>
      </c>
      <c r="E65" s="20" t="s">
        <v>687</v>
      </c>
      <c r="F65" s="20" t="s">
        <v>688</v>
      </c>
      <c r="G65" s="8" t="str">
        <f t="shared" si="0"/>
        <v>MACDONALD THOMAS</v>
      </c>
      <c r="H65" s="20" t="str">
        <f t="shared" si="1"/>
        <v>4007</v>
      </c>
    </row>
    <row r="66" spans="1:8" x14ac:dyDescent="0.3">
      <c r="A66" s="8">
        <v>43091.331053240741</v>
      </c>
      <c r="B66" s="20" t="s">
        <v>655</v>
      </c>
      <c r="C66" s="20" t="s">
        <v>728</v>
      </c>
      <c r="D66" s="137">
        <v>3040000</v>
      </c>
      <c r="E66" s="20" t="s">
        <v>368</v>
      </c>
      <c r="F66" s="20" t="s">
        <v>502</v>
      </c>
      <c r="G66" s="8" t="str">
        <f t="shared" si="0"/>
        <v>WILLIAMS DONTE</v>
      </c>
      <c r="H66" s="20" t="str">
        <f t="shared" si="1"/>
        <v>4041</v>
      </c>
    </row>
    <row r="67" spans="1:8" x14ac:dyDescent="0.3">
      <c r="A67" s="8">
        <v>43091.331863425927</v>
      </c>
      <c r="B67" s="20" t="s">
        <v>527</v>
      </c>
      <c r="C67" s="20" t="s">
        <v>729</v>
      </c>
      <c r="D67" s="137">
        <v>2010000</v>
      </c>
      <c r="E67" s="20" t="s">
        <v>500</v>
      </c>
      <c r="F67" s="20" t="s">
        <v>501</v>
      </c>
      <c r="G67" s="8" t="str">
        <f t="shared" ref="G67:G130" si="2">E67&amp;" "&amp;F67</f>
        <v>MAELZER KURT</v>
      </c>
      <c r="H67" s="20" t="str">
        <f t="shared" ref="H67:H130" si="3">MID(B67,13,4)</f>
        <v>4043</v>
      </c>
    </row>
    <row r="68" spans="1:8" x14ac:dyDescent="0.3">
      <c r="A68" s="8">
        <v>43091.332685185182</v>
      </c>
      <c r="B68" s="20" t="s">
        <v>487</v>
      </c>
      <c r="C68" s="20" t="s">
        <v>657</v>
      </c>
      <c r="D68" s="137">
        <v>2370000</v>
      </c>
      <c r="E68" s="20" t="s">
        <v>517</v>
      </c>
      <c r="F68" s="20" t="s">
        <v>518</v>
      </c>
      <c r="G68" s="8" t="str">
        <f t="shared" si="2"/>
        <v>DELGADO DIANAH</v>
      </c>
      <c r="H68" s="20" t="str">
        <f t="shared" si="3"/>
        <v>4016</v>
      </c>
    </row>
    <row r="69" spans="1:8" x14ac:dyDescent="0.3">
      <c r="A69" s="8">
        <v>43091.338726851849</v>
      </c>
      <c r="B69" s="20" t="s">
        <v>383</v>
      </c>
      <c r="C69" s="20" t="s">
        <v>730</v>
      </c>
      <c r="D69" s="137">
        <v>2440000</v>
      </c>
      <c r="E69" s="20" t="s">
        <v>452</v>
      </c>
      <c r="F69" s="20" t="s">
        <v>453</v>
      </c>
      <c r="G69" s="8" t="str">
        <f t="shared" si="2"/>
        <v>LOPES KIMBERLY</v>
      </c>
      <c r="H69" s="20" t="str">
        <f t="shared" si="3"/>
        <v>4062</v>
      </c>
    </row>
    <row r="70" spans="1:8" x14ac:dyDescent="0.3">
      <c r="A70" s="8">
        <v>43091.340405092589</v>
      </c>
      <c r="B70" s="20" t="s">
        <v>588</v>
      </c>
      <c r="C70" s="20" t="s">
        <v>731</v>
      </c>
      <c r="D70" s="137">
        <v>1230000</v>
      </c>
      <c r="E70" s="20" t="s">
        <v>695</v>
      </c>
      <c r="F70" s="20" t="s">
        <v>696</v>
      </c>
      <c r="G70" s="8" t="str">
        <f t="shared" si="2"/>
        <v>YANAI IAN</v>
      </c>
      <c r="H70" s="20" t="str">
        <f t="shared" si="3"/>
        <v>4039</v>
      </c>
    </row>
    <row r="71" spans="1:8" x14ac:dyDescent="0.3">
      <c r="A71" s="8">
        <v>43091.348182870373</v>
      </c>
      <c r="B71" s="20" t="s">
        <v>443</v>
      </c>
      <c r="C71" s="20" t="s">
        <v>732</v>
      </c>
      <c r="D71" s="137">
        <v>1830000</v>
      </c>
      <c r="E71" s="20" t="s">
        <v>346</v>
      </c>
      <c r="F71" s="20" t="s">
        <v>347</v>
      </c>
      <c r="G71" s="8" t="str">
        <f t="shared" si="2"/>
        <v>YORK EDGAR</v>
      </c>
      <c r="H71" s="20" t="str">
        <f t="shared" si="3"/>
        <v>4010</v>
      </c>
    </row>
    <row r="72" spans="1:8" x14ac:dyDescent="0.3">
      <c r="A72" s="8">
        <v>43091.353136574071</v>
      </c>
      <c r="B72" s="20" t="s">
        <v>447</v>
      </c>
      <c r="C72" s="20" t="s">
        <v>733</v>
      </c>
      <c r="D72" s="137">
        <v>3040000</v>
      </c>
      <c r="E72" s="20" t="s">
        <v>368</v>
      </c>
      <c r="F72" s="20" t="s">
        <v>502</v>
      </c>
      <c r="G72" s="8" t="str">
        <f t="shared" si="2"/>
        <v>WILLIAMS DONTE</v>
      </c>
      <c r="H72" s="20" t="str">
        <f t="shared" si="3"/>
        <v>4042</v>
      </c>
    </row>
    <row r="73" spans="1:8" x14ac:dyDescent="0.3">
      <c r="A73" s="8">
        <v>43091.353206018517</v>
      </c>
      <c r="B73" s="20" t="s">
        <v>485</v>
      </c>
      <c r="C73" s="20" t="s">
        <v>734</v>
      </c>
      <c r="D73" s="137">
        <v>2370000</v>
      </c>
      <c r="E73" s="20" t="s">
        <v>517</v>
      </c>
      <c r="F73" s="20" t="s">
        <v>518</v>
      </c>
      <c r="G73" s="8" t="str">
        <f t="shared" si="2"/>
        <v>DELGADO DIANAH</v>
      </c>
      <c r="H73" s="20" t="str">
        <f t="shared" si="3"/>
        <v>4015</v>
      </c>
    </row>
    <row r="74" spans="1:8" x14ac:dyDescent="0.3">
      <c r="A74" s="8">
        <v>43091.359884259262</v>
      </c>
      <c r="B74" s="20" t="s">
        <v>489</v>
      </c>
      <c r="C74" s="20" t="s">
        <v>735</v>
      </c>
      <c r="D74" s="137">
        <v>1100000</v>
      </c>
      <c r="E74" s="20" t="s">
        <v>513</v>
      </c>
      <c r="F74" s="20" t="s">
        <v>514</v>
      </c>
      <c r="G74" s="8" t="str">
        <f t="shared" si="2"/>
        <v>GEBRETEKLE DAGNEW</v>
      </c>
      <c r="H74" s="20" t="str">
        <f t="shared" si="3"/>
        <v>4005</v>
      </c>
    </row>
    <row r="75" spans="1:8" x14ac:dyDescent="0.3">
      <c r="A75" s="8">
        <v>43091.361076388886</v>
      </c>
      <c r="B75" s="20" t="s">
        <v>674</v>
      </c>
      <c r="C75" s="20" t="s">
        <v>736</v>
      </c>
      <c r="D75" s="137">
        <v>940000</v>
      </c>
      <c r="E75" s="20" t="s">
        <v>676</v>
      </c>
      <c r="F75" s="20" t="s">
        <v>677</v>
      </c>
      <c r="G75" s="8" t="str">
        <f t="shared" si="2"/>
        <v>BONDS REYNALDO</v>
      </c>
      <c r="H75" s="20" t="str">
        <f t="shared" si="3"/>
        <v>4019</v>
      </c>
    </row>
    <row r="76" spans="1:8" x14ac:dyDescent="0.3">
      <c r="A76" s="8">
        <v>43091.363229166665</v>
      </c>
      <c r="B76" s="20" t="s">
        <v>356</v>
      </c>
      <c r="C76" s="20" t="s">
        <v>737</v>
      </c>
      <c r="D76" s="137">
        <v>2560000</v>
      </c>
      <c r="E76" s="20" t="s">
        <v>687</v>
      </c>
      <c r="F76" s="20" t="s">
        <v>688</v>
      </c>
      <c r="G76" s="8" t="str">
        <f t="shared" si="2"/>
        <v>MACDONALD THOMAS</v>
      </c>
      <c r="H76" s="20" t="str">
        <f t="shared" si="3"/>
        <v>4008</v>
      </c>
    </row>
    <row r="77" spans="1:8" x14ac:dyDescent="0.3">
      <c r="A77" s="8">
        <v>43091.370833333334</v>
      </c>
      <c r="B77" s="20" t="s">
        <v>526</v>
      </c>
      <c r="C77" s="20" t="s">
        <v>738</v>
      </c>
      <c r="D77" s="137">
        <v>2010000</v>
      </c>
      <c r="E77" s="20" t="s">
        <v>500</v>
      </c>
      <c r="F77" s="20" t="s">
        <v>501</v>
      </c>
      <c r="G77" s="8" t="str">
        <f t="shared" si="2"/>
        <v>MAELZER KURT</v>
      </c>
      <c r="H77" s="20" t="str">
        <f t="shared" si="3"/>
        <v>4044</v>
      </c>
    </row>
    <row r="78" spans="1:8" x14ac:dyDescent="0.3">
      <c r="A78" s="8">
        <v>43091.376620370371</v>
      </c>
      <c r="B78" s="20" t="s">
        <v>385</v>
      </c>
      <c r="C78" s="20" t="s">
        <v>739</v>
      </c>
      <c r="D78" s="137">
        <v>2440000</v>
      </c>
      <c r="E78" s="20" t="s">
        <v>452</v>
      </c>
      <c r="F78" s="20" t="s">
        <v>453</v>
      </c>
      <c r="G78" s="8" t="str">
        <f t="shared" si="2"/>
        <v>LOPES KIMBERLY</v>
      </c>
      <c r="H78" s="20" t="str">
        <f t="shared" si="3"/>
        <v>4061</v>
      </c>
    </row>
    <row r="79" spans="1:8" x14ac:dyDescent="0.3">
      <c r="A79" s="8">
        <v>43091.379467592589</v>
      </c>
      <c r="B79" s="20" t="s">
        <v>487</v>
      </c>
      <c r="C79" s="20" t="s">
        <v>740</v>
      </c>
      <c r="D79" s="137">
        <v>2370000</v>
      </c>
      <c r="E79" s="20" t="s">
        <v>517</v>
      </c>
      <c r="F79" s="20" t="s">
        <v>518</v>
      </c>
      <c r="G79" s="8" t="str">
        <f t="shared" si="2"/>
        <v>DELGADO DIANAH</v>
      </c>
      <c r="H79" s="20" t="str">
        <f t="shared" si="3"/>
        <v>4016</v>
      </c>
    </row>
    <row r="80" spans="1:8" x14ac:dyDescent="0.3">
      <c r="A80" s="8">
        <v>43091.380358796298</v>
      </c>
      <c r="B80" s="20" t="s">
        <v>512</v>
      </c>
      <c r="C80" s="20" t="s">
        <v>741</v>
      </c>
      <c r="D80" s="137">
        <v>1830000</v>
      </c>
      <c r="E80" s="20" t="s">
        <v>346</v>
      </c>
      <c r="F80" s="20" t="s">
        <v>347</v>
      </c>
      <c r="G80" s="8" t="str">
        <f t="shared" si="2"/>
        <v>YORK EDGAR</v>
      </c>
      <c r="H80" s="20" t="str">
        <f t="shared" si="3"/>
        <v>4009</v>
      </c>
    </row>
    <row r="81" spans="1:8" x14ac:dyDescent="0.3">
      <c r="A81" s="8">
        <v>43091.382569444446</v>
      </c>
      <c r="B81" s="20" t="s">
        <v>587</v>
      </c>
      <c r="C81" s="20" t="s">
        <v>742</v>
      </c>
      <c r="D81" s="137">
        <v>1230000</v>
      </c>
      <c r="E81" s="20" t="s">
        <v>695</v>
      </c>
      <c r="F81" s="20" t="s">
        <v>696</v>
      </c>
      <c r="G81" s="8" t="str">
        <f t="shared" si="2"/>
        <v>YANAI IAN</v>
      </c>
      <c r="H81" s="20" t="str">
        <f t="shared" si="3"/>
        <v>4040</v>
      </c>
    </row>
    <row r="82" spans="1:8" x14ac:dyDescent="0.3">
      <c r="A82" s="8">
        <v>43091.390925925924</v>
      </c>
      <c r="B82" s="20" t="s">
        <v>680</v>
      </c>
      <c r="C82" s="20" t="s">
        <v>743</v>
      </c>
      <c r="D82" s="137">
        <v>940000</v>
      </c>
      <c r="E82" s="20" t="s">
        <v>676</v>
      </c>
      <c r="F82" s="20" t="s">
        <v>677</v>
      </c>
      <c r="G82" s="8" t="str">
        <f t="shared" si="2"/>
        <v>BONDS REYNALDO</v>
      </c>
      <c r="H82" s="20" t="str">
        <f t="shared" si="3"/>
        <v>4020</v>
      </c>
    </row>
    <row r="83" spans="1:8" x14ac:dyDescent="0.3">
      <c r="A83" s="8">
        <v>43091.39099537037</v>
      </c>
      <c r="B83" s="20" t="s">
        <v>361</v>
      </c>
      <c r="C83" s="20" t="s">
        <v>744</v>
      </c>
      <c r="D83" s="137">
        <v>2560000</v>
      </c>
      <c r="E83" s="20" t="s">
        <v>687</v>
      </c>
      <c r="F83" s="20" t="s">
        <v>688</v>
      </c>
      <c r="G83" s="8" t="str">
        <f t="shared" si="2"/>
        <v>MACDONALD THOMAS</v>
      </c>
      <c r="H83" s="20" t="str">
        <f t="shared" si="3"/>
        <v>4007</v>
      </c>
    </row>
    <row r="84" spans="1:8" x14ac:dyDescent="0.3">
      <c r="A84" s="8">
        <v>43091.393425925926</v>
      </c>
      <c r="B84" s="20" t="s">
        <v>485</v>
      </c>
      <c r="C84" s="20" t="s">
        <v>745</v>
      </c>
      <c r="D84" s="137">
        <v>2370000</v>
      </c>
      <c r="E84" s="20" t="s">
        <v>517</v>
      </c>
      <c r="F84" s="20" t="s">
        <v>518</v>
      </c>
      <c r="G84" s="8" t="str">
        <f t="shared" si="2"/>
        <v>DELGADO DIANAH</v>
      </c>
      <c r="H84" s="20" t="str">
        <f t="shared" si="3"/>
        <v>4015</v>
      </c>
    </row>
    <row r="85" spans="1:8" x14ac:dyDescent="0.3">
      <c r="A85" s="8">
        <v>43091.400960648149</v>
      </c>
      <c r="B85" s="20" t="s">
        <v>486</v>
      </c>
      <c r="C85" s="20" t="s">
        <v>746</v>
      </c>
      <c r="D85" s="137">
        <v>1100000</v>
      </c>
      <c r="E85" s="20" t="s">
        <v>513</v>
      </c>
      <c r="F85" s="20" t="s">
        <v>514</v>
      </c>
      <c r="G85" s="8" t="str">
        <f t="shared" si="2"/>
        <v>GEBRETEKLE DAGNEW</v>
      </c>
      <c r="H85" s="20" t="str">
        <f t="shared" si="3"/>
        <v>4006</v>
      </c>
    </row>
    <row r="86" spans="1:8" x14ac:dyDescent="0.3">
      <c r="A86" s="8">
        <v>43091.405787037038</v>
      </c>
      <c r="B86" s="20" t="s">
        <v>527</v>
      </c>
      <c r="C86" s="20" t="s">
        <v>747</v>
      </c>
      <c r="D86" s="137">
        <v>2010000</v>
      </c>
      <c r="E86" s="20" t="s">
        <v>500</v>
      </c>
      <c r="F86" s="20" t="s">
        <v>501</v>
      </c>
      <c r="G86" s="8" t="str">
        <f t="shared" si="2"/>
        <v>MAELZER KURT</v>
      </c>
      <c r="H86" s="20" t="str">
        <f t="shared" si="3"/>
        <v>4043</v>
      </c>
    </row>
    <row r="87" spans="1:8" x14ac:dyDescent="0.3">
      <c r="A87" s="8">
        <v>43091.410821759258</v>
      </c>
      <c r="B87" s="20" t="s">
        <v>383</v>
      </c>
      <c r="C87" s="20" t="s">
        <v>748</v>
      </c>
      <c r="D87" s="137">
        <v>2440000</v>
      </c>
      <c r="E87" s="20" t="s">
        <v>452</v>
      </c>
      <c r="F87" s="20" t="s">
        <v>453</v>
      </c>
      <c r="G87" s="8" t="str">
        <f t="shared" si="2"/>
        <v>LOPES KIMBERLY</v>
      </c>
      <c r="H87" s="20" t="str">
        <f t="shared" si="3"/>
        <v>4062</v>
      </c>
    </row>
    <row r="88" spans="1:8" x14ac:dyDescent="0.3">
      <c r="A88" s="8">
        <v>43091.411550925928</v>
      </c>
      <c r="B88" s="20" t="s">
        <v>588</v>
      </c>
      <c r="C88" s="20" t="s">
        <v>749</v>
      </c>
      <c r="D88" s="137">
        <v>1230000</v>
      </c>
      <c r="E88" s="20" t="s">
        <v>695</v>
      </c>
      <c r="F88" s="20" t="s">
        <v>696</v>
      </c>
      <c r="G88" s="8" t="str">
        <f t="shared" si="2"/>
        <v>YANAI IAN</v>
      </c>
      <c r="H88" s="20" t="str">
        <f t="shared" si="3"/>
        <v>4039</v>
      </c>
    </row>
    <row r="89" spans="1:8" x14ac:dyDescent="0.3">
      <c r="A89" s="8">
        <v>43091.416875000003</v>
      </c>
      <c r="B89" s="20" t="s">
        <v>445</v>
      </c>
      <c r="C89" s="20" t="s">
        <v>750</v>
      </c>
      <c r="D89" s="137">
        <v>3810000</v>
      </c>
      <c r="E89" s="20" t="s">
        <v>751</v>
      </c>
      <c r="F89" s="20" t="s">
        <v>752</v>
      </c>
      <c r="G89" s="8" t="str">
        <f t="shared" si="2"/>
        <v>LORI SANTOS</v>
      </c>
      <c r="H89" s="20" t="str">
        <f t="shared" si="3"/>
        <v>4050</v>
      </c>
    </row>
    <row r="90" spans="1:8" x14ac:dyDescent="0.3">
      <c r="A90" s="8">
        <v>43091.420069444444</v>
      </c>
      <c r="B90" s="20" t="s">
        <v>487</v>
      </c>
      <c r="C90" s="20" t="s">
        <v>753</v>
      </c>
      <c r="D90" s="137">
        <v>2370000</v>
      </c>
      <c r="E90" s="20" t="s">
        <v>517</v>
      </c>
      <c r="F90" s="20" t="s">
        <v>518</v>
      </c>
      <c r="G90" s="8" t="str">
        <f t="shared" si="2"/>
        <v>DELGADO DIANAH</v>
      </c>
      <c r="H90" s="20" t="str">
        <f t="shared" si="3"/>
        <v>4016</v>
      </c>
    </row>
    <row r="91" spans="1:8" x14ac:dyDescent="0.3">
      <c r="A91" s="8">
        <v>43091.422002314815</v>
      </c>
      <c r="B91" s="20" t="s">
        <v>444</v>
      </c>
      <c r="C91" s="20" t="s">
        <v>750</v>
      </c>
      <c r="D91" s="137">
        <v>3810000</v>
      </c>
      <c r="E91" s="20" t="s">
        <v>751</v>
      </c>
      <c r="F91" s="20" t="s">
        <v>752</v>
      </c>
      <c r="G91" s="8" t="str">
        <f t="shared" si="2"/>
        <v>LORI SANTOS</v>
      </c>
      <c r="H91" s="20" t="str">
        <f t="shared" si="3"/>
        <v>4049</v>
      </c>
    </row>
    <row r="92" spans="1:8" x14ac:dyDescent="0.3">
      <c r="A92" s="8">
        <v>43091.42696759259</v>
      </c>
      <c r="B92" s="20" t="s">
        <v>445</v>
      </c>
      <c r="C92" s="20" t="s">
        <v>750</v>
      </c>
      <c r="D92" s="137">
        <v>3810000</v>
      </c>
      <c r="E92" s="20" t="s">
        <v>751</v>
      </c>
      <c r="F92" s="20" t="s">
        <v>752</v>
      </c>
      <c r="G92" s="8" t="str">
        <f t="shared" si="2"/>
        <v>LORI SANTOS</v>
      </c>
      <c r="H92" s="20" t="str">
        <f t="shared" si="3"/>
        <v>4050</v>
      </c>
    </row>
    <row r="93" spans="1:8" x14ac:dyDescent="0.3">
      <c r="A93" s="8">
        <v>43091.427430555559</v>
      </c>
      <c r="B93" s="20" t="s">
        <v>443</v>
      </c>
      <c r="C93" s="20" t="s">
        <v>754</v>
      </c>
      <c r="D93" s="137">
        <v>3040000</v>
      </c>
      <c r="E93" s="20" t="s">
        <v>368</v>
      </c>
      <c r="F93" s="20" t="s">
        <v>502</v>
      </c>
      <c r="G93" s="8" t="str">
        <f t="shared" si="2"/>
        <v>WILLIAMS DONTE</v>
      </c>
      <c r="H93" s="20" t="str">
        <f t="shared" si="3"/>
        <v>4010</v>
      </c>
    </row>
    <row r="94" spans="1:8" x14ac:dyDescent="0.3">
      <c r="A94" s="8">
        <v>43091.432037037041</v>
      </c>
      <c r="B94" s="20" t="s">
        <v>489</v>
      </c>
      <c r="C94" s="20" t="s">
        <v>755</v>
      </c>
      <c r="D94" s="137">
        <v>1100000</v>
      </c>
      <c r="E94" s="20" t="s">
        <v>513</v>
      </c>
      <c r="F94" s="20" t="s">
        <v>514</v>
      </c>
      <c r="G94" s="8" t="str">
        <f t="shared" si="2"/>
        <v>GEBRETEKLE DAGNEW</v>
      </c>
      <c r="H94" s="20" t="str">
        <f t="shared" si="3"/>
        <v>4005</v>
      </c>
    </row>
    <row r="95" spans="1:8" x14ac:dyDescent="0.3">
      <c r="A95" s="8">
        <v>43091.432430555556</v>
      </c>
      <c r="B95" s="20" t="s">
        <v>674</v>
      </c>
      <c r="C95" s="20" t="s">
        <v>756</v>
      </c>
      <c r="D95" s="137">
        <v>940000</v>
      </c>
      <c r="E95" s="20" t="s">
        <v>676</v>
      </c>
      <c r="F95" s="20" t="s">
        <v>677</v>
      </c>
      <c r="G95" s="8" t="str">
        <f t="shared" si="2"/>
        <v>BONDS REYNALDO</v>
      </c>
      <c r="H95" s="20" t="str">
        <f t="shared" si="3"/>
        <v>4019</v>
      </c>
    </row>
    <row r="96" spans="1:8" x14ac:dyDescent="0.3">
      <c r="A96" s="8">
        <v>43091.434652777774</v>
      </c>
      <c r="B96" s="20" t="s">
        <v>356</v>
      </c>
      <c r="C96" s="20" t="s">
        <v>757</v>
      </c>
      <c r="D96" s="137">
        <v>2560000</v>
      </c>
      <c r="E96" s="20" t="s">
        <v>687</v>
      </c>
      <c r="F96" s="20" t="s">
        <v>688</v>
      </c>
      <c r="G96" s="8" t="str">
        <f t="shared" si="2"/>
        <v>MACDONALD THOMAS</v>
      </c>
      <c r="H96" s="20" t="str">
        <f t="shared" si="3"/>
        <v>4008</v>
      </c>
    </row>
    <row r="97" spans="1:8" x14ac:dyDescent="0.3">
      <c r="A97" s="8">
        <v>43091.434861111113</v>
      </c>
      <c r="B97" s="20" t="s">
        <v>485</v>
      </c>
      <c r="C97" s="20" t="s">
        <v>753</v>
      </c>
      <c r="D97" s="137">
        <v>2370000</v>
      </c>
      <c r="E97" s="20" t="s">
        <v>517</v>
      </c>
      <c r="F97" s="20" t="s">
        <v>518</v>
      </c>
      <c r="G97" s="8" t="str">
        <f t="shared" si="2"/>
        <v>DELGADO DIANAH</v>
      </c>
      <c r="H97" s="20" t="str">
        <f t="shared" si="3"/>
        <v>4015</v>
      </c>
    </row>
    <row r="98" spans="1:8" x14ac:dyDescent="0.3">
      <c r="A98" s="8">
        <v>43091.435648148145</v>
      </c>
      <c r="B98" s="20" t="s">
        <v>485</v>
      </c>
      <c r="C98" s="20" t="s">
        <v>758</v>
      </c>
      <c r="D98" s="137">
        <v>2370000</v>
      </c>
      <c r="E98" s="20" t="s">
        <v>517</v>
      </c>
      <c r="F98" s="20" t="s">
        <v>518</v>
      </c>
      <c r="G98" s="8" t="str">
        <f t="shared" si="2"/>
        <v>DELGADO DIANAH</v>
      </c>
      <c r="H98" s="20" t="str">
        <f t="shared" si="3"/>
        <v>4015</v>
      </c>
    </row>
    <row r="99" spans="1:8" x14ac:dyDescent="0.3">
      <c r="A99" s="8">
        <v>43091.441736111112</v>
      </c>
      <c r="B99" s="20" t="s">
        <v>444</v>
      </c>
      <c r="C99" s="20" t="s">
        <v>750</v>
      </c>
      <c r="D99" s="137">
        <v>3810000</v>
      </c>
      <c r="E99" s="20" t="s">
        <v>751</v>
      </c>
      <c r="F99" s="20" t="s">
        <v>752</v>
      </c>
      <c r="G99" s="8" t="str">
        <f t="shared" si="2"/>
        <v>LORI SANTOS</v>
      </c>
      <c r="H99" s="20" t="str">
        <f t="shared" si="3"/>
        <v>4049</v>
      </c>
    </row>
    <row r="100" spans="1:8" x14ac:dyDescent="0.3">
      <c r="A100" s="8">
        <v>43091.442569444444</v>
      </c>
      <c r="B100" s="20" t="s">
        <v>444</v>
      </c>
      <c r="C100" s="20" t="s">
        <v>750</v>
      </c>
      <c r="D100" s="137">
        <v>3810000</v>
      </c>
      <c r="E100" s="20" t="s">
        <v>751</v>
      </c>
      <c r="F100" s="20" t="s">
        <v>752</v>
      </c>
      <c r="G100" s="8" t="str">
        <f t="shared" si="2"/>
        <v>LORI SANTOS</v>
      </c>
      <c r="H100" s="20" t="str">
        <f t="shared" si="3"/>
        <v>4049</v>
      </c>
    </row>
    <row r="101" spans="1:8" x14ac:dyDescent="0.3">
      <c r="A101" s="8">
        <v>43091.444803240738</v>
      </c>
      <c r="B101" s="20" t="s">
        <v>444</v>
      </c>
      <c r="C101" s="20" t="s">
        <v>750</v>
      </c>
      <c r="D101" s="137">
        <v>3810000</v>
      </c>
      <c r="E101" s="20" t="s">
        <v>751</v>
      </c>
      <c r="F101" s="20" t="s">
        <v>752</v>
      </c>
      <c r="G101" s="8" t="str">
        <f t="shared" si="2"/>
        <v>LORI SANTOS</v>
      </c>
      <c r="H101" s="20" t="str">
        <f t="shared" si="3"/>
        <v>4049</v>
      </c>
    </row>
    <row r="102" spans="1:8" x14ac:dyDescent="0.3">
      <c r="A102" s="8">
        <v>43091.445104166669</v>
      </c>
      <c r="B102" s="20" t="s">
        <v>526</v>
      </c>
      <c r="C102" s="20" t="s">
        <v>759</v>
      </c>
      <c r="D102" s="137">
        <v>2550000</v>
      </c>
      <c r="E102" s="20" t="s">
        <v>503</v>
      </c>
      <c r="F102" s="20" t="s">
        <v>504</v>
      </c>
      <c r="G102" s="8" t="str">
        <f t="shared" si="2"/>
        <v>BADERTSCHER DIANE</v>
      </c>
      <c r="H102" s="20" t="str">
        <f t="shared" si="3"/>
        <v>4044</v>
      </c>
    </row>
    <row r="103" spans="1:8" x14ac:dyDescent="0.3">
      <c r="A103" s="8">
        <v>43091.445613425924</v>
      </c>
      <c r="B103" s="20" t="s">
        <v>385</v>
      </c>
      <c r="C103" s="20" t="s">
        <v>760</v>
      </c>
      <c r="D103" s="137">
        <v>2440000</v>
      </c>
      <c r="E103" s="20" t="s">
        <v>452</v>
      </c>
      <c r="F103" s="20" t="s">
        <v>453</v>
      </c>
      <c r="G103" s="8" t="str">
        <f t="shared" si="2"/>
        <v>LOPES KIMBERLY</v>
      </c>
      <c r="H103" s="20" t="str">
        <f t="shared" si="3"/>
        <v>4061</v>
      </c>
    </row>
    <row r="104" spans="1:8" x14ac:dyDescent="0.3">
      <c r="A104" s="8">
        <v>43091.450115740743</v>
      </c>
      <c r="B104" s="20" t="s">
        <v>445</v>
      </c>
      <c r="C104" s="20" t="s">
        <v>750</v>
      </c>
      <c r="D104" s="137">
        <v>3810000</v>
      </c>
      <c r="E104" s="20" t="s">
        <v>751</v>
      </c>
      <c r="F104" s="20" t="s">
        <v>752</v>
      </c>
      <c r="G104" s="8" t="str">
        <f t="shared" si="2"/>
        <v>LORI SANTOS</v>
      </c>
      <c r="H104" s="20" t="str">
        <f t="shared" si="3"/>
        <v>4050</v>
      </c>
    </row>
    <row r="105" spans="1:8" x14ac:dyDescent="0.3">
      <c r="A105" s="8">
        <v>43091.451458333337</v>
      </c>
      <c r="B105" s="20" t="s">
        <v>445</v>
      </c>
      <c r="C105" s="20" t="s">
        <v>750</v>
      </c>
      <c r="D105" s="137">
        <v>3810000</v>
      </c>
      <c r="E105" s="20" t="s">
        <v>751</v>
      </c>
      <c r="F105" s="20" t="s">
        <v>752</v>
      </c>
      <c r="G105" s="8" t="str">
        <f t="shared" si="2"/>
        <v>LORI SANTOS</v>
      </c>
      <c r="H105" s="20" t="str">
        <f t="shared" si="3"/>
        <v>4050</v>
      </c>
    </row>
    <row r="106" spans="1:8" x14ac:dyDescent="0.3">
      <c r="A106" s="8">
        <v>43091.452384259261</v>
      </c>
      <c r="B106" s="20" t="s">
        <v>587</v>
      </c>
      <c r="C106" s="20" t="s">
        <v>761</v>
      </c>
      <c r="D106" s="137">
        <v>1230000</v>
      </c>
      <c r="E106" s="20" t="s">
        <v>695</v>
      </c>
      <c r="F106" s="20" t="s">
        <v>696</v>
      </c>
      <c r="G106" s="8" t="str">
        <f t="shared" si="2"/>
        <v>YANAI IAN</v>
      </c>
      <c r="H106" s="20" t="str">
        <f t="shared" si="3"/>
        <v>4040</v>
      </c>
    </row>
    <row r="107" spans="1:8" x14ac:dyDescent="0.3">
      <c r="A107" s="8">
        <v>43091.454409722224</v>
      </c>
      <c r="B107" s="20" t="s">
        <v>445</v>
      </c>
      <c r="C107" s="20" t="s">
        <v>750</v>
      </c>
      <c r="D107" s="137">
        <v>3810000</v>
      </c>
      <c r="E107" s="20" t="s">
        <v>751</v>
      </c>
      <c r="F107" s="20" t="s">
        <v>752</v>
      </c>
      <c r="G107" s="8" t="str">
        <f t="shared" si="2"/>
        <v>LORI SANTOS</v>
      </c>
      <c r="H107" s="20" t="str">
        <f t="shared" si="3"/>
        <v>4050</v>
      </c>
    </row>
    <row r="108" spans="1:8" x14ac:dyDescent="0.3">
      <c r="A108" s="8">
        <v>43091.462962962964</v>
      </c>
      <c r="B108" s="20" t="s">
        <v>487</v>
      </c>
      <c r="C108" s="20" t="s">
        <v>762</v>
      </c>
      <c r="D108" s="137">
        <v>2370000</v>
      </c>
      <c r="E108" s="20" t="s">
        <v>517</v>
      </c>
      <c r="F108" s="20" t="s">
        <v>518</v>
      </c>
      <c r="G108" s="8" t="str">
        <f t="shared" si="2"/>
        <v>DELGADO DIANAH</v>
      </c>
      <c r="H108" s="20" t="str">
        <f t="shared" si="3"/>
        <v>4016</v>
      </c>
    </row>
    <row r="109" spans="1:8" x14ac:dyDescent="0.3">
      <c r="A109" s="8">
        <v>43091.463449074072</v>
      </c>
      <c r="B109" s="20" t="s">
        <v>512</v>
      </c>
      <c r="C109" s="20" t="s">
        <v>763</v>
      </c>
      <c r="D109" s="137">
        <v>3040000</v>
      </c>
      <c r="E109" s="20" t="s">
        <v>368</v>
      </c>
      <c r="F109" s="20" t="s">
        <v>502</v>
      </c>
      <c r="G109" s="8" t="str">
        <f t="shared" si="2"/>
        <v>WILLIAMS DONTE</v>
      </c>
      <c r="H109" s="20" t="str">
        <f t="shared" si="3"/>
        <v>4009</v>
      </c>
    </row>
    <row r="110" spans="1:8" x14ac:dyDescent="0.3">
      <c r="A110" s="8">
        <v>43091.463622685187</v>
      </c>
      <c r="B110" s="20" t="s">
        <v>361</v>
      </c>
      <c r="C110" s="20" t="s">
        <v>764</v>
      </c>
      <c r="D110" s="137">
        <v>2560000</v>
      </c>
      <c r="E110" s="20" t="s">
        <v>687</v>
      </c>
      <c r="F110" s="20" t="s">
        <v>688</v>
      </c>
      <c r="G110" s="8" t="str">
        <f t="shared" si="2"/>
        <v>MACDONALD THOMAS</v>
      </c>
      <c r="H110" s="20" t="str">
        <f t="shared" si="3"/>
        <v>4007</v>
      </c>
    </row>
    <row r="111" spans="1:8" x14ac:dyDescent="0.3">
      <c r="A111" s="8">
        <v>43091.466678240744</v>
      </c>
      <c r="B111" s="20" t="s">
        <v>680</v>
      </c>
      <c r="C111" s="20" t="s">
        <v>765</v>
      </c>
      <c r="D111" s="137">
        <v>2630000</v>
      </c>
      <c r="E111" s="20" t="s">
        <v>372</v>
      </c>
      <c r="F111" s="20" t="s">
        <v>373</v>
      </c>
      <c r="G111" s="8" t="str">
        <f t="shared" si="2"/>
        <v>SAFIEF AEIMEN</v>
      </c>
      <c r="H111" s="20" t="str">
        <f t="shared" si="3"/>
        <v>4020</v>
      </c>
    </row>
    <row r="112" spans="1:8" x14ac:dyDescent="0.3">
      <c r="A112" s="8">
        <v>43091.467581018522</v>
      </c>
      <c r="B112" s="20" t="s">
        <v>445</v>
      </c>
      <c r="C112" s="20" t="s">
        <v>766</v>
      </c>
      <c r="D112" s="137">
        <v>3840000</v>
      </c>
      <c r="E112" s="20" t="s">
        <v>767</v>
      </c>
      <c r="F112" s="20" t="s">
        <v>768</v>
      </c>
      <c r="G112" s="8" t="str">
        <f t="shared" si="2"/>
        <v>LONG FULLER</v>
      </c>
      <c r="H112" s="20" t="str">
        <f t="shared" si="3"/>
        <v>4050</v>
      </c>
    </row>
    <row r="113" spans="1:8" x14ac:dyDescent="0.3">
      <c r="A113" s="8">
        <v>43091.473067129627</v>
      </c>
      <c r="B113" s="20" t="s">
        <v>444</v>
      </c>
      <c r="C113" s="20" t="s">
        <v>766</v>
      </c>
      <c r="D113" s="137">
        <v>3840000</v>
      </c>
      <c r="E113" s="20" t="s">
        <v>767</v>
      </c>
      <c r="F113" s="20" t="s">
        <v>768</v>
      </c>
      <c r="G113" s="8" t="str">
        <f t="shared" si="2"/>
        <v>LONG FULLER</v>
      </c>
      <c r="H113" s="20" t="str">
        <f t="shared" si="3"/>
        <v>4049</v>
      </c>
    </row>
    <row r="114" spans="1:8" x14ac:dyDescent="0.3">
      <c r="A114" s="8">
        <v>43091.474826388891</v>
      </c>
      <c r="B114" s="20" t="s">
        <v>486</v>
      </c>
      <c r="C114" s="20" t="s">
        <v>769</v>
      </c>
      <c r="D114" s="137">
        <v>1810000</v>
      </c>
      <c r="E114" s="20" t="s">
        <v>770</v>
      </c>
      <c r="F114" s="20" t="s">
        <v>395</v>
      </c>
      <c r="G114" s="8" t="str">
        <f t="shared" si="2"/>
        <v>NEWELL JAMES</v>
      </c>
      <c r="H114" s="20" t="str">
        <f t="shared" si="3"/>
        <v>4006</v>
      </c>
    </row>
    <row r="115" spans="1:8" x14ac:dyDescent="0.3">
      <c r="A115" s="8">
        <v>43091.47792824074</v>
      </c>
      <c r="B115" s="20" t="s">
        <v>445</v>
      </c>
      <c r="C115" s="20" t="s">
        <v>766</v>
      </c>
      <c r="D115" s="137">
        <v>3840000</v>
      </c>
      <c r="E115" s="20" t="s">
        <v>767</v>
      </c>
      <c r="F115" s="20" t="s">
        <v>768</v>
      </c>
      <c r="G115" s="8" t="str">
        <f t="shared" si="2"/>
        <v>LONG FULLER</v>
      </c>
      <c r="H115" s="20" t="str">
        <f t="shared" si="3"/>
        <v>4050</v>
      </c>
    </row>
    <row r="116" spans="1:8" x14ac:dyDescent="0.3">
      <c r="A116" s="8">
        <v>43091.47892361111</v>
      </c>
      <c r="B116" s="20" t="s">
        <v>485</v>
      </c>
      <c r="C116" s="20" t="s">
        <v>771</v>
      </c>
      <c r="D116" s="137">
        <v>2370000</v>
      </c>
      <c r="E116" s="20" t="s">
        <v>517</v>
      </c>
      <c r="F116" s="20" t="s">
        <v>518</v>
      </c>
      <c r="G116" s="8" t="str">
        <f t="shared" si="2"/>
        <v>DELGADO DIANAH</v>
      </c>
      <c r="H116" s="20" t="str">
        <f t="shared" si="3"/>
        <v>4015</v>
      </c>
    </row>
    <row r="117" spans="1:8" x14ac:dyDescent="0.3">
      <c r="A117" s="8">
        <v>43091.482824074075</v>
      </c>
      <c r="B117" s="20" t="s">
        <v>527</v>
      </c>
      <c r="C117" s="20" t="s">
        <v>772</v>
      </c>
      <c r="D117" s="137">
        <v>2550000</v>
      </c>
      <c r="E117" s="20" t="s">
        <v>503</v>
      </c>
      <c r="F117" s="20" t="s">
        <v>504</v>
      </c>
      <c r="G117" s="8" t="str">
        <f t="shared" si="2"/>
        <v>BADERTSCHER DIANE</v>
      </c>
      <c r="H117" s="20" t="str">
        <f t="shared" si="3"/>
        <v>4043</v>
      </c>
    </row>
    <row r="118" spans="1:8" x14ac:dyDescent="0.3">
      <c r="A118" s="8">
        <v>43091.485358796293</v>
      </c>
      <c r="B118" s="20" t="s">
        <v>588</v>
      </c>
      <c r="C118" s="20" t="s">
        <v>773</v>
      </c>
      <c r="D118" s="137">
        <v>1230000</v>
      </c>
      <c r="E118" s="20" t="s">
        <v>695</v>
      </c>
      <c r="F118" s="20" t="s">
        <v>696</v>
      </c>
      <c r="G118" s="8" t="str">
        <f t="shared" si="2"/>
        <v>YANAI IAN</v>
      </c>
      <c r="H118" s="20" t="str">
        <f t="shared" si="3"/>
        <v>4039</v>
      </c>
    </row>
    <row r="119" spans="1:8" x14ac:dyDescent="0.3">
      <c r="A119" s="8">
        <v>43091.48605324074</v>
      </c>
      <c r="B119" s="20" t="s">
        <v>383</v>
      </c>
      <c r="C119" s="20" t="s">
        <v>774</v>
      </c>
      <c r="D119" s="137">
        <v>1180000</v>
      </c>
      <c r="E119" s="20" t="s">
        <v>775</v>
      </c>
      <c r="F119" s="20" t="s">
        <v>776</v>
      </c>
      <c r="G119" s="8" t="str">
        <f t="shared" si="2"/>
        <v>LEVERE CRAIG</v>
      </c>
      <c r="H119" s="20" t="str">
        <f t="shared" si="3"/>
        <v>4062</v>
      </c>
    </row>
    <row r="120" spans="1:8" x14ac:dyDescent="0.3">
      <c r="A120" s="8">
        <v>43091.496099537035</v>
      </c>
      <c r="B120" s="20" t="s">
        <v>443</v>
      </c>
      <c r="C120" s="20" t="s">
        <v>777</v>
      </c>
      <c r="D120" s="137">
        <v>3000000</v>
      </c>
      <c r="E120" s="20" t="s">
        <v>470</v>
      </c>
      <c r="F120" s="20" t="s">
        <v>471</v>
      </c>
      <c r="G120" s="8" t="str">
        <f t="shared" si="2"/>
        <v>FORTUNATO FRANK</v>
      </c>
      <c r="H120" s="20" t="str">
        <f t="shared" si="3"/>
        <v>4010</v>
      </c>
    </row>
    <row r="121" spans="1:8" x14ac:dyDescent="0.3">
      <c r="A121" s="8">
        <v>43091.498449074075</v>
      </c>
      <c r="B121" s="20" t="s">
        <v>674</v>
      </c>
      <c r="C121" s="20" t="s">
        <v>778</v>
      </c>
      <c r="D121" s="137">
        <v>2630000</v>
      </c>
      <c r="E121" s="20" t="s">
        <v>372</v>
      </c>
      <c r="F121" s="20" t="s">
        <v>373</v>
      </c>
      <c r="G121" s="8" t="str">
        <f t="shared" si="2"/>
        <v>SAFIEF AEIMEN</v>
      </c>
      <c r="H121" s="20" t="str">
        <f t="shared" si="3"/>
        <v>4019</v>
      </c>
    </row>
    <row r="122" spans="1:8" x14ac:dyDescent="0.3">
      <c r="A122" s="8">
        <v>43091.504606481481</v>
      </c>
      <c r="B122" s="25" t="s">
        <v>487</v>
      </c>
      <c r="C122" s="20" t="s">
        <v>779</v>
      </c>
      <c r="D122" s="137">
        <v>2370000</v>
      </c>
      <c r="E122" s="20" t="s">
        <v>517</v>
      </c>
      <c r="F122" s="20" t="s">
        <v>518</v>
      </c>
      <c r="G122" s="8" t="str">
        <f t="shared" si="2"/>
        <v>DELGADO DIANAH</v>
      </c>
      <c r="H122" s="20" t="str">
        <f t="shared" si="3"/>
        <v>4016</v>
      </c>
    </row>
    <row r="123" spans="1:8" x14ac:dyDescent="0.3">
      <c r="A123" s="8">
        <v>43091.506099537037</v>
      </c>
      <c r="B123" s="20" t="s">
        <v>489</v>
      </c>
      <c r="C123" s="20" t="s">
        <v>780</v>
      </c>
      <c r="D123" s="137">
        <v>1810000</v>
      </c>
      <c r="E123" s="20" t="s">
        <v>770</v>
      </c>
      <c r="F123" s="20" t="s">
        <v>395</v>
      </c>
      <c r="G123" s="8" t="str">
        <f t="shared" si="2"/>
        <v>NEWELL JAMES</v>
      </c>
      <c r="H123" s="20" t="str">
        <f t="shared" si="3"/>
        <v>4005</v>
      </c>
    </row>
    <row r="124" spans="1:8" x14ac:dyDescent="0.3">
      <c r="A124" s="8">
        <v>43091.506423611114</v>
      </c>
      <c r="B124" s="20" t="s">
        <v>356</v>
      </c>
      <c r="C124" s="20" t="s">
        <v>781</v>
      </c>
      <c r="D124" s="137">
        <v>1300000</v>
      </c>
      <c r="E124" s="20" t="s">
        <v>358</v>
      </c>
      <c r="F124" s="20" t="s">
        <v>359</v>
      </c>
      <c r="G124" s="8" t="str">
        <f t="shared" si="2"/>
        <v>LEVIN SCOTT</v>
      </c>
      <c r="H124" s="20" t="str">
        <f t="shared" si="3"/>
        <v>4008</v>
      </c>
    </row>
    <row r="125" spans="1:8" x14ac:dyDescent="0.3">
      <c r="A125" s="8">
        <v>43091.518101851849</v>
      </c>
      <c r="B125" s="20" t="s">
        <v>526</v>
      </c>
      <c r="C125" s="20" t="s">
        <v>782</v>
      </c>
      <c r="D125" s="137">
        <v>2550000</v>
      </c>
      <c r="E125" s="20" t="s">
        <v>503</v>
      </c>
      <c r="F125" s="20" t="s">
        <v>504</v>
      </c>
      <c r="G125" s="8" t="str">
        <f t="shared" si="2"/>
        <v>BADERTSCHER DIANE</v>
      </c>
      <c r="H125" s="20" t="str">
        <f t="shared" si="3"/>
        <v>4044</v>
      </c>
    </row>
    <row r="126" spans="1:8" x14ac:dyDescent="0.3">
      <c r="A126" s="8">
        <v>43091.518136574072</v>
      </c>
      <c r="B126" s="20" t="s">
        <v>485</v>
      </c>
      <c r="C126" s="20" t="s">
        <v>783</v>
      </c>
      <c r="D126" s="137">
        <v>2370000</v>
      </c>
      <c r="E126" s="20" t="s">
        <v>517</v>
      </c>
      <c r="F126" s="20" t="s">
        <v>518</v>
      </c>
      <c r="G126" s="8" t="str">
        <f t="shared" si="2"/>
        <v>DELGADO DIANAH</v>
      </c>
      <c r="H126" s="20" t="str">
        <f t="shared" si="3"/>
        <v>4015</v>
      </c>
    </row>
    <row r="127" spans="1:8" x14ac:dyDescent="0.3">
      <c r="A127" s="8">
        <v>43091.523773148147</v>
      </c>
      <c r="B127" s="20" t="s">
        <v>385</v>
      </c>
      <c r="C127" s="20" t="s">
        <v>784</v>
      </c>
      <c r="D127" s="137">
        <v>1180000</v>
      </c>
      <c r="E127" s="20" t="s">
        <v>775</v>
      </c>
      <c r="F127" s="20" t="s">
        <v>776</v>
      </c>
      <c r="G127" s="8" t="str">
        <f t="shared" si="2"/>
        <v>LEVERE CRAIG</v>
      </c>
      <c r="H127" s="20" t="str">
        <f t="shared" si="3"/>
        <v>4061</v>
      </c>
    </row>
    <row r="128" spans="1:8" x14ac:dyDescent="0.3">
      <c r="A128" s="8">
        <v>43091.527361111112</v>
      </c>
      <c r="B128" s="20" t="s">
        <v>587</v>
      </c>
      <c r="C128" s="20" t="s">
        <v>785</v>
      </c>
      <c r="D128" s="137">
        <v>2420000</v>
      </c>
      <c r="E128" s="20" t="s">
        <v>515</v>
      </c>
      <c r="F128" s="20" t="s">
        <v>516</v>
      </c>
      <c r="G128" s="8" t="str">
        <f t="shared" si="2"/>
        <v>HOLCOMB KAMDEN</v>
      </c>
      <c r="H128" s="20" t="str">
        <f t="shared" si="3"/>
        <v>4040</v>
      </c>
    </row>
    <row r="129" spans="1:8" x14ac:dyDescent="0.3">
      <c r="A129" s="8">
        <v>43091.53701388889</v>
      </c>
      <c r="B129" s="20" t="s">
        <v>512</v>
      </c>
      <c r="C129" s="20" t="s">
        <v>786</v>
      </c>
      <c r="D129" s="137">
        <v>3000000</v>
      </c>
      <c r="E129" s="20" t="s">
        <v>470</v>
      </c>
      <c r="F129" s="20" t="s">
        <v>471</v>
      </c>
      <c r="G129" s="8" t="str">
        <f t="shared" si="2"/>
        <v>FORTUNATO FRANK</v>
      </c>
      <c r="H129" s="20" t="str">
        <f t="shared" si="3"/>
        <v>4009</v>
      </c>
    </row>
    <row r="130" spans="1:8" x14ac:dyDescent="0.3">
      <c r="A130" s="8">
        <v>43091.538090277776</v>
      </c>
      <c r="B130" s="20" t="s">
        <v>680</v>
      </c>
      <c r="C130" s="20" t="s">
        <v>787</v>
      </c>
      <c r="D130" s="137">
        <v>2630000</v>
      </c>
      <c r="E130" s="20" t="s">
        <v>372</v>
      </c>
      <c r="F130" s="20" t="s">
        <v>373</v>
      </c>
      <c r="G130" s="8" t="str">
        <f t="shared" si="2"/>
        <v>SAFIEF AEIMEN</v>
      </c>
      <c r="H130" s="20" t="str">
        <f t="shared" si="3"/>
        <v>4020</v>
      </c>
    </row>
    <row r="131" spans="1:8" x14ac:dyDescent="0.3">
      <c r="A131" s="8">
        <v>43091.539409722223</v>
      </c>
      <c r="B131" s="20" t="s">
        <v>361</v>
      </c>
      <c r="C131" s="20" t="s">
        <v>658</v>
      </c>
      <c r="D131" s="137">
        <v>1300000</v>
      </c>
      <c r="E131" s="20" t="s">
        <v>358</v>
      </c>
      <c r="F131" s="20" t="s">
        <v>359</v>
      </c>
      <c r="G131" s="8" t="str">
        <f t="shared" ref="G131:G194" si="4">E131&amp;" "&amp;F131</f>
        <v>LEVIN SCOTT</v>
      </c>
      <c r="H131" s="20" t="str">
        <f t="shared" ref="H131:H194" si="5">MID(B131,13,4)</f>
        <v>4007</v>
      </c>
    </row>
    <row r="132" spans="1:8" x14ac:dyDescent="0.3">
      <c r="A132" s="8">
        <v>43091.544594907406</v>
      </c>
      <c r="B132" s="20" t="s">
        <v>487</v>
      </c>
      <c r="C132" s="20" t="s">
        <v>788</v>
      </c>
      <c r="D132" s="137">
        <v>3490000</v>
      </c>
      <c r="E132" s="20" t="s">
        <v>665</v>
      </c>
      <c r="F132" s="20" t="s">
        <v>666</v>
      </c>
      <c r="G132" s="8" t="str">
        <f t="shared" si="4"/>
        <v>WEST BRYAN</v>
      </c>
      <c r="H132" s="20" t="str">
        <f t="shared" si="5"/>
        <v>4016</v>
      </c>
    </row>
    <row r="133" spans="1:8" x14ac:dyDescent="0.3">
      <c r="A133" s="8">
        <v>43091.548935185187</v>
      </c>
      <c r="B133" s="20" t="s">
        <v>486</v>
      </c>
      <c r="C133" s="20" t="s">
        <v>789</v>
      </c>
      <c r="D133" s="137">
        <v>2040000</v>
      </c>
      <c r="E133" s="20" t="s">
        <v>396</v>
      </c>
      <c r="F133" s="20" t="s">
        <v>397</v>
      </c>
      <c r="G133" s="8" t="str">
        <f t="shared" si="4"/>
        <v>MOSES BRADLEY</v>
      </c>
      <c r="H133" s="20" t="str">
        <f t="shared" si="5"/>
        <v>4006</v>
      </c>
    </row>
    <row r="134" spans="1:8" x14ac:dyDescent="0.3">
      <c r="A134" s="8">
        <v>43091.556469907409</v>
      </c>
      <c r="B134" s="20" t="s">
        <v>527</v>
      </c>
      <c r="C134" s="20" t="s">
        <v>790</v>
      </c>
      <c r="D134" s="137">
        <v>2550000</v>
      </c>
      <c r="E134" s="20" t="s">
        <v>503</v>
      </c>
      <c r="F134" s="20" t="s">
        <v>504</v>
      </c>
      <c r="G134" s="8" t="str">
        <f t="shared" si="4"/>
        <v>BADERTSCHER DIANE</v>
      </c>
      <c r="H134" s="20" t="str">
        <f t="shared" si="5"/>
        <v>4043</v>
      </c>
    </row>
    <row r="135" spans="1:8" x14ac:dyDescent="0.3">
      <c r="A135" s="8">
        <v>43091.556539351855</v>
      </c>
      <c r="B135" s="20" t="s">
        <v>445</v>
      </c>
      <c r="C135" s="20" t="s">
        <v>766</v>
      </c>
      <c r="D135" s="137">
        <v>3840000</v>
      </c>
      <c r="E135" s="20" t="s">
        <v>767</v>
      </c>
      <c r="F135" s="20" t="s">
        <v>768</v>
      </c>
      <c r="G135" s="8" t="str">
        <f t="shared" si="4"/>
        <v>LONG FULLER</v>
      </c>
      <c r="H135" s="20" t="str">
        <f t="shared" si="5"/>
        <v>4050</v>
      </c>
    </row>
    <row r="136" spans="1:8" x14ac:dyDescent="0.3">
      <c r="A136" s="8">
        <v>43091.557835648149</v>
      </c>
      <c r="B136" s="20" t="s">
        <v>383</v>
      </c>
      <c r="C136" s="20" t="s">
        <v>791</v>
      </c>
      <c r="D136" s="137">
        <v>1180000</v>
      </c>
      <c r="E136" s="20" t="s">
        <v>775</v>
      </c>
      <c r="F136" s="20" t="s">
        <v>776</v>
      </c>
      <c r="G136" s="8" t="str">
        <f t="shared" si="4"/>
        <v>LEVERE CRAIG</v>
      </c>
      <c r="H136" s="20" t="str">
        <f t="shared" si="5"/>
        <v>4062</v>
      </c>
    </row>
    <row r="137" spans="1:8" x14ac:dyDescent="0.3">
      <c r="A137" s="8">
        <v>43091.561249999999</v>
      </c>
      <c r="B137" s="20" t="s">
        <v>485</v>
      </c>
      <c r="C137" s="20" t="s">
        <v>792</v>
      </c>
      <c r="D137" s="137">
        <v>3490000</v>
      </c>
      <c r="E137" s="20" t="s">
        <v>665</v>
      </c>
      <c r="F137" s="20" t="s">
        <v>666</v>
      </c>
      <c r="G137" s="8" t="str">
        <f t="shared" si="4"/>
        <v>WEST BRYAN</v>
      </c>
      <c r="H137" s="20" t="str">
        <f t="shared" si="5"/>
        <v>4015</v>
      </c>
    </row>
    <row r="138" spans="1:8" x14ac:dyDescent="0.3">
      <c r="A138" s="8">
        <v>43091.563287037039</v>
      </c>
      <c r="B138" s="20" t="s">
        <v>445</v>
      </c>
      <c r="C138" s="20" t="s">
        <v>766</v>
      </c>
      <c r="D138" s="137">
        <v>3840000</v>
      </c>
      <c r="E138" s="20" t="s">
        <v>767</v>
      </c>
      <c r="F138" s="20" t="s">
        <v>768</v>
      </c>
      <c r="G138" s="8" t="str">
        <f t="shared" si="4"/>
        <v>LONG FULLER</v>
      </c>
      <c r="H138" s="20" t="str">
        <f t="shared" si="5"/>
        <v>4050</v>
      </c>
    </row>
    <row r="139" spans="1:8" x14ac:dyDescent="0.3">
      <c r="A139" s="8">
        <v>43091.565925925926</v>
      </c>
      <c r="B139" s="20" t="s">
        <v>588</v>
      </c>
      <c r="C139" s="20" t="s">
        <v>793</v>
      </c>
      <c r="D139" s="137">
        <v>2420000</v>
      </c>
      <c r="E139" s="20" t="s">
        <v>515</v>
      </c>
      <c r="F139" s="20" t="s">
        <v>516</v>
      </c>
      <c r="G139" s="8" t="str">
        <f t="shared" si="4"/>
        <v>HOLCOMB KAMDEN</v>
      </c>
      <c r="H139" s="20" t="str">
        <f t="shared" si="5"/>
        <v>4039</v>
      </c>
    </row>
    <row r="140" spans="1:8" x14ac:dyDescent="0.3">
      <c r="A140" s="8">
        <v>43091.568715277775</v>
      </c>
      <c r="B140" s="20" t="s">
        <v>444</v>
      </c>
      <c r="C140" s="20" t="s">
        <v>766</v>
      </c>
      <c r="D140" s="137">
        <v>3840000</v>
      </c>
      <c r="E140" s="20" t="s">
        <v>767</v>
      </c>
      <c r="F140" s="20" t="s">
        <v>768</v>
      </c>
      <c r="G140" s="8" t="str">
        <f t="shared" si="4"/>
        <v>LONG FULLER</v>
      </c>
      <c r="H140" s="20" t="str">
        <f t="shared" si="5"/>
        <v>4049</v>
      </c>
    </row>
    <row r="141" spans="1:8" x14ac:dyDescent="0.3">
      <c r="A141" s="8">
        <v>43091.569004629629</v>
      </c>
      <c r="B141" s="20" t="s">
        <v>443</v>
      </c>
      <c r="C141" s="20" t="s">
        <v>794</v>
      </c>
      <c r="D141" s="137">
        <v>3000000</v>
      </c>
      <c r="E141" s="20" t="s">
        <v>470</v>
      </c>
      <c r="F141" s="20" t="s">
        <v>471</v>
      </c>
      <c r="G141" s="8" t="str">
        <f t="shared" si="4"/>
        <v>FORTUNATO FRANK</v>
      </c>
      <c r="H141" s="20" t="str">
        <f t="shared" si="5"/>
        <v>4010</v>
      </c>
    </row>
    <row r="142" spans="1:8" x14ac:dyDescent="0.3">
      <c r="A142" s="8">
        <v>43091.569872685184</v>
      </c>
      <c r="B142" s="20" t="s">
        <v>444</v>
      </c>
      <c r="C142" s="20" t="s">
        <v>766</v>
      </c>
      <c r="D142" s="137">
        <v>3840000</v>
      </c>
      <c r="E142" s="20" t="s">
        <v>767</v>
      </c>
      <c r="F142" s="20" t="s">
        <v>768</v>
      </c>
      <c r="G142" s="8" t="str">
        <f t="shared" si="4"/>
        <v>LONG FULLER</v>
      </c>
      <c r="H142" s="20" t="str">
        <f t="shared" si="5"/>
        <v>4049</v>
      </c>
    </row>
    <row r="143" spans="1:8" x14ac:dyDescent="0.3">
      <c r="A143" s="8">
        <v>43091.570752314816</v>
      </c>
      <c r="B143" s="20" t="s">
        <v>674</v>
      </c>
      <c r="C143" s="20" t="s">
        <v>795</v>
      </c>
      <c r="D143" s="137">
        <v>2630000</v>
      </c>
      <c r="E143" s="20" t="s">
        <v>372</v>
      </c>
      <c r="F143" s="20" t="s">
        <v>373</v>
      </c>
      <c r="G143" s="8" t="str">
        <f t="shared" si="4"/>
        <v>SAFIEF AEIMEN</v>
      </c>
      <c r="H143" s="20" t="str">
        <f t="shared" si="5"/>
        <v>4019</v>
      </c>
    </row>
    <row r="144" spans="1:8" x14ac:dyDescent="0.3">
      <c r="A144" s="8">
        <v>43091.572488425925</v>
      </c>
      <c r="B144" s="20" t="s">
        <v>444</v>
      </c>
      <c r="C144" s="20" t="s">
        <v>766</v>
      </c>
      <c r="D144" s="137">
        <v>3840000</v>
      </c>
      <c r="E144" s="20" t="s">
        <v>767</v>
      </c>
      <c r="F144" s="20" t="s">
        <v>768</v>
      </c>
      <c r="G144" s="8" t="str">
        <f t="shared" si="4"/>
        <v>LONG FULLER</v>
      </c>
      <c r="H144" s="20" t="str">
        <f t="shared" si="5"/>
        <v>4049</v>
      </c>
    </row>
    <row r="145" spans="1:8" x14ac:dyDescent="0.3">
      <c r="A145" s="8">
        <v>43091.577164351853</v>
      </c>
      <c r="B145" s="20" t="s">
        <v>445</v>
      </c>
      <c r="C145" s="20" t="s">
        <v>766</v>
      </c>
      <c r="D145" s="137">
        <v>3840000</v>
      </c>
      <c r="E145" s="20" t="s">
        <v>767</v>
      </c>
      <c r="F145" s="20" t="s">
        <v>768</v>
      </c>
      <c r="G145" s="8" t="str">
        <f t="shared" si="4"/>
        <v>LONG FULLER</v>
      </c>
      <c r="H145" s="20" t="str">
        <f t="shared" si="5"/>
        <v>4050</v>
      </c>
    </row>
    <row r="146" spans="1:8" x14ac:dyDescent="0.3">
      <c r="A146" s="8">
        <v>43091.578414351854</v>
      </c>
      <c r="B146" s="20" t="s">
        <v>445</v>
      </c>
      <c r="C146" s="20" t="s">
        <v>766</v>
      </c>
      <c r="D146" s="137">
        <v>3840000</v>
      </c>
      <c r="E146" s="20" t="s">
        <v>767</v>
      </c>
      <c r="F146" s="20" t="s">
        <v>768</v>
      </c>
      <c r="G146" s="8" t="str">
        <f t="shared" si="4"/>
        <v>LONG FULLER</v>
      </c>
      <c r="H146" s="20" t="str">
        <f t="shared" si="5"/>
        <v>4050</v>
      </c>
    </row>
    <row r="147" spans="1:8" x14ac:dyDescent="0.3">
      <c r="A147" s="8">
        <v>43091.578842592593</v>
      </c>
      <c r="B147" s="20" t="s">
        <v>489</v>
      </c>
      <c r="C147" s="20" t="s">
        <v>659</v>
      </c>
      <c r="D147" s="137">
        <v>2040000</v>
      </c>
      <c r="E147" s="20" t="s">
        <v>396</v>
      </c>
      <c r="F147" s="20" t="s">
        <v>397</v>
      </c>
      <c r="G147" s="8" t="str">
        <f t="shared" si="4"/>
        <v>MOSES BRADLEY</v>
      </c>
      <c r="H147" s="20" t="str">
        <f t="shared" si="5"/>
        <v>4005</v>
      </c>
    </row>
    <row r="148" spans="1:8" x14ac:dyDescent="0.3">
      <c r="A148" s="8">
        <v>43091.581238425926</v>
      </c>
      <c r="B148" s="20" t="s">
        <v>356</v>
      </c>
      <c r="C148" s="20" t="s">
        <v>796</v>
      </c>
      <c r="D148" s="137">
        <v>1300000</v>
      </c>
      <c r="E148" s="20" t="s">
        <v>358</v>
      </c>
      <c r="F148" s="20" t="s">
        <v>359</v>
      </c>
      <c r="G148" s="8" t="str">
        <f t="shared" si="4"/>
        <v>LEVIN SCOTT</v>
      </c>
      <c r="H148" s="20" t="str">
        <f t="shared" si="5"/>
        <v>4008</v>
      </c>
    </row>
    <row r="149" spans="1:8" x14ac:dyDescent="0.3">
      <c r="A149" s="8">
        <v>43091.582789351851</v>
      </c>
      <c r="B149" s="20" t="s">
        <v>487</v>
      </c>
      <c r="C149" s="20" t="s">
        <v>797</v>
      </c>
      <c r="D149" s="137">
        <v>3490000</v>
      </c>
      <c r="E149" s="20" t="s">
        <v>665</v>
      </c>
      <c r="F149" s="20" t="s">
        <v>666</v>
      </c>
      <c r="G149" s="8" t="str">
        <f t="shared" si="4"/>
        <v>WEST BRYAN</v>
      </c>
      <c r="H149" s="20" t="str">
        <f t="shared" si="5"/>
        <v>4016</v>
      </c>
    </row>
    <row r="150" spans="1:8" x14ac:dyDescent="0.3">
      <c r="A150" s="8">
        <v>43091.590624999997</v>
      </c>
      <c r="B150" s="20" t="s">
        <v>526</v>
      </c>
      <c r="C150" s="20" t="s">
        <v>798</v>
      </c>
      <c r="D150" s="137">
        <v>2550000</v>
      </c>
      <c r="E150" s="20" t="s">
        <v>503</v>
      </c>
      <c r="F150" s="20" t="s">
        <v>504</v>
      </c>
      <c r="G150" s="8" t="str">
        <f t="shared" si="4"/>
        <v>BADERTSCHER DIANE</v>
      </c>
      <c r="H150" s="20" t="str">
        <f t="shared" si="5"/>
        <v>4044</v>
      </c>
    </row>
    <row r="151" spans="1:8" x14ac:dyDescent="0.3">
      <c r="A151" s="8">
        <v>43091.596805555557</v>
      </c>
      <c r="B151" s="20" t="s">
        <v>385</v>
      </c>
      <c r="C151" s="20" t="s">
        <v>799</v>
      </c>
      <c r="D151" s="137">
        <v>1180000</v>
      </c>
      <c r="E151" s="20" t="s">
        <v>775</v>
      </c>
      <c r="F151" s="20" t="s">
        <v>776</v>
      </c>
      <c r="G151" s="8" t="str">
        <f t="shared" si="4"/>
        <v>LEVERE CRAIG</v>
      </c>
      <c r="H151" s="20" t="str">
        <f t="shared" si="5"/>
        <v>4061</v>
      </c>
    </row>
    <row r="152" spans="1:8" x14ac:dyDescent="0.3">
      <c r="A152" s="8">
        <v>43091.601747685185</v>
      </c>
      <c r="B152" s="20" t="s">
        <v>587</v>
      </c>
      <c r="C152" s="20" t="s">
        <v>800</v>
      </c>
      <c r="D152" s="137">
        <v>2420000</v>
      </c>
      <c r="E152" s="20" t="s">
        <v>515</v>
      </c>
      <c r="F152" s="20" t="s">
        <v>516</v>
      </c>
      <c r="G152" s="8" t="str">
        <f t="shared" si="4"/>
        <v>HOLCOMB KAMDEN</v>
      </c>
      <c r="H152" s="20" t="str">
        <f t="shared" si="5"/>
        <v>4040</v>
      </c>
    </row>
    <row r="153" spans="1:8" x14ac:dyDescent="0.3">
      <c r="A153" s="8">
        <v>43091.604756944442</v>
      </c>
      <c r="B153" s="20" t="s">
        <v>485</v>
      </c>
      <c r="C153" s="20" t="s">
        <v>801</v>
      </c>
      <c r="D153" s="137">
        <v>3490000</v>
      </c>
      <c r="E153" s="20" t="s">
        <v>665</v>
      </c>
      <c r="F153" s="20" t="s">
        <v>666</v>
      </c>
      <c r="G153" s="8" t="str">
        <f t="shared" si="4"/>
        <v>WEST BRYAN</v>
      </c>
      <c r="H153" s="20" t="str">
        <f t="shared" si="5"/>
        <v>4015</v>
      </c>
    </row>
    <row r="154" spans="1:8" x14ac:dyDescent="0.3">
      <c r="A154" s="8">
        <v>43091.611342592594</v>
      </c>
      <c r="B154" s="20" t="s">
        <v>680</v>
      </c>
      <c r="C154" s="20" t="s">
        <v>802</v>
      </c>
      <c r="D154" s="137">
        <v>2630000</v>
      </c>
      <c r="E154" s="20" t="s">
        <v>372</v>
      </c>
      <c r="F154" s="20" t="s">
        <v>373</v>
      </c>
      <c r="G154" s="8" t="str">
        <f t="shared" si="4"/>
        <v>SAFIEF AEIMEN</v>
      </c>
      <c r="H154" s="20" t="str">
        <f t="shared" si="5"/>
        <v>4020</v>
      </c>
    </row>
    <row r="155" spans="1:8" x14ac:dyDescent="0.3">
      <c r="A155" s="8">
        <v>43091.612824074073</v>
      </c>
      <c r="B155" s="20" t="s">
        <v>512</v>
      </c>
      <c r="C155" s="20" t="s">
        <v>803</v>
      </c>
      <c r="D155" s="137">
        <v>3000000</v>
      </c>
      <c r="E155" s="20" t="s">
        <v>470</v>
      </c>
      <c r="F155" s="20" t="s">
        <v>471</v>
      </c>
      <c r="G155" s="8" t="str">
        <f t="shared" si="4"/>
        <v>FORTUNATO FRANK</v>
      </c>
      <c r="H155" s="20" t="str">
        <f t="shared" si="5"/>
        <v>4009</v>
      </c>
    </row>
    <row r="156" spans="1:8" x14ac:dyDescent="0.3">
      <c r="A156" s="8">
        <v>43091.614930555559</v>
      </c>
      <c r="B156" s="20" t="s">
        <v>361</v>
      </c>
      <c r="C156" s="20" t="s">
        <v>804</v>
      </c>
      <c r="D156" s="137">
        <v>1300000</v>
      </c>
      <c r="E156" s="20" t="s">
        <v>358</v>
      </c>
      <c r="F156" s="20" t="s">
        <v>359</v>
      </c>
      <c r="G156" s="8" t="str">
        <f t="shared" si="4"/>
        <v>LEVIN SCOTT</v>
      </c>
      <c r="H156" s="20" t="str">
        <f t="shared" si="5"/>
        <v>4007</v>
      </c>
    </row>
    <row r="157" spans="1:8" x14ac:dyDescent="0.3">
      <c r="A157" s="8">
        <v>43091.622939814813</v>
      </c>
      <c r="B157" s="20" t="s">
        <v>486</v>
      </c>
      <c r="C157" s="20" t="s">
        <v>805</v>
      </c>
      <c r="D157" s="137">
        <v>2040000</v>
      </c>
      <c r="E157" s="20" t="s">
        <v>396</v>
      </c>
      <c r="F157" s="20" t="s">
        <v>397</v>
      </c>
      <c r="G157" s="8" t="str">
        <f t="shared" si="4"/>
        <v>MOSES BRADLEY</v>
      </c>
      <c r="H157" s="20" t="str">
        <f t="shared" si="5"/>
        <v>4006</v>
      </c>
    </row>
    <row r="158" spans="1:8" x14ac:dyDescent="0.3">
      <c r="A158" s="8">
        <v>43091.627569444441</v>
      </c>
      <c r="B158" s="20" t="s">
        <v>487</v>
      </c>
      <c r="C158" s="20" t="s">
        <v>806</v>
      </c>
      <c r="D158" s="137">
        <v>3490000</v>
      </c>
      <c r="E158" s="20" t="s">
        <v>665</v>
      </c>
      <c r="F158" s="20" t="s">
        <v>666</v>
      </c>
      <c r="G158" s="8" t="str">
        <f t="shared" si="4"/>
        <v>WEST BRYAN</v>
      </c>
      <c r="H158" s="20" t="str">
        <f t="shared" si="5"/>
        <v>4016</v>
      </c>
    </row>
    <row r="159" spans="1:8" x14ac:dyDescent="0.3">
      <c r="A159" s="8">
        <v>43091.628738425927</v>
      </c>
      <c r="B159" s="20" t="s">
        <v>527</v>
      </c>
      <c r="C159" s="20" t="s">
        <v>807</v>
      </c>
      <c r="D159" s="137">
        <v>2550000</v>
      </c>
      <c r="E159" s="20" t="s">
        <v>503</v>
      </c>
      <c r="F159" s="20" t="s">
        <v>504</v>
      </c>
      <c r="G159" s="8" t="str">
        <f t="shared" si="4"/>
        <v>BADERTSCHER DIANE</v>
      </c>
      <c r="H159" s="20" t="str">
        <f t="shared" si="5"/>
        <v>4043</v>
      </c>
    </row>
    <row r="160" spans="1:8" x14ac:dyDescent="0.3">
      <c r="A160" s="8">
        <v>43091.630856481483</v>
      </c>
      <c r="B160" s="20" t="s">
        <v>383</v>
      </c>
      <c r="C160" s="20" t="s">
        <v>808</v>
      </c>
      <c r="D160" s="137">
        <v>1180000</v>
      </c>
      <c r="E160" s="20" t="s">
        <v>775</v>
      </c>
      <c r="F160" s="20" t="s">
        <v>776</v>
      </c>
      <c r="G160" s="8" t="str">
        <f t="shared" si="4"/>
        <v>LEVERE CRAIG</v>
      </c>
      <c r="H160" s="20" t="str">
        <f t="shared" si="5"/>
        <v>4062</v>
      </c>
    </row>
    <row r="161" spans="1:8" x14ac:dyDescent="0.3">
      <c r="A161" s="8">
        <v>43091.633587962962</v>
      </c>
      <c r="B161" s="20" t="s">
        <v>655</v>
      </c>
      <c r="C161" s="20" t="s">
        <v>809</v>
      </c>
      <c r="D161" s="137">
        <v>2230000</v>
      </c>
      <c r="E161" s="20" t="s">
        <v>393</v>
      </c>
      <c r="F161" s="20" t="s">
        <v>352</v>
      </c>
      <c r="G161" s="8" t="str">
        <f t="shared" si="4"/>
        <v>SMITH MICHAEL</v>
      </c>
      <c r="H161" s="20" t="str">
        <f t="shared" si="5"/>
        <v>4041</v>
      </c>
    </row>
    <row r="162" spans="1:8" x14ac:dyDescent="0.3">
      <c r="A162" s="8">
        <v>43091.635254629633</v>
      </c>
      <c r="B162" s="20" t="s">
        <v>655</v>
      </c>
      <c r="C162" s="20" t="s">
        <v>809</v>
      </c>
      <c r="D162" s="137">
        <v>2230000</v>
      </c>
      <c r="E162" s="20" t="s">
        <v>393</v>
      </c>
      <c r="F162" s="20" t="s">
        <v>352</v>
      </c>
      <c r="G162" s="8" t="str">
        <f t="shared" si="4"/>
        <v>SMITH MICHAEL</v>
      </c>
      <c r="H162" s="20" t="str">
        <f t="shared" si="5"/>
        <v>4041</v>
      </c>
    </row>
    <row r="163" spans="1:8" x14ac:dyDescent="0.3">
      <c r="A163" s="8">
        <v>43091.640914351854</v>
      </c>
      <c r="B163" s="20" t="s">
        <v>588</v>
      </c>
      <c r="C163" s="20" t="s">
        <v>810</v>
      </c>
      <c r="D163" s="137">
        <v>2420000</v>
      </c>
      <c r="E163" s="20" t="s">
        <v>515</v>
      </c>
      <c r="F163" s="20" t="s">
        <v>516</v>
      </c>
      <c r="G163" s="8" t="str">
        <f t="shared" si="4"/>
        <v>HOLCOMB KAMDEN</v>
      </c>
      <c r="H163" s="20" t="str">
        <f t="shared" si="5"/>
        <v>4039</v>
      </c>
    </row>
    <row r="164" spans="1:8" x14ac:dyDescent="0.3">
      <c r="A164" s="8">
        <v>43091.641712962963</v>
      </c>
      <c r="B164" s="20" t="s">
        <v>443</v>
      </c>
      <c r="C164" s="20" t="s">
        <v>811</v>
      </c>
      <c r="D164" s="137">
        <v>3000000</v>
      </c>
      <c r="E164" s="20" t="s">
        <v>470</v>
      </c>
      <c r="F164" s="20" t="s">
        <v>471</v>
      </c>
      <c r="G164" s="8" t="str">
        <f t="shared" si="4"/>
        <v>FORTUNATO FRANK</v>
      </c>
      <c r="H164" s="20" t="str">
        <f t="shared" si="5"/>
        <v>4010</v>
      </c>
    </row>
    <row r="165" spans="1:8" x14ac:dyDescent="0.3">
      <c r="A165" s="8">
        <v>43091.643819444442</v>
      </c>
      <c r="B165" s="20" t="s">
        <v>674</v>
      </c>
      <c r="C165" s="20" t="s">
        <v>812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4019</v>
      </c>
    </row>
    <row r="166" spans="1:8" x14ac:dyDescent="0.3">
      <c r="A166" s="8">
        <v>43091.643935185188</v>
      </c>
      <c r="B166" s="20" t="s">
        <v>485</v>
      </c>
      <c r="C166" s="20" t="s">
        <v>813</v>
      </c>
      <c r="D166" s="137">
        <v>3490000</v>
      </c>
      <c r="E166" s="20" t="s">
        <v>665</v>
      </c>
      <c r="F166" s="20" t="s">
        <v>666</v>
      </c>
      <c r="G166" s="8" t="str">
        <f t="shared" si="4"/>
        <v>WEST BRYAN</v>
      </c>
      <c r="H166" s="20" t="str">
        <f t="shared" si="5"/>
        <v>4015</v>
      </c>
    </row>
    <row r="167" spans="1:8" x14ac:dyDescent="0.3">
      <c r="A167" s="8">
        <v>43091.646990740737</v>
      </c>
      <c r="B167" s="20" t="s">
        <v>447</v>
      </c>
      <c r="C167" s="20" t="s">
        <v>814</v>
      </c>
      <c r="D167" s="137">
        <v>2230000</v>
      </c>
      <c r="E167" s="20" t="s">
        <v>393</v>
      </c>
      <c r="F167" s="20" t="s">
        <v>352</v>
      </c>
      <c r="G167" s="8" t="str">
        <f t="shared" si="4"/>
        <v>SMITH MICHAEL</v>
      </c>
      <c r="H167" s="20" t="str">
        <f t="shared" si="5"/>
        <v>4042</v>
      </c>
    </row>
    <row r="168" spans="1:8" x14ac:dyDescent="0.3">
      <c r="A168" s="8">
        <v>43091.651400462964</v>
      </c>
      <c r="B168" s="20" t="s">
        <v>356</v>
      </c>
      <c r="C168" s="20" t="s">
        <v>815</v>
      </c>
      <c r="D168" s="137">
        <v>1300000</v>
      </c>
      <c r="E168" s="20" t="s">
        <v>358</v>
      </c>
      <c r="F168" s="20" t="s">
        <v>359</v>
      </c>
      <c r="G168" s="8" t="str">
        <f t="shared" si="4"/>
        <v>LEVIN SCOTT</v>
      </c>
      <c r="H168" s="20" t="str">
        <f t="shared" si="5"/>
        <v>4008</v>
      </c>
    </row>
    <row r="169" spans="1:8" x14ac:dyDescent="0.3">
      <c r="A169" s="8">
        <v>43091.661585648151</v>
      </c>
      <c r="B169" s="20" t="s">
        <v>489</v>
      </c>
      <c r="C169" s="20" t="s">
        <v>816</v>
      </c>
      <c r="D169" s="137">
        <v>2040000</v>
      </c>
      <c r="E169" s="20" t="s">
        <v>396</v>
      </c>
      <c r="F169" s="20" t="s">
        <v>397</v>
      </c>
      <c r="G169" s="8" t="str">
        <f t="shared" si="4"/>
        <v>MOSES BRADLEY</v>
      </c>
      <c r="H169" s="20" t="str">
        <f t="shared" si="5"/>
        <v>4005</v>
      </c>
    </row>
    <row r="170" spans="1:8" x14ac:dyDescent="0.3">
      <c r="A170" s="8">
        <v>43091.664270833331</v>
      </c>
      <c r="B170" s="20" t="s">
        <v>655</v>
      </c>
      <c r="C170" s="20" t="s">
        <v>817</v>
      </c>
      <c r="D170" s="137">
        <v>2230000</v>
      </c>
      <c r="E170" s="20" t="s">
        <v>393</v>
      </c>
      <c r="F170" s="20" t="s">
        <v>352</v>
      </c>
      <c r="G170" s="8" t="str">
        <f t="shared" si="4"/>
        <v>SMITH MICHAEL</v>
      </c>
      <c r="H170" s="20" t="str">
        <f t="shared" si="5"/>
        <v>4041</v>
      </c>
    </row>
    <row r="171" spans="1:8" x14ac:dyDescent="0.3">
      <c r="A171" s="8">
        <v>43091.664351851854</v>
      </c>
      <c r="B171" s="20" t="s">
        <v>526</v>
      </c>
      <c r="C171" s="20" t="s">
        <v>818</v>
      </c>
      <c r="D171" s="137">
        <v>2550000</v>
      </c>
      <c r="E171" s="20" t="s">
        <v>503</v>
      </c>
      <c r="F171" s="20" t="s">
        <v>504</v>
      </c>
      <c r="G171" s="8" t="str">
        <f t="shared" si="4"/>
        <v>BADERTSCHER DIANE</v>
      </c>
      <c r="H171" s="20" t="str">
        <f t="shared" si="5"/>
        <v>4044</v>
      </c>
    </row>
    <row r="172" spans="1:8" x14ac:dyDescent="0.3">
      <c r="A172" s="8">
        <v>43091.666215277779</v>
      </c>
      <c r="B172" s="20" t="s">
        <v>487</v>
      </c>
      <c r="C172" s="20" t="s">
        <v>819</v>
      </c>
      <c r="D172" s="137">
        <v>3490000</v>
      </c>
      <c r="E172" s="20" t="s">
        <v>665</v>
      </c>
      <c r="F172" s="20" t="s">
        <v>666</v>
      </c>
      <c r="G172" s="8" t="str">
        <f t="shared" si="4"/>
        <v>WEST BRYAN</v>
      </c>
      <c r="H172" s="20" t="str">
        <f t="shared" si="5"/>
        <v>4016</v>
      </c>
    </row>
    <row r="173" spans="1:8" x14ac:dyDescent="0.3">
      <c r="A173" s="8">
        <v>43091.669872685183</v>
      </c>
      <c r="B173" s="20" t="s">
        <v>385</v>
      </c>
      <c r="C173" s="20" t="s">
        <v>820</v>
      </c>
      <c r="D173" s="137">
        <v>1180000</v>
      </c>
      <c r="E173" s="20" t="s">
        <v>775</v>
      </c>
      <c r="F173" s="20" t="s">
        <v>776</v>
      </c>
      <c r="G173" s="8" t="str">
        <f t="shared" si="4"/>
        <v>LEVERE CRAIG</v>
      </c>
      <c r="H173" s="20" t="str">
        <f t="shared" si="5"/>
        <v>4061</v>
      </c>
    </row>
    <row r="174" spans="1:8" x14ac:dyDescent="0.3">
      <c r="A174" s="8">
        <v>43091.673842592594</v>
      </c>
      <c r="B174" s="20" t="s">
        <v>512</v>
      </c>
      <c r="C174" s="20" t="s">
        <v>821</v>
      </c>
      <c r="D174" s="137">
        <v>3000000</v>
      </c>
      <c r="E174" s="20" t="s">
        <v>470</v>
      </c>
      <c r="F174" s="20" t="s">
        <v>471</v>
      </c>
      <c r="G174" s="8" t="str">
        <f t="shared" si="4"/>
        <v>FORTUNATO FRANK</v>
      </c>
      <c r="H174" s="20" t="str">
        <f t="shared" si="5"/>
        <v>4009</v>
      </c>
    </row>
    <row r="175" spans="1:8" x14ac:dyDescent="0.3">
      <c r="A175" s="8">
        <v>43091.673993055556</v>
      </c>
      <c r="B175" s="20" t="s">
        <v>587</v>
      </c>
      <c r="C175" s="20" t="s">
        <v>822</v>
      </c>
      <c r="D175" s="137">
        <v>2420000</v>
      </c>
      <c r="E175" s="20" t="s">
        <v>515</v>
      </c>
      <c r="F175" s="20" t="s">
        <v>516</v>
      </c>
      <c r="G175" s="8" t="str">
        <f t="shared" si="4"/>
        <v>HOLCOMB KAMDEN</v>
      </c>
      <c r="H175" s="20" t="str">
        <f t="shared" si="5"/>
        <v>4040</v>
      </c>
    </row>
    <row r="176" spans="1:8" x14ac:dyDescent="0.3">
      <c r="A176" s="8">
        <v>43091.679768518516</v>
      </c>
      <c r="B176" s="20" t="s">
        <v>392</v>
      </c>
      <c r="C176" s="20" t="s">
        <v>823</v>
      </c>
      <c r="D176" s="137">
        <v>1810000</v>
      </c>
      <c r="E176" s="20" t="s">
        <v>770</v>
      </c>
      <c r="F176" s="20" t="s">
        <v>395</v>
      </c>
      <c r="G176" s="8" t="str">
        <f t="shared" si="4"/>
        <v>NEWELL JAMES</v>
      </c>
      <c r="H176" s="20" t="str">
        <f t="shared" si="5"/>
        <v>4030</v>
      </c>
    </row>
    <row r="177" spans="1:8" x14ac:dyDescent="0.3">
      <c r="A177" s="8">
        <v>43091.684131944443</v>
      </c>
      <c r="B177" s="20" t="s">
        <v>680</v>
      </c>
      <c r="C177" s="20" t="s">
        <v>824</v>
      </c>
      <c r="D177" s="137">
        <v>2630000</v>
      </c>
      <c r="E177" s="20" t="s">
        <v>372</v>
      </c>
      <c r="F177" s="20" t="s">
        <v>373</v>
      </c>
      <c r="G177" s="8" t="str">
        <f t="shared" si="4"/>
        <v>SAFIEF AEIMEN</v>
      </c>
      <c r="H177" s="20" t="str">
        <f t="shared" si="5"/>
        <v>4020</v>
      </c>
    </row>
    <row r="178" spans="1:8" x14ac:dyDescent="0.3">
      <c r="A178" s="8">
        <v>43091.686238425929</v>
      </c>
      <c r="B178" s="20" t="s">
        <v>361</v>
      </c>
      <c r="C178" s="20" t="s">
        <v>825</v>
      </c>
      <c r="D178" s="137">
        <v>1300000</v>
      </c>
      <c r="E178" s="20" t="s">
        <v>358</v>
      </c>
      <c r="F178" s="20" t="s">
        <v>359</v>
      </c>
      <c r="G178" s="8" t="str">
        <f t="shared" si="4"/>
        <v>LEVIN SCOTT</v>
      </c>
      <c r="H178" s="20" t="str">
        <f t="shared" si="5"/>
        <v>4007</v>
      </c>
    </row>
    <row r="179" spans="1:8" x14ac:dyDescent="0.3">
      <c r="A179" s="8">
        <v>43091.686967592592</v>
      </c>
      <c r="B179" s="20" t="s">
        <v>447</v>
      </c>
      <c r="C179" s="20" t="s">
        <v>826</v>
      </c>
      <c r="D179" s="137">
        <v>2230000</v>
      </c>
      <c r="E179" s="20" t="s">
        <v>393</v>
      </c>
      <c r="F179" s="20" t="s">
        <v>352</v>
      </c>
      <c r="G179" s="8" t="str">
        <f t="shared" si="4"/>
        <v>SMITH MICHAEL</v>
      </c>
      <c r="H179" s="20" t="str">
        <f t="shared" si="5"/>
        <v>4042</v>
      </c>
    </row>
    <row r="180" spans="1:8" x14ac:dyDescent="0.3">
      <c r="A180" s="8">
        <v>43091.688217592593</v>
      </c>
      <c r="B180" s="20" t="s">
        <v>485</v>
      </c>
      <c r="C180" s="20" t="s">
        <v>827</v>
      </c>
      <c r="D180" s="137">
        <v>3490000</v>
      </c>
      <c r="E180" s="20" t="s">
        <v>665</v>
      </c>
      <c r="F180" s="20" t="s">
        <v>666</v>
      </c>
      <c r="G180" s="8" t="str">
        <f t="shared" si="4"/>
        <v>WEST BRYAN</v>
      </c>
      <c r="H180" s="20" t="str">
        <f t="shared" si="5"/>
        <v>4015</v>
      </c>
    </row>
    <row r="181" spans="1:8" x14ac:dyDescent="0.3">
      <c r="A181" s="8">
        <v>43091.695914351854</v>
      </c>
      <c r="B181" s="20" t="s">
        <v>486</v>
      </c>
      <c r="C181" s="20" t="s">
        <v>828</v>
      </c>
      <c r="D181" s="137">
        <v>2040000</v>
      </c>
      <c r="E181" s="20" t="s">
        <v>396</v>
      </c>
      <c r="F181" s="20" t="s">
        <v>397</v>
      </c>
      <c r="G181" s="8" t="str">
        <f t="shared" si="4"/>
        <v>MOSES BRADLEY</v>
      </c>
      <c r="H181" s="20" t="str">
        <f t="shared" si="5"/>
        <v>4006</v>
      </c>
    </row>
    <row r="182" spans="1:8" x14ac:dyDescent="0.3">
      <c r="A182" s="8">
        <v>43091.699918981481</v>
      </c>
      <c r="B182" s="20" t="s">
        <v>527</v>
      </c>
      <c r="C182" s="20" t="s">
        <v>829</v>
      </c>
      <c r="D182" s="137">
        <v>2550000</v>
      </c>
      <c r="E182" s="20" t="s">
        <v>503</v>
      </c>
      <c r="F182" s="20" t="s">
        <v>504</v>
      </c>
      <c r="G182" s="8" t="str">
        <f t="shared" si="4"/>
        <v>BADERTSCHER DIANE</v>
      </c>
      <c r="H182" s="20" t="str">
        <f t="shared" si="5"/>
        <v>4043</v>
      </c>
    </row>
    <row r="183" spans="1:8" x14ac:dyDescent="0.3">
      <c r="A183" s="8">
        <v>43091.703773148147</v>
      </c>
      <c r="B183" s="20" t="s">
        <v>383</v>
      </c>
      <c r="C183" s="20" t="s">
        <v>830</v>
      </c>
      <c r="D183" s="137">
        <v>1180000</v>
      </c>
      <c r="E183" s="20" t="s">
        <v>775</v>
      </c>
      <c r="F183" s="20" t="s">
        <v>776</v>
      </c>
      <c r="G183" s="8" t="str">
        <f t="shared" si="4"/>
        <v>LEVERE CRAIG</v>
      </c>
      <c r="H183" s="20" t="str">
        <f t="shared" si="5"/>
        <v>4062</v>
      </c>
    </row>
    <row r="184" spans="1:8" x14ac:dyDescent="0.3">
      <c r="A184" s="8">
        <v>43091.706238425926</v>
      </c>
      <c r="B184" s="20" t="s">
        <v>655</v>
      </c>
      <c r="C184" s="20" t="s">
        <v>831</v>
      </c>
      <c r="D184" s="137">
        <v>2230000</v>
      </c>
      <c r="E184" s="20" t="s">
        <v>393</v>
      </c>
      <c r="F184" s="20" t="s">
        <v>352</v>
      </c>
      <c r="G184" s="8" t="str">
        <f t="shared" si="4"/>
        <v>SMITH MICHAEL</v>
      </c>
      <c r="H184" s="20" t="str">
        <f t="shared" si="5"/>
        <v>4041</v>
      </c>
    </row>
    <row r="185" spans="1:8" x14ac:dyDescent="0.3">
      <c r="A185" s="8">
        <v>43091.70820601852</v>
      </c>
      <c r="B185" s="20" t="s">
        <v>487</v>
      </c>
      <c r="C185" s="20" t="s">
        <v>832</v>
      </c>
      <c r="D185" s="137">
        <v>3490000</v>
      </c>
      <c r="E185" s="20" t="s">
        <v>665</v>
      </c>
      <c r="F185" s="20" t="s">
        <v>666</v>
      </c>
      <c r="G185" s="8" t="str">
        <f t="shared" si="4"/>
        <v>WEST BRYAN</v>
      </c>
      <c r="H185" s="20" t="str">
        <f t="shared" si="5"/>
        <v>4016</v>
      </c>
    </row>
    <row r="186" spans="1:8" x14ac:dyDescent="0.3">
      <c r="A186" s="8">
        <v>43091.713275462964</v>
      </c>
      <c r="B186" s="20" t="s">
        <v>443</v>
      </c>
      <c r="C186" s="20" t="s">
        <v>833</v>
      </c>
      <c r="D186" s="137">
        <v>3000000</v>
      </c>
      <c r="E186" s="20" t="s">
        <v>470</v>
      </c>
      <c r="F186" s="20" t="s">
        <v>471</v>
      </c>
      <c r="G186" s="8" t="str">
        <f t="shared" si="4"/>
        <v>FORTUNATO FRANK</v>
      </c>
      <c r="H186" s="20" t="str">
        <f t="shared" si="5"/>
        <v>4010</v>
      </c>
    </row>
    <row r="187" spans="1:8" x14ac:dyDescent="0.3">
      <c r="A187" s="8">
        <v>43091.715902777774</v>
      </c>
      <c r="B187" s="20" t="s">
        <v>588</v>
      </c>
      <c r="C187" s="20" t="s">
        <v>834</v>
      </c>
      <c r="D187" s="137">
        <v>2420000</v>
      </c>
      <c r="E187" s="20" t="s">
        <v>515</v>
      </c>
      <c r="F187" s="20" t="s">
        <v>516</v>
      </c>
      <c r="G187" s="8" t="str">
        <f t="shared" si="4"/>
        <v>HOLCOMB KAMDEN</v>
      </c>
      <c r="H187" s="20" t="str">
        <f t="shared" si="5"/>
        <v>4039</v>
      </c>
    </row>
    <row r="188" spans="1:8" x14ac:dyDescent="0.3">
      <c r="A188" s="8">
        <v>43091.720277777778</v>
      </c>
      <c r="B188" s="20" t="s">
        <v>674</v>
      </c>
      <c r="C188" s="20" t="s">
        <v>835</v>
      </c>
      <c r="D188" s="137">
        <v>2630000</v>
      </c>
      <c r="E188" s="20" t="s">
        <v>372</v>
      </c>
      <c r="F188" s="20" t="s">
        <v>373</v>
      </c>
      <c r="G188" s="8" t="str">
        <f t="shared" si="4"/>
        <v>SAFIEF AEIMEN</v>
      </c>
      <c r="H188" s="20" t="str">
        <f t="shared" si="5"/>
        <v>4019</v>
      </c>
    </row>
    <row r="189" spans="1:8" x14ac:dyDescent="0.3">
      <c r="A189" s="8">
        <v>43091.722511574073</v>
      </c>
      <c r="B189" s="20" t="s">
        <v>586</v>
      </c>
      <c r="C189" s="20" t="s">
        <v>707</v>
      </c>
      <c r="D189" s="137">
        <v>3330000</v>
      </c>
      <c r="E189" s="20" t="s">
        <v>528</v>
      </c>
      <c r="F189" s="20" t="s">
        <v>529</v>
      </c>
      <c r="G189" s="8" t="str">
        <f t="shared" si="4"/>
        <v>GONZALEZ ARMANDO</v>
      </c>
      <c r="H189" s="20" t="str">
        <f t="shared" si="5"/>
        <v>4058</v>
      </c>
    </row>
    <row r="190" spans="1:8" x14ac:dyDescent="0.3">
      <c r="A190" s="8">
        <v>43091.726817129631</v>
      </c>
      <c r="B190" s="20" t="s">
        <v>356</v>
      </c>
      <c r="C190" s="20" t="s">
        <v>836</v>
      </c>
      <c r="D190" s="137">
        <v>1300000</v>
      </c>
      <c r="E190" s="20" t="s">
        <v>358</v>
      </c>
      <c r="F190" s="20" t="s">
        <v>359</v>
      </c>
      <c r="G190" s="8" t="str">
        <f t="shared" si="4"/>
        <v>LEVIN SCOTT</v>
      </c>
      <c r="H190" s="20" t="str">
        <f t="shared" si="5"/>
        <v>4008</v>
      </c>
    </row>
    <row r="191" spans="1:8" x14ac:dyDescent="0.3">
      <c r="A191" s="8">
        <v>43091.728680555556</v>
      </c>
      <c r="B191" s="20" t="s">
        <v>447</v>
      </c>
      <c r="C191" s="20" t="s">
        <v>837</v>
      </c>
      <c r="D191" s="137">
        <v>2230000</v>
      </c>
      <c r="E191" s="20" t="s">
        <v>393</v>
      </c>
      <c r="F191" s="20" t="s">
        <v>352</v>
      </c>
      <c r="G191" s="8" t="str">
        <f t="shared" si="4"/>
        <v>SMITH MICHAEL</v>
      </c>
      <c r="H191" s="20" t="str">
        <f t="shared" si="5"/>
        <v>4042</v>
      </c>
    </row>
    <row r="192" spans="1:8" x14ac:dyDescent="0.3">
      <c r="A192" s="8">
        <v>43091.730069444442</v>
      </c>
      <c r="B192" s="20" t="s">
        <v>485</v>
      </c>
      <c r="C192" s="20" t="s">
        <v>838</v>
      </c>
      <c r="D192" s="137">
        <v>3490000</v>
      </c>
      <c r="E192" s="20" t="s">
        <v>665</v>
      </c>
      <c r="F192" s="20" t="s">
        <v>666</v>
      </c>
      <c r="G192" s="8" t="str">
        <f t="shared" si="4"/>
        <v>WEST BRYAN</v>
      </c>
      <c r="H192" s="20" t="str">
        <f t="shared" si="5"/>
        <v>4015</v>
      </c>
    </row>
    <row r="193" spans="1:8" x14ac:dyDescent="0.3">
      <c r="A193" s="8">
        <v>43091.734618055554</v>
      </c>
      <c r="B193" s="20" t="s">
        <v>839</v>
      </c>
      <c r="C193" s="20" t="s">
        <v>840</v>
      </c>
      <c r="D193" s="137">
        <v>3700000</v>
      </c>
      <c r="E193" s="20" t="s">
        <v>446</v>
      </c>
      <c r="F193" s="20" t="s">
        <v>369</v>
      </c>
      <c r="G193" s="8" t="str">
        <f t="shared" si="4"/>
        <v>AUSTIN THOMPSON</v>
      </c>
      <c r="H193" s="20" t="str">
        <f t="shared" si="5"/>
        <v>4045</v>
      </c>
    </row>
    <row r="194" spans="1:8" x14ac:dyDescent="0.3">
      <c r="A194" s="8">
        <v>43091.734710648147</v>
      </c>
      <c r="B194" s="20" t="s">
        <v>489</v>
      </c>
      <c r="C194" s="20" t="s">
        <v>841</v>
      </c>
      <c r="D194" s="137">
        <v>2040000</v>
      </c>
      <c r="E194" s="20" t="s">
        <v>396</v>
      </c>
      <c r="F194" s="20" t="s">
        <v>397</v>
      </c>
      <c r="G194" s="8" t="str">
        <f t="shared" si="4"/>
        <v>MOSES BRADLEY</v>
      </c>
      <c r="H194" s="20" t="str">
        <f t="shared" si="5"/>
        <v>4005</v>
      </c>
    </row>
    <row r="195" spans="1:8" x14ac:dyDescent="0.3">
      <c r="A195" s="8">
        <v>43091.736585648148</v>
      </c>
      <c r="B195" s="20" t="s">
        <v>526</v>
      </c>
      <c r="C195" s="20" t="s">
        <v>842</v>
      </c>
      <c r="D195" s="137">
        <v>2600000</v>
      </c>
      <c r="E195" s="20" t="s">
        <v>843</v>
      </c>
      <c r="F195" s="20" t="s">
        <v>589</v>
      </c>
      <c r="G195" s="8" t="str">
        <f t="shared" ref="G195:G258" si="6">E195&amp;" "&amp;F195</f>
        <v>DAVIDSON DAVID</v>
      </c>
      <c r="H195" s="20" t="str">
        <f t="shared" ref="H195:H258" si="7">MID(B195,13,4)</f>
        <v>4044</v>
      </c>
    </row>
    <row r="196" spans="1:8" x14ac:dyDescent="0.3">
      <c r="A196" s="8">
        <v>43091.742581018516</v>
      </c>
      <c r="B196" s="20" t="s">
        <v>385</v>
      </c>
      <c r="C196" s="20" t="s">
        <v>844</v>
      </c>
      <c r="D196" s="137">
        <v>1180000</v>
      </c>
      <c r="E196" s="20" t="s">
        <v>775</v>
      </c>
      <c r="F196" s="20" t="s">
        <v>776</v>
      </c>
      <c r="G196" s="8" t="str">
        <f t="shared" si="6"/>
        <v>LEVERE CRAIG</v>
      </c>
      <c r="H196" s="20" t="str">
        <f t="shared" si="7"/>
        <v>4061</v>
      </c>
    </row>
    <row r="197" spans="1:8" x14ac:dyDescent="0.3">
      <c r="A197" s="8">
        <v>43091.74591435185</v>
      </c>
      <c r="B197" s="20" t="s">
        <v>587</v>
      </c>
      <c r="C197" s="20" t="s">
        <v>845</v>
      </c>
      <c r="D197" s="137">
        <v>3130000</v>
      </c>
      <c r="E197" s="20" t="s">
        <v>846</v>
      </c>
      <c r="F197" s="20" t="s">
        <v>847</v>
      </c>
      <c r="G197" s="8" t="str">
        <f t="shared" si="6"/>
        <v>ZEWDU DEREJE</v>
      </c>
      <c r="H197" s="20" t="str">
        <f t="shared" si="7"/>
        <v>4040</v>
      </c>
    </row>
    <row r="198" spans="1:8" x14ac:dyDescent="0.3">
      <c r="A198" s="8">
        <v>43091.746400462966</v>
      </c>
      <c r="B198" s="20" t="s">
        <v>512</v>
      </c>
      <c r="C198" s="20" t="s">
        <v>660</v>
      </c>
      <c r="D198" s="137">
        <v>3000000</v>
      </c>
      <c r="E198" s="20" t="s">
        <v>470</v>
      </c>
      <c r="F198" s="20" t="s">
        <v>471</v>
      </c>
      <c r="G198" s="8" t="str">
        <f t="shared" si="6"/>
        <v>FORTUNATO FRANK</v>
      </c>
      <c r="H198" s="20" t="str">
        <f t="shared" si="7"/>
        <v>4009</v>
      </c>
    </row>
    <row r="199" spans="1:8" x14ac:dyDescent="0.3">
      <c r="A199" s="8">
        <v>43091.749085648145</v>
      </c>
      <c r="B199" s="20" t="s">
        <v>655</v>
      </c>
      <c r="C199" s="20" t="s">
        <v>848</v>
      </c>
      <c r="D199" s="137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4041</v>
      </c>
    </row>
    <row r="200" spans="1:8" x14ac:dyDescent="0.3">
      <c r="A200" s="8">
        <v>43091.751956018517</v>
      </c>
      <c r="B200" s="20" t="s">
        <v>487</v>
      </c>
      <c r="C200" s="20" t="s">
        <v>849</v>
      </c>
      <c r="D200" s="137">
        <v>3490000</v>
      </c>
      <c r="E200" s="20" t="s">
        <v>665</v>
      </c>
      <c r="F200" s="20" t="s">
        <v>666</v>
      </c>
      <c r="G200" s="8" t="str">
        <f t="shared" si="6"/>
        <v>WEST BRYAN</v>
      </c>
      <c r="H200" s="20" t="str">
        <f t="shared" si="7"/>
        <v>4016</v>
      </c>
    </row>
    <row r="201" spans="1:8" x14ac:dyDescent="0.3">
      <c r="A201" s="8">
        <v>43091.7575462963</v>
      </c>
      <c r="B201" s="20" t="s">
        <v>680</v>
      </c>
      <c r="C201" s="20" t="s">
        <v>850</v>
      </c>
      <c r="D201" s="137">
        <v>3320000</v>
      </c>
      <c r="E201" s="20" t="s">
        <v>363</v>
      </c>
      <c r="F201" s="20" t="s">
        <v>364</v>
      </c>
      <c r="G201" s="8" t="str">
        <f t="shared" si="6"/>
        <v>NICHOLSON WESLEY</v>
      </c>
      <c r="H201" s="20" t="str">
        <f t="shared" si="7"/>
        <v>4020</v>
      </c>
    </row>
    <row r="202" spans="1:8" x14ac:dyDescent="0.3">
      <c r="A202" s="26">
        <v>43091.759618055556</v>
      </c>
      <c r="B202" s="20" t="s">
        <v>361</v>
      </c>
      <c r="C202" s="20" t="s">
        <v>851</v>
      </c>
      <c r="D202" s="137">
        <v>1300000</v>
      </c>
      <c r="E202" s="20" t="s">
        <v>358</v>
      </c>
      <c r="F202" s="20" t="s">
        <v>359</v>
      </c>
      <c r="G202" s="8" t="str">
        <f t="shared" si="6"/>
        <v>LEVIN SCOTT</v>
      </c>
      <c r="H202" s="20" t="str">
        <f t="shared" si="7"/>
        <v>4007</v>
      </c>
    </row>
    <row r="203" spans="1:8" x14ac:dyDescent="0.3">
      <c r="A203" s="8">
        <v>43091.766932870371</v>
      </c>
      <c r="B203" s="20" t="s">
        <v>486</v>
      </c>
      <c r="C203" s="20" t="s">
        <v>852</v>
      </c>
      <c r="D203" s="137">
        <v>3340000</v>
      </c>
      <c r="E203" s="20" t="s">
        <v>465</v>
      </c>
      <c r="F203" s="20" t="s">
        <v>466</v>
      </c>
      <c r="G203" s="8" t="str">
        <f t="shared" si="6"/>
        <v>ELBAUM MIKE</v>
      </c>
      <c r="H203" s="20" t="str">
        <f t="shared" si="7"/>
        <v>4006</v>
      </c>
    </row>
    <row r="204" spans="1:8" x14ac:dyDescent="0.3">
      <c r="A204" s="8">
        <v>43091.768275462964</v>
      </c>
      <c r="B204" s="20" t="s">
        <v>527</v>
      </c>
      <c r="C204" s="20" t="s">
        <v>853</v>
      </c>
      <c r="D204" s="137">
        <v>2600000</v>
      </c>
      <c r="E204" s="20" t="s">
        <v>843</v>
      </c>
      <c r="F204" s="20" t="s">
        <v>589</v>
      </c>
      <c r="G204" s="8" t="str">
        <f t="shared" si="6"/>
        <v>DAVIDSON DAVID</v>
      </c>
      <c r="H204" s="20" t="str">
        <f t="shared" si="7"/>
        <v>4043</v>
      </c>
    </row>
    <row r="205" spans="1:8" x14ac:dyDescent="0.3">
      <c r="A205" s="8">
        <v>43091.770115740743</v>
      </c>
      <c r="B205" s="20" t="s">
        <v>485</v>
      </c>
      <c r="C205" s="20" t="s">
        <v>661</v>
      </c>
      <c r="D205" s="137">
        <v>3490000</v>
      </c>
      <c r="E205" s="20" t="s">
        <v>665</v>
      </c>
      <c r="F205" s="20" t="s">
        <v>666</v>
      </c>
      <c r="G205" s="8" t="str">
        <f t="shared" si="6"/>
        <v>WEST BRYAN</v>
      </c>
      <c r="H205" s="20" t="str">
        <f t="shared" si="7"/>
        <v>4015</v>
      </c>
    </row>
    <row r="206" spans="1:8" x14ac:dyDescent="0.3">
      <c r="A206" s="8">
        <v>43091.770162037035</v>
      </c>
      <c r="B206" s="20" t="s">
        <v>447</v>
      </c>
      <c r="C206" s="20" t="s">
        <v>854</v>
      </c>
      <c r="D206" s="137">
        <v>2230000</v>
      </c>
      <c r="E206" s="20" t="s">
        <v>393</v>
      </c>
      <c r="F206" s="20" t="s">
        <v>352</v>
      </c>
      <c r="G206" s="8" t="str">
        <f t="shared" si="6"/>
        <v>SMITH MICHAEL</v>
      </c>
      <c r="H206" s="20" t="str">
        <f t="shared" si="7"/>
        <v>4042</v>
      </c>
    </row>
    <row r="207" spans="1:8" x14ac:dyDescent="0.3">
      <c r="A207" s="8">
        <v>43091.777199074073</v>
      </c>
      <c r="B207" s="20" t="s">
        <v>383</v>
      </c>
      <c r="C207" s="20" t="s">
        <v>855</v>
      </c>
      <c r="D207" s="137">
        <v>1180000</v>
      </c>
      <c r="E207" s="20" t="s">
        <v>775</v>
      </c>
      <c r="F207" s="20" t="s">
        <v>776</v>
      </c>
      <c r="G207" s="8" t="str">
        <f t="shared" si="6"/>
        <v>LEVERE CRAIG</v>
      </c>
      <c r="H207" s="20" t="str">
        <f t="shared" si="7"/>
        <v>4062</v>
      </c>
    </row>
    <row r="208" spans="1:8" x14ac:dyDescent="0.3">
      <c r="A208" s="8">
        <v>43091.785138888888</v>
      </c>
      <c r="B208" s="20" t="s">
        <v>588</v>
      </c>
      <c r="C208" s="20" t="s">
        <v>856</v>
      </c>
      <c r="D208" s="137">
        <v>3130000</v>
      </c>
      <c r="E208" s="20" t="s">
        <v>846</v>
      </c>
      <c r="F208" s="20" t="s">
        <v>847</v>
      </c>
      <c r="G208" s="8" t="str">
        <f t="shared" si="6"/>
        <v>ZEWDU DEREJE</v>
      </c>
      <c r="H208" s="20" t="str">
        <f t="shared" si="7"/>
        <v>4039</v>
      </c>
    </row>
    <row r="209" spans="1:8" x14ac:dyDescent="0.3">
      <c r="A209" s="8">
        <v>43091.789502314816</v>
      </c>
      <c r="B209" s="20" t="s">
        <v>655</v>
      </c>
      <c r="C209" s="20" t="s">
        <v>857</v>
      </c>
      <c r="D209" s="137">
        <v>2230000</v>
      </c>
      <c r="E209" s="20" t="s">
        <v>393</v>
      </c>
      <c r="F209" s="20" t="s">
        <v>352</v>
      </c>
      <c r="G209" s="8" t="str">
        <f t="shared" si="6"/>
        <v>SMITH MICHAEL</v>
      </c>
      <c r="H209" s="20" t="str">
        <f t="shared" si="7"/>
        <v>4041</v>
      </c>
    </row>
    <row r="210" spans="1:8" x14ac:dyDescent="0.3">
      <c r="A210" s="8">
        <v>43091.790266203701</v>
      </c>
      <c r="B210" s="20" t="s">
        <v>674</v>
      </c>
      <c r="C210" s="20" t="s">
        <v>858</v>
      </c>
      <c r="D210" s="137">
        <v>1360000</v>
      </c>
      <c r="E210" s="20" t="s">
        <v>859</v>
      </c>
      <c r="F210" s="20" t="s">
        <v>860</v>
      </c>
      <c r="G210" s="8" t="str">
        <f t="shared" si="6"/>
        <v>SANTIZO D. EDY</v>
      </c>
      <c r="H210" s="20" t="str">
        <f t="shared" si="7"/>
        <v>4019</v>
      </c>
    </row>
    <row r="211" spans="1:8" x14ac:dyDescent="0.3">
      <c r="A211" s="8">
        <v>43091.790590277778</v>
      </c>
      <c r="B211" s="20" t="s">
        <v>443</v>
      </c>
      <c r="C211" s="20" t="s">
        <v>861</v>
      </c>
      <c r="D211" s="137">
        <v>3310000</v>
      </c>
      <c r="E211" s="20" t="s">
        <v>505</v>
      </c>
      <c r="F211" s="20" t="s">
        <v>506</v>
      </c>
      <c r="G211" s="8" t="str">
        <f t="shared" si="6"/>
        <v>ANDERS STEVEN</v>
      </c>
      <c r="H211" s="20" t="str">
        <f t="shared" si="7"/>
        <v>4010</v>
      </c>
    </row>
    <row r="212" spans="1:8" x14ac:dyDescent="0.3">
      <c r="A212" s="8">
        <v>43091.796157407407</v>
      </c>
      <c r="B212" s="20" t="s">
        <v>356</v>
      </c>
      <c r="C212" s="20" t="s">
        <v>862</v>
      </c>
      <c r="D212" s="137">
        <v>1300000</v>
      </c>
      <c r="E212" s="20" t="s">
        <v>358</v>
      </c>
      <c r="F212" s="20" t="s">
        <v>359</v>
      </c>
      <c r="G212" s="8" t="str">
        <f t="shared" si="6"/>
        <v>LEVIN SCOTT</v>
      </c>
      <c r="H212" s="20" t="str">
        <f t="shared" si="7"/>
        <v>4008</v>
      </c>
    </row>
    <row r="213" spans="1:8" x14ac:dyDescent="0.3">
      <c r="A213" s="8">
        <v>43091.796168981484</v>
      </c>
      <c r="B213" s="20" t="s">
        <v>487</v>
      </c>
      <c r="C213" s="20" t="s">
        <v>863</v>
      </c>
      <c r="D213" s="137">
        <v>3490000</v>
      </c>
      <c r="E213" s="20" t="s">
        <v>665</v>
      </c>
      <c r="F213" s="20" t="s">
        <v>666</v>
      </c>
      <c r="G213" s="8" t="str">
        <f t="shared" si="6"/>
        <v>WEST BRYAN</v>
      </c>
      <c r="H213" s="20" t="str">
        <f t="shared" si="7"/>
        <v>4016</v>
      </c>
    </row>
    <row r="214" spans="1:8" x14ac:dyDescent="0.3">
      <c r="A214" s="8">
        <v>43091.798043981478</v>
      </c>
      <c r="B214" s="20" t="s">
        <v>489</v>
      </c>
      <c r="C214" s="20" t="s">
        <v>662</v>
      </c>
      <c r="D214" s="137">
        <v>3340000</v>
      </c>
      <c r="E214" s="20" t="s">
        <v>465</v>
      </c>
      <c r="F214" s="20" t="s">
        <v>466</v>
      </c>
      <c r="G214" s="8" t="str">
        <f t="shared" si="6"/>
        <v>ELBAUM MIKE</v>
      </c>
      <c r="H214" s="20" t="str">
        <f t="shared" si="7"/>
        <v>4005</v>
      </c>
    </row>
    <row r="215" spans="1:8" x14ac:dyDescent="0.3">
      <c r="A215" s="8">
        <v>43091.808263888888</v>
      </c>
      <c r="B215" s="20" t="s">
        <v>526</v>
      </c>
      <c r="C215" s="20" t="s">
        <v>864</v>
      </c>
      <c r="D215" s="137">
        <v>2600000</v>
      </c>
      <c r="E215" s="20" t="s">
        <v>843</v>
      </c>
      <c r="F215" s="20" t="s">
        <v>589</v>
      </c>
      <c r="G215" s="8" t="str">
        <f t="shared" si="6"/>
        <v>DAVIDSON DAVID</v>
      </c>
      <c r="H215" s="20" t="str">
        <f t="shared" si="7"/>
        <v>4044</v>
      </c>
    </row>
    <row r="216" spans="1:8" x14ac:dyDescent="0.3">
      <c r="A216" s="8">
        <v>43091.811712962961</v>
      </c>
      <c r="B216" s="20" t="s">
        <v>485</v>
      </c>
      <c r="C216" s="20" t="s">
        <v>663</v>
      </c>
      <c r="D216" s="137">
        <v>3490000</v>
      </c>
      <c r="E216" s="20" t="s">
        <v>665</v>
      </c>
      <c r="F216" s="20" t="s">
        <v>666</v>
      </c>
      <c r="G216" s="8" t="str">
        <f t="shared" si="6"/>
        <v>WEST BRYAN</v>
      </c>
      <c r="H216" s="20" t="str">
        <f t="shared" si="7"/>
        <v>4015</v>
      </c>
    </row>
    <row r="217" spans="1:8" x14ac:dyDescent="0.3">
      <c r="A217" s="8">
        <v>43091.8200462963</v>
      </c>
      <c r="B217" s="20" t="s">
        <v>587</v>
      </c>
      <c r="C217" s="20" t="s">
        <v>865</v>
      </c>
      <c r="D217" s="137">
        <v>3500000</v>
      </c>
      <c r="E217" s="20" t="s">
        <v>376</v>
      </c>
      <c r="F217" s="20" t="s">
        <v>377</v>
      </c>
      <c r="G217" s="8" t="str">
        <f t="shared" si="6"/>
        <v>GUNTHIER ERIC</v>
      </c>
      <c r="H217" s="20" t="str">
        <f t="shared" si="7"/>
        <v>4040</v>
      </c>
    </row>
    <row r="218" spans="1:8" x14ac:dyDescent="0.3">
      <c r="A218" s="8">
        <v>43091.825983796298</v>
      </c>
      <c r="B218" s="20" t="s">
        <v>512</v>
      </c>
      <c r="C218" s="20" t="s">
        <v>866</v>
      </c>
      <c r="D218" s="137">
        <v>3310000</v>
      </c>
      <c r="E218" s="20" t="s">
        <v>505</v>
      </c>
      <c r="F218" s="20" t="s">
        <v>506</v>
      </c>
      <c r="G218" s="8" t="str">
        <f t="shared" si="6"/>
        <v>ANDERS STEVEN</v>
      </c>
      <c r="H218" s="20" t="str">
        <f t="shared" si="7"/>
        <v>4009</v>
      </c>
    </row>
    <row r="219" spans="1:8" x14ac:dyDescent="0.3">
      <c r="A219" s="8">
        <v>43091.828877314816</v>
      </c>
      <c r="B219" s="20" t="s">
        <v>680</v>
      </c>
      <c r="C219" s="20" t="s">
        <v>867</v>
      </c>
      <c r="D219" s="137">
        <v>1360000</v>
      </c>
      <c r="E219" s="20" t="s">
        <v>859</v>
      </c>
      <c r="F219" s="20" t="s">
        <v>860</v>
      </c>
      <c r="G219" s="8" t="str">
        <f t="shared" si="6"/>
        <v>SANTIZO D. EDY</v>
      </c>
      <c r="H219" s="20" t="str">
        <f t="shared" si="7"/>
        <v>4020</v>
      </c>
    </row>
    <row r="220" spans="1:8" x14ac:dyDescent="0.3">
      <c r="A220" s="8">
        <v>43091.835243055553</v>
      </c>
      <c r="B220" s="20" t="s">
        <v>487</v>
      </c>
      <c r="C220" s="20" t="s">
        <v>868</v>
      </c>
      <c r="D220" s="137">
        <v>3490000</v>
      </c>
      <c r="E220" s="20" t="s">
        <v>665</v>
      </c>
      <c r="F220" s="20" t="s">
        <v>666</v>
      </c>
      <c r="G220" s="8" t="str">
        <f t="shared" si="6"/>
        <v>WEST BRYAN</v>
      </c>
      <c r="H220" s="20" t="str">
        <f t="shared" si="7"/>
        <v>4016</v>
      </c>
    </row>
    <row r="221" spans="1:8" x14ac:dyDescent="0.3">
      <c r="A221" s="8">
        <v>43091.841180555559</v>
      </c>
      <c r="B221" s="20" t="s">
        <v>527</v>
      </c>
      <c r="C221" s="20" t="s">
        <v>869</v>
      </c>
      <c r="D221" s="137">
        <v>2600000</v>
      </c>
      <c r="E221" s="20" t="s">
        <v>843</v>
      </c>
      <c r="F221" s="20" t="s">
        <v>589</v>
      </c>
      <c r="G221" s="8" t="str">
        <f t="shared" si="6"/>
        <v>DAVIDSON DAVID</v>
      </c>
      <c r="H221" s="20" t="str">
        <f t="shared" si="7"/>
        <v>4043</v>
      </c>
    </row>
    <row r="222" spans="1:8" x14ac:dyDescent="0.3">
      <c r="A222" s="8">
        <v>43091.851712962962</v>
      </c>
      <c r="B222" s="20" t="s">
        <v>486</v>
      </c>
      <c r="C222" s="20" t="s">
        <v>870</v>
      </c>
      <c r="D222" s="137">
        <v>3340000</v>
      </c>
      <c r="E222" s="20" t="s">
        <v>465</v>
      </c>
      <c r="F222" s="20" t="s">
        <v>466</v>
      </c>
      <c r="G222" s="8" t="str">
        <f t="shared" si="6"/>
        <v>ELBAUM MIKE</v>
      </c>
      <c r="H222" s="20" t="str">
        <f t="shared" si="7"/>
        <v>4006</v>
      </c>
    </row>
    <row r="223" spans="1:8" x14ac:dyDescent="0.3">
      <c r="A223" s="8">
        <v>43091.854571759257</v>
      </c>
      <c r="B223" s="20" t="s">
        <v>485</v>
      </c>
      <c r="C223" s="20" t="s">
        <v>871</v>
      </c>
      <c r="D223" s="137">
        <v>3490000</v>
      </c>
      <c r="E223" s="20" t="s">
        <v>665</v>
      </c>
      <c r="F223" s="20" t="s">
        <v>666</v>
      </c>
      <c r="G223" s="8" t="str">
        <f t="shared" si="6"/>
        <v>WEST BRYAN</v>
      </c>
      <c r="H223" s="20" t="str">
        <f t="shared" si="7"/>
        <v>4015</v>
      </c>
    </row>
    <row r="224" spans="1:8" x14ac:dyDescent="0.3">
      <c r="A224" s="8">
        <v>43091.862476851849</v>
      </c>
      <c r="B224" t="s">
        <v>674</v>
      </c>
      <c r="C224" t="s">
        <v>872</v>
      </c>
      <c r="D224" s="137">
        <v>3320000</v>
      </c>
      <c r="E224" t="s">
        <v>363</v>
      </c>
      <c r="F224" s="20" t="s">
        <v>364</v>
      </c>
      <c r="G224" s="8" t="str">
        <f t="shared" si="6"/>
        <v>NICHOLSON WESLEY</v>
      </c>
      <c r="H224" s="20" t="str">
        <f t="shared" si="7"/>
        <v>4019</v>
      </c>
    </row>
    <row r="225" spans="1:8" x14ac:dyDescent="0.3">
      <c r="A225" s="8">
        <v>43091.868703703702</v>
      </c>
      <c r="B225" t="s">
        <v>680</v>
      </c>
      <c r="C225" t="s">
        <v>872</v>
      </c>
      <c r="D225" s="137">
        <v>3320000</v>
      </c>
      <c r="E225" t="s">
        <v>363</v>
      </c>
      <c r="F225" s="20" t="s">
        <v>364</v>
      </c>
      <c r="G225" s="8" t="str">
        <f t="shared" si="6"/>
        <v>NICHOLSON WESLEY</v>
      </c>
      <c r="H225" s="20" t="str">
        <f t="shared" si="7"/>
        <v>4020</v>
      </c>
    </row>
    <row r="226" spans="1:8" x14ac:dyDescent="0.3">
      <c r="A226" s="8">
        <v>43091.872719907406</v>
      </c>
      <c r="B226" t="s">
        <v>443</v>
      </c>
      <c r="C226" t="s">
        <v>873</v>
      </c>
      <c r="D226" s="137">
        <v>3700000</v>
      </c>
      <c r="E226" t="s">
        <v>446</v>
      </c>
      <c r="F226" s="20" t="s">
        <v>369</v>
      </c>
      <c r="G226" s="8" t="str">
        <f t="shared" si="6"/>
        <v>AUSTIN THOMPSON</v>
      </c>
      <c r="H226" s="20" t="str">
        <f t="shared" si="7"/>
        <v>4010</v>
      </c>
    </row>
    <row r="227" spans="1:8" x14ac:dyDescent="0.3">
      <c r="A227" s="8">
        <v>43091.87604166667</v>
      </c>
      <c r="B227" t="s">
        <v>487</v>
      </c>
      <c r="C227" t="s">
        <v>874</v>
      </c>
      <c r="D227" s="137">
        <v>2230000</v>
      </c>
      <c r="E227" t="s">
        <v>393</v>
      </c>
      <c r="F227" s="20" t="s">
        <v>352</v>
      </c>
      <c r="G227" s="8" t="str">
        <f t="shared" si="6"/>
        <v>SMITH MICHAEL</v>
      </c>
      <c r="H227" s="20" t="str">
        <f t="shared" si="7"/>
        <v>4016</v>
      </c>
    </row>
    <row r="228" spans="1:8" x14ac:dyDescent="0.3">
      <c r="A228" s="8">
        <v>43091.880289351851</v>
      </c>
      <c r="B228" t="s">
        <v>489</v>
      </c>
      <c r="C228" t="s">
        <v>875</v>
      </c>
      <c r="D228" s="137">
        <v>3340000</v>
      </c>
      <c r="E228" t="s">
        <v>465</v>
      </c>
      <c r="F228" s="20" t="s">
        <v>466</v>
      </c>
      <c r="G228" s="8" t="str">
        <f t="shared" si="6"/>
        <v>ELBAUM MIKE</v>
      </c>
      <c r="H228" s="20" t="str">
        <f t="shared" si="7"/>
        <v>4005</v>
      </c>
    </row>
    <row r="229" spans="1:8" x14ac:dyDescent="0.3">
      <c r="A229" s="8">
        <v>43091.881898148145</v>
      </c>
      <c r="B229" t="s">
        <v>526</v>
      </c>
      <c r="C229" t="s">
        <v>876</v>
      </c>
      <c r="D229" s="137">
        <v>2600000</v>
      </c>
      <c r="E229" t="s">
        <v>843</v>
      </c>
      <c r="F229" s="20" t="s">
        <v>589</v>
      </c>
      <c r="G229" s="8" t="str">
        <f t="shared" si="6"/>
        <v>DAVIDSON DAVID</v>
      </c>
      <c r="H229" s="20" t="str">
        <f t="shared" si="7"/>
        <v>4044</v>
      </c>
    </row>
    <row r="230" spans="1:8" x14ac:dyDescent="0.3">
      <c r="A230" s="8">
        <v>43091.894293981481</v>
      </c>
      <c r="B230" t="s">
        <v>485</v>
      </c>
      <c r="C230" t="s">
        <v>877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3">
      <c r="A231" s="8">
        <v>43091.910416666666</v>
      </c>
      <c r="B231" t="s">
        <v>680</v>
      </c>
      <c r="C231" t="s">
        <v>878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3">
      <c r="A232" s="8">
        <v>43091.912476851852</v>
      </c>
      <c r="B232" t="s">
        <v>512</v>
      </c>
      <c r="C232" t="s">
        <v>664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3">
      <c r="A233" s="8">
        <v>43091.916250000002</v>
      </c>
      <c r="B233" t="s">
        <v>487</v>
      </c>
      <c r="C233" t="s">
        <v>879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3">
      <c r="A234" s="8">
        <v>43091.920706018522</v>
      </c>
      <c r="B234" t="s">
        <v>486</v>
      </c>
      <c r="C234" t="s">
        <v>880</v>
      </c>
      <c r="D234" s="137">
        <v>3340000</v>
      </c>
      <c r="E234" t="s">
        <v>465</v>
      </c>
      <c r="F234" s="20" t="s">
        <v>466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527</v>
      </c>
      <c r="C235" t="s">
        <v>881</v>
      </c>
      <c r="D235" s="137">
        <v>2600000</v>
      </c>
      <c r="E235" t="s">
        <v>843</v>
      </c>
      <c r="F235" s="20" t="s">
        <v>589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485</v>
      </c>
      <c r="C236" t="s">
        <v>882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674</v>
      </c>
      <c r="C237" t="s">
        <v>883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884</v>
      </c>
      <c r="D238" s="137">
        <v>3310000</v>
      </c>
      <c r="E238" t="s">
        <v>505</v>
      </c>
      <c r="F238" s="20" t="s">
        <v>506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487</v>
      </c>
      <c r="C239" t="s">
        <v>885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489</v>
      </c>
      <c r="C240" t="s">
        <v>886</v>
      </c>
      <c r="D240" s="137">
        <v>3340000</v>
      </c>
      <c r="E240" t="s">
        <v>465</v>
      </c>
      <c r="F240" s="20" t="s">
        <v>466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526</v>
      </c>
      <c r="C241" t="s">
        <v>887</v>
      </c>
      <c r="D241" s="137">
        <v>2600000</v>
      </c>
      <c r="E241" t="s">
        <v>843</v>
      </c>
      <c r="F241" s="20" t="s">
        <v>589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485</v>
      </c>
      <c r="C242" t="s">
        <v>888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512</v>
      </c>
      <c r="C243" t="s">
        <v>490</v>
      </c>
      <c r="D243" s="137">
        <v>3310000</v>
      </c>
      <c r="E243" t="s">
        <v>505</v>
      </c>
      <c r="F243" s="20" t="s">
        <v>506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680</v>
      </c>
      <c r="C244" t="s">
        <v>889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527</v>
      </c>
      <c r="C245" t="s">
        <v>488</v>
      </c>
      <c r="D245" s="137">
        <v>2600000</v>
      </c>
      <c r="E245" t="s">
        <v>843</v>
      </c>
      <c r="F245" s="20" t="s">
        <v>589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486</v>
      </c>
      <c r="C246" t="s">
        <v>491</v>
      </c>
      <c r="D246" s="137">
        <v>3340000</v>
      </c>
      <c r="E246" t="s">
        <v>465</v>
      </c>
      <c r="F246" s="20" t="s">
        <v>466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674</v>
      </c>
      <c r="C247" t="s">
        <v>493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890</v>
      </c>
      <c r="D248" s="137">
        <v>3310000</v>
      </c>
      <c r="E248" t="s">
        <v>505</v>
      </c>
      <c r="F248" s="20" t="s">
        <v>506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489</v>
      </c>
      <c r="C249" t="s">
        <v>495</v>
      </c>
      <c r="D249" s="137">
        <v>3340000</v>
      </c>
      <c r="E249" t="s">
        <v>465</v>
      </c>
      <c r="F249" s="20" t="s">
        <v>466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526</v>
      </c>
      <c r="C250" t="s">
        <v>494</v>
      </c>
      <c r="D250" s="137">
        <v>2600000</v>
      </c>
      <c r="E250" t="s">
        <v>843</v>
      </c>
      <c r="F250" s="20" t="s">
        <v>589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680</v>
      </c>
      <c r="C251" t="s">
        <v>496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512</v>
      </c>
      <c r="C252" t="s">
        <v>891</v>
      </c>
      <c r="D252" s="137">
        <v>3310000</v>
      </c>
      <c r="E252" t="s">
        <v>505</v>
      </c>
      <c r="F252" s="20" t="s">
        <v>506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486</v>
      </c>
      <c r="C253" t="s">
        <v>497</v>
      </c>
      <c r="D253" s="137">
        <v>3340000</v>
      </c>
      <c r="E253" t="s">
        <v>465</v>
      </c>
      <c r="F253" s="20" t="s">
        <v>466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492</v>
      </c>
      <c r="D254" s="137">
        <v>3310000</v>
      </c>
      <c r="E254" t="s">
        <v>505</v>
      </c>
      <c r="F254" s="20" t="s">
        <v>506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474</v>
      </c>
      <c r="D255" s="137">
        <v>3340000</v>
      </c>
      <c r="E255" t="s">
        <v>465</v>
      </c>
      <c r="F255" s="20" t="s">
        <v>466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475</v>
      </c>
      <c r="D256" s="137">
        <v>3680000</v>
      </c>
      <c r="E256" t="s">
        <v>472</v>
      </c>
      <c r="F256" s="20" t="s">
        <v>473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456</v>
      </c>
      <c r="D257" s="137">
        <v>2540000</v>
      </c>
      <c r="E257" t="s">
        <v>454</v>
      </c>
      <c r="F257" s="20" t="s">
        <v>455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450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457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451</v>
      </c>
      <c r="C260" t="s">
        <v>458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459</v>
      </c>
      <c r="D261" s="137">
        <v>2440000</v>
      </c>
      <c r="E261" t="s">
        <v>452</v>
      </c>
      <c r="F261" s="20" t="s">
        <v>453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460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449</v>
      </c>
      <c r="C263" t="s">
        <v>461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462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590</v>
      </c>
      <c r="I1" s="217" t="s">
        <v>162</v>
      </c>
      <c r="J1" s="217" t="s">
        <v>163</v>
      </c>
      <c r="K1" s="217" t="s">
        <v>591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13.94</v>
      </c>
      <c r="B2" s="195">
        <v>0.03</v>
      </c>
      <c r="C2" s="195">
        <v>9.4700000000000006</v>
      </c>
      <c r="D2" s="8">
        <v>43091.083333333336</v>
      </c>
      <c r="E2" s="195">
        <v>0.82</v>
      </c>
      <c r="F2" s="195" t="s">
        <v>464</v>
      </c>
      <c r="G2" s="195">
        <v>335.01</v>
      </c>
      <c r="H2" s="195"/>
      <c r="I2" s="195">
        <v>0</v>
      </c>
      <c r="J2" s="195">
        <v>0</v>
      </c>
      <c r="K2" s="195"/>
      <c r="L2" s="195">
        <v>1022.09</v>
      </c>
      <c r="M2" s="195" t="s">
        <v>463</v>
      </c>
      <c r="N2" s="195">
        <v>13.94</v>
      </c>
      <c r="O2" s="195">
        <v>1513926000</v>
      </c>
      <c r="P2" s="195">
        <v>0</v>
      </c>
      <c r="Q2" s="195">
        <v>3.53</v>
      </c>
      <c r="R2" s="195">
        <v>165</v>
      </c>
      <c r="S2" s="195">
        <v>2.11</v>
      </c>
      <c r="T2" s="195">
        <v>0.61</v>
      </c>
    </row>
    <row r="3" spans="1:20" x14ac:dyDescent="0.3">
      <c r="A3" s="195">
        <v>12.97</v>
      </c>
      <c r="B3" s="195">
        <v>0.16</v>
      </c>
      <c r="C3" s="195">
        <v>8.6999999999999993</v>
      </c>
      <c r="D3" s="8">
        <v>43091.125</v>
      </c>
      <c r="E3" s="195">
        <v>0.83</v>
      </c>
      <c r="F3" s="195" t="s">
        <v>464</v>
      </c>
      <c r="G3" s="195">
        <v>338.42</v>
      </c>
      <c r="H3" s="195"/>
      <c r="I3" s="195">
        <v>0</v>
      </c>
      <c r="J3" s="195">
        <v>0</v>
      </c>
      <c r="K3" s="195"/>
      <c r="L3" s="195">
        <v>1021.37</v>
      </c>
      <c r="M3" s="195" t="s">
        <v>463</v>
      </c>
      <c r="N3" s="195">
        <v>12.97</v>
      </c>
      <c r="O3" s="195">
        <v>1513929600</v>
      </c>
      <c r="P3" s="195">
        <v>0</v>
      </c>
      <c r="Q3" s="195">
        <v>3.25</v>
      </c>
      <c r="R3" s="195">
        <v>174</v>
      </c>
      <c r="S3" s="195">
        <v>2.59</v>
      </c>
      <c r="T3" s="195">
        <v>0.91</v>
      </c>
    </row>
    <row r="4" spans="1:20" x14ac:dyDescent="0.3">
      <c r="A4" s="195">
        <v>13.51</v>
      </c>
      <c r="B4" s="195">
        <v>0</v>
      </c>
      <c r="C4" s="195">
        <v>8.42</v>
      </c>
      <c r="D4" s="8">
        <v>43091.166666666664</v>
      </c>
      <c r="E4" s="195">
        <v>0.8</v>
      </c>
      <c r="F4" s="195" t="s">
        <v>464</v>
      </c>
      <c r="G4" s="195">
        <v>340.51</v>
      </c>
      <c r="H4" s="195"/>
      <c r="I4" s="195">
        <v>0</v>
      </c>
      <c r="J4" s="195">
        <v>0</v>
      </c>
      <c r="K4" s="195"/>
      <c r="L4" s="195">
        <v>1022.08</v>
      </c>
      <c r="M4" s="195" t="s">
        <v>463</v>
      </c>
      <c r="N4" s="195">
        <v>13.51</v>
      </c>
      <c r="O4" s="195">
        <v>1513933200</v>
      </c>
      <c r="P4" s="195">
        <v>0</v>
      </c>
      <c r="Q4" s="195">
        <v>2.73</v>
      </c>
      <c r="R4" s="195">
        <v>184</v>
      </c>
      <c r="S4" s="195">
        <v>2.0099999999999998</v>
      </c>
      <c r="T4" s="195">
        <v>0.84</v>
      </c>
    </row>
    <row r="5" spans="1:20" x14ac:dyDescent="0.3">
      <c r="A5" s="195">
        <v>13.42</v>
      </c>
      <c r="B5" s="195">
        <v>0.1</v>
      </c>
      <c r="C5" s="195">
        <v>8.39</v>
      </c>
      <c r="D5" s="8">
        <v>43091.208333333336</v>
      </c>
      <c r="E5" s="195">
        <v>0.8</v>
      </c>
      <c r="F5" s="195" t="s">
        <v>464</v>
      </c>
      <c r="G5" s="195">
        <v>340.29</v>
      </c>
      <c r="H5" s="195"/>
      <c r="I5" s="195">
        <v>0</v>
      </c>
      <c r="J5" s="195">
        <v>0</v>
      </c>
      <c r="K5" s="195"/>
      <c r="L5" s="195">
        <v>1023.31</v>
      </c>
      <c r="M5" s="195" t="s">
        <v>463</v>
      </c>
      <c r="N5" s="195">
        <v>13.42</v>
      </c>
      <c r="O5" s="195">
        <v>1513936800</v>
      </c>
      <c r="P5" s="195">
        <v>0</v>
      </c>
      <c r="Q5" s="195">
        <v>3.64</v>
      </c>
      <c r="R5" s="195">
        <v>187</v>
      </c>
      <c r="S5" s="195">
        <v>2.8</v>
      </c>
      <c r="T5" s="195">
        <v>0.92</v>
      </c>
    </row>
    <row r="6" spans="1:20" x14ac:dyDescent="0.3">
      <c r="A6" s="195">
        <v>13.4</v>
      </c>
      <c r="B6" s="195">
        <v>0</v>
      </c>
      <c r="C6" s="195">
        <v>8.74</v>
      </c>
      <c r="D6" s="8">
        <v>43091.25</v>
      </c>
      <c r="E6" s="195">
        <v>0.81</v>
      </c>
      <c r="F6" s="195" t="s">
        <v>464</v>
      </c>
      <c r="G6" s="195">
        <v>338.78</v>
      </c>
      <c r="H6" s="195"/>
      <c r="I6" s="195">
        <v>0</v>
      </c>
      <c r="J6" s="195">
        <v>0</v>
      </c>
      <c r="K6" s="195"/>
      <c r="L6" s="195">
        <v>1021.46</v>
      </c>
      <c r="M6" s="195" t="s">
        <v>463</v>
      </c>
      <c r="N6" s="195">
        <v>13.4</v>
      </c>
      <c r="O6" s="195">
        <v>1513940400</v>
      </c>
      <c r="P6" s="195">
        <v>0</v>
      </c>
      <c r="Q6" s="195">
        <v>3.53</v>
      </c>
      <c r="R6" s="195">
        <v>188</v>
      </c>
      <c r="S6" s="195">
        <v>2.4900000000000002</v>
      </c>
      <c r="T6" s="195">
        <v>0.82</v>
      </c>
    </row>
    <row r="7" spans="1:20" x14ac:dyDescent="0.3">
      <c r="A7" s="195">
        <v>14.26</v>
      </c>
      <c r="B7" s="195">
        <v>0</v>
      </c>
      <c r="C7" s="195">
        <v>9.02</v>
      </c>
      <c r="D7" s="8">
        <v>43091.291666666664</v>
      </c>
      <c r="E7" s="195">
        <v>0.79</v>
      </c>
      <c r="F7" s="195" t="s">
        <v>464</v>
      </c>
      <c r="G7" s="195">
        <v>337.57</v>
      </c>
      <c r="H7" s="195"/>
      <c r="I7" s="195">
        <v>0</v>
      </c>
      <c r="J7" s="195">
        <v>0</v>
      </c>
      <c r="K7" s="195"/>
      <c r="L7" s="195">
        <v>1021.14</v>
      </c>
      <c r="M7" s="195" t="s">
        <v>463</v>
      </c>
      <c r="N7" s="195">
        <v>14.26</v>
      </c>
      <c r="O7" s="195">
        <v>1513944000</v>
      </c>
      <c r="P7" s="195">
        <v>0</v>
      </c>
      <c r="Q7" s="195">
        <v>4.21</v>
      </c>
      <c r="R7" s="195">
        <v>187</v>
      </c>
      <c r="S7" s="195">
        <v>4.29</v>
      </c>
      <c r="T7" s="195">
        <v>1.67</v>
      </c>
    </row>
    <row r="8" spans="1:20" x14ac:dyDescent="0.3">
      <c r="A8" s="195">
        <v>15.73</v>
      </c>
      <c r="B8" s="195">
        <v>0</v>
      </c>
      <c r="C8" s="195">
        <v>9.65</v>
      </c>
      <c r="D8" s="8">
        <v>43091.333333333336</v>
      </c>
      <c r="E8" s="195">
        <v>0.76</v>
      </c>
      <c r="F8" s="195" t="s">
        <v>464</v>
      </c>
      <c r="G8" s="195">
        <v>337.07</v>
      </c>
      <c r="H8" s="195"/>
      <c r="I8" s="195">
        <v>0</v>
      </c>
      <c r="J8" s="195">
        <v>0</v>
      </c>
      <c r="K8" s="195"/>
      <c r="L8" s="195">
        <v>1021.36</v>
      </c>
      <c r="M8" s="195" t="s">
        <v>463</v>
      </c>
      <c r="N8" s="195">
        <v>15.73</v>
      </c>
      <c r="O8" s="195">
        <v>1513947600</v>
      </c>
      <c r="P8" s="195">
        <v>0</v>
      </c>
      <c r="Q8" s="195">
        <v>3.47</v>
      </c>
      <c r="R8" s="195">
        <v>164</v>
      </c>
      <c r="S8" s="195">
        <v>4.96</v>
      </c>
      <c r="T8" s="195">
        <v>1.85</v>
      </c>
    </row>
    <row r="9" spans="1:20" x14ac:dyDescent="0.3">
      <c r="A9" s="195">
        <v>15.71</v>
      </c>
      <c r="B9" s="195">
        <v>0</v>
      </c>
      <c r="C9" s="195">
        <v>9.33</v>
      </c>
      <c r="D9" s="8">
        <v>43091.375</v>
      </c>
      <c r="E9" s="195">
        <v>0.75</v>
      </c>
      <c r="F9" s="195" t="s">
        <v>464</v>
      </c>
      <c r="G9" s="195">
        <v>336.57</v>
      </c>
      <c r="H9" s="195"/>
      <c r="I9" s="195">
        <v>0</v>
      </c>
      <c r="J9" s="195">
        <v>0</v>
      </c>
      <c r="K9" s="195"/>
      <c r="L9" s="195">
        <v>1022.17</v>
      </c>
      <c r="M9" s="195" t="s">
        <v>463</v>
      </c>
      <c r="N9" s="195">
        <v>15.71</v>
      </c>
      <c r="O9" s="195">
        <v>1513951200</v>
      </c>
      <c r="P9" s="195">
        <v>0</v>
      </c>
      <c r="Q9" s="195">
        <v>4.07</v>
      </c>
      <c r="R9" s="195">
        <v>174</v>
      </c>
      <c r="S9" s="195">
        <v>4.13</v>
      </c>
      <c r="T9" s="195">
        <v>1.63</v>
      </c>
    </row>
    <row r="10" spans="1:20" x14ac:dyDescent="0.3">
      <c r="A10" s="195">
        <v>18.09</v>
      </c>
      <c r="B10" s="195">
        <v>0.01</v>
      </c>
      <c r="C10" s="195">
        <v>10.43</v>
      </c>
      <c r="D10" s="8">
        <v>43091.416666666664</v>
      </c>
      <c r="E10" s="195">
        <v>0.71</v>
      </c>
      <c r="F10" s="195" t="s">
        <v>498</v>
      </c>
      <c r="G10" s="195">
        <v>335.96</v>
      </c>
      <c r="H10" s="195"/>
      <c r="I10" s="195">
        <v>0</v>
      </c>
      <c r="J10" s="195">
        <v>0</v>
      </c>
      <c r="K10" s="195"/>
      <c r="L10" s="195">
        <v>1024.32</v>
      </c>
      <c r="M10" s="195" t="s">
        <v>463</v>
      </c>
      <c r="N10" s="195">
        <v>18.09</v>
      </c>
      <c r="O10" s="195">
        <v>1513954800</v>
      </c>
      <c r="P10" s="195">
        <v>0</v>
      </c>
      <c r="Q10" s="195">
        <v>4.07</v>
      </c>
      <c r="R10" s="195">
        <v>190</v>
      </c>
      <c r="S10" s="195">
        <v>4.8899999999999997</v>
      </c>
      <c r="T10" s="195">
        <v>2.15</v>
      </c>
    </row>
    <row r="11" spans="1:20" x14ac:dyDescent="0.3">
      <c r="A11" s="195">
        <v>23.94</v>
      </c>
      <c r="B11" s="195">
        <v>0.03</v>
      </c>
      <c r="C11" s="195">
        <v>14.16</v>
      </c>
      <c r="D11" s="8">
        <v>43091.458333333336</v>
      </c>
      <c r="E11" s="195">
        <v>0.66</v>
      </c>
      <c r="F11" s="195" t="s">
        <v>498</v>
      </c>
      <c r="G11" s="195">
        <v>334.95</v>
      </c>
      <c r="H11" s="195"/>
      <c r="I11" s="195">
        <v>0</v>
      </c>
      <c r="J11" s="195">
        <v>0</v>
      </c>
      <c r="K11" s="195"/>
      <c r="L11" s="195">
        <v>1021.88</v>
      </c>
      <c r="M11" s="195" t="s">
        <v>463</v>
      </c>
      <c r="N11" s="195">
        <v>23.94</v>
      </c>
      <c r="O11" s="195">
        <v>1513958400</v>
      </c>
      <c r="P11" s="195">
        <v>1</v>
      </c>
      <c r="Q11" s="195">
        <v>3.94</v>
      </c>
      <c r="R11" s="195">
        <v>184</v>
      </c>
      <c r="S11" s="195">
        <v>6.45</v>
      </c>
      <c r="T11" s="195">
        <v>2.66</v>
      </c>
    </row>
    <row r="12" spans="1:20" x14ac:dyDescent="0.3">
      <c r="A12" s="195">
        <v>29.45</v>
      </c>
      <c r="B12" s="195">
        <v>0.02</v>
      </c>
      <c r="C12" s="195">
        <v>16.78</v>
      </c>
      <c r="D12" s="8">
        <v>43091.5</v>
      </c>
      <c r="E12" s="195">
        <v>0.59</v>
      </c>
      <c r="F12" s="195" t="s">
        <v>498</v>
      </c>
      <c r="G12" s="195">
        <v>333.64</v>
      </c>
      <c r="H12" s="195">
        <v>0</v>
      </c>
      <c r="I12" s="195">
        <v>1E-4</v>
      </c>
      <c r="J12" s="195">
        <v>0.01</v>
      </c>
      <c r="K12" s="195" t="s">
        <v>592</v>
      </c>
      <c r="L12" s="195">
        <v>1021.43</v>
      </c>
      <c r="M12" s="195" t="s">
        <v>463</v>
      </c>
      <c r="N12" s="195">
        <v>29.45</v>
      </c>
      <c r="O12" s="195">
        <v>1513962000</v>
      </c>
      <c r="P12" s="195">
        <v>1</v>
      </c>
      <c r="Q12" s="195">
        <v>5.67</v>
      </c>
      <c r="R12" s="195">
        <v>175</v>
      </c>
      <c r="S12" s="195">
        <v>6.93</v>
      </c>
      <c r="T12" s="195">
        <v>2.87</v>
      </c>
    </row>
    <row r="13" spans="1:20" x14ac:dyDescent="0.3">
      <c r="A13" s="195">
        <v>34.619999999999997</v>
      </c>
      <c r="B13" s="195">
        <v>0.01</v>
      </c>
      <c r="C13" s="195">
        <v>18.14</v>
      </c>
      <c r="D13" s="8">
        <v>43091.541666666664</v>
      </c>
      <c r="E13" s="195">
        <v>0.5</v>
      </c>
      <c r="F13" s="195" t="s">
        <v>498</v>
      </c>
      <c r="G13" s="195">
        <v>339.99</v>
      </c>
      <c r="H13" s="195"/>
      <c r="I13" s="195">
        <v>1.4E-3</v>
      </c>
      <c r="J13" s="195">
        <v>0.15</v>
      </c>
      <c r="K13" s="195" t="s">
        <v>892</v>
      </c>
      <c r="L13" s="195">
        <v>1020.21</v>
      </c>
      <c r="M13" s="195" t="s">
        <v>463</v>
      </c>
      <c r="N13" s="195">
        <v>34.619999999999997</v>
      </c>
      <c r="O13" s="195">
        <v>1513965600</v>
      </c>
      <c r="P13" s="195">
        <v>2</v>
      </c>
      <c r="Q13" s="195">
        <v>6</v>
      </c>
      <c r="R13" s="195">
        <v>175</v>
      </c>
      <c r="S13" s="195">
        <v>6.47</v>
      </c>
      <c r="T13" s="195">
        <v>2.25</v>
      </c>
    </row>
    <row r="14" spans="1:20" x14ac:dyDescent="0.3">
      <c r="A14" s="195">
        <v>38.89</v>
      </c>
      <c r="B14" s="195">
        <v>0.05</v>
      </c>
      <c r="C14" s="195">
        <v>17.940000000000001</v>
      </c>
      <c r="D14" s="8">
        <v>43091.583333333336</v>
      </c>
      <c r="E14" s="195">
        <v>0.42</v>
      </c>
      <c r="F14" s="195" t="s">
        <v>498</v>
      </c>
      <c r="G14" s="195">
        <v>340.19</v>
      </c>
      <c r="H14" s="195"/>
      <c r="I14" s="195">
        <v>6.6E-3</v>
      </c>
      <c r="J14" s="195">
        <v>0.31</v>
      </c>
      <c r="K14" s="195" t="s">
        <v>892</v>
      </c>
      <c r="L14" s="195">
        <v>1018.79</v>
      </c>
      <c r="M14" s="195" t="s">
        <v>463</v>
      </c>
      <c r="N14" s="195">
        <v>38.89</v>
      </c>
      <c r="O14" s="195">
        <v>1513969200</v>
      </c>
      <c r="P14" s="195">
        <v>2</v>
      </c>
      <c r="Q14" s="195">
        <v>5.41</v>
      </c>
      <c r="R14" s="195">
        <v>158</v>
      </c>
      <c r="S14" s="195">
        <v>7.69</v>
      </c>
      <c r="T14" s="195">
        <v>2.4</v>
      </c>
    </row>
    <row r="15" spans="1:20" x14ac:dyDescent="0.3">
      <c r="A15" s="195">
        <v>41.44</v>
      </c>
      <c r="B15" s="195">
        <v>0.06</v>
      </c>
      <c r="C15" s="195">
        <v>16.86</v>
      </c>
      <c r="D15" s="8">
        <v>43091.625</v>
      </c>
      <c r="E15" s="195">
        <v>0.37</v>
      </c>
      <c r="F15" s="195" t="s">
        <v>498</v>
      </c>
      <c r="G15" s="195">
        <v>339.88</v>
      </c>
      <c r="H15" s="195"/>
      <c r="I15" s="195">
        <v>1.0500000000000001E-2</v>
      </c>
      <c r="J15" s="195">
        <v>0.52</v>
      </c>
      <c r="K15" s="195" t="s">
        <v>892</v>
      </c>
      <c r="L15" s="195">
        <v>1017.25</v>
      </c>
      <c r="M15" s="195" t="s">
        <v>463</v>
      </c>
      <c r="N15" s="195">
        <v>41.44</v>
      </c>
      <c r="O15" s="195">
        <v>1513972800</v>
      </c>
      <c r="P15" s="195">
        <v>2</v>
      </c>
      <c r="Q15" s="195">
        <v>5.52</v>
      </c>
      <c r="R15" s="195">
        <v>161</v>
      </c>
      <c r="S15" s="195">
        <v>7.32</v>
      </c>
      <c r="T15" s="195">
        <v>1.99</v>
      </c>
    </row>
    <row r="16" spans="1:20" x14ac:dyDescent="0.3">
      <c r="A16" s="195">
        <v>43.08</v>
      </c>
      <c r="B16" s="195">
        <v>0.06</v>
      </c>
      <c r="C16" s="195">
        <v>16.25</v>
      </c>
      <c r="D16" s="8">
        <v>43091.666666666664</v>
      </c>
      <c r="E16" s="195">
        <v>0.33</v>
      </c>
      <c r="F16" s="195" t="s">
        <v>498</v>
      </c>
      <c r="G16" s="195">
        <v>338.88</v>
      </c>
      <c r="H16" s="195"/>
      <c r="I16" s="195">
        <v>7.6E-3</v>
      </c>
      <c r="J16" s="195">
        <v>0.48</v>
      </c>
      <c r="K16" s="195" t="s">
        <v>892</v>
      </c>
      <c r="L16" s="195">
        <v>1016.79</v>
      </c>
      <c r="M16" s="195" t="s">
        <v>463</v>
      </c>
      <c r="N16" s="195">
        <v>43.08</v>
      </c>
      <c r="O16" s="195">
        <v>1513976400</v>
      </c>
      <c r="P16" s="195">
        <v>1</v>
      </c>
      <c r="Q16" s="195">
        <v>5.52</v>
      </c>
      <c r="R16" s="195">
        <v>123</v>
      </c>
      <c r="S16" s="195">
        <v>5.45</v>
      </c>
      <c r="T16" s="195">
        <v>0.41</v>
      </c>
    </row>
    <row r="17" spans="1:20" x14ac:dyDescent="0.3">
      <c r="A17" s="195">
        <v>40.61</v>
      </c>
      <c r="B17" s="195">
        <v>7.0000000000000007E-2</v>
      </c>
      <c r="C17" s="195">
        <v>17.010000000000002</v>
      </c>
      <c r="D17" s="8">
        <v>43091.708333333336</v>
      </c>
      <c r="E17" s="195">
        <v>0.38</v>
      </c>
      <c r="F17" s="195" t="s">
        <v>498</v>
      </c>
      <c r="G17" s="195">
        <v>337.17</v>
      </c>
      <c r="H17" s="195"/>
      <c r="I17" s="195">
        <v>3.8E-3</v>
      </c>
      <c r="J17" s="195">
        <v>0.35</v>
      </c>
      <c r="K17" s="195" t="s">
        <v>892</v>
      </c>
      <c r="L17" s="195">
        <v>1016.52</v>
      </c>
      <c r="M17" s="195" t="s">
        <v>463</v>
      </c>
      <c r="N17" s="195">
        <v>40.61</v>
      </c>
      <c r="O17" s="195">
        <v>1513980000</v>
      </c>
      <c r="P17" s="195">
        <v>1</v>
      </c>
      <c r="Q17" s="195">
        <v>4.32</v>
      </c>
      <c r="R17" s="195">
        <v>4</v>
      </c>
      <c r="S17" s="195">
        <v>8.82</v>
      </c>
      <c r="T17" s="195">
        <v>2.2000000000000002</v>
      </c>
    </row>
    <row r="18" spans="1:20" x14ac:dyDescent="0.3">
      <c r="A18" s="195">
        <v>32.03</v>
      </c>
      <c r="B18" s="195">
        <v>0.08</v>
      </c>
      <c r="C18" s="195">
        <v>20.149999999999999</v>
      </c>
      <c r="D18" s="8">
        <v>43091.75</v>
      </c>
      <c r="E18" s="195">
        <v>0.54</v>
      </c>
      <c r="F18" s="195" t="s">
        <v>498</v>
      </c>
      <c r="G18" s="195">
        <v>334.75</v>
      </c>
      <c r="H18" s="195"/>
      <c r="I18" s="195">
        <v>1E-3</v>
      </c>
      <c r="J18" s="195">
        <v>0.15</v>
      </c>
      <c r="K18" s="195" t="s">
        <v>892</v>
      </c>
      <c r="L18" s="195">
        <v>1017.71</v>
      </c>
      <c r="M18" s="195" t="s">
        <v>463</v>
      </c>
      <c r="N18" s="195">
        <v>34.950000000000003</v>
      </c>
      <c r="O18" s="195">
        <v>1513983600</v>
      </c>
      <c r="P18" s="195">
        <v>0</v>
      </c>
      <c r="Q18" s="195">
        <v>4.04</v>
      </c>
      <c r="R18" s="195">
        <v>357</v>
      </c>
      <c r="S18" s="195">
        <v>9.1</v>
      </c>
      <c r="T18" s="195">
        <v>3.5</v>
      </c>
    </row>
    <row r="19" spans="1:20" x14ac:dyDescent="0.3">
      <c r="A19" s="195">
        <v>29.27</v>
      </c>
      <c r="B19" s="195">
        <v>0.22</v>
      </c>
      <c r="C19" s="195">
        <v>20.309999999999999</v>
      </c>
      <c r="D19" s="8">
        <v>43091.791666666664</v>
      </c>
      <c r="E19" s="195">
        <v>0.69</v>
      </c>
      <c r="F19" s="195" t="s">
        <v>464</v>
      </c>
      <c r="G19" s="195">
        <v>323.44</v>
      </c>
      <c r="H19" s="195">
        <v>0</v>
      </c>
      <c r="I19" s="195">
        <v>2.9999999999999997E-4</v>
      </c>
      <c r="J19" s="195">
        <v>0.06</v>
      </c>
      <c r="K19" s="195" t="s">
        <v>592</v>
      </c>
      <c r="L19" s="195">
        <v>1018.83</v>
      </c>
      <c r="M19" s="195" t="s">
        <v>463</v>
      </c>
      <c r="N19" s="195">
        <v>29.27</v>
      </c>
      <c r="O19" s="195">
        <v>1513987200</v>
      </c>
      <c r="P19" s="195">
        <v>0</v>
      </c>
      <c r="Q19" s="195">
        <v>4.1100000000000003</v>
      </c>
      <c r="R19" s="195">
        <v>351</v>
      </c>
      <c r="S19" s="195">
        <v>6.34</v>
      </c>
      <c r="T19" s="195">
        <v>2.35</v>
      </c>
    </row>
    <row r="20" spans="1:20" x14ac:dyDescent="0.3">
      <c r="A20" s="195">
        <v>27.55</v>
      </c>
      <c r="B20" s="195">
        <v>0.45</v>
      </c>
      <c r="C20" s="195">
        <v>19.09</v>
      </c>
      <c r="D20" s="8">
        <v>43091.833333333336</v>
      </c>
      <c r="E20" s="195">
        <v>0.7</v>
      </c>
      <c r="F20" s="195" t="s">
        <v>555</v>
      </c>
      <c r="G20" s="195">
        <v>319.83999999999997</v>
      </c>
      <c r="H20" s="195">
        <v>0</v>
      </c>
      <c r="I20" s="195">
        <v>2.9999999999999997E-4</v>
      </c>
      <c r="J20" s="195">
        <v>0.01</v>
      </c>
      <c r="K20" s="195" t="s">
        <v>592</v>
      </c>
      <c r="L20" s="195">
        <v>1020.47</v>
      </c>
      <c r="M20" s="195" t="s">
        <v>556</v>
      </c>
      <c r="N20" s="195">
        <v>27.55</v>
      </c>
      <c r="O20" s="195">
        <v>1513990800</v>
      </c>
      <c r="P20" s="195">
        <v>0</v>
      </c>
      <c r="Q20" s="195">
        <v>4.04</v>
      </c>
      <c r="R20" s="195">
        <v>339</v>
      </c>
      <c r="S20" s="195">
        <v>4.75</v>
      </c>
      <c r="T20" s="195">
        <v>1.34</v>
      </c>
    </row>
    <row r="21" spans="1:20" x14ac:dyDescent="0.3">
      <c r="A21" s="195">
        <v>26.2</v>
      </c>
      <c r="B21" s="195">
        <v>0.28000000000000003</v>
      </c>
      <c r="C21" s="195">
        <v>18.309999999999999</v>
      </c>
      <c r="D21" s="8">
        <v>43091.875</v>
      </c>
      <c r="E21" s="195">
        <v>0.72</v>
      </c>
      <c r="F21" s="195" t="s">
        <v>555</v>
      </c>
      <c r="G21" s="195">
        <v>317.24</v>
      </c>
      <c r="H21" s="195">
        <v>0</v>
      </c>
      <c r="I21" s="195">
        <v>2.0000000000000001E-4</v>
      </c>
      <c r="J21" s="195">
        <v>0.01</v>
      </c>
      <c r="K21" s="195" t="s">
        <v>592</v>
      </c>
      <c r="L21" s="195">
        <v>1021.38</v>
      </c>
      <c r="M21" s="195" t="s">
        <v>556</v>
      </c>
      <c r="N21" s="195">
        <v>26.2</v>
      </c>
      <c r="O21" s="195">
        <v>1513994400</v>
      </c>
      <c r="P21" s="195">
        <v>0</v>
      </c>
      <c r="Q21" s="195">
        <v>3.7</v>
      </c>
      <c r="R21" s="195">
        <v>307</v>
      </c>
      <c r="S21" s="195">
        <v>2.34</v>
      </c>
      <c r="T21" s="195">
        <v>0.3</v>
      </c>
    </row>
    <row r="22" spans="1:20" x14ac:dyDescent="0.3">
      <c r="A22" s="195">
        <v>25.44</v>
      </c>
      <c r="B22" s="195">
        <v>0.34</v>
      </c>
      <c r="C22" s="195">
        <v>18.22</v>
      </c>
      <c r="D22" s="8">
        <v>43091.916666666664</v>
      </c>
      <c r="E22" s="195">
        <v>0.74</v>
      </c>
      <c r="F22" s="195" t="s">
        <v>555</v>
      </c>
      <c r="G22" s="195">
        <v>315.77999999999997</v>
      </c>
      <c r="H22" s="195">
        <v>0</v>
      </c>
      <c r="I22" s="195">
        <v>2.0000000000000001E-4</v>
      </c>
      <c r="J22" s="195">
        <v>0.02</v>
      </c>
      <c r="K22" s="195" t="s">
        <v>592</v>
      </c>
      <c r="L22" s="195">
        <v>1023.18</v>
      </c>
      <c r="M22" s="195" t="s">
        <v>556</v>
      </c>
      <c r="N22" s="195">
        <v>25.44</v>
      </c>
      <c r="O22" s="195">
        <v>1513998000</v>
      </c>
      <c r="P22" s="195">
        <v>0</v>
      </c>
      <c r="Q22" s="195">
        <v>4.42</v>
      </c>
      <c r="R22" s="195">
        <v>262</v>
      </c>
      <c r="S22" s="195">
        <v>3.21</v>
      </c>
      <c r="T22" s="195">
        <v>0.22</v>
      </c>
    </row>
    <row r="23" spans="1:20" x14ac:dyDescent="0.3">
      <c r="A23" s="195">
        <v>24.45</v>
      </c>
      <c r="B23" s="195">
        <v>0.26</v>
      </c>
      <c r="C23" s="195">
        <v>17.559999999999999</v>
      </c>
      <c r="D23" s="8">
        <v>43091.958333333336</v>
      </c>
      <c r="E23" s="195">
        <v>0.75</v>
      </c>
      <c r="F23" s="195" t="s">
        <v>555</v>
      </c>
      <c r="G23" s="195">
        <v>316.2</v>
      </c>
      <c r="H23" s="195">
        <v>0</v>
      </c>
      <c r="I23" s="195">
        <v>1E-4</v>
      </c>
      <c r="J23" s="195">
        <v>0.02</v>
      </c>
      <c r="K23" s="195" t="s">
        <v>592</v>
      </c>
      <c r="L23" s="195">
        <v>1019.88</v>
      </c>
      <c r="M23" s="195" t="s">
        <v>556</v>
      </c>
      <c r="N23" s="195">
        <v>24.45</v>
      </c>
      <c r="O23" s="195">
        <v>1514001600</v>
      </c>
      <c r="P23" s="195">
        <v>0</v>
      </c>
      <c r="Q23" s="195">
        <v>4.82</v>
      </c>
      <c r="R23" s="195">
        <v>304</v>
      </c>
      <c r="S23" s="195">
        <v>2.77</v>
      </c>
      <c r="T23" s="195">
        <v>0.45</v>
      </c>
    </row>
    <row r="24" spans="1:20" x14ac:dyDescent="0.3">
      <c r="A24" s="195">
        <v>23.37</v>
      </c>
      <c r="B24" s="195">
        <v>7.0000000000000007E-2</v>
      </c>
      <c r="C24" s="195">
        <v>16.920000000000002</v>
      </c>
      <c r="D24" s="8">
        <v>43092</v>
      </c>
      <c r="E24" s="195">
        <v>0.76</v>
      </c>
      <c r="F24" s="195" t="s">
        <v>464</v>
      </c>
      <c r="G24" s="195">
        <v>317.97000000000003</v>
      </c>
      <c r="H24" s="195"/>
      <c r="I24" s="195">
        <v>0</v>
      </c>
      <c r="J24" s="195">
        <v>0</v>
      </c>
      <c r="K24" s="195"/>
      <c r="L24" s="195">
        <v>1019.6</v>
      </c>
      <c r="M24" s="195" t="s">
        <v>463</v>
      </c>
      <c r="N24" s="195">
        <v>23.37</v>
      </c>
      <c r="O24" s="195">
        <v>1514005200</v>
      </c>
      <c r="P24" s="195">
        <v>0</v>
      </c>
      <c r="Q24" s="195">
        <v>4.04</v>
      </c>
      <c r="R24" s="195">
        <v>318</v>
      </c>
      <c r="S24" s="195">
        <v>2.87</v>
      </c>
      <c r="T24" s="195">
        <v>0.48</v>
      </c>
    </row>
    <row r="25" spans="1:20" x14ac:dyDescent="0.3">
      <c r="A25" s="195">
        <v>22.22</v>
      </c>
      <c r="B25" s="195">
        <v>0.04</v>
      </c>
      <c r="C25" s="195">
        <v>16.23</v>
      </c>
      <c r="D25" s="8">
        <v>43092.041666666664</v>
      </c>
      <c r="E25" s="195">
        <v>0.77</v>
      </c>
      <c r="F25" s="195" t="s">
        <v>464</v>
      </c>
      <c r="G25" s="195">
        <v>319.01</v>
      </c>
      <c r="H25" s="195"/>
      <c r="I25" s="195">
        <v>0</v>
      </c>
      <c r="J25" s="195">
        <v>0</v>
      </c>
      <c r="K25" s="195"/>
      <c r="L25" s="195">
        <v>1019.1</v>
      </c>
      <c r="M25" s="195" t="s">
        <v>463</v>
      </c>
      <c r="N25" s="195">
        <v>22.22</v>
      </c>
      <c r="O25" s="195">
        <v>1514008800</v>
      </c>
      <c r="P25" s="195">
        <v>0</v>
      </c>
      <c r="Q25" s="195">
        <v>3.95</v>
      </c>
      <c r="R25" s="195">
        <v>290</v>
      </c>
      <c r="S25" s="195">
        <v>2.81</v>
      </c>
      <c r="T25" s="195">
        <v>0.45</v>
      </c>
    </row>
    <row r="26" spans="1:20" x14ac:dyDescent="0.3">
      <c r="A26" s="195">
        <v>21.42</v>
      </c>
      <c r="B26" s="195">
        <v>0.04</v>
      </c>
      <c r="C26" s="195">
        <v>15.6</v>
      </c>
      <c r="D26" s="8">
        <v>43092.083333333336</v>
      </c>
      <c r="E26" s="195">
        <v>0.78</v>
      </c>
      <c r="F26" s="195" t="s">
        <v>464</v>
      </c>
      <c r="G26" s="195">
        <v>318.7</v>
      </c>
      <c r="H26" s="195"/>
      <c r="I26" s="195">
        <v>0</v>
      </c>
      <c r="J26" s="195">
        <v>0</v>
      </c>
      <c r="K26" s="195"/>
      <c r="L26" s="195">
        <v>1018.37</v>
      </c>
      <c r="M26" s="195" t="s">
        <v>463</v>
      </c>
      <c r="N26" s="195">
        <v>21.42</v>
      </c>
      <c r="O26" s="195">
        <v>1514012400</v>
      </c>
      <c r="P26" s="195">
        <v>0</v>
      </c>
      <c r="Q26" s="195">
        <v>4.01</v>
      </c>
      <c r="R26" s="195">
        <v>328</v>
      </c>
      <c r="S26" s="195">
        <v>4.13</v>
      </c>
      <c r="T26" s="195">
        <v>0.85</v>
      </c>
    </row>
    <row r="27" spans="1:20" x14ac:dyDescent="0.3">
      <c r="A27" s="195">
        <v>20.43</v>
      </c>
      <c r="B27" s="195">
        <v>0.04</v>
      </c>
      <c r="C27" s="195">
        <v>14.75</v>
      </c>
      <c r="D27" s="8">
        <v>43092.125</v>
      </c>
      <c r="E27" s="195">
        <v>0.78</v>
      </c>
      <c r="F27" s="195" t="s">
        <v>464</v>
      </c>
      <c r="G27" s="195">
        <v>317.87</v>
      </c>
      <c r="H27" s="195"/>
      <c r="I27" s="195">
        <v>0</v>
      </c>
      <c r="J27" s="195">
        <v>0</v>
      </c>
      <c r="K27" s="195"/>
      <c r="L27" s="195">
        <v>1017.68</v>
      </c>
      <c r="M27" s="195" t="s">
        <v>463</v>
      </c>
      <c r="N27" s="195">
        <v>20.43</v>
      </c>
      <c r="O27" s="195">
        <v>1514016000</v>
      </c>
      <c r="P27" s="195">
        <v>0</v>
      </c>
      <c r="Q27" s="195">
        <v>4.25</v>
      </c>
      <c r="R27" s="195">
        <v>330</v>
      </c>
      <c r="S27" s="195">
        <v>5.05</v>
      </c>
      <c r="T27" s="195">
        <v>1.42</v>
      </c>
    </row>
    <row r="28" spans="1:20" x14ac:dyDescent="0.3">
      <c r="A28" s="195">
        <v>19.989999999999998</v>
      </c>
      <c r="B28" s="195">
        <v>0.04</v>
      </c>
      <c r="C28" s="195">
        <v>14.27</v>
      </c>
      <c r="D28" s="8">
        <v>43092.166666666664</v>
      </c>
      <c r="E28" s="195">
        <v>0.78</v>
      </c>
      <c r="F28" s="195" t="s">
        <v>464</v>
      </c>
      <c r="G28" s="195">
        <v>317.45</v>
      </c>
      <c r="H28" s="195"/>
      <c r="I28" s="195">
        <v>0</v>
      </c>
      <c r="J28" s="195">
        <v>0</v>
      </c>
      <c r="K28" s="195"/>
      <c r="L28" s="195">
        <v>1017.93</v>
      </c>
      <c r="M28" s="195" t="s">
        <v>463</v>
      </c>
      <c r="N28" s="195">
        <v>19.989999999999998</v>
      </c>
      <c r="O28" s="195">
        <v>1514019600</v>
      </c>
      <c r="P28" s="195">
        <v>0</v>
      </c>
      <c r="Q28" s="195">
        <v>4.16</v>
      </c>
      <c r="R28" s="195">
        <v>345</v>
      </c>
      <c r="S28" s="195">
        <v>3.79</v>
      </c>
      <c r="T28" s="195">
        <v>0.94</v>
      </c>
    </row>
    <row r="29" spans="1:20" x14ac:dyDescent="0.3">
      <c r="A29" s="195">
        <v>21.05</v>
      </c>
      <c r="B29" s="195">
        <v>0.21</v>
      </c>
      <c r="C29" s="195">
        <v>13.97</v>
      </c>
      <c r="D29" s="8">
        <v>43092.208333333336</v>
      </c>
      <c r="E29" s="195">
        <v>0.74</v>
      </c>
      <c r="F29" s="195" t="s">
        <v>464</v>
      </c>
      <c r="G29" s="195">
        <v>317.97000000000003</v>
      </c>
      <c r="H29" s="195"/>
      <c r="I29" s="195">
        <v>0</v>
      </c>
      <c r="J29" s="195">
        <v>0</v>
      </c>
      <c r="K29" s="195"/>
      <c r="L29" s="195">
        <v>1018.14</v>
      </c>
      <c r="M29" s="195" t="s">
        <v>463</v>
      </c>
      <c r="N29" s="195">
        <v>21.05</v>
      </c>
      <c r="O29" s="195">
        <v>1514023200</v>
      </c>
      <c r="P29" s="195">
        <v>0</v>
      </c>
      <c r="Q29" s="195">
        <v>5.84</v>
      </c>
      <c r="R29" s="195">
        <v>204</v>
      </c>
      <c r="S29" s="195">
        <v>4.7300000000000004</v>
      </c>
      <c r="T29" s="195">
        <v>0.36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4"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43091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1080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1081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1082</v>
      </c>
      <c r="J25" s="139" t="s">
        <v>144</v>
      </c>
      <c r="M25" s="153" t="b">
        <v>1</v>
      </c>
    </row>
    <row r="26" spans="3:24" x14ac:dyDescent="0.3">
      <c r="C26" t="s">
        <v>1083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%USERPROFILE%\Documents\GitHub\eaglep3-reporting\EC\2017-12-22-refined-times.txt</v>
      </c>
    </row>
    <row r="27" spans="3:24" x14ac:dyDescent="0.3"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%USERPROFILE%\Documents\GitHub\eaglep3-reporting\EC\2017-12-22-Enforcements.txt</v>
      </c>
    </row>
    <row r="28" spans="3:24" x14ac:dyDescent="0.3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%USERPROFILE%\Documents\GitHub\eaglep3-reporting\EC\2017-12-22-Runs-refined.txt</v>
      </c>
    </row>
    <row r="29" spans="3:24" x14ac:dyDescent="0.3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%USERPROFILE%\Documents\GitHub\eaglep3-reporting\EC\2017-12-22-Trips.txt</v>
      </c>
    </row>
    <row r="30" spans="3:24" x14ac:dyDescent="0.3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%USERPROFILE%\Documents\GitHub\eaglep3-reporting\EC\2017-12-22-Weather.txt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2017-12-27T15:50:40Z</dcterms:modified>
</cp:coreProperties>
</file>